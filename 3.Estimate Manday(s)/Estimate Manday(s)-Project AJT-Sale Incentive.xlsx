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dsoncloud-my.sharepoint.com/personal/wimut_c_cdssolution_com/Documents/My Projects/28.AJT New Sale Incentive/3.Estimate Manday(s)/"/>
    </mc:Choice>
  </mc:AlternateContent>
  <xr:revisionPtr revIDLastSave="622" documentId="8_{625B9C0E-883F-4B2B-B640-6F98960D55F2}" xr6:coauthVersionLast="47" xr6:coauthVersionMax="47" xr10:uidLastSave="{FE813E42-BDBF-43C5-B077-916E968E41CD}"/>
  <bookViews>
    <workbookView xWindow="-120" yWindow="-120" windowWidth="38640" windowHeight="21120" activeTab="1" xr2:uid="{00000000-000D-0000-FFFF-FFFF00000000}"/>
  </bookViews>
  <sheets>
    <sheet name="Summary" sheetId="1" r:id="rId1"/>
    <sheet name="Manday-Interface" sheetId="2" r:id="rId2"/>
  </sheets>
  <definedNames>
    <definedName name="valHighligh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2" l="1"/>
  <c r="B54" i="2"/>
  <c r="B53" i="2"/>
  <c r="B48" i="2"/>
  <c r="B49" i="2"/>
  <c r="B50" i="2"/>
  <c r="B51" i="2"/>
  <c r="B45" i="2"/>
  <c r="B42" i="2"/>
  <c r="B31" i="2"/>
  <c r="B29" i="2"/>
  <c r="B35" i="2"/>
  <c r="B36" i="2"/>
  <c r="B37" i="2"/>
  <c r="B38" i="2"/>
  <c r="B39" i="2"/>
  <c r="B40" i="2"/>
  <c r="B41" i="2"/>
  <c r="B43" i="2"/>
  <c r="B44" i="2"/>
  <c r="B8" i="2"/>
  <c r="B9" i="2"/>
  <c r="C65" i="2"/>
  <c r="B47" i="2"/>
  <c r="B33" i="2"/>
  <c r="B34" i="2"/>
  <c r="B2" i="1"/>
  <c r="B62" i="2"/>
  <c r="B63" i="2"/>
  <c r="B61" i="2"/>
  <c r="B19" i="2"/>
  <c r="B20" i="2"/>
  <c r="B55" i="2"/>
  <c r="B56" i="2"/>
  <c r="B57" i="2"/>
  <c r="B27" i="2"/>
  <c r="B28" i="2"/>
  <c r="B30" i="2"/>
  <c r="B32" i="2"/>
  <c r="B46" i="2"/>
  <c r="B22" i="2"/>
  <c r="B17" i="2"/>
  <c r="B16" i="2"/>
  <c r="B15" i="2"/>
  <c r="B18" i="2"/>
  <c r="B11" i="2"/>
  <c r="B52" i="2"/>
  <c r="B25" i="2"/>
  <c r="I65" i="2"/>
  <c r="H65" i="2"/>
  <c r="G65" i="2"/>
  <c r="F65" i="2"/>
  <c r="E65" i="2"/>
  <c r="D65" i="2"/>
  <c r="B64" i="2"/>
  <c r="B60" i="2"/>
  <c r="B59" i="2"/>
  <c r="B58" i="2"/>
  <c r="B26" i="2"/>
  <c r="B24" i="2"/>
  <c r="B21" i="2"/>
  <c r="B14" i="2"/>
  <c r="B13" i="2"/>
  <c r="B12" i="2"/>
  <c r="B7" i="2"/>
  <c r="B6" i="2"/>
  <c r="A5" i="2"/>
  <c r="A2" i="1"/>
  <c r="B4" i="1" l="1"/>
  <c r="B10" i="2"/>
</calcChain>
</file>

<file path=xl/sharedStrings.xml><?xml version="1.0" encoding="utf-8"?>
<sst xmlns="http://schemas.openxmlformats.org/spreadsheetml/2006/main" count="84" uniqueCount="78">
  <si>
    <t>Project</t>
  </si>
  <si>
    <t>Amount</t>
  </si>
  <si>
    <t>Total</t>
  </si>
  <si>
    <t xml:space="preserve">Project Name  </t>
  </si>
  <si>
    <t xml:space="preserve">Customer </t>
  </si>
  <si>
    <t>Task</t>
  </si>
  <si>
    <t>#Total
 Day</t>
  </si>
  <si>
    <t>PM</t>
  </si>
  <si>
    <t>SA</t>
  </si>
  <si>
    <t>BA</t>
  </si>
  <si>
    <t>Developer</t>
  </si>
  <si>
    <t>Designer</t>
  </si>
  <si>
    <t>QA/Documentor</t>
  </si>
  <si>
    <t>System Admin</t>
  </si>
  <si>
    <t>Remark</t>
  </si>
  <si>
    <t>#Day</t>
  </si>
  <si>
    <t>2. Design Phase</t>
  </si>
  <si>
    <t>Sign Off #1 - Completed Requirement and Design</t>
  </si>
  <si>
    <t xml:space="preserve">3. Development Phase </t>
  </si>
  <si>
    <t>4.Stabilizing Phase</t>
  </si>
  <si>
    <t>Sign Off # 2 - Completed UAT</t>
  </si>
  <si>
    <t>5. GoLive Phase</t>
  </si>
  <si>
    <t>Sign Off #3 - Go Live!</t>
  </si>
  <si>
    <t>Total Number of Manday per each Role</t>
  </si>
  <si>
    <t>1.1 Gathering Requirements</t>
  </si>
  <si>
    <t>1.3 Confirm Business Requirement and Conceptual Design</t>
  </si>
  <si>
    <t>1. Planning</t>
  </si>
  <si>
    <t>5.1 Training Power Users &amp; End User</t>
  </si>
  <si>
    <t>5.2 Training Administrators</t>
  </si>
  <si>
    <t>5.3 Deploy to Production Environment</t>
  </si>
  <si>
    <t>5.4 Support 3 months</t>
  </si>
  <si>
    <t>- Requirement Sale Incentive Policy Clarification (TT &amp; LAOS Channels)</t>
  </si>
  <si>
    <t>- Requirement Sale Incentive Policy Clarification (MT &amp; SI Channels)</t>
  </si>
  <si>
    <t>- Requirement Sale Incentive Policy Clarification (Prorate, GD, Special Adjustment)</t>
  </si>
  <si>
    <t>1.2 Produce Business Requirements Document (SRS and High Level Design)</t>
  </si>
  <si>
    <t>Sale Incentive System</t>
  </si>
  <si>
    <t>AJT</t>
  </si>
  <si>
    <t>2.3 Requirement Workshop + Policy Clarification (Prorate, GD, Channels)</t>
  </si>
  <si>
    <t>2.1 Requirement Workshop + Policy Clarification (TT &amp; LAOS Channels)</t>
  </si>
  <si>
    <t>2.2 Requirement Workshop + Policy Clarification (MT &amp; SI Channels)</t>
  </si>
  <si>
    <t>2.4 Solution Architecture + Interface Contract (K2/SmartObject/SP/SSRS)</t>
  </si>
  <si>
    <t>2.5 K2 Workflow + Smart Form Design (ทุก flow)</t>
  </si>
  <si>
    <t>2.6 SP Calculation Engine + .NET API Interface Design Spec</t>
  </si>
  <si>
    <t>2.7 DB Model Finalization + Stored Procedure Design</t>
  </si>
  <si>
    <t>2.8 SSRS Report Format Design (For HR, Trace Report)</t>
  </si>
  <si>
    <t>2.9 SIT/UAT Test Strategy + Test Case Design</t>
  </si>
  <si>
    <t>3.1 K2 Master Data Forms (Period, M_Month, Parameters, Rate Tables)</t>
  </si>
  <si>
    <t>- Special Adjustment Config + Before/After Audit</t>
  </si>
  <si>
    <t>3.3 K2 Approval Workflow</t>
  </si>
  <si>
    <t>3.2 K2 Import Data (DWH / HCM + Validation Gate trigger)</t>
  </si>
  <si>
    <t>- .NET Core API Interface — External System Integration (DWH / HR Import)</t>
  </si>
  <si>
    <t>- .NET Core API Interface — External System Integration (HR Output Export)</t>
  </si>
  <si>
    <t>- For HR Output Generation (Variable + Fixed, M_Month mapping)</t>
  </si>
  <si>
    <t>- Testing Calculation Validation &amp; Bug Fixing</t>
  </si>
  <si>
    <t>- Testing Form / Workflow Bug Fixing</t>
  </si>
  <si>
    <t>- Testing Reports &amp; Bug Fixing</t>
  </si>
  <si>
    <t>- SSRS Reports (For HR print form + Calculation Trace Report)</t>
  </si>
  <si>
    <t>- Dashboard (Achievement summary, by channel/dept/period)</t>
  </si>
  <si>
    <t>3.5 SmartObject + SP Common Infrastructure</t>
  </si>
  <si>
    <t>3.6 Core Functional</t>
  </si>
  <si>
    <t>3.7 System Interface</t>
  </si>
  <si>
    <t>3.8 Reports</t>
  </si>
  <si>
    <t>3.9 SIT (Internal)</t>
  </si>
  <si>
    <t>- Function Validation Gate Engine (Period/Hierarchy/Mapping checks)</t>
  </si>
  <si>
    <t>- Function MT/SI Calculation Engine (Mapping + Cascade 4 Level)</t>
  </si>
  <si>
    <t>- Function TT Calculation Engine</t>
  </si>
  <si>
    <t>- Function LAOS Calculation Engine</t>
  </si>
  <si>
    <t>- Function GD Special Incentive Engine (4 products × step payout)</t>
  </si>
  <si>
    <t>- Function Fixed Rate Engine (Job Function lookup → fixed amount)</t>
  </si>
  <si>
    <t>- Function Prorate Logic Engine</t>
  </si>
  <si>
    <t>3.4 K2 Main Transaction Forms (Incentive Entry, Calculation Result View, Core Function UI)</t>
  </si>
  <si>
    <t>4.1 Deploy to QA Environment</t>
  </si>
  <si>
    <t>4.2 SIT - Common Platform (K2 forms, workflow, import, auth)</t>
  </si>
  <si>
    <t>4.3 SIT - Channel Calculation Engines (MT/TT/SI/LAOS + GD + Fixed)</t>
  </si>
  <si>
    <t>4.5 Regression Test + Performance Check</t>
  </si>
  <si>
    <t>2.10 Produce Detail Design Document (DDS)</t>
  </si>
  <si>
    <t>4.4 User Acceptance Testing (UAT) + Defect Fix (End to End Test)</t>
  </si>
  <si>
    <t>- Audit Trail + Parameter Change Logging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</si>
</sst>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scheme val="minor"/>
    </font>
    <font>
      <sz val="10"/>
      <color theme="0"/>
      <name val="Aptos"/>
    </font>
    <font>
      <sz val="10"/>
      <color theme="1"/>
      <name val="Aptos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sz val="10"/>
      <name val="Aptos"/>
      <family val="2"/>
    </font>
    <font>
      <sz val="11"/>
      <color theme="1"/>
      <name val="Aptos"/>
      <family val="2"/>
    </font>
    <font>
      <sz val="11"/>
      <name val="Aptos"/>
      <family val="2"/>
    </font>
    <font>
      <b/>
      <sz val="10"/>
      <name val="Aptos"/>
      <family val="2"/>
    </font>
    <font>
      <sz val="10"/>
      <color rgb="FFFF000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FFFF00"/>
        <bgColor rgb="FFFFFF00"/>
      </patternFill>
    </fill>
    <fill>
      <patternFill patternType="solid">
        <fgColor rgb="FF548DD4"/>
        <bgColor rgb="FF548DD4"/>
      </patternFill>
    </fill>
    <fill>
      <patternFill patternType="solid">
        <fgColor rgb="FFCCFFCC"/>
        <bgColor rgb="FFCCFFCC"/>
      </patternFill>
    </fill>
    <fill>
      <patternFill patternType="solid">
        <fgColor rgb="FF00CCFF"/>
        <bgColor rgb="FF00CCFF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43" fontId="2" fillId="0" borderId="0" xfId="0" applyNumberFormat="1" applyFont="1"/>
    <xf numFmtId="0" fontId="2" fillId="0" borderId="2" xfId="0" applyFont="1" applyBorder="1"/>
    <xf numFmtId="43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0" fontId="4" fillId="0" borderId="14" xfId="0" quotePrefix="1" applyFont="1" applyBorder="1" applyAlignment="1">
      <alignment vertical="top" wrapText="1"/>
    </xf>
    <xf numFmtId="0" fontId="3" fillId="0" borderId="16" xfId="0" quotePrefix="1" applyFont="1" applyBorder="1"/>
    <xf numFmtId="0" fontId="4" fillId="6" borderId="20" xfId="0" applyFont="1" applyFill="1" applyBorder="1"/>
    <xf numFmtId="43" fontId="5" fillId="0" borderId="14" xfId="0" applyNumberFormat="1" applyFont="1" applyBorder="1"/>
    <xf numFmtId="43" fontId="5" fillId="0" borderId="14" xfId="0" applyNumberFormat="1" applyFont="1" applyBorder="1" applyAlignment="1">
      <alignment vertical="top"/>
    </xf>
    <xf numFmtId="0" fontId="3" fillId="0" borderId="16" xfId="0" quotePrefix="1" applyFont="1" applyBorder="1" applyAlignment="1">
      <alignment vertical="top" wrapText="1"/>
    </xf>
    <xf numFmtId="43" fontId="5" fillId="0" borderId="15" xfId="0" applyNumberFormat="1" applyFont="1" applyBorder="1" applyAlignment="1">
      <alignment horizontal="right" vertical="top" wrapText="1"/>
    </xf>
    <xf numFmtId="0" fontId="4" fillId="0" borderId="3" xfId="0" applyFont="1" applyBorder="1"/>
    <xf numFmtId="0" fontId="3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/>
    </xf>
    <xf numFmtId="0" fontId="6" fillId="0" borderId="0" xfId="0" applyFont="1"/>
    <xf numFmtId="43" fontId="4" fillId="3" borderId="3" xfId="0" applyNumberFormat="1" applyFont="1" applyFill="1" applyBorder="1" applyAlignment="1">
      <alignment horizontal="center"/>
    </xf>
    <xf numFmtId="43" fontId="4" fillId="3" borderId="3" xfId="0" applyNumberFormat="1" applyFont="1" applyFill="1" applyBorder="1" applyAlignment="1">
      <alignment horizontal="center" vertical="top" wrapText="1"/>
    </xf>
    <xf numFmtId="43" fontId="4" fillId="3" borderId="6" xfId="0" applyNumberFormat="1" applyFont="1" applyFill="1" applyBorder="1" applyAlignment="1">
      <alignment horizontal="center"/>
    </xf>
    <xf numFmtId="43" fontId="3" fillId="3" borderId="8" xfId="0" applyNumberFormat="1" applyFont="1" applyFill="1" applyBorder="1"/>
    <xf numFmtId="0" fontId="4" fillId="5" borderId="12" xfId="0" applyFont="1" applyFill="1" applyBorder="1" applyAlignment="1">
      <alignment horizontal="left" wrapText="1"/>
    </xf>
    <xf numFmtId="164" fontId="4" fillId="5" borderId="13" xfId="0" applyNumberFormat="1" applyFont="1" applyFill="1" applyBorder="1" applyAlignment="1">
      <alignment horizontal="right" wrapText="1"/>
    </xf>
    <xf numFmtId="43" fontId="3" fillId="5" borderId="14" xfId="0" applyNumberFormat="1" applyFont="1" applyFill="1" applyBorder="1"/>
    <xf numFmtId="43" fontId="4" fillId="0" borderId="15" xfId="0" applyNumberFormat="1" applyFont="1" applyBorder="1" applyAlignment="1">
      <alignment horizontal="right" vertical="top" wrapText="1"/>
    </xf>
    <xf numFmtId="43" fontId="3" fillId="0" borderId="14" xfId="0" applyNumberFormat="1" applyFont="1" applyBorder="1" applyAlignment="1">
      <alignment vertical="top"/>
    </xf>
    <xf numFmtId="43" fontId="3" fillId="0" borderId="14" xfId="0" applyNumberFormat="1" applyFont="1" applyBorder="1"/>
    <xf numFmtId="0" fontId="3" fillId="0" borderId="16" xfId="0" quotePrefix="1" applyFont="1" applyBorder="1" applyAlignment="1">
      <alignment wrapText="1"/>
    </xf>
    <xf numFmtId="43" fontId="4" fillId="0" borderId="15" xfId="0" applyNumberFormat="1" applyFont="1" applyBorder="1" applyAlignment="1">
      <alignment horizontal="right" wrapText="1"/>
    </xf>
    <xf numFmtId="0" fontId="4" fillId="0" borderId="16" xfId="0" quotePrefix="1" applyFont="1" applyBorder="1"/>
    <xf numFmtId="0" fontId="5" fillId="0" borderId="16" xfId="0" quotePrefix="1" applyFont="1" applyBorder="1" applyAlignment="1">
      <alignment horizontal="left" wrapText="1"/>
    </xf>
    <xf numFmtId="43" fontId="3" fillId="0" borderId="17" xfId="0" applyNumberFormat="1" applyFont="1" applyBorder="1"/>
    <xf numFmtId="0" fontId="8" fillId="0" borderId="16" xfId="0" quotePrefix="1" applyFont="1" applyBorder="1" applyAlignment="1">
      <alignment horizontal="left" wrapText="1"/>
    </xf>
    <xf numFmtId="43" fontId="3" fillId="0" borderId="17" xfId="0" applyNumberFormat="1" applyFont="1" applyBorder="1" applyAlignment="1">
      <alignment vertical="top"/>
    </xf>
    <xf numFmtId="43" fontId="9" fillId="0" borderId="17" xfId="0" applyNumberFormat="1" applyFont="1" applyBorder="1" applyAlignment="1">
      <alignment vertical="top" wrapText="1"/>
    </xf>
    <xf numFmtId="43" fontId="4" fillId="0" borderId="16" xfId="0" applyNumberFormat="1" applyFont="1" applyBorder="1" applyAlignment="1">
      <alignment horizontal="right" wrapText="1"/>
    </xf>
    <xf numFmtId="43" fontId="4" fillId="0" borderId="14" xfId="0" applyNumberFormat="1" applyFont="1" applyBorder="1"/>
    <xf numFmtId="0" fontId="4" fillId="0" borderId="18" xfId="0" quotePrefix="1" applyFont="1" applyBorder="1"/>
    <xf numFmtId="43" fontId="4" fillId="0" borderId="18" xfId="0" applyNumberFormat="1" applyFont="1" applyBorder="1" applyAlignment="1">
      <alignment horizontal="right" wrapText="1"/>
    </xf>
    <xf numFmtId="43" fontId="4" fillId="0" borderId="19" xfId="0" applyNumberFormat="1" applyFont="1" applyBorder="1"/>
    <xf numFmtId="0" fontId="3" fillId="6" borderId="3" xfId="0" applyFont="1" applyFill="1" applyBorder="1" applyAlignment="1">
      <alignment horizontal="right" wrapText="1"/>
    </xf>
    <xf numFmtId="43" fontId="4" fillId="6" borderId="3" xfId="0" applyNumberFormat="1" applyFont="1" applyFill="1" applyBorder="1"/>
    <xf numFmtId="0" fontId="4" fillId="3" borderId="5" xfId="0" applyFont="1" applyFill="1" applyBorder="1" applyAlignment="1">
      <alignment horizontal="center"/>
    </xf>
    <xf numFmtId="0" fontId="7" fillId="0" borderId="7" xfId="0" applyFont="1" applyBorder="1"/>
    <xf numFmtId="0" fontId="4" fillId="3" borderId="5" xfId="0" applyFont="1" applyFill="1" applyBorder="1" applyAlignment="1">
      <alignment horizontal="center" wrapText="1"/>
    </xf>
    <xf numFmtId="0" fontId="4" fillId="4" borderId="9" xfId="0" applyFont="1" applyFill="1" applyBorder="1" applyAlignment="1">
      <alignment horizontal="left"/>
    </xf>
    <xf numFmtId="0" fontId="7" fillId="0" borderId="10" xfId="0" applyFont="1" applyBorder="1"/>
    <xf numFmtId="0" fontId="7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E41" sqref="E41"/>
    </sheetView>
  </sheetViews>
  <sheetFormatPr defaultColWidth="14.42578125" defaultRowHeight="15" customHeight="1" x14ac:dyDescent="0.25"/>
  <cols>
    <col min="1" max="1" width="57.28515625" customWidth="1"/>
    <col min="2" max="2" width="15.7109375" customWidth="1"/>
    <col min="3" max="26" width="8.7109375" customWidth="1"/>
  </cols>
  <sheetData>
    <row r="1" spans="1:2" ht="13.5" customHeight="1" x14ac:dyDescent="0.25">
      <c r="A1" s="1" t="s">
        <v>0</v>
      </c>
      <c r="B1" s="1" t="s">
        <v>1</v>
      </c>
    </row>
    <row r="2" spans="1:2" ht="13.5" customHeight="1" x14ac:dyDescent="0.25">
      <c r="A2" s="2" t="str">
        <f>'Manday-Interface'!B2&amp;":"&amp;'Manday-Interface'!B1</f>
        <v>AJT:Sale Incentive System</v>
      </c>
      <c r="B2" s="3" t="e">
        <f>'Manday-Interface'!#REF!</f>
        <v>#REF!</v>
      </c>
    </row>
    <row r="3" spans="1:2" ht="13.5" customHeight="1" x14ac:dyDescent="0.25">
      <c r="A3" s="2"/>
      <c r="B3" s="2"/>
    </row>
    <row r="4" spans="1:2" ht="13.5" customHeight="1" x14ac:dyDescent="0.25">
      <c r="A4" s="4" t="s">
        <v>2</v>
      </c>
      <c r="B4" s="5" t="e">
        <f>B2</f>
        <v>#REF!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5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23" sqref="A23"/>
    </sheetView>
  </sheetViews>
  <sheetFormatPr defaultColWidth="14.42578125" defaultRowHeight="15" customHeight="1" x14ac:dyDescent="0.25"/>
  <cols>
    <col min="1" max="1" width="88.5703125" style="17" bestFit="1" customWidth="1"/>
    <col min="2" max="7" width="12.5703125" style="17" customWidth="1"/>
    <col min="8" max="8" width="15.7109375" style="17" bestFit="1" customWidth="1"/>
    <col min="9" max="9" width="12.5703125" style="17" customWidth="1"/>
    <col min="10" max="10" width="38.5703125" style="17" customWidth="1"/>
    <col min="11" max="12" width="6.140625" style="17" customWidth="1"/>
    <col min="13" max="26" width="9.28515625" style="17" customWidth="1"/>
    <col min="27" max="16384" width="14.42578125" style="17"/>
  </cols>
  <sheetData>
    <row r="1" spans="1:10" ht="13.5" customHeight="1" x14ac:dyDescent="0.25">
      <c r="A1" s="14" t="s">
        <v>3</v>
      </c>
      <c r="B1" s="15" t="s">
        <v>35</v>
      </c>
      <c r="C1" s="16"/>
      <c r="D1" s="16"/>
      <c r="E1" s="16"/>
      <c r="F1" s="16"/>
      <c r="G1" s="16"/>
      <c r="H1" s="16"/>
      <c r="I1" s="16"/>
      <c r="J1" s="16"/>
    </row>
    <row r="2" spans="1:10" ht="13.5" customHeight="1" x14ac:dyDescent="0.25">
      <c r="A2" s="16" t="s">
        <v>4</v>
      </c>
      <c r="B2" s="6" t="s">
        <v>36</v>
      </c>
      <c r="C2" s="16"/>
      <c r="D2" s="16"/>
      <c r="E2" s="16"/>
      <c r="F2" s="16"/>
      <c r="G2" s="16"/>
      <c r="H2" s="16"/>
      <c r="I2" s="16"/>
      <c r="J2" s="16"/>
    </row>
    <row r="3" spans="1:10" ht="13.5" customHeight="1" x14ac:dyDescent="0.25">
      <c r="A3" s="43" t="s">
        <v>5</v>
      </c>
      <c r="B3" s="45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9" t="s">
        <v>12</v>
      </c>
      <c r="I3" s="18" t="s">
        <v>13</v>
      </c>
      <c r="J3" s="20" t="s">
        <v>14</v>
      </c>
    </row>
    <row r="4" spans="1:10" ht="11.25" customHeight="1" x14ac:dyDescent="0.25">
      <c r="A4" s="44"/>
      <c r="B4" s="44"/>
      <c r="C4" s="18" t="s">
        <v>15</v>
      </c>
      <c r="D4" s="18" t="s">
        <v>15</v>
      </c>
      <c r="E4" s="18" t="s">
        <v>15</v>
      </c>
      <c r="F4" s="18" t="s">
        <v>15</v>
      </c>
      <c r="G4" s="18" t="s">
        <v>15</v>
      </c>
      <c r="H4" s="18" t="s">
        <v>15</v>
      </c>
      <c r="I4" s="18" t="s">
        <v>15</v>
      </c>
      <c r="J4" s="21"/>
    </row>
    <row r="5" spans="1:10" ht="13.5" customHeight="1" x14ac:dyDescent="0.25">
      <c r="A5" s="46" t="str">
        <f>B2&amp; "-"&amp;B1</f>
        <v>AJT-Sale Incentive System</v>
      </c>
      <c r="B5" s="47"/>
      <c r="C5" s="47"/>
      <c r="D5" s="47"/>
      <c r="E5" s="47"/>
      <c r="F5" s="47"/>
      <c r="G5" s="47"/>
      <c r="H5" s="47"/>
      <c r="I5" s="47"/>
      <c r="J5" s="48"/>
    </row>
    <row r="6" spans="1:10" ht="13.5" customHeight="1" x14ac:dyDescent="0.25">
      <c r="A6" s="22" t="s">
        <v>26</v>
      </c>
      <c r="B6" s="23">
        <f>SUM(C6:I6)</f>
        <v>0</v>
      </c>
      <c r="C6" s="24"/>
      <c r="D6" s="24"/>
      <c r="E6" s="24"/>
      <c r="F6" s="24"/>
      <c r="G6" s="24"/>
      <c r="H6" s="24"/>
      <c r="I6" s="24"/>
      <c r="J6" s="24"/>
    </row>
    <row r="7" spans="1:10" ht="13.5" customHeight="1" x14ac:dyDescent="0.25">
      <c r="A7" s="7" t="s">
        <v>24</v>
      </c>
      <c r="B7" s="25">
        <f t="shared" ref="B7:B12" si="0">SUM(C7:J7)</f>
        <v>0</v>
      </c>
      <c r="C7" s="26"/>
      <c r="D7" s="26"/>
      <c r="E7" s="26"/>
      <c r="F7" s="26"/>
      <c r="G7" s="26"/>
      <c r="H7" s="26"/>
      <c r="I7" s="26"/>
      <c r="J7" s="26"/>
    </row>
    <row r="8" spans="1:10" ht="13.5" customHeight="1" x14ac:dyDescent="0.25">
      <c r="A8" s="12" t="s">
        <v>31</v>
      </c>
      <c r="B8" s="25">
        <f t="shared" si="0"/>
        <v>3</v>
      </c>
      <c r="C8" s="26">
        <v>1</v>
      </c>
      <c r="D8" s="26">
        <v>1</v>
      </c>
      <c r="E8" s="26">
        <v>1</v>
      </c>
      <c r="F8" s="26"/>
      <c r="G8" s="26"/>
      <c r="H8" s="26">
        <v>0</v>
      </c>
      <c r="I8" s="26"/>
      <c r="J8" s="26"/>
    </row>
    <row r="9" spans="1:10" ht="13.5" customHeight="1" x14ac:dyDescent="0.25">
      <c r="A9" s="12" t="s">
        <v>32</v>
      </c>
      <c r="B9" s="25">
        <f t="shared" si="0"/>
        <v>3</v>
      </c>
      <c r="C9" s="26">
        <v>1</v>
      </c>
      <c r="D9" s="26">
        <v>1</v>
      </c>
      <c r="E9" s="26">
        <v>1</v>
      </c>
      <c r="F9" s="26"/>
      <c r="G9" s="26"/>
      <c r="H9" s="26">
        <v>0</v>
      </c>
      <c r="I9" s="26"/>
      <c r="J9" s="26"/>
    </row>
    <row r="10" spans="1:10" ht="13.5" customHeight="1" x14ac:dyDescent="0.25">
      <c r="A10" s="12" t="s">
        <v>33</v>
      </c>
      <c r="B10" s="25">
        <f t="shared" si="0"/>
        <v>3</v>
      </c>
      <c r="C10" s="26">
        <v>1</v>
      </c>
      <c r="D10" s="26">
        <v>1</v>
      </c>
      <c r="E10" s="26">
        <v>1</v>
      </c>
      <c r="F10" s="26"/>
      <c r="G10" s="26"/>
      <c r="H10" s="26">
        <v>0</v>
      </c>
      <c r="I10" s="26"/>
      <c r="J10" s="26"/>
    </row>
    <row r="11" spans="1:10" ht="13.5" customHeight="1" x14ac:dyDescent="0.25">
      <c r="A11" s="12" t="s">
        <v>34</v>
      </c>
      <c r="B11" s="25">
        <f t="shared" si="0"/>
        <v>4</v>
      </c>
      <c r="C11" s="26">
        <v>0</v>
      </c>
      <c r="D11" s="26">
        <v>2</v>
      </c>
      <c r="E11" s="26">
        <v>2</v>
      </c>
      <c r="F11" s="26"/>
      <c r="G11" s="26"/>
      <c r="H11" s="26">
        <v>0</v>
      </c>
      <c r="I11" s="26"/>
      <c r="J11" s="26"/>
    </row>
    <row r="12" spans="1:10" ht="13.5" customHeight="1" x14ac:dyDescent="0.25">
      <c r="A12" s="12" t="s">
        <v>25</v>
      </c>
      <c r="B12" s="25">
        <f t="shared" si="0"/>
        <v>1.5</v>
      </c>
      <c r="C12" s="26">
        <v>0.5</v>
      </c>
      <c r="D12" s="26">
        <v>0.5</v>
      </c>
      <c r="E12" s="26">
        <v>0.5</v>
      </c>
      <c r="F12" s="26"/>
      <c r="G12" s="26"/>
      <c r="H12" s="26">
        <v>0</v>
      </c>
      <c r="I12" s="26"/>
      <c r="J12" s="27"/>
    </row>
    <row r="13" spans="1:10" ht="13.5" customHeight="1" x14ac:dyDescent="0.25">
      <c r="A13" s="22" t="s">
        <v>16</v>
      </c>
      <c r="B13" s="23">
        <f>SUM(C13:I13)</f>
        <v>0</v>
      </c>
      <c r="C13" s="24"/>
      <c r="D13" s="24"/>
      <c r="E13" s="24"/>
      <c r="F13" s="24"/>
      <c r="G13" s="24"/>
      <c r="H13" s="24"/>
      <c r="I13" s="24"/>
      <c r="J13" s="24"/>
    </row>
    <row r="14" spans="1:10" ht="13.5" customHeight="1" x14ac:dyDescent="0.25">
      <c r="A14" s="28" t="s">
        <v>38</v>
      </c>
      <c r="B14" s="29">
        <f t="shared" ref="B14:B24" si="1">SUM(C14:J14)</f>
        <v>4.5</v>
      </c>
      <c r="C14" s="10">
        <v>0.5</v>
      </c>
      <c r="D14" s="10">
        <v>1</v>
      </c>
      <c r="E14" s="10">
        <v>2</v>
      </c>
      <c r="F14" s="10"/>
      <c r="G14" s="10"/>
      <c r="H14" s="10">
        <v>1</v>
      </c>
      <c r="I14" s="27"/>
      <c r="J14" s="27"/>
    </row>
    <row r="15" spans="1:10" ht="13.5" customHeight="1" x14ac:dyDescent="0.25">
      <c r="A15" s="28" t="s">
        <v>39</v>
      </c>
      <c r="B15" s="29">
        <f t="shared" si="1"/>
        <v>4.5</v>
      </c>
      <c r="C15" s="10">
        <v>0.5</v>
      </c>
      <c r="D15" s="10">
        <v>1</v>
      </c>
      <c r="E15" s="10">
        <v>2</v>
      </c>
      <c r="F15" s="10"/>
      <c r="G15" s="10"/>
      <c r="H15" s="10">
        <v>1</v>
      </c>
      <c r="I15" s="27"/>
      <c r="J15" s="27"/>
    </row>
    <row r="16" spans="1:10" ht="13.5" customHeight="1" x14ac:dyDescent="0.25">
      <c r="A16" s="28" t="s">
        <v>37</v>
      </c>
      <c r="B16" s="29">
        <f t="shared" si="1"/>
        <v>4.5</v>
      </c>
      <c r="C16" s="10">
        <v>0.5</v>
      </c>
      <c r="D16" s="10">
        <v>1</v>
      </c>
      <c r="E16" s="10">
        <v>2</v>
      </c>
      <c r="F16" s="10"/>
      <c r="G16" s="10"/>
      <c r="H16" s="10">
        <v>1</v>
      </c>
      <c r="I16" s="27"/>
      <c r="J16" s="27"/>
    </row>
    <row r="17" spans="1:10" ht="13.5" customHeight="1" x14ac:dyDescent="0.25">
      <c r="A17" s="28" t="s">
        <v>40</v>
      </c>
      <c r="B17" s="29">
        <f t="shared" si="1"/>
        <v>1.5</v>
      </c>
      <c r="C17" s="10">
        <v>0.5</v>
      </c>
      <c r="D17" s="10">
        <v>1</v>
      </c>
      <c r="E17" s="10">
        <v>0</v>
      </c>
      <c r="F17" s="10"/>
      <c r="G17" s="10"/>
      <c r="H17" s="10">
        <v>0</v>
      </c>
      <c r="I17" s="27"/>
      <c r="J17" s="27"/>
    </row>
    <row r="18" spans="1:10" ht="13.5" customHeight="1" x14ac:dyDescent="0.25">
      <c r="A18" s="28" t="s">
        <v>41</v>
      </c>
      <c r="B18" s="29">
        <f t="shared" si="1"/>
        <v>2.5</v>
      </c>
      <c r="C18" s="10">
        <v>0.5</v>
      </c>
      <c r="D18" s="10">
        <v>2</v>
      </c>
      <c r="E18" s="10">
        <v>0</v>
      </c>
      <c r="F18" s="10"/>
      <c r="G18" s="10"/>
      <c r="H18" s="10">
        <v>0</v>
      </c>
      <c r="I18" s="27"/>
      <c r="J18" s="27"/>
    </row>
    <row r="19" spans="1:10" ht="13.5" customHeight="1" x14ac:dyDescent="0.25">
      <c r="A19" s="28" t="s">
        <v>42</v>
      </c>
      <c r="B19" s="29">
        <f t="shared" si="1"/>
        <v>3.5</v>
      </c>
      <c r="C19" s="10">
        <v>0.5</v>
      </c>
      <c r="D19" s="10">
        <v>3</v>
      </c>
      <c r="E19" s="10">
        <v>0</v>
      </c>
      <c r="F19" s="10"/>
      <c r="G19" s="10"/>
      <c r="H19" s="10">
        <v>0</v>
      </c>
      <c r="I19" s="27"/>
      <c r="J19" s="27"/>
    </row>
    <row r="20" spans="1:10" ht="13.5" customHeight="1" x14ac:dyDescent="0.25">
      <c r="A20" s="28" t="s">
        <v>43</v>
      </c>
      <c r="B20" s="29">
        <f t="shared" si="1"/>
        <v>2</v>
      </c>
      <c r="C20" s="10">
        <v>0</v>
      </c>
      <c r="D20" s="10">
        <v>2</v>
      </c>
      <c r="E20" s="10">
        <v>0</v>
      </c>
      <c r="F20" s="10"/>
      <c r="G20" s="10"/>
      <c r="H20" s="10">
        <v>0</v>
      </c>
      <c r="I20" s="27"/>
      <c r="J20" s="27"/>
    </row>
    <row r="21" spans="1:10" ht="13.5" customHeight="1" x14ac:dyDescent="0.25">
      <c r="A21" s="28" t="s">
        <v>44</v>
      </c>
      <c r="B21" s="29">
        <f t="shared" si="1"/>
        <v>3</v>
      </c>
      <c r="C21" s="10">
        <v>0</v>
      </c>
      <c r="D21" s="10">
        <v>1</v>
      </c>
      <c r="E21" s="10">
        <v>2</v>
      </c>
      <c r="F21" s="10"/>
      <c r="G21" s="10"/>
      <c r="H21" s="10">
        <v>0</v>
      </c>
      <c r="I21" s="27"/>
      <c r="J21" s="27"/>
    </row>
    <row r="22" spans="1:10" ht="13.5" customHeight="1" x14ac:dyDescent="0.25">
      <c r="A22" s="28" t="s">
        <v>45</v>
      </c>
      <c r="B22" s="29">
        <f t="shared" si="1"/>
        <v>10.5</v>
      </c>
      <c r="C22" s="10">
        <v>0.5</v>
      </c>
      <c r="D22" s="10">
        <v>2</v>
      </c>
      <c r="E22" s="10">
        <v>4</v>
      </c>
      <c r="F22" s="10"/>
      <c r="G22" s="10"/>
      <c r="H22" s="10">
        <v>4</v>
      </c>
      <c r="I22" s="27"/>
      <c r="J22" s="27"/>
    </row>
    <row r="23" spans="1:10" ht="13.5" customHeight="1" x14ac:dyDescent="0.25">
      <c r="A23" s="28" t="s">
        <v>75</v>
      </c>
      <c r="B23" s="29">
        <f t="shared" si="1"/>
        <v>4</v>
      </c>
      <c r="C23" s="10"/>
      <c r="D23" s="10">
        <v>4</v>
      </c>
      <c r="E23" s="10">
        <v>0</v>
      </c>
      <c r="F23" s="10"/>
      <c r="G23" s="10"/>
      <c r="H23" s="10">
        <v>0</v>
      </c>
      <c r="I23" s="27"/>
      <c r="J23" s="27"/>
    </row>
    <row r="24" spans="1:10" ht="13.5" customHeight="1" x14ac:dyDescent="0.25">
      <c r="A24" s="30" t="s">
        <v>17</v>
      </c>
      <c r="B24" s="29">
        <f t="shared" si="1"/>
        <v>0</v>
      </c>
      <c r="C24" s="10"/>
      <c r="D24" s="10"/>
      <c r="E24" s="10"/>
      <c r="F24" s="10"/>
      <c r="G24" s="10"/>
      <c r="H24" s="10"/>
      <c r="I24" s="27"/>
      <c r="J24" s="27"/>
    </row>
    <row r="25" spans="1:10" ht="13.5" customHeight="1" x14ac:dyDescent="0.25">
      <c r="A25" s="22" t="s">
        <v>18</v>
      </c>
      <c r="B25" s="23">
        <f>SUM(C25:I25)</f>
        <v>0</v>
      </c>
      <c r="C25" s="24"/>
      <c r="D25" s="24"/>
      <c r="E25" s="24"/>
      <c r="F25" s="24"/>
      <c r="G25" s="24"/>
      <c r="H25" s="24"/>
      <c r="I25" s="24"/>
      <c r="J25" s="24"/>
    </row>
    <row r="26" spans="1:10" ht="13.5" customHeight="1" x14ac:dyDescent="0.25">
      <c r="A26" s="31" t="s">
        <v>46</v>
      </c>
      <c r="B26" s="13">
        <f t="shared" ref="B26:B51" si="2">SUM(C26:J26)</f>
        <v>5.5</v>
      </c>
      <c r="C26" s="11"/>
      <c r="D26" s="11">
        <v>0.5</v>
      </c>
      <c r="E26" s="11">
        <v>0</v>
      </c>
      <c r="F26" s="11">
        <v>5</v>
      </c>
      <c r="G26" s="11"/>
      <c r="H26" s="11">
        <v>0</v>
      </c>
      <c r="I26" s="26"/>
      <c r="J26" s="32"/>
    </row>
    <row r="27" spans="1:10" ht="13.5" customHeight="1" x14ac:dyDescent="0.25">
      <c r="A27" s="31" t="s">
        <v>49</v>
      </c>
      <c r="B27" s="13">
        <f t="shared" si="2"/>
        <v>7</v>
      </c>
      <c r="C27" s="11"/>
      <c r="D27" s="11">
        <v>1.5</v>
      </c>
      <c r="E27" s="11">
        <v>0.5</v>
      </c>
      <c r="F27" s="11">
        <v>5</v>
      </c>
      <c r="G27" s="11"/>
      <c r="H27" s="11">
        <v>0</v>
      </c>
      <c r="I27" s="26"/>
      <c r="J27" s="26"/>
    </row>
    <row r="28" spans="1:10" ht="13.5" customHeight="1" x14ac:dyDescent="0.25">
      <c r="A28" s="31" t="s">
        <v>48</v>
      </c>
      <c r="B28" s="13">
        <f t="shared" si="2"/>
        <v>7</v>
      </c>
      <c r="C28" s="11"/>
      <c r="D28" s="11">
        <v>0.5</v>
      </c>
      <c r="E28" s="11">
        <v>1.5</v>
      </c>
      <c r="F28" s="11">
        <v>5</v>
      </c>
      <c r="G28" s="11"/>
      <c r="H28" s="11">
        <v>0</v>
      </c>
      <c r="I28" s="26"/>
      <c r="J28" s="26"/>
    </row>
    <row r="29" spans="1:10" ht="13.5" customHeight="1" x14ac:dyDescent="0.25">
      <c r="A29" s="31" t="s">
        <v>70</v>
      </c>
      <c r="B29" s="13">
        <f t="shared" si="2"/>
        <v>20</v>
      </c>
      <c r="C29" s="11"/>
      <c r="D29" s="11">
        <v>3</v>
      </c>
      <c r="E29" s="11">
        <v>2</v>
      </c>
      <c r="F29" s="11">
        <v>15</v>
      </c>
      <c r="G29" s="11"/>
      <c r="H29" s="11">
        <v>0</v>
      </c>
      <c r="I29" s="26"/>
      <c r="J29" s="26"/>
    </row>
    <row r="30" spans="1:10" x14ac:dyDescent="0.25">
      <c r="A30" s="31" t="s">
        <v>58</v>
      </c>
      <c r="B30" s="13">
        <f t="shared" si="2"/>
        <v>9.5</v>
      </c>
      <c r="C30" s="11"/>
      <c r="D30" s="11">
        <v>1.5</v>
      </c>
      <c r="E30" s="11">
        <v>0</v>
      </c>
      <c r="F30" s="11">
        <v>8</v>
      </c>
      <c r="G30" s="11"/>
      <c r="H30" s="11">
        <v>0</v>
      </c>
      <c r="I30" s="26"/>
      <c r="J30" s="26"/>
    </row>
    <row r="31" spans="1:10" x14ac:dyDescent="0.25">
      <c r="A31" s="33" t="s">
        <v>59</v>
      </c>
      <c r="B31" s="13">
        <f t="shared" si="2"/>
        <v>0</v>
      </c>
      <c r="C31" s="11"/>
      <c r="D31" s="11"/>
      <c r="E31" s="11"/>
      <c r="F31" s="11"/>
      <c r="G31" s="11"/>
      <c r="H31" s="11"/>
      <c r="I31" s="26"/>
      <c r="J31" s="26"/>
    </row>
    <row r="32" spans="1:10" x14ac:dyDescent="0.25">
      <c r="A32" s="31" t="s">
        <v>63</v>
      </c>
      <c r="B32" s="13">
        <f t="shared" si="2"/>
        <v>10</v>
      </c>
      <c r="C32" s="11"/>
      <c r="D32" s="11">
        <v>1.5</v>
      </c>
      <c r="E32" s="11">
        <v>0.5</v>
      </c>
      <c r="F32" s="11">
        <v>8</v>
      </c>
      <c r="G32" s="11"/>
      <c r="H32" s="11">
        <v>0</v>
      </c>
      <c r="I32" s="26"/>
      <c r="J32" s="26"/>
    </row>
    <row r="33" spans="1:10" x14ac:dyDescent="0.25">
      <c r="A33" s="31" t="s">
        <v>64</v>
      </c>
      <c r="B33" s="13">
        <f t="shared" si="2"/>
        <v>19.5</v>
      </c>
      <c r="C33" s="11"/>
      <c r="D33" s="11">
        <v>2.5</v>
      </c>
      <c r="E33" s="11">
        <v>2</v>
      </c>
      <c r="F33" s="11">
        <v>15</v>
      </c>
      <c r="G33" s="11"/>
      <c r="H33" s="11">
        <v>0</v>
      </c>
      <c r="I33" s="26"/>
      <c r="J33" s="26"/>
    </row>
    <row r="34" spans="1:10" x14ac:dyDescent="0.25">
      <c r="A34" s="31" t="s">
        <v>65</v>
      </c>
      <c r="B34" s="13">
        <f t="shared" si="2"/>
        <v>10.5</v>
      </c>
      <c r="C34" s="11"/>
      <c r="D34" s="11">
        <v>1.5</v>
      </c>
      <c r="E34" s="11">
        <v>1</v>
      </c>
      <c r="F34" s="11">
        <v>8</v>
      </c>
      <c r="G34" s="11"/>
      <c r="H34" s="11">
        <v>0</v>
      </c>
      <c r="I34" s="26"/>
      <c r="J34" s="26"/>
    </row>
    <row r="35" spans="1:10" ht="13.5" customHeight="1" x14ac:dyDescent="0.25">
      <c r="A35" s="31" t="s">
        <v>66</v>
      </c>
      <c r="B35" s="13">
        <f t="shared" si="2"/>
        <v>10.5</v>
      </c>
      <c r="C35" s="11"/>
      <c r="D35" s="11">
        <v>1.5</v>
      </c>
      <c r="E35" s="11">
        <v>1</v>
      </c>
      <c r="F35" s="11">
        <v>8</v>
      </c>
      <c r="G35" s="11"/>
      <c r="H35" s="11">
        <v>0</v>
      </c>
      <c r="I35" s="26"/>
      <c r="J35" s="26"/>
    </row>
    <row r="36" spans="1:10" ht="13.5" customHeight="1" x14ac:dyDescent="0.25">
      <c r="A36" s="31" t="s">
        <v>67</v>
      </c>
      <c r="B36" s="13">
        <f t="shared" si="2"/>
        <v>10.5</v>
      </c>
      <c r="C36" s="11"/>
      <c r="D36" s="11">
        <v>1.5</v>
      </c>
      <c r="E36" s="11">
        <v>1</v>
      </c>
      <c r="F36" s="11">
        <v>8</v>
      </c>
      <c r="G36" s="11"/>
      <c r="H36" s="11">
        <v>0</v>
      </c>
      <c r="I36" s="26"/>
      <c r="J36" s="26"/>
    </row>
    <row r="37" spans="1:10" ht="13.5" customHeight="1" x14ac:dyDescent="0.25">
      <c r="A37" s="31" t="s">
        <v>68</v>
      </c>
      <c r="B37" s="13">
        <f t="shared" si="2"/>
        <v>6</v>
      </c>
      <c r="C37" s="11"/>
      <c r="D37" s="11">
        <v>1</v>
      </c>
      <c r="E37" s="11">
        <v>1</v>
      </c>
      <c r="F37" s="11">
        <v>4</v>
      </c>
      <c r="G37" s="11"/>
      <c r="H37" s="11">
        <v>0</v>
      </c>
      <c r="I37" s="26"/>
      <c r="J37" s="26"/>
    </row>
    <row r="38" spans="1:10" ht="13.5" customHeight="1" x14ac:dyDescent="0.25">
      <c r="A38" s="31" t="s">
        <v>69</v>
      </c>
      <c r="B38" s="13">
        <f t="shared" si="2"/>
        <v>11.5</v>
      </c>
      <c r="C38" s="11"/>
      <c r="D38" s="11">
        <v>1.5</v>
      </c>
      <c r="E38" s="11">
        <v>2</v>
      </c>
      <c r="F38" s="11">
        <v>8</v>
      </c>
      <c r="G38" s="11"/>
      <c r="H38" s="11">
        <v>0</v>
      </c>
      <c r="I38" s="26"/>
      <c r="J38" s="26"/>
    </row>
    <row r="39" spans="1:10" ht="13.5" customHeight="1" x14ac:dyDescent="0.25">
      <c r="A39" s="31" t="s">
        <v>47</v>
      </c>
      <c r="B39" s="13">
        <f t="shared" si="2"/>
        <v>7.5</v>
      </c>
      <c r="C39" s="11"/>
      <c r="D39" s="11">
        <v>1.5</v>
      </c>
      <c r="E39" s="11">
        <v>1</v>
      </c>
      <c r="F39" s="11">
        <v>5</v>
      </c>
      <c r="G39" s="11"/>
      <c r="H39" s="11">
        <v>0</v>
      </c>
      <c r="I39" s="26"/>
      <c r="J39" s="26"/>
    </row>
    <row r="40" spans="1:10" ht="13.5" customHeight="1" x14ac:dyDescent="0.25">
      <c r="A40" s="31" t="s">
        <v>52</v>
      </c>
      <c r="B40" s="13">
        <f t="shared" si="2"/>
        <v>7</v>
      </c>
      <c r="C40" s="11"/>
      <c r="D40" s="11">
        <v>1</v>
      </c>
      <c r="E40" s="11">
        <v>1</v>
      </c>
      <c r="F40" s="11">
        <v>5</v>
      </c>
      <c r="G40" s="11"/>
      <c r="H40" s="11">
        <v>0</v>
      </c>
      <c r="I40" s="26"/>
      <c r="J40" s="26"/>
    </row>
    <row r="41" spans="1:10" ht="13.5" customHeight="1" x14ac:dyDescent="0.25">
      <c r="A41" s="31" t="s">
        <v>77</v>
      </c>
      <c r="B41" s="13">
        <f t="shared" si="2"/>
        <v>5</v>
      </c>
      <c r="C41" s="11"/>
      <c r="D41" s="11">
        <v>1</v>
      </c>
      <c r="E41" s="11">
        <v>0</v>
      </c>
      <c r="F41" s="11">
        <v>4</v>
      </c>
      <c r="G41" s="11"/>
      <c r="H41" s="11">
        <v>0</v>
      </c>
      <c r="I41" s="26"/>
      <c r="J41" s="26"/>
    </row>
    <row r="42" spans="1:10" ht="13.5" customHeight="1" x14ac:dyDescent="0.25">
      <c r="A42" s="33" t="s">
        <v>60</v>
      </c>
      <c r="B42" s="13">
        <f t="shared" si="2"/>
        <v>0</v>
      </c>
      <c r="C42" s="11"/>
      <c r="D42" s="11"/>
      <c r="E42" s="11"/>
      <c r="F42" s="11"/>
      <c r="G42" s="11"/>
      <c r="H42" s="11"/>
      <c r="I42" s="26"/>
      <c r="J42" s="26"/>
    </row>
    <row r="43" spans="1:10" ht="13.5" customHeight="1" x14ac:dyDescent="0.25">
      <c r="A43" s="31" t="s">
        <v>50</v>
      </c>
      <c r="B43" s="13">
        <f t="shared" si="2"/>
        <v>6</v>
      </c>
      <c r="C43" s="11"/>
      <c r="D43" s="11">
        <v>2</v>
      </c>
      <c r="E43" s="11">
        <v>0</v>
      </c>
      <c r="F43" s="11">
        <v>4</v>
      </c>
      <c r="G43" s="11"/>
      <c r="H43" s="11">
        <v>0</v>
      </c>
      <c r="I43" s="26"/>
      <c r="J43" s="26"/>
    </row>
    <row r="44" spans="1:10" ht="13.5" customHeight="1" x14ac:dyDescent="0.25">
      <c r="A44" s="31" t="s">
        <v>51</v>
      </c>
      <c r="B44" s="13">
        <f t="shared" si="2"/>
        <v>6</v>
      </c>
      <c r="C44" s="11"/>
      <c r="D44" s="11">
        <v>2</v>
      </c>
      <c r="E44" s="11">
        <v>0</v>
      </c>
      <c r="F44" s="11">
        <v>4</v>
      </c>
      <c r="G44" s="11"/>
      <c r="H44" s="11">
        <v>0</v>
      </c>
      <c r="I44" s="26"/>
      <c r="J44" s="26"/>
    </row>
    <row r="45" spans="1:10" ht="13.5" customHeight="1" x14ac:dyDescent="0.25">
      <c r="A45" s="33" t="s">
        <v>61</v>
      </c>
      <c r="B45" s="13">
        <f t="shared" si="2"/>
        <v>0</v>
      </c>
      <c r="C45" s="11"/>
      <c r="D45" s="11"/>
      <c r="E45" s="11"/>
      <c r="F45" s="11"/>
      <c r="G45" s="11"/>
      <c r="H45" s="11"/>
      <c r="I45" s="26"/>
      <c r="J45" s="26"/>
    </row>
    <row r="46" spans="1:10" ht="13.5" customHeight="1" x14ac:dyDescent="0.25">
      <c r="A46" s="31" t="s">
        <v>56</v>
      </c>
      <c r="B46" s="13">
        <f t="shared" si="2"/>
        <v>8</v>
      </c>
      <c r="C46" s="11"/>
      <c r="D46" s="11">
        <v>1</v>
      </c>
      <c r="E46" s="11">
        <v>2</v>
      </c>
      <c r="F46" s="11">
        <v>5</v>
      </c>
      <c r="G46" s="11"/>
      <c r="H46" s="11">
        <v>0</v>
      </c>
      <c r="I46" s="26"/>
      <c r="J46" s="26"/>
    </row>
    <row r="47" spans="1:10" ht="13.5" customHeight="1" x14ac:dyDescent="0.25">
      <c r="A47" s="31" t="s">
        <v>57</v>
      </c>
      <c r="B47" s="13">
        <f t="shared" si="2"/>
        <v>8</v>
      </c>
      <c r="C47" s="11"/>
      <c r="D47" s="11">
        <v>1</v>
      </c>
      <c r="E47" s="11">
        <v>2</v>
      </c>
      <c r="F47" s="11">
        <v>5</v>
      </c>
      <c r="G47" s="11"/>
      <c r="H47" s="11">
        <v>0</v>
      </c>
      <c r="I47" s="26"/>
      <c r="J47" s="26"/>
    </row>
    <row r="48" spans="1:10" ht="13.5" customHeight="1" x14ac:dyDescent="0.25">
      <c r="A48" s="33" t="s">
        <v>62</v>
      </c>
      <c r="B48" s="13">
        <f t="shared" si="2"/>
        <v>0</v>
      </c>
      <c r="C48" s="11"/>
      <c r="D48" s="11"/>
      <c r="E48" s="11"/>
      <c r="F48" s="11"/>
      <c r="G48" s="11"/>
      <c r="H48" s="11"/>
      <c r="I48" s="26"/>
      <c r="J48" s="34"/>
    </row>
    <row r="49" spans="1:10" ht="13.5" customHeight="1" x14ac:dyDescent="0.25">
      <c r="A49" s="31" t="s">
        <v>54</v>
      </c>
      <c r="B49" s="13">
        <f t="shared" si="2"/>
        <v>6</v>
      </c>
      <c r="C49" s="11"/>
      <c r="D49" s="11">
        <v>0</v>
      </c>
      <c r="E49" s="11">
        <v>0</v>
      </c>
      <c r="F49" s="11">
        <v>3</v>
      </c>
      <c r="G49" s="11"/>
      <c r="H49" s="11">
        <v>3</v>
      </c>
      <c r="I49" s="26"/>
      <c r="J49" s="34"/>
    </row>
    <row r="50" spans="1:10" ht="13.5" customHeight="1" x14ac:dyDescent="0.25">
      <c r="A50" s="31" t="s">
        <v>53</v>
      </c>
      <c r="B50" s="13">
        <f t="shared" si="2"/>
        <v>10</v>
      </c>
      <c r="C50" s="11"/>
      <c r="D50" s="11">
        <v>0</v>
      </c>
      <c r="E50" s="11">
        <v>0</v>
      </c>
      <c r="F50" s="11">
        <v>5</v>
      </c>
      <c r="G50" s="11"/>
      <c r="H50" s="11">
        <v>5</v>
      </c>
      <c r="I50" s="26"/>
      <c r="J50" s="35"/>
    </row>
    <row r="51" spans="1:10" ht="13.5" customHeight="1" x14ac:dyDescent="0.25">
      <c r="A51" s="31" t="s">
        <v>55</v>
      </c>
      <c r="B51" s="13">
        <f t="shared" si="2"/>
        <v>6</v>
      </c>
      <c r="C51" s="11"/>
      <c r="D51" s="11">
        <v>0</v>
      </c>
      <c r="E51" s="11">
        <v>0</v>
      </c>
      <c r="F51" s="11">
        <v>3</v>
      </c>
      <c r="G51" s="11"/>
      <c r="H51" s="11">
        <v>3</v>
      </c>
      <c r="I51" s="26"/>
      <c r="J51" s="35"/>
    </row>
    <row r="52" spans="1:10" ht="13.5" customHeight="1" x14ac:dyDescent="0.25">
      <c r="A52" s="22" t="s">
        <v>19</v>
      </c>
      <c r="B52" s="23">
        <f>SUM(C52:I52)</f>
        <v>0</v>
      </c>
      <c r="C52" s="24"/>
      <c r="D52" s="24"/>
      <c r="E52" s="24"/>
      <c r="F52" s="24"/>
      <c r="G52" s="24"/>
      <c r="H52" s="24"/>
      <c r="I52" s="24"/>
      <c r="J52" s="24"/>
    </row>
    <row r="53" spans="1:10" ht="13.5" customHeight="1" x14ac:dyDescent="0.25">
      <c r="A53" s="28" t="s">
        <v>71</v>
      </c>
      <c r="B53" s="29">
        <f t="shared" ref="B53:B58" si="3">SUM(C53:J53)</f>
        <v>7</v>
      </c>
      <c r="C53" s="27">
        <v>1</v>
      </c>
      <c r="D53" s="27">
        <v>2</v>
      </c>
      <c r="E53" s="27">
        <v>1</v>
      </c>
      <c r="F53" s="27">
        <v>2</v>
      </c>
      <c r="G53" s="27"/>
      <c r="H53" s="27">
        <v>1</v>
      </c>
      <c r="I53" s="27"/>
      <c r="J53" s="27"/>
    </row>
    <row r="54" spans="1:10" ht="13.5" customHeight="1" x14ac:dyDescent="0.25">
      <c r="A54" s="28" t="s">
        <v>72</v>
      </c>
      <c r="B54" s="29">
        <f t="shared" si="3"/>
        <v>10.5</v>
      </c>
      <c r="C54" s="27">
        <v>0.5</v>
      </c>
      <c r="D54" s="27">
        <v>2</v>
      </c>
      <c r="E54" s="27">
        <v>2</v>
      </c>
      <c r="F54" s="27">
        <v>4</v>
      </c>
      <c r="G54" s="27"/>
      <c r="H54" s="27">
        <v>2</v>
      </c>
      <c r="I54" s="27"/>
      <c r="J54" s="27"/>
    </row>
    <row r="55" spans="1:10" ht="13.5" customHeight="1" x14ac:dyDescent="0.25">
      <c r="A55" s="28" t="s">
        <v>73</v>
      </c>
      <c r="B55" s="29">
        <f t="shared" ref="B55" si="4">SUM(C55:J55)</f>
        <v>14.5</v>
      </c>
      <c r="C55" s="27">
        <v>0.5</v>
      </c>
      <c r="D55" s="27">
        <v>2</v>
      </c>
      <c r="E55" s="27">
        <v>3</v>
      </c>
      <c r="F55" s="27">
        <v>6</v>
      </c>
      <c r="G55" s="27"/>
      <c r="H55" s="27">
        <v>3</v>
      </c>
      <c r="I55" s="27"/>
      <c r="J55" s="27"/>
    </row>
    <row r="56" spans="1:10" ht="13.5" customHeight="1" x14ac:dyDescent="0.25">
      <c r="A56" s="28" t="s">
        <v>76</v>
      </c>
      <c r="B56" s="29">
        <f t="shared" si="3"/>
        <v>21</v>
      </c>
      <c r="C56" s="27">
        <v>1</v>
      </c>
      <c r="D56" s="27">
        <v>4</v>
      </c>
      <c r="E56" s="27">
        <v>4</v>
      </c>
      <c r="F56" s="27">
        <v>8</v>
      </c>
      <c r="G56" s="27"/>
      <c r="H56" s="27">
        <v>4</v>
      </c>
      <c r="I56" s="27"/>
      <c r="J56" s="27"/>
    </row>
    <row r="57" spans="1:10" ht="13.5" customHeight="1" x14ac:dyDescent="0.25">
      <c r="A57" s="28" t="s">
        <v>74</v>
      </c>
      <c r="B57" s="29">
        <f t="shared" si="3"/>
        <v>11</v>
      </c>
      <c r="C57" s="27">
        <v>1</v>
      </c>
      <c r="D57" s="27">
        <v>2</v>
      </c>
      <c r="E57" s="27">
        <v>2</v>
      </c>
      <c r="F57" s="27">
        <v>4</v>
      </c>
      <c r="G57" s="27"/>
      <c r="H57" s="27">
        <v>2</v>
      </c>
      <c r="I57" s="27"/>
      <c r="J57" s="27"/>
    </row>
    <row r="58" spans="1:10" ht="13.5" customHeight="1" x14ac:dyDescent="0.25">
      <c r="A58" s="30" t="s">
        <v>20</v>
      </c>
      <c r="B58" s="29">
        <f t="shared" si="3"/>
        <v>0</v>
      </c>
      <c r="C58" s="27"/>
      <c r="D58" s="27"/>
      <c r="E58" s="27"/>
      <c r="F58" s="27"/>
      <c r="G58" s="27"/>
      <c r="H58" s="27"/>
      <c r="I58" s="27"/>
      <c r="J58" s="27"/>
    </row>
    <row r="59" spans="1:10" ht="13.5" customHeight="1" x14ac:dyDescent="0.25">
      <c r="A59" s="22" t="s">
        <v>21</v>
      </c>
      <c r="B59" s="23">
        <f>SUM(C59:I59)</f>
        <v>0</v>
      </c>
      <c r="C59" s="24"/>
      <c r="D59" s="24"/>
      <c r="E59" s="24"/>
      <c r="F59" s="24"/>
      <c r="G59" s="24"/>
      <c r="H59" s="24"/>
      <c r="I59" s="24"/>
      <c r="J59" s="24"/>
    </row>
    <row r="60" spans="1:10" ht="13.5" customHeight="1" x14ac:dyDescent="0.25">
      <c r="A60" s="8" t="s">
        <v>27</v>
      </c>
      <c r="B60" s="36">
        <f t="shared" ref="B60:B64" si="5">SUM(C60:J60)</f>
        <v>12</v>
      </c>
      <c r="C60" s="27">
        <v>2</v>
      </c>
      <c r="D60" s="27">
        <v>2</v>
      </c>
      <c r="E60" s="27">
        <v>2</v>
      </c>
      <c r="F60" s="27">
        <v>4</v>
      </c>
      <c r="G60" s="27"/>
      <c r="H60" s="27">
        <v>2</v>
      </c>
      <c r="I60" s="27"/>
      <c r="J60" s="37"/>
    </row>
    <row r="61" spans="1:10" ht="13.5" customHeight="1" x14ac:dyDescent="0.25">
      <c r="A61" s="8" t="s">
        <v>28</v>
      </c>
      <c r="B61" s="36">
        <f t="shared" si="5"/>
        <v>5</v>
      </c>
      <c r="C61" s="27">
        <v>1</v>
      </c>
      <c r="D61" s="27">
        <v>1</v>
      </c>
      <c r="E61" s="27">
        <v>1</v>
      </c>
      <c r="F61" s="27">
        <v>1</v>
      </c>
      <c r="G61" s="27"/>
      <c r="H61" s="27">
        <v>1</v>
      </c>
      <c r="I61" s="27"/>
      <c r="J61" s="37"/>
    </row>
    <row r="62" spans="1:10" ht="13.5" customHeight="1" x14ac:dyDescent="0.25">
      <c r="A62" s="8" t="s">
        <v>29</v>
      </c>
      <c r="B62" s="36">
        <f t="shared" si="5"/>
        <v>7</v>
      </c>
      <c r="C62" s="27">
        <v>1</v>
      </c>
      <c r="D62" s="27">
        <v>2</v>
      </c>
      <c r="E62" s="27">
        <v>1</v>
      </c>
      <c r="F62" s="27">
        <v>2</v>
      </c>
      <c r="G62" s="27"/>
      <c r="H62" s="27">
        <v>1</v>
      </c>
      <c r="I62" s="27"/>
      <c r="J62" s="37"/>
    </row>
    <row r="63" spans="1:10" ht="13.5" customHeight="1" x14ac:dyDescent="0.25">
      <c r="A63" s="8" t="s">
        <v>30</v>
      </c>
      <c r="B63" s="36">
        <f t="shared" si="5"/>
        <v>20</v>
      </c>
      <c r="C63" s="27">
        <v>0</v>
      </c>
      <c r="D63" s="27">
        <v>5</v>
      </c>
      <c r="E63" s="27">
        <v>5</v>
      </c>
      <c r="F63" s="27">
        <v>5</v>
      </c>
      <c r="G63" s="27"/>
      <c r="H63" s="27">
        <v>5</v>
      </c>
      <c r="I63" s="27"/>
      <c r="J63" s="37"/>
    </row>
    <row r="64" spans="1:10" ht="13.5" customHeight="1" x14ac:dyDescent="0.25">
      <c r="A64" s="38" t="s">
        <v>22</v>
      </c>
      <c r="B64" s="39">
        <f t="shared" si="5"/>
        <v>0</v>
      </c>
      <c r="C64" s="40"/>
      <c r="D64" s="40"/>
      <c r="E64" s="40"/>
      <c r="F64" s="40"/>
      <c r="G64" s="40"/>
      <c r="H64" s="40"/>
      <c r="I64" s="40"/>
      <c r="J64" s="40"/>
    </row>
    <row r="65" spans="1:10" ht="13.5" customHeight="1" x14ac:dyDescent="0.25">
      <c r="A65" s="9" t="s">
        <v>23</v>
      </c>
      <c r="B65" s="41"/>
      <c r="C65" s="42">
        <f>SUM(C6:C64)</f>
        <v>15</v>
      </c>
      <c r="D65" s="42">
        <f t="shared" ref="D65:I65" si="6">SUM(D6:D64)</f>
        <v>73</v>
      </c>
      <c r="E65" s="42">
        <f t="shared" si="6"/>
        <v>57</v>
      </c>
      <c r="F65" s="42">
        <f t="shared" si="6"/>
        <v>176</v>
      </c>
      <c r="G65" s="42">
        <f t="shared" si="6"/>
        <v>0</v>
      </c>
      <c r="H65" s="42">
        <f t="shared" si="6"/>
        <v>39</v>
      </c>
      <c r="I65" s="42">
        <f t="shared" si="6"/>
        <v>0</v>
      </c>
      <c r="J65" s="42"/>
    </row>
  </sheetData>
  <mergeCells count="3">
    <mergeCell ref="A3:A4"/>
    <mergeCell ref="B3:B4"/>
    <mergeCell ref="A5:J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Manday-Interface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Wimut Chanklang</dc:creator>
  <cp:lastModifiedBy>Wimut Chanklang</cp:lastModifiedBy>
  <dcterms:created xsi:type="dcterms:W3CDTF">2026-05-14T08:54:04Z</dcterms:created>
  <dcterms:modified xsi:type="dcterms:W3CDTF">2026-06-17T11:29:43Z</dcterms:modified>
</cp:coreProperties>
</file>