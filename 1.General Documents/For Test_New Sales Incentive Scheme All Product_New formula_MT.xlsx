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dsoncloud-my.sharepoint.com/personal/wimut_c_cdssolution_com/Documents/My Projects/28.AJT New Sale Incentive/1.General Documents/"/>
    </mc:Choice>
  </mc:AlternateContent>
  <xr:revisionPtr revIDLastSave="56" documentId="8_{15CD2885-4952-4DF2-A8F6-81A4F969D5EA}" xr6:coauthVersionLast="47" xr6:coauthVersionMax="47" xr10:uidLastSave="{43499310-9E87-4201-9700-5683306F73EF}"/>
  <bookViews>
    <workbookView xWindow="30612" yWindow="-12000" windowWidth="17496" windowHeight="30216" tabRatio="885" firstSheet="9" activeTab="13" xr2:uid="{BD0057FC-F48C-4500-81FB-830C7F4C5BE9}"/>
  </bookViews>
  <sheets>
    <sheet name="Top WS" sheetId="2" state="hidden" r:id="rId1"/>
    <sheet name=" WS SF" sheetId="10" state="hidden" r:id="rId2"/>
    <sheet name="WS WH" sheetId="9" state="hidden" r:id="rId3"/>
    <sheet name="Test" sheetId="4" state="hidden" r:id="rId4"/>
    <sheet name="SF WH" sheetId="26" state="hidden" r:id="rId5"/>
    <sheet name="Guide" sheetId="23" r:id="rId6"/>
    <sheet name="M_Month" sheetId="20" r:id="rId7"/>
    <sheet name="Product" sheetId="28" state="hidden" r:id="rId8"/>
    <sheet name="Period" sheetId="21" r:id="rId9"/>
    <sheet name="T_SectAbove" sheetId="22" r:id="rId10"/>
    <sheet name="ASTBase" sheetId="19" r:id="rId11"/>
    <sheet name="Actual" sheetId="15" r:id="rId12"/>
    <sheet name="HR Rep" sheetId="18" r:id="rId13"/>
    <sheet name="Mapping" sheetId="37" r:id="rId14"/>
    <sheet name="2) หลักการคำนวน Table" sheetId="32" r:id="rId15"/>
    <sheet name="3)Target &amp; Cal_Staff" sheetId="14" r:id="rId16"/>
    <sheet name="3)Target &amp; Cal_Sect" sheetId="33" r:id="rId17"/>
    <sheet name="3)Target &amp; Cal_Dept" sheetId="34" r:id="rId18"/>
    <sheet name="3)Target &amp; Cal_AD" sheetId="35" r:id="rId19"/>
    <sheet name="1) For HR" sheetId="17" r:id="rId20"/>
    <sheet name="1) For HR (FIX)" sheetId="29" state="hidden" r:id="rId21"/>
    <sheet name="Shortage" sheetId="24" r:id="rId22"/>
    <sheet name="ค่าตอบแทนการขายในอัตราคงที่" sheetId="30" state="hidden" r:id="rId23"/>
    <sheet name="Aji Plus" sheetId="1" state="hidden" r:id="rId24"/>
    <sheet name="Actual_Aji Plus" sheetId="3" state="hidden" r:id="rId25"/>
    <sheet name="RDQ" sheetId="5" state="hidden" r:id="rId26"/>
    <sheet name="Actual_RDQ" sheetId="6" state="hidden" r:id="rId27"/>
    <sheet name="RDM" sheetId="7" state="hidden" r:id="rId28"/>
    <sheet name="Actual_RDM" sheetId="8" state="hidden" r:id="rId29"/>
    <sheet name="RDNS" sheetId="12" state="hidden" r:id="rId30"/>
    <sheet name="Actual_RDNS" sheetId="13" state="hidden" r:id="rId31"/>
    <sheet name="Sales Target" sheetId="11" state="hidden" r:id="rId32"/>
  </sheets>
  <externalReferences>
    <externalReference r:id="rId33"/>
  </externalReferences>
  <definedNames>
    <definedName name="_xlnm._FilterDatabase" localSheetId="19" hidden="1">'1) For HR'!$A$1:$S$28</definedName>
    <definedName name="_xlnm._FilterDatabase" localSheetId="20" hidden="1">'1) For HR (FIX)'!$A$1:$N$516</definedName>
    <definedName name="_xlnm._FilterDatabase" localSheetId="18" hidden="1">'3)Target &amp; Cal_AD'!$A$3:$BL$15</definedName>
    <definedName name="_xlnm._FilterDatabase" localSheetId="17" hidden="1">'3)Target &amp; Cal_Dept'!$A$3:$BN$33</definedName>
    <definedName name="_xlnm._FilterDatabase" localSheetId="16" hidden="1">'3)Target &amp; Cal_Sect'!$A$3:$BN$61</definedName>
    <definedName name="_xlnm._FilterDatabase" localSheetId="15" hidden="1">'3)Target &amp; Cal_Staff'!$A$3:$BN$164</definedName>
    <definedName name="_xlnm._FilterDatabase" localSheetId="11" hidden="1">Actual!$A$1:$P$222</definedName>
    <definedName name="_xlnm._FilterDatabase" localSheetId="10" hidden="1">ASTBase!$A$1:$S$15</definedName>
    <definedName name="_xlnm._FilterDatabase" localSheetId="12" hidden="1">'HR Rep'!$A$1:$AC$29</definedName>
    <definedName name="_xlnm._FilterDatabase" localSheetId="13" hidden="1">Mapping!$A$1:$F$25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7" l="1"/>
  <c r="K2" i="17"/>
  <c r="Q6" i="17"/>
  <c r="AZ4" i="34" a="1"/>
  <c r="K6" i="17" l="1"/>
  <c r="B2" i="15"/>
  <c r="S2" i="17"/>
  <c r="AA3" i="18"/>
  <c r="AA21" i="18"/>
  <c r="AA2" i="18"/>
  <c r="AA4" i="18"/>
  <c r="AA5" i="18"/>
  <c r="AA6" i="18"/>
  <c r="AA7" i="18"/>
  <c r="AA8" i="18"/>
  <c r="AA9" i="18"/>
  <c r="AA10" i="18"/>
  <c r="AA11" i="18"/>
  <c r="AA12" i="18"/>
  <c r="AA13" i="18"/>
  <c r="AA14" i="18"/>
  <c r="AA15" i="18"/>
  <c r="AA16" i="18"/>
  <c r="AA17" i="18"/>
  <c r="AA18" i="18"/>
  <c r="AA19" i="18"/>
  <c r="AA20" i="18"/>
  <c r="AA22" i="18"/>
  <c r="AA23" i="18"/>
  <c r="AA24" i="18"/>
  <c r="AA25" i="18"/>
  <c r="AA26" i="18"/>
  <c r="AA27" i="18"/>
  <c r="AA28" i="18"/>
  <c r="AA29" i="18"/>
  <c r="BG97" i="14" a="1"/>
  <c r="BF97" i="14" a="1"/>
  <c r="BE97" i="14" a="1"/>
  <c r="BA97" i="14" a="1"/>
  <c r="AZ97" i="14" a="1"/>
  <c r="AU97" i="14"/>
  <c r="AT97" i="14"/>
  <c r="AS97" i="14"/>
  <c r="AR97" i="14"/>
  <c r="BD97" i="14" s="1" a="1"/>
  <c r="AQ97" i="14"/>
  <c r="BC97" i="14" s="1" a="1"/>
  <c r="AP97" i="14"/>
  <c r="BB97" i="14" s="1" a="1"/>
  <c r="AO97" i="14"/>
  <c r="AN97" i="14"/>
  <c r="AM63" i="14" l="1"/>
  <c r="AY63" i="14" s="1"/>
  <c r="BK63" i="14" s="1" a="1"/>
  <c r="AL63" i="14"/>
  <c r="AX63" i="14" s="1"/>
  <c r="BJ63" i="14" s="1" a="1"/>
  <c r="AK63" i="14"/>
  <c r="AW63" i="14" s="1"/>
  <c r="BI63" i="14" s="1" a="1"/>
  <c r="AJ63" i="14"/>
  <c r="AV63" i="14" s="1"/>
  <c r="BH63" i="14" s="1" a="1"/>
  <c r="AI63" i="14"/>
  <c r="AU63" i="14" s="1"/>
  <c r="BG63" i="14" s="1" a="1"/>
  <c r="AH63" i="14"/>
  <c r="AT63" i="14" s="1"/>
  <c r="BF63" i="14" s="1" a="1"/>
  <c r="AG63" i="14"/>
  <c r="AS63" i="14" s="1"/>
  <c r="BE63" i="14" s="1" a="1"/>
  <c r="AF63" i="14"/>
  <c r="AR63" i="14" s="1"/>
  <c r="BD63" i="14" s="1" a="1"/>
  <c r="AE63" i="14"/>
  <c r="AQ63" i="14" s="1"/>
  <c r="BC63" i="14" s="1" a="1"/>
  <c r="AD63" i="14"/>
  <c r="AP63" i="14" s="1"/>
  <c r="BB63" i="14" s="1" a="1"/>
  <c r="AC63" i="14"/>
  <c r="AO63" i="14" s="1"/>
  <c r="BA63" i="14" s="1" a="1"/>
  <c r="AB63" i="14"/>
  <c r="AN63" i="14" s="1"/>
  <c r="AZ63" i="14" s="1" a="1"/>
  <c r="AM154" i="14" l="1"/>
  <c r="AY154" i="14" s="1"/>
  <c r="BK154" i="14" s="1" a="1"/>
  <c r="AL154" i="14"/>
  <c r="AX154" i="14" s="1"/>
  <c r="BJ154" i="14" s="1" a="1"/>
  <c r="AK154" i="14"/>
  <c r="AW154" i="14" s="1"/>
  <c r="BI154" i="14" s="1" a="1"/>
  <c r="AJ154" i="14"/>
  <c r="AV154" i="14" s="1"/>
  <c r="BH154" i="14" s="1" a="1"/>
  <c r="AI154" i="14"/>
  <c r="AU154" i="14" s="1"/>
  <c r="BG154" i="14" s="1" a="1"/>
  <c r="AH154" i="14"/>
  <c r="AT154" i="14" s="1"/>
  <c r="BF154" i="14" s="1" a="1"/>
  <c r="AG154" i="14"/>
  <c r="AS154" i="14" s="1"/>
  <c r="BE154" i="14" s="1" a="1"/>
  <c r="AF154" i="14"/>
  <c r="AR154" i="14" s="1"/>
  <c r="BD154" i="14" s="1" a="1"/>
  <c r="AE154" i="14"/>
  <c r="AQ154" i="14" s="1"/>
  <c r="BC154" i="14" s="1" a="1"/>
  <c r="AD154" i="14"/>
  <c r="AP154" i="14" s="1"/>
  <c r="BB154" i="14" s="1" a="1"/>
  <c r="AC154" i="14"/>
  <c r="AO154" i="14" s="1"/>
  <c r="BA154" i="14" s="1" a="1"/>
  <c r="AB154" i="14"/>
  <c r="AN154" i="14" s="1"/>
  <c r="AZ154" i="14" s="1" a="1"/>
  <c r="AM144" i="14"/>
  <c r="AY144" i="14" s="1"/>
  <c r="BK144" i="14" s="1" a="1"/>
  <c r="AL144" i="14"/>
  <c r="AX144" i="14" s="1"/>
  <c r="BJ144" i="14" s="1" a="1"/>
  <c r="AK144" i="14"/>
  <c r="AW144" i="14" s="1"/>
  <c r="BI144" i="14" s="1" a="1"/>
  <c r="AJ144" i="14"/>
  <c r="AV144" i="14" s="1"/>
  <c r="BH144" i="14" s="1" a="1"/>
  <c r="AI144" i="14"/>
  <c r="AU144" i="14" s="1"/>
  <c r="BG144" i="14" s="1" a="1"/>
  <c r="AH144" i="14"/>
  <c r="AT144" i="14" s="1"/>
  <c r="BF144" i="14" s="1" a="1"/>
  <c r="AG144" i="14"/>
  <c r="AS144" i="14" s="1"/>
  <c r="BE144" i="14" s="1" a="1"/>
  <c r="AF144" i="14"/>
  <c r="AR144" i="14" s="1"/>
  <c r="BD144" i="14" s="1" a="1"/>
  <c r="AE144" i="14"/>
  <c r="AQ144" i="14" s="1"/>
  <c r="BC144" i="14" s="1" a="1"/>
  <c r="AD144" i="14"/>
  <c r="AP144" i="14" s="1"/>
  <c r="BB144" i="14" s="1" a="1"/>
  <c r="AC144" i="14"/>
  <c r="AO144" i="14" s="1"/>
  <c r="BA144" i="14" s="1" a="1"/>
  <c r="AB144" i="14"/>
  <c r="AN144" i="14" s="1"/>
  <c r="AZ144" i="14" s="1" a="1"/>
  <c r="AM138" i="14"/>
  <c r="AY138" i="14" s="1"/>
  <c r="BK138" i="14" s="1" a="1"/>
  <c r="AL138" i="14"/>
  <c r="AX138" i="14" s="1"/>
  <c r="BJ138" i="14" s="1" a="1"/>
  <c r="AK138" i="14"/>
  <c r="AW138" i="14" s="1"/>
  <c r="BI138" i="14" s="1" a="1"/>
  <c r="AJ138" i="14"/>
  <c r="AV138" i="14" s="1"/>
  <c r="BH138" i="14" s="1" a="1"/>
  <c r="AI138" i="14"/>
  <c r="AU138" i="14" s="1"/>
  <c r="BG138" i="14" s="1" a="1"/>
  <c r="AH138" i="14"/>
  <c r="AT138" i="14" s="1"/>
  <c r="BF138" i="14" s="1" a="1"/>
  <c r="AG138" i="14"/>
  <c r="AS138" i="14" s="1"/>
  <c r="BE138" i="14" s="1" a="1"/>
  <c r="AF138" i="14"/>
  <c r="AR138" i="14" s="1"/>
  <c r="BD138" i="14" s="1" a="1"/>
  <c r="AE138" i="14"/>
  <c r="AQ138" i="14" s="1"/>
  <c r="BC138" i="14" s="1" a="1"/>
  <c r="AD138" i="14"/>
  <c r="AP138" i="14" s="1"/>
  <c r="BB138" i="14" s="1" a="1"/>
  <c r="AC138" i="14"/>
  <c r="AO138" i="14" s="1"/>
  <c r="BA138" i="14" s="1" a="1"/>
  <c r="AB138" i="14"/>
  <c r="AN138" i="14" s="1"/>
  <c r="AZ138" i="14" s="1" a="1"/>
  <c r="AM135" i="14"/>
  <c r="AY135" i="14" s="1"/>
  <c r="BK135" i="14" s="1" a="1"/>
  <c r="AL135" i="14"/>
  <c r="AX135" i="14" s="1"/>
  <c r="BJ135" i="14" s="1" a="1"/>
  <c r="AK135" i="14"/>
  <c r="AW135" i="14" s="1"/>
  <c r="BI135" i="14" s="1" a="1"/>
  <c r="AJ135" i="14"/>
  <c r="AV135" i="14" s="1"/>
  <c r="BH135" i="14" s="1" a="1"/>
  <c r="AI135" i="14"/>
  <c r="AU135" i="14" s="1"/>
  <c r="BG135" i="14" s="1" a="1"/>
  <c r="AH135" i="14"/>
  <c r="AT135" i="14" s="1"/>
  <c r="BF135" i="14" s="1" a="1"/>
  <c r="AG135" i="14"/>
  <c r="AS135" i="14" s="1"/>
  <c r="BE135" i="14" s="1" a="1"/>
  <c r="AF135" i="14"/>
  <c r="AR135" i="14" s="1"/>
  <c r="BD135" i="14" s="1" a="1"/>
  <c r="AE135" i="14"/>
  <c r="AQ135" i="14" s="1"/>
  <c r="BC135" i="14" s="1" a="1"/>
  <c r="AD135" i="14"/>
  <c r="AP135" i="14" s="1"/>
  <c r="BB135" i="14" s="1" a="1"/>
  <c r="AC135" i="14"/>
  <c r="AO135" i="14" s="1"/>
  <c r="BA135" i="14" s="1" a="1"/>
  <c r="AB135" i="14"/>
  <c r="AN135" i="14" s="1"/>
  <c r="AZ135" i="14" s="1" a="1"/>
  <c r="AM125" i="14"/>
  <c r="AY125" i="14" s="1"/>
  <c r="BK125" i="14" s="1" a="1"/>
  <c r="AL125" i="14"/>
  <c r="AX125" i="14" s="1"/>
  <c r="BJ125" i="14" s="1" a="1"/>
  <c r="AK125" i="14"/>
  <c r="AW125" i="14" s="1"/>
  <c r="BI125" i="14" s="1" a="1"/>
  <c r="AJ125" i="14"/>
  <c r="AV125" i="14" s="1"/>
  <c r="BH125" i="14" s="1" a="1"/>
  <c r="AI125" i="14"/>
  <c r="AU125" i="14" s="1"/>
  <c r="BG125" i="14" s="1" a="1"/>
  <c r="AH125" i="14"/>
  <c r="AT125" i="14" s="1"/>
  <c r="BF125" i="14" s="1" a="1"/>
  <c r="AG125" i="14"/>
  <c r="AS125" i="14" s="1"/>
  <c r="BE125" i="14" s="1" a="1"/>
  <c r="AF125" i="14"/>
  <c r="AR125" i="14" s="1"/>
  <c r="BD125" i="14" s="1" a="1"/>
  <c r="AE125" i="14"/>
  <c r="AQ125" i="14" s="1"/>
  <c r="BC125" i="14" s="1" a="1"/>
  <c r="AD125" i="14"/>
  <c r="AP125" i="14" s="1"/>
  <c r="BB125" i="14" s="1" a="1"/>
  <c r="AC125" i="14"/>
  <c r="AO125" i="14" s="1"/>
  <c r="BA125" i="14" s="1" a="1"/>
  <c r="AB125" i="14"/>
  <c r="AN125" i="14" s="1"/>
  <c r="AZ125" i="14" s="1" a="1"/>
  <c r="AB117" i="14"/>
  <c r="AN117" i="14" s="1"/>
  <c r="AZ117" i="14" s="1" a="1"/>
  <c r="AC117" i="14"/>
  <c r="AO117" i="14" s="1"/>
  <c r="BA117" i="14" s="1" a="1"/>
  <c r="AD117" i="14"/>
  <c r="AP117" i="14" s="1"/>
  <c r="BB117" i="14" s="1" a="1"/>
  <c r="AE117" i="14"/>
  <c r="AQ117" i="14" s="1"/>
  <c r="BC117" i="14" s="1" a="1"/>
  <c r="AF117" i="14"/>
  <c r="AR117" i="14" s="1"/>
  <c r="BD117" i="14" s="1" a="1"/>
  <c r="AG117" i="14"/>
  <c r="AS117" i="14" s="1"/>
  <c r="BE117" i="14" s="1" a="1"/>
  <c r="AH117" i="14"/>
  <c r="AT117" i="14" s="1"/>
  <c r="BF117" i="14" s="1" a="1"/>
  <c r="AI117" i="14"/>
  <c r="AU117" i="14" s="1"/>
  <c r="BG117" i="14" s="1" a="1"/>
  <c r="AJ117" i="14"/>
  <c r="AV117" i="14" s="1"/>
  <c r="BH117" i="14" s="1" a="1"/>
  <c r="AK117" i="14"/>
  <c r="AW117" i="14" s="1"/>
  <c r="BI117" i="14" s="1" a="1"/>
  <c r="AL117" i="14"/>
  <c r="AX117" i="14" s="1"/>
  <c r="BJ117" i="14" s="1" a="1"/>
  <c r="AM117" i="14"/>
  <c r="AY117" i="14" s="1"/>
  <c r="BK117" i="14" s="1" a="1"/>
  <c r="AB118" i="14"/>
  <c r="AN118" i="14" s="1"/>
  <c r="AZ118" i="14" s="1" a="1"/>
  <c r="AC118" i="14"/>
  <c r="AO118" i="14" s="1"/>
  <c r="BA118" i="14" s="1" a="1"/>
  <c r="AD118" i="14"/>
  <c r="AP118" i="14" s="1"/>
  <c r="BB118" i="14" s="1" a="1"/>
  <c r="AE118" i="14"/>
  <c r="AQ118" i="14" s="1"/>
  <c r="BC118" i="14" s="1" a="1"/>
  <c r="AF118" i="14"/>
  <c r="AR118" i="14" s="1"/>
  <c r="BD118" i="14" s="1" a="1"/>
  <c r="AG118" i="14"/>
  <c r="AS118" i="14" s="1"/>
  <c r="BE118" i="14" s="1" a="1"/>
  <c r="AH118" i="14"/>
  <c r="AT118" i="14" s="1"/>
  <c r="BF118" i="14" s="1" a="1"/>
  <c r="AI118" i="14"/>
  <c r="AU118" i="14" s="1"/>
  <c r="BG118" i="14" s="1" a="1"/>
  <c r="AJ118" i="14"/>
  <c r="AV118" i="14" s="1"/>
  <c r="BH118" i="14" s="1" a="1"/>
  <c r="AK118" i="14"/>
  <c r="AW118" i="14" s="1"/>
  <c r="BI118" i="14" s="1" a="1"/>
  <c r="AL118" i="14"/>
  <c r="AX118" i="14" s="1"/>
  <c r="BJ118" i="14" s="1" a="1"/>
  <c r="AM118" i="14"/>
  <c r="AY118" i="14" s="1"/>
  <c r="BK118" i="14" s="1" a="1"/>
  <c r="AB119" i="14"/>
  <c r="AN119" i="14" s="1"/>
  <c r="AZ119" i="14" s="1" a="1"/>
  <c r="AC119" i="14"/>
  <c r="AO119" i="14" s="1"/>
  <c r="BA119" i="14" s="1" a="1"/>
  <c r="AD119" i="14"/>
  <c r="AP119" i="14" s="1"/>
  <c r="BB119" i="14" s="1" a="1"/>
  <c r="AE119" i="14"/>
  <c r="AQ119" i="14" s="1"/>
  <c r="BC119" i="14" s="1" a="1"/>
  <c r="AF119" i="14"/>
  <c r="AR119" i="14" s="1"/>
  <c r="BD119" i="14" s="1" a="1"/>
  <c r="AG119" i="14"/>
  <c r="AS119" i="14" s="1"/>
  <c r="BE119" i="14" s="1" a="1"/>
  <c r="AH119" i="14"/>
  <c r="AT119" i="14" s="1"/>
  <c r="BF119" i="14" s="1" a="1"/>
  <c r="AI119" i="14"/>
  <c r="AU119" i="14" s="1"/>
  <c r="BG119" i="14" s="1" a="1"/>
  <c r="AJ119" i="14"/>
  <c r="AV119" i="14" s="1"/>
  <c r="BH119" i="14" s="1" a="1"/>
  <c r="AK119" i="14"/>
  <c r="AW119" i="14" s="1"/>
  <c r="BI119" i="14" s="1" a="1"/>
  <c r="AL119" i="14"/>
  <c r="AX119" i="14" s="1"/>
  <c r="BJ119" i="14" s="1" a="1"/>
  <c r="AM119" i="14"/>
  <c r="AY119" i="14" s="1"/>
  <c r="BK119" i="14" s="1" a="1"/>
  <c r="AB120" i="14"/>
  <c r="AN120" i="14" s="1"/>
  <c r="AZ120" i="14" s="1" a="1"/>
  <c r="AC120" i="14"/>
  <c r="AO120" i="14" s="1"/>
  <c r="BA120" i="14" s="1" a="1"/>
  <c r="AD120" i="14"/>
  <c r="AP120" i="14" s="1"/>
  <c r="BB120" i="14" s="1" a="1"/>
  <c r="AE120" i="14"/>
  <c r="AQ120" i="14" s="1"/>
  <c r="BC120" i="14" s="1" a="1"/>
  <c r="AF120" i="14"/>
  <c r="AR120" i="14" s="1"/>
  <c r="BD120" i="14" s="1" a="1"/>
  <c r="AG120" i="14"/>
  <c r="AS120" i="14" s="1"/>
  <c r="BE120" i="14" s="1" a="1"/>
  <c r="AH120" i="14"/>
  <c r="AT120" i="14" s="1"/>
  <c r="BF120" i="14" s="1" a="1"/>
  <c r="AI120" i="14"/>
  <c r="AU120" i="14" s="1"/>
  <c r="BG120" i="14" s="1" a="1"/>
  <c r="AJ120" i="14"/>
  <c r="AV120" i="14" s="1"/>
  <c r="BH120" i="14" s="1" a="1"/>
  <c r="AK120" i="14"/>
  <c r="AW120" i="14" s="1"/>
  <c r="BI120" i="14" s="1" a="1"/>
  <c r="AL120" i="14"/>
  <c r="AX120" i="14" s="1"/>
  <c r="BJ120" i="14" s="1" a="1"/>
  <c r="AM120" i="14"/>
  <c r="AY120" i="14" s="1"/>
  <c r="BK120" i="14" s="1" a="1"/>
  <c r="AB121" i="14"/>
  <c r="AN121" i="14" s="1"/>
  <c r="AZ121" i="14" s="1" a="1"/>
  <c r="AC121" i="14"/>
  <c r="AO121" i="14" s="1"/>
  <c r="BA121" i="14" s="1" a="1"/>
  <c r="AD121" i="14"/>
  <c r="AP121" i="14" s="1"/>
  <c r="BB121" i="14" s="1" a="1"/>
  <c r="AE121" i="14"/>
  <c r="AQ121" i="14" s="1"/>
  <c r="BC121" i="14" s="1" a="1"/>
  <c r="AF121" i="14"/>
  <c r="AR121" i="14" s="1"/>
  <c r="BD121" i="14" s="1" a="1"/>
  <c r="AG121" i="14"/>
  <c r="AS121" i="14" s="1"/>
  <c r="BE121" i="14" s="1" a="1"/>
  <c r="AH121" i="14"/>
  <c r="AT121" i="14" s="1"/>
  <c r="BF121" i="14" s="1" a="1"/>
  <c r="AI121" i="14"/>
  <c r="AU121" i="14" s="1"/>
  <c r="BG121" i="14" s="1" a="1"/>
  <c r="AJ121" i="14"/>
  <c r="AV121" i="14" s="1"/>
  <c r="BH121" i="14" s="1" a="1"/>
  <c r="AK121" i="14"/>
  <c r="AW121" i="14" s="1"/>
  <c r="BI121" i="14" s="1" a="1"/>
  <c r="AL121" i="14"/>
  <c r="AX121" i="14" s="1"/>
  <c r="BJ121" i="14" s="1" a="1"/>
  <c r="AM121" i="14"/>
  <c r="AY121" i="14" s="1"/>
  <c r="BK121" i="14" s="1" a="1"/>
  <c r="AB122" i="14"/>
  <c r="AN122" i="14" s="1"/>
  <c r="AZ122" i="14" s="1" a="1"/>
  <c r="AC122" i="14"/>
  <c r="AO122" i="14" s="1"/>
  <c r="BA122" i="14" s="1" a="1"/>
  <c r="AD122" i="14"/>
  <c r="AP122" i="14" s="1"/>
  <c r="BB122" i="14" s="1" a="1"/>
  <c r="AE122" i="14"/>
  <c r="AQ122" i="14" s="1"/>
  <c r="BC122" i="14" s="1" a="1"/>
  <c r="AF122" i="14"/>
  <c r="AR122" i="14" s="1"/>
  <c r="BD122" i="14" s="1" a="1"/>
  <c r="AG122" i="14"/>
  <c r="AS122" i="14" s="1"/>
  <c r="BE122" i="14" s="1" a="1"/>
  <c r="AH122" i="14"/>
  <c r="AT122" i="14" s="1"/>
  <c r="BF122" i="14" s="1" a="1"/>
  <c r="AI122" i="14"/>
  <c r="AU122" i="14" s="1"/>
  <c r="BG122" i="14" s="1" a="1"/>
  <c r="AJ122" i="14"/>
  <c r="AV122" i="14" s="1"/>
  <c r="BH122" i="14" s="1" a="1"/>
  <c r="AK122" i="14"/>
  <c r="AW122" i="14" s="1"/>
  <c r="BI122" i="14" s="1" a="1"/>
  <c r="AL122" i="14"/>
  <c r="AX122" i="14" s="1"/>
  <c r="BJ122" i="14" s="1" a="1"/>
  <c r="AM122" i="14"/>
  <c r="AY122" i="14" s="1"/>
  <c r="BK122" i="14" s="1" a="1"/>
  <c r="AB123" i="14"/>
  <c r="AN123" i="14" s="1"/>
  <c r="AZ123" i="14" s="1" a="1"/>
  <c r="AC123" i="14"/>
  <c r="AO123" i="14" s="1"/>
  <c r="BA123" i="14" s="1" a="1"/>
  <c r="AD123" i="14"/>
  <c r="AP123" i="14" s="1"/>
  <c r="BB123" i="14" s="1" a="1"/>
  <c r="AE123" i="14"/>
  <c r="AQ123" i="14" s="1"/>
  <c r="BC123" i="14" s="1" a="1"/>
  <c r="AF123" i="14"/>
  <c r="AR123" i="14" s="1"/>
  <c r="BD123" i="14" s="1" a="1"/>
  <c r="AG123" i="14"/>
  <c r="AS123" i="14" s="1"/>
  <c r="BE123" i="14" s="1" a="1"/>
  <c r="AH123" i="14"/>
  <c r="AT123" i="14" s="1"/>
  <c r="BF123" i="14" s="1" a="1"/>
  <c r="AI123" i="14"/>
  <c r="AU123" i="14" s="1"/>
  <c r="BG123" i="14" s="1" a="1"/>
  <c r="AJ123" i="14"/>
  <c r="AV123" i="14" s="1"/>
  <c r="BH123" i="14" s="1" a="1"/>
  <c r="AK123" i="14"/>
  <c r="AW123" i="14" s="1"/>
  <c r="BI123" i="14" s="1" a="1"/>
  <c r="AL123" i="14"/>
  <c r="AX123" i="14" s="1"/>
  <c r="BJ123" i="14" s="1" a="1"/>
  <c r="AM123" i="14"/>
  <c r="AY123" i="14" s="1"/>
  <c r="BK123" i="14" s="1" a="1"/>
  <c r="AB124" i="14"/>
  <c r="AN124" i="14" s="1"/>
  <c r="AZ124" i="14" s="1" a="1"/>
  <c r="AC124" i="14"/>
  <c r="AO124" i="14" s="1"/>
  <c r="BA124" i="14" s="1" a="1"/>
  <c r="AD124" i="14"/>
  <c r="AP124" i="14" s="1"/>
  <c r="BB124" i="14" s="1" a="1"/>
  <c r="AE124" i="14"/>
  <c r="AQ124" i="14" s="1"/>
  <c r="BC124" i="14" s="1" a="1"/>
  <c r="AF124" i="14"/>
  <c r="AR124" i="14" s="1"/>
  <c r="BD124" i="14" s="1" a="1"/>
  <c r="AG124" i="14"/>
  <c r="AS124" i="14" s="1"/>
  <c r="BE124" i="14" s="1" a="1"/>
  <c r="AH124" i="14"/>
  <c r="AT124" i="14" s="1"/>
  <c r="BF124" i="14" s="1" a="1"/>
  <c r="AI124" i="14"/>
  <c r="AU124" i="14" s="1"/>
  <c r="BG124" i="14" s="1" a="1"/>
  <c r="AJ124" i="14"/>
  <c r="AV124" i="14" s="1"/>
  <c r="BH124" i="14" s="1" a="1"/>
  <c r="AK124" i="14"/>
  <c r="AW124" i="14" s="1"/>
  <c r="BI124" i="14" s="1" a="1"/>
  <c r="AL124" i="14"/>
  <c r="AX124" i="14" s="1"/>
  <c r="BJ124" i="14" s="1" a="1"/>
  <c r="AM124" i="14"/>
  <c r="AY124" i="14" s="1"/>
  <c r="BK124" i="14" s="1" a="1"/>
  <c r="AB126" i="14"/>
  <c r="AN126" i="14" s="1"/>
  <c r="AZ126" i="14" s="1" a="1"/>
  <c r="AC126" i="14"/>
  <c r="AO126" i="14" s="1"/>
  <c r="BA126" i="14" s="1" a="1"/>
  <c r="AD126" i="14"/>
  <c r="AP126" i="14" s="1"/>
  <c r="BB126" i="14" s="1" a="1"/>
  <c r="AE126" i="14"/>
  <c r="AQ126" i="14" s="1"/>
  <c r="BC126" i="14" s="1" a="1"/>
  <c r="AF126" i="14"/>
  <c r="AR126" i="14" s="1"/>
  <c r="BD126" i="14" s="1" a="1"/>
  <c r="AG126" i="14"/>
  <c r="AS126" i="14" s="1"/>
  <c r="BE126" i="14" s="1" a="1"/>
  <c r="AH126" i="14"/>
  <c r="AT126" i="14" s="1"/>
  <c r="BF126" i="14" s="1" a="1"/>
  <c r="AI126" i="14"/>
  <c r="AU126" i="14" s="1"/>
  <c r="BG126" i="14" s="1" a="1"/>
  <c r="AJ126" i="14"/>
  <c r="AV126" i="14" s="1"/>
  <c r="BH126" i="14" s="1" a="1"/>
  <c r="AK126" i="14"/>
  <c r="AW126" i="14" s="1"/>
  <c r="BI126" i="14" s="1" a="1"/>
  <c r="AL126" i="14"/>
  <c r="AX126" i="14" s="1"/>
  <c r="BJ126" i="14" s="1" a="1"/>
  <c r="AM126" i="14"/>
  <c r="AY126" i="14" s="1"/>
  <c r="BK126" i="14" s="1" a="1"/>
  <c r="AB127" i="14"/>
  <c r="AN127" i="14" s="1"/>
  <c r="AZ127" i="14" s="1" a="1"/>
  <c r="AC127" i="14"/>
  <c r="AO127" i="14" s="1"/>
  <c r="BA127" i="14" s="1" a="1"/>
  <c r="AD127" i="14"/>
  <c r="AP127" i="14" s="1"/>
  <c r="BB127" i="14" s="1" a="1"/>
  <c r="AE127" i="14"/>
  <c r="AQ127" i="14" s="1"/>
  <c r="BC127" i="14" s="1" a="1"/>
  <c r="AF127" i="14"/>
  <c r="AR127" i="14" s="1"/>
  <c r="BD127" i="14" s="1" a="1"/>
  <c r="AG127" i="14"/>
  <c r="AS127" i="14" s="1"/>
  <c r="BE127" i="14" s="1" a="1"/>
  <c r="AH127" i="14"/>
  <c r="AT127" i="14" s="1"/>
  <c r="BF127" i="14" s="1" a="1"/>
  <c r="AI127" i="14"/>
  <c r="AU127" i="14" s="1"/>
  <c r="BG127" i="14" s="1" a="1"/>
  <c r="AJ127" i="14"/>
  <c r="AV127" i="14" s="1"/>
  <c r="BH127" i="14" s="1" a="1"/>
  <c r="AK127" i="14"/>
  <c r="AW127" i="14" s="1"/>
  <c r="BI127" i="14" s="1" a="1"/>
  <c r="AL127" i="14"/>
  <c r="AX127" i="14" s="1"/>
  <c r="BJ127" i="14" s="1" a="1"/>
  <c r="AM127" i="14"/>
  <c r="AY127" i="14" s="1"/>
  <c r="BK127" i="14" s="1" a="1"/>
  <c r="AB128" i="14"/>
  <c r="AN128" i="14" s="1"/>
  <c r="AZ128" i="14" s="1" a="1"/>
  <c r="AC128" i="14"/>
  <c r="AO128" i="14" s="1"/>
  <c r="BA128" i="14" s="1" a="1"/>
  <c r="AD128" i="14"/>
  <c r="AP128" i="14" s="1"/>
  <c r="BB128" i="14" s="1" a="1"/>
  <c r="AE128" i="14"/>
  <c r="AQ128" i="14" s="1"/>
  <c r="BC128" i="14" s="1" a="1"/>
  <c r="AF128" i="14"/>
  <c r="AR128" i="14" s="1"/>
  <c r="BD128" i="14" s="1" a="1"/>
  <c r="AG128" i="14"/>
  <c r="AS128" i="14" s="1"/>
  <c r="BE128" i="14" s="1" a="1"/>
  <c r="AH128" i="14"/>
  <c r="AT128" i="14" s="1"/>
  <c r="BF128" i="14" s="1" a="1"/>
  <c r="AI128" i="14"/>
  <c r="AU128" i="14" s="1"/>
  <c r="BG128" i="14" s="1" a="1"/>
  <c r="AJ128" i="14"/>
  <c r="AV128" i="14" s="1"/>
  <c r="BH128" i="14" s="1" a="1"/>
  <c r="AK128" i="14"/>
  <c r="AW128" i="14" s="1"/>
  <c r="BI128" i="14" s="1" a="1"/>
  <c r="AL128" i="14"/>
  <c r="AX128" i="14" s="1"/>
  <c r="BJ128" i="14" s="1" a="1"/>
  <c r="AM128" i="14"/>
  <c r="AY128" i="14" s="1"/>
  <c r="BK128" i="14" s="1" a="1"/>
  <c r="AB129" i="14"/>
  <c r="AN129" i="14" s="1"/>
  <c r="AZ129" i="14" s="1" a="1"/>
  <c r="AC129" i="14"/>
  <c r="AO129" i="14" s="1"/>
  <c r="BA129" i="14" s="1" a="1"/>
  <c r="AD129" i="14"/>
  <c r="AP129" i="14" s="1"/>
  <c r="BB129" i="14" s="1" a="1"/>
  <c r="AE129" i="14"/>
  <c r="AQ129" i="14" s="1"/>
  <c r="BC129" i="14" s="1" a="1"/>
  <c r="AF129" i="14"/>
  <c r="AR129" i="14" s="1"/>
  <c r="BD129" i="14" s="1" a="1"/>
  <c r="AG129" i="14"/>
  <c r="AS129" i="14" s="1"/>
  <c r="BE129" i="14" s="1" a="1"/>
  <c r="AH129" i="14"/>
  <c r="AT129" i="14" s="1"/>
  <c r="BF129" i="14" s="1" a="1"/>
  <c r="AI129" i="14"/>
  <c r="AU129" i="14" s="1"/>
  <c r="BG129" i="14" s="1" a="1"/>
  <c r="AJ129" i="14"/>
  <c r="AV129" i="14" s="1"/>
  <c r="BH129" i="14" s="1" a="1"/>
  <c r="AK129" i="14"/>
  <c r="AW129" i="14" s="1"/>
  <c r="BI129" i="14" s="1" a="1"/>
  <c r="AL129" i="14"/>
  <c r="AX129" i="14" s="1"/>
  <c r="BJ129" i="14" s="1" a="1"/>
  <c r="AM129" i="14"/>
  <c r="AY129" i="14" s="1"/>
  <c r="BK129" i="14" s="1" a="1"/>
  <c r="AB130" i="14"/>
  <c r="AN130" i="14" s="1"/>
  <c r="AZ130" i="14" s="1" a="1"/>
  <c r="AC130" i="14"/>
  <c r="AO130" i="14" s="1"/>
  <c r="BA130" i="14" s="1" a="1"/>
  <c r="AD130" i="14"/>
  <c r="AP130" i="14" s="1"/>
  <c r="BB130" i="14" s="1" a="1"/>
  <c r="AE130" i="14"/>
  <c r="AQ130" i="14" s="1"/>
  <c r="BC130" i="14" s="1" a="1"/>
  <c r="AF130" i="14"/>
  <c r="AR130" i="14" s="1"/>
  <c r="BD130" i="14" s="1" a="1"/>
  <c r="AG130" i="14"/>
  <c r="AS130" i="14" s="1"/>
  <c r="BE130" i="14" s="1" a="1"/>
  <c r="AH130" i="14"/>
  <c r="AT130" i="14" s="1"/>
  <c r="BF130" i="14" s="1" a="1"/>
  <c r="AI130" i="14"/>
  <c r="AU130" i="14" s="1"/>
  <c r="BG130" i="14" s="1" a="1"/>
  <c r="AJ130" i="14"/>
  <c r="AV130" i="14" s="1"/>
  <c r="BH130" i="14" s="1" a="1"/>
  <c r="AK130" i="14"/>
  <c r="AW130" i="14" s="1"/>
  <c r="BI130" i="14" s="1" a="1"/>
  <c r="AL130" i="14"/>
  <c r="AX130" i="14" s="1"/>
  <c r="BJ130" i="14" s="1" a="1"/>
  <c r="AM130" i="14"/>
  <c r="AY130" i="14" s="1"/>
  <c r="BK130" i="14" s="1" a="1"/>
  <c r="AB131" i="14"/>
  <c r="AN131" i="14" s="1"/>
  <c r="AZ131" i="14" s="1" a="1"/>
  <c r="AC131" i="14"/>
  <c r="AO131" i="14" s="1"/>
  <c r="BA131" i="14" s="1" a="1"/>
  <c r="AD131" i="14"/>
  <c r="AP131" i="14" s="1"/>
  <c r="BB131" i="14" s="1" a="1"/>
  <c r="AE131" i="14"/>
  <c r="AQ131" i="14" s="1"/>
  <c r="BC131" i="14" s="1" a="1"/>
  <c r="AF131" i="14"/>
  <c r="AR131" i="14" s="1"/>
  <c r="BD131" i="14" s="1" a="1"/>
  <c r="AG131" i="14"/>
  <c r="AS131" i="14" s="1"/>
  <c r="BE131" i="14" s="1" a="1"/>
  <c r="AH131" i="14"/>
  <c r="AT131" i="14" s="1"/>
  <c r="BF131" i="14" s="1" a="1"/>
  <c r="AI131" i="14"/>
  <c r="AU131" i="14" s="1"/>
  <c r="BG131" i="14" s="1" a="1"/>
  <c r="AJ131" i="14"/>
  <c r="AV131" i="14" s="1"/>
  <c r="BH131" i="14" s="1" a="1"/>
  <c r="AK131" i="14"/>
  <c r="AW131" i="14" s="1"/>
  <c r="BI131" i="14" s="1" a="1"/>
  <c r="AL131" i="14"/>
  <c r="AX131" i="14" s="1"/>
  <c r="BJ131" i="14" s="1" a="1"/>
  <c r="AM131" i="14"/>
  <c r="AY131" i="14" s="1"/>
  <c r="BK131" i="14" s="1" a="1"/>
  <c r="AB132" i="14"/>
  <c r="AN132" i="14" s="1"/>
  <c r="AZ132" i="14" s="1" a="1"/>
  <c r="AC132" i="14"/>
  <c r="AO132" i="14" s="1"/>
  <c r="BA132" i="14" s="1" a="1"/>
  <c r="AD132" i="14"/>
  <c r="AP132" i="14" s="1"/>
  <c r="BB132" i="14" s="1" a="1"/>
  <c r="AE132" i="14"/>
  <c r="AQ132" i="14" s="1"/>
  <c r="BC132" i="14" s="1" a="1"/>
  <c r="AF132" i="14"/>
  <c r="AR132" i="14" s="1"/>
  <c r="BD132" i="14" s="1" a="1"/>
  <c r="AG132" i="14"/>
  <c r="AS132" i="14" s="1"/>
  <c r="BE132" i="14" s="1" a="1"/>
  <c r="AH132" i="14"/>
  <c r="AT132" i="14" s="1"/>
  <c r="BF132" i="14" s="1" a="1"/>
  <c r="AI132" i="14"/>
  <c r="AU132" i="14" s="1"/>
  <c r="BG132" i="14" s="1" a="1"/>
  <c r="AJ132" i="14"/>
  <c r="AV132" i="14" s="1"/>
  <c r="BH132" i="14" s="1" a="1"/>
  <c r="AK132" i="14"/>
  <c r="AW132" i="14" s="1"/>
  <c r="BI132" i="14" s="1" a="1"/>
  <c r="AL132" i="14"/>
  <c r="AX132" i="14" s="1"/>
  <c r="BJ132" i="14" s="1" a="1"/>
  <c r="AM132" i="14"/>
  <c r="AY132" i="14" s="1"/>
  <c r="BK132" i="14" s="1" a="1"/>
  <c r="AB133" i="14"/>
  <c r="AN133" i="14" s="1"/>
  <c r="AZ133" i="14" s="1" a="1"/>
  <c r="AC133" i="14"/>
  <c r="AO133" i="14" s="1"/>
  <c r="BA133" i="14" s="1" a="1"/>
  <c r="AD133" i="14"/>
  <c r="AP133" i="14" s="1"/>
  <c r="BB133" i="14" s="1" a="1"/>
  <c r="AE133" i="14"/>
  <c r="AQ133" i="14" s="1"/>
  <c r="BC133" i="14" s="1" a="1"/>
  <c r="AF133" i="14"/>
  <c r="AR133" i="14" s="1"/>
  <c r="BD133" i="14" s="1" a="1"/>
  <c r="AG133" i="14"/>
  <c r="AS133" i="14" s="1"/>
  <c r="BE133" i="14" s="1" a="1"/>
  <c r="AH133" i="14"/>
  <c r="AT133" i="14" s="1"/>
  <c r="BF133" i="14" s="1" a="1"/>
  <c r="AI133" i="14"/>
  <c r="AU133" i="14" s="1"/>
  <c r="BG133" i="14" s="1" a="1"/>
  <c r="AJ133" i="14"/>
  <c r="AV133" i="14" s="1"/>
  <c r="BH133" i="14" s="1" a="1"/>
  <c r="AK133" i="14"/>
  <c r="AW133" i="14" s="1"/>
  <c r="BI133" i="14" s="1" a="1"/>
  <c r="AL133" i="14"/>
  <c r="AX133" i="14" s="1"/>
  <c r="BJ133" i="14" s="1" a="1"/>
  <c r="AM133" i="14"/>
  <c r="AY133" i="14" s="1"/>
  <c r="BK133" i="14" s="1" a="1"/>
  <c r="AB134" i="14"/>
  <c r="AN134" i="14" s="1"/>
  <c r="AZ134" i="14" s="1" a="1"/>
  <c r="AC134" i="14"/>
  <c r="AO134" i="14" s="1"/>
  <c r="BA134" i="14" s="1" a="1"/>
  <c r="AD134" i="14"/>
  <c r="AP134" i="14" s="1"/>
  <c r="BB134" i="14" s="1" a="1"/>
  <c r="AE134" i="14"/>
  <c r="AQ134" i="14" s="1"/>
  <c r="BC134" i="14" s="1" a="1"/>
  <c r="AF134" i="14"/>
  <c r="AR134" i="14" s="1"/>
  <c r="BD134" i="14" s="1" a="1"/>
  <c r="AG134" i="14"/>
  <c r="AS134" i="14" s="1"/>
  <c r="BE134" i="14" s="1" a="1"/>
  <c r="AH134" i="14"/>
  <c r="AT134" i="14" s="1"/>
  <c r="BF134" i="14" s="1" a="1"/>
  <c r="AI134" i="14"/>
  <c r="AU134" i="14" s="1"/>
  <c r="BG134" i="14" s="1" a="1"/>
  <c r="AJ134" i="14"/>
  <c r="AV134" i="14" s="1"/>
  <c r="BH134" i="14" s="1" a="1"/>
  <c r="AK134" i="14"/>
  <c r="AW134" i="14" s="1"/>
  <c r="BI134" i="14" s="1" a="1"/>
  <c r="AL134" i="14"/>
  <c r="AX134" i="14" s="1"/>
  <c r="BJ134" i="14" s="1" a="1"/>
  <c r="AM134" i="14"/>
  <c r="AY134" i="14" s="1"/>
  <c r="BK134" i="14" s="1" a="1"/>
  <c r="AB136" i="14"/>
  <c r="AN136" i="14" s="1"/>
  <c r="AZ136" i="14" s="1" a="1"/>
  <c r="AC136" i="14"/>
  <c r="AO136" i="14" s="1"/>
  <c r="BA136" i="14" s="1" a="1"/>
  <c r="AD136" i="14"/>
  <c r="AP136" i="14" s="1"/>
  <c r="BB136" i="14" s="1" a="1"/>
  <c r="AE136" i="14"/>
  <c r="AQ136" i="14" s="1"/>
  <c r="BC136" i="14" s="1" a="1"/>
  <c r="AF136" i="14"/>
  <c r="AR136" i="14" s="1"/>
  <c r="BD136" i="14" s="1" a="1"/>
  <c r="AG136" i="14"/>
  <c r="AS136" i="14" s="1"/>
  <c r="BE136" i="14" s="1" a="1"/>
  <c r="AH136" i="14"/>
  <c r="AT136" i="14" s="1"/>
  <c r="BF136" i="14" s="1" a="1"/>
  <c r="AI136" i="14"/>
  <c r="AU136" i="14" s="1"/>
  <c r="BG136" i="14" s="1" a="1"/>
  <c r="AJ136" i="14"/>
  <c r="AV136" i="14" s="1"/>
  <c r="BH136" i="14" s="1" a="1"/>
  <c r="AK136" i="14"/>
  <c r="AW136" i="14" s="1"/>
  <c r="BI136" i="14" s="1" a="1"/>
  <c r="AL136" i="14"/>
  <c r="AX136" i="14" s="1"/>
  <c r="BJ136" i="14" s="1" a="1"/>
  <c r="AM136" i="14"/>
  <c r="AY136" i="14" s="1"/>
  <c r="BK136" i="14" s="1" a="1"/>
  <c r="AB137" i="14"/>
  <c r="AN137" i="14" s="1"/>
  <c r="AZ137" i="14" s="1" a="1"/>
  <c r="AC137" i="14"/>
  <c r="AO137" i="14" s="1"/>
  <c r="BA137" i="14" s="1" a="1"/>
  <c r="AD137" i="14"/>
  <c r="AP137" i="14" s="1"/>
  <c r="BB137" i="14" s="1" a="1"/>
  <c r="AE137" i="14"/>
  <c r="AQ137" i="14" s="1"/>
  <c r="BC137" i="14" s="1" a="1"/>
  <c r="AF137" i="14"/>
  <c r="AR137" i="14" s="1"/>
  <c r="BD137" i="14" s="1" a="1"/>
  <c r="AG137" i="14"/>
  <c r="AS137" i="14" s="1"/>
  <c r="BE137" i="14" s="1" a="1"/>
  <c r="AH137" i="14"/>
  <c r="AT137" i="14" s="1"/>
  <c r="BF137" i="14" s="1" a="1"/>
  <c r="AI137" i="14"/>
  <c r="AU137" i="14" s="1"/>
  <c r="BG137" i="14" s="1" a="1"/>
  <c r="AJ137" i="14"/>
  <c r="AV137" i="14" s="1"/>
  <c r="BH137" i="14" s="1" a="1"/>
  <c r="AK137" i="14"/>
  <c r="AW137" i="14" s="1"/>
  <c r="BI137" i="14" s="1" a="1"/>
  <c r="AL137" i="14"/>
  <c r="AX137" i="14" s="1"/>
  <c r="BJ137" i="14" s="1" a="1"/>
  <c r="AM137" i="14"/>
  <c r="AY137" i="14" s="1"/>
  <c r="BK137" i="14" s="1" a="1"/>
  <c r="AB139" i="14"/>
  <c r="AN139" i="14" s="1"/>
  <c r="AZ139" i="14" s="1" a="1"/>
  <c r="AC139" i="14"/>
  <c r="AO139" i="14" s="1"/>
  <c r="BA139" i="14" s="1" a="1"/>
  <c r="AD139" i="14"/>
  <c r="AP139" i="14" s="1"/>
  <c r="BB139" i="14" s="1" a="1"/>
  <c r="AE139" i="14"/>
  <c r="AQ139" i="14" s="1"/>
  <c r="BC139" i="14" s="1" a="1"/>
  <c r="AF139" i="14"/>
  <c r="AR139" i="14" s="1"/>
  <c r="BD139" i="14" s="1" a="1"/>
  <c r="AG139" i="14"/>
  <c r="AS139" i="14" s="1"/>
  <c r="BE139" i="14" s="1" a="1"/>
  <c r="AH139" i="14"/>
  <c r="AT139" i="14" s="1"/>
  <c r="BF139" i="14" s="1" a="1"/>
  <c r="AI139" i="14"/>
  <c r="AU139" i="14" s="1"/>
  <c r="BG139" i="14" s="1" a="1"/>
  <c r="AJ139" i="14"/>
  <c r="AV139" i="14" s="1"/>
  <c r="BH139" i="14" s="1" a="1"/>
  <c r="AK139" i="14"/>
  <c r="AW139" i="14" s="1"/>
  <c r="BI139" i="14" s="1" a="1"/>
  <c r="AL139" i="14"/>
  <c r="AX139" i="14" s="1"/>
  <c r="BJ139" i="14" s="1" a="1"/>
  <c r="AM139" i="14"/>
  <c r="AY139" i="14" s="1"/>
  <c r="BK139" i="14" s="1" a="1"/>
  <c r="AB140" i="14"/>
  <c r="AN140" i="14" s="1"/>
  <c r="AZ140" i="14" s="1" a="1"/>
  <c r="AC140" i="14"/>
  <c r="AO140" i="14" s="1"/>
  <c r="BA140" i="14" s="1" a="1"/>
  <c r="AD140" i="14"/>
  <c r="AP140" i="14" s="1"/>
  <c r="BB140" i="14" s="1" a="1"/>
  <c r="AE140" i="14"/>
  <c r="AQ140" i="14" s="1"/>
  <c r="BC140" i="14" s="1" a="1"/>
  <c r="AF140" i="14"/>
  <c r="AR140" i="14" s="1"/>
  <c r="BD140" i="14" s="1" a="1"/>
  <c r="AG140" i="14"/>
  <c r="AS140" i="14" s="1"/>
  <c r="BE140" i="14" s="1" a="1"/>
  <c r="AH140" i="14"/>
  <c r="AT140" i="14" s="1"/>
  <c r="BF140" i="14" s="1" a="1"/>
  <c r="AI140" i="14"/>
  <c r="AU140" i="14" s="1"/>
  <c r="BG140" i="14" s="1" a="1"/>
  <c r="AJ140" i="14"/>
  <c r="AV140" i="14" s="1"/>
  <c r="BH140" i="14" s="1" a="1"/>
  <c r="AK140" i="14"/>
  <c r="AW140" i="14" s="1"/>
  <c r="BI140" i="14" s="1" a="1"/>
  <c r="AL140" i="14"/>
  <c r="AX140" i="14" s="1"/>
  <c r="BJ140" i="14" s="1" a="1"/>
  <c r="AM140" i="14"/>
  <c r="AY140" i="14" s="1"/>
  <c r="BK140" i="14" s="1" a="1"/>
  <c r="AB141" i="14"/>
  <c r="AN141" i="14" s="1"/>
  <c r="AZ141" i="14" s="1" a="1"/>
  <c r="AC141" i="14"/>
  <c r="AO141" i="14" s="1"/>
  <c r="BA141" i="14" s="1" a="1"/>
  <c r="AD141" i="14"/>
  <c r="AP141" i="14" s="1"/>
  <c r="BB141" i="14" s="1" a="1"/>
  <c r="AE141" i="14"/>
  <c r="AQ141" i="14" s="1"/>
  <c r="BC141" i="14" s="1" a="1"/>
  <c r="AF141" i="14"/>
  <c r="AR141" i="14" s="1"/>
  <c r="BD141" i="14" s="1" a="1"/>
  <c r="AG141" i="14"/>
  <c r="AS141" i="14" s="1"/>
  <c r="BE141" i="14" s="1" a="1"/>
  <c r="AH141" i="14"/>
  <c r="AT141" i="14" s="1"/>
  <c r="BF141" i="14" s="1" a="1"/>
  <c r="AI141" i="14"/>
  <c r="AU141" i="14" s="1"/>
  <c r="BG141" i="14" s="1" a="1"/>
  <c r="AJ141" i="14"/>
  <c r="AV141" i="14" s="1"/>
  <c r="BH141" i="14" s="1" a="1"/>
  <c r="AK141" i="14"/>
  <c r="AW141" i="14" s="1"/>
  <c r="BI141" i="14" s="1" a="1"/>
  <c r="AL141" i="14"/>
  <c r="AX141" i="14" s="1"/>
  <c r="BJ141" i="14" s="1" a="1"/>
  <c r="AM141" i="14"/>
  <c r="AY141" i="14" s="1"/>
  <c r="BK141" i="14" s="1" a="1"/>
  <c r="AB142" i="14"/>
  <c r="AN142" i="14" s="1"/>
  <c r="AZ142" i="14" s="1" a="1"/>
  <c r="AC142" i="14"/>
  <c r="AO142" i="14" s="1"/>
  <c r="BA142" i="14" s="1" a="1"/>
  <c r="AD142" i="14"/>
  <c r="AP142" i="14" s="1"/>
  <c r="BB142" i="14" s="1" a="1"/>
  <c r="AE142" i="14"/>
  <c r="AQ142" i="14" s="1"/>
  <c r="BC142" i="14" s="1" a="1"/>
  <c r="AF142" i="14"/>
  <c r="AR142" i="14" s="1"/>
  <c r="BD142" i="14" s="1" a="1"/>
  <c r="AG142" i="14"/>
  <c r="AS142" i="14" s="1"/>
  <c r="BE142" i="14" s="1" a="1"/>
  <c r="AH142" i="14"/>
  <c r="AT142" i="14" s="1"/>
  <c r="BF142" i="14" s="1" a="1"/>
  <c r="AI142" i="14"/>
  <c r="AU142" i="14" s="1"/>
  <c r="BG142" i="14" s="1" a="1"/>
  <c r="AJ142" i="14"/>
  <c r="AV142" i="14" s="1"/>
  <c r="BH142" i="14" s="1" a="1"/>
  <c r="AK142" i="14"/>
  <c r="AW142" i="14" s="1"/>
  <c r="BI142" i="14" s="1" a="1"/>
  <c r="AL142" i="14"/>
  <c r="AX142" i="14" s="1"/>
  <c r="BJ142" i="14" s="1" a="1"/>
  <c r="AM142" i="14"/>
  <c r="AY142" i="14" s="1"/>
  <c r="BK142" i="14" s="1" a="1"/>
  <c r="AB143" i="14"/>
  <c r="AN143" i="14" s="1"/>
  <c r="AZ143" i="14" s="1" a="1"/>
  <c r="AC143" i="14"/>
  <c r="AO143" i="14" s="1"/>
  <c r="BA143" i="14" s="1" a="1"/>
  <c r="AD143" i="14"/>
  <c r="AP143" i="14" s="1"/>
  <c r="BB143" i="14" s="1" a="1"/>
  <c r="AE143" i="14"/>
  <c r="AQ143" i="14" s="1"/>
  <c r="BC143" i="14" s="1" a="1"/>
  <c r="AF143" i="14"/>
  <c r="AR143" i="14" s="1"/>
  <c r="BD143" i="14" s="1" a="1"/>
  <c r="AG143" i="14"/>
  <c r="AS143" i="14" s="1"/>
  <c r="BE143" i="14" s="1" a="1"/>
  <c r="AH143" i="14"/>
  <c r="AT143" i="14" s="1"/>
  <c r="BF143" i="14" s="1" a="1"/>
  <c r="AI143" i="14"/>
  <c r="AU143" i="14" s="1"/>
  <c r="BG143" i="14" s="1" a="1"/>
  <c r="AJ143" i="14"/>
  <c r="AV143" i="14" s="1"/>
  <c r="BH143" i="14" s="1" a="1"/>
  <c r="AK143" i="14"/>
  <c r="AW143" i="14" s="1"/>
  <c r="BI143" i="14" s="1" a="1"/>
  <c r="AL143" i="14"/>
  <c r="AX143" i="14" s="1"/>
  <c r="BJ143" i="14" s="1" a="1"/>
  <c r="AM143" i="14"/>
  <c r="AY143" i="14" s="1"/>
  <c r="BK143" i="14" s="1" a="1"/>
  <c r="AB145" i="14"/>
  <c r="AN145" i="14" s="1"/>
  <c r="AZ145" i="14" s="1" a="1"/>
  <c r="AC145" i="14"/>
  <c r="AO145" i="14" s="1"/>
  <c r="BA145" i="14" s="1" a="1"/>
  <c r="AD145" i="14"/>
  <c r="AP145" i="14" s="1"/>
  <c r="BB145" i="14" s="1" a="1"/>
  <c r="AE145" i="14"/>
  <c r="AQ145" i="14" s="1"/>
  <c r="BC145" i="14" s="1" a="1"/>
  <c r="AF145" i="14"/>
  <c r="AR145" i="14" s="1"/>
  <c r="BD145" i="14" s="1" a="1"/>
  <c r="AG145" i="14"/>
  <c r="AS145" i="14" s="1"/>
  <c r="BE145" i="14" s="1" a="1"/>
  <c r="AH145" i="14"/>
  <c r="AT145" i="14" s="1"/>
  <c r="BF145" i="14" s="1" a="1"/>
  <c r="AI145" i="14"/>
  <c r="AU145" i="14" s="1"/>
  <c r="BG145" i="14" s="1" a="1"/>
  <c r="AJ145" i="14"/>
  <c r="AV145" i="14" s="1"/>
  <c r="BH145" i="14" s="1" a="1"/>
  <c r="AK145" i="14"/>
  <c r="AW145" i="14" s="1"/>
  <c r="BI145" i="14" s="1" a="1"/>
  <c r="AL145" i="14"/>
  <c r="AX145" i="14" s="1"/>
  <c r="BJ145" i="14" s="1" a="1"/>
  <c r="AM145" i="14"/>
  <c r="AY145" i="14" s="1"/>
  <c r="BK145" i="14" s="1" a="1"/>
  <c r="AB146" i="14"/>
  <c r="AN146" i="14" s="1"/>
  <c r="AZ146" i="14" s="1" a="1"/>
  <c r="AC146" i="14"/>
  <c r="AO146" i="14" s="1"/>
  <c r="BA146" i="14" s="1" a="1"/>
  <c r="AD146" i="14"/>
  <c r="AP146" i="14" s="1"/>
  <c r="BB146" i="14" s="1" a="1"/>
  <c r="AE146" i="14"/>
  <c r="AQ146" i="14" s="1"/>
  <c r="BC146" i="14" s="1" a="1"/>
  <c r="AF146" i="14"/>
  <c r="AR146" i="14" s="1"/>
  <c r="BD146" i="14" s="1" a="1"/>
  <c r="AG146" i="14"/>
  <c r="AS146" i="14" s="1"/>
  <c r="BE146" i="14" s="1" a="1"/>
  <c r="AH146" i="14"/>
  <c r="AT146" i="14" s="1"/>
  <c r="BF146" i="14" s="1" a="1"/>
  <c r="AI146" i="14"/>
  <c r="AU146" i="14" s="1"/>
  <c r="BG146" i="14" s="1" a="1"/>
  <c r="AJ146" i="14"/>
  <c r="AV146" i="14" s="1"/>
  <c r="BH146" i="14" s="1" a="1"/>
  <c r="AK146" i="14"/>
  <c r="AW146" i="14" s="1"/>
  <c r="BI146" i="14" s="1" a="1"/>
  <c r="AL146" i="14"/>
  <c r="AX146" i="14" s="1"/>
  <c r="BJ146" i="14" s="1" a="1"/>
  <c r="AM146" i="14"/>
  <c r="AY146" i="14" s="1"/>
  <c r="BK146" i="14" s="1" a="1"/>
  <c r="AB147" i="14"/>
  <c r="AN147" i="14" s="1"/>
  <c r="AZ147" i="14" s="1" a="1"/>
  <c r="AC147" i="14"/>
  <c r="AO147" i="14" s="1"/>
  <c r="BA147" i="14" s="1" a="1"/>
  <c r="AD147" i="14"/>
  <c r="AP147" i="14" s="1"/>
  <c r="BB147" i="14" s="1" a="1"/>
  <c r="AE147" i="14"/>
  <c r="AQ147" i="14" s="1"/>
  <c r="BC147" i="14" s="1" a="1"/>
  <c r="AF147" i="14"/>
  <c r="AR147" i="14" s="1"/>
  <c r="BD147" i="14" s="1" a="1"/>
  <c r="AG147" i="14"/>
  <c r="AS147" i="14" s="1"/>
  <c r="BE147" i="14" s="1" a="1"/>
  <c r="AH147" i="14"/>
  <c r="AT147" i="14" s="1"/>
  <c r="BF147" i="14" s="1" a="1"/>
  <c r="AI147" i="14"/>
  <c r="AU147" i="14" s="1"/>
  <c r="BG147" i="14" s="1" a="1"/>
  <c r="AJ147" i="14"/>
  <c r="AV147" i="14" s="1"/>
  <c r="BH147" i="14" s="1" a="1"/>
  <c r="AK147" i="14"/>
  <c r="AW147" i="14" s="1"/>
  <c r="BI147" i="14" s="1" a="1"/>
  <c r="AL147" i="14"/>
  <c r="AX147" i="14" s="1"/>
  <c r="BJ147" i="14" s="1" a="1"/>
  <c r="AM147" i="14"/>
  <c r="AY147" i="14" s="1"/>
  <c r="BK147" i="14" s="1" a="1"/>
  <c r="AB148" i="14"/>
  <c r="AN148" i="14" s="1"/>
  <c r="AZ148" i="14" s="1" a="1"/>
  <c r="AC148" i="14"/>
  <c r="AO148" i="14" s="1"/>
  <c r="BA148" i="14" s="1" a="1"/>
  <c r="AD148" i="14"/>
  <c r="AP148" i="14" s="1"/>
  <c r="BB148" i="14" s="1" a="1"/>
  <c r="AE148" i="14"/>
  <c r="AQ148" i="14" s="1"/>
  <c r="BC148" i="14" s="1" a="1"/>
  <c r="AF148" i="14"/>
  <c r="AR148" i="14" s="1"/>
  <c r="BD148" i="14" s="1" a="1"/>
  <c r="AG148" i="14"/>
  <c r="AS148" i="14" s="1"/>
  <c r="BE148" i="14" s="1" a="1"/>
  <c r="AH148" i="14"/>
  <c r="AT148" i="14" s="1"/>
  <c r="BF148" i="14" s="1" a="1"/>
  <c r="AI148" i="14"/>
  <c r="AU148" i="14" s="1"/>
  <c r="BG148" i="14" s="1" a="1"/>
  <c r="AJ148" i="14"/>
  <c r="AV148" i="14" s="1"/>
  <c r="BH148" i="14" s="1" a="1"/>
  <c r="AK148" i="14"/>
  <c r="AW148" i="14" s="1"/>
  <c r="BI148" i="14" s="1" a="1"/>
  <c r="AL148" i="14"/>
  <c r="AX148" i="14" s="1"/>
  <c r="BJ148" i="14" s="1" a="1"/>
  <c r="AM148" i="14"/>
  <c r="AY148" i="14" s="1"/>
  <c r="BK148" i="14" s="1" a="1"/>
  <c r="AB149" i="14"/>
  <c r="AN149" i="14" s="1"/>
  <c r="AZ149" i="14" s="1" a="1"/>
  <c r="AC149" i="14"/>
  <c r="AO149" i="14" s="1"/>
  <c r="BA149" i="14" s="1" a="1"/>
  <c r="AD149" i="14"/>
  <c r="AP149" i="14" s="1"/>
  <c r="BB149" i="14" s="1" a="1"/>
  <c r="AE149" i="14"/>
  <c r="AQ149" i="14" s="1"/>
  <c r="BC149" i="14" s="1" a="1"/>
  <c r="AF149" i="14"/>
  <c r="AR149" i="14" s="1"/>
  <c r="BD149" i="14" s="1" a="1"/>
  <c r="AG149" i="14"/>
  <c r="AS149" i="14" s="1"/>
  <c r="BE149" i="14" s="1" a="1"/>
  <c r="AH149" i="14"/>
  <c r="AT149" i="14" s="1"/>
  <c r="BF149" i="14" s="1" a="1"/>
  <c r="AI149" i="14"/>
  <c r="AU149" i="14" s="1"/>
  <c r="BG149" i="14" s="1" a="1"/>
  <c r="AJ149" i="14"/>
  <c r="AV149" i="14" s="1"/>
  <c r="BH149" i="14" s="1" a="1"/>
  <c r="AK149" i="14"/>
  <c r="AW149" i="14" s="1"/>
  <c r="BI149" i="14" s="1" a="1"/>
  <c r="AL149" i="14"/>
  <c r="AX149" i="14" s="1"/>
  <c r="BJ149" i="14" s="1" a="1"/>
  <c r="AM149" i="14"/>
  <c r="AY149" i="14" s="1"/>
  <c r="BK149" i="14" s="1" a="1"/>
  <c r="AB150" i="14"/>
  <c r="AN150" i="14" s="1"/>
  <c r="AZ150" i="14" s="1" a="1"/>
  <c r="AC150" i="14"/>
  <c r="AO150" i="14" s="1"/>
  <c r="BA150" i="14" s="1" a="1"/>
  <c r="AD150" i="14"/>
  <c r="AP150" i="14" s="1"/>
  <c r="BB150" i="14" s="1" a="1"/>
  <c r="AE150" i="14"/>
  <c r="AQ150" i="14" s="1"/>
  <c r="BC150" i="14" s="1" a="1"/>
  <c r="AF150" i="14"/>
  <c r="AR150" i="14" s="1"/>
  <c r="BD150" i="14" s="1" a="1"/>
  <c r="AG150" i="14"/>
  <c r="AS150" i="14" s="1"/>
  <c r="BE150" i="14" s="1" a="1"/>
  <c r="AH150" i="14"/>
  <c r="AT150" i="14" s="1"/>
  <c r="BF150" i="14" s="1" a="1"/>
  <c r="AI150" i="14"/>
  <c r="AU150" i="14" s="1"/>
  <c r="BG150" i="14" s="1" a="1"/>
  <c r="AJ150" i="14"/>
  <c r="AV150" i="14" s="1"/>
  <c r="BH150" i="14" s="1" a="1"/>
  <c r="AK150" i="14"/>
  <c r="AW150" i="14" s="1"/>
  <c r="BI150" i="14" s="1" a="1"/>
  <c r="AL150" i="14"/>
  <c r="AX150" i="14" s="1"/>
  <c r="BJ150" i="14" s="1" a="1"/>
  <c r="AM150" i="14"/>
  <c r="AY150" i="14" s="1"/>
  <c r="BK150" i="14" s="1" a="1"/>
  <c r="AB151" i="14"/>
  <c r="AN151" i="14" s="1"/>
  <c r="AZ151" i="14" s="1" a="1"/>
  <c r="AC151" i="14"/>
  <c r="AO151" i="14" s="1"/>
  <c r="BA151" i="14" s="1" a="1"/>
  <c r="AD151" i="14"/>
  <c r="AP151" i="14" s="1"/>
  <c r="BB151" i="14" s="1" a="1"/>
  <c r="AE151" i="14"/>
  <c r="AQ151" i="14" s="1"/>
  <c r="BC151" i="14" s="1" a="1"/>
  <c r="AF151" i="14"/>
  <c r="AR151" i="14" s="1"/>
  <c r="BD151" i="14" s="1" a="1"/>
  <c r="AG151" i="14"/>
  <c r="AS151" i="14" s="1"/>
  <c r="BE151" i="14" s="1" a="1"/>
  <c r="AH151" i="14"/>
  <c r="AT151" i="14" s="1"/>
  <c r="BF151" i="14" s="1" a="1"/>
  <c r="AI151" i="14"/>
  <c r="AU151" i="14" s="1"/>
  <c r="BG151" i="14" s="1" a="1"/>
  <c r="AJ151" i="14"/>
  <c r="AV151" i="14" s="1"/>
  <c r="BH151" i="14" s="1" a="1"/>
  <c r="AK151" i="14"/>
  <c r="AW151" i="14" s="1"/>
  <c r="BI151" i="14" s="1" a="1"/>
  <c r="AL151" i="14"/>
  <c r="AX151" i="14" s="1"/>
  <c r="BJ151" i="14" s="1" a="1"/>
  <c r="AM151" i="14"/>
  <c r="AY151" i="14" s="1"/>
  <c r="BK151" i="14" s="1" a="1"/>
  <c r="AB152" i="14"/>
  <c r="AN152" i="14" s="1"/>
  <c r="AZ152" i="14" s="1" a="1"/>
  <c r="AC152" i="14"/>
  <c r="AO152" i="14" s="1"/>
  <c r="BA152" i="14" s="1" a="1"/>
  <c r="AD152" i="14"/>
  <c r="AP152" i="14" s="1"/>
  <c r="BB152" i="14" s="1" a="1"/>
  <c r="AE152" i="14"/>
  <c r="AQ152" i="14" s="1"/>
  <c r="BC152" i="14" s="1" a="1"/>
  <c r="AF152" i="14"/>
  <c r="AR152" i="14" s="1"/>
  <c r="BD152" i="14" s="1" a="1"/>
  <c r="AG152" i="14"/>
  <c r="AS152" i="14" s="1"/>
  <c r="BE152" i="14" s="1" a="1"/>
  <c r="AH152" i="14"/>
  <c r="AT152" i="14" s="1"/>
  <c r="BF152" i="14" s="1" a="1"/>
  <c r="AI152" i="14"/>
  <c r="AU152" i="14" s="1"/>
  <c r="BG152" i="14" s="1" a="1"/>
  <c r="AJ152" i="14"/>
  <c r="AV152" i="14" s="1"/>
  <c r="BH152" i="14" s="1" a="1"/>
  <c r="AK152" i="14"/>
  <c r="AW152" i="14" s="1"/>
  <c r="BI152" i="14" s="1" a="1"/>
  <c r="AL152" i="14"/>
  <c r="AX152" i="14" s="1"/>
  <c r="BJ152" i="14" s="1" a="1"/>
  <c r="AM152" i="14"/>
  <c r="AY152" i="14" s="1"/>
  <c r="BK152" i="14" s="1" a="1"/>
  <c r="AB153" i="14"/>
  <c r="AN153" i="14" s="1"/>
  <c r="AZ153" i="14" s="1" a="1"/>
  <c r="AC153" i="14"/>
  <c r="AO153" i="14" s="1"/>
  <c r="BA153" i="14" s="1" a="1"/>
  <c r="AD153" i="14"/>
  <c r="AP153" i="14" s="1"/>
  <c r="BB153" i="14" s="1" a="1"/>
  <c r="AE153" i="14"/>
  <c r="AQ153" i="14" s="1"/>
  <c r="BC153" i="14" s="1" a="1"/>
  <c r="AF153" i="14"/>
  <c r="AR153" i="14" s="1"/>
  <c r="BD153" i="14" s="1" a="1"/>
  <c r="AG153" i="14"/>
  <c r="AS153" i="14" s="1"/>
  <c r="BE153" i="14" s="1" a="1"/>
  <c r="AH153" i="14"/>
  <c r="AT153" i="14" s="1"/>
  <c r="BF153" i="14" s="1" a="1"/>
  <c r="AI153" i="14"/>
  <c r="AU153" i="14" s="1"/>
  <c r="BG153" i="14" s="1" a="1"/>
  <c r="AJ153" i="14"/>
  <c r="AV153" i="14" s="1"/>
  <c r="BH153" i="14" s="1" a="1"/>
  <c r="AK153" i="14"/>
  <c r="AW153" i="14" s="1"/>
  <c r="BI153" i="14" s="1" a="1"/>
  <c r="AL153" i="14"/>
  <c r="AX153" i="14" s="1"/>
  <c r="BJ153" i="14" s="1" a="1"/>
  <c r="AM153" i="14"/>
  <c r="AY153" i="14" s="1"/>
  <c r="BK153" i="14" s="1" a="1"/>
  <c r="AB155" i="14"/>
  <c r="AN155" i="14" s="1"/>
  <c r="AZ155" i="14" s="1" a="1"/>
  <c r="AC155" i="14"/>
  <c r="AO155" i="14" s="1"/>
  <c r="BA155" i="14" s="1" a="1"/>
  <c r="AD155" i="14"/>
  <c r="AP155" i="14" s="1"/>
  <c r="BB155" i="14" s="1" a="1"/>
  <c r="AE155" i="14"/>
  <c r="AQ155" i="14" s="1"/>
  <c r="BC155" i="14" s="1" a="1"/>
  <c r="AF155" i="14"/>
  <c r="AR155" i="14" s="1"/>
  <c r="BD155" i="14" s="1" a="1"/>
  <c r="AG155" i="14"/>
  <c r="AS155" i="14" s="1"/>
  <c r="BE155" i="14" s="1" a="1"/>
  <c r="AH155" i="14"/>
  <c r="AT155" i="14" s="1"/>
  <c r="BF155" i="14" s="1" a="1"/>
  <c r="AI155" i="14"/>
  <c r="AU155" i="14" s="1"/>
  <c r="BG155" i="14" s="1" a="1"/>
  <c r="AJ155" i="14"/>
  <c r="AV155" i="14" s="1"/>
  <c r="BH155" i="14" s="1" a="1"/>
  <c r="AK155" i="14"/>
  <c r="AW155" i="14" s="1"/>
  <c r="BI155" i="14" s="1" a="1"/>
  <c r="AL155" i="14"/>
  <c r="AX155" i="14" s="1"/>
  <c r="BJ155" i="14" s="1" a="1"/>
  <c r="AM155" i="14"/>
  <c r="AY155" i="14" s="1"/>
  <c r="BK155" i="14" s="1" a="1"/>
  <c r="AB156" i="14"/>
  <c r="AN156" i="14" s="1"/>
  <c r="AZ156" i="14" s="1" a="1"/>
  <c r="AC156" i="14"/>
  <c r="AO156" i="14" s="1"/>
  <c r="BA156" i="14" s="1" a="1"/>
  <c r="AD156" i="14"/>
  <c r="AP156" i="14" s="1"/>
  <c r="BB156" i="14" s="1" a="1"/>
  <c r="AE156" i="14"/>
  <c r="AQ156" i="14" s="1"/>
  <c r="BC156" i="14" s="1" a="1"/>
  <c r="AF156" i="14"/>
  <c r="AR156" i="14" s="1"/>
  <c r="BD156" i="14" s="1" a="1"/>
  <c r="AG156" i="14"/>
  <c r="AS156" i="14" s="1"/>
  <c r="BE156" i="14" s="1" a="1"/>
  <c r="AH156" i="14"/>
  <c r="AT156" i="14" s="1"/>
  <c r="BF156" i="14" s="1" a="1"/>
  <c r="AI156" i="14"/>
  <c r="AU156" i="14" s="1"/>
  <c r="BG156" i="14" s="1" a="1"/>
  <c r="AJ156" i="14"/>
  <c r="AV156" i="14" s="1"/>
  <c r="BH156" i="14" s="1" a="1"/>
  <c r="AK156" i="14"/>
  <c r="AW156" i="14" s="1"/>
  <c r="BI156" i="14" s="1" a="1"/>
  <c r="AL156" i="14"/>
  <c r="AX156" i="14" s="1"/>
  <c r="BJ156" i="14" s="1" a="1"/>
  <c r="AM156" i="14"/>
  <c r="AY156" i="14" s="1"/>
  <c r="BK156" i="14" s="1" a="1"/>
  <c r="AB157" i="14"/>
  <c r="AN157" i="14" s="1"/>
  <c r="AZ157" i="14" s="1" a="1"/>
  <c r="AC157" i="14"/>
  <c r="AO157" i="14" s="1"/>
  <c r="BA157" i="14" s="1" a="1"/>
  <c r="AD157" i="14"/>
  <c r="AP157" i="14" s="1"/>
  <c r="BB157" i="14" s="1" a="1"/>
  <c r="AE157" i="14"/>
  <c r="AQ157" i="14" s="1"/>
  <c r="BC157" i="14" s="1" a="1"/>
  <c r="AF157" i="14"/>
  <c r="AR157" i="14" s="1"/>
  <c r="BD157" i="14" s="1" a="1"/>
  <c r="AG157" i="14"/>
  <c r="AS157" i="14" s="1"/>
  <c r="BE157" i="14" s="1" a="1"/>
  <c r="AH157" i="14"/>
  <c r="AT157" i="14" s="1"/>
  <c r="BF157" i="14" s="1" a="1"/>
  <c r="AI157" i="14"/>
  <c r="AU157" i="14" s="1"/>
  <c r="BG157" i="14" s="1" a="1"/>
  <c r="AJ157" i="14"/>
  <c r="AV157" i="14" s="1"/>
  <c r="BH157" i="14" s="1" a="1"/>
  <c r="AK157" i="14"/>
  <c r="AW157" i="14" s="1"/>
  <c r="BI157" i="14" s="1" a="1"/>
  <c r="AL157" i="14"/>
  <c r="AX157" i="14" s="1"/>
  <c r="BJ157" i="14" s="1" a="1"/>
  <c r="AM157" i="14"/>
  <c r="AY157" i="14" s="1"/>
  <c r="BK157" i="14" s="1" a="1"/>
  <c r="AB158" i="14"/>
  <c r="AN158" i="14" s="1"/>
  <c r="AZ158" i="14" s="1" a="1"/>
  <c r="AC158" i="14"/>
  <c r="AO158" i="14" s="1"/>
  <c r="BA158" i="14" s="1" a="1"/>
  <c r="AD158" i="14"/>
  <c r="AP158" i="14" s="1"/>
  <c r="BB158" i="14" s="1" a="1"/>
  <c r="AE158" i="14"/>
  <c r="AQ158" i="14" s="1"/>
  <c r="BC158" i="14" s="1" a="1"/>
  <c r="AF158" i="14"/>
  <c r="AR158" i="14" s="1"/>
  <c r="BD158" i="14" s="1" a="1"/>
  <c r="AG158" i="14"/>
  <c r="AS158" i="14" s="1"/>
  <c r="BE158" i="14" s="1" a="1"/>
  <c r="AH158" i="14"/>
  <c r="AT158" i="14" s="1"/>
  <c r="BF158" i="14" s="1" a="1"/>
  <c r="AI158" i="14"/>
  <c r="AU158" i="14" s="1"/>
  <c r="BG158" i="14" s="1" a="1"/>
  <c r="AJ158" i="14"/>
  <c r="AV158" i="14" s="1"/>
  <c r="BH158" i="14" s="1" a="1"/>
  <c r="AK158" i="14"/>
  <c r="AW158" i="14" s="1"/>
  <c r="BI158" i="14" s="1" a="1"/>
  <c r="AL158" i="14"/>
  <c r="AX158" i="14" s="1"/>
  <c r="BJ158" i="14" s="1" a="1"/>
  <c r="AM158" i="14"/>
  <c r="AY158" i="14" s="1"/>
  <c r="BK158" i="14" s="1" a="1"/>
  <c r="AB159" i="14"/>
  <c r="AN159" i="14" s="1"/>
  <c r="AZ159" i="14" s="1" a="1"/>
  <c r="AC159" i="14"/>
  <c r="AO159" i="14" s="1"/>
  <c r="BA159" i="14" s="1" a="1"/>
  <c r="AD159" i="14"/>
  <c r="AP159" i="14" s="1"/>
  <c r="BB159" i="14" s="1" a="1"/>
  <c r="AE159" i="14"/>
  <c r="AQ159" i="14" s="1"/>
  <c r="BC159" i="14" s="1" a="1"/>
  <c r="AF159" i="14"/>
  <c r="AR159" i="14" s="1"/>
  <c r="BD159" i="14" s="1" a="1"/>
  <c r="AG159" i="14"/>
  <c r="AS159" i="14" s="1"/>
  <c r="BE159" i="14" s="1" a="1"/>
  <c r="AH159" i="14"/>
  <c r="AT159" i="14" s="1"/>
  <c r="BF159" i="14" s="1" a="1"/>
  <c r="AI159" i="14"/>
  <c r="AU159" i="14" s="1"/>
  <c r="BG159" i="14" s="1" a="1"/>
  <c r="AJ159" i="14"/>
  <c r="AV159" i="14" s="1"/>
  <c r="BH159" i="14" s="1" a="1"/>
  <c r="AK159" i="14"/>
  <c r="AW159" i="14" s="1"/>
  <c r="BI159" i="14" s="1" a="1"/>
  <c r="AL159" i="14"/>
  <c r="AX159" i="14" s="1"/>
  <c r="BJ159" i="14" s="1" a="1"/>
  <c r="AM159" i="14"/>
  <c r="AY159" i="14" s="1"/>
  <c r="BK159" i="14" s="1" a="1"/>
  <c r="AB160" i="14"/>
  <c r="AN160" i="14" s="1"/>
  <c r="AZ160" i="14" s="1" a="1"/>
  <c r="AC160" i="14"/>
  <c r="AO160" i="14" s="1"/>
  <c r="BA160" i="14" s="1" a="1"/>
  <c r="AD160" i="14"/>
  <c r="AP160" i="14" s="1"/>
  <c r="BB160" i="14" s="1" a="1"/>
  <c r="AE160" i="14"/>
  <c r="AQ160" i="14" s="1"/>
  <c r="BC160" i="14" s="1" a="1"/>
  <c r="AF160" i="14"/>
  <c r="AR160" i="14" s="1"/>
  <c r="BD160" i="14" s="1" a="1"/>
  <c r="AG160" i="14"/>
  <c r="AS160" i="14" s="1"/>
  <c r="BE160" i="14" s="1" a="1"/>
  <c r="AH160" i="14"/>
  <c r="AT160" i="14" s="1"/>
  <c r="BF160" i="14" s="1" a="1"/>
  <c r="AI160" i="14"/>
  <c r="AU160" i="14" s="1"/>
  <c r="BG160" i="14" s="1" a="1"/>
  <c r="AJ160" i="14"/>
  <c r="AV160" i="14" s="1"/>
  <c r="BH160" i="14" s="1" a="1"/>
  <c r="AK160" i="14"/>
  <c r="AW160" i="14" s="1"/>
  <c r="BI160" i="14" s="1" a="1"/>
  <c r="AL160" i="14"/>
  <c r="AX160" i="14" s="1"/>
  <c r="BJ160" i="14" s="1" a="1"/>
  <c r="AM160" i="14"/>
  <c r="AY160" i="14" s="1"/>
  <c r="BK160" i="14" s="1" a="1"/>
  <c r="AB161" i="14"/>
  <c r="AN161" i="14" s="1"/>
  <c r="AZ161" i="14" s="1" a="1"/>
  <c r="AC161" i="14"/>
  <c r="AO161" i="14" s="1"/>
  <c r="BA161" i="14" s="1" a="1"/>
  <c r="AD161" i="14"/>
  <c r="AP161" i="14" s="1"/>
  <c r="BB161" i="14" s="1" a="1"/>
  <c r="AE161" i="14"/>
  <c r="AQ161" i="14" s="1"/>
  <c r="BC161" i="14" s="1" a="1"/>
  <c r="AF161" i="14"/>
  <c r="AR161" i="14" s="1"/>
  <c r="BD161" i="14" s="1" a="1"/>
  <c r="AG161" i="14"/>
  <c r="AS161" i="14" s="1"/>
  <c r="BE161" i="14" s="1" a="1"/>
  <c r="AH161" i="14"/>
  <c r="AT161" i="14" s="1"/>
  <c r="BF161" i="14" s="1" a="1"/>
  <c r="AI161" i="14"/>
  <c r="AU161" i="14" s="1"/>
  <c r="BG161" i="14" s="1" a="1"/>
  <c r="AJ161" i="14"/>
  <c r="AV161" i="14" s="1"/>
  <c r="BH161" i="14" s="1" a="1"/>
  <c r="AK161" i="14"/>
  <c r="AW161" i="14" s="1"/>
  <c r="BI161" i="14" s="1" a="1"/>
  <c r="AL161" i="14"/>
  <c r="AX161" i="14" s="1"/>
  <c r="BJ161" i="14" s="1" a="1"/>
  <c r="AM161" i="14"/>
  <c r="AY161" i="14" s="1"/>
  <c r="BK161" i="14" s="1" a="1"/>
  <c r="AB162" i="14"/>
  <c r="AN162" i="14" s="1"/>
  <c r="AZ162" i="14" s="1" a="1"/>
  <c r="AC162" i="14"/>
  <c r="AO162" i="14" s="1"/>
  <c r="BA162" i="14" s="1" a="1"/>
  <c r="AD162" i="14"/>
  <c r="AP162" i="14" s="1"/>
  <c r="BB162" i="14" s="1" a="1"/>
  <c r="AE162" i="14"/>
  <c r="AQ162" i="14" s="1"/>
  <c r="BC162" i="14" s="1" a="1"/>
  <c r="AF162" i="14"/>
  <c r="AR162" i="14" s="1"/>
  <c r="BD162" i="14" s="1" a="1"/>
  <c r="AG162" i="14"/>
  <c r="AS162" i="14" s="1"/>
  <c r="BE162" i="14" s="1" a="1"/>
  <c r="AH162" i="14"/>
  <c r="AT162" i="14" s="1"/>
  <c r="BF162" i="14" s="1" a="1"/>
  <c r="AI162" i="14"/>
  <c r="AU162" i="14" s="1"/>
  <c r="BG162" i="14" s="1" a="1"/>
  <c r="AJ162" i="14"/>
  <c r="AV162" i="14" s="1"/>
  <c r="BH162" i="14" s="1" a="1"/>
  <c r="AK162" i="14"/>
  <c r="AW162" i="14" s="1"/>
  <c r="BI162" i="14" s="1" a="1"/>
  <c r="AL162" i="14"/>
  <c r="AX162" i="14" s="1"/>
  <c r="BJ162" i="14" s="1" a="1"/>
  <c r="AM162" i="14"/>
  <c r="AY162" i="14" s="1"/>
  <c r="BK162" i="14" s="1" a="1"/>
  <c r="AB163" i="14"/>
  <c r="AN163" i="14" s="1"/>
  <c r="AZ163" i="14" s="1" a="1"/>
  <c r="AC163" i="14"/>
  <c r="AO163" i="14" s="1"/>
  <c r="BA163" i="14" s="1" a="1"/>
  <c r="AD163" i="14"/>
  <c r="AP163" i="14" s="1"/>
  <c r="BB163" i="14" s="1" a="1"/>
  <c r="AE163" i="14"/>
  <c r="AQ163" i="14" s="1"/>
  <c r="BC163" i="14" s="1" a="1"/>
  <c r="AF163" i="14"/>
  <c r="AR163" i="14" s="1"/>
  <c r="BD163" i="14" s="1" a="1"/>
  <c r="AG163" i="14"/>
  <c r="AS163" i="14" s="1"/>
  <c r="BE163" i="14" s="1" a="1"/>
  <c r="AH163" i="14"/>
  <c r="AT163" i="14" s="1"/>
  <c r="BF163" i="14" s="1" a="1"/>
  <c r="AI163" i="14"/>
  <c r="AU163" i="14" s="1"/>
  <c r="BG163" i="14" s="1" a="1"/>
  <c r="AJ163" i="14"/>
  <c r="AV163" i="14" s="1"/>
  <c r="BH163" i="14" s="1" a="1"/>
  <c r="AK163" i="14"/>
  <c r="AW163" i="14" s="1"/>
  <c r="BI163" i="14" s="1" a="1"/>
  <c r="AL163" i="14"/>
  <c r="AX163" i="14" s="1"/>
  <c r="BJ163" i="14" s="1" a="1"/>
  <c r="AM163" i="14"/>
  <c r="AY163" i="14" s="1"/>
  <c r="BK163" i="14" s="1" a="1"/>
  <c r="AB164" i="14"/>
  <c r="AN164" i="14" s="1"/>
  <c r="AZ164" i="14" s="1" a="1"/>
  <c r="AC164" i="14"/>
  <c r="AO164" i="14" s="1"/>
  <c r="BA164" i="14" s="1" a="1"/>
  <c r="AD164" i="14"/>
  <c r="AP164" i="14" s="1"/>
  <c r="BB164" i="14" s="1" a="1"/>
  <c r="AE164" i="14"/>
  <c r="AQ164" i="14" s="1"/>
  <c r="BC164" i="14" s="1" a="1"/>
  <c r="AF164" i="14"/>
  <c r="AR164" i="14" s="1"/>
  <c r="BD164" i="14" s="1" a="1"/>
  <c r="AG164" i="14"/>
  <c r="AS164" i="14" s="1"/>
  <c r="BE164" i="14" s="1" a="1"/>
  <c r="AH164" i="14"/>
  <c r="AT164" i="14" s="1"/>
  <c r="BF164" i="14" s="1" a="1"/>
  <c r="AI164" i="14"/>
  <c r="AU164" i="14" s="1"/>
  <c r="BG164" i="14" s="1" a="1"/>
  <c r="AJ164" i="14"/>
  <c r="AV164" i="14" s="1"/>
  <c r="BH164" i="14" s="1" a="1"/>
  <c r="AK164" i="14"/>
  <c r="AW164" i="14" s="1"/>
  <c r="BI164" i="14" s="1" a="1"/>
  <c r="AL164" i="14"/>
  <c r="AX164" i="14" s="1"/>
  <c r="BJ164" i="14" s="1" a="1"/>
  <c r="AM164" i="14"/>
  <c r="AY164" i="14" s="1"/>
  <c r="BK164" i="14" s="1" a="1"/>
  <c r="AB112" i="14"/>
  <c r="AN112" i="14" s="1"/>
  <c r="AZ112" i="14" s="1" a="1"/>
  <c r="AC112" i="14"/>
  <c r="AO112" i="14" s="1"/>
  <c r="BA112" i="14" s="1" a="1"/>
  <c r="AD112" i="14"/>
  <c r="AP112" i="14" s="1"/>
  <c r="BB112" i="14" s="1" a="1"/>
  <c r="AE112" i="14"/>
  <c r="AQ112" i="14" s="1"/>
  <c r="BC112" i="14" s="1" a="1"/>
  <c r="AF112" i="14"/>
  <c r="AR112" i="14" s="1"/>
  <c r="BD112" i="14" s="1" a="1"/>
  <c r="AG112" i="14"/>
  <c r="AS112" i="14" s="1"/>
  <c r="BE112" i="14" s="1" a="1"/>
  <c r="AH112" i="14"/>
  <c r="AT112" i="14" s="1"/>
  <c r="BF112" i="14" s="1" a="1"/>
  <c r="AI112" i="14"/>
  <c r="AU112" i="14" s="1"/>
  <c r="BG112" i="14" s="1" a="1"/>
  <c r="AJ112" i="14"/>
  <c r="AV112" i="14" s="1"/>
  <c r="BH112" i="14" s="1" a="1"/>
  <c r="AK112" i="14"/>
  <c r="AW112" i="14" s="1"/>
  <c r="BI112" i="14" s="1" a="1"/>
  <c r="AL112" i="14"/>
  <c r="AX112" i="14" s="1"/>
  <c r="BJ112" i="14" s="1" a="1"/>
  <c r="AM112" i="14"/>
  <c r="AY112" i="14" s="1"/>
  <c r="BK112" i="14" s="1" a="1"/>
  <c r="AB113" i="14"/>
  <c r="AN113" i="14" s="1"/>
  <c r="AZ113" i="14" s="1" a="1"/>
  <c r="AC113" i="14"/>
  <c r="AO113" i="14" s="1"/>
  <c r="BA113" i="14" s="1" a="1"/>
  <c r="AD113" i="14"/>
  <c r="AP113" i="14" s="1"/>
  <c r="BB113" i="14" s="1" a="1"/>
  <c r="AE113" i="14"/>
  <c r="AQ113" i="14" s="1"/>
  <c r="BC113" i="14" s="1" a="1"/>
  <c r="AF113" i="14"/>
  <c r="AR113" i="14" s="1"/>
  <c r="BD113" i="14" s="1" a="1"/>
  <c r="AG113" i="14"/>
  <c r="AS113" i="14" s="1"/>
  <c r="BE113" i="14" s="1" a="1"/>
  <c r="AH113" i="14"/>
  <c r="AT113" i="14" s="1"/>
  <c r="BF113" i="14" s="1" a="1"/>
  <c r="AI113" i="14"/>
  <c r="AU113" i="14" s="1"/>
  <c r="BG113" i="14" s="1" a="1"/>
  <c r="AJ113" i="14"/>
  <c r="AV113" i="14" s="1"/>
  <c r="BH113" i="14" s="1" a="1"/>
  <c r="AK113" i="14"/>
  <c r="AW113" i="14" s="1"/>
  <c r="BI113" i="14" s="1" a="1"/>
  <c r="AL113" i="14"/>
  <c r="AX113" i="14" s="1"/>
  <c r="BJ113" i="14" s="1" a="1"/>
  <c r="AM113" i="14"/>
  <c r="AY113" i="14" s="1"/>
  <c r="BK113" i="14" s="1" a="1"/>
  <c r="AB114" i="14"/>
  <c r="AN114" i="14" s="1"/>
  <c r="AZ114" i="14" s="1" a="1"/>
  <c r="AC114" i="14"/>
  <c r="AO114" i="14" s="1"/>
  <c r="BA114" i="14" s="1" a="1"/>
  <c r="AD114" i="14"/>
  <c r="AP114" i="14" s="1"/>
  <c r="BB114" i="14" s="1" a="1"/>
  <c r="AE114" i="14"/>
  <c r="AQ114" i="14" s="1"/>
  <c r="BC114" i="14" s="1" a="1"/>
  <c r="AF114" i="14"/>
  <c r="AR114" i="14" s="1"/>
  <c r="BD114" i="14" s="1" a="1"/>
  <c r="AG114" i="14"/>
  <c r="AS114" i="14" s="1"/>
  <c r="BE114" i="14" s="1" a="1"/>
  <c r="AH114" i="14"/>
  <c r="AT114" i="14" s="1"/>
  <c r="BF114" i="14" s="1" a="1"/>
  <c r="AI114" i="14"/>
  <c r="AU114" i="14" s="1"/>
  <c r="BG114" i="14" s="1" a="1"/>
  <c r="AJ114" i="14"/>
  <c r="AV114" i="14" s="1"/>
  <c r="BH114" i="14" s="1" a="1"/>
  <c r="AK114" i="14"/>
  <c r="AW114" i="14" s="1"/>
  <c r="BI114" i="14" s="1" a="1"/>
  <c r="AL114" i="14"/>
  <c r="AX114" i="14" s="1"/>
  <c r="BJ114" i="14" s="1" a="1"/>
  <c r="AM114" i="14"/>
  <c r="AY114" i="14" s="1"/>
  <c r="BK114" i="14" s="1" a="1"/>
  <c r="AB115" i="14"/>
  <c r="AN115" i="14" s="1"/>
  <c r="AZ115" i="14" s="1" a="1"/>
  <c r="AC115" i="14"/>
  <c r="AO115" i="14" s="1"/>
  <c r="BA115" i="14" s="1" a="1"/>
  <c r="AD115" i="14"/>
  <c r="AP115" i="14" s="1"/>
  <c r="BB115" i="14" s="1" a="1"/>
  <c r="AE115" i="14"/>
  <c r="AQ115" i="14" s="1"/>
  <c r="BC115" i="14" s="1" a="1"/>
  <c r="AF115" i="14"/>
  <c r="AR115" i="14" s="1"/>
  <c r="BD115" i="14" s="1" a="1"/>
  <c r="AG115" i="14"/>
  <c r="AS115" i="14" s="1"/>
  <c r="BE115" i="14" s="1" a="1"/>
  <c r="AH115" i="14"/>
  <c r="AT115" i="14" s="1"/>
  <c r="BF115" i="14" s="1" a="1"/>
  <c r="AI115" i="14"/>
  <c r="AU115" i="14" s="1"/>
  <c r="BG115" i="14" s="1" a="1"/>
  <c r="AJ115" i="14"/>
  <c r="AV115" i="14" s="1"/>
  <c r="BH115" i="14" s="1" a="1"/>
  <c r="AK115" i="14"/>
  <c r="AW115" i="14" s="1"/>
  <c r="BI115" i="14" s="1" a="1"/>
  <c r="AL115" i="14"/>
  <c r="AX115" i="14" s="1"/>
  <c r="BJ115" i="14" s="1" a="1"/>
  <c r="AM115" i="14"/>
  <c r="AY115" i="14" s="1"/>
  <c r="BK115" i="14" s="1" a="1"/>
  <c r="AB116" i="14"/>
  <c r="AN116" i="14" s="1"/>
  <c r="AZ116" i="14" s="1" a="1"/>
  <c r="AC116" i="14"/>
  <c r="AO116" i="14" s="1"/>
  <c r="BA116" i="14" s="1" a="1"/>
  <c r="AD116" i="14"/>
  <c r="AP116" i="14" s="1"/>
  <c r="BB116" i="14" s="1" a="1"/>
  <c r="AE116" i="14"/>
  <c r="AQ116" i="14" s="1"/>
  <c r="BC116" i="14" s="1" a="1"/>
  <c r="AF116" i="14"/>
  <c r="AR116" i="14" s="1"/>
  <c r="BD116" i="14" s="1" a="1"/>
  <c r="AG116" i="14"/>
  <c r="AS116" i="14" s="1"/>
  <c r="BE116" i="14" s="1" a="1"/>
  <c r="AH116" i="14"/>
  <c r="AT116" i="14" s="1"/>
  <c r="BF116" i="14" s="1" a="1"/>
  <c r="AI116" i="14"/>
  <c r="AU116" i="14" s="1"/>
  <c r="BG116" i="14" s="1" a="1"/>
  <c r="AJ116" i="14"/>
  <c r="AV116" i="14" s="1"/>
  <c r="BH116" i="14" s="1" a="1"/>
  <c r="AK116" i="14"/>
  <c r="AW116" i="14" s="1"/>
  <c r="BI116" i="14" s="1" a="1"/>
  <c r="AL116" i="14"/>
  <c r="AX116" i="14" s="1"/>
  <c r="BJ116" i="14" s="1" a="1"/>
  <c r="AM116" i="14"/>
  <c r="AY116" i="14" s="1"/>
  <c r="BK116" i="14" s="1" a="1"/>
  <c r="AB104" i="14" l="1"/>
  <c r="AN104" i="14" s="1"/>
  <c r="AZ104" i="14" s="1" a="1"/>
  <c r="AC104" i="14"/>
  <c r="AO104" i="14" s="1"/>
  <c r="BA104" i="14" s="1" a="1"/>
  <c r="AD104" i="14"/>
  <c r="AP104" i="14" s="1"/>
  <c r="BB104" i="14" s="1" a="1"/>
  <c r="AE104" i="14"/>
  <c r="AQ104" i="14" s="1"/>
  <c r="BC104" i="14" s="1" a="1"/>
  <c r="AF104" i="14"/>
  <c r="AR104" i="14" s="1"/>
  <c r="BD104" i="14" s="1" a="1"/>
  <c r="AG104" i="14"/>
  <c r="AS104" i="14" s="1"/>
  <c r="BE104" i="14" s="1" a="1"/>
  <c r="AH104" i="14"/>
  <c r="AT104" i="14" s="1"/>
  <c r="BF104" i="14" s="1" a="1"/>
  <c r="AI104" i="14"/>
  <c r="AU104" i="14" s="1"/>
  <c r="BG104" i="14" s="1" a="1"/>
  <c r="AJ104" i="14"/>
  <c r="AV104" i="14" s="1"/>
  <c r="BH104" i="14" s="1" a="1"/>
  <c r="AK104" i="14"/>
  <c r="AW104" i="14" s="1"/>
  <c r="BI104" i="14" s="1" a="1"/>
  <c r="AL104" i="14"/>
  <c r="AX104" i="14" s="1"/>
  <c r="BJ104" i="14" s="1" a="1"/>
  <c r="AM104" i="14"/>
  <c r="AY104" i="14" s="1"/>
  <c r="BK104" i="14" s="1" a="1"/>
  <c r="AB105" i="14"/>
  <c r="AN105" i="14" s="1"/>
  <c r="AZ105" i="14" s="1" a="1"/>
  <c r="AC105" i="14"/>
  <c r="AO105" i="14" s="1"/>
  <c r="BA105" i="14" s="1" a="1"/>
  <c r="AD105" i="14"/>
  <c r="AP105" i="14" s="1"/>
  <c r="BB105" i="14" s="1" a="1"/>
  <c r="AE105" i="14"/>
  <c r="AQ105" i="14" s="1"/>
  <c r="BC105" i="14" s="1" a="1"/>
  <c r="AF105" i="14"/>
  <c r="AR105" i="14" s="1"/>
  <c r="BD105" i="14" s="1" a="1"/>
  <c r="AG105" i="14"/>
  <c r="AS105" i="14" s="1"/>
  <c r="BE105" i="14" s="1" a="1"/>
  <c r="AH105" i="14"/>
  <c r="AT105" i="14" s="1"/>
  <c r="BF105" i="14" s="1" a="1"/>
  <c r="AI105" i="14"/>
  <c r="AU105" i="14" s="1"/>
  <c r="BG105" i="14" s="1" a="1"/>
  <c r="AJ105" i="14"/>
  <c r="AV105" i="14" s="1"/>
  <c r="BH105" i="14" s="1" a="1"/>
  <c r="AK105" i="14"/>
  <c r="AW105" i="14" s="1"/>
  <c r="BI105" i="14" s="1" a="1"/>
  <c r="AL105" i="14"/>
  <c r="AX105" i="14" s="1"/>
  <c r="BJ105" i="14" s="1" a="1"/>
  <c r="AM105" i="14"/>
  <c r="AY105" i="14" s="1"/>
  <c r="BK105" i="14" s="1" a="1"/>
  <c r="AB106" i="14"/>
  <c r="AN106" i="14" s="1"/>
  <c r="AZ106" i="14" s="1" a="1"/>
  <c r="AC106" i="14"/>
  <c r="AO106" i="14" s="1"/>
  <c r="BA106" i="14" s="1" a="1"/>
  <c r="AD106" i="14"/>
  <c r="AP106" i="14" s="1"/>
  <c r="BB106" i="14" s="1" a="1"/>
  <c r="AE106" i="14"/>
  <c r="AQ106" i="14" s="1"/>
  <c r="BC106" i="14" s="1" a="1"/>
  <c r="AF106" i="14"/>
  <c r="AR106" i="14" s="1"/>
  <c r="BD106" i="14" s="1" a="1"/>
  <c r="AG106" i="14"/>
  <c r="AS106" i="14" s="1"/>
  <c r="BE106" i="14" s="1" a="1"/>
  <c r="AH106" i="14"/>
  <c r="AT106" i="14" s="1"/>
  <c r="BF106" i="14" s="1" a="1"/>
  <c r="AI106" i="14"/>
  <c r="AU106" i="14" s="1"/>
  <c r="BG106" i="14" s="1" a="1"/>
  <c r="AJ106" i="14"/>
  <c r="AV106" i="14" s="1"/>
  <c r="BH106" i="14" s="1" a="1"/>
  <c r="AK106" i="14"/>
  <c r="AW106" i="14" s="1"/>
  <c r="BI106" i="14" s="1" a="1"/>
  <c r="AL106" i="14"/>
  <c r="AX106" i="14" s="1"/>
  <c r="BJ106" i="14" s="1" a="1"/>
  <c r="AM106" i="14"/>
  <c r="AY106" i="14" s="1"/>
  <c r="BK106" i="14" s="1" a="1"/>
  <c r="AB107" i="14"/>
  <c r="AN107" i="14" s="1"/>
  <c r="AZ107" i="14" s="1" a="1"/>
  <c r="AC107" i="14"/>
  <c r="AO107" i="14" s="1"/>
  <c r="BA107" i="14" s="1" a="1"/>
  <c r="AD107" i="14"/>
  <c r="AP107" i="14" s="1"/>
  <c r="BB107" i="14" s="1" a="1"/>
  <c r="AE107" i="14"/>
  <c r="AQ107" i="14" s="1"/>
  <c r="BC107" i="14" s="1" a="1"/>
  <c r="AF107" i="14"/>
  <c r="AR107" i="14" s="1"/>
  <c r="BD107" i="14" s="1" a="1"/>
  <c r="AG107" i="14"/>
  <c r="AS107" i="14" s="1"/>
  <c r="BE107" i="14" s="1" a="1"/>
  <c r="AH107" i="14"/>
  <c r="AT107" i="14" s="1"/>
  <c r="BF107" i="14" s="1" a="1"/>
  <c r="AI107" i="14"/>
  <c r="AU107" i="14" s="1"/>
  <c r="BG107" i="14" s="1" a="1"/>
  <c r="AJ107" i="14"/>
  <c r="AV107" i="14" s="1"/>
  <c r="BH107" i="14" s="1" a="1"/>
  <c r="AK107" i="14"/>
  <c r="AW107" i="14" s="1"/>
  <c r="BI107" i="14" s="1" a="1"/>
  <c r="AL107" i="14"/>
  <c r="AX107" i="14" s="1"/>
  <c r="BJ107" i="14" s="1" a="1"/>
  <c r="AM107" i="14"/>
  <c r="AY107" i="14" s="1"/>
  <c r="BK107" i="14" s="1" a="1"/>
  <c r="AB108" i="14"/>
  <c r="AN108" i="14" s="1"/>
  <c r="AZ108" i="14" s="1" a="1"/>
  <c r="AC108" i="14"/>
  <c r="AO108" i="14" s="1"/>
  <c r="BA108" i="14" s="1" a="1"/>
  <c r="AD108" i="14"/>
  <c r="AP108" i="14" s="1"/>
  <c r="BB108" i="14" s="1" a="1"/>
  <c r="AE108" i="14"/>
  <c r="AQ108" i="14" s="1"/>
  <c r="BC108" i="14" s="1" a="1"/>
  <c r="AF108" i="14"/>
  <c r="AR108" i="14" s="1"/>
  <c r="BD108" i="14" s="1" a="1"/>
  <c r="AG108" i="14"/>
  <c r="AS108" i="14" s="1"/>
  <c r="BE108" i="14" s="1" a="1"/>
  <c r="AH108" i="14"/>
  <c r="AT108" i="14" s="1"/>
  <c r="BF108" i="14" s="1" a="1"/>
  <c r="AI108" i="14"/>
  <c r="AU108" i="14" s="1"/>
  <c r="BG108" i="14" s="1" a="1"/>
  <c r="AJ108" i="14"/>
  <c r="AV108" i="14" s="1"/>
  <c r="BH108" i="14" s="1" a="1"/>
  <c r="AK108" i="14"/>
  <c r="AW108" i="14" s="1"/>
  <c r="BI108" i="14" s="1" a="1"/>
  <c r="AL108" i="14"/>
  <c r="AX108" i="14" s="1"/>
  <c r="BJ108" i="14" s="1" a="1"/>
  <c r="AM108" i="14"/>
  <c r="AY108" i="14" s="1"/>
  <c r="BK108" i="14" s="1" a="1"/>
  <c r="AB109" i="14"/>
  <c r="AN109" i="14" s="1"/>
  <c r="AZ109" i="14" s="1" a="1"/>
  <c r="AC109" i="14"/>
  <c r="AO109" i="14" s="1"/>
  <c r="BA109" i="14" s="1" a="1"/>
  <c r="AD109" i="14"/>
  <c r="AP109" i="14" s="1"/>
  <c r="BB109" i="14" s="1" a="1"/>
  <c r="AE109" i="14"/>
  <c r="AQ109" i="14" s="1"/>
  <c r="BC109" i="14" s="1" a="1"/>
  <c r="AF109" i="14"/>
  <c r="AR109" i="14" s="1"/>
  <c r="BD109" i="14" s="1" a="1"/>
  <c r="AG109" i="14"/>
  <c r="AS109" i="14" s="1"/>
  <c r="BE109" i="14" s="1" a="1"/>
  <c r="AH109" i="14"/>
  <c r="AT109" i="14" s="1"/>
  <c r="BF109" i="14" s="1" a="1"/>
  <c r="AI109" i="14"/>
  <c r="AU109" i="14" s="1"/>
  <c r="BG109" i="14" s="1" a="1"/>
  <c r="AJ109" i="14"/>
  <c r="AV109" i="14" s="1"/>
  <c r="BH109" i="14" s="1" a="1"/>
  <c r="AK109" i="14"/>
  <c r="AW109" i="14" s="1"/>
  <c r="BI109" i="14" s="1" a="1"/>
  <c r="AL109" i="14"/>
  <c r="AX109" i="14" s="1"/>
  <c r="BJ109" i="14" s="1" a="1"/>
  <c r="AM109" i="14"/>
  <c r="AY109" i="14" s="1"/>
  <c r="BK109" i="14" s="1" a="1"/>
  <c r="AB110" i="14"/>
  <c r="AN110" i="14" s="1"/>
  <c r="AZ110" i="14" s="1" a="1"/>
  <c r="AC110" i="14"/>
  <c r="AO110" i="14" s="1"/>
  <c r="BA110" i="14" s="1" a="1"/>
  <c r="AD110" i="14"/>
  <c r="AP110" i="14" s="1"/>
  <c r="BB110" i="14" s="1" a="1"/>
  <c r="AE110" i="14"/>
  <c r="AQ110" i="14" s="1"/>
  <c r="BC110" i="14" s="1" a="1"/>
  <c r="AF110" i="14"/>
  <c r="AR110" i="14" s="1"/>
  <c r="BD110" i="14" s="1" a="1"/>
  <c r="AG110" i="14"/>
  <c r="AS110" i="14" s="1"/>
  <c r="BE110" i="14" s="1" a="1"/>
  <c r="AH110" i="14"/>
  <c r="AT110" i="14" s="1"/>
  <c r="BF110" i="14" s="1" a="1"/>
  <c r="AI110" i="14"/>
  <c r="AU110" i="14" s="1"/>
  <c r="BG110" i="14" s="1" a="1"/>
  <c r="AJ110" i="14"/>
  <c r="AV110" i="14" s="1"/>
  <c r="BH110" i="14" s="1" a="1"/>
  <c r="AK110" i="14"/>
  <c r="AW110" i="14" s="1"/>
  <c r="BI110" i="14" s="1" a="1"/>
  <c r="AL110" i="14"/>
  <c r="AX110" i="14" s="1"/>
  <c r="BJ110" i="14" s="1" a="1"/>
  <c r="AM110" i="14"/>
  <c r="AY110" i="14" s="1"/>
  <c r="BK110" i="14" s="1" a="1"/>
  <c r="AB111" i="14"/>
  <c r="AN111" i="14" s="1"/>
  <c r="AZ111" i="14" s="1" a="1"/>
  <c r="AB102" i="14"/>
  <c r="AN102" i="14" s="1"/>
  <c r="AZ102" i="14" s="1" a="1"/>
  <c r="AC102" i="14"/>
  <c r="AO102" i="14" s="1"/>
  <c r="BA102" i="14" s="1" a="1"/>
  <c r="AD102" i="14"/>
  <c r="AP102" i="14" s="1"/>
  <c r="BB102" i="14" s="1" a="1"/>
  <c r="AE102" i="14"/>
  <c r="AQ102" i="14" s="1"/>
  <c r="BC102" i="14" s="1" a="1"/>
  <c r="AF102" i="14"/>
  <c r="AR102" i="14" s="1"/>
  <c r="BD102" i="14" s="1" a="1"/>
  <c r="AG102" i="14"/>
  <c r="AS102" i="14" s="1"/>
  <c r="BE102" i="14" s="1" a="1"/>
  <c r="AH102" i="14"/>
  <c r="AT102" i="14" s="1"/>
  <c r="BF102" i="14" s="1" a="1"/>
  <c r="AI102" i="14"/>
  <c r="AU102" i="14" s="1"/>
  <c r="BG102" i="14" s="1" a="1"/>
  <c r="AJ102" i="14"/>
  <c r="AV102" i="14" s="1"/>
  <c r="BH102" i="14" s="1" a="1"/>
  <c r="AK102" i="14"/>
  <c r="AW102" i="14" s="1"/>
  <c r="BI102" i="14" s="1" a="1"/>
  <c r="AL102" i="14"/>
  <c r="AX102" i="14" s="1"/>
  <c r="BJ102" i="14" s="1" a="1"/>
  <c r="AM102" i="14"/>
  <c r="AY102" i="14" s="1"/>
  <c r="BK102" i="14" s="1" a="1"/>
  <c r="AB103" i="14"/>
  <c r="AN103" i="14" s="1"/>
  <c r="AZ103" i="14" s="1" a="1"/>
  <c r="AC103" i="14"/>
  <c r="AO103" i="14" s="1"/>
  <c r="BA103" i="14" s="1" a="1"/>
  <c r="AD103" i="14"/>
  <c r="AP103" i="14" s="1"/>
  <c r="BB103" i="14" s="1" a="1"/>
  <c r="AE103" i="14"/>
  <c r="AQ103" i="14" s="1"/>
  <c r="BC103" i="14" s="1" a="1"/>
  <c r="AF103" i="14"/>
  <c r="AR103" i="14" s="1"/>
  <c r="BD103" i="14" s="1" a="1"/>
  <c r="AG103" i="14"/>
  <c r="AS103" i="14" s="1"/>
  <c r="BE103" i="14" s="1" a="1"/>
  <c r="AH103" i="14"/>
  <c r="AT103" i="14" s="1"/>
  <c r="BF103" i="14" s="1" a="1"/>
  <c r="AI103" i="14"/>
  <c r="AU103" i="14" s="1"/>
  <c r="BG103" i="14" s="1" a="1"/>
  <c r="AJ103" i="14"/>
  <c r="AV103" i="14" s="1"/>
  <c r="BH103" i="14" s="1" a="1"/>
  <c r="AK103" i="14"/>
  <c r="AW103" i="14" s="1"/>
  <c r="BI103" i="14" s="1" a="1"/>
  <c r="AL103" i="14"/>
  <c r="AX103" i="14" s="1"/>
  <c r="BJ103" i="14" s="1" a="1"/>
  <c r="AM103" i="14"/>
  <c r="AY103" i="14" s="1"/>
  <c r="BK103" i="14" s="1" a="1"/>
  <c r="AM101" i="14"/>
  <c r="AY101" i="14" s="1"/>
  <c r="BK101" i="14" s="1" a="1"/>
  <c r="AL101" i="14"/>
  <c r="AX101" i="14" s="1"/>
  <c r="BJ101" i="14" s="1" a="1"/>
  <c r="AK101" i="14"/>
  <c r="AW101" i="14" s="1"/>
  <c r="BI101" i="14" s="1" a="1"/>
  <c r="AJ101" i="14"/>
  <c r="AV101" i="14" s="1"/>
  <c r="BH101" i="14" s="1" a="1"/>
  <c r="AI101" i="14"/>
  <c r="AU101" i="14" s="1"/>
  <c r="BG101" i="14" s="1" a="1"/>
  <c r="AH101" i="14"/>
  <c r="AT101" i="14" s="1"/>
  <c r="BF101" i="14" s="1" a="1"/>
  <c r="AG101" i="14"/>
  <c r="AS101" i="14" s="1"/>
  <c r="BE101" i="14" s="1" a="1"/>
  <c r="AF101" i="14"/>
  <c r="AR101" i="14" s="1"/>
  <c r="BD101" i="14" s="1" a="1"/>
  <c r="AE101" i="14"/>
  <c r="AQ101" i="14" s="1"/>
  <c r="BC101" i="14" s="1" a="1"/>
  <c r="AD101" i="14"/>
  <c r="AP101" i="14" s="1"/>
  <c r="BB101" i="14" s="1" a="1"/>
  <c r="AC101" i="14"/>
  <c r="AO101" i="14" s="1"/>
  <c r="BA101" i="14" s="1" a="1"/>
  <c r="AB101" i="14"/>
  <c r="AN101" i="14" s="1"/>
  <c r="AZ101" i="14" s="1" a="1"/>
  <c r="AM100" i="14"/>
  <c r="AY100" i="14" s="1"/>
  <c r="BK100" i="14" s="1" a="1"/>
  <c r="AL100" i="14"/>
  <c r="AX100" i="14" s="1"/>
  <c r="BJ100" i="14" s="1" a="1"/>
  <c r="AK100" i="14"/>
  <c r="AW100" i="14" s="1"/>
  <c r="BI100" i="14" s="1" a="1"/>
  <c r="AJ100" i="14"/>
  <c r="AV100" i="14" s="1"/>
  <c r="BH100" i="14" s="1" a="1"/>
  <c r="AI100" i="14"/>
  <c r="AU100" i="14" s="1"/>
  <c r="BG100" i="14" s="1" a="1"/>
  <c r="AH100" i="14"/>
  <c r="AT100" i="14" s="1"/>
  <c r="BF100" i="14" s="1" a="1"/>
  <c r="AG100" i="14"/>
  <c r="AS100" i="14" s="1"/>
  <c r="BE100" i="14" s="1" a="1"/>
  <c r="AF100" i="14"/>
  <c r="AR100" i="14" s="1"/>
  <c r="BD100" i="14" s="1" a="1"/>
  <c r="AE100" i="14"/>
  <c r="AQ100" i="14" s="1"/>
  <c r="BC100" i="14" s="1" a="1"/>
  <c r="AD100" i="14"/>
  <c r="AP100" i="14" s="1"/>
  <c r="BB100" i="14" s="1" a="1"/>
  <c r="AC100" i="14"/>
  <c r="AO100" i="14" s="1"/>
  <c r="BA100" i="14" s="1" a="1"/>
  <c r="AB100" i="14"/>
  <c r="AN100" i="14" s="1"/>
  <c r="AZ100" i="14" s="1" a="1"/>
  <c r="AM99" i="14"/>
  <c r="AY99" i="14" s="1"/>
  <c r="BK99" i="14" s="1" a="1"/>
  <c r="AL99" i="14"/>
  <c r="AX99" i="14" s="1"/>
  <c r="BJ99" i="14" s="1" a="1"/>
  <c r="AK99" i="14"/>
  <c r="AW99" i="14" s="1"/>
  <c r="BI99" i="14" s="1" a="1"/>
  <c r="AJ99" i="14"/>
  <c r="AV99" i="14" s="1"/>
  <c r="BH99" i="14" s="1" a="1"/>
  <c r="AI99" i="14"/>
  <c r="AU99" i="14" s="1"/>
  <c r="BG99" i="14" s="1" a="1"/>
  <c r="AH99" i="14"/>
  <c r="AT99" i="14" s="1"/>
  <c r="BF99" i="14" s="1" a="1"/>
  <c r="AG99" i="14"/>
  <c r="AS99" i="14" s="1"/>
  <c r="BE99" i="14" s="1" a="1"/>
  <c r="AF99" i="14"/>
  <c r="AR99" i="14" s="1"/>
  <c r="BD99" i="14" s="1" a="1"/>
  <c r="AE99" i="14"/>
  <c r="AQ99" i="14" s="1"/>
  <c r="BC99" i="14" s="1" a="1"/>
  <c r="AD99" i="14"/>
  <c r="AP99" i="14" s="1"/>
  <c r="BB99" i="14" s="1" a="1"/>
  <c r="AC99" i="14"/>
  <c r="AO99" i="14" s="1"/>
  <c r="BA99" i="14" s="1" a="1"/>
  <c r="AB99" i="14"/>
  <c r="AN99" i="14" s="1"/>
  <c r="AZ99" i="14" s="1" a="1"/>
  <c r="AB76" i="14"/>
  <c r="AN76" i="14" s="1"/>
  <c r="AZ76" i="14" s="1" a="1"/>
  <c r="AC76" i="14"/>
  <c r="AO76" i="14" s="1"/>
  <c r="BA76" i="14" s="1" a="1"/>
  <c r="AD76" i="14"/>
  <c r="AP76" i="14" s="1"/>
  <c r="BB76" i="14" s="1" a="1"/>
  <c r="AE76" i="14"/>
  <c r="AQ76" i="14" s="1"/>
  <c r="BC76" i="14" s="1" a="1"/>
  <c r="AF76" i="14"/>
  <c r="AR76" i="14" s="1"/>
  <c r="BD76" i="14" s="1" a="1"/>
  <c r="AG76" i="14"/>
  <c r="AS76" i="14" s="1"/>
  <c r="BE76" i="14" s="1" a="1"/>
  <c r="AH76" i="14"/>
  <c r="AT76" i="14" s="1"/>
  <c r="BF76" i="14" s="1" a="1"/>
  <c r="AI76" i="14"/>
  <c r="AU76" i="14" s="1"/>
  <c r="BG76" i="14" s="1" a="1"/>
  <c r="AJ76" i="14"/>
  <c r="AV76" i="14" s="1"/>
  <c r="BH76" i="14" s="1" a="1"/>
  <c r="AK76" i="14"/>
  <c r="AW76" i="14" s="1"/>
  <c r="BI76" i="14" s="1" a="1"/>
  <c r="AL76" i="14"/>
  <c r="AX76" i="14" s="1"/>
  <c r="BJ76" i="14" s="1" a="1"/>
  <c r="AM76" i="14"/>
  <c r="AY76" i="14" s="1"/>
  <c r="BK76" i="14" s="1" a="1"/>
  <c r="AB77" i="14"/>
  <c r="AN77" i="14" s="1"/>
  <c r="AZ77" i="14" s="1" a="1"/>
  <c r="AC77" i="14"/>
  <c r="AO77" i="14" s="1"/>
  <c r="BA77" i="14" s="1" a="1"/>
  <c r="AD77" i="14"/>
  <c r="AP77" i="14" s="1"/>
  <c r="BB77" i="14" s="1" a="1"/>
  <c r="AE77" i="14"/>
  <c r="AQ77" i="14" s="1"/>
  <c r="BC77" i="14" s="1" a="1"/>
  <c r="AF77" i="14"/>
  <c r="AR77" i="14" s="1"/>
  <c r="BD77" i="14" s="1" a="1"/>
  <c r="AG77" i="14"/>
  <c r="AS77" i="14" s="1"/>
  <c r="BE77" i="14" s="1" a="1"/>
  <c r="AH77" i="14"/>
  <c r="AT77" i="14" s="1"/>
  <c r="BF77" i="14" s="1" a="1"/>
  <c r="AI77" i="14"/>
  <c r="AU77" i="14" s="1"/>
  <c r="BG77" i="14" s="1" a="1"/>
  <c r="AJ77" i="14"/>
  <c r="AV77" i="14" s="1"/>
  <c r="BH77" i="14" s="1" a="1"/>
  <c r="AK77" i="14"/>
  <c r="AW77" i="14" s="1"/>
  <c r="BI77" i="14" s="1" a="1"/>
  <c r="AL77" i="14"/>
  <c r="AX77" i="14" s="1"/>
  <c r="BJ77" i="14" s="1" a="1"/>
  <c r="AM77" i="14"/>
  <c r="AY77" i="14" s="1"/>
  <c r="BK77" i="14" s="1" a="1"/>
  <c r="AB78" i="14"/>
  <c r="AN78" i="14" s="1"/>
  <c r="AZ78" i="14" s="1" a="1"/>
  <c r="AC78" i="14"/>
  <c r="AO78" i="14" s="1"/>
  <c r="BA78" i="14" s="1" a="1"/>
  <c r="AD78" i="14"/>
  <c r="AP78" i="14" s="1"/>
  <c r="BB78" i="14" s="1" a="1"/>
  <c r="AE78" i="14"/>
  <c r="AQ78" i="14" s="1"/>
  <c r="BC78" i="14" s="1" a="1"/>
  <c r="AF78" i="14"/>
  <c r="AR78" i="14" s="1"/>
  <c r="BD78" i="14" s="1" a="1"/>
  <c r="AG78" i="14"/>
  <c r="AS78" i="14" s="1"/>
  <c r="BE78" i="14" s="1" a="1"/>
  <c r="AH78" i="14"/>
  <c r="AT78" i="14" s="1"/>
  <c r="BF78" i="14" s="1" a="1"/>
  <c r="AI78" i="14"/>
  <c r="AU78" i="14" s="1"/>
  <c r="BG78" i="14" s="1" a="1"/>
  <c r="AJ78" i="14"/>
  <c r="AV78" i="14" s="1"/>
  <c r="BH78" i="14" s="1" a="1"/>
  <c r="AK78" i="14"/>
  <c r="AW78" i="14" s="1"/>
  <c r="BI78" i="14" s="1" a="1"/>
  <c r="AL78" i="14"/>
  <c r="AX78" i="14" s="1"/>
  <c r="BJ78" i="14" s="1" a="1"/>
  <c r="AM78" i="14"/>
  <c r="AY78" i="14" s="1"/>
  <c r="BK78" i="14" s="1" a="1"/>
  <c r="AB79" i="14"/>
  <c r="AN79" i="14" s="1"/>
  <c r="AZ79" i="14" s="1" a="1"/>
  <c r="AC79" i="14"/>
  <c r="AO79" i="14" s="1"/>
  <c r="BA79" i="14" s="1" a="1"/>
  <c r="AD79" i="14"/>
  <c r="AP79" i="14" s="1"/>
  <c r="BB79" i="14" s="1" a="1"/>
  <c r="AE79" i="14"/>
  <c r="AQ79" i="14" s="1"/>
  <c r="BC79" i="14" s="1" a="1"/>
  <c r="AF79" i="14"/>
  <c r="AR79" i="14" s="1"/>
  <c r="BD79" i="14" s="1" a="1"/>
  <c r="AG79" i="14"/>
  <c r="AS79" i="14" s="1"/>
  <c r="BE79" i="14" s="1" a="1"/>
  <c r="AH79" i="14"/>
  <c r="AT79" i="14" s="1"/>
  <c r="BF79" i="14" s="1" a="1"/>
  <c r="AI79" i="14"/>
  <c r="AU79" i="14" s="1"/>
  <c r="BG79" i="14" s="1" a="1"/>
  <c r="AJ79" i="14"/>
  <c r="AV79" i="14" s="1"/>
  <c r="BH79" i="14" s="1" a="1"/>
  <c r="AK79" i="14"/>
  <c r="AW79" i="14" s="1"/>
  <c r="BI79" i="14" s="1" a="1"/>
  <c r="AL79" i="14"/>
  <c r="AX79" i="14" s="1"/>
  <c r="BJ79" i="14" s="1" a="1"/>
  <c r="AM79" i="14"/>
  <c r="AY79" i="14" s="1"/>
  <c r="BK79" i="14" s="1" a="1"/>
  <c r="AB80" i="14"/>
  <c r="AN80" i="14" s="1"/>
  <c r="AZ80" i="14" s="1" a="1"/>
  <c r="AC80" i="14"/>
  <c r="AO80" i="14" s="1"/>
  <c r="BA80" i="14" s="1" a="1"/>
  <c r="AD80" i="14"/>
  <c r="AP80" i="14" s="1"/>
  <c r="BB80" i="14" s="1" a="1"/>
  <c r="AE80" i="14"/>
  <c r="AQ80" i="14" s="1"/>
  <c r="BC80" i="14" s="1" a="1"/>
  <c r="AF80" i="14"/>
  <c r="AR80" i="14" s="1"/>
  <c r="BD80" i="14" s="1" a="1"/>
  <c r="AG80" i="14"/>
  <c r="AS80" i="14" s="1"/>
  <c r="BE80" i="14" s="1" a="1"/>
  <c r="AH80" i="14"/>
  <c r="AT80" i="14" s="1"/>
  <c r="BF80" i="14" s="1" a="1"/>
  <c r="AI80" i="14"/>
  <c r="AU80" i="14" s="1"/>
  <c r="BG80" i="14" s="1" a="1"/>
  <c r="AJ80" i="14"/>
  <c r="AV80" i="14" s="1"/>
  <c r="BH80" i="14" s="1" a="1"/>
  <c r="AK80" i="14"/>
  <c r="AW80" i="14" s="1"/>
  <c r="BI80" i="14" s="1" a="1"/>
  <c r="AL80" i="14"/>
  <c r="AX80" i="14" s="1"/>
  <c r="BJ80" i="14" s="1" a="1"/>
  <c r="AM80" i="14"/>
  <c r="AY80" i="14" s="1"/>
  <c r="BK80" i="14" s="1" a="1"/>
  <c r="AB81" i="14"/>
  <c r="AN81" i="14" s="1"/>
  <c r="AZ81" i="14" s="1" a="1"/>
  <c r="AC81" i="14"/>
  <c r="AO81" i="14" s="1"/>
  <c r="BA81" i="14" s="1" a="1"/>
  <c r="AD81" i="14"/>
  <c r="AP81" i="14" s="1"/>
  <c r="BB81" i="14" s="1" a="1"/>
  <c r="AE81" i="14"/>
  <c r="AQ81" i="14" s="1"/>
  <c r="BC81" i="14" s="1" a="1"/>
  <c r="AF81" i="14"/>
  <c r="AR81" i="14" s="1"/>
  <c r="BD81" i="14" s="1" a="1"/>
  <c r="AG81" i="14"/>
  <c r="AS81" i="14" s="1"/>
  <c r="BE81" i="14" s="1" a="1"/>
  <c r="AH81" i="14"/>
  <c r="AT81" i="14" s="1"/>
  <c r="BF81" i="14" s="1" a="1"/>
  <c r="AI81" i="14"/>
  <c r="AU81" i="14" s="1"/>
  <c r="BG81" i="14" s="1" a="1"/>
  <c r="AJ81" i="14"/>
  <c r="AV81" i="14" s="1"/>
  <c r="BH81" i="14" s="1" a="1"/>
  <c r="AK81" i="14"/>
  <c r="AW81" i="14" s="1"/>
  <c r="BI81" i="14" s="1" a="1"/>
  <c r="AL81" i="14"/>
  <c r="AX81" i="14" s="1"/>
  <c r="BJ81" i="14" s="1" a="1"/>
  <c r="AM81" i="14"/>
  <c r="AY81" i="14" s="1"/>
  <c r="BK81" i="14" s="1" a="1"/>
  <c r="AB82" i="14"/>
  <c r="AN82" i="14" s="1"/>
  <c r="AZ82" i="14" s="1" a="1"/>
  <c r="AC82" i="14"/>
  <c r="AO82" i="14" s="1"/>
  <c r="BA82" i="14" s="1" a="1"/>
  <c r="AD82" i="14"/>
  <c r="AP82" i="14" s="1"/>
  <c r="BB82" i="14" s="1" a="1"/>
  <c r="AE82" i="14"/>
  <c r="AQ82" i="14" s="1"/>
  <c r="BC82" i="14" s="1" a="1"/>
  <c r="AF82" i="14"/>
  <c r="AR82" i="14" s="1"/>
  <c r="BD82" i="14" s="1" a="1"/>
  <c r="AG82" i="14"/>
  <c r="AS82" i="14" s="1"/>
  <c r="BE82" i="14" s="1" a="1"/>
  <c r="AH82" i="14"/>
  <c r="AT82" i="14" s="1"/>
  <c r="BF82" i="14" s="1" a="1"/>
  <c r="AI82" i="14"/>
  <c r="AU82" i="14" s="1"/>
  <c r="BG82" i="14" s="1" a="1"/>
  <c r="AJ82" i="14"/>
  <c r="AV82" i="14" s="1"/>
  <c r="BH82" i="14" s="1" a="1"/>
  <c r="AK82" i="14"/>
  <c r="AW82" i="14" s="1"/>
  <c r="BI82" i="14" s="1" a="1"/>
  <c r="AL82" i="14"/>
  <c r="AX82" i="14" s="1"/>
  <c r="BJ82" i="14" s="1" a="1"/>
  <c r="AM82" i="14"/>
  <c r="AY82" i="14" s="1"/>
  <c r="BK82" i="14" s="1" a="1"/>
  <c r="AB83" i="14"/>
  <c r="AN83" i="14" s="1"/>
  <c r="AZ83" i="14" s="1" a="1"/>
  <c r="AC83" i="14"/>
  <c r="AO83" i="14" s="1"/>
  <c r="BA83" i="14" s="1" a="1"/>
  <c r="AD83" i="14"/>
  <c r="AP83" i="14" s="1"/>
  <c r="BB83" i="14" s="1" a="1"/>
  <c r="AE83" i="14"/>
  <c r="AQ83" i="14" s="1"/>
  <c r="BC83" i="14" s="1" a="1"/>
  <c r="AF83" i="14"/>
  <c r="AR83" i="14" s="1"/>
  <c r="BD83" i="14" s="1" a="1"/>
  <c r="AG83" i="14"/>
  <c r="AS83" i="14" s="1"/>
  <c r="BE83" i="14" s="1" a="1"/>
  <c r="AH83" i="14"/>
  <c r="AT83" i="14" s="1"/>
  <c r="BF83" i="14" s="1" a="1"/>
  <c r="AI83" i="14"/>
  <c r="AU83" i="14" s="1"/>
  <c r="BG83" i="14" s="1" a="1"/>
  <c r="AJ83" i="14"/>
  <c r="AV83" i="14" s="1"/>
  <c r="BH83" i="14" s="1" a="1"/>
  <c r="AK83" i="14"/>
  <c r="AW83" i="14" s="1"/>
  <c r="BI83" i="14" s="1" a="1"/>
  <c r="AL83" i="14"/>
  <c r="AX83" i="14" s="1"/>
  <c r="BJ83" i="14" s="1" a="1"/>
  <c r="AM83" i="14"/>
  <c r="AY83" i="14" s="1"/>
  <c r="BK83" i="14" s="1" a="1"/>
  <c r="AB84" i="14"/>
  <c r="AN84" i="14" s="1"/>
  <c r="AZ84" i="14" s="1" a="1"/>
  <c r="AC84" i="14"/>
  <c r="AO84" i="14" s="1"/>
  <c r="BA84" i="14" s="1" a="1"/>
  <c r="AD84" i="14"/>
  <c r="AP84" i="14" s="1"/>
  <c r="BB84" i="14" s="1" a="1"/>
  <c r="AE84" i="14"/>
  <c r="AQ84" i="14" s="1"/>
  <c r="BC84" i="14" s="1" a="1"/>
  <c r="AF84" i="14"/>
  <c r="AR84" i="14" s="1"/>
  <c r="BD84" i="14" s="1" a="1"/>
  <c r="AG84" i="14"/>
  <c r="AS84" i="14" s="1"/>
  <c r="BE84" i="14" s="1" a="1"/>
  <c r="AH84" i="14"/>
  <c r="AT84" i="14" s="1"/>
  <c r="BF84" i="14" s="1" a="1"/>
  <c r="AI84" i="14"/>
  <c r="AU84" i="14" s="1"/>
  <c r="BG84" i="14" s="1" a="1"/>
  <c r="AJ84" i="14"/>
  <c r="AV84" i="14" s="1"/>
  <c r="BH84" i="14" s="1" a="1"/>
  <c r="AK84" i="14"/>
  <c r="AW84" i="14" s="1"/>
  <c r="BI84" i="14" s="1" a="1"/>
  <c r="AL84" i="14"/>
  <c r="AX84" i="14" s="1"/>
  <c r="BJ84" i="14" s="1" a="1"/>
  <c r="AM84" i="14"/>
  <c r="AY84" i="14" s="1"/>
  <c r="BK84" i="14" s="1" a="1"/>
  <c r="AB85" i="14"/>
  <c r="AN85" i="14" s="1"/>
  <c r="AZ85" i="14" s="1" a="1"/>
  <c r="AC85" i="14"/>
  <c r="AO85" i="14" s="1"/>
  <c r="BA85" i="14" s="1" a="1"/>
  <c r="AD85" i="14"/>
  <c r="AP85" i="14" s="1"/>
  <c r="BB85" i="14" s="1" a="1"/>
  <c r="AE85" i="14"/>
  <c r="AQ85" i="14" s="1"/>
  <c r="BC85" i="14" s="1" a="1"/>
  <c r="AF85" i="14"/>
  <c r="AR85" i="14" s="1"/>
  <c r="BD85" i="14" s="1" a="1"/>
  <c r="AG85" i="14"/>
  <c r="AS85" i="14" s="1"/>
  <c r="BE85" i="14" s="1" a="1"/>
  <c r="AH85" i="14"/>
  <c r="AT85" i="14" s="1"/>
  <c r="BF85" i="14" s="1" a="1"/>
  <c r="AI85" i="14"/>
  <c r="AU85" i="14" s="1"/>
  <c r="BG85" i="14" s="1" a="1"/>
  <c r="AJ85" i="14"/>
  <c r="AV85" i="14" s="1"/>
  <c r="BH85" i="14" s="1" a="1"/>
  <c r="AK85" i="14"/>
  <c r="AW85" i="14" s="1"/>
  <c r="BI85" i="14" s="1" a="1"/>
  <c r="AL85" i="14"/>
  <c r="AX85" i="14" s="1"/>
  <c r="BJ85" i="14" s="1" a="1"/>
  <c r="AM85" i="14"/>
  <c r="AY85" i="14" s="1"/>
  <c r="BK85" i="14" s="1" a="1"/>
  <c r="AB86" i="14"/>
  <c r="AN86" i="14" s="1"/>
  <c r="AZ86" i="14" s="1" a="1"/>
  <c r="AC86" i="14"/>
  <c r="AO86" i="14" s="1"/>
  <c r="BA86" i="14" s="1" a="1"/>
  <c r="AD86" i="14"/>
  <c r="AP86" i="14" s="1"/>
  <c r="BB86" i="14" s="1" a="1"/>
  <c r="AE86" i="14"/>
  <c r="AQ86" i="14" s="1"/>
  <c r="BC86" i="14" s="1" a="1"/>
  <c r="AF86" i="14"/>
  <c r="AR86" i="14" s="1"/>
  <c r="BD86" i="14" s="1" a="1"/>
  <c r="AG86" i="14"/>
  <c r="AS86" i="14" s="1"/>
  <c r="BE86" i="14" s="1" a="1"/>
  <c r="AH86" i="14"/>
  <c r="AT86" i="14" s="1"/>
  <c r="BF86" i="14" s="1" a="1"/>
  <c r="AI86" i="14"/>
  <c r="AU86" i="14" s="1"/>
  <c r="BG86" i="14" s="1" a="1"/>
  <c r="AJ86" i="14"/>
  <c r="AV86" i="14" s="1"/>
  <c r="BH86" i="14" s="1" a="1"/>
  <c r="AK86" i="14"/>
  <c r="AW86" i="14" s="1"/>
  <c r="BI86" i="14" s="1" a="1"/>
  <c r="AL86" i="14"/>
  <c r="AX86" i="14" s="1"/>
  <c r="BJ86" i="14" s="1" a="1"/>
  <c r="AM86" i="14"/>
  <c r="AY86" i="14" s="1"/>
  <c r="BK86" i="14" s="1" a="1"/>
  <c r="AB87" i="14"/>
  <c r="AN87" i="14" s="1"/>
  <c r="AZ87" i="14" s="1" a="1"/>
  <c r="AC87" i="14"/>
  <c r="AO87" i="14" s="1"/>
  <c r="BA87" i="14" s="1" a="1"/>
  <c r="AD87" i="14"/>
  <c r="AP87" i="14" s="1"/>
  <c r="BB87" i="14" s="1" a="1"/>
  <c r="AE87" i="14"/>
  <c r="AQ87" i="14" s="1"/>
  <c r="BC87" i="14" s="1" a="1"/>
  <c r="AF87" i="14"/>
  <c r="AR87" i="14" s="1"/>
  <c r="BD87" i="14" s="1" a="1"/>
  <c r="AG87" i="14"/>
  <c r="AS87" i="14" s="1"/>
  <c r="BE87" i="14" s="1" a="1"/>
  <c r="AH87" i="14"/>
  <c r="AT87" i="14" s="1"/>
  <c r="BF87" i="14" s="1" a="1"/>
  <c r="AI87" i="14"/>
  <c r="AU87" i="14" s="1"/>
  <c r="BG87" i="14" s="1" a="1"/>
  <c r="AJ87" i="14"/>
  <c r="AV87" i="14" s="1"/>
  <c r="BH87" i="14" s="1" a="1"/>
  <c r="AK87" i="14"/>
  <c r="AW87" i="14" s="1"/>
  <c r="BI87" i="14" s="1" a="1"/>
  <c r="AL87" i="14"/>
  <c r="AX87" i="14" s="1"/>
  <c r="BJ87" i="14" s="1" a="1"/>
  <c r="AM87" i="14"/>
  <c r="AY87" i="14" s="1"/>
  <c r="BK87" i="14" s="1" a="1"/>
  <c r="AB61" i="14"/>
  <c r="AN61" i="14" s="1"/>
  <c r="AZ61" i="14" s="1" a="1"/>
  <c r="AC61" i="14"/>
  <c r="AO61" i="14" s="1"/>
  <c r="BA61" i="14" s="1" a="1"/>
  <c r="AD61" i="14"/>
  <c r="AP61" i="14" s="1"/>
  <c r="BB61" i="14" s="1" a="1"/>
  <c r="AE61" i="14"/>
  <c r="AQ61" i="14" s="1"/>
  <c r="BC61" i="14" s="1" a="1"/>
  <c r="AF61" i="14"/>
  <c r="AR61" i="14" s="1"/>
  <c r="BD61" i="14" s="1" a="1"/>
  <c r="AG61" i="14"/>
  <c r="AS61" i="14" s="1"/>
  <c r="BE61" i="14" s="1" a="1"/>
  <c r="AH61" i="14"/>
  <c r="AT61" i="14" s="1"/>
  <c r="BF61" i="14" s="1" a="1"/>
  <c r="AI61" i="14"/>
  <c r="AU61" i="14" s="1"/>
  <c r="BG61" i="14" s="1" a="1"/>
  <c r="AJ61" i="14"/>
  <c r="AV61" i="14" s="1"/>
  <c r="BH61" i="14" s="1" a="1"/>
  <c r="AK61" i="14"/>
  <c r="AW61" i="14" s="1"/>
  <c r="BI61" i="14" s="1" a="1"/>
  <c r="AL61" i="14"/>
  <c r="AX61" i="14" s="1"/>
  <c r="BJ61" i="14" s="1" a="1"/>
  <c r="AM61" i="14"/>
  <c r="AY61" i="14" s="1"/>
  <c r="BK61" i="14" s="1" a="1"/>
  <c r="AB62" i="14"/>
  <c r="AN62" i="14" s="1"/>
  <c r="AZ62" i="14" s="1" a="1"/>
  <c r="AC62" i="14"/>
  <c r="AO62" i="14" s="1"/>
  <c r="BA62" i="14" s="1" a="1"/>
  <c r="AD62" i="14"/>
  <c r="AP62" i="14" s="1"/>
  <c r="BB62" i="14" s="1" a="1"/>
  <c r="AE62" i="14"/>
  <c r="AQ62" i="14" s="1"/>
  <c r="BC62" i="14" s="1" a="1"/>
  <c r="AF62" i="14"/>
  <c r="AR62" i="14" s="1"/>
  <c r="BD62" i="14" s="1" a="1"/>
  <c r="AG62" i="14"/>
  <c r="AS62" i="14" s="1"/>
  <c r="BE62" i="14" s="1" a="1"/>
  <c r="AH62" i="14"/>
  <c r="AT62" i="14" s="1"/>
  <c r="BF62" i="14" s="1" a="1"/>
  <c r="AI62" i="14"/>
  <c r="AU62" i="14" s="1"/>
  <c r="BG62" i="14" s="1" a="1"/>
  <c r="AJ62" i="14"/>
  <c r="AV62" i="14" s="1"/>
  <c r="BH62" i="14" s="1" a="1"/>
  <c r="AK62" i="14"/>
  <c r="AW62" i="14" s="1"/>
  <c r="BI62" i="14" s="1" a="1"/>
  <c r="AL62" i="14"/>
  <c r="AX62" i="14" s="1"/>
  <c r="BJ62" i="14" s="1" a="1"/>
  <c r="AM62" i="14"/>
  <c r="AY62" i="14" s="1"/>
  <c r="BK62" i="14" s="1" a="1"/>
  <c r="AB64" i="14"/>
  <c r="AN64" i="14" s="1"/>
  <c r="AZ64" i="14" s="1" a="1"/>
  <c r="AC64" i="14"/>
  <c r="AO64" i="14" s="1"/>
  <c r="BA64" i="14" s="1" a="1"/>
  <c r="AD64" i="14"/>
  <c r="AP64" i="14" s="1"/>
  <c r="BB64" i="14" s="1" a="1"/>
  <c r="AE64" i="14"/>
  <c r="AQ64" i="14" s="1"/>
  <c r="BC64" i="14" s="1" a="1"/>
  <c r="AF64" i="14"/>
  <c r="AR64" i="14" s="1"/>
  <c r="BD64" i="14" s="1" a="1"/>
  <c r="AG64" i="14"/>
  <c r="AS64" i="14" s="1"/>
  <c r="BE64" i="14" s="1" a="1"/>
  <c r="AH64" i="14"/>
  <c r="AT64" i="14" s="1"/>
  <c r="BF64" i="14" s="1" a="1"/>
  <c r="AI64" i="14"/>
  <c r="AU64" i="14" s="1"/>
  <c r="BG64" i="14" s="1" a="1"/>
  <c r="AJ64" i="14"/>
  <c r="AV64" i="14" s="1"/>
  <c r="BH64" i="14" s="1" a="1"/>
  <c r="AK64" i="14"/>
  <c r="AW64" i="14" s="1"/>
  <c r="BI64" i="14" s="1" a="1"/>
  <c r="AL64" i="14"/>
  <c r="AX64" i="14" s="1"/>
  <c r="BJ64" i="14" s="1" a="1"/>
  <c r="AM64" i="14"/>
  <c r="AY64" i="14" s="1"/>
  <c r="BK64" i="14" s="1" a="1"/>
  <c r="AB65" i="14"/>
  <c r="AN65" i="14" s="1"/>
  <c r="AZ65" i="14" s="1" a="1"/>
  <c r="AC65" i="14"/>
  <c r="AO65" i="14" s="1"/>
  <c r="BA65" i="14" s="1" a="1"/>
  <c r="AD65" i="14"/>
  <c r="AP65" i="14" s="1"/>
  <c r="BB65" i="14" s="1" a="1"/>
  <c r="AE65" i="14"/>
  <c r="AQ65" i="14" s="1"/>
  <c r="BC65" i="14" s="1" a="1"/>
  <c r="AF65" i="14"/>
  <c r="AR65" i="14" s="1"/>
  <c r="BD65" i="14" s="1" a="1"/>
  <c r="AG65" i="14"/>
  <c r="AS65" i="14" s="1"/>
  <c r="BE65" i="14" s="1" a="1"/>
  <c r="AH65" i="14"/>
  <c r="AT65" i="14" s="1"/>
  <c r="BF65" i="14" s="1" a="1"/>
  <c r="AI65" i="14"/>
  <c r="AU65" i="14" s="1"/>
  <c r="BG65" i="14" s="1" a="1"/>
  <c r="AJ65" i="14"/>
  <c r="AV65" i="14" s="1"/>
  <c r="BH65" i="14" s="1" a="1"/>
  <c r="AK65" i="14"/>
  <c r="AW65" i="14" s="1"/>
  <c r="BI65" i="14" s="1" a="1"/>
  <c r="AL65" i="14"/>
  <c r="AX65" i="14" s="1"/>
  <c r="BJ65" i="14" s="1" a="1"/>
  <c r="AM65" i="14"/>
  <c r="AY65" i="14" s="1"/>
  <c r="BK65" i="14" s="1" a="1"/>
  <c r="AB66" i="14"/>
  <c r="AN66" i="14" s="1"/>
  <c r="AZ66" i="14" s="1" a="1"/>
  <c r="AC66" i="14"/>
  <c r="AO66" i="14" s="1"/>
  <c r="BA66" i="14" s="1" a="1"/>
  <c r="AD66" i="14"/>
  <c r="AP66" i="14" s="1"/>
  <c r="BB66" i="14" s="1" a="1"/>
  <c r="AE66" i="14"/>
  <c r="AQ66" i="14" s="1"/>
  <c r="BC66" i="14" s="1" a="1"/>
  <c r="AF66" i="14"/>
  <c r="AR66" i="14" s="1"/>
  <c r="BD66" i="14" s="1" a="1"/>
  <c r="AG66" i="14"/>
  <c r="AS66" i="14" s="1"/>
  <c r="BE66" i="14" s="1" a="1"/>
  <c r="AH66" i="14"/>
  <c r="AT66" i="14" s="1"/>
  <c r="BF66" i="14" s="1" a="1"/>
  <c r="AI66" i="14"/>
  <c r="AU66" i="14" s="1"/>
  <c r="BG66" i="14" s="1" a="1"/>
  <c r="AJ66" i="14"/>
  <c r="AV66" i="14" s="1"/>
  <c r="BH66" i="14" s="1" a="1"/>
  <c r="AK66" i="14"/>
  <c r="AW66" i="14" s="1"/>
  <c r="BI66" i="14" s="1" a="1"/>
  <c r="AL66" i="14"/>
  <c r="AX66" i="14" s="1"/>
  <c r="BJ66" i="14" s="1" a="1"/>
  <c r="AM66" i="14"/>
  <c r="AY66" i="14" s="1"/>
  <c r="BK66" i="14" s="1" a="1"/>
  <c r="AB67" i="14"/>
  <c r="AN67" i="14" s="1"/>
  <c r="AZ67" i="14" s="1" a="1"/>
  <c r="AC67" i="14"/>
  <c r="AO67" i="14" s="1"/>
  <c r="BA67" i="14" s="1" a="1"/>
  <c r="AD67" i="14"/>
  <c r="AP67" i="14" s="1"/>
  <c r="BB67" i="14" s="1" a="1"/>
  <c r="AE67" i="14"/>
  <c r="AQ67" i="14" s="1"/>
  <c r="BC67" i="14" s="1" a="1"/>
  <c r="AF67" i="14"/>
  <c r="AR67" i="14" s="1"/>
  <c r="BD67" i="14" s="1" a="1"/>
  <c r="AG67" i="14"/>
  <c r="AS67" i="14" s="1"/>
  <c r="BE67" i="14" s="1" a="1"/>
  <c r="AH67" i="14"/>
  <c r="AT67" i="14" s="1"/>
  <c r="BF67" i="14" s="1" a="1"/>
  <c r="AI67" i="14"/>
  <c r="AU67" i="14" s="1"/>
  <c r="BG67" i="14" s="1" a="1"/>
  <c r="AJ67" i="14"/>
  <c r="AV67" i="14" s="1"/>
  <c r="BH67" i="14" s="1" a="1"/>
  <c r="AK67" i="14"/>
  <c r="AW67" i="14" s="1"/>
  <c r="BI67" i="14" s="1" a="1"/>
  <c r="AL67" i="14"/>
  <c r="AX67" i="14" s="1"/>
  <c r="BJ67" i="14" s="1" a="1"/>
  <c r="AM67" i="14"/>
  <c r="AY67" i="14" s="1"/>
  <c r="BK67" i="14" s="1" a="1"/>
  <c r="AB68" i="14"/>
  <c r="AN68" i="14" s="1"/>
  <c r="AZ68" i="14" s="1" a="1"/>
  <c r="AC68" i="14"/>
  <c r="AO68" i="14" s="1"/>
  <c r="BA68" i="14" s="1" a="1"/>
  <c r="AD68" i="14"/>
  <c r="AP68" i="14" s="1"/>
  <c r="BB68" i="14" s="1" a="1"/>
  <c r="AE68" i="14"/>
  <c r="AQ68" i="14" s="1"/>
  <c r="BC68" i="14" s="1" a="1"/>
  <c r="AF68" i="14"/>
  <c r="AR68" i="14" s="1"/>
  <c r="BD68" i="14" s="1" a="1"/>
  <c r="AG68" i="14"/>
  <c r="AS68" i="14" s="1"/>
  <c r="BE68" i="14" s="1" a="1"/>
  <c r="AH68" i="14"/>
  <c r="AT68" i="14" s="1"/>
  <c r="BF68" i="14" s="1" a="1"/>
  <c r="AI68" i="14"/>
  <c r="AU68" i="14" s="1"/>
  <c r="BG68" i="14" s="1" a="1"/>
  <c r="AJ68" i="14"/>
  <c r="AV68" i="14" s="1"/>
  <c r="BH68" i="14" s="1" a="1"/>
  <c r="AK68" i="14"/>
  <c r="AW68" i="14" s="1"/>
  <c r="BI68" i="14" s="1" a="1"/>
  <c r="AL68" i="14"/>
  <c r="AX68" i="14" s="1"/>
  <c r="BJ68" i="14" s="1" a="1"/>
  <c r="AM68" i="14"/>
  <c r="AY68" i="14" s="1"/>
  <c r="BK68" i="14" s="1" a="1"/>
  <c r="AB69" i="14"/>
  <c r="AN69" i="14" s="1"/>
  <c r="AZ69" i="14" s="1" a="1"/>
  <c r="AC69" i="14"/>
  <c r="AO69" i="14" s="1"/>
  <c r="BA69" i="14" s="1" a="1"/>
  <c r="AD69" i="14"/>
  <c r="AP69" i="14" s="1"/>
  <c r="BB69" i="14" s="1" a="1"/>
  <c r="AE69" i="14"/>
  <c r="AQ69" i="14" s="1"/>
  <c r="BC69" i="14" s="1" a="1"/>
  <c r="AF69" i="14"/>
  <c r="AR69" i="14" s="1"/>
  <c r="BD69" i="14" s="1" a="1"/>
  <c r="AG69" i="14"/>
  <c r="AS69" i="14" s="1"/>
  <c r="BE69" i="14" s="1" a="1"/>
  <c r="AH69" i="14"/>
  <c r="AT69" i="14" s="1"/>
  <c r="BF69" i="14" s="1" a="1"/>
  <c r="AI69" i="14"/>
  <c r="AU69" i="14" s="1"/>
  <c r="BG69" i="14" s="1" a="1"/>
  <c r="AJ69" i="14"/>
  <c r="AV69" i="14" s="1"/>
  <c r="BH69" i="14" s="1" a="1"/>
  <c r="AK69" i="14"/>
  <c r="AW69" i="14" s="1"/>
  <c r="BI69" i="14" s="1" a="1"/>
  <c r="AL69" i="14"/>
  <c r="AX69" i="14" s="1"/>
  <c r="BJ69" i="14" s="1" a="1"/>
  <c r="AM69" i="14"/>
  <c r="AY69" i="14" s="1"/>
  <c r="BK69" i="14" s="1" a="1"/>
  <c r="AB70" i="14"/>
  <c r="AN70" i="14" s="1"/>
  <c r="AZ70" i="14" s="1" a="1"/>
  <c r="AC70" i="14"/>
  <c r="AO70" i="14" s="1"/>
  <c r="BA70" i="14" s="1" a="1"/>
  <c r="AD70" i="14"/>
  <c r="AP70" i="14" s="1"/>
  <c r="BB70" i="14" s="1" a="1"/>
  <c r="AE70" i="14"/>
  <c r="AQ70" i="14" s="1"/>
  <c r="BC70" i="14" s="1" a="1"/>
  <c r="AF70" i="14"/>
  <c r="AR70" i="14" s="1"/>
  <c r="BD70" i="14" s="1" a="1"/>
  <c r="AG70" i="14"/>
  <c r="AS70" i="14" s="1"/>
  <c r="BE70" i="14" s="1" a="1"/>
  <c r="AH70" i="14"/>
  <c r="AT70" i="14" s="1"/>
  <c r="BF70" i="14" s="1" a="1"/>
  <c r="AI70" i="14"/>
  <c r="AU70" i="14" s="1"/>
  <c r="BG70" i="14" s="1" a="1"/>
  <c r="AJ70" i="14"/>
  <c r="AV70" i="14" s="1"/>
  <c r="BH70" i="14" s="1" a="1"/>
  <c r="AK70" i="14"/>
  <c r="AW70" i="14" s="1"/>
  <c r="BI70" i="14" s="1" a="1"/>
  <c r="AL70" i="14"/>
  <c r="AX70" i="14" s="1"/>
  <c r="BJ70" i="14" s="1" a="1"/>
  <c r="AM70" i="14"/>
  <c r="AY70" i="14" s="1"/>
  <c r="BK70" i="14" s="1" a="1"/>
  <c r="AB71" i="14"/>
  <c r="AN71" i="14" s="1"/>
  <c r="AZ71" i="14" s="1" a="1"/>
  <c r="AC71" i="14"/>
  <c r="AO71" i="14" s="1"/>
  <c r="BA71" i="14" s="1" a="1"/>
  <c r="AD71" i="14"/>
  <c r="AP71" i="14" s="1"/>
  <c r="BB71" i="14" s="1" a="1"/>
  <c r="AE71" i="14"/>
  <c r="AQ71" i="14" s="1"/>
  <c r="BC71" i="14" s="1" a="1"/>
  <c r="AF71" i="14"/>
  <c r="AR71" i="14" s="1"/>
  <c r="BD71" i="14" s="1" a="1"/>
  <c r="AG71" i="14"/>
  <c r="AS71" i="14" s="1"/>
  <c r="BE71" i="14" s="1" a="1"/>
  <c r="AH71" i="14"/>
  <c r="AT71" i="14" s="1"/>
  <c r="BF71" i="14" s="1" a="1"/>
  <c r="AI71" i="14"/>
  <c r="AU71" i="14" s="1"/>
  <c r="BG71" i="14" s="1" a="1"/>
  <c r="AJ71" i="14"/>
  <c r="AV71" i="14" s="1"/>
  <c r="BH71" i="14" s="1" a="1"/>
  <c r="AK71" i="14"/>
  <c r="AW71" i="14" s="1"/>
  <c r="BI71" i="14" s="1" a="1"/>
  <c r="AL71" i="14"/>
  <c r="AX71" i="14" s="1"/>
  <c r="BJ71" i="14" s="1" a="1"/>
  <c r="AM71" i="14"/>
  <c r="AY71" i="14" s="1"/>
  <c r="BK71" i="14" s="1" a="1"/>
  <c r="AB72" i="14"/>
  <c r="AN72" i="14" s="1"/>
  <c r="AZ72" i="14" s="1" a="1"/>
  <c r="AC72" i="14"/>
  <c r="AO72" i="14" s="1"/>
  <c r="BA72" i="14" s="1" a="1"/>
  <c r="AD72" i="14"/>
  <c r="AP72" i="14" s="1"/>
  <c r="BB72" i="14" s="1" a="1"/>
  <c r="AE72" i="14"/>
  <c r="AQ72" i="14" s="1"/>
  <c r="BC72" i="14" s="1" a="1"/>
  <c r="AF72" i="14"/>
  <c r="AR72" i="14" s="1"/>
  <c r="BD72" i="14" s="1" a="1"/>
  <c r="AG72" i="14"/>
  <c r="AS72" i="14" s="1"/>
  <c r="BE72" i="14" s="1" a="1"/>
  <c r="AH72" i="14"/>
  <c r="AT72" i="14" s="1"/>
  <c r="BF72" i="14" s="1" a="1"/>
  <c r="AI72" i="14"/>
  <c r="AU72" i="14" s="1"/>
  <c r="BG72" i="14" s="1" a="1"/>
  <c r="AJ72" i="14"/>
  <c r="AV72" i="14" s="1"/>
  <c r="BH72" i="14" s="1" a="1"/>
  <c r="AK72" i="14"/>
  <c r="AW72" i="14" s="1"/>
  <c r="BI72" i="14" s="1" a="1"/>
  <c r="AL72" i="14"/>
  <c r="AX72" i="14" s="1"/>
  <c r="BJ72" i="14" s="1" a="1"/>
  <c r="AM72" i="14"/>
  <c r="AY72" i="14" s="1"/>
  <c r="BK72" i="14" s="1" a="1"/>
  <c r="AB73" i="14"/>
  <c r="AN73" i="14" s="1"/>
  <c r="AZ73" i="14" s="1" a="1"/>
  <c r="AC73" i="14"/>
  <c r="AO73" i="14" s="1"/>
  <c r="BA73" i="14" s="1" a="1"/>
  <c r="AD73" i="14"/>
  <c r="AP73" i="14" s="1"/>
  <c r="BB73" i="14" s="1" a="1"/>
  <c r="AE73" i="14"/>
  <c r="AQ73" i="14" s="1"/>
  <c r="BC73" i="14" s="1" a="1"/>
  <c r="AF73" i="14"/>
  <c r="AR73" i="14" s="1"/>
  <c r="BD73" i="14" s="1" a="1"/>
  <c r="AG73" i="14"/>
  <c r="AS73" i="14" s="1"/>
  <c r="BE73" i="14" s="1" a="1"/>
  <c r="AH73" i="14"/>
  <c r="AT73" i="14" s="1"/>
  <c r="BF73" i="14" s="1" a="1"/>
  <c r="AI73" i="14"/>
  <c r="AU73" i="14" s="1"/>
  <c r="BG73" i="14" s="1" a="1"/>
  <c r="AJ73" i="14"/>
  <c r="AV73" i="14" s="1"/>
  <c r="BH73" i="14" s="1" a="1"/>
  <c r="AK73" i="14"/>
  <c r="AW73" i="14" s="1"/>
  <c r="BI73" i="14" s="1" a="1"/>
  <c r="AL73" i="14"/>
  <c r="AX73" i="14" s="1"/>
  <c r="BJ73" i="14" s="1" a="1"/>
  <c r="AM73" i="14"/>
  <c r="AY73" i="14" s="1"/>
  <c r="BK73" i="14" s="1" a="1"/>
  <c r="AB74" i="14"/>
  <c r="AN74" i="14" s="1"/>
  <c r="AZ74" i="14" s="1" a="1"/>
  <c r="AC74" i="14"/>
  <c r="AO74" i="14" s="1"/>
  <c r="BA74" i="14" s="1" a="1"/>
  <c r="AD74" i="14"/>
  <c r="AP74" i="14" s="1"/>
  <c r="BB74" i="14" s="1" a="1"/>
  <c r="AE74" i="14"/>
  <c r="AQ74" i="14" s="1"/>
  <c r="BC74" i="14" s="1" a="1"/>
  <c r="AF74" i="14"/>
  <c r="AR74" i="14" s="1"/>
  <c r="BD74" i="14" s="1" a="1"/>
  <c r="AG74" i="14"/>
  <c r="AS74" i="14" s="1"/>
  <c r="BE74" i="14" s="1" a="1"/>
  <c r="AH74" i="14"/>
  <c r="AT74" i="14" s="1"/>
  <c r="BF74" i="14" s="1" a="1"/>
  <c r="AI74" i="14"/>
  <c r="AU74" i="14" s="1"/>
  <c r="BG74" i="14" s="1" a="1"/>
  <c r="AJ74" i="14"/>
  <c r="AV74" i="14" s="1"/>
  <c r="BH74" i="14" s="1" a="1"/>
  <c r="AK74" i="14"/>
  <c r="AW74" i="14" s="1"/>
  <c r="BI74" i="14" s="1" a="1"/>
  <c r="AL74" i="14"/>
  <c r="AX74" i="14" s="1"/>
  <c r="BJ74" i="14" s="1" a="1"/>
  <c r="AM74" i="14"/>
  <c r="AY74" i="14" s="1"/>
  <c r="BK74" i="14" s="1" a="1"/>
  <c r="AB75" i="14"/>
  <c r="AN75" i="14" s="1"/>
  <c r="AZ75" i="14" s="1" a="1"/>
  <c r="AC75" i="14"/>
  <c r="AO75" i="14" s="1"/>
  <c r="BA75" i="14" s="1" a="1"/>
  <c r="AD75" i="14"/>
  <c r="AP75" i="14" s="1"/>
  <c r="BB75" i="14" s="1" a="1"/>
  <c r="AE75" i="14"/>
  <c r="AQ75" i="14" s="1"/>
  <c r="BC75" i="14" s="1" a="1"/>
  <c r="AF75" i="14"/>
  <c r="AR75" i="14" s="1"/>
  <c r="BD75" i="14" s="1" a="1"/>
  <c r="AG75" i="14"/>
  <c r="AS75" i="14" s="1"/>
  <c r="BE75" i="14" s="1" a="1"/>
  <c r="AH75" i="14"/>
  <c r="AT75" i="14" s="1"/>
  <c r="BF75" i="14" s="1" a="1"/>
  <c r="AI75" i="14"/>
  <c r="AU75" i="14" s="1"/>
  <c r="BG75" i="14" s="1" a="1"/>
  <c r="AJ75" i="14"/>
  <c r="AV75" i="14" s="1"/>
  <c r="BH75" i="14" s="1" a="1"/>
  <c r="AK75" i="14"/>
  <c r="AW75" i="14" s="1"/>
  <c r="BI75" i="14" s="1" a="1"/>
  <c r="AL75" i="14"/>
  <c r="AX75" i="14" s="1"/>
  <c r="BJ75" i="14" s="1" a="1"/>
  <c r="AM75" i="14"/>
  <c r="AY75" i="14" s="1"/>
  <c r="BK75" i="14" s="1" a="1"/>
  <c r="AB47" i="14"/>
  <c r="AN47" i="14" s="1"/>
  <c r="AZ47" i="14" s="1" a="1"/>
  <c r="AC47" i="14"/>
  <c r="AO47" i="14" s="1"/>
  <c r="BA47" i="14" s="1" a="1"/>
  <c r="AD47" i="14"/>
  <c r="AP47" i="14" s="1"/>
  <c r="BB47" i="14" s="1" a="1"/>
  <c r="AE47" i="14"/>
  <c r="AQ47" i="14" s="1"/>
  <c r="BC47" i="14" s="1" a="1"/>
  <c r="AF47" i="14"/>
  <c r="AR47" i="14" s="1"/>
  <c r="BD47" i="14" s="1" a="1"/>
  <c r="AG47" i="14"/>
  <c r="AS47" i="14" s="1"/>
  <c r="BE47" i="14" s="1" a="1"/>
  <c r="AH47" i="14"/>
  <c r="AT47" i="14" s="1"/>
  <c r="BF47" i="14" s="1" a="1"/>
  <c r="AI47" i="14"/>
  <c r="AU47" i="14" s="1"/>
  <c r="BG47" i="14" s="1" a="1"/>
  <c r="AJ47" i="14"/>
  <c r="AV47" i="14" s="1"/>
  <c r="BH47" i="14" s="1" a="1"/>
  <c r="AK47" i="14"/>
  <c r="AW47" i="14" s="1"/>
  <c r="BI47" i="14" s="1" a="1"/>
  <c r="AL47" i="14"/>
  <c r="AX47" i="14" s="1"/>
  <c r="BJ47" i="14" s="1" a="1"/>
  <c r="AM47" i="14"/>
  <c r="AY47" i="14" s="1"/>
  <c r="BK47" i="14" s="1" a="1"/>
  <c r="AB48" i="14"/>
  <c r="AN48" i="14" s="1"/>
  <c r="AZ48" i="14" s="1" a="1"/>
  <c r="AC48" i="14"/>
  <c r="AO48" i="14" s="1"/>
  <c r="BA48" i="14" s="1" a="1"/>
  <c r="AD48" i="14"/>
  <c r="AP48" i="14" s="1"/>
  <c r="BB48" i="14" s="1" a="1"/>
  <c r="AE48" i="14"/>
  <c r="AQ48" i="14" s="1"/>
  <c r="BC48" i="14" s="1" a="1"/>
  <c r="AF48" i="14"/>
  <c r="AR48" i="14" s="1"/>
  <c r="BD48" i="14" s="1" a="1"/>
  <c r="AG48" i="14"/>
  <c r="AS48" i="14" s="1"/>
  <c r="BE48" i="14" s="1" a="1"/>
  <c r="AH48" i="14"/>
  <c r="AT48" i="14" s="1"/>
  <c r="BF48" i="14" s="1" a="1"/>
  <c r="AI48" i="14"/>
  <c r="AU48" i="14" s="1"/>
  <c r="BG48" i="14" s="1" a="1"/>
  <c r="AJ48" i="14"/>
  <c r="AV48" i="14" s="1"/>
  <c r="BH48" i="14" s="1" a="1"/>
  <c r="AK48" i="14"/>
  <c r="AW48" i="14" s="1"/>
  <c r="BI48" i="14" s="1" a="1"/>
  <c r="AL48" i="14"/>
  <c r="AX48" i="14" s="1"/>
  <c r="BJ48" i="14" s="1" a="1"/>
  <c r="AM48" i="14"/>
  <c r="AY48" i="14" s="1"/>
  <c r="BK48" i="14" s="1" a="1"/>
  <c r="AB49" i="14"/>
  <c r="AN49" i="14" s="1"/>
  <c r="AZ49" i="14" s="1" a="1"/>
  <c r="AC49" i="14"/>
  <c r="AO49" i="14" s="1"/>
  <c r="BA49" i="14" s="1" a="1"/>
  <c r="AD49" i="14"/>
  <c r="AP49" i="14" s="1"/>
  <c r="BB49" i="14" s="1" a="1"/>
  <c r="AE49" i="14"/>
  <c r="AQ49" i="14" s="1"/>
  <c r="BC49" i="14" s="1" a="1"/>
  <c r="AF49" i="14"/>
  <c r="AR49" i="14" s="1"/>
  <c r="BD49" i="14" s="1" a="1"/>
  <c r="AG49" i="14"/>
  <c r="AS49" i="14" s="1"/>
  <c r="BE49" i="14" s="1" a="1"/>
  <c r="AH49" i="14"/>
  <c r="AT49" i="14" s="1"/>
  <c r="BF49" i="14" s="1" a="1"/>
  <c r="AI49" i="14"/>
  <c r="AU49" i="14" s="1"/>
  <c r="BG49" i="14" s="1" a="1"/>
  <c r="AJ49" i="14"/>
  <c r="AV49" i="14" s="1"/>
  <c r="BH49" i="14" s="1" a="1"/>
  <c r="AK49" i="14"/>
  <c r="AW49" i="14" s="1"/>
  <c r="BI49" i="14" s="1" a="1"/>
  <c r="AL49" i="14"/>
  <c r="AX49" i="14" s="1"/>
  <c r="BJ49" i="14" s="1" a="1"/>
  <c r="AM49" i="14"/>
  <c r="AY49" i="14" s="1"/>
  <c r="BK49" i="14" s="1" a="1"/>
  <c r="AB50" i="14"/>
  <c r="AN50" i="14" s="1"/>
  <c r="AZ50" i="14" s="1" a="1"/>
  <c r="AC50" i="14"/>
  <c r="AO50" i="14" s="1"/>
  <c r="BA50" i="14" s="1" a="1"/>
  <c r="AD50" i="14"/>
  <c r="AP50" i="14" s="1"/>
  <c r="BB50" i="14" s="1" a="1"/>
  <c r="AE50" i="14"/>
  <c r="AQ50" i="14" s="1"/>
  <c r="BC50" i="14" s="1" a="1"/>
  <c r="AF50" i="14"/>
  <c r="AR50" i="14" s="1"/>
  <c r="BD50" i="14" s="1" a="1"/>
  <c r="AG50" i="14"/>
  <c r="AS50" i="14" s="1"/>
  <c r="BE50" i="14" s="1" a="1"/>
  <c r="AH50" i="14"/>
  <c r="AT50" i="14" s="1"/>
  <c r="BF50" i="14" s="1" a="1"/>
  <c r="AI50" i="14"/>
  <c r="AU50" i="14" s="1"/>
  <c r="BG50" i="14" s="1" a="1"/>
  <c r="AJ50" i="14"/>
  <c r="AV50" i="14" s="1"/>
  <c r="BH50" i="14" s="1" a="1"/>
  <c r="AK50" i="14"/>
  <c r="AW50" i="14" s="1"/>
  <c r="BI50" i="14" s="1" a="1"/>
  <c r="AL50" i="14"/>
  <c r="AX50" i="14" s="1"/>
  <c r="BJ50" i="14" s="1" a="1"/>
  <c r="AM50" i="14"/>
  <c r="AY50" i="14" s="1"/>
  <c r="BK50" i="14" s="1" a="1"/>
  <c r="AB51" i="14"/>
  <c r="AN51" i="14" s="1"/>
  <c r="AZ51" i="14" s="1" a="1"/>
  <c r="AC51" i="14"/>
  <c r="AO51" i="14" s="1"/>
  <c r="BA51" i="14" s="1" a="1"/>
  <c r="AD51" i="14"/>
  <c r="AP51" i="14" s="1"/>
  <c r="BB51" i="14" s="1" a="1"/>
  <c r="AE51" i="14"/>
  <c r="AQ51" i="14" s="1"/>
  <c r="BC51" i="14" s="1" a="1"/>
  <c r="AF51" i="14"/>
  <c r="AR51" i="14" s="1"/>
  <c r="BD51" i="14" s="1" a="1"/>
  <c r="AG51" i="14"/>
  <c r="AS51" i="14" s="1"/>
  <c r="BE51" i="14" s="1" a="1"/>
  <c r="AH51" i="14"/>
  <c r="AT51" i="14" s="1"/>
  <c r="BF51" i="14" s="1" a="1"/>
  <c r="AI51" i="14"/>
  <c r="AU51" i="14" s="1"/>
  <c r="BG51" i="14" s="1" a="1"/>
  <c r="AJ51" i="14"/>
  <c r="AV51" i="14" s="1"/>
  <c r="BH51" i="14" s="1" a="1"/>
  <c r="AK51" i="14"/>
  <c r="AW51" i="14" s="1"/>
  <c r="BI51" i="14" s="1" a="1"/>
  <c r="AL51" i="14"/>
  <c r="AX51" i="14" s="1"/>
  <c r="BJ51" i="14" s="1" a="1"/>
  <c r="AM51" i="14"/>
  <c r="AY51" i="14" s="1"/>
  <c r="BK51" i="14" s="1" a="1"/>
  <c r="AB52" i="14"/>
  <c r="AN52" i="14" s="1"/>
  <c r="AZ52" i="14" s="1" a="1"/>
  <c r="AC52" i="14"/>
  <c r="AO52" i="14" s="1"/>
  <c r="BA52" i="14" s="1" a="1"/>
  <c r="AD52" i="14"/>
  <c r="AP52" i="14" s="1"/>
  <c r="BB52" i="14" s="1" a="1"/>
  <c r="AE52" i="14"/>
  <c r="AQ52" i="14" s="1"/>
  <c r="BC52" i="14" s="1" a="1"/>
  <c r="AF52" i="14"/>
  <c r="AR52" i="14" s="1"/>
  <c r="BD52" i="14" s="1" a="1"/>
  <c r="AG52" i="14"/>
  <c r="AS52" i="14" s="1"/>
  <c r="BE52" i="14" s="1" a="1"/>
  <c r="AH52" i="14"/>
  <c r="AT52" i="14" s="1"/>
  <c r="BF52" i="14" s="1" a="1"/>
  <c r="AI52" i="14"/>
  <c r="AU52" i="14" s="1"/>
  <c r="BG52" i="14" s="1" a="1"/>
  <c r="AJ52" i="14"/>
  <c r="AV52" i="14" s="1"/>
  <c r="BH52" i="14" s="1" a="1"/>
  <c r="AK52" i="14"/>
  <c r="AW52" i="14" s="1"/>
  <c r="BI52" i="14" s="1" a="1"/>
  <c r="AL52" i="14"/>
  <c r="AX52" i="14" s="1"/>
  <c r="BJ52" i="14" s="1" a="1"/>
  <c r="AM52" i="14"/>
  <c r="AY52" i="14" s="1"/>
  <c r="BK52" i="14" s="1" a="1"/>
  <c r="AB53" i="14"/>
  <c r="AN53" i="14" s="1"/>
  <c r="AZ53" i="14" s="1" a="1"/>
  <c r="AC53" i="14"/>
  <c r="AO53" i="14" s="1"/>
  <c r="BA53" i="14" s="1" a="1"/>
  <c r="AD53" i="14"/>
  <c r="AP53" i="14" s="1"/>
  <c r="BB53" i="14" s="1" a="1"/>
  <c r="AE53" i="14"/>
  <c r="AQ53" i="14" s="1"/>
  <c r="BC53" i="14" s="1" a="1"/>
  <c r="AF53" i="14"/>
  <c r="AR53" i="14" s="1"/>
  <c r="BD53" i="14" s="1" a="1"/>
  <c r="AG53" i="14"/>
  <c r="AS53" i="14" s="1"/>
  <c r="BE53" i="14" s="1" a="1"/>
  <c r="AH53" i="14"/>
  <c r="AT53" i="14" s="1"/>
  <c r="BF53" i="14" s="1" a="1"/>
  <c r="AI53" i="14"/>
  <c r="AU53" i="14" s="1"/>
  <c r="BG53" i="14" s="1" a="1"/>
  <c r="AJ53" i="14"/>
  <c r="AV53" i="14" s="1"/>
  <c r="BH53" i="14" s="1" a="1"/>
  <c r="AK53" i="14"/>
  <c r="AW53" i="14" s="1"/>
  <c r="BI53" i="14" s="1" a="1"/>
  <c r="AL53" i="14"/>
  <c r="AX53" i="14" s="1"/>
  <c r="BJ53" i="14" s="1" a="1"/>
  <c r="AM53" i="14"/>
  <c r="AY53" i="14" s="1"/>
  <c r="BK53" i="14" s="1" a="1"/>
  <c r="AB54" i="14"/>
  <c r="AN54" i="14" s="1"/>
  <c r="AZ54" i="14" s="1" a="1"/>
  <c r="AC54" i="14"/>
  <c r="AO54" i="14" s="1"/>
  <c r="BA54" i="14" s="1" a="1"/>
  <c r="AD54" i="14"/>
  <c r="AP54" i="14" s="1"/>
  <c r="BB54" i="14" s="1" a="1"/>
  <c r="AE54" i="14"/>
  <c r="AQ54" i="14" s="1"/>
  <c r="BC54" i="14" s="1" a="1"/>
  <c r="AF54" i="14"/>
  <c r="AR54" i="14" s="1"/>
  <c r="BD54" i="14" s="1" a="1"/>
  <c r="AG54" i="14"/>
  <c r="AS54" i="14" s="1"/>
  <c r="BE54" i="14" s="1" a="1"/>
  <c r="AH54" i="14"/>
  <c r="AT54" i="14" s="1"/>
  <c r="BF54" i="14" s="1" a="1"/>
  <c r="AI54" i="14"/>
  <c r="AU54" i="14" s="1"/>
  <c r="BG54" i="14" s="1" a="1"/>
  <c r="AJ54" i="14"/>
  <c r="AV54" i="14" s="1"/>
  <c r="BH54" i="14" s="1" a="1"/>
  <c r="AK54" i="14"/>
  <c r="AW54" i="14" s="1"/>
  <c r="BI54" i="14" s="1" a="1"/>
  <c r="AL54" i="14"/>
  <c r="AX54" i="14" s="1"/>
  <c r="BJ54" i="14" s="1" a="1"/>
  <c r="AM54" i="14"/>
  <c r="AY54" i="14" s="1"/>
  <c r="BK54" i="14" s="1" a="1"/>
  <c r="AB55" i="14"/>
  <c r="AN55" i="14" s="1"/>
  <c r="AZ55" i="14" s="1" a="1"/>
  <c r="AC55" i="14"/>
  <c r="AO55" i="14" s="1"/>
  <c r="BA55" i="14" s="1" a="1"/>
  <c r="AD55" i="14"/>
  <c r="AP55" i="14" s="1"/>
  <c r="BB55" i="14" s="1" a="1"/>
  <c r="AE55" i="14"/>
  <c r="AQ55" i="14" s="1"/>
  <c r="BC55" i="14" s="1" a="1"/>
  <c r="AF55" i="14"/>
  <c r="AR55" i="14" s="1"/>
  <c r="BD55" i="14" s="1" a="1"/>
  <c r="AG55" i="14"/>
  <c r="AS55" i="14" s="1"/>
  <c r="BE55" i="14" s="1" a="1"/>
  <c r="AH55" i="14"/>
  <c r="AT55" i="14" s="1"/>
  <c r="BF55" i="14" s="1" a="1"/>
  <c r="AI55" i="14"/>
  <c r="AU55" i="14" s="1"/>
  <c r="BG55" i="14" s="1" a="1"/>
  <c r="AJ55" i="14"/>
  <c r="AV55" i="14" s="1"/>
  <c r="BH55" i="14" s="1" a="1"/>
  <c r="AK55" i="14"/>
  <c r="AW55" i="14" s="1"/>
  <c r="BI55" i="14" s="1" a="1"/>
  <c r="AL55" i="14"/>
  <c r="AX55" i="14" s="1"/>
  <c r="BJ55" i="14" s="1" a="1"/>
  <c r="AM55" i="14"/>
  <c r="AY55" i="14" s="1"/>
  <c r="BK55" i="14" s="1" a="1"/>
  <c r="AB56" i="14"/>
  <c r="AN56" i="14" s="1"/>
  <c r="AZ56" i="14" s="1" a="1"/>
  <c r="AC56" i="14"/>
  <c r="AO56" i="14" s="1"/>
  <c r="BA56" i="14" s="1" a="1"/>
  <c r="AD56" i="14"/>
  <c r="AP56" i="14" s="1"/>
  <c r="BB56" i="14" s="1" a="1"/>
  <c r="AE56" i="14"/>
  <c r="AQ56" i="14" s="1"/>
  <c r="BC56" i="14" s="1" a="1"/>
  <c r="AF56" i="14"/>
  <c r="AR56" i="14" s="1"/>
  <c r="BD56" i="14" s="1" a="1"/>
  <c r="AG56" i="14"/>
  <c r="AS56" i="14" s="1"/>
  <c r="BE56" i="14" s="1" a="1"/>
  <c r="AH56" i="14"/>
  <c r="AT56" i="14" s="1"/>
  <c r="BF56" i="14" s="1" a="1"/>
  <c r="AI56" i="14"/>
  <c r="AU56" i="14" s="1"/>
  <c r="BG56" i="14" s="1" a="1"/>
  <c r="AJ56" i="14"/>
  <c r="AV56" i="14" s="1"/>
  <c r="BH56" i="14" s="1" a="1"/>
  <c r="AK56" i="14"/>
  <c r="AW56" i="14" s="1"/>
  <c r="BI56" i="14" s="1" a="1"/>
  <c r="AL56" i="14"/>
  <c r="AX56" i="14" s="1"/>
  <c r="BJ56" i="14" s="1" a="1"/>
  <c r="AM56" i="14"/>
  <c r="AY56" i="14" s="1"/>
  <c r="BK56" i="14" s="1" a="1"/>
  <c r="AB57" i="14"/>
  <c r="AN57" i="14" s="1"/>
  <c r="AZ57" i="14" s="1" a="1"/>
  <c r="AC57" i="14"/>
  <c r="AO57" i="14" s="1"/>
  <c r="BA57" i="14" s="1" a="1"/>
  <c r="AD57" i="14"/>
  <c r="AP57" i="14" s="1"/>
  <c r="BB57" i="14" s="1" a="1"/>
  <c r="AE57" i="14"/>
  <c r="AQ57" i="14" s="1"/>
  <c r="BC57" i="14" s="1" a="1"/>
  <c r="AF57" i="14"/>
  <c r="AR57" i="14" s="1"/>
  <c r="BD57" i="14" s="1" a="1"/>
  <c r="AG57" i="14"/>
  <c r="AS57" i="14" s="1"/>
  <c r="BE57" i="14" s="1" a="1"/>
  <c r="AH57" i="14"/>
  <c r="AT57" i="14" s="1"/>
  <c r="BF57" i="14" s="1" a="1"/>
  <c r="AI57" i="14"/>
  <c r="AU57" i="14" s="1"/>
  <c r="BG57" i="14" s="1" a="1"/>
  <c r="AJ57" i="14"/>
  <c r="AV57" i="14" s="1"/>
  <c r="BH57" i="14" s="1" a="1"/>
  <c r="AK57" i="14"/>
  <c r="AW57" i="14" s="1"/>
  <c r="BI57" i="14" s="1" a="1"/>
  <c r="AL57" i="14"/>
  <c r="AX57" i="14" s="1"/>
  <c r="BJ57" i="14" s="1" a="1"/>
  <c r="AM57" i="14"/>
  <c r="AY57" i="14" s="1"/>
  <c r="BK57" i="14" s="1" a="1"/>
  <c r="AB58" i="14"/>
  <c r="AN58" i="14" s="1"/>
  <c r="AZ58" i="14" s="1" a="1"/>
  <c r="AC58" i="14"/>
  <c r="AO58" i="14" s="1"/>
  <c r="BA58" i="14" s="1" a="1"/>
  <c r="AD58" i="14"/>
  <c r="AP58" i="14" s="1"/>
  <c r="BB58" i="14" s="1" a="1"/>
  <c r="AE58" i="14"/>
  <c r="AQ58" i="14" s="1"/>
  <c r="BC58" i="14" s="1" a="1"/>
  <c r="AF58" i="14"/>
  <c r="AR58" i="14" s="1"/>
  <c r="BD58" i="14" s="1" a="1"/>
  <c r="AG58" i="14"/>
  <c r="AS58" i="14" s="1"/>
  <c r="BE58" i="14" s="1" a="1"/>
  <c r="AH58" i="14"/>
  <c r="AT58" i="14" s="1"/>
  <c r="BF58" i="14" s="1" a="1"/>
  <c r="AI58" i="14"/>
  <c r="AU58" i="14" s="1"/>
  <c r="BG58" i="14" s="1" a="1"/>
  <c r="AJ58" i="14"/>
  <c r="AV58" i="14" s="1"/>
  <c r="BH58" i="14" s="1" a="1"/>
  <c r="AK58" i="14"/>
  <c r="AW58" i="14" s="1"/>
  <c r="BI58" i="14" s="1" a="1"/>
  <c r="AL58" i="14"/>
  <c r="AX58" i="14" s="1"/>
  <c r="BJ58" i="14" s="1" a="1"/>
  <c r="AM58" i="14"/>
  <c r="AY58" i="14" s="1"/>
  <c r="BK58" i="14" s="1" a="1"/>
  <c r="AB59" i="14"/>
  <c r="AN59" i="14" s="1"/>
  <c r="AZ59" i="14" s="1" a="1"/>
  <c r="AC59" i="14"/>
  <c r="AO59" i="14" s="1"/>
  <c r="BA59" i="14" s="1" a="1"/>
  <c r="AD59" i="14"/>
  <c r="AP59" i="14" s="1"/>
  <c r="BB59" i="14" s="1" a="1"/>
  <c r="AE59" i="14"/>
  <c r="AQ59" i="14" s="1"/>
  <c r="BC59" i="14" s="1" a="1"/>
  <c r="AF59" i="14"/>
  <c r="AR59" i="14" s="1"/>
  <c r="BD59" i="14" s="1" a="1"/>
  <c r="AG59" i="14"/>
  <c r="AS59" i="14" s="1"/>
  <c r="BE59" i="14" s="1" a="1"/>
  <c r="AH59" i="14"/>
  <c r="AT59" i="14" s="1"/>
  <c r="BF59" i="14" s="1" a="1"/>
  <c r="AI59" i="14"/>
  <c r="AU59" i="14" s="1"/>
  <c r="BG59" i="14" s="1" a="1"/>
  <c r="AJ59" i="14"/>
  <c r="AV59" i="14" s="1"/>
  <c r="BH59" i="14" s="1" a="1"/>
  <c r="AK59" i="14"/>
  <c r="AW59" i="14" s="1"/>
  <c r="BI59" i="14" s="1" a="1"/>
  <c r="AL59" i="14"/>
  <c r="AX59" i="14" s="1"/>
  <c r="BJ59" i="14" s="1" a="1"/>
  <c r="AM59" i="14"/>
  <c r="AY59" i="14" s="1"/>
  <c r="BK59" i="14" s="1" a="1"/>
  <c r="AB60" i="14"/>
  <c r="AN60" i="14" s="1"/>
  <c r="AZ60" i="14" s="1" a="1"/>
  <c r="AC60" i="14"/>
  <c r="AO60" i="14" s="1"/>
  <c r="BA60" i="14" s="1" a="1"/>
  <c r="AD60" i="14"/>
  <c r="AP60" i="14" s="1"/>
  <c r="BB60" i="14" s="1" a="1"/>
  <c r="AE60" i="14"/>
  <c r="AQ60" i="14" s="1"/>
  <c r="BC60" i="14" s="1" a="1"/>
  <c r="AF60" i="14"/>
  <c r="AR60" i="14" s="1"/>
  <c r="BD60" i="14" s="1" a="1"/>
  <c r="AG60" i="14"/>
  <c r="AS60" i="14" s="1"/>
  <c r="BE60" i="14" s="1" a="1"/>
  <c r="AH60" i="14"/>
  <c r="AT60" i="14" s="1"/>
  <c r="BF60" i="14" s="1" a="1"/>
  <c r="AI60" i="14"/>
  <c r="AU60" i="14" s="1"/>
  <c r="BG60" i="14" s="1" a="1"/>
  <c r="AJ60" i="14"/>
  <c r="AV60" i="14" s="1"/>
  <c r="BH60" i="14" s="1" a="1"/>
  <c r="AK60" i="14"/>
  <c r="AW60" i="14" s="1"/>
  <c r="BI60" i="14" s="1" a="1"/>
  <c r="AL60" i="14"/>
  <c r="AX60" i="14" s="1"/>
  <c r="BJ60" i="14" s="1" a="1"/>
  <c r="AM60" i="14"/>
  <c r="AY60" i="14" s="1"/>
  <c r="BK60" i="14" s="1" a="1"/>
  <c r="AB33" i="14"/>
  <c r="AN33" i="14" s="1"/>
  <c r="AZ33" i="14" s="1" a="1"/>
  <c r="AC33" i="14"/>
  <c r="AO33" i="14" s="1"/>
  <c r="BA33" i="14" s="1" a="1"/>
  <c r="AD33" i="14"/>
  <c r="AP33" i="14" s="1"/>
  <c r="BB33" i="14" s="1" a="1"/>
  <c r="AE33" i="14"/>
  <c r="AQ33" i="14" s="1"/>
  <c r="BC33" i="14" s="1" a="1"/>
  <c r="AF33" i="14"/>
  <c r="AR33" i="14" s="1"/>
  <c r="BD33" i="14" s="1" a="1"/>
  <c r="AG33" i="14"/>
  <c r="AS33" i="14" s="1"/>
  <c r="BE33" i="14" s="1" a="1"/>
  <c r="AH33" i="14"/>
  <c r="AT33" i="14" s="1"/>
  <c r="BF33" i="14" s="1" a="1"/>
  <c r="AI33" i="14"/>
  <c r="AU33" i="14" s="1"/>
  <c r="BG33" i="14" s="1" a="1"/>
  <c r="AJ33" i="14"/>
  <c r="AV33" i="14" s="1"/>
  <c r="BH33" i="14" s="1" a="1"/>
  <c r="AK33" i="14"/>
  <c r="AW33" i="14" s="1"/>
  <c r="BI33" i="14" s="1" a="1"/>
  <c r="AL33" i="14"/>
  <c r="AX33" i="14" s="1"/>
  <c r="BJ33" i="14" s="1" a="1"/>
  <c r="AM33" i="14"/>
  <c r="AY33" i="14" s="1"/>
  <c r="BK33" i="14" s="1" a="1"/>
  <c r="AB34" i="14"/>
  <c r="AN34" i="14" s="1"/>
  <c r="AZ34" i="14" s="1" a="1"/>
  <c r="AC34" i="14"/>
  <c r="AO34" i="14" s="1"/>
  <c r="BA34" i="14" s="1" a="1"/>
  <c r="AD34" i="14"/>
  <c r="AP34" i="14" s="1"/>
  <c r="BB34" i="14" s="1" a="1"/>
  <c r="AE34" i="14"/>
  <c r="AQ34" i="14" s="1"/>
  <c r="BC34" i="14" s="1" a="1"/>
  <c r="AF34" i="14"/>
  <c r="AR34" i="14" s="1"/>
  <c r="BD34" i="14" s="1" a="1"/>
  <c r="AG34" i="14"/>
  <c r="AS34" i="14" s="1"/>
  <c r="BE34" i="14" s="1" a="1"/>
  <c r="AH34" i="14"/>
  <c r="AT34" i="14" s="1"/>
  <c r="BF34" i="14" s="1" a="1"/>
  <c r="AI34" i="14"/>
  <c r="AU34" i="14" s="1"/>
  <c r="BG34" i="14" s="1" a="1"/>
  <c r="AJ34" i="14"/>
  <c r="AV34" i="14" s="1"/>
  <c r="BH34" i="14" s="1" a="1"/>
  <c r="AK34" i="14"/>
  <c r="AW34" i="14" s="1"/>
  <c r="BI34" i="14" s="1" a="1"/>
  <c r="AL34" i="14"/>
  <c r="AX34" i="14" s="1"/>
  <c r="BJ34" i="14" s="1" a="1"/>
  <c r="AM34" i="14"/>
  <c r="AY34" i="14" s="1"/>
  <c r="BK34" i="14" s="1" a="1"/>
  <c r="AB35" i="14"/>
  <c r="AN35" i="14" s="1"/>
  <c r="AZ35" i="14" s="1" a="1"/>
  <c r="AC35" i="14"/>
  <c r="AO35" i="14" s="1"/>
  <c r="BA35" i="14" s="1" a="1"/>
  <c r="AD35" i="14"/>
  <c r="AP35" i="14" s="1"/>
  <c r="BB35" i="14" s="1" a="1"/>
  <c r="AE35" i="14"/>
  <c r="AQ35" i="14" s="1"/>
  <c r="BC35" i="14" s="1" a="1"/>
  <c r="AF35" i="14"/>
  <c r="AR35" i="14" s="1"/>
  <c r="BD35" i="14" s="1" a="1"/>
  <c r="AG35" i="14"/>
  <c r="AS35" i="14" s="1"/>
  <c r="BE35" i="14" s="1" a="1"/>
  <c r="AH35" i="14"/>
  <c r="AT35" i="14" s="1"/>
  <c r="BF35" i="14" s="1" a="1"/>
  <c r="AI35" i="14"/>
  <c r="AU35" i="14" s="1"/>
  <c r="BG35" i="14" s="1" a="1"/>
  <c r="AJ35" i="14"/>
  <c r="AV35" i="14" s="1"/>
  <c r="BH35" i="14" s="1" a="1"/>
  <c r="AK35" i="14"/>
  <c r="AW35" i="14" s="1"/>
  <c r="BI35" i="14" s="1" a="1"/>
  <c r="AL35" i="14"/>
  <c r="AX35" i="14" s="1"/>
  <c r="BJ35" i="14" s="1" a="1"/>
  <c r="AM35" i="14"/>
  <c r="AY35" i="14" s="1"/>
  <c r="BK35" i="14" s="1" a="1"/>
  <c r="AB36" i="14"/>
  <c r="AN36" i="14" s="1"/>
  <c r="AZ36" i="14" s="1" a="1"/>
  <c r="AC36" i="14"/>
  <c r="AO36" i="14" s="1"/>
  <c r="BA36" i="14" s="1" a="1"/>
  <c r="AD36" i="14"/>
  <c r="AP36" i="14" s="1"/>
  <c r="BB36" i="14" s="1" a="1"/>
  <c r="AE36" i="14"/>
  <c r="AQ36" i="14" s="1"/>
  <c r="BC36" i="14" s="1" a="1"/>
  <c r="AF36" i="14"/>
  <c r="AR36" i="14" s="1"/>
  <c r="BD36" i="14" s="1" a="1"/>
  <c r="AG36" i="14"/>
  <c r="AS36" i="14" s="1"/>
  <c r="BE36" i="14" s="1" a="1"/>
  <c r="AH36" i="14"/>
  <c r="AT36" i="14" s="1"/>
  <c r="BF36" i="14" s="1" a="1"/>
  <c r="AI36" i="14"/>
  <c r="AU36" i="14" s="1"/>
  <c r="BG36" i="14" s="1" a="1"/>
  <c r="AJ36" i="14"/>
  <c r="AV36" i="14" s="1"/>
  <c r="BH36" i="14" s="1" a="1"/>
  <c r="AK36" i="14"/>
  <c r="AW36" i="14" s="1"/>
  <c r="BI36" i="14" s="1" a="1"/>
  <c r="AL36" i="14"/>
  <c r="AX36" i="14" s="1"/>
  <c r="BJ36" i="14" s="1" a="1"/>
  <c r="AM36" i="14"/>
  <c r="AY36" i="14" s="1"/>
  <c r="BK36" i="14" s="1" a="1"/>
  <c r="AB37" i="14"/>
  <c r="AN37" i="14" s="1"/>
  <c r="AZ37" i="14" s="1" a="1"/>
  <c r="AC37" i="14"/>
  <c r="AO37" i="14" s="1"/>
  <c r="BA37" i="14" s="1" a="1"/>
  <c r="AD37" i="14"/>
  <c r="AP37" i="14" s="1"/>
  <c r="BB37" i="14" s="1" a="1"/>
  <c r="AE37" i="14"/>
  <c r="AQ37" i="14" s="1"/>
  <c r="BC37" i="14" s="1" a="1"/>
  <c r="AF37" i="14"/>
  <c r="AR37" i="14" s="1"/>
  <c r="BD37" i="14" s="1" a="1"/>
  <c r="AG37" i="14"/>
  <c r="AS37" i="14" s="1"/>
  <c r="BE37" i="14" s="1" a="1"/>
  <c r="AH37" i="14"/>
  <c r="AT37" i="14" s="1"/>
  <c r="BF37" i="14" s="1" a="1"/>
  <c r="AI37" i="14"/>
  <c r="AU37" i="14" s="1"/>
  <c r="BG37" i="14" s="1" a="1"/>
  <c r="AJ37" i="14"/>
  <c r="AV37" i="14" s="1"/>
  <c r="BH37" i="14" s="1" a="1"/>
  <c r="AK37" i="14"/>
  <c r="AW37" i="14" s="1"/>
  <c r="BI37" i="14" s="1" a="1"/>
  <c r="AL37" i="14"/>
  <c r="AX37" i="14" s="1"/>
  <c r="BJ37" i="14" s="1" a="1"/>
  <c r="AM37" i="14"/>
  <c r="AY37" i="14" s="1"/>
  <c r="BK37" i="14" s="1" a="1"/>
  <c r="AB38" i="14"/>
  <c r="AN38" i="14" s="1"/>
  <c r="AZ38" i="14" s="1" a="1"/>
  <c r="AC38" i="14"/>
  <c r="AO38" i="14" s="1"/>
  <c r="BA38" i="14" s="1" a="1"/>
  <c r="AD38" i="14"/>
  <c r="AP38" i="14" s="1"/>
  <c r="BB38" i="14" s="1" a="1"/>
  <c r="AE38" i="14"/>
  <c r="AQ38" i="14" s="1"/>
  <c r="BC38" i="14" s="1" a="1"/>
  <c r="AF38" i="14"/>
  <c r="AR38" i="14" s="1"/>
  <c r="BD38" i="14" s="1" a="1"/>
  <c r="AG38" i="14"/>
  <c r="AS38" i="14" s="1"/>
  <c r="BE38" i="14" s="1" a="1"/>
  <c r="AH38" i="14"/>
  <c r="AT38" i="14" s="1"/>
  <c r="BF38" i="14" s="1" a="1"/>
  <c r="AI38" i="14"/>
  <c r="AU38" i="14" s="1"/>
  <c r="BG38" i="14" s="1" a="1"/>
  <c r="AJ38" i="14"/>
  <c r="AV38" i="14" s="1"/>
  <c r="BH38" i="14" s="1" a="1"/>
  <c r="AK38" i="14"/>
  <c r="AW38" i="14" s="1"/>
  <c r="BI38" i="14" s="1" a="1"/>
  <c r="AL38" i="14"/>
  <c r="AX38" i="14" s="1"/>
  <c r="BJ38" i="14" s="1" a="1"/>
  <c r="AM38" i="14"/>
  <c r="AY38" i="14" s="1"/>
  <c r="BK38" i="14" s="1" a="1"/>
  <c r="AB39" i="14"/>
  <c r="AN39" i="14" s="1"/>
  <c r="AZ39" i="14" s="1" a="1"/>
  <c r="AC39" i="14"/>
  <c r="AO39" i="14" s="1"/>
  <c r="BA39" i="14" s="1" a="1"/>
  <c r="AD39" i="14"/>
  <c r="AP39" i="14" s="1"/>
  <c r="BB39" i="14" s="1" a="1"/>
  <c r="AE39" i="14"/>
  <c r="AQ39" i="14" s="1"/>
  <c r="BC39" i="14" s="1" a="1"/>
  <c r="AF39" i="14"/>
  <c r="AR39" i="14" s="1"/>
  <c r="BD39" i="14" s="1" a="1"/>
  <c r="AG39" i="14"/>
  <c r="AS39" i="14" s="1"/>
  <c r="BE39" i="14" s="1" a="1"/>
  <c r="AH39" i="14"/>
  <c r="AT39" i="14" s="1"/>
  <c r="BF39" i="14" s="1" a="1"/>
  <c r="AI39" i="14"/>
  <c r="AU39" i="14" s="1"/>
  <c r="BG39" i="14" s="1" a="1"/>
  <c r="AJ39" i="14"/>
  <c r="AV39" i="14" s="1"/>
  <c r="BH39" i="14" s="1" a="1"/>
  <c r="AK39" i="14"/>
  <c r="AW39" i="14" s="1"/>
  <c r="BI39" i="14" s="1" a="1"/>
  <c r="AL39" i="14"/>
  <c r="AX39" i="14" s="1"/>
  <c r="BJ39" i="14" s="1" a="1"/>
  <c r="AM39" i="14"/>
  <c r="AY39" i="14" s="1"/>
  <c r="BK39" i="14" s="1" a="1"/>
  <c r="AB40" i="14"/>
  <c r="AN40" i="14" s="1"/>
  <c r="AZ40" i="14" s="1" a="1"/>
  <c r="AC40" i="14"/>
  <c r="AO40" i="14" s="1"/>
  <c r="BA40" i="14" s="1" a="1"/>
  <c r="AD40" i="14"/>
  <c r="AP40" i="14" s="1"/>
  <c r="BB40" i="14" s="1" a="1"/>
  <c r="AE40" i="14"/>
  <c r="AQ40" i="14" s="1"/>
  <c r="BC40" i="14" s="1" a="1"/>
  <c r="AF40" i="14"/>
  <c r="AR40" i="14" s="1"/>
  <c r="BD40" i="14" s="1" a="1"/>
  <c r="AG40" i="14"/>
  <c r="AS40" i="14" s="1"/>
  <c r="BE40" i="14" s="1" a="1"/>
  <c r="AH40" i="14"/>
  <c r="AT40" i="14" s="1"/>
  <c r="BF40" i="14" s="1" a="1"/>
  <c r="AI40" i="14"/>
  <c r="AU40" i="14" s="1"/>
  <c r="BG40" i="14" s="1" a="1"/>
  <c r="AJ40" i="14"/>
  <c r="AV40" i="14" s="1"/>
  <c r="BH40" i="14" s="1" a="1"/>
  <c r="AK40" i="14"/>
  <c r="AW40" i="14" s="1"/>
  <c r="BI40" i="14" s="1" a="1"/>
  <c r="AL40" i="14"/>
  <c r="AX40" i="14" s="1"/>
  <c r="BJ40" i="14" s="1" a="1"/>
  <c r="AM40" i="14"/>
  <c r="AY40" i="14" s="1"/>
  <c r="BK40" i="14" s="1" a="1"/>
  <c r="AB41" i="14"/>
  <c r="AN41" i="14" s="1"/>
  <c r="AZ41" i="14" s="1" a="1"/>
  <c r="AC41" i="14"/>
  <c r="AO41" i="14" s="1"/>
  <c r="BA41" i="14" s="1" a="1"/>
  <c r="AD41" i="14"/>
  <c r="AP41" i="14" s="1"/>
  <c r="BB41" i="14" s="1" a="1"/>
  <c r="AE41" i="14"/>
  <c r="AQ41" i="14" s="1"/>
  <c r="BC41" i="14" s="1" a="1"/>
  <c r="AF41" i="14"/>
  <c r="AR41" i="14" s="1"/>
  <c r="BD41" i="14" s="1" a="1"/>
  <c r="AG41" i="14"/>
  <c r="AS41" i="14" s="1"/>
  <c r="BE41" i="14" s="1" a="1"/>
  <c r="AH41" i="14"/>
  <c r="AT41" i="14" s="1"/>
  <c r="BF41" i="14" s="1" a="1"/>
  <c r="AI41" i="14"/>
  <c r="AU41" i="14" s="1"/>
  <c r="BG41" i="14" s="1" a="1"/>
  <c r="AJ41" i="14"/>
  <c r="AV41" i="14" s="1"/>
  <c r="BH41" i="14" s="1" a="1"/>
  <c r="AK41" i="14"/>
  <c r="AW41" i="14" s="1"/>
  <c r="BI41" i="14" s="1" a="1"/>
  <c r="AL41" i="14"/>
  <c r="AX41" i="14" s="1"/>
  <c r="BJ41" i="14" s="1" a="1"/>
  <c r="AM41" i="14"/>
  <c r="AY41" i="14" s="1"/>
  <c r="BK41" i="14" s="1" a="1"/>
  <c r="AB42" i="14"/>
  <c r="AN42" i="14" s="1"/>
  <c r="AZ42" i="14" s="1" a="1"/>
  <c r="AC42" i="14"/>
  <c r="AO42" i="14" s="1"/>
  <c r="BA42" i="14" s="1" a="1"/>
  <c r="AD42" i="14"/>
  <c r="AP42" i="14" s="1"/>
  <c r="BB42" i="14" s="1" a="1"/>
  <c r="AE42" i="14"/>
  <c r="AQ42" i="14" s="1"/>
  <c r="BC42" i="14" s="1" a="1"/>
  <c r="AF42" i="14"/>
  <c r="AR42" i="14" s="1"/>
  <c r="BD42" i="14" s="1" a="1"/>
  <c r="AG42" i="14"/>
  <c r="AS42" i="14" s="1"/>
  <c r="BE42" i="14" s="1" a="1"/>
  <c r="AH42" i="14"/>
  <c r="AT42" i="14" s="1"/>
  <c r="BF42" i="14" s="1" a="1"/>
  <c r="AI42" i="14"/>
  <c r="AU42" i="14" s="1"/>
  <c r="BG42" i="14" s="1" a="1"/>
  <c r="AJ42" i="14"/>
  <c r="AV42" i="14" s="1"/>
  <c r="BH42" i="14" s="1" a="1"/>
  <c r="AK42" i="14"/>
  <c r="AW42" i="14" s="1"/>
  <c r="BI42" i="14" s="1" a="1"/>
  <c r="AL42" i="14"/>
  <c r="AX42" i="14" s="1"/>
  <c r="BJ42" i="14" s="1" a="1"/>
  <c r="AM42" i="14"/>
  <c r="AY42" i="14" s="1"/>
  <c r="BK42" i="14" s="1" a="1"/>
  <c r="AB43" i="14"/>
  <c r="AN43" i="14" s="1"/>
  <c r="AZ43" i="14" s="1" a="1"/>
  <c r="AC43" i="14"/>
  <c r="AO43" i="14" s="1"/>
  <c r="BA43" i="14" s="1" a="1"/>
  <c r="AD43" i="14"/>
  <c r="AP43" i="14" s="1"/>
  <c r="BB43" i="14" s="1" a="1"/>
  <c r="AE43" i="14"/>
  <c r="AQ43" i="14" s="1"/>
  <c r="BC43" i="14" s="1" a="1"/>
  <c r="AF43" i="14"/>
  <c r="AR43" i="14" s="1"/>
  <c r="BD43" i="14" s="1" a="1"/>
  <c r="AG43" i="14"/>
  <c r="AS43" i="14" s="1"/>
  <c r="BE43" i="14" s="1" a="1"/>
  <c r="AH43" i="14"/>
  <c r="AT43" i="14" s="1"/>
  <c r="BF43" i="14" s="1" a="1"/>
  <c r="AI43" i="14"/>
  <c r="AU43" i="14" s="1"/>
  <c r="BG43" i="14" s="1" a="1"/>
  <c r="AJ43" i="14"/>
  <c r="AV43" i="14" s="1"/>
  <c r="BH43" i="14" s="1" a="1"/>
  <c r="AK43" i="14"/>
  <c r="AW43" i="14" s="1"/>
  <c r="BI43" i="14" s="1" a="1"/>
  <c r="AL43" i="14"/>
  <c r="AX43" i="14" s="1"/>
  <c r="BJ43" i="14" s="1" a="1"/>
  <c r="AM43" i="14"/>
  <c r="AY43" i="14" s="1"/>
  <c r="BK43" i="14" s="1" a="1"/>
  <c r="AB44" i="14"/>
  <c r="AN44" i="14" s="1"/>
  <c r="AZ44" i="14" s="1" a="1"/>
  <c r="AC44" i="14"/>
  <c r="AO44" i="14" s="1"/>
  <c r="BA44" i="14" s="1" a="1"/>
  <c r="AD44" i="14"/>
  <c r="AP44" i="14" s="1"/>
  <c r="BB44" i="14" s="1" a="1"/>
  <c r="AE44" i="14"/>
  <c r="AQ44" i="14" s="1"/>
  <c r="BC44" i="14" s="1" a="1"/>
  <c r="AF44" i="14"/>
  <c r="AR44" i="14" s="1"/>
  <c r="BD44" i="14" s="1" a="1"/>
  <c r="AG44" i="14"/>
  <c r="AS44" i="14" s="1"/>
  <c r="BE44" i="14" s="1" a="1"/>
  <c r="AH44" i="14"/>
  <c r="AT44" i="14" s="1"/>
  <c r="BF44" i="14" s="1" a="1"/>
  <c r="AI44" i="14"/>
  <c r="AU44" i="14" s="1"/>
  <c r="BG44" i="14" s="1" a="1"/>
  <c r="AJ44" i="14"/>
  <c r="AV44" i="14" s="1"/>
  <c r="BH44" i="14" s="1" a="1"/>
  <c r="AK44" i="14"/>
  <c r="AW44" i="14" s="1"/>
  <c r="BI44" i="14" s="1" a="1"/>
  <c r="AL44" i="14"/>
  <c r="AX44" i="14" s="1"/>
  <c r="BJ44" i="14" s="1" a="1"/>
  <c r="AM44" i="14"/>
  <c r="AY44" i="14" s="1"/>
  <c r="BK44" i="14" s="1" a="1"/>
  <c r="AB45" i="14"/>
  <c r="AN45" i="14" s="1"/>
  <c r="AZ45" i="14" s="1" a="1"/>
  <c r="AC45" i="14"/>
  <c r="AO45" i="14" s="1"/>
  <c r="BA45" i="14" s="1" a="1"/>
  <c r="AD45" i="14"/>
  <c r="AP45" i="14" s="1"/>
  <c r="BB45" i="14" s="1" a="1"/>
  <c r="AE45" i="14"/>
  <c r="AQ45" i="14" s="1"/>
  <c r="BC45" i="14" s="1" a="1"/>
  <c r="AF45" i="14"/>
  <c r="AR45" i="14" s="1"/>
  <c r="BD45" i="14" s="1" a="1"/>
  <c r="AG45" i="14"/>
  <c r="AS45" i="14" s="1"/>
  <c r="BE45" i="14" s="1" a="1"/>
  <c r="AH45" i="14"/>
  <c r="AT45" i="14" s="1"/>
  <c r="BF45" i="14" s="1" a="1"/>
  <c r="AI45" i="14"/>
  <c r="AU45" i="14" s="1"/>
  <c r="BG45" i="14" s="1" a="1"/>
  <c r="AJ45" i="14"/>
  <c r="AV45" i="14" s="1"/>
  <c r="BH45" i="14" s="1" a="1"/>
  <c r="AK45" i="14"/>
  <c r="AW45" i="14" s="1"/>
  <c r="BI45" i="14" s="1" a="1"/>
  <c r="AL45" i="14"/>
  <c r="AX45" i="14" s="1"/>
  <c r="BJ45" i="14" s="1" a="1"/>
  <c r="AM45" i="14"/>
  <c r="AY45" i="14" s="1"/>
  <c r="BK45" i="14" s="1" a="1"/>
  <c r="AB46" i="14"/>
  <c r="AN46" i="14" s="1"/>
  <c r="AZ46" i="14" s="1" a="1"/>
  <c r="AC46" i="14"/>
  <c r="AO46" i="14" s="1"/>
  <c r="BA46" i="14" s="1" a="1"/>
  <c r="AD46" i="14"/>
  <c r="AP46" i="14" s="1"/>
  <c r="BB46" i="14" s="1" a="1"/>
  <c r="AE46" i="14"/>
  <c r="AQ46" i="14" s="1"/>
  <c r="BC46" i="14" s="1" a="1"/>
  <c r="AF46" i="14"/>
  <c r="AR46" i="14" s="1"/>
  <c r="BD46" i="14" s="1" a="1"/>
  <c r="AG46" i="14"/>
  <c r="AS46" i="14" s="1"/>
  <c r="BE46" i="14" s="1" a="1"/>
  <c r="AH46" i="14"/>
  <c r="AT46" i="14" s="1"/>
  <c r="BF46" i="14" s="1" a="1"/>
  <c r="AI46" i="14"/>
  <c r="AU46" i="14" s="1"/>
  <c r="BG46" i="14" s="1" a="1"/>
  <c r="AJ46" i="14"/>
  <c r="AV46" i="14" s="1"/>
  <c r="BH46" i="14" s="1" a="1"/>
  <c r="AK46" i="14"/>
  <c r="AW46" i="14" s="1"/>
  <c r="BI46" i="14" s="1" a="1"/>
  <c r="AL46" i="14"/>
  <c r="AX46" i="14" s="1"/>
  <c r="BJ46" i="14" s="1" a="1"/>
  <c r="AM46" i="14"/>
  <c r="AY46" i="14" s="1"/>
  <c r="BK46" i="14" s="1" a="1"/>
  <c r="AB19" i="14"/>
  <c r="AN19" i="14" s="1"/>
  <c r="AZ19" i="14" s="1" a="1"/>
  <c r="AC19" i="14"/>
  <c r="AO19" i="14" s="1"/>
  <c r="BA19" i="14" s="1" a="1"/>
  <c r="AD19" i="14"/>
  <c r="AP19" i="14" s="1"/>
  <c r="BB19" i="14" s="1" a="1"/>
  <c r="AE19" i="14"/>
  <c r="AQ19" i="14" s="1"/>
  <c r="BC19" i="14" s="1" a="1"/>
  <c r="AF19" i="14"/>
  <c r="AR19" i="14" s="1"/>
  <c r="BD19" i="14" s="1" a="1"/>
  <c r="AG19" i="14"/>
  <c r="AS19" i="14" s="1"/>
  <c r="BE19" i="14" s="1" a="1"/>
  <c r="AH19" i="14"/>
  <c r="AT19" i="14" s="1"/>
  <c r="BF19" i="14" s="1" a="1"/>
  <c r="AI19" i="14"/>
  <c r="AU19" i="14" s="1"/>
  <c r="BG19" i="14" s="1" a="1"/>
  <c r="AJ19" i="14"/>
  <c r="AV19" i="14" s="1"/>
  <c r="BH19" i="14" s="1" a="1"/>
  <c r="AK19" i="14"/>
  <c r="AW19" i="14" s="1"/>
  <c r="BI19" i="14" s="1" a="1"/>
  <c r="AL19" i="14"/>
  <c r="AX19" i="14" s="1"/>
  <c r="BJ19" i="14" s="1" a="1"/>
  <c r="AM19" i="14"/>
  <c r="AY19" i="14" s="1"/>
  <c r="BK19" i="14" s="1" a="1"/>
  <c r="AB20" i="14"/>
  <c r="AN20" i="14" s="1"/>
  <c r="AZ20" i="14" s="1" a="1"/>
  <c r="AC20" i="14"/>
  <c r="AO20" i="14" s="1"/>
  <c r="BA20" i="14" s="1" a="1"/>
  <c r="AD20" i="14"/>
  <c r="AP20" i="14" s="1"/>
  <c r="BB20" i="14" s="1" a="1"/>
  <c r="AE20" i="14"/>
  <c r="AQ20" i="14" s="1"/>
  <c r="BC20" i="14" s="1" a="1"/>
  <c r="AF20" i="14"/>
  <c r="AR20" i="14" s="1"/>
  <c r="BD20" i="14" s="1" a="1"/>
  <c r="AG20" i="14"/>
  <c r="AS20" i="14" s="1"/>
  <c r="BE20" i="14" s="1" a="1"/>
  <c r="AH20" i="14"/>
  <c r="AT20" i="14" s="1"/>
  <c r="BF20" i="14" s="1" a="1"/>
  <c r="AI20" i="14"/>
  <c r="AU20" i="14" s="1"/>
  <c r="BG20" i="14" s="1" a="1"/>
  <c r="AJ20" i="14"/>
  <c r="AV20" i="14" s="1"/>
  <c r="BH20" i="14" s="1" a="1"/>
  <c r="AK20" i="14"/>
  <c r="AW20" i="14" s="1"/>
  <c r="BI20" i="14" s="1" a="1"/>
  <c r="AL20" i="14"/>
  <c r="AX20" i="14" s="1"/>
  <c r="BJ20" i="14" s="1" a="1"/>
  <c r="AM20" i="14"/>
  <c r="AY20" i="14" s="1"/>
  <c r="BK20" i="14" s="1" a="1"/>
  <c r="AB21" i="14"/>
  <c r="AN21" i="14" s="1"/>
  <c r="AZ21" i="14" s="1" a="1"/>
  <c r="AC21" i="14"/>
  <c r="AO21" i="14" s="1"/>
  <c r="BA21" i="14" s="1" a="1"/>
  <c r="AD21" i="14"/>
  <c r="AP21" i="14" s="1"/>
  <c r="BB21" i="14" s="1" a="1"/>
  <c r="AE21" i="14"/>
  <c r="AQ21" i="14" s="1"/>
  <c r="BC21" i="14" s="1" a="1"/>
  <c r="AF21" i="14"/>
  <c r="AR21" i="14" s="1"/>
  <c r="BD21" i="14" s="1" a="1"/>
  <c r="AG21" i="14"/>
  <c r="AS21" i="14" s="1"/>
  <c r="BE21" i="14" s="1" a="1"/>
  <c r="AH21" i="14"/>
  <c r="AT21" i="14" s="1"/>
  <c r="BF21" i="14" s="1" a="1"/>
  <c r="AI21" i="14"/>
  <c r="AU21" i="14" s="1"/>
  <c r="BG21" i="14" s="1" a="1"/>
  <c r="AJ21" i="14"/>
  <c r="AV21" i="14" s="1"/>
  <c r="BH21" i="14" s="1" a="1"/>
  <c r="AK21" i="14"/>
  <c r="AW21" i="14" s="1"/>
  <c r="BI21" i="14" s="1" a="1"/>
  <c r="AL21" i="14"/>
  <c r="AX21" i="14" s="1"/>
  <c r="BJ21" i="14" s="1" a="1"/>
  <c r="AM21" i="14"/>
  <c r="AY21" i="14" s="1"/>
  <c r="BK21" i="14" s="1" a="1"/>
  <c r="AB22" i="14"/>
  <c r="AN22" i="14" s="1"/>
  <c r="AZ22" i="14" s="1" a="1"/>
  <c r="AC22" i="14"/>
  <c r="AO22" i="14" s="1"/>
  <c r="BA22" i="14" s="1" a="1"/>
  <c r="AD22" i="14"/>
  <c r="AP22" i="14" s="1"/>
  <c r="BB22" i="14" s="1" a="1"/>
  <c r="AE22" i="14"/>
  <c r="AQ22" i="14" s="1"/>
  <c r="BC22" i="14" s="1" a="1"/>
  <c r="AF22" i="14"/>
  <c r="AR22" i="14" s="1"/>
  <c r="BD22" i="14" s="1" a="1"/>
  <c r="AG22" i="14"/>
  <c r="AS22" i="14" s="1"/>
  <c r="BE22" i="14" s="1" a="1"/>
  <c r="AH22" i="14"/>
  <c r="AT22" i="14" s="1"/>
  <c r="BF22" i="14" s="1" a="1"/>
  <c r="AI22" i="14"/>
  <c r="AU22" i="14" s="1"/>
  <c r="BG22" i="14" s="1" a="1"/>
  <c r="AJ22" i="14"/>
  <c r="AV22" i="14" s="1"/>
  <c r="BH22" i="14" s="1" a="1"/>
  <c r="AK22" i="14"/>
  <c r="AW22" i="14" s="1"/>
  <c r="BI22" i="14" s="1" a="1"/>
  <c r="AL22" i="14"/>
  <c r="AX22" i="14" s="1"/>
  <c r="BJ22" i="14" s="1" a="1"/>
  <c r="AM22" i="14"/>
  <c r="AY22" i="14" s="1"/>
  <c r="BK22" i="14" s="1" a="1"/>
  <c r="AB23" i="14"/>
  <c r="AN23" i="14" s="1"/>
  <c r="AZ23" i="14" s="1" a="1"/>
  <c r="AC23" i="14"/>
  <c r="AO23" i="14" s="1"/>
  <c r="BA23" i="14" s="1" a="1"/>
  <c r="AD23" i="14"/>
  <c r="AP23" i="14" s="1"/>
  <c r="BB23" i="14" s="1" a="1"/>
  <c r="AE23" i="14"/>
  <c r="AQ23" i="14" s="1"/>
  <c r="BC23" i="14" s="1" a="1"/>
  <c r="AF23" i="14"/>
  <c r="AR23" i="14" s="1"/>
  <c r="BD23" i="14" s="1" a="1"/>
  <c r="AG23" i="14"/>
  <c r="AS23" i="14" s="1"/>
  <c r="BE23" i="14" s="1" a="1"/>
  <c r="AH23" i="14"/>
  <c r="AT23" i="14" s="1"/>
  <c r="BF23" i="14" s="1" a="1"/>
  <c r="AI23" i="14"/>
  <c r="AU23" i="14" s="1"/>
  <c r="BG23" i="14" s="1" a="1"/>
  <c r="AJ23" i="14"/>
  <c r="AV23" i="14" s="1"/>
  <c r="BH23" i="14" s="1" a="1"/>
  <c r="AK23" i="14"/>
  <c r="AW23" i="14" s="1"/>
  <c r="BI23" i="14" s="1" a="1"/>
  <c r="AL23" i="14"/>
  <c r="AX23" i="14" s="1"/>
  <c r="BJ23" i="14" s="1" a="1"/>
  <c r="AM23" i="14"/>
  <c r="AY23" i="14" s="1"/>
  <c r="BK23" i="14" s="1" a="1"/>
  <c r="AB24" i="14"/>
  <c r="AN24" i="14" s="1"/>
  <c r="AZ24" i="14" s="1" a="1"/>
  <c r="AC24" i="14"/>
  <c r="AO24" i="14" s="1"/>
  <c r="BA24" i="14" s="1" a="1"/>
  <c r="AD24" i="14"/>
  <c r="AP24" i="14" s="1"/>
  <c r="BB24" i="14" s="1" a="1"/>
  <c r="AE24" i="14"/>
  <c r="AQ24" i="14" s="1"/>
  <c r="BC24" i="14" s="1" a="1"/>
  <c r="AF24" i="14"/>
  <c r="AR24" i="14" s="1"/>
  <c r="BD24" i="14" s="1" a="1"/>
  <c r="AG24" i="14"/>
  <c r="AS24" i="14" s="1"/>
  <c r="BE24" i="14" s="1" a="1"/>
  <c r="AH24" i="14"/>
  <c r="AT24" i="14" s="1"/>
  <c r="BF24" i="14" s="1" a="1"/>
  <c r="AI24" i="14"/>
  <c r="AU24" i="14" s="1"/>
  <c r="BG24" i="14" s="1" a="1"/>
  <c r="AJ24" i="14"/>
  <c r="AV24" i="14" s="1"/>
  <c r="BH24" i="14" s="1" a="1"/>
  <c r="AK24" i="14"/>
  <c r="AW24" i="14" s="1"/>
  <c r="BI24" i="14" s="1" a="1"/>
  <c r="AL24" i="14"/>
  <c r="AX24" i="14" s="1"/>
  <c r="BJ24" i="14" s="1" a="1"/>
  <c r="AM24" i="14"/>
  <c r="AY24" i="14" s="1"/>
  <c r="BK24" i="14" s="1" a="1"/>
  <c r="AB25" i="14"/>
  <c r="AN25" i="14" s="1"/>
  <c r="AZ25" i="14" s="1" a="1"/>
  <c r="AC25" i="14"/>
  <c r="AO25" i="14" s="1"/>
  <c r="BA25" i="14" s="1" a="1"/>
  <c r="AD25" i="14"/>
  <c r="AP25" i="14" s="1"/>
  <c r="BB25" i="14" s="1" a="1"/>
  <c r="AE25" i="14"/>
  <c r="AQ25" i="14" s="1"/>
  <c r="BC25" i="14" s="1" a="1"/>
  <c r="AF25" i="14"/>
  <c r="AR25" i="14" s="1"/>
  <c r="BD25" i="14" s="1" a="1"/>
  <c r="AG25" i="14"/>
  <c r="AS25" i="14" s="1"/>
  <c r="BE25" i="14" s="1" a="1"/>
  <c r="AH25" i="14"/>
  <c r="AT25" i="14" s="1"/>
  <c r="BF25" i="14" s="1" a="1"/>
  <c r="AI25" i="14"/>
  <c r="AU25" i="14" s="1"/>
  <c r="BG25" i="14" s="1" a="1"/>
  <c r="AJ25" i="14"/>
  <c r="AV25" i="14" s="1"/>
  <c r="BH25" i="14" s="1" a="1"/>
  <c r="AK25" i="14"/>
  <c r="AW25" i="14" s="1"/>
  <c r="BI25" i="14" s="1" a="1"/>
  <c r="AL25" i="14"/>
  <c r="AX25" i="14" s="1"/>
  <c r="BJ25" i="14" s="1" a="1"/>
  <c r="AM25" i="14"/>
  <c r="AY25" i="14" s="1"/>
  <c r="BK25" i="14" s="1" a="1"/>
  <c r="AB26" i="14"/>
  <c r="AN26" i="14" s="1"/>
  <c r="AZ26" i="14" s="1" a="1"/>
  <c r="AC26" i="14"/>
  <c r="AO26" i="14" s="1"/>
  <c r="BA26" i="14" s="1" a="1"/>
  <c r="AD26" i="14"/>
  <c r="AP26" i="14" s="1"/>
  <c r="BB26" i="14" s="1" a="1"/>
  <c r="AE26" i="14"/>
  <c r="AQ26" i="14" s="1"/>
  <c r="BC26" i="14" s="1" a="1"/>
  <c r="AF26" i="14"/>
  <c r="AR26" i="14" s="1"/>
  <c r="BD26" i="14" s="1" a="1"/>
  <c r="AG26" i="14"/>
  <c r="AS26" i="14" s="1"/>
  <c r="BE26" i="14" s="1" a="1"/>
  <c r="AH26" i="14"/>
  <c r="AT26" i="14" s="1"/>
  <c r="BF26" i="14" s="1" a="1"/>
  <c r="AI26" i="14"/>
  <c r="AU26" i="14" s="1"/>
  <c r="BG26" i="14" s="1" a="1"/>
  <c r="AJ26" i="14"/>
  <c r="AV26" i="14" s="1"/>
  <c r="BH26" i="14" s="1" a="1"/>
  <c r="AK26" i="14"/>
  <c r="AW26" i="14" s="1"/>
  <c r="BI26" i="14" s="1" a="1"/>
  <c r="AL26" i="14"/>
  <c r="AX26" i="14" s="1"/>
  <c r="BJ26" i="14" s="1" a="1"/>
  <c r="AM26" i="14"/>
  <c r="AY26" i="14" s="1"/>
  <c r="BK26" i="14" s="1" a="1"/>
  <c r="AB27" i="14"/>
  <c r="AN27" i="14" s="1"/>
  <c r="AZ27" i="14" s="1" a="1"/>
  <c r="AC27" i="14"/>
  <c r="AO27" i="14" s="1"/>
  <c r="BA27" i="14" s="1" a="1"/>
  <c r="AD27" i="14"/>
  <c r="AP27" i="14" s="1"/>
  <c r="BB27" i="14" s="1" a="1"/>
  <c r="AE27" i="14"/>
  <c r="AQ27" i="14" s="1"/>
  <c r="BC27" i="14" s="1" a="1"/>
  <c r="AF27" i="14"/>
  <c r="AR27" i="14" s="1"/>
  <c r="BD27" i="14" s="1" a="1"/>
  <c r="AG27" i="14"/>
  <c r="AS27" i="14" s="1"/>
  <c r="BE27" i="14" s="1" a="1"/>
  <c r="AH27" i="14"/>
  <c r="AT27" i="14" s="1"/>
  <c r="BF27" i="14" s="1" a="1"/>
  <c r="AI27" i="14"/>
  <c r="AU27" i="14" s="1"/>
  <c r="BG27" i="14" s="1" a="1"/>
  <c r="AJ27" i="14"/>
  <c r="AV27" i="14" s="1"/>
  <c r="BH27" i="14" s="1" a="1"/>
  <c r="AK27" i="14"/>
  <c r="AW27" i="14" s="1"/>
  <c r="BI27" i="14" s="1" a="1"/>
  <c r="AL27" i="14"/>
  <c r="AX27" i="14" s="1"/>
  <c r="BJ27" i="14" s="1" a="1"/>
  <c r="AM27" i="14"/>
  <c r="AY27" i="14" s="1"/>
  <c r="BK27" i="14" s="1" a="1"/>
  <c r="AB28" i="14"/>
  <c r="AN28" i="14" s="1"/>
  <c r="AZ28" i="14" s="1" a="1"/>
  <c r="AC28" i="14"/>
  <c r="AO28" i="14" s="1"/>
  <c r="BA28" i="14" s="1" a="1"/>
  <c r="AD28" i="14"/>
  <c r="AP28" i="14" s="1"/>
  <c r="BB28" i="14" s="1" a="1"/>
  <c r="AE28" i="14"/>
  <c r="AQ28" i="14" s="1"/>
  <c r="BC28" i="14" s="1" a="1"/>
  <c r="AF28" i="14"/>
  <c r="AR28" i="14" s="1"/>
  <c r="BD28" i="14" s="1" a="1"/>
  <c r="AG28" i="14"/>
  <c r="AS28" i="14" s="1"/>
  <c r="BE28" i="14" s="1" a="1"/>
  <c r="AH28" i="14"/>
  <c r="AT28" i="14" s="1"/>
  <c r="BF28" i="14" s="1" a="1"/>
  <c r="AI28" i="14"/>
  <c r="AU28" i="14" s="1"/>
  <c r="BG28" i="14" s="1" a="1"/>
  <c r="AJ28" i="14"/>
  <c r="AV28" i="14" s="1"/>
  <c r="BH28" i="14" s="1" a="1"/>
  <c r="AK28" i="14"/>
  <c r="AW28" i="14" s="1"/>
  <c r="BI28" i="14" s="1" a="1"/>
  <c r="AL28" i="14"/>
  <c r="AX28" i="14" s="1"/>
  <c r="BJ28" i="14" s="1" a="1"/>
  <c r="AM28" i="14"/>
  <c r="AY28" i="14" s="1"/>
  <c r="BK28" i="14" s="1" a="1"/>
  <c r="AB29" i="14"/>
  <c r="AN29" i="14" s="1"/>
  <c r="AZ29" i="14" s="1" a="1"/>
  <c r="AC29" i="14"/>
  <c r="AO29" i="14" s="1"/>
  <c r="BA29" i="14" s="1" a="1"/>
  <c r="AD29" i="14"/>
  <c r="AP29" i="14" s="1"/>
  <c r="BB29" i="14" s="1" a="1"/>
  <c r="AE29" i="14"/>
  <c r="AQ29" i="14" s="1"/>
  <c r="BC29" i="14" s="1" a="1"/>
  <c r="AF29" i="14"/>
  <c r="AR29" i="14" s="1"/>
  <c r="BD29" i="14" s="1" a="1"/>
  <c r="AG29" i="14"/>
  <c r="AS29" i="14" s="1"/>
  <c r="BE29" i="14" s="1" a="1"/>
  <c r="AH29" i="14"/>
  <c r="AT29" i="14" s="1"/>
  <c r="BF29" i="14" s="1" a="1"/>
  <c r="AI29" i="14"/>
  <c r="AU29" i="14" s="1"/>
  <c r="BG29" i="14" s="1" a="1"/>
  <c r="AJ29" i="14"/>
  <c r="AV29" i="14" s="1"/>
  <c r="BH29" i="14" s="1" a="1"/>
  <c r="AK29" i="14"/>
  <c r="AW29" i="14" s="1"/>
  <c r="BI29" i="14" s="1" a="1"/>
  <c r="AL29" i="14"/>
  <c r="AX29" i="14" s="1"/>
  <c r="BJ29" i="14" s="1" a="1"/>
  <c r="AM29" i="14"/>
  <c r="AY29" i="14" s="1"/>
  <c r="BK29" i="14" s="1" a="1"/>
  <c r="AB30" i="14"/>
  <c r="AN30" i="14" s="1"/>
  <c r="AZ30" i="14" s="1" a="1"/>
  <c r="AC30" i="14"/>
  <c r="AO30" i="14" s="1"/>
  <c r="BA30" i="14" s="1" a="1"/>
  <c r="AD30" i="14"/>
  <c r="AP30" i="14" s="1"/>
  <c r="BB30" i="14" s="1" a="1"/>
  <c r="AE30" i="14"/>
  <c r="AQ30" i="14" s="1"/>
  <c r="BC30" i="14" s="1" a="1"/>
  <c r="AF30" i="14"/>
  <c r="AR30" i="14" s="1"/>
  <c r="BD30" i="14" s="1" a="1"/>
  <c r="AG30" i="14"/>
  <c r="AS30" i="14" s="1"/>
  <c r="BE30" i="14" s="1" a="1"/>
  <c r="AH30" i="14"/>
  <c r="AT30" i="14" s="1"/>
  <c r="BF30" i="14" s="1" a="1"/>
  <c r="AI30" i="14"/>
  <c r="AU30" i="14" s="1"/>
  <c r="BG30" i="14" s="1" a="1"/>
  <c r="AJ30" i="14"/>
  <c r="AV30" i="14" s="1"/>
  <c r="BH30" i="14" s="1" a="1"/>
  <c r="AK30" i="14"/>
  <c r="AW30" i="14" s="1"/>
  <c r="BI30" i="14" s="1" a="1"/>
  <c r="AL30" i="14"/>
  <c r="AX30" i="14" s="1"/>
  <c r="BJ30" i="14" s="1" a="1"/>
  <c r="AM30" i="14"/>
  <c r="AY30" i="14" s="1"/>
  <c r="BK30" i="14" s="1" a="1"/>
  <c r="AB31" i="14"/>
  <c r="AN31" i="14" s="1"/>
  <c r="AZ31" i="14" s="1" a="1"/>
  <c r="AC31" i="14"/>
  <c r="AO31" i="14" s="1"/>
  <c r="BA31" i="14" s="1" a="1"/>
  <c r="AD31" i="14"/>
  <c r="AP31" i="14" s="1"/>
  <c r="BB31" i="14" s="1" a="1"/>
  <c r="AE31" i="14"/>
  <c r="AQ31" i="14" s="1"/>
  <c r="BC31" i="14" s="1" a="1"/>
  <c r="AF31" i="14"/>
  <c r="AR31" i="14" s="1"/>
  <c r="BD31" i="14" s="1" a="1"/>
  <c r="AG31" i="14"/>
  <c r="AS31" i="14" s="1"/>
  <c r="BE31" i="14" s="1" a="1"/>
  <c r="AH31" i="14"/>
  <c r="AT31" i="14" s="1"/>
  <c r="BF31" i="14" s="1" a="1"/>
  <c r="AI31" i="14"/>
  <c r="AU31" i="14" s="1"/>
  <c r="BG31" i="14" s="1" a="1"/>
  <c r="AJ31" i="14"/>
  <c r="AV31" i="14" s="1"/>
  <c r="BH31" i="14" s="1" a="1"/>
  <c r="AK31" i="14"/>
  <c r="AW31" i="14" s="1"/>
  <c r="BI31" i="14" s="1" a="1"/>
  <c r="AL31" i="14"/>
  <c r="AX31" i="14" s="1"/>
  <c r="BJ31" i="14" s="1" a="1"/>
  <c r="AM31" i="14"/>
  <c r="AY31" i="14" s="1"/>
  <c r="BK31" i="14" s="1" a="1"/>
  <c r="AB32" i="14"/>
  <c r="AN32" i="14" s="1"/>
  <c r="AZ32" i="14" s="1" a="1"/>
  <c r="AC32" i="14"/>
  <c r="AO32" i="14" s="1"/>
  <c r="BA32" i="14" s="1" a="1"/>
  <c r="AD32" i="14"/>
  <c r="AP32" i="14" s="1"/>
  <c r="BB32" i="14" s="1" a="1"/>
  <c r="AE32" i="14"/>
  <c r="AQ32" i="14" s="1"/>
  <c r="BC32" i="14" s="1" a="1"/>
  <c r="AF32" i="14"/>
  <c r="AR32" i="14" s="1"/>
  <c r="BD32" i="14" s="1" a="1"/>
  <c r="AG32" i="14"/>
  <c r="AS32" i="14" s="1"/>
  <c r="BE32" i="14" s="1" a="1"/>
  <c r="AH32" i="14"/>
  <c r="AT32" i="14" s="1"/>
  <c r="BF32" i="14" s="1" a="1"/>
  <c r="AI32" i="14"/>
  <c r="AU32" i="14" s="1"/>
  <c r="BG32" i="14" s="1" a="1"/>
  <c r="AJ32" i="14"/>
  <c r="AV32" i="14" s="1"/>
  <c r="BH32" i="14" s="1" a="1"/>
  <c r="AK32" i="14"/>
  <c r="AW32" i="14" s="1"/>
  <c r="BI32" i="14" s="1" a="1"/>
  <c r="AL32" i="14"/>
  <c r="AX32" i="14" s="1"/>
  <c r="BJ32" i="14" s="1" a="1"/>
  <c r="AM32" i="14"/>
  <c r="AY32" i="14" s="1"/>
  <c r="BK32" i="14" s="1" a="1"/>
  <c r="AB16" i="14"/>
  <c r="AN16" i="14" s="1"/>
  <c r="AZ16" i="14" s="1" a="1"/>
  <c r="AC16" i="14"/>
  <c r="AO16" i="14" s="1"/>
  <c r="BA16" i="14" s="1" a="1"/>
  <c r="AD16" i="14"/>
  <c r="AP16" i="14" s="1"/>
  <c r="BB16" i="14" s="1" a="1"/>
  <c r="AE16" i="14"/>
  <c r="AQ16" i="14" s="1"/>
  <c r="BC16" i="14" s="1" a="1"/>
  <c r="AF16" i="14"/>
  <c r="AR16" i="14" s="1"/>
  <c r="BD16" i="14" s="1" a="1"/>
  <c r="AG16" i="14"/>
  <c r="AS16" i="14" s="1"/>
  <c r="BE16" i="14" s="1" a="1"/>
  <c r="AH16" i="14"/>
  <c r="AT16" i="14" s="1"/>
  <c r="BF16" i="14" s="1" a="1"/>
  <c r="AI16" i="14"/>
  <c r="AU16" i="14" s="1"/>
  <c r="BG16" i="14" s="1" a="1"/>
  <c r="AJ16" i="14"/>
  <c r="AV16" i="14" s="1"/>
  <c r="BH16" i="14" s="1" a="1"/>
  <c r="AK16" i="14"/>
  <c r="AW16" i="14" s="1"/>
  <c r="BI16" i="14" s="1" a="1"/>
  <c r="AL16" i="14"/>
  <c r="AX16" i="14" s="1"/>
  <c r="BJ16" i="14" s="1" a="1"/>
  <c r="AM16" i="14"/>
  <c r="AY16" i="14" s="1"/>
  <c r="BK16" i="14" s="1" a="1"/>
  <c r="AB17" i="14"/>
  <c r="AN17" i="14" s="1"/>
  <c r="AZ17" i="14" s="1" a="1"/>
  <c r="AC17" i="14"/>
  <c r="AO17" i="14" s="1"/>
  <c r="BA17" i="14" s="1" a="1"/>
  <c r="AD17" i="14"/>
  <c r="AP17" i="14" s="1"/>
  <c r="BB17" i="14" s="1" a="1"/>
  <c r="AE17" i="14"/>
  <c r="AQ17" i="14" s="1"/>
  <c r="BC17" i="14" s="1" a="1"/>
  <c r="AF17" i="14"/>
  <c r="AR17" i="14" s="1"/>
  <c r="BD17" i="14" s="1" a="1"/>
  <c r="AG17" i="14"/>
  <c r="AS17" i="14" s="1"/>
  <c r="BE17" i="14" s="1" a="1"/>
  <c r="AH17" i="14"/>
  <c r="AT17" i="14" s="1"/>
  <c r="BF17" i="14" s="1" a="1"/>
  <c r="AI17" i="14"/>
  <c r="AU17" i="14" s="1"/>
  <c r="BG17" i="14" s="1" a="1"/>
  <c r="AJ17" i="14"/>
  <c r="AV17" i="14" s="1"/>
  <c r="BH17" i="14" s="1" a="1"/>
  <c r="AK17" i="14"/>
  <c r="AW17" i="14" s="1"/>
  <c r="BI17" i="14" s="1" a="1"/>
  <c r="AL17" i="14"/>
  <c r="AX17" i="14" s="1"/>
  <c r="BJ17" i="14" s="1" a="1"/>
  <c r="AM17" i="14"/>
  <c r="AY17" i="14" s="1"/>
  <c r="BK17" i="14" s="1" a="1"/>
  <c r="AB18" i="14"/>
  <c r="AN18" i="14" s="1"/>
  <c r="AZ18" i="14" s="1" a="1"/>
  <c r="AC18" i="14"/>
  <c r="AO18" i="14" s="1"/>
  <c r="BA18" i="14" s="1" a="1"/>
  <c r="AD18" i="14"/>
  <c r="AP18" i="14" s="1"/>
  <c r="BB18" i="14" s="1" a="1"/>
  <c r="AE18" i="14"/>
  <c r="AQ18" i="14" s="1"/>
  <c r="BC18" i="14" s="1" a="1"/>
  <c r="AF18" i="14"/>
  <c r="AR18" i="14" s="1"/>
  <c r="BD18" i="14" s="1" a="1"/>
  <c r="AG18" i="14"/>
  <c r="AS18" i="14" s="1"/>
  <c r="BE18" i="14" s="1" a="1"/>
  <c r="AH18" i="14"/>
  <c r="AT18" i="14" s="1"/>
  <c r="BF18" i="14" s="1" a="1"/>
  <c r="AI18" i="14"/>
  <c r="AU18" i="14" s="1"/>
  <c r="BG18" i="14" s="1" a="1"/>
  <c r="AJ18" i="14"/>
  <c r="AV18" i="14" s="1"/>
  <c r="BH18" i="14" s="1" a="1"/>
  <c r="AK18" i="14"/>
  <c r="AW18" i="14" s="1"/>
  <c r="BI18" i="14" s="1" a="1"/>
  <c r="AL18" i="14"/>
  <c r="AX18" i="14" s="1"/>
  <c r="BJ18" i="14" s="1" a="1"/>
  <c r="AM18" i="14"/>
  <c r="AY18" i="14" s="1"/>
  <c r="BK18" i="14" s="1" a="1"/>
  <c r="D30" i="32"/>
  <c r="C30" i="32"/>
  <c r="D29" i="32"/>
  <c r="C29" i="32"/>
  <c r="D28" i="32"/>
  <c r="C28" i="32"/>
  <c r="D27" i="32"/>
  <c r="C27" i="32"/>
  <c r="D26" i="32"/>
  <c r="C26" i="32"/>
  <c r="D25" i="32"/>
  <c r="C25" i="32"/>
  <c r="D24" i="32"/>
  <c r="C24" i="32"/>
  <c r="D23" i="32"/>
  <c r="C23" i="32"/>
  <c r="D22" i="32"/>
  <c r="C22" i="32"/>
  <c r="D21" i="32"/>
  <c r="C21" i="32"/>
  <c r="D20" i="32"/>
  <c r="C20" i="32"/>
  <c r="D19" i="32"/>
  <c r="C19" i="32"/>
  <c r="D18" i="32"/>
  <c r="C18" i="32"/>
  <c r="D17" i="32"/>
  <c r="C17" i="32"/>
  <c r="D16" i="32"/>
  <c r="C16" i="32"/>
  <c r="D15" i="32"/>
  <c r="C15" i="32"/>
  <c r="D14" i="32"/>
  <c r="C14" i="32"/>
  <c r="D13" i="32"/>
  <c r="C13" i="32"/>
  <c r="D12" i="32"/>
  <c r="C12" i="32"/>
  <c r="D11" i="32"/>
  <c r="C11" i="32"/>
  <c r="D10" i="32"/>
  <c r="C10" i="32"/>
  <c r="D9" i="32"/>
  <c r="C9" i="32"/>
  <c r="D8" i="32"/>
  <c r="C8" i="32"/>
  <c r="D7" i="32"/>
  <c r="C7" i="32"/>
  <c r="D6" i="32"/>
  <c r="C6" i="32"/>
  <c r="D5" i="32"/>
  <c r="C5" i="32"/>
  <c r="D4" i="32"/>
  <c r="C4" i="32"/>
  <c r="B219" i="15"/>
  <c r="B220" i="15"/>
  <c r="B221" i="15"/>
  <c r="B222" i="15"/>
  <c r="B155" i="15" l="1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152" i="15" l="1"/>
  <c r="B153" i="15"/>
  <c r="B154" i="15"/>
  <c r="B144" i="15"/>
  <c r="B145" i="15"/>
  <c r="B146" i="15"/>
  <c r="B147" i="15"/>
  <c r="B148" i="15"/>
  <c r="B149" i="15"/>
  <c r="B150" i="15"/>
  <c r="B151" i="15"/>
  <c r="C25" i="37" l="1"/>
  <c r="C24" i="37"/>
  <c r="C23" i="37" l="1"/>
  <c r="C9" i="37" l="1"/>
  <c r="C18" i="37"/>
  <c r="C3" i="37" l="1"/>
  <c r="C4" i="37"/>
  <c r="C5" i="37"/>
  <c r="C6" i="37"/>
  <c r="C7" i="37"/>
  <c r="C8" i="37"/>
  <c r="C10" i="37"/>
  <c r="C11" i="37"/>
  <c r="C12" i="37"/>
  <c r="C13" i="37"/>
  <c r="C14" i="37"/>
  <c r="C15" i="37"/>
  <c r="C16" i="37"/>
  <c r="C17" i="37"/>
  <c r="C19" i="37"/>
  <c r="C20" i="37"/>
  <c r="C21" i="37"/>
  <c r="C22" i="37"/>
  <c r="C2" i="37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A31" i="15" l="1"/>
  <c r="A222" i="15"/>
  <c r="A221" i="15"/>
  <c r="A220" i="15"/>
  <c r="A219" i="15"/>
  <c r="A217" i="15"/>
  <c r="A185" i="15"/>
  <c r="A209" i="15"/>
  <c r="A163" i="15"/>
  <c r="A171" i="15"/>
  <c r="A216" i="15"/>
  <c r="A157" i="15"/>
  <c r="A212" i="15"/>
  <c r="A204" i="15"/>
  <c r="A170" i="15"/>
  <c r="A202" i="15"/>
  <c r="A207" i="15"/>
  <c r="A194" i="15"/>
  <c r="A197" i="15"/>
  <c r="A187" i="15"/>
  <c r="A161" i="15"/>
  <c r="A192" i="15"/>
  <c r="A178" i="15"/>
  <c r="A164" i="15"/>
  <c r="A186" i="15"/>
  <c r="A196" i="15"/>
  <c r="A205" i="15"/>
  <c r="A200" i="15"/>
  <c r="A158" i="15"/>
  <c r="A182" i="15"/>
  <c r="A191" i="15"/>
  <c r="A172" i="15"/>
  <c r="A213" i="15"/>
  <c r="A218" i="15"/>
  <c r="A189" i="15"/>
  <c r="A181" i="15"/>
  <c r="A175" i="15"/>
  <c r="A167" i="15"/>
  <c r="A166" i="15"/>
  <c r="A208" i="15"/>
  <c r="A174" i="15"/>
  <c r="A162" i="15"/>
  <c r="A201" i="15"/>
  <c r="A203" i="15"/>
  <c r="A179" i="15"/>
  <c r="A206" i="15"/>
  <c r="A173" i="15"/>
  <c r="A169" i="15"/>
  <c r="A159" i="15"/>
  <c r="A160" i="15"/>
  <c r="A210" i="15"/>
  <c r="A199" i="15"/>
  <c r="A168" i="15"/>
  <c r="A177" i="15"/>
  <c r="A195" i="15"/>
  <c r="A198" i="15"/>
  <c r="A184" i="15"/>
  <c r="A190" i="15"/>
  <c r="A156" i="15"/>
  <c r="A176" i="15"/>
  <c r="A211" i="15"/>
  <c r="A193" i="15"/>
  <c r="A180" i="15"/>
  <c r="A183" i="15"/>
  <c r="A165" i="15"/>
  <c r="A188" i="15"/>
  <c r="A155" i="15"/>
  <c r="A214" i="15"/>
  <c r="A215" i="15"/>
  <c r="A149" i="15"/>
  <c r="A147" i="15"/>
  <c r="A150" i="15"/>
  <c r="A148" i="15"/>
  <c r="A145" i="15"/>
  <c r="A144" i="15"/>
  <c r="A146" i="15"/>
  <c r="A153" i="15"/>
  <c r="A151" i="15"/>
  <c r="A154" i="15"/>
  <c r="A152" i="15"/>
  <c r="A120" i="15"/>
  <c r="A59" i="15"/>
  <c r="A73" i="15"/>
  <c r="A130" i="15"/>
  <c r="A101" i="15"/>
  <c r="A140" i="15"/>
  <c r="A45" i="15"/>
  <c r="A3" i="15"/>
  <c r="A87" i="15"/>
  <c r="A17" i="15"/>
  <c r="A2" i="15"/>
  <c r="A142" i="15"/>
  <c r="A132" i="15"/>
  <c r="A112" i="15"/>
  <c r="A104" i="15"/>
  <c r="A90" i="15"/>
  <c r="A76" i="15"/>
  <c r="A62" i="15"/>
  <c r="A48" i="15"/>
  <c r="A34" i="15"/>
  <c r="A20" i="15"/>
  <c r="A6" i="15"/>
  <c r="A143" i="15"/>
  <c r="A91" i="15"/>
  <c r="A63" i="15"/>
  <c r="A35" i="15"/>
  <c r="A7" i="15"/>
  <c r="A133" i="15"/>
  <c r="A122" i="15"/>
  <c r="A105" i="15"/>
  <c r="A77" i="15"/>
  <c r="A49" i="15"/>
  <c r="A21" i="15"/>
  <c r="A103" i="15"/>
  <c r="A89" i="15"/>
  <c r="A75" i="15"/>
  <c r="A61" i="15"/>
  <c r="A47" i="15"/>
  <c r="A33" i="15"/>
  <c r="A19" i="15"/>
  <c r="A5" i="15"/>
  <c r="A141" i="15"/>
  <c r="A131" i="15"/>
  <c r="A121" i="15"/>
  <c r="A102" i="15"/>
  <c r="A88" i="15"/>
  <c r="A74" i="15"/>
  <c r="A60" i="15"/>
  <c r="A46" i="15"/>
  <c r="A32" i="15"/>
  <c r="A18" i="15"/>
  <c r="A4" i="15"/>
  <c r="A72" i="15"/>
  <c r="A119" i="15"/>
  <c r="A99" i="15"/>
  <c r="A71" i="15"/>
  <c r="A57" i="15"/>
  <c r="A29" i="15"/>
  <c r="A128" i="15"/>
  <c r="A110" i="15"/>
  <c r="A84" i="15"/>
  <c r="A56" i="15"/>
  <c r="A28" i="15"/>
  <c r="A138" i="15"/>
  <c r="A127" i="15"/>
  <c r="A117" i="15"/>
  <c r="A109" i="15"/>
  <c r="A97" i="15"/>
  <c r="A83" i="15"/>
  <c r="A69" i="15"/>
  <c r="A55" i="15"/>
  <c r="A41" i="15"/>
  <c r="A27" i="15"/>
  <c r="A13" i="15"/>
  <c r="A44" i="15"/>
  <c r="A85" i="15"/>
  <c r="A43" i="15"/>
  <c r="A15" i="15"/>
  <c r="A118" i="15"/>
  <c r="A98" i="15"/>
  <c r="A70" i="15"/>
  <c r="A42" i="15"/>
  <c r="A14" i="15"/>
  <c r="A137" i="15"/>
  <c r="A126" i="15"/>
  <c r="A116" i="15"/>
  <c r="A96" i="15"/>
  <c r="A82" i="15"/>
  <c r="A68" i="15"/>
  <c r="A54" i="15"/>
  <c r="A40" i="15"/>
  <c r="A26" i="15"/>
  <c r="A12" i="15"/>
  <c r="A139" i="15"/>
  <c r="A86" i="15"/>
  <c r="A30" i="15"/>
  <c r="A111" i="15"/>
  <c r="A58" i="15"/>
  <c r="A125" i="15"/>
  <c r="A115" i="15"/>
  <c r="A95" i="15"/>
  <c r="A81" i="15"/>
  <c r="A67" i="15"/>
  <c r="A53" i="15"/>
  <c r="A39" i="15"/>
  <c r="A25" i="15"/>
  <c r="A11" i="15"/>
  <c r="A136" i="15"/>
  <c r="A114" i="15"/>
  <c r="A108" i="15"/>
  <c r="A94" i="15"/>
  <c r="A80" i="15"/>
  <c r="A66" i="15"/>
  <c r="A52" i="15"/>
  <c r="A38" i="15"/>
  <c r="A24" i="15"/>
  <c r="A10" i="15"/>
  <c r="A100" i="15"/>
  <c r="A135" i="15"/>
  <c r="A93" i="15"/>
  <c r="A37" i="15"/>
  <c r="A9" i="15"/>
  <c r="A129" i="15"/>
  <c r="A16" i="15"/>
  <c r="A124" i="15"/>
  <c r="A107" i="15"/>
  <c r="A79" i="15"/>
  <c r="A65" i="15"/>
  <c r="A51" i="15"/>
  <c r="A23" i="15"/>
  <c r="A134" i="15"/>
  <c r="A123" i="15"/>
  <c r="A113" i="15"/>
  <c r="A106" i="15"/>
  <c r="A92" i="15"/>
  <c r="A78" i="15"/>
  <c r="A64" i="15"/>
  <c r="A50" i="15"/>
  <c r="A36" i="15"/>
  <c r="A22" i="15"/>
  <c r="A8" i="15"/>
  <c r="Q97" i="14" l="1"/>
  <c r="Y97" i="14"/>
  <c r="AK97" i="14" s="1"/>
  <c r="AW97" i="14" s="1"/>
  <c r="BI97" i="14" s="1" a="1"/>
  <c r="S97" i="14"/>
  <c r="Z97" i="14"/>
  <c r="AL97" i="14" s="1"/>
  <c r="AX97" i="14" s="1"/>
  <c r="BJ97" i="14" s="1" a="1"/>
  <c r="W97" i="14"/>
  <c r="T97" i="14"/>
  <c r="AA97" i="14"/>
  <c r="AM97" i="14" s="1"/>
  <c r="AY97" i="14" s="1"/>
  <c r="BK97" i="14" s="1" a="1"/>
  <c r="X97" i="14"/>
  <c r="AJ97" i="14" s="1"/>
  <c r="AV97" i="14" s="1"/>
  <c r="BH97" i="14" s="1" a="1"/>
  <c r="V97" i="14"/>
  <c r="U97" i="14"/>
  <c r="R97" i="14"/>
  <c r="AA94" i="14"/>
  <c r="T92" i="14"/>
  <c r="V94" i="14"/>
  <c r="Y89" i="14"/>
  <c r="W91" i="14"/>
  <c r="AH111" i="14"/>
  <c r="AT111" i="14" s="1"/>
  <c r="BF111" i="14" s="1" a="1"/>
  <c r="S93" i="14"/>
  <c r="Y90" i="14"/>
  <c r="W94" i="14"/>
  <c r="Z92" i="14"/>
  <c r="Q90" i="14"/>
  <c r="U91" i="14"/>
  <c r="AA95" i="14"/>
  <c r="S89" i="14"/>
  <c r="T95" i="14"/>
  <c r="S92" i="14"/>
  <c r="Z89" i="14"/>
  <c r="Z88" i="14"/>
  <c r="Y95" i="14"/>
  <c r="Y98" i="14"/>
  <c r="Q88" i="14"/>
  <c r="Q93" i="14"/>
  <c r="T90" i="14"/>
  <c r="Y93" i="14"/>
  <c r="Y91" i="14"/>
  <c r="Y88" i="14"/>
  <c r="AA93" i="14"/>
  <c r="X91" i="14"/>
  <c r="S88" i="14"/>
  <c r="V88" i="14"/>
  <c r="Q94" i="14"/>
  <c r="AD111" i="14"/>
  <c r="AP111" i="14" s="1"/>
  <c r="BB111" i="14" s="1" a="1"/>
  <c r="X92" i="14"/>
  <c r="W90" i="14"/>
  <c r="X88" i="14"/>
  <c r="AA98" i="14"/>
  <c r="Y96" i="14"/>
  <c r="T96" i="14"/>
  <c r="U95" i="14"/>
  <c r="AE111" i="14"/>
  <c r="AQ111" i="14" s="1"/>
  <c r="BC111" i="14" s="1" a="1"/>
  <c r="U93" i="14"/>
  <c r="U94" i="14"/>
  <c r="T89" i="14"/>
  <c r="AJ111" i="14"/>
  <c r="AV111" i="14" s="1"/>
  <c r="BH111" i="14" s="1" a="1"/>
  <c r="Y92" i="14"/>
  <c r="R95" i="14"/>
  <c r="AC111" i="14"/>
  <c r="AO111" i="14" s="1"/>
  <c r="BA111" i="14" s="1" a="1"/>
  <c r="X98" i="14"/>
  <c r="U98" i="14"/>
  <c r="W93" i="14"/>
  <c r="AM111" i="14"/>
  <c r="AY111" i="14" s="1"/>
  <c r="BK111" i="14" s="1" a="1"/>
  <c r="AG111" i="14"/>
  <c r="AS111" i="14" s="1"/>
  <c r="BE111" i="14" s="1" a="1"/>
  <c r="R92" i="14"/>
  <c r="X94" i="14"/>
  <c r="S91" i="14"/>
  <c r="Q96" i="14"/>
  <c r="X89" i="14"/>
  <c r="W95" i="14"/>
  <c r="Z95" i="14"/>
  <c r="U92" i="14"/>
  <c r="R90" i="14"/>
  <c r="S98" i="14"/>
  <c r="Z90" i="14"/>
  <c r="AA91" i="14"/>
  <c r="Y94" i="14"/>
  <c r="T91" i="14"/>
  <c r="R89" i="14"/>
  <c r="U90" i="14"/>
  <c r="Q98" i="14"/>
  <c r="X93" i="14"/>
  <c r="V91" i="14"/>
  <c r="T88" i="14"/>
  <c r="T94" i="14"/>
  <c r="W98" i="14"/>
  <c r="AK111" i="14"/>
  <c r="AW111" i="14" s="1"/>
  <c r="BI111" i="14" s="1" a="1"/>
  <c r="AA89" i="14"/>
  <c r="R98" i="14"/>
  <c r="Z91" i="14"/>
  <c r="AF111" i="14"/>
  <c r="AR111" i="14" s="1"/>
  <c r="BD111" i="14" s="1" a="1"/>
  <c r="Z98" i="14"/>
  <c r="X95" i="14"/>
  <c r="Q89" i="14"/>
  <c r="R96" i="14"/>
  <c r="W88" i="14"/>
  <c r="V90" i="14"/>
  <c r="S96" i="14"/>
  <c r="S94" i="14"/>
  <c r="S95" i="14"/>
  <c r="AA92" i="14"/>
  <c r="U89" i="14"/>
  <c r="R91" i="14"/>
  <c r="W92" i="14"/>
  <c r="V96" i="14"/>
  <c r="Q92" i="14"/>
  <c r="AI111" i="14"/>
  <c r="AU111" i="14" s="1"/>
  <c r="BG111" i="14" s="1" a="1"/>
  <c r="Q91" i="14"/>
  <c r="W89" i="14"/>
  <c r="W96" i="14"/>
  <c r="R94" i="14"/>
  <c r="X96" i="14"/>
  <c r="X90" i="14"/>
  <c r="U88" i="14"/>
  <c r="V95" i="14"/>
  <c r="V89" i="14"/>
  <c r="Z94" i="14"/>
  <c r="V98" i="14"/>
  <c r="AA96" i="14"/>
  <c r="Z96" i="14"/>
  <c r="U96" i="14"/>
  <c r="R93" i="14"/>
  <c r="V92" i="14"/>
  <c r="AL111" i="14"/>
  <c r="AX111" i="14" s="1"/>
  <c r="BJ111" i="14" s="1" a="1"/>
  <c r="T98" i="14"/>
  <c r="S90" i="14"/>
  <c r="AA88" i="14"/>
  <c r="Q95" i="14"/>
  <c r="R88" i="14"/>
  <c r="T93" i="14"/>
  <c r="AA90" i="14"/>
  <c r="Z93" i="14"/>
  <c r="V93" i="14"/>
  <c r="S3" i="17" l="1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R7" i="17" l="1"/>
  <c r="R14" i="17"/>
  <c r="Q24" i="17"/>
  <c r="Q25" i="17"/>
  <c r="Q12" i="17"/>
  <c r="R21" i="17"/>
  <c r="R8" i="17"/>
  <c r="R20" i="17"/>
  <c r="R18" i="17"/>
  <c r="R17" i="17"/>
  <c r="R16" i="17"/>
  <c r="R15" i="17"/>
  <c r="R6" i="17"/>
  <c r="R19" i="17"/>
  <c r="R5" i="17"/>
  <c r="R2" i="17"/>
  <c r="R28" i="17"/>
  <c r="R27" i="17"/>
  <c r="R13" i="17"/>
  <c r="R26" i="17"/>
  <c r="R12" i="17"/>
  <c r="R25" i="17"/>
  <c r="R11" i="17"/>
  <c r="R24" i="17"/>
  <c r="R10" i="17"/>
  <c r="R23" i="17"/>
  <c r="R9" i="17"/>
  <c r="R22" i="17"/>
  <c r="Q11" i="17"/>
  <c r="Q10" i="17"/>
  <c r="Q23" i="17"/>
  <c r="Q4" i="17"/>
  <c r="Q22" i="17"/>
  <c r="Q3" i="17"/>
  <c r="Q2" i="17"/>
  <c r="Q15" i="17"/>
  <c r="Q28" i="17"/>
  <c r="Q14" i="17"/>
  <c r="Q21" i="17"/>
  <c r="Q20" i="17"/>
  <c r="Q19" i="17"/>
  <c r="Q18" i="17"/>
  <c r="Q17" i="17"/>
  <c r="Q16" i="17"/>
  <c r="Q27" i="17"/>
  <c r="Q13" i="17"/>
  <c r="Q26" i="17"/>
  <c r="E30" i="32"/>
  <c r="F30" i="32"/>
  <c r="G30" i="32"/>
  <c r="H30" i="32"/>
  <c r="I30" i="32"/>
  <c r="J30" i="32"/>
  <c r="K30" i="32"/>
  <c r="E29" i="32"/>
  <c r="F29" i="32"/>
  <c r="G29" i="32"/>
  <c r="H29" i="32"/>
  <c r="I29" i="32"/>
  <c r="J29" i="32"/>
  <c r="K29" i="32"/>
  <c r="P2" i="17" l="1"/>
  <c r="P3" i="17"/>
  <c r="P4" i="17"/>
  <c r="P5" i="17"/>
  <c r="P6" i="17"/>
  <c r="P7" i="17"/>
  <c r="P8" i="17"/>
  <c r="P9" i="17"/>
  <c r="E28" i="32" l="1"/>
  <c r="F28" i="32"/>
  <c r="G28" i="32"/>
  <c r="H28" i="32"/>
  <c r="I28" i="32"/>
  <c r="J28" i="32"/>
  <c r="K28" i="32"/>
  <c r="E27" i="32"/>
  <c r="F27" i="32"/>
  <c r="G27" i="32"/>
  <c r="H27" i="32"/>
  <c r="I27" i="32"/>
  <c r="J27" i="32"/>
  <c r="K27" i="32"/>
  <c r="K26" i="32"/>
  <c r="J26" i="32"/>
  <c r="I26" i="32"/>
  <c r="H26" i="32"/>
  <c r="G26" i="32"/>
  <c r="F26" i="32"/>
  <c r="E26" i="32"/>
  <c r="E25" i="32"/>
  <c r="F25" i="32"/>
  <c r="G25" i="32"/>
  <c r="H25" i="32"/>
  <c r="I25" i="32"/>
  <c r="J25" i="32"/>
  <c r="K25" i="32"/>
  <c r="E24" i="32"/>
  <c r="F24" i="32"/>
  <c r="G24" i="32"/>
  <c r="H24" i="32"/>
  <c r="I24" i="32"/>
  <c r="J24" i="32"/>
  <c r="K24" i="32"/>
  <c r="K23" i="32"/>
  <c r="J23" i="32"/>
  <c r="I23" i="32"/>
  <c r="H23" i="32"/>
  <c r="G23" i="32"/>
  <c r="F23" i="32"/>
  <c r="E23" i="32"/>
  <c r="E22" i="32" l="1"/>
  <c r="F22" i="32"/>
  <c r="G22" i="32"/>
  <c r="H22" i="32"/>
  <c r="I22" i="32"/>
  <c r="J22" i="32"/>
  <c r="K22" i="32"/>
  <c r="E21" i="32"/>
  <c r="F21" i="32"/>
  <c r="G21" i="32"/>
  <c r="H21" i="32"/>
  <c r="I21" i="32"/>
  <c r="J21" i="32"/>
  <c r="K21" i="32"/>
  <c r="E20" i="32"/>
  <c r="F20" i="32"/>
  <c r="G20" i="32"/>
  <c r="H20" i="32"/>
  <c r="I20" i="32"/>
  <c r="J20" i="32"/>
  <c r="K20" i="32"/>
  <c r="E19" i="32"/>
  <c r="F19" i="32"/>
  <c r="G19" i="32"/>
  <c r="H19" i="32"/>
  <c r="I19" i="32"/>
  <c r="J19" i="32"/>
  <c r="K19" i="32"/>
  <c r="E18" i="32"/>
  <c r="F18" i="32"/>
  <c r="G18" i="32"/>
  <c r="H18" i="32"/>
  <c r="I18" i="32"/>
  <c r="J18" i="32"/>
  <c r="K18" i="32"/>
  <c r="E17" i="32"/>
  <c r="F17" i="32"/>
  <c r="G17" i="32"/>
  <c r="H17" i="32"/>
  <c r="I17" i="32"/>
  <c r="J17" i="32"/>
  <c r="K17" i="32"/>
  <c r="E16" i="32"/>
  <c r="F16" i="32"/>
  <c r="G16" i="32"/>
  <c r="H16" i="32"/>
  <c r="I16" i="32"/>
  <c r="J16" i="32"/>
  <c r="K16" i="32"/>
  <c r="K15" i="32"/>
  <c r="J15" i="32"/>
  <c r="I15" i="32"/>
  <c r="H15" i="32"/>
  <c r="G15" i="32"/>
  <c r="F15" i="32"/>
  <c r="E15" i="32"/>
  <c r="E14" i="32"/>
  <c r="F14" i="32"/>
  <c r="G14" i="32"/>
  <c r="H14" i="32"/>
  <c r="I14" i="32"/>
  <c r="J14" i="32"/>
  <c r="K14" i="32"/>
  <c r="K13" i="32"/>
  <c r="J13" i="32"/>
  <c r="I13" i="32"/>
  <c r="H13" i="32"/>
  <c r="G13" i="32"/>
  <c r="F13" i="32"/>
  <c r="E13" i="32"/>
  <c r="E12" i="32"/>
  <c r="F12" i="32"/>
  <c r="G12" i="32"/>
  <c r="H12" i="32"/>
  <c r="I12" i="32"/>
  <c r="J12" i="32"/>
  <c r="K12" i="32"/>
  <c r="AJ88" i="14"/>
  <c r="AV88" i="14" s="1"/>
  <c r="BH88" i="14" s="1" a="1"/>
  <c r="AK88" i="14"/>
  <c r="AW88" i="14" s="1"/>
  <c r="AL88" i="14"/>
  <c r="AX88" i="14" s="1"/>
  <c r="AM88" i="14"/>
  <c r="AY88" i="14" s="1"/>
  <c r="AN88" i="14"/>
  <c r="AZ88" i="14" s="1" a="1"/>
  <c r="AO88" i="14"/>
  <c r="BA88" i="14" s="1" a="1"/>
  <c r="AP88" i="14"/>
  <c r="BB88" i="14" s="1" a="1"/>
  <c r="AQ88" i="14"/>
  <c r="BC88" i="14" s="1" a="1"/>
  <c r="AR88" i="14"/>
  <c r="AS88" i="14"/>
  <c r="BE88" i="14" s="1" a="1"/>
  <c r="AT88" i="14"/>
  <c r="BF88" i="14" s="1" a="1"/>
  <c r="AU88" i="14"/>
  <c r="BG88" i="14" s="1" a="1"/>
  <c r="AJ89" i="14"/>
  <c r="AV89" i="14" s="1"/>
  <c r="BH89" i="14" s="1" a="1"/>
  <c r="AK89" i="14"/>
  <c r="AW89" i="14" s="1"/>
  <c r="AL89" i="14"/>
  <c r="AX89" i="14" s="1"/>
  <c r="AM89" i="14"/>
  <c r="AY89" i="14" s="1"/>
  <c r="AN89" i="14"/>
  <c r="AZ89" i="14" s="1" a="1"/>
  <c r="AO89" i="14"/>
  <c r="BA89" i="14" s="1" a="1"/>
  <c r="AP89" i="14"/>
  <c r="BB89" i="14" s="1" a="1"/>
  <c r="AQ89" i="14"/>
  <c r="BC89" i="14" s="1" a="1"/>
  <c r="AR89" i="14"/>
  <c r="BD89" i="14" s="1" a="1"/>
  <c r="AS89" i="14"/>
  <c r="BE89" i="14" s="1" a="1"/>
  <c r="AT89" i="14"/>
  <c r="AU89" i="14"/>
  <c r="BG89" i="14" s="1" a="1"/>
  <c r="AJ90" i="14"/>
  <c r="AV90" i="14" s="1"/>
  <c r="BH90" i="14" s="1" a="1"/>
  <c r="AK90" i="14"/>
  <c r="AW90" i="14" s="1"/>
  <c r="AL90" i="14"/>
  <c r="AX90" i="14" s="1"/>
  <c r="AM90" i="14"/>
  <c r="AY90" i="14" s="1"/>
  <c r="AN90" i="14"/>
  <c r="AZ90" i="14" s="1" a="1"/>
  <c r="AO90" i="14"/>
  <c r="BA90" i="14" s="1" a="1"/>
  <c r="AP90" i="14"/>
  <c r="BB90" i="14" s="1" a="1"/>
  <c r="AQ90" i="14"/>
  <c r="BC90" i="14" s="1" a="1"/>
  <c r="AR90" i="14"/>
  <c r="BD90" i="14" s="1" a="1"/>
  <c r="AS90" i="14"/>
  <c r="BE90" i="14" s="1" a="1"/>
  <c r="AT90" i="14"/>
  <c r="BF90" i="14" s="1" a="1"/>
  <c r="AU90" i="14"/>
  <c r="BG90" i="14" s="1" a="1"/>
  <c r="AJ91" i="14"/>
  <c r="AV91" i="14" s="1"/>
  <c r="AK91" i="14"/>
  <c r="AW91" i="14" s="1"/>
  <c r="AL91" i="14"/>
  <c r="AX91" i="14" s="1"/>
  <c r="AM91" i="14"/>
  <c r="AY91" i="14" s="1"/>
  <c r="AN91" i="14"/>
  <c r="AZ91" i="14" s="1" a="1"/>
  <c r="AO91" i="14"/>
  <c r="BA91" i="14" s="1" a="1"/>
  <c r="AP91" i="14"/>
  <c r="BB91" i="14" s="1" a="1"/>
  <c r="AQ91" i="14"/>
  <c r="BC91" i="14" s="1" a="1"/>
  <c r="AR91" i="14"/>
  <c r="BD91" i="14" s="1" a="1"/>
  <c r="AS91" i="14"/>
  <c r="BE91" i="14" s="1" a="1"/>
  <c r="AT91" i="14"/>
  <c r="BF91" i="14" s="1" a="1"/>
  <c r="AU91" i="14"/>
  <c r="BG91" i="14" s="1" a="1"/>
  <c r="AJ92" i="14"/>
  <c r="AV92" i="14" s="1"/>
  <c r="BH92" i="14" s="1" a="1"/>
  <c r="AK92" i="14"/>
  <c r="AW92" i="14" s="1"/>
  <c r="AL92" i="14"/>
  <c r="AX92" i="14" s="1"/>
  <c r="AM92" i="14"/>
  <c r="AY92" i="14" s="1"/>
  <c r="AN92" i="14"/>
  <c r="AZ92" i="14" s="1" a="1"/>
  <c r="AO92" i="14"/>
  <c r="BA92" i="14" s="1" a="1"/>
  <c r="AP92" i="14"/>
  <c r="BB92" i="14" s="1" a="1"/>
  <c r="AQ92" i="14"/>
  <c r="BC92" i="14" s="1" a="1"/>
  <c r="AR92" i="14"/>
  <c r="BD92" i="14" s="1" a="1"/>
  <c r="AS92" i="14"/>
  <c r="BE92" i="14" s="1" a="1"/>
  <c r="AT92" i="14"/>
  <c r="BF92" i="14" s="1" a="1"/>
  <c r="AU92" i="14"/>
  <c r="BG92" i="14" s="1" a="1"/>
  <c r="AJ93" i="14"/>
  <c r="AV93" i="14" s="1"/>
  <c r="BH93" i="14" s="1" a="1"/>
  <c r="AK93" i="14"/>
  <c r="AW93" i="14" s="1"/>
  <c r="AL93" i="14"/>
  <c r="AX93" i="14" s="1"/>
  <c r="AM93" i="14"/>
  <c r="AY93" i="14" s="1"/>
  <c r="AN93" i="14"/>
  <c r="AO93" i="14"/>
  <c r="BA93" i="14" s="1" a="1"/>
  <c r="AP93" i="14"/>
  <c r="BB93" i="14" s="1" a="1"/>
  <c r="AQ93" i="14"/>
  <c r="BC93" i="14" s="1" a="1"/>
  <c r="AR93" i="14"/>
  <c r="BD93" i="14" s="1" a="1"/>
  <c r="AS93" i="14"/>
  <c r="BE93" i="14" s="1" a="1"/>
  <c r="AT93" i="14"/>
  <c r="BF93" i="14" s="1" a="1"/>
  <c r="AU93" i="14"/>
  <c r="BG93" i="14" s="1" a="1"/>
  <c r="AJ94" i="14"/>
  <c r="AV94" i="14" s="1"/>
  <c r="BH94" i="14" s="1" a="1"/>
  <c r="AK94" i="14"/>
  <c r="AW94" i="14" s="1"/>
  <c r="AL94" i="14"/>
  <c r="AX94" i="14" s="1"/>
  <c r="AM94" i="14"/>
  <c r="AY94" i="14" s="1"/>
  <c r="AN94" i="14"/>
  <c r="AZ94" i="14" s="1" a="1"/>
  <c r="AO94" i="14"/>
  <c r="BA94" i="14" s="1" a="1"/>
  <c r="AP94" i="14"/>
  <c r="AQ94" i="14"/>
  <c r="BC94" i="14" s="1" a="1"/>
  <c r="AR94" i="14"/>
  <c r="BD94" i="14" s="1" a="1"/>
  <c r="AS94" i="14"/>
  <c r="BE94" i="14" s="1" a="1"/>
  <c r="AT94" i="14"/>
  <c r="BF94" i="14" s="1" a="1"/>
  <c r="AU94" i="14"/>
  <c r="BG94" i="14" s="1" a="1"/>
  <c r="AJ95" i="14"/>
  <c r="AV95" i="14" s="1"/>
  <c r="BH95" i="14" s="1" a="1"/>
  <c r="AK95" i="14"/>
  <c r="AW95" i="14" s="1"/>
  <c r="AL95" i="14"/>
  <c r="AX95" i="14" s="1"/>
  <c r="AM95" i="14"/>
  <c r="AY95" i="14" s="1"/>
  <c r="AN95" i="14"/>
  <c r="AZ95" i="14" s="1" a="1"/>
  <c r="AO95" i="14"/>
  <c r="BA95" i="14" s="1" a="1"/>
  <c r="AP95" i="14"/>
  <c r="BB95" i="14" s="1" a="1"/>
  <c r="AQ95" i="14"/>
  <c r="BC95" i="14" s="1" a="1"/>
  <c r="AR95" i="14"/>
  <c r="AS95" i="14"/>
  <c r="BE95" i="14" s="1" a="1"/>
  <c r="AT95" i="14"/>
  <c r="BF95" i="14" s="1" a="1"/>
  <c r="AU95" i="14"/>
  <c r="BG95" i="14" s="1" a="1"/>
  <c r="AJ96" i="14"/>
  <c r="AV96" i="14" s="1"/>
  <c r="BH96" i="14" s="1" a="1"/>
  <c r="AK96" i="14"/>
  <c r="AW96" i="14" s="1"/>
  <c r="AL96" i="14"/>
  <c r="AX96" i="14" s="1"/>
  <c r="AM96" i="14"/>
  <c r="AY96" i="14" s="1"/>
  <c r="AN96" i="14"/>
  <c r="AZ96" i="14" s="1" a="1"/>
  <c r="AO96" i="14"/>
  <c r="BA96" i="14" s="1" a="1"/>
  <c r="AP96" i="14"/>
  <c r="BB96" i="14" s="1" a="1"/>
  <c r="AQ96" i="14"/>
  <c r="BC96" i="14" s="1" a="1"/>
  <c r="AR96" i="14"/>
  <c r="BD96" i="14" s="1" a="1"/>
  <c r="AS96" i="14"/>
  <c r="BE96" i="14" s="1" a="1"/>
  <c r="AT96" i="14"/>
  <c r="AU96" i="14"/>
  <c r="BG96" i="14" s="1" a="1"/>
  <c r="AJ98" i="14"/>
  <c r="AV98" i="14" s="1"/>
  <c r="BH98" i="14" s="1" a="1"/>
  <c r="AK98" i="14"/>
  <c r="AW98" i="14" s="1"/>
  <c r="AL98" i="14"/>
  <c r="AX98" i="14" s="1"/>
  <c r="AM98" i="14"/>
  <c r="AY98" i="14" s="1"/>
  <c r="AN98" i="14"/>
  <c r="AZ98" i="14" s="1" a="1"/>
  <c r="AO98" i="14"/>
  <c r="BA98" i="14" s="1" a="1"/>
  <c r="AP98" i="14"/>
  <c r="BB98" i="14" s="1" a="1"/>
  <c r="AQ98" i="14"/>
  <c r="BC98" i="14" s="1" a="1"/>
  <c r="AR98" i="14"/>
  <c r="BD98" i="14" s="1" a="1"/>
  <c r="AS98" i="14"/>
  <c r="BE98" i="14" s="1" a="1"/>
  <c r="AT98" i="14"/>
  <c r="BF98" i="14" s="1" a="1"/>
  <c r="AU98" i="14"/>
  <c r="BG98" i="14" s="1" a="1"/>
  <c r="E11" i="32"/>
  <c r="F11" i="32"/>
  <c r="G11" i="32"/>
  <c r="H11" i="32"/>
  <c r="I11" i="32"/>
  <c r="J11" i="32"/>
  <c r="K11" i="32"/>
  <c r="E10" i="32"/>
  <c r="F10" i="32"/>
  <c r="G10" i="32"/>
  <c r="H10" i="32"/>
  <c r="I10" i="32"/>
  <c r="J10" i="32"/>
  <c r="K10" i="32"/>
  <c r="E9" i="32"/>
  <c r="F9" i="32"/>
  <c r="G9" i="32"/>
  <c r="H9" i="32"/>
  <c r="I9" i="32"/>
  <c r="J9" i="32"/>
  <c r="K9" i="32"/>
  <c r="K8" i="32"/>
  <c r="J8" i="32"/>
  <c r="I8" i="32"/>
  <c r="H8" i="32"/>
  <c r="G8" i="32"/>
  <c r="F8" i="32"/>
  <c r="E8" i="32"/>
  <c r="K7" i="32"/>
  <c r="J7" i="32"/>
  <c r="I7" i="32"/>
  <c r="H7" i="32"/>
  <c r="G7" i="32"/>
  <c r="F7" i="32"/>
  <c r="E7" i="32"/>
  <c r="K6" i="32"/>
  <c r="J6" i="32"/>
  <c r="I6" i="32"/>
  <c r="H6" i="32"/>
  <c r="G6" i="32"/>
  <c r="F6" i="32"/>
  <c r="E6" i="32"/>
  <c r="BF96" i="14" l="1" a="1"/>
  <c r="BD95" i="14" a="1"/>
  <c r="BB94" i="14" a="1"/>
  <c r="AZ93" i="14" a="1"/>
  <c r="BH91" i="14" a="1"/>
  <c r="BF89" i="14" a="1"/>
  <c r="BD88" i="14" a="1"/>
  <c r="BJ98" i="14" a="1"/>
  <c r="BK88" i="14" a="1"/>
  <c r="BJ95" i="14" a="1"/>
  <c r="BJ96" i="14" a="1"/>
  <c r="BI98" i="14" a="1"/>
  <c r="BK93" i="14" a="1"/>
  <c r="BJ91" i="14" a="1"/>
  <c r="BI90" i="14" a="1"/>
  <c r="BI89" i="14" a="1"/>
  <c r="BJ94" i="14" a="1"/>
  <c r="BI93" i="14" a="1"/>
  <c r="BI92" i="14" a="1"/>
  <c r="BK95" i="14" a="1"/>
  <c r="BI94" i="14" a="1"/>
  <c r="BK89" i="14" a="1"/>
  <c r="BK94" i="14" a="1"/>
  <c r="BK91" i="14" a="1"/>
  <c r="BJ90" i="14" a="1"/>
  <c r="BJ89" i="14" a="1"/>
  <c r="BK90" i="14" a="1"/>
  <c r="BJ93" i="14" a="1"/>
  <c r="BK92" i="14" a="1"/>
  <c r="BI91" i="14" a="1"/>
  <c r="BK98" i="14" a="1"/>
  <c r="BI95" i="14" a="1"/>
  <c r="BJ88" i="14" a="1"/>
  <c r="BI96" i="14" a="1"/>
  <c r="BI88" i="14" l="1" a="1"/>
  <c r="BJ92" i="14" a="1"/>
  <c r="BK96" i="14" a="1"/>
  <c r="E5" i="32" l="1"/>
  <c r="F5" i="32"/>
  <c r="G5" i="32"/>
  <c r="H5" i="32"/>
  <c r="I5" i="32"/>
  <c r="J5" i="32"/>
  <c r="K5" i="32"/>
  <c r="F4" i="32"/>
  <c r="G4" i="32"/>
  <c r="H4" i="32"/>
  <c r="I4" i="32"/>
  <c r="J4" i="32"/>
  <c r="K4" i="32"/>
  <c r="E4" i="32"/>
  <c r="L6" i="2"/>
  <c r="M6" i="2"/>
  <c r="K516" i="29"/>
  <c r="K515" i="29"/>
  <c r="K514" i="29"/>
  <c r="K513" i="29"/>
  <c r="K512" i="29"/>
  <c r="K511" i="29"/>
  <c r="K510" i="29"/>
  <c r="K509" i="29"/>
  <c r="K508" i="29"/>
  <c r="K507" i="29"/>
  <c r="K506" i="29"/>
  <c r="K505" i="29"/>
  <c r="K504" i="29"/>
  <c r="K503" i="29"/>
  <c r="K502" i="29"/>
  <c r="K501" i="29"/>
  <c r="K500" i="29"/>
  <c r="K499" i="29"/>
  <c r="K498" i="29"/>
  <c r="K497" i="29"/>
  <c r="K496" i="29"/>
  <c r="K495" i="29"/>
  <c r="K494" i="29"/>
  <c r="K493" i="29"/>
  <c r="K492" i="29"/>
  <c r="K491" i="29"/>
  <c r="K490" i="29"/>
  <c r="K489" i="29"/>
  <c r="K488" i="29"/>
  <c r="K487" i="29"/>
  <c r="K486" i="29"/>
  <c r="K485" i="29"/>
  <c r="K484" i="29"/>
  <c r="K483" i="29"/>
  <c r="K482" i="29"/>
  <c r="K481" i="29"/>
  <c r="K480" i="29"/>
  <c r="K479" i="29"/>
  <c r="K478" i="29"/>
  <c r="K477" i="29"/>
  <c r="K476" i="29"/>
  <c r="K475" i="29"/>
  <c r="K474" i="29"/>
  <c r="K473" i="29"/>
  <c r="K472" i="29"/>
  <c r="K471" i="29"/>
  <c r="K470" i="29"/>
  <c r="K469" i="29"/>
  <c r="K468" i="29"/>
  <c r="K467" i="29"/>
  <c r="K466" i="29"/>
  <c r="K465" i="29"/>
  <c r="K464" i="29"/>
  <c r="K463" i="29"/>
  <c r="K462" i="29"/>
  <c r="K461" i="29"/>
  <c r="K460" i="29"/>
  <c r="K459" i="29"/>
  <c r="K458" i="29"/>
  <c r="K457" i="29"/>
  <c r="K456" i="29"/>
  <c r="K455" i="29"/>
  <c r="K454" i="29"/>
  <c r="K453" i="29"/>
  <c r="K452" i="29"/>
  <c r="K451" i="29"/>
  <c r="K450" i="29"/>
  <c r="K449" i="29"/>
  <c r="K448" i="29"/>
  <c r="K447" i="29"/>
  <c r="K446" i="29"/>
  <c r="K445" i="29"/>
  <c r="K444" i="29"/>
  <c r="K443" i="29"/>
  <c r="K442" i="29"/>
  <c r="K441" i="29"/>
  <c r="K440" i="29"/>
  <c r="K439" i="29"/>
  <c r="K438" i="29"/>
  <c r="K437" i="29"/>
  <c r="K436" i="29"/>
  <c r="K435" i="29"/>
  <c r="K434" i="29"/>
  <c r="K433" i="29"/>
  <c r="K432" i="29"/>
  <c r="K431" i="29"/>
  <c r="K430" i="29"/>
  <c r="K429" i="29"/>
  <c r="K428" i="29"/>
  <c r="K427" i="29"/>
  <c r="K426" i="29"/>
  <c r="K425" i="29"/>
  <c r="K424" i="29"/>
  <c r="K423" i="29"/>
  <c r="K422" i="29"/>
  <c r="K421" i="29"/>
  <c r="K420" i="29"/>
  <c r="K419" i="29"/>
  <c r="K418" i="29"/>
  <c r="K417" i="29"/>
  <c r="K416" i="29"/>
  <c r="K415" i="29"/>
  <c r="K414" i="29"/>
  <c r="K413" i="29"/>
  <c r="K412" i="29"/>
  <c r="K411" i="29"/>
  <c r="K410" i="29"/>
  <c r="K409" i="29"/>
  <c r="K408" i="29"/>
  <c r="K407" i="29"/>
  <c r="K406" i="29"/>
  <c r="K405" i="29"/>
  <c r="K404" i="29"/>
  <c r="K403" i="29"/>
  <c r="K402" i="29"/>
  <c r="K401" i="29"/>
  <c r="K400" i="29"/>
  <c r="K399" i="29"/>
  <c r="K398" i="29"/>
  <c r="K397" i="29"/>
  <c r="K396" i="29"/>
  <c r="K395" i="29"/>
  <c r="K394" i="29"/>
  <c r="K393" i="29"/>
  <c r="K392" i="29"/>
  <c r="K391" i="29"/>
  <c r="K390" i="29"/>
  <c r="K389" i="29"/>
  <c r="K388" i="29"/>
  <c r="K387" i="29"/>
  <c r="K386" i="29"/>
  <c r="K385" i="29"/>
  <c r="K384" i="29"/>
  <c r="K383" i="29"/>
  <c r="K382" i="29"/>
  <c r="K381" i="29"/>
  <c r="K380" i="29"/>
  <c r="K379" i="29"/>
  <c r="K378" i="29"/>
  <c r="K377" i="29"/>
  <c r="K376" i="29"/>
  <c r="K375" i="29"/>
  <c r="K374" i="29"/>
  <c r="K373" i="29"/>
  <c r="K372" i="29"/>
  <c r="K371" i="29"/>
  <c r="K370" i="29"/>
  <c r="K369" i="29"/>
  <c r="K368" i="29"/>
  <c r="K367" i="29"/>
  <c r="K366" i="29"/>
  <c r="K365" i="29"/>
  <c r="K364" i="29"/>
  <c r="K363" i="29"/>
  <c r="K362" i="29"/>
  <c r="K361" i="29"/>
  <c r="K360" i="29"/>
  <c r="K359" i="29"/>
  <c r="K358" i="29"/>
  <c r="K357" i="29"/>
  <c r="K356" i="29"/>
  <c r="K355" i="29"/>
  <c r="K354" i="29"/>
  <c r="K353" i="29"/>
  <c r="K352" i="29"/>
  <c r="K351" i="29"/>
  <c r="K350" i="29"/>
  <c r="K349" i="29"/>
  <c r="K348" i="29"/>
  <c r="K347" i="29"/>
  <c r="K346" i="29"/>
  <c r="K345" i="29"/>
  <c r="K344" i="29"/>
  <c r="K343" i="29"/>
  <c r="K342" i="29"/>
  <c r="K341" i="29"/>
  <c r="K340" i="29"/>
  <c r="K339" i="29"/>
  <c r="K338" i="29"/>
  <c r="K337" i="29"/>
  <c r="K336" i="29"/>
  <c r="K335" i="29"/>
  <c r="K334" i="29"/>
  <c r="K333" i="29"/>
  <c r="K332" i="29"/>
  <c r="K331" i="29"/>
  <c r="K330" i="29"/>
  <c r="K329" i="29"/>
  <c r="K328" i="29"/>
  <c r="K327" i="29"/>
  <c r="K326" i="29"/>
  <c r="K325" i="29"/>
  <c r="K324" i="29"/>
  <c r="K323" i="29"/>
  <c r="K322" i="29"/>
  <c r="K321" i="29"/>
  <c r="K320" i="29"/>
  <c r="K319" i="29"/>
  <c r="K318" i="29"/>
  <c r="K317" i="29"/>
  <c r="K316" i="29"/>
  <c r="K315" i="29"/>
  <c r="K314" i="29"/>
  <c r="K313" i="29"/>
  <c r="K312" i="29"/>
  <c r="K311" i="29"/>
  <c r="K310" i="29"/>
  <c r="K309" i="29"/>
  <c r="K308" i="29"/>
  <c r="K307" i="29"/>
  <c r="K306" i="29"/>
  <c r="K305" i="29"/>
  <c r="K304" i="29"/>
  <c r="K303" i="29"/>
  <c r="K302" i="29"/>
  <c r="K301" i="29"/>
  <c r="K300" i="29"/>
  <c r="K299" i="29"/>
  <c r="K298" i="29"/>
  <c r="K297" i="29"/>
  <c r="K296" i="29"/>
  <c r="K295" i="29"/>
  <c r="K294" i="29"/>
  <c r="K293" i="29"/>
  <c r="K292" i="29"/>
  <c r="K291" i="29"/>
  <c r="K290" i="29"/>
  <c r="K289" i="29"/>
  <c r="K288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L516" i="29"/>
  <c r="J516" i="29"/>
  <c r="I516" i="29"/>
  <c r="H516" i="29"/>
  <c r="F516" i="29"/>
  <c r="E516" i="29"/>
  <c r="D516" i="29"/>
  <c r="C516" i="29"/>
  <c r="B516" i="29"/>
  <c r="L515" i="29"/>
  <c r="J515" i="29"/>
  <c r="I515" i="29"/>
  <c r="H515" i="29"/>
  <c r="F515" i="29"/>
  <c r="E515" i="29"/>
  <c r="D515" i="29"/>
  <c r="C515" i="29"/>
  <c r="B515" i="29"/>
  <c r="L514" i="29"/>
  <c r="J514" i="29"/>
  <c r="I514" i="29"/>
  <c r="H514" i="29"/>
  <c r="F514" i="29"/>
  <c r="E514" i="29"/>
  <c r="D514" i="29"/>
  <c r="C514" i="29"/>
  <c r="B514" i="29"/>
  <c r="L513" i="29"/>
  <c r="J513" i="29"/>
  <c r="I513" i="29"/>
  <c r="H513" i="29"/>
  <c r="F513" i="29"/>
  <c r="E513" i="29"/>
  <c r="D513" i="29"/>
  <c r="C513" i="29"/>
  <c r="B513" i="29"/>
  <c r="L512" i="29"/>
  <c r="J512" i="29"/>
  <c r="I512" i="29"/>
  <c r="H512" i="29"/>
  <c r="F512" i="29"/>
  <c r="E512" i="29"/>
  <c r="D512" i="29"/>
  <c r="C512" i="29"/>
  <c r="B512" i="29"/>
  <c r="L511" i="29"/>
  <c r="J511" i="29"/>
  <c r="I511" i="29"/>
  <c r="H511" i="29"/>
  <c r="F511" i="29"/>
  <c r="E511" i="29"/>
  <c r="D511" i="29"/>
  <c r="C511" i="29"/>
  <c r="B511" i="29"/>
  <c r="L510" i="29"/>
  <c r="J510" i="29"/>
  <c r="I510" i="29"/>
  <c r="H510" i="29"/>
  <c r="F510" i="29"/>
  <c r="E510" i="29"/>
  <c r="D510" i="29"/>
  <c r="C510" i="29"/>
  <c r="B510" i="29"/>
  <c r="L509" i="29"/>
  <c r="J509" i="29"/>
  <c r="I509" i="29"/>
  <c r="H509" i="29"/>
  <c r="F509" i="29"/>
  <c r="E509" i="29"/>
  <c r="D509" i="29"/>
  <c r="C509" i="29"/>
  <c r="B509" i="29"/>
  <c r="L508" i="29"/>
  <c r="J508" i="29"/>
  <c r="I508" i="29"/>
  <c r="H508" i="29"/>
  <c r="F508" i="29"/>
  <c r="E508" i="29"/>
  <c r="D508" i="29"/>
  <c r="C508" i="29"/>
  <c r="B508" i="29"/>
  <c r="L507" i="29"/>
  <c r="J507" i="29"/>
  <c r="I507" i="29"/>
  <c r="H507" i="29"/>
  <c r="F507" i="29"/>
  <c r="E507" i="29"/>
  <c r="D507" i="29"/>
  <c r="C507" i="29"/>
  <c r="B507" i="29"/>
  <c r="L506" i="29"/>
  <c r="J506" i="29"/>
  <c r="I506" i="29"/>
  <c r="H506" i="29"/>
  <c r="F506" i="29"/>
  <c r="E506" i="29"/>
  <c r="D506" i="29"/>
  <c r="C506" i="29"/>
  <c r="B506" i="29"/>
  <c r="L505" i="29"/>
  <c r="J505" i="29"/>
  <c r="I505" i="29"/>
  <c r="H505" i="29"/>
  <c r="F505" i="29"/>
  <c r="E505" i="29"/>
  <c r="D505" i="29"/>
  <c r="C505" i="29"/>
  <c r="B505" i="29"/>
  <c r="L504" i="29"/>
  <c r="J504" i="29"/>
  <c r="I504" i="29"/>
  <c r="H504" i="29"/>
  <c r="F504" i="29"/>
  <c r="E504" i="29"/>
  <c r="D504" i="29"/>
  <c r="C504" i="29"/>
  <c r="B504" i="29"/>
  <c r="L503" i="29"/>
  <c r="J503" i="29"/>
  <c r="I503" i="29"/>
  <c r="H503" i="29"/>
  <c r="F503" i="29"/>
  <c r="E503" i="29"/>
  <c r="D503" i="29"/>
  <c r="C503" i="29"/>
  <c r="B503" i="29"/>
  <c r="L502" i="29"/>
  <c r="J502" i="29"/>
  <c r="I502" i="29"/>
  <c r="H502" i="29"/>
  <c r="F502" i="29"/>
  <c r="E502" i="29"/>
  <c r="D502" i="29"/>
  <c r="C502" i="29"/>
  <c r="B502" i="29"/>
  <c r="L501" i="29"/>
  <c r="J501" i="29"/>
  <c r="I501" i="29"/>
  <c r="H501" i="29"/>
  <c r="F501" i="29"/>
  <c r="E501" i="29"/>
  <c r="D501" i="29"/>
  <c r="C501" i="29"/>
  <c r="B501" i="29"/>
  <c r="L500" i="29"/>
  <c r="J500" i="29"/>
  <c r="I500" i="29"/>
  <c r="H500" i="29"/>
  <c r="F500" i="29"/>
  <c r="E500" i="29"/>
  <c r="D500" i="29"/>
  <c r="C500" i="29"/>
  <c r="B500" i="29"/>
  <c r="L499" i="29"/>
  <c r="J499" i="29"/>
  <c r="I499" i="29"/>
  <c r="H499" i="29"/>
  <c r="F499" i="29"/>
  <c r="E499" i="29"/>
  <c r="D499" i="29"/>
  <c r="C499" i="29"/>
  <c r="B499" i="29"/>
  <c r="L498" i="29"/>
  <c r="J498" i="29"/>
  <c r="I498" i="29"/>
  <c r="H498" i="29"/>
  <c r="F498" i="29"/>
  <c r="E498" i="29"/>
  <c r="D498" i="29"/>
  <c r="C498" i="29"/>
  <c r="B498" i="29"/>
  <c r="L497" i="29"/>
  <c r="J497" i="29"/>
  <c r="I497" i="29"/>
  <c r="H497" i="29"/>
  <c r="F497" i="29"/>
  <c r="E497" i="29"/>
  <c r="D497" i="29"/>
  <c r="C497" i="29"/>
  <c r="B497" i="29"/>
  <c r="L496" i="29"/>
  <c r="J496" i="29"/>
  <c r="I496" i="29"/>
  <c r="H496" i="29"/>
  <c r="F496" i="29"/>
  <c r="E496" i="29"/>
  <c r="D496" i="29"/>
  <c r="C496" i="29"/>
  <c r="B496" i="29"/>
  <c r="L495" i="29"/>
  <c r="J495" i="29"/>
  <c r="I495" i="29"/>
  <c r="H495" i="29"/>
  <c r="F495" i="29"/>
  <c r="E495" i="29"/>
  <c r="D495" i="29"/>
  <c r="C495" i="29"/>
  <c r="B495" i="29"/>
  <c r="L494" i="29"/>
  <c r="J494" i="29"/>
  <c r="I494" i="29"/>
  <c r="H494" i="29"/>
  <c r="F494" i="29"/>
  <c r="E494" i="29"/>
  <c r="D494" i="29"/>
  <c r="C494" i="29"/>
  <c r="B494" i="29"/>
  <c r="L493" i="29"/>
  <c r="J493" i="29"/>
  <c r="I493" i="29"/>
  <c r="H493" i="29"/>
  <c r="F493" i="29"/>
  <c r="E493" i="29"/>
  <c r="D493" i="29"/>
  <c r="C493" i="29"/>
  <c r="B493" i="29"/>
  <c r="L492" i="29"/>
  <c r="J492" i="29"/>
  <c r="I492" i="29"/>
  <c r="H492" i="29"/>
  <c r="F492" i="29"/>
  <c r="E492" i="29"/>
  <c r="D492" i="29"/>
  <c r="C492" i="29"/>
  <c r="B492" i="29"/>
  <c r="L491" i="29"/>
  <c r="J491" i="29"/>
  <c r="I491" i="29"/>
  <c r="H491" i="29"/>
  <c r="F491" i="29"/>
  <c r="E491" i="29"/>
  <c r="D491" i="29"/>
  <c r="C491" i="29"/>
  <c r="B491" i="29"/>
  <c r="L490" i="29"/>
  <c r="J490" i="29"/>
  <c r="I490" i="29"/>
  <c r="H490" i="29"/>
  <c r="F490" i="29"/>
  <c r="E490" i="29"/>
  <c r="D490" i="29"/>
  <c r="C490" i="29"/>
  <c r="B490" i="29"/>
  <c r="L489" i="29"/>
  <c r="J489" i="29"/>
  <c r="I489" i="29"/>
  <c r="H489" i="29"/>
  <c r="F489" i="29"/>
  <c r="E489" i="29"/>
  <c r="D489" i="29"/>
  <c r="C489" i="29"/>
  <c r="B489" i="29"/>
  <c r="L488" i="29"/>
  <c r="J488" i="29"/>
  <c r="I488" i="29"/>
  <c r="H488" i="29"/>
  <c r="F488" i="29"/>
  <c r="E488" i="29"/>
  <c r="D488" i="29"/>
  <c r="C488" i="29"/>
  <c r="B488" i="29"/>
  <c r="L487" i="29"/>
  <c r="J487" i="29"/>
  <c r="I487" i="29"/>
  <c r="H487" i="29"/>
  <c r="F487" i="29"/>
  <c r="E487" i="29"/>
  <c r="D487" i="29"/>
  <c r="C487" i="29"/>
  <c r="B487" i="29"/>
  <c r="L486" i="29"/>
  <c r="J486" i="29"/>
  <c r="I486" i="29"/>
  <c r="H486" i="29"/>
  <c r="F486" i="29"/>
  <c r="E486" i="29"/>
  <c r="D486" i="29"/>
  <c r="C486" i="29"/>
  <c r="B486" i="29"/>
  <c r="L485" i="29"/>
  <c r="J485" i="29"/>
  <c r="I485" i="29"/>
  <c r="H485" i="29"/>
  <c r="F485" i="29"/>
  <c r="E485" i="29"/>
  <c r="D485" i="29"/>
  <c r="C485" i="29"/>
  <c r="B485" i="29"/>
  <c r="L484" i="29"/>
  <c r="J484" i="29"/>
  <c r="I484" i="29"/>
  <c r="H484" i="29"/>
  <c r="F484" i="29"/>
  <c r="E484" i="29"/>
  <c r="D484" i="29"/>
  <c r="C484" i="29"/>
  <c r="B484" i="29"/>
  <c r="L483" i="29"/>
  <c r="J483" i="29"/>
  <c r="I483" i="29"/>
  <c r="H483" i="29"/>
  <c r="F483" i="29"/>
  <c r="E483" i="29"/>
  <c r="D483" i="29"/>
  <c r="C483" i="29"/>
  <c r="B483" i="29"/>
  <c r="L482" i="29"/>
  <c r="J482" i="29"/>
  <c r="I482" i="29"/>
  <c r="H482" i="29"/>
  <c r="F482" i="29"/>
  <c r="E482" i="29"/>
  <c r="D482" i="29"/>
  <c r="C482" i="29"/>
  <c r="B482" i="29"/>
  <c r="L481" i="29"/>
  <c r="J481" i="29"/>
  <c r="I481" i="29"/>
  <c r="H481" i="29"/>
  <c r="F481" i="29"/>
  <c r="E481" i="29"/>
  <c r="D481" i="29"/>
  <c r="C481" i="29"/>
  <c r="B481" i="29"/>
  <c r="L480" i="29"/>
  <c r="J480" i="29"/>
  <c r="I480" i="29"/>
  <c r="H480" i="29"/>
  <c r="F480" i="29"/>
  <c r="E480" i="29"/>
  <c r="D480" i="29"/>
  <c r="C480" i="29"/>
  <c r="B480" i="29"/>
  <c r="L479" i="29"/>
  <c r="J479" i="29"/>
  <c r="I479" i="29"/>
  <c r="H479" i="29"/>
  <c r="F479" i="29"/>
  <c r="E479" i="29"/>
  <c r="D479" i="29"/>
  <c r="C479" i="29"/>
  <c r="B479" i="29"/>
  <c r="L478" i="29"/>
  <c r="J478" i="29"/>
  <c r="I478" i="29"/>
  <c r="H478" i="29"/>
  <c r="F478" i="29"/>
  <c r="E478" i="29"/>
  <c r="D478" i="29"/>
  <c r="C478" i="29"/>
  <c r="B478" i="29"/>
  <c r="L477" i="29"/>
  <c r="J477" i="29"/>
  <c r="I477" i="29"/>
  <c r="H477" i="29"/>
  <c r="F477" i="29"/>
  <c r="E477" i="29"/>
  <c r="D477" i="29"/>
  <c r="C477" i="29"/>
  <c r="B477" i="29"/>
  <c r="L476" i="29"/>
  <c r="J476" i="29"/>
  <c r="I476" i="29"/>
  <c r="H476" i="29"/>
  <c r="F476" i="29"/>
  <c r="E476" i="29"/>
  <c r="D476" i="29"/>
  <c r="C476" i="29"/>
  <c r="B476" i="29"/>
  <c r="L475" i="29"/>
  <c r="J475" i="29"/>
  <c r="I475" i="29"/>
  <c r="H475" i="29"/>
  <c r="F475" i="29"/>
  <c r="E475" i="29"/>
  <c r="D475" i="29"/>
  <c r="C475" i="29"/>
  <c r="B475" i="29"/>
  <c r="L474" i="29"/>
  <c r="J474" i="29"/>
  <c r="I474" i="29"/>
  <c r="H474" i="29"/>
  <c r="F474" i="29"/>
  <c r="E474" i="29"/>
  <c r="D474" i="29"/>
  <c r="C474" i="29"/>
  <c r="B474" i="29"/>
  <c r="L473" i="29"/>
  <c r="J473" i="29"/>
  <c r="I473" i="29"/>
  <c r="H473" i="29"/>
  <c r="F473" i="29"/>
  <c r="E473" i="29"/>
  <c r="D473" i="29"/>
  <c r="C473" i="29"/>
  <c r="B473" i="29"/>
  <c r="L472" i="29"/>
  <c r="J472" i="29"/>
  <c r="I472" i="29"/>
  <c r="H472" i="29"/>
  <c r="F472" i="29"/>
  <c r="E472" i="29"/>
  <c r="D472" i="29"/>
  <c r="C472" i="29"/>
  <c r="B472" i="29"/>
  <c r="L471" i="29"/>
  <c r="J471" i="29"/>
  <c r="I471" i="29"/>
  <c r="H471" i="29"/>
  <c r="F471" i="29"/>
  <c r="E471" i="29"/>
  <c r="D471" i="29"/>
  <c r="C471" i="29"/>
  <c r="B471" i="29"/>
  <c r="L470" i="29"/>
  <c r="J470" i="29"/>
  <c r="I470" i="29"/>
  <c r="H470" i="29"/>
  <c r="F470" i="29"/>
  <c r="E470" i="29"/>
  <c r="D470" i="29"/>
  <c r="C470" i="29"/>
  <c r="B470" i="29"/>
  <c r="L469" i="29"/>
  <c r="J469" i="29"/>
  <c r="I469" i="29"/>
  <c r="H469" i="29"/>
  <c r="F469" i="29"/>
  <c r="E469" i="29"/>
  <c r="D469" i="29"/>
  <c r="C469" i="29"/>
  <c r="B469" i="29"/>
  <c r="L468" i="29"/>
  <c r="J468" i="29"/>
  <c r="I468" i="29"/>
  <c r="H468" i="29"/>
  <c r="F468" i="29"/>
  <c r="E468" i="29"/>
  <c r="D468" i="29"/>
  <c r="C468" i="29"/>
  <c r="B468" i="29"/>
  <c r="L467" i="29"/>
  <c r="J467" i="29"/>
  <c r="I467" i="29"/>
  <c r="H467" i="29"/>
  <c r="F467" i="29"/>
  <c r="E467" i="29"/>
  <c r="D467" i="29"/>
  <c r="C467" i="29"/>
  <c r="B467" i="29"/>
  <c r="L466" i="29"/>
  <c r="J466" i="29"/>
  <c r="I466" i="29"/>
  <c r="H466" i="29"/>
  <c r="F466" i="29"/>
  <c r="E466" i="29"/>
  <c r="D466" i="29"/>
  <c r="C466" i="29"/>
  <c r="B466" i="29"/>
  <c r="L465" i="29"/>
  <c r="J465" i="29"/>
  <c r="I465" i="29"/>
  <c r="H465" i="29"/>
  <c r="F465" i="29"/>
  <c r="E465" i="29"/>
  <c r="D465" i="29"/>
  <c r="C465" i="29"/>
  <c r="B465" i="29"/>
  <c r="L464" i="29"/>
  <c r="J464" i="29"/>
  <c r="I464" i="29"/>
  <c r="H464" i="29"/>
  <c r="F464" i="29"/>
  <c r="E464" i="29"/>
  <c r="D464" i="29"/>
  <c r="C464" i="29"/>
  <c r="B464" i="29"/>
  <c r="L463" i="29"/>
  <c r="J463" i="29"/>
  <c r="I463" i="29"/>
  <c r="H463" i="29"/>
  <c r="F463" i="29"/>
  <c r="E463" i="29"/>
  <c r="D463" i="29"/>
  <c r="C463" i="29"/>
  <c r="B463" i="29"/>
  <c r="L462" i="29"/>
  <c r="J462" i="29"/>
  <c r="I462" i="29"/>
  <c r="H462" i="29"/>
  <c r="F462" i="29"/>
  <c r="E462" i="29"/>
  <c r="D462" i="29"/>
  <c r="C462" i="29"/>
  <c r="B462" i="29"/>
  <c r="L461" i="29"/>
  <c r="J461" i="29"/>
  <c r="I461" i="29"/>
  <c r="H461" i="29"/>
  <c r="F461" i="29"/>
  <c r="E461" i="29"/>
  <c r="D461" i="29"/>
  <c r="C461" i="29"/>
  <c r="B461" i="29"/>
  <c r="L460" i="29"/>
  <c r="J460" i="29"/>
  <c r="I460" i="29"/>
  <c r="H460" i="29"/>
  <c r="F460" i="29"/>
  <c r="E460" i="29"/>
  <c r="D460" i="29"/>
  <c r="C460" i="29"/>
  <c r="B460" i="29"/>
  <c r="L459" i="29"/>
  <c r="J459" i="29"/>
  <c r="I459" i="29"/>
  <c r="H459" i="29"/>
  <c r="F459" i="29"/>
  <c r="E459" i="29"/>
  <c r="D459" i="29"/>
  <c r="C459" i="29"/>
  <c r="B459" i="29"/>
  <c r="L458" i="29"/>
  <c r="J458" i="29"/>
  <c r="I458" i="29"/>
  <c r="H458" i="29"/>
  <c r="F458" i="29"/>
  <c r="E458" i="29"/>
  <c r="D458" i="29"/>
  <c r="C458" i="29"/>
  <c r="B458" i="29"/>
  <c r="L457" i="29"/>
  <c r="J457" i="29"/>
  <c r="I457" i="29"/>
  <c r="H457" i="29"/>
  <c r="F457" i="29"/>
  <c r="E457" i="29"/>
  <c r="D457" i="29"/>
  <c r="C457" i="29"/>
  <c r="B457" i="29"/>
  <c r="L456" i="29"/>
  <c r="J456" i="29"/>
  <c r="I456" i="29"/>
  <c r="H456" i="29"/>
  <c r="F456" i="29"/>
  <c r="E456" i="29"/>
  <c r="D456" i="29"/>
  <c r="C456" i="29"/>
  <c r="B456" i="29"/>
  <c r="L455" i="29"/>
  <c r="J455" i="29"/>
  <c r="I455" i="29"/>
  <c r="H455" i="29"/>
  <c r="F455" i="29"/>
  <c r="E455" i="29"/>
  <c r="D455" i="29"/>
  <c r="C455" i="29"/>
  <c r="B455" i="29"/>
  <c r="L454" i="29"/>
  <c r="J454" i="29"/>
  <c r="I454" i="29"/>
  <c r="H454" i="29"/>
  <c r="F454" i="29"/>
  <c r="E454" i="29"/>
  <c r="D454" i="29"/>
  <c r="C454" i="29"/>
  <c r="B454" i="29"/>
  <c r="L453" i="29"/>
  <c r="J453" i="29"/>
  <c r="I453" i="29"/>
  <c r="H453" i="29"/>
  <c r="F453" i="29"/>
  <c r="E453" i="29"/>
  <c r="D453" i="29"/>
  <c r="C453" i="29"/>
  <c r="B453" i="29"/>
  <c r="L452" i="29"/>
  <c r="J452" i="29"/>
  <c r="I452" i="29"/>
  <c r="H452" i="29"/>
  <c r="F452" i="29"/>
  <c r="E452" i="29"/>
  <c r="D452" i="29"/>
  <c r="C452" i="29"/>
  <c r="B452" i="29"/>
  <c r="L451" i="29"/>
  <c r="J451" i="29"/>
  <c r="I451" i="29"/>
  <c r="H451" i="29"/>
  <c r="F451" i="29"/>
  <c r="E451" i="29"/>
  <c r="D451" i="29"/>
  <c r="C451" i="29"/>
  <c r="B451" i="29"/>
  <c r="L450" i="29"/>
  <c r="J450" i="29"/>
  <c r="I450" i="29"/>
  <c r="H450" i="29"/>
  <c r="F450" i="29"/>
  <c r="E450" i="29"/>
  <c r="D450" i="29"/>
  <c r="C450" i="29"/>
  <c r="B450" i="29"/>
  <c r="L449" i="29"/>
  <c r="J449" i="29"/>
  <c r="I449" i="29"/>
  <c r="H449" i="29"/>
  <c r="F449" i="29"/>
  <c r="E449" i="29"/>
  <c r="D449" i="29"/>
  <c r="C449" i="29"/>
  <c r="B449" i="29"/>
  <c r="L448" i="29"/>
  <c r="J448" i="29"/>
  <c r="I448" i="29"/>
  <c r="H448" i="29"/>
  <c r="F448" i="29"/>
  <c r="E448" i="29"/>
  <c r="D448" i="29"/>
  <c r="C448" i="29"/>
  <c r="B448" i="29"/>
  <c r="L447" i="29"/>
  <c r="J447" i="29"/>
  <c r="I447" i="29"/>
  <c r="H447" i="29"/>
  <c r="F447" i="29"/>
  <c r="E447" i="29"/>
  <c r="D447" i="29"/>
  <c r="C447" i="29"/>
  <c r="B447" i="29"/>
  <c r="L446" i="29"/>
  <c r="J446" i="29"/>
  <c r="I446" i="29"/>
  <c r="H446" i="29"/>
  <c r="F446" i="29"/>
  <c r="E446" i="29"/>
  <c r="D446" i="29"/>
  <c r="C446" i="29"/>
  <c r="B446" i="29"/>
  <c r="L445" i="29"/>
  <c r="J445" i="29"/>
  <c r="I445" i="29"/>
  <c r="H445" i="29"/>
  <c r="F445" i="29"/>
  <c r="E445" i="29"/>
  <c r="D445" i="29"/>
  <c r="C445" i="29"/>
  <c r="B445" i="29"/>
  <c r="L444" i="29"/>
  <c r="J444" i="29"/>
  <c r="I444" i="29"/>
  <c r="H444" i="29"/>
  <c r="F444" i="29"/>
  <c r="E444" i="29"/>
  <c r="D444" i="29"/>
  <c r="C444" i="29"/>
  <c r="B444" i="29"/>
  <c r="L443" i="29"/>
  <c r="J443" i="29"/>
  <c r="I443" i="29"/>
  <c r="H443" i="29"/>
  <c r="F443" i="29"/>
  <c r="E443" i="29"/>
  <c r="D443" i="29"/>
  <c r="C443" i="29"/>
  <c r="B443" i="29"/>
  <c r="L442" i="29"/>
  <c r="J442" i="29"/>
  <c r="I442" i="29"/>
  <c r="H442" i="29"/>
  <c r="F442" i="29"/>
  <c r="E442" i="29"/>
  <c r="D442" i="29"/>
  <c r="C442" i="29"/>
  <c r="B442" i="29"/>
  <c r="L441" i="29"/>
  <c r="J441" i="29"/>
  <c r="I441" i="29"/>
  <c r="H441" i="29"/>
  <c r="F441" i="29"/>
  <c r="E441" i="29"/>
  <c r="D441" i="29"/>
  <c r="C441" i="29"/>
  <c r="B441" i="29"/>
  <c r="L440" i="29"/>
  <c r="J440" i="29"/>
  <c r="I440" i="29"/>
  <c r="H440" i="29"/>
  <c r="F440" i="29"/>
  <c r="E440" i="29"/>
  <c r="D440" i="29"/>
  <c r="C440" i="29"/>
  <c r="B440" i="29"/>
  <c r="L439" i="29"/>
  <c r="J439" i="29"/>
  <c r="I439" i="29"/>
  <c r="H439" i="29"/>
  <c r="F439" i="29"/>
  <c r="E439" i="29"/>
  <c r="D439" i="29"/>
  <c r="C439" i="29"/>
  <c r="B439" i="29"/>
  <c r="L438" i="29"/>
  <c r="J438" i="29"/>
  <c r="I438" i="29"/>
  <c r="H438" i="29"/>
  <c r="F438" i="29"/>
  <c r="E438" i="29"/>
  <c r="D438" i="29"/>
  <c r="C438" i="29"/>
  <c r="B438" i="29"/>
  <c r="L437" i="29"/>
  <c r="J437" i="29"/>
  <c r="I437" i="29"/>
  <c r="H437" i="29"/>
  <c r="F437" i="29"/>
  <c r="E437" i="29"/>
  <c r="D437" i="29"/>
  <c r="C437" i="29"/>
  <c r="B437" i="29"/>
  <c r="L436" i="29"/>
  <c r="J436" i="29"/>
  <c r="I436" i="29"/>
  <c r="H436" i="29"/>
  <c r="F436" i="29"/>
  <c r="E436" i="29"/>
  <c r="D436" i="29"/>
  <c r="C436" i="29"/>
  <c r="B436" i="29"/>
  <c r="L435" i="29"/>
  <c r="J435" i="29"/>
  <c r="I435" i="29"/>
  <c r="H435" i="29"/>
  <c r="F435" i="29"/>
  <c r="E435" i="29"/>
  <c r="D435" i="29"/>
  <c r="C435" i="29"/>
  <c r="B435" i="29"/>
  <c r="L434" i="29"/>
  <c r="J434" i="29"/>
  <c r="I434" i="29"/>
  <c r="H434" i="29"/>
  <c r="F434" i="29"/>
  <c r="E434" i="29"/>
  <c r="D434" i="29"/>
  <c r="C434" i="29"/>
  <c r="B434" i="29"/>
  <c r="L433" i="29"/>
  <c r="J433" i="29"/>
  <c r="I433" i="29"/>
  <c r="H433" i="29"/>
  <c r="F433" i="29"/>
  <c r="E433" i="29"/>
  <c r="D433" i="29"/>
  <c r="C433" i="29"/>
  <c r="B433" i="29"/>
  <c r="L432" i="29"/>
  <c r="J432" i="29"/>
  <c r="I432" i="29"/>
  <c r="H432" i="29"/>
  <c r="F432" i="29"/>
  <c r="E432" i="29"/>
  <c r="D432" i="29"/>
  <c r="C432" i="29"/>
  <c r="B432" i="29"/>
  <c r="L431" i="29"/>
  <c r="J431" i="29"/>
  <c r="I431" i="29"/>
  <c r="H431" i="29"/>
  <c r="F431" i="29"/>
  <c r="E431" i="29"/>
  <c r="D431" i="29"/>
  <c r="C431" i="29"/>
  <c r="B431" i="29"/>
  <c r="L430" i="29"/>
  <c r="J430" i="29"/>
  <c r="I430" i="29"/>
  <c r="H430" i="29"/>
  <c r="F430" i="29"/>
  <c r="E430" i="29"/>
  <c r="D430" i="29"/>
  <c r="C430" i="29"/>
  <c r="B430" i="29"/>
  <c r="L429" i="29"/>
  <c r="J429" i="29"/>
  <c r="I429" i="29"/>
  <c r="H429" i="29"/>
  <c r="F429" i="29"/>
  <c r="E429" i="29"/>
  <c r="D429" i="29"/>
  <c r="C429" i="29"/>
  <c r="B429" i="29"/>
  <c r="L428" i="29"/>
  <c r="J428" i="29"/>
  <c r="I428" i="29"/>
  <c r="H428" i="29"/>
  <c r="F428" i="29"/>
  <c r="E428" i="29"/>
  <c r="D428" i="29"/>
  <c r="C428" i="29"/>
  <c r="B428" i="29"/>
  <c r="L427" i="29"/>
  <c r="J427" i="29"/>
  <c r="I427" i="29"/>
  <c r="H427" i="29"/>
  <c r="F427" i="29"/>
  <c r="E427" i="29"/>
  <c r="D427" i="29"/>
  <c r="C427" i="29"/>
  <c r="B427" i="29"/>
  <c r="L426" i="29"/>
  <c r="J426" i="29"/>
  <c r="I426" i="29"/>
  <c r="H426" i="29"/>
  <c r="F426" i="29"/>
  <c r="E426" i="29"/>
  <c r="D426" i="29"/>
  <c r="C426" i="29"/>
  <c r="B426" i="29"/>
  <c r="L425" i="29"/>
  <c r="J425" i="29"/>
  <c r="I425" i="29"/>
  <c r="H425" i="29"/>
  <c r="F425" i="29"/>
  <c r="E425" i="29"/>
  <c r="D425" i="29"/>
  <c r="C425" i="29"/>
  <c r="B425" i="29"/>
  <c r="L424" i="29"/>
  <c r="J424" i="29"/>
  <c r="I424" i="29"/>
  <c r="H424" i="29"/>
  <c r="F424" i="29"/>
  <c r="E424" i="29"/>
  <c r="D424" i="29"/>
  <c r="C424" i="29"/>
  <c r="B424" i="29"/>
  <c r="L423" i="29"/>
  <c r="J423" i="29"/>
  <c r="I423" i="29"/>
  <c r="H423" i="29"/>
  <c r="F423" i="29"/>
  <c r="E423" i="29"/>
  <c r="D423" i="29"/>
  <c r="C423" i="29"/>
  <c r="B423" i="29"/>
  <c r="L422" i="29"/>
  <c r="J422" i="29"/>
  <c r="I422" i="29"/>
  <c r="H422" i="29"/>
  <c r="F422" i="29"/>
  <c r="E422" i="29"/>
  <c r="D422" i="29"/>
  <c r="C422" i="29"/>
  <c r="B422" i="29"/>
  <c r="L421" i="29"/>
  <c r="J421" i="29"/>
  <c r="I421" i="29"/>
  <c r="H421" i="29"/>
  <c r="F421" i="29"/>
  <c r="E421" i="29"/>
  <c r="D421" i="29"/>
  <c r="C421" i="29"/>
  <c r="B421" i="29"/>
  <c r="L420" i="29"/>
  <c r="J420" i="29"/>
  <c r="I420" i="29"/>
  <c r="H420" i="29"/>
  <c r="F420" i="29"/>
  <c r="E420" i="29"/>
  <c r="D420" i="29"/>
  <c r="C420" i="29"/>
  <c r="B420" i="29"/>
  <c r="L419" i="29"/>
  <c r="J419" i="29"/>
  <c r="I419" i="29"/>
  <c r="H419" i="29"/>
  <c r="F419" i="29"/>
  <c r="E419" i="29"/>
  <c r="D419" i="29"/>
  <c r="C419" i="29"/>
  <c r="B419" i="29"/>
  <c r="L418" i="29"/>
  <c r="J418" i="29"/>
  <c r="I418" i="29"/>
  <c r="H418" i="29"/>
  <c r="F418" i="29"/>
  <c r="E418" i="29"/>
  <c r="D418" i="29"/>
  <c r="C418" i="29"/>
  <c r="B418" i="29"/>
  <c r="L417" i="29"/>
  <c r="J417" i="29"/>
  <c r="I417" i="29"/>
  <c r="H417" i="29"/>
  <c r="F417" i="29"/>
  <c r="E417" i="29"/>
  <c r="D417" i="29"/>
  <c r="C417" i="29"/>
  <c r="B417" i="29"/>
  <c r="L416" i="29"/>
  <c r="J416" i="29"/>
  <c r="I416" i="29"/>
  <c r="H416" i="29"/>
  <c r="F416" i="29"/>
  <c r="E416" i="29"/>
  <c r="D416" i="29"/>
  <c r="C416" i="29"/>
  <c r="B416" i="29"/>
  <c r="L415" i="29"/>
  <c r="J415" i="29"/>
  <c r="I415" i="29"/>
  <c r="H415" i="29"/>
  <c r="F415" i="29"/>
  <c r="E415" i="29"/>
  <c r="D415" i="29"/>
  <c r="C415" i="29"/>
  <c r="B415" i="29"/>
  <c r="L414" i="29"/>
  <c r="J414" i="29"/>
  <c r="I414" i="29"/>
  <c r="H414" i="29"/>
  <c r="F414" i="29"/>
  <c r="E414" i="29"/>
  <c r="D414" i="29"/>
  <c r="C414" i="29"/>
  <c r="B414" i="29"/>
  <c r="L413" i="29"/>
  <c r="J413" i="29"/>
  <c r="I413" i="29"/>
  <c r="H413" i="29"/>
  <c r="F413" i="29"/>
  <c r="E413" i="29"/>
  <c r="D413" i="29"/>
  <c r="C413" i="29"/>
  <c r="B413" i="29"/>
  <c r="L412" i="29"/>
  <c r="J412" i="29"/>
  <c r="I412" i="29"/>
  <c r="H412" i="29"/>
  <c r="F412" i="29"/>
  <c r="E412" i="29"/>
  <c r="D412" i="29"/>
  <c r="C412" i="29"/>
  <c r="B412" i="29"/>
  <c r="L411" i="29"/>
  <c r="J411" i="29"/>
  <c r="I411" i="29"/>
  <c r="H411" i="29"/>
  <c r="F411" i="29"/>
  <c r="E411" i="29"/>
  <c r="D411" i="29"/>
  <c r="C411" i="29"/>
  <c r="B411" i="29"/>
  <c r="L410" i="29"/>
  <c r="J410" i="29"/>
  <c r="I410" i="29"/>
  <c r="H410" i="29"/>
  <c r="F410" i="29"/>
  <c r="E410" i="29"/>
  <c r="D410" i="29"/>
  <c r="C410" i="29"/>
  <c r="B410" i="29"/>
  <c r="L409" i="29"/>
  <c r="J409" i="29"/>
  <c r="I409" i="29"/>
  <c r="H409" i="29"/>
  <c r="F409" i="29"/>
  <c r="E409" i="29"/>
  <c r="D409" i="29"/>
  <c r="C409" i="29"/>
  <c r="B409" i="29"/>
  <c r="L408" i="29"/>
  <c r="J408" i="29"/>
  <c r="I408" i="29"/>
  <c r="H408" i="29"/>
  <c r="F408" i="29"/>
  <c r="E408" i="29"/>
  <c r="D408" i="29"/>
  <c r="C408" i="29"/>
  <c r="B408" i="29"/>
  <c r="L407" i="29"/>
  <c r="J407" i="29"/>
  <c r="I407" i="29"/>
  <c r="H407" i="29"/>
  <c r="F407" i="29"/>
  <c r="E407" i="29"/>
  <c r="D407" i="29"/>
  <c r="C407" i="29"/>
  <c r="B407" i="29"/>
  <c r="L406" i="29"/>
  <c r="J406" i="29"/>
  <c r="I406" i="29"/>
  <c r="H406" i="29"/>
  <c r="F406" i="29"/>
  <c r="E406" i="29"/>
  <c r="D406" i="29"/>
  <c r="C406" i="29"/>
  <c r="B406" i="29"/>
  <c r="L405" i="29"/>
  <c r="J405" i="29"/>
  <c r="I405" i="29"/>
  <c r="H405" i="29"/>
  <c r="F405" i="29"/>
  <c r="E405" i="29"/>
  <c r="D405" i="29"/>
  <c r="C405" i="29"/>
  <c r="B405" i="29"/>
  <c r="L404" i="29"/>
  <c r="J404" i="29"/>
  <c r="I404" i="29"/>
  <c r="H404" i="29"/>
  <c r="F404" i="29"/>
  <c r="E404" i="29"/>
  <c r="D404" i="29"/>
  <c r="C404" i="29"/>
  <c r="B404" i="29"/>
  <c r="L403" i="29"/>
  <c r="J403" i="29"/>
  <c r="I403" i="29"/>
  <c r="H403" i="29"/>
  <c r="F403" i="29"/>
  <c r="E403" i="29"/>
  <c r="D403" i="29"/>
  <c r="C403" i="29"/>
  <c r="B403" i="29"/>
  <c r="L402" i="29"/>
  <c r="J402" i="29"/>
  <c r="I402" i="29"/>
  <c r="H402" i="29"/>
  <c r="F402" i="29"/>
  <c r="E402" i="29"/>
  <c r="D402" i="29"/>
  <c r="C402" i="29"/>
  <c r="B402" i="29"/>
  <c r="L401" i="29"/>
  <c r="J401" i="29"/>
  <c r="I401" i="29"/>
  <c r="H401" i="29"/>
  <c r="F401" i="29"/>
  <c r="E401" i="29"/>
  <c r="D401" i="29"/>
  <c r="C401" i="29"/>
  <c r="B401" i="29"/>
  <c r="L400" i="29"/>
  <c r="J400" i="29"/>
  <c r="I400" i="29"/>
  <c r="H400" i="29"/>
  <c r="F400" i="29"/>
  <c r="E400" i="29"/>
  <c r="D400" i="29"/>
  <c r="C400" i="29"/>
  <c r="B400" i="29"/>
  <c r="L399" i="29"/>
  <c r="J399" i="29"/>
  <c r="I399" i="29"/>
  <c r="H399" i="29"/>
  <c r="F399" i="29"/>
  <c r="E399" i="29"/>
  <c r="D399" i="29"/>
  <c r="C399" i="29"/>
  <c r="B399" i="29"/>
  <c r="L398" i="29"/>
  <c r="J398" i="29"/>
  <c r="I398" i="29"/>
  <c r="H398" i="29"/>
  <c r="F398" i="29"/>
  <c r="E398" i="29"/>
  <c r="D398" i="29"/>
  <c r="C398" i="29"/>
  <c r="B398" i="29"/>
  <c r="L397" i="29"/>
  <c r="J397" i="29"/>
  <c r="I397" i="29"/>
  <c r="H397" i="29"/>
  <c r="F397" i="29"/>
  <c r="E397" i="29"/>
  <c r="D397" i="29"/>
  <c r="C397" i="29"/>
  <c r="B397" i="29"/>
  <c r="L396" i="29"/>
  <c r="J396" i="29"/>
  <c r="I396" i="29"/>
  <c r="H396" i="29"/>
  <c r="F396" i="29"/>
  <c r="E396" i="29"/>
  <c r="D396" i="29"/>
  <c r="C396" i="29"/>
  <c r="B396" i="29"/>
  <c r="L395" i="29"/>
  <c r="J395" i="29"/>
  <c r="I395" i="29"/>
  <c r="H395" i="29"/>
  <c r="F395" i="29"/>
  <c r="E395" i="29"/>
  <c r="D395" i="29"/>
  <c r="C395" i="29"/>
  <c r="B395" i="29"/>
  <c r="L394" i="29"/>
  <c r="J394" i="29"/>
  <c r="I394" i="29"/>
  <c r="H394" i="29"/>
  <c r="F394" i="29"/>
  <c r="E394" i="29"/>
  <c r="D394" i="29"/>
  <c r="C394" i="29"/>
  <c r="B394" i="29"/>
  <c r="L393" i="29"/>
  <c r="J393" i="29"/>
  <c r="I393" i="29"/>
  <c r="H393" i="29"/>
  <c r="F393" i="29"/>
  <c r="E393" i="29"/>
  <c r="D393" i="29"/>
  <c r="C393" i="29"/>
  <c r="B393" i="29"/>
  <c r="L392" i="29"/>
  <c r="J392" i="29"/>
  <c r="I392" i="29"/>
  <c r="H392" i="29"/>
  <c r="F392" i="29"/>
  <c r="E392" i="29"/>
  <c r="D392" i="29"/>
  <c r="C392" i="29"/>
  <c r="B392" i="29"/>
  <c r="L391" i="29"/>
  <c r="J391" i="29"/>
  <c r="I391" i="29"/>
  <c r="H391" i="29"/>
  <c r="F391" i="29"/>
  <c r="E391" i="29"/>
  <c r="D391" i="29"/>
  <c r="C391" i="29"/>
  <c r="B391" i="29"/>
  <c r="L390" i="29"/>
  <c r="J390" i="29"/>
  <c r="I390" i="29"/>
  <c r="H390" i="29"/>
  <c r="F390" i="29"/>
  <c r="E390" i="29"/>
  <c r="D390" i="29"/>
  <c r="C390" i="29"/>
  <c r="B390" i="29"/>
  <c r="L389" i="29"/>
  <c r="J389" i="29"/>
  <c r="I389" i="29"/>
  <c r="H389" i="29"/>
  <c r="F389" i="29"/>
  <c r="E389" i="29"/>
  <c r="D389" i="29"/>
  <c r="C389" i="29"/>
  <c r="B389" i="29"/>
  <c r="L388" i="29"/>
  <c r="J388" i="29"/>
  <c r="I388" i="29"/>
  <c r="H388" i="29"/>
  <c r="F388" i="29"/>
  <c r="E388" i="29"/>
  <c r="D388" i="29"/>
  <c r="C388" i="29"/>
  <c r="B388" i="29"/>
  <c r="L387" i="29"/>
  <c r="J387" i="29"/>
  <c r="I387" i="29"/>
  <c r="H387" i="29"/>
  <c r="F387" i="29"/>
  <c r="E387" i="29"/>
  <c r="D387" i="29"/>
  <c r="C387" i="29"/>
  <c r="B387" i="29"/>
  <c r="L386" i="29"/>
  <c r="J386" i="29"/>
  <c r="I386" i="29"/>
  <c r="H386" i="29"/>
  <c r="F386" i="29"/>
  <c r="E386" i="29"/>
  <c r="D386" i="29"/>
  <c r="C386" i="29"/>
  <c r="B386" i="29"/>
  <c r="L385" i="29"/>
  <c r="J385" i="29"/>
  <c r="I385" i="29"/>
  <c r="H385" i="29"/>
  <c r="F385" i="29"/>
  <c r="E385" i="29"/>
  <c r="D385" i="29"/>
  <c r="C385" i="29"/>
  <c r="B385" i="29"/>
  <c r="L384" i="29"/>
  <c r="J384" i="29"/>
  <c r="I384" i="29"/>
  <c r="H384" i="29"/>
  <c r="F384" i="29"/>
  <c r="E384" i="29"/>
  <c r="D384" i="29"/>
  <c r="C384" i="29"/>
  <c r="B384" i="29"/>
  <c r="L383" i="29"/>
  <c r="J383" i="29"/>
  <c r="I383" i="29"/>
  <c r="H383" i="29"/>
  <c r="F383" i="29"/>
  <c r="E383" i="29"/>
  <c r="D383" i="29"/>
  <c r="C383" i="29"/>
  <c r="B383" i="29"/>
  <c r="L382" i="29"/>
  <c r="J382" i="29"/>
  <c r="I382" i="29"/>
  <c r="H382" i="29"/>
  <c r="F382" i="29"/>
  <c r="E382" i="29"/>
  <c r="D382" i="29"/>
  <c r="C382" i="29"/>
  <c r="B382" i="29"/>
  <c r="L381" i="29"/>
  <c r="J381" i="29"/>
  <c r="I381" i="29"/>
  <c r="H381" i="29"/>
  <c r="F381" i="29"/>
  <c r="E381" i="29"/>
  <c r="D381" i="29"/>
  <c r="C381" i="29"/>
  <c r="B381" i="29"/>
  <c r="L380" i="29"/>
  <c r="J380" i="29"/>
  <c r="I380" i="29"/>
  <c r="H380" i="29"/>
  <c r="F380" i="29"/>
  <c r="E380" i="29"/>
  <c r="D380" i="29"/>
  <c r="C380" i="29"/>
  <c r="B380" i="29"/>
  <c r="L379" i="29"/>
  <c r="J379" i="29"/>
  <c r="I379" i="29"/>
  <c r="H379" i="29"/>
  <c r="F379" i="29"/>
  <c r="E379" i="29"/>
  <c r="D379" i="29"/>
  <c r="C379" i="29"/>
  <c r="B379" i="29"/>
  <c r="L378" i="29"/>
  <c r="J378" i="29"/>
  <c r="I378" i="29"/>
  <c r="H378" i="29"/>
  <c r="F378" i="29"/>
  <c r="E378" i="29"/>
  <c r="D378" i="29"/>
  <c r="C378" i="29"/>
  <c r="B378" i="29"/>
  <c r="L377" i="29"/>
  <c r="J377" i="29"/>
  <c r="I377" i="29"/>
  <c r="H377" i="29"/>
  <c r="F377" i="29"/>
  <c r="E377" i="29"/>
  <c r="D377" i="29"/>
  <c r="C377" i="29"/>
  <c r="B377" i="29"/>
  <c r="L376" i="29"/>
  <c r="J376" i="29"/>
  <c r="I376" i="29"/>
  <c r="H376" i="29"/>
  <c r="F376" i="29"/>
  <c r="E376" i="29"/>
  <c r="D376" i="29"/>
  <c r="C376" i="29"/>
  <c r="B376" i="29"/>
  <c r="L375" i="29"/>
  <c r="J375" i="29"/>
  <c r="I375" i="29"/>
  <c r="H375" i="29"/>
  <c r="F375" i="29"/>
  <c r="E375" i="29"/>
  <c r="D375" i="29"/>
  <c r="C375" i="29"/>
  <c r="B375" i="29"/>
  <c r="L374" i="29"/>
  <c r="J374" i="29"/>
  <c r="I374" i="29"/>
  <c r="H374" i="29"/>
  <c r="F374" i="29"/>
  <c r="E374" i="29"/>
  <c r="D374" i="29"/>
  <c r="C374" i="29"/>
  <c r="B374" i="29"/>
  <c r="L373" i="29"/>
  <c r="J373" i="29"/>
  <c r="I373" i="29"/>
  <c r="H373" i="29"/>
  <c r="F373" i="29"/>
  <c r="E373" i="29"/>
  <c r="D373" i="29"/>
  <c r="C373" i="29"/>
  <c r="B373" i="29"/>
  <c r="L372" i="29"/>
  <c r="J372" i="29"/>
  <c r="I372" i="29"/>
  <c r="H372" i="29"/>
  <c r="F372" i="29"/>
  <c r="E372" i="29"/>
  <c r="D372" i="29"/>
  <c r="C372" i="29"/>
  <c r="B372" i="29"/>
  <c r="L371" i="29"/>
  <c r="J371" i="29"/>
  <c r="I371" i="29"/>
  <c r="H371" i="29"/>
  <c r="F371" i="29"/>
  <c r="E371" i="29"/>
  <c r="D371" i="29"/>
  <c r="C371" i="29"/>
  <c r="B371" i="29"/>
  <c r="L370" i="29"/>
  <c r="J370" i="29"/>
  <c r="I370" i="29"/>
  <c r="H370" i="29"/>
  <c r="F370" i="29"/>
  <c r="E370" i="29"/>
  <c r="D370" i="29"/>
  <c r="C370" i="29"/>
  <c r="B370" i="29"/>
  <c r="L369" i="29"/>
  <c r="J369" i="29"/>
  <c r="I369" i="29"/>
  <c r="H369" i="29"/>
  <c r="F369" i="29"/>
  <c r="E369" i="29"/>
  <c r="D369" i="29"/>
  <c r="C369" i="29"/>
  <c r="B369" i="29"/>
  <c r="L368" i="29"/>
  <c r="J368" i="29"/>
  <c r="I368" i="29"/>
  <c r="H368" i="29"/>
  <c r="F368" i="29"/>
  <c r="E368" i="29"/>
  <c r="D368" i="29"/>
  <c r="C368" i="29"/>
  <c r="B368" i="29"/>
  <c r="L3" i="29"/>
  <c r="L4" i="29"/>
  <c r="L5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28" i="29"/>
  <c r="L29" i="29"/>
  <c r="L30" i="29"/>
  <c r="L31" i="29"/>
  <c r="L32" i="29"/>
  <c r="L33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L53" i="29"/>
  <c r="L54" i="29"/>
  <c r="L55" i="29"/>
  <c r="L56" i="29"/>
  <c r="L57" i="29"/>
  <c r="L58" i="29"/>
  <c r="L59" i="29"/>
  <c r="L60" i="29"/>
  <c r="L61" i="29"/>
  <c r="L62" i="29"/>
  <c r="L63" i="29"/>
  <c r="L64" i="29"/>
  <c r="L65" i="29"/>
  <c r="L66" i="29"/>
  <c r="L67" i="29"/>
  <c r="L68" i="29"/>
  <c r="L69" i="29"/>
  <c r="L70" i="29"/>
  <c r="L71" i="29"/>
  <c r="L72" i="29"/>
  <c r="L73" i="29"/>
  <c r="L74" i="29"/>
  <c r="L75" i="29"/>
  <c r="L76" i="29"/>
  <c r="L77" i="29"/>
  <c r="L78" i="29"/>
  <c r="L79" i="29"/>
  <c r="L80" i="29"/>
  <c r="L81" i="29"/>
  <c r="L82" i="29"/>
  <c r="L83" i="29"/>
  <c r="L84" i="29"/>
  <c r="L85" i="29"/>
  <c r="L86" i="29"/>
  <c r="L87" i="29"/>
  <c r="L88" i="29"/>
  <c r="L89" i="29"/>
  <c r="L90" i="29"/>
  <c r="L91" i="29"/>
  <c r="L92" i="29"/>
  <c r="L93" i="29"/>
  <c r="L94" i="29"/>
  <c r="L95" i="29"/>
  <c r="L96" i="29"/>
  <c r="L97" i="29"/>
  <c r="L98" i="29"/>
  <c r="L99" i="29"/>
  <c r="L100" i="29"/>
  <c r="L101" i="29"/>
  <c r="L102" i="29"/>
  <c r="L103" i="29"/>
  <c r="L104" i="29"/>
  <c r="L105" i="29"/>
  <c r="L106" i="29"/>
  <c r="L107" i="29"/>
  <c r="L108" i="29"/>
  <c r="L109" i="29"/>
  <c r="L110" i="29"/>
  <c r="L111" i="29"/>
  <c r="L112" i="29"/>
  <c r="L113" i="29"/>
  <c r="L114" i="29"/>
  <c r="L115" i="29"/>
  <c r="L116" i="29"/>
  <c r="L117" i="29"/>
  <c r="L118" i="29"/>
  <c r="L119" i="29"/>
  <c r="L120" i="29"/>
  <c r="L121" i="29"/>
  <c r="L122" i="29"/>
  <c r="L123" i="29"/>
  <c r="L124" i="29"/>
  <c r="L125" i="29"/>
  <c r="L126" i="29"/>
  <c r="L127" i="29"/>
  <c r="L128" i="29"/>
  <c r="L129" i="29"/>
  <c r="L130" i="29"/>
  <c r="L131" i="29"/>
  <c r="L132" i="29"/>
  <c r="L133" i="29"/>
  <c r="L134" i="29"/>
  <c r="L135" i="29"/>
  <c r="L136" i="29"/>
  <c r="L137" i="29"/>
  <c r="L138" i="29"/>
  <c r="L139" i="29"/>
  <c r="L140" i="29"/>
  <c r="L141" i="29"/>
  <c r="L142" i="29"/>
  <c r="L143" i="29"/>
  <c r="L144" i="29"/>
  <c r="L145" i="29"/>
  <c r="L146" i="29"/>
  <c r="L147" i="29"/>
  <c r="L148" i="29"/>
  <c r="L149" i="29"/>
  <c r="L150" i="29"/>
  <c r="L151" i="29"/>
  <c r="L152" i="29"/>
  <c r="L153" i="29"/>
  <c r="L154" i="29"/>
  <c r="L155" i="29"/>
  <c r="L156" i="29"/>
  <c r="L157" i="29"/>
  <c r="L158" i="29"/>
  <c r="L159" i="29"/>
  <c r="L160" i="29"/>
  <c r="L161" i="29"/>
  <c r="L162" i="29"/>
  <c r="L163" i="29"/>
  <c r="L164" i="29"/>
  <c r="L165" i="29"/>
  <c r="L166" i="29"/>
  <c r="L167" i="29"/>
  <c r="L168" i="29"/>
  <c r="L169" i="29"/>
  <c r="L170" i="29"/>
  <c r="L171" i="29"/>
  <c r="L172" i="29"/>
  <c r="L173" i="29"/>
  <c r="L174" i="29"/>
  <c r="L175" i="29"/>
  <c r="L176" i="29"/>
  <c r="L177" i="29"/>
  <c r="L178" i="29"/>
  <c r="L179" i="29"/>
  <c r="L180" i="29"/>
  <c r="L181" i="29"/>
  <c r="L182" i="29"/>
  <c r="L183" i="29"/>
  <c r="L184" i="29"/>
  <c r="L185" i="29"/>
  <c r="L186" i="29"/>
  <c r="L187" i="29"/>
  <c r="L188" i="29"/>
  <c r="L189" i="29"/>
  <c r="L190" i="29"/>
  <c r="L191" i="29"/>
  <c r="L192" i="29"/>
  <c r="L193" i="29"/>
  <c r="L194" i="29"/>
  <c r="L195" i="29"/>
  <c r="L196" i="29"/>
  <c r="L197" i="29"/>
  <c r="L198" i="29"/>
  <c r="L199" i="29"/>
  <c r="L200" i="29"/>
  <c r="L201" i="29"/>
  <c r="L202" i="29"/>
  <c r="L203" i="29"/>
  <c r="L204" i="29"/>
  <c r="L205" i="29"/>
  <c r="L206" i="29"/>
  <c r="L207" i="29"/>
  <c r="L208" i="29"/>
  <c r="L209" i="29"/>
  <c r="L210" i="29"/>
  <c r="L211" i="29"/>
  <c r="L212" i="29"/>
  <c r="L213" i="29"/>
  <c r="L214" i="29"/>
  <c r="L215" i="29"/>
  <c r="L216" i="29"/>
  <c r="L217" i="29"/>
  <c r="L218" i="29"/>
  <c r="L219" i="29"/>
  <c r="L220" i="29"/>
  <c r="L221" i="29"/>
  <c r="L222" i="29"/>
  <c r="L223" i="29"/>
  <c r="L224" i="29"/>
  <c r="L225" i="29"/>
  <c r="L226" i="29"/>
  <c r="L227" i="29"/>
  <c r="L228" i="29"/>
  <c r="L229" i="29"/>
  <c r="L230" i="29"/>
  <c r="L231" i="29"/>
  <c r="L232" i="29"/>
  <c r="L233" i="29"/>
  <c r="L234" i="29"/>
  <c r="L235" i="29"/>
  <c r="L236" i="29"/>
  <c r="L237" i="29"/>
  <c r="L238" i="29"/>
  <c r="L239" i="29"/>
  <c r="L240" i="29"/>
  <c r="L241" i="29"/>
  <c r="L242" i="29"/>
  <c r="L243" i="29"/>
  <c r="L244" i="29"/>
  <c r="L245" i="29"/>
  <c r="L246" i="29"/>
  <c r="L247" i="29"/>
  <c r="L248" i="29"/>
  <c r="L249" i="29"/>
  <c r="L250" i="29"/>
  <c r="L251" i="29"/>
  <c r="L252" i="29"/>
  <c r="L253" i="29"/>
  <c r="L254" i="29"/>
  <c r="L255" i="29"/>
  <c r="L256" i="29"/>
  <c r="L257" i="29"/>
  <c r="L258" i="29"/>
  <c r="L259" i="29"/>
  <c r="L260" i="29"/>
  <c r="L261" i="29"/>
  <c r="L262" i="29"/>
  <c r="L263" i="29"/>
  <c r="L264" i="29"/>
  <c r="L265" i="29"/>
  <c r="L266" i="29"/>
  <c r="L267" i="29"/>
  <c r="L268" i="29"/>
  <c r="L269" i="29"/>
  <c r="L270" i="29"/>
  <c r="L271" i="29"/>
  <c r="L272" i="29"/>
  <c r="L273" i="29"/>
  <c r="L274" i="29"/>
  <c r="L275" i="29"/>
  <c r="L276" i="29"/>
  <c r="L277" i="29"/>
  <c r="L278" i="29"/>
  <c r="L279" i="29"/>
  <c r="L280" i="29"/>
  <c r="L281" i="29"/>
  <c r="L282" i="29"/>
  <c r="L283" i="29"/>
  <c r="L284" i="29"/>
  <c r="L285" i="29"/>
  <c r="L286" i="29"/>
  <c r="L287" i="29"/>
  <c r="L288" i="29"/>
  <c r="L289" i="29"/>
  <c r="L290" i="29"/>
  <c r="L291" i="29"/>
  <c r="L292" i="29"/>
  <c r="L293" i="29"/>
  <c r="L294" i="29"/>
  <c r="L295" i="29"/>
  <c r="L296" i="29"/>
  <c r="L297" i="29"/>
  <c r="L298" i="29"/>
  <c r="L299" i="29"/>
  <c r="L300" i="29"/>
  <c r="L301" i="29"/>
  <c r="L302" i="29"/>
  <c r="L303" i="29"/>
  <c r="L304" i="29"/>
  <c r="L305" i="29"/>
  <c r="L306" i="29"/>
  <c r="L307" i="29"/>
  <c r="L308" i="29"/>
  <c r="L309" i="29"/>
  <c r="L310" i="29"/>
  <c r="L311" i="29"/>
  <c r="L312" i="29"/>
  <c r="L313" i="29"/>
  <c r="L314" i="29"/>
  <c r="L315" i="29"/>
  <c r="L316" i="29"/>
  <c r="L317" i="29"/>
  <c r="L318" i="29"/>
  <c r="L319" i="29"/>
  <c r="L320" i="29"/>
  <c r="L321" i="29"/>
  <c r="L322" i="29"/>
  <c r="L323" i="29"/>
  <c r="L324" i="29"/>
  <c r="L325" i="29"/>
  <c r="L326" i="29"/>
  <c r="L327" i="29"/>
  <c r="L328" i="29"/>
  <c r="L329" i="29"/>
  <c r="L330" i="29"/>
  <c r="L331" i="29"/>
  <c r="L332" i="29"/>
  <c r="L333" i="29"/>
  <c r="L334" i="29"/>
  <c r="L335" i="29"/>
  <c r="L336" i="29"/>
  <c r="L337" i="29"/>
  <c r="L338" i="29"/>
  <c r="L339" i="29"/>
  <c r="L340" i="29"/>
  <c r="L341" i="29"/>
  <c r="L342" i="29"/>
  <c r="L343" i="29"/>
  <c r="L344" i="29"/>
  <c r="L345" i="29"/>
  <c r="L346" i="29"/>
  <c r="L347" i="29"/>
  <c r="L348" i="29"/>
  <c r="L349" i="29"/>
  <c r="L350" i="29"/>
  <c r="L351" i="29"/>
  <c r="L352" i="29"/>
  <c r="L353" i="29"/>
  <c r="L354" i="29"/>
  <c r="L355" i="29"/>
  <c r="L356" i="29"/>
  <c r="L357" i="29"/>
  <c r="L358" i="29"/>
  <c r="L359" i="29"/>
  <c r="L360" i="29"/>
  <c r="L361" i="29"/>
  <c r="L362" i="29"/>
  <c r="L363" i="29"/>
  <c r="L364" i="29"/>
  <c r="L365" i="29"/>
  <c r="L366" i="29"/>
  <c r="L367" i="29"/>
  <c r="L2" i="29"/>
  <c r="L2" i="17"/>
  <c r="D2" i="21" l="1"/>
  <c r="C2" i="21"/>
  <c r="C2" i="29"/>
  <c r="D2" i="29"/>
  <c r="E2" i="29"/>
  <c r="F2" i="29"/>
  <c r="H2" i="29"/>
  <c r="I2" i="29"/>
  <c r="J2" i="29"/>
  <c r="C3" i="29"/>
  <c r="D3" i="29"/>
  <c r="E3" i="29"/>
  <c r="F3" i="29"/>
  <c r="H3" i="29"/>
  <c r="I3" i="29"/>
  <c r="J3" i="29"/>
  <c r="C4" i="29"/>
  <c r="D4" i="29"/>
  <c r="E4" i="29"/>
  <c r="F4" i="29"/>
  <c r="H4" i="29"/>
  <c r="I4" i="29"/>
  <c r="J4" i="29"/>
  <c r="C5" i="29"/>
  <c r="D5" i="29"/>
  <c r="E5" i="29"/>
  <c r="F5" i="29"/>
  <c r="H5" i="29"/>
  <c r="I5" i="29"/>
  <c r="J5" i="29"/>
  <c r="C6" i="29"/>
  <c r="D6" i="29"/>
  <c r="E6" i="29"/>
  <c r="F6" i="29"/>
  <c r="H6" i="29"/>
  <c r="I6" i="29"/>
  <c r="J6" i="29"/>
  <c r="C7" i="29"/>
  <c r="D7" i="29"/>
  <c r="E7" i="29"/>
  <c r="F7" i="29"/>
  <c r="H7" i="29"/>
  <c r="I7" i="29"/>
  <c r="J7" i="29"/>
  <c r="C8" i="29"/>
  <c r="D8" i="29"/>
  <c r="E8" i="29"/>
  <c r="F8" i="29"/>
  <c r="H8" i="29"/>
  <c r="I8" i="29"/>
  <c r="J8" i="29"/>
  <c r="C9" i="29"/>
  <c r="D9" i="29"/>
  <c r="E9" i="29"/>
  <c r="F9" i="29"/>
  <c r="H9" i="29"/>
  <c r="I9" i="29"/>
  <c r="J9" i="29"/>
  <c r="C10" i="29"/>
  <c r="D10" i="29"/>
  <c r="E10" i="29"/>
  <c r="F10" i="29"/>
  <c r="H10" i="29"/>
  <c r="I10" i="29"/>
  <c r="J10" i="29"/>
  <c r="C11" i="29"/>
  <c r="D11" i="29"/>
  <c r="E11" i="29"/>
  <c r="F11" i="29"/>
  <c r="H11" i="29"/>
  <c r="I11" i="29"/>
  <c r="J11" i="29"/>
  <c r="C12" i="29"/>
  <c r="D12" i="29"/>
  <c r="E12" i="29"/>
  <c r="F12" i="29"/>
  <c r="H12" i="29"/>
  <c r="I12" i="29"/>
  <c r="J12" i="29"/>
  <c r="C13" i="29"/>
  <c r="D13" i="29"/>
  <c r="E13" i="29"/>
  <c r="F13" i="29"/>
  <c r="H13" i="29"/>
  <c r="I13" i="29"/>
  <c r="J13" i="29"/>
  <c r="C14" i="29"/>
  <c r="D14" i="29"/>
  <c r="E14" i="29"/>
  <c r="F14" i="29"/>
  <c r="H14" i="29"/>
  <c r="I14" i="29"/>
  <c r="J14" i="29"/>
  <c r="C15" i="29"/>
  <c r="D15" i="29"/>
  <c r="E15" i="29"/>
  <c r="F15" i="29"/>
  <c r="H15" i="29"/>
  <c r="I15" i="29"/>
  <c r="J15" i="29"/>
  <c r="C16" i="29"/>
  <c r="D16" i="29"/>
  <c r="E16" i="29"/>
  <c r="F16" i="29"/>
  <c r="H16" i="29"/>
  <c r="I16" i="29"/>
  <c r="J16" i="29"/>
  <c r="C17" i="29"/>
  <c r="D17" i="29"/>
  <c r="E17" i="29"/>
  <c r="F17" i="29"/>
  <c r="H17" i="29"/>
  <c r="I17" i="29"/>
  <c r="J17" i="29"/>
  <c r="C18" i="29"/>
  <c r="D18" i="29"/>
  <c r="E18" i="29"/>
  <c r="F18" i="29"/>
  <c r="H18" i="29"/>
  <c r="I18" i="29"/>
  <c r="J18" i="29"/>
  <c r="C19" i="29"/>
  <c r="D19" i="29"/>
  <c r="E19" i="29"/>
  <c r="F19" i="29"/>
  <c r="H19" i="29"/>
  <c r="I19" i="29"/>
  <c r="J19" i="29"/>
  <c r="C20" i="29"/>
  <c r="D20" i="29"/>
  <c r="E20" i="29"/>
  <c r="F20" i="29"/>
  <c r="H20" i="29"/>
  <c r="I20" i="29"/>
  <c r="J20" i="29"/>
  <c r="B21" i="29"/>
  <c r="C21" i="29"/>
  <c r="D21" i="29"/>
  <c r="E21" i="29"/>
  <c r="F21" i="29"/>
  <c r="H21" i="29"/>
  <c r="I21" i="29"/>
  <c r="J21" i="29"/>
  <c r="B22" i="29"/>
  <c r="C22" i="29"/>
  <c r="D22" i="29"/>
  <c r="E22" i="29"/>
  <c r="F22" i="29"/>
  <c r="H22" i="29"/>
  <c r="I22" i="29"/>
  <c r="J22" i="29"/>
  <c r="B23" i="29"/>
  <c r="C23" i="29"/>
  <c r="D23" i="29"/>
  <c r="E23" i="29"/>
  <c r="F23" i="29"/>
  <c r="H23" i="29"/>
  <c r="I23" i="29"/>
  <c r="J23" i="29"/>
  <c r="B24" i="29"/>
  <c r="C24" i="29"/>
  <c r="D24" i="29"/>
  <c r="E24" i="29"/>
  <c r="F24" i="29"/>
  <c r="H24" i="29"/>
  <c r="I24" i="29"/>
  <c r="J24" i="29"/>
  <c r="B25" i="29"/>
  <c r="C25" i="29"/>
  <c r="D25" i="29"/>
  <c r="E25" i="29"/>
  <c r="F25" i="29"/>
  <c r="H25" i="29"/>
  <c r="I25" i="29"/>
  <c r="J25" i="29"/>
  <c r="B26" i="29"/>
  <c r="C26" i="29"/>
  <c r="D26" i="29"/>
  <c r="E26" i="29"/>
  <c r="F26" i="29"/>
  <c r="H26" i="29"/>
  <c r="I26" i="29"/>
  <c r="J26" i="29"/>
  <c r="B27" i="29"/>
  <c r="C27" i="29"/>
  <c r="D27" i="29"/>
  <c r="E27" i="29"/>
  <c r="F27" i="29"/>
  <c r="H27" i="29"/>
  <c r="I27" i="29"/>
  <c r="J27" i="29"/>
  <c r="B28" i="29"/>
  <c r="C28" i="29"/>
  <c r="D28" i="29"/>
  <c r="E28" i="29"/>
  <c r="F28" i="29"/>
  <c r="H28" i="29"/>
  <c r="I28" i="29"/>
  <c r="J28" i="29"/>
  <c r="B29" i="29"/>
  <c r="C29" i="29"/>
  <c r="D29" i="29"/>
  <c r="E29" i="29"/>
  <c r="F29" i="29"/>
  <c r="H29" i="29"/>
  <c r="I29" i="29"/>
  <c r="J29" i="29"/>
  <c r="B30" i="29"/>
  <c r="C30" i="29"/>
  <c r="D30" i="29"/>
  <c r="E30" i="29"/>
  <c r="F30" i="29"/>
  <c r="H30" i="29"/>
  <c r="I30" i="29"/>
  <c r="J30" i="29"/>
  <c r="B31" i="29"/>
  <c r="C31" i="29"/>
  <c r="D31" i="29"/>
  <c r="E31" i="29"/>
  <c r="F31" i="29"/>
  <c r="H31" i="29"/>
  <c r="I31" i="29"/>
  <c r="J31" i="29"/>
  <c r="B32" i="29"/>
  <c r="C32" i="29"/>
  <c r="D32" i="29"/>
  <c r="E32" i="29"/>
  <c r="F32" i="29"/>
  <c r="H32" i="29"/>
  <c r="I32" i="29"/>
  <c r="J32" i="29"/>
  <c r="B33" i="29"/>
  <c r="C33" i="29"/>
  <c r="D33" i="29"/>
  <c r="E33" i="29"/>
  <c r="F33" i="29"/>
  <c r="H33" i="29"/>
  <c r="I33" i="29"/>
  <c r="J33" i="29"/>
  <c r="B34" i="29"/>
  <c r="C34" i="29"/>
  <c r="D34" i="29"/>
  <c r="E34" i="29"/>
  <c r="F34" i="29"/>
  <c r="H34" i="29"/>
  <c r="I34" i="29"/>
  <c r="J34" i="29"/>
  <c r="B35" i="29"/>
  <c r="C35" i="29"/>
  <c r="D35" i="29"/>
  <c r="E35" i="29"/>
  <c r="F35" i="29"/>
  <c r="H35" i="29"/>
  <c r="I35" i="29"/>
  <c r="J35" i="29"/>
  <c r="B36" i="29"/>
  <c r="C36" i="29"/>
  <c r="D36" i="29"/>
  <c r="E36" i="29"/>
  <c r="F36" i="29"/>
  <c r="H36" i="29"/>
  <c r="I36" i="29"/>
  <c r="J36" i="29"/>
  <c r="B37" i="29"/>
  <c r="C37" i="29"/>
  <c r="D37" i="29"/>
  <c r="E37" i="29"/>
  <c r="F37" i="29"/>
  <c r="H37" i="29"/>
  <c r="I37" i="29"/>
  <c r="J37" i="29"/>
  <c r="B38" i="29"/>
  <c r="C38" i="29"/>
  <c r="D38" i="29"/>
  <c r="E38" i="29"/>
  <c r="F38" i="29"/>
  <c r="H38" i="29"/>
  <c r="I38" i="29"/>
  <c r="J38" i="29"/>
  <c r="B39" i="29"/>
  <c r="C39" i="29"/>
  <c r="D39" i="29"/>
  <c r="E39" i="29"/>
  <c r="F39" i="29"/>
  <c r="H39" i="29"/>
  <c r="I39" i="29"/>
  <c r="J39" i="29"/>
  <c r="B40" i="29"/>
  <c r="C40" i="29"/>
  <c r="D40" i="29"/>
  <c r="E40" i="29"/>
  <c r="F40" i="29"/>
  <c r="H40" i="29"/>
  <c r="I40" i="29"/>
  <c r="J40" i="29"/>
  <c r="B41" i="29"/>
  <c r="C41" i="29"/>
  <c r="D41" i="29"/>
  <c r="E41" i="29"/>
  <c r="F41" i="29"/>
  <c r="H41" i="29"/>
  <c r="I41" i="29"/>
  <c r="J41" i="29"/>
  <c r="B42" i="29"/>
  <c r="C42" i="29"/>
  <c r="D42" i="29"/>
  <c r="E42" i="29"/>
  <c r="F42" i="29"/>
  <c r="H42" i="29"/>
  <c r="I42" i="29"/>
  <c r="J42" i="29"/>
  <c r="B43" i="29"/>
  <c r="C43" i="29"/>
  <c r="D43" i="29"/>
  <c r="E43" i="29"/>
  <c r="F43" i="29"/>
  <c r="H43" i="29"/>
  <c r="I43" i="29"/>
  <c r="J43" i="29"/>
  <c r="B44" i="29"/>
  <c r="C44" i="29"/>
  <c r="D44" i="29"/>
  <c r="E44" i="29"/>
  <c r="F44" i="29"/>
  <c r="H44" i="29"/>
  <c r="I44" i="29"/>
  <c r="J44" i="29"/>
  <c r="B45" i="29"/>
  <c r="C45" i="29"/>
  <c r="D45" i="29"/>
  <c r="E45" i="29"/>
  <c r="F45" i="29"/>
  <c r="H45" i="29"/>
  <c r="I45" i="29"/>
  <c r="J45" i="29"/>
  <c r="B46" i="29"/>
  <c r="C46" i="29"/>
  <c r="D46" i="29"/>
  <c r="E46" i="29"/>
  <c r="F46" i="29"/>
  <c r="H46" i="29"/>
  <c r="I46" i="29"/>
  <c r="J46" i="29"/>
  <c r="B47" i="29"/>
  <c r="C47" i="29"/>
  <c r="D47" i="29"/>
  <c r="E47" i="29"/>
  <c r="F47" i="29"/>
  <c r="H47" i="29"/>
  <c r="I47" i="29"/>
  <c r="J47" i="29"/>
  <c r="B48" i="29"/>
  <c r="C48" i="29"/>
  <c r="D48" i="29"/>
  <c r="E48" i="29"/>
  <c r="F48" i="29"/>
  <c r="H48" i="29"/>
  <c r="I48" i="29"/>
  <c r="J48" i="29"/>
  <c r="B49" i="29"/>
  <c r="C49" i="29"/>
  <c r="D49" i="29"/>
  <c r="E49" i="29"/>
  <c r="F49" i="29"/>
  <c r="H49" i="29"/>
  <c r="I49" i="29"/>
  <c r="J49" i="29"/>
  <c r="B50" i="29"/>
  <c r="C50" i="29"/>
  <c r="D50" i="29"/>
  <c r="E50" i="29"/>
  <c r="F50" i="29"/>
  <c r="H50" i="29"/>
  <c r="I50" i="29"/>
  <c r="J50" i="29"/>
  <c r="B51" i="29"/>
  <c r="C51" i="29"/>
  <c r="D51" i="29"/>
  <c r="E51" i="29"/>
  <c r="F51" i="29"/>
  <c r="H51" i="29"/>
  <c r="I51" i="29"/>
  <c r="J51" i="29"/>
  <c r="B52" i="29"/>
  <c r="C52" i="29"/>
  <c r="D52" i="29"/>
  <c r="E52" i="29"/>
  <c r="F52" i="29"/>
  <c r="H52" i="29"/>
  <c r="I52" i="29"/>
  <c r="J52" i="29"/>
  <c r="B53" i="29"/>
  <c r="C53" i="29"/>
  <c r="D53" i="29"/>
  <c r="E53" i="29"/>
  <c r="F53" i="29"/>
  <c r="H53" i="29"/>
  <c r="I53" i="29"/>
  <c r="J53" i="29"/>
  <c r="B54" i="29"/>
  <c r="C54" i="29"/>
  <c r="D54" i="29"/>
  <c r="E54" i="29"/>
  <c r="F54" i="29"/>
  <c r="H54" i="29"/>
  <c r="I54" i="29"/>
  <c r="J54" i="29"/>
  <c r="B55" i="29"/>
  <c r="C55" i="29"/>
  <c r="D55" i="29"/>
  <c r="E55" i="29"/>
  <c r="F55" i="29"/>
  <c r="H55" i="29"/>
  <c r="I55" i="29"/>
  <c r="J55" i="29"/>
  <c r="B56" i="29"/>
  <c r="C56" i="29"/>
  <c r="D56" i="29"/>
  <c r="E56" i="29"/>
  <c r="F56" i="29"/>
  <c r="H56" i="29"/>
  <c r="I56" i="29"/>
  <c r="J56" i="29"/>
  <c r="B57" i="29"/>
  <c r="C57" i="29"/>
  <c r="D57" i="29"/>
  <c r="E57" i="29"/>
  <c r="F57" i="29"/>
  <c r="H57" i="29"/>
  <c r="I57" i="29"/>
  <c r="J57" i="29"/>
  <c r="B58" i="29"/>
  <c r="C58" i="29"/>
  <c r="D58" i="29"/>
  <c r="E58" i="29"/>
  <c r="F58" i="29"/>
  <c r="H58" i="29"/>
  <c r="I58" i="29"/>
  <c r="J58" i="29"/>
  <c r="B59" i="29"/>
  <c r="C59" i="29"/>
  <c r="D59" i="29"/>
  <c r="E59" i="29"/>
  <c r="F59" i="29"/>
  <c r="H59" i="29"/>
  <c r="I59" i="29"/>
  <c r="J59" i="29"/>
  <c r="B60" i="29"/>
  <c r="C60" i="29"/>
  <c r="D60" i="29"/>
  <c r="E60" i="29"/>
  <c r="F60" i="29"/>
  <c r="H60" i="29"/>
  <c r="I60" i="29"/>
  <c r="J60" i="29"/>
  <c r="B61" i="29"/>
  <c r="C61" i="29"/>
  <c r="D61" i="29"/>
  <c r="E61" i="29"/>
  <c r="F61" i="29"/>
  <c r="H61" i="29"/>
  <c r="I61" i="29"/>
  <c r="J61" i="29"/>
  <c r="B62" i="29"/>
  <c r="C62" i="29"/>
  <c r="D62" i="29"/>
  <c r="E62" i="29"/>
  <c r="F62" i="29"/>
  <c r="H62" i="29"/>
  <c r="I62" i="29"/>
  <c r="J62" i="29"/>
  <c r="B63" i="29"/>
  <c r="C63" i="29"/>
  <c r="D63" i="29"/>
  <c r="E63" i="29"/>
  <c r="F63" i="29"/>
  <c r="H63" i="29"/>
  <c r="I63" i="29"/>
  <c r="J63" i="29"/>
  <c r="B64" i="29"/>
  <c r="C64" i="29"/>
  <c r="D64" i="29"/>
  <c r="E64" i="29"/>
  <c r="F64" i="29"/>
  <c r="H64" i="29"/>
  <c r="I64" i="29"/>
  <c r="J64" i="29"/>
  <c r="B65" i="29"/>
  <c r="C65" i="29"/>
  <c r="D65" i="29"/>
  <c r="E65" i="29"/>
  <c r="F65" i="29"/>
  <c r="H65" i="29"/>
  <c r="I65" i="29"/>
  <c r="J65" i="29"/>
  <c r="B66" i="29"/>
  <c r="C66" i="29"/>
  <c r="D66" i="29"/>
  <c r="E66" i="29"/>
  <c r="F66" i="29"/>
  <c r="H66" i="29"/>
  <c r="I66" i="29"/>
  <c r="J66" i="29"/>
  <c r="B67" i="29"/>
  <c r="C67" i="29"/>
  <c r="D67" i="29"/>
  <c r="E67" i="29"/>
  <c r="F67" i="29"/>
  <c r="H67" i="29"/>
  <c r="I67" i="29"/>
  <c r="J67" i="29"/>
  <c r="B68" i="29"/>
  <c r="C68" i="29"/>
  <c r="D68" i="29"/>
  <c r="E68" i="29"/>
  <c r="F68" i="29"/>
  <c r="H68" i="29"/>
  <c r="I68" i="29"/>
  <c r="J68" i="29"/>
  <c r="B69" i="29"/>
  <c r="C69" i="29"/>
  <c r="D69" i="29"/>
  <c r="E69" i="29"/>
  <c r="F69" i="29"/>
  <c r="H69" i="29"/>
  <c r="I69" i="29"/>
  <c r="J69" i="29"/>
  <c r="B70" i="29"/>
  <c r="C70" i="29"/>
  <c r="D70" i="29"/>
  <c r="E70" i="29"/>
  <c r="F70" i="29"/>
  <c r="H70" i="29"/>
  <c r="I70" i="29"/>
  <c r="J70" i="29"/>
  <c r="B71" i="29"/>
  <c r="C71" i="29"/>
  <c r="D71" i="29"/>
  <c r="E71" i="29"/>
  <c r="F71" i="29"/>
  <c r="H71" i="29"/>
  <c r="I71" i="29"/>
  <c r="J71" i="29"/>
  <c r="B72" i="29"/>
  <c r="C72" i="29"/>
  <c r="D72" i="29"/>
  <c r="E72" i="29"/>
  <c r="F72" i="29"/>
  <c r="H72" i="29"/>
  <c r="I72" i="29"/>
  <c r="J72" i="29"/>
  <c r="B73" i="29"/>
  <c r="C73" i="29"/>
  <c r="D73" i="29"/>
  <c r="E73" i="29"/>
  <c r="F73" i="29"/>
  <c r="H73" i="29"/>
  <c r="I73" i="29"/>
  <c r="J73" i="29"/>
  <c r="B74" i="29"/>
  <c r="C74" i="29"/>
  <c r="D74" i="29"/>
  <c r="E74" i="29"/>
  <c r="F74" i="29"/>
  <c r="H74" i="29"/>
  <c r="I74" i="29"/>
  <c r="J74" i="29"/>
  <c r="B75" i="29"/>
  <c r="C75" i="29"/>
  <c r="D75" i="29"/>
  <c r="E75" i="29"/>
  <c r="F75" i="29"/>
  <c r="H75" i="29"/>
  <c r="I75" i="29"/>
  <c r="J75" i="29"/>
  <c r="B76" i="29"/>
  <c r="C76" i="29"/>
  <c r="D76" i="29"/>
  <c r="E76" i="29"/>
  <c r="F76" i="29"/>
  <c r="H76" i="29"/>
  <c r="I76" i="29"/>
  <c r="J76" i="29"/>
  <c r="B77" i="29"/>
  <c r="C77" i="29"/>
  <c r="D77" i="29"/>
  <c r="E77" i="29"/>
  <c r="F77" i="29"/>
  <c r="H77" i="29"/>
  <c r="I77" i="29"/>
  <c r="J77" i="29"/>
  <c r="B78" i="29"/>
  <c r="C78" i="29"/>
  <c r="D78" i="29"/>
  <c r="E78" i="29"/>
  <c r="F78" i="29"/>
  <c r="H78" i="29"/>
  <c r="I78" i="29"/>
  <c r="J78" i="29"/>
  <c r="B79" i="29"/>
  <c r="C79" i="29"/>
  <c r="D79" i="29"/>
  <c r="E79" i="29"/>
  <c r="F79" i="29"/>
  <c r="H79" i="29"/>
  <c r="I79" i="29"/>
  <c r="J79" i="29"/>
  <c r="B80" i="29"/>
  <c r="C80" i="29"/>
  <c r="D80" i="29"/>
  <c r="E80" i="29"/>
  <c r="F80" i="29"/>
  <c r="H80" i="29"/>
  <c r="I80" i="29"/>
  <c r="J80" i="29"/>
  <c r="B81" i="29"/>
  <c r="C81" i="29"/>
  <c r="D81" i="29"/>
  <c r="E81" i="29"/>
  <c r="F81" i="29"/>
  <c r="H81" i="29"/>
  <c r="I81" i="29"/>
  <c r="J81" i="29"/>
  <c r="B82" i="29"/>
  <c r="C82" i="29"/>
  <c r="D82" i="29"/>
  <c r="E82" i="29"/>
  <c r="F82" i="29"/>
  <c r="H82" i="29"/>
  <c r="I82" i="29"/>
  <c r="J82" i="29"/>
  <c r="B83" i="29"/>
  <c r="C83" i="29"/>
  <c r="D83" i="29"/>
  <c r="E83" i="29"/>
  <c r="F83" i="29"/>
  <c r="H83" i="29"/>
  <c r="I83" i="29"/>
  <c r="J83" i="29"/>
  <c r="B84" i="29"/>
  <c r="C84" i="29"/>
  <c r="D84" i="29"/>
  <c r="E84" i="29"/>
  <c r="F84" i="29"/>
  <c r="H84" i="29"/>
  <c r="I84" i="29"/>
  <c r="J84" i="29"/>
  <c r="B85" i="29"/>
  <c r="C85" i="29"/>
  <c r="D85" i="29"/>
  <c r="E85" i="29"/>
  <c r="F85" i="29"/>
  <c r="H85" i="29"/>
  <c r="I85" i="29"/>
  <c r="J85" i="29"/>
  <c r="B86" i="29"/>
  <c r="C86" i="29"/>
  <c r="D86" i="29"/>
  <c r="E86" i="29"/>
  <c r="F86" i="29"/>
  <c r="H86" i="29"/>
  <c r="I86" i="29"/>
  <c r="J86" i="29"/>
  <c r="B87" i="29"/>
  <c r="C87" i="29"/>
  <c r="D87" i="29"/>
  <c r="E87" i="29"/>
  <c r="F87" i="29"/>
  <c r="H87" i="29"/>
  <c r="I87" i="29"/>
  <c r="J87" i="29"/>
  <c r="B88" i="29"/>
  <c r="C88" i="29"/>
  <c r="D88" i="29"/>
  <c r="E88" i="29"/>
  <c r="F88" i="29"/>
  <c r="H88" i="29"/>
  <c r="I88" i="29"/>
  <c r="J88" i="29"/>
  <c r="B89" i="29"/>
  <c r="C89" i="29"/>
  <c r="D89" i="29"/>
  <c r="E89" i="29"/>
  <c r="F89" i="29"/>
  <c r="H89" i="29"/>
  <c r="I89" i="29"/>
  <c r="J89" i="29"/>
  <c r="B90" i="29"/>
  <c r="C90" i="29"/>
  <c r="D90" i="29"/>
  <c r="E90" i="29"/>
  <c r="F90" i="29"/>
  <c r="H90" i="29"/>
  <c r="I90" i="29"/>
  <c r="J90" i="29"/>
  <c r="B91" i="29"/>
  <c r="C91" i="29"/>
  <c r="D91" i="29"/>
  <c r="E91" i="29"/>
  <c r="F91" i="29"/>
  <c r="H91" i="29"/>
  <c r="I91" i="29"/>
  <c r="J91" i="29"/>
  <c r="B92" i="29"/>
  <c r="C92" i="29"/>
  <c r="D92" i="29"/>
  <c r="E92" i="29"/>
  <c r="F92" i="29"/>
  <c r="H92" i="29"/>
  <c r="I92" i="29"/>
  <c r="J92" i="29"/>
  <c r="B93" i="29"/>
  <c r="C93" i="29"/>
  <c r="D93" i="29"/>
  <c r="E93" i="29"/>
  <c r="F93" i="29"/>
  <c r="H93" i="29"/>
  <c r="I93" i="29"/>
  <c r="J93" i="29"/>
  <c r="B94" i="29"/>
  <c r="C94" i="29"/>
  <c r="D94" i="29"/>
  <c r="E94" i="29"/>
  <c r="F94" i="29"/>
  <c r="H94" i="29"/>
  <c r="I94" i="29"/>
  <c r="J94" i="29"/>
  <c r="B95" i="29"/>
  <c r="C95" i="29"/>
  <c r="D95" i="29"/>
  <c r="E95" i="29"/>
  <c r="F95" i="29"/>
  <c r="H95" i="29"/>
  <c r="I95" i="29"/>
  <c r="J95" i="29"/>
  <c r="B96" i="29"/>
  <c r="C96" i="29"/>
  <c r="D96" i="29"/>
  <c r="E96" i="29"/>
  <c r="F96" i="29"/>
  <c r="H96" i="29"/>
  <c r="I96" i="29"/>
  <c r="J96" i="29"/>
  <c r="B97" i="29"/>
  <c r="C97" i="29"/>
  <c r="D97" i="29"/>
  <c r="E97" i="29"/>
  <c r="F97" i="29"/>
  <c r="H97" i="29"/>
  <c r="I97" i="29"/>
  <c r="J97" i="29"/>
  <c r="B98" i="29"/>
  <c r="C98" i="29"/>
  <c r="D98" i="29"/>
  <c r="E98" i="29"/>
  <c r="F98" i="29"/>
  <c r="H98" i="29"/>
  <c r="I98" i="29"/>
  <c r="J98" i="29"/>
  <c r="B99" i="29"/>
  <c r="C99" i="29"/>
  <c r="D99" i="29"/>
  <c r="E99" i="29"/>
  <c r="F99" i="29"/>
  <c r="H99" i="29"/>
  <c r="I99" i="29"/>
  <c r="J99" i="29"/>
  <c r="B100" i="29"/>
  <c r="C100" i="29"/>
  <c r="D100" i="29"/>
  <c r="E100" i="29"/>
  <c r="F100" i="29"/>
  <c r="H100" i="29"/>
  <c r="I100" i="29"/>
  <c r="J100" i="29"/>
  <c r="B101" i="29"/>
  <c r="C101" i="29"/>
  <c r="D101" i="29"/>
  <c r="E101" i="29"/>
  <c r="F101" i="29"/>
  <c r="H101" i="29"/>
  <c r="I101" i="29"/>
  <c r="J101" i="29"/>
  <c r="B102" i="29"/>
  <c r="C102" i="29"/>
  <c r="D102" i="29"/>
  <c r="E102" i="29"/>
  <c r="F102" i="29"/>
  <c r="H102" i="29"/>
  <c r="I102" i="29"/>
  <c r="J102" i="29"/>
  <c r="B103" i="29"/>
  <c r="C103" i="29"/>
  <c r="D103" i="29"/>
  <c r="E103" i="29"/>
  <c r="F103" i="29"/>
  <c r="H103" i="29"/>
  <c r="I103" i="29"/>
  <c r="J103" i="29"/>
  <c r="B104" i="29"/>
  <c r="C104" i="29"/>
  <c r="D104" i="29"/>
  <c r="E104" i="29"/>
  <c r="F104" i="29"/>
  <c r="H104" i="29"/>
  <c r="I104" i="29"/>
  <c r="J104" i="29"/>
  <c r="B105" i="29"/>
  <c r="C105" i="29"/>
  <c r="D105" i="29"/>
  <c r="E105" i="29"/>
  <c r="F105" i="29"/>
  <c r="H105" i="29"/>
  <c r="I105" i="29"/>
  <c r="J105" i="29"/>
  <c r="B106" i="29"/>
  <c r="C106" i="29"/>
  <c r="D106" i="29"/>
  <c r="E106" i="29"/>
  <c r="F106" i="29"/>
  <c r="H106" i="29"/>
  <c r="I106" i="29"/>
  <c r="J106" i="29"/>
  <c r="B107" i="29"/>
  <c r="C107" i="29"/>
  <c r="D107" i="29"/>
  <c r="E107" i="29"/>
  <c r="F107" i="29"/>
  <c r="H107" i="29"/>
  <c r="I107" i="29"/>
  <c r="J107" i="29"/>
  <c r="B108" i="29"/>
  <c r="C108" i="29"/>
  <c r="D108" i="29"/>
  <c r="E108" i="29"/>
  <c r="F108" i="29"/>
  <c r="H108" i="29"/>
  <c r="I108" i="29"/>
  <c r="J108" i="29"/>
  <c r="B109" i="29"/>
  <c r="C109" i="29"/>
  <c r="D109" i="29"/>
  <c r="E109" i="29"/>
  <c r="F109" i="29"/>
  <c r="H109" i="29"/>
  <c r="I109" i="29"/>
  <c r="J109" i="29"/>
  <c r="B110" i="29"/>
  <c r="C110" i="29"/>
  <c r="D110" i="29"/>
  <c r="E110" i="29"/>
  <c r="F110" i="29"/>
  <c r="H110" i="29"/>
  <c r="I110" i="29"/>
  <c r="J110" i="29"/>
  <c r="B111" i="29"/>
  <c r="C111" i="29"/>
  <c r="D111" i="29"/>
  <c r="E111" i="29"/>
  <c r="F111" i="29"/>
  <c r="H111" i="29"/>
  <c r="I111" i="29"/>
  <c r="J111" i="29"/>
  <c r="B112" i="29"/>
  <c r="C112" i="29"/>
  <c r="D112" i="29"/>
  <c r="E112" i="29"/>
  <c r="F112" i="29"/>
  <c r="H112" i="29"/>
  <c r="I112" i="29"/>
  <c r="J112" i="29"/>
  <c r="B113" i="29"/>
  <c r="C113" i="29"/>
  <c r="D113" i="29"/>
  <c r="E113" i="29"/>
  <c r="F113" i="29"/>
  <c r="H113" i="29"/>
  <c r="I113" i="29"/>
  <c r="J113" i="29"/>
  <c r="B114" i="29"/>
  <c r="C114" i="29"/>
  <c r="D114" i="29"/>
  <c r="E114" i="29"/>
  <c r="F114" i="29"/>
  <c r="H114" i="29"/>
  <c r="I114" i="29"/>
  <c r="J114" i="29"/>
  <c r="B115" i="29"/>
  <c r="C115" i="29"/>
  <c r="D115" i="29"/>
  <c r="E115" i="29"/>
  <c r="F115" i="29"/>
  <c r="H115" i="29"/>
  <c r="I115" i="29"/>
  <c r="J115" i="29"/>
  <c r="B116" i="29"/>
  <c r="C116" i="29"/>
  <c r="D116" i="29"/>
  <c r="E116" i="29"/>
  <c r="F116" i="29"/>
  <c r="H116" i="29"/>
  <c r="I116" i="29"/>
  <c r="J116" i="29"/>
  <c r="B117" i="29"/>
  <c r="C117" i="29"/>
  <c r="D117" i="29"/>
  <c r="E117" i="29"/>
  <c r="F117" i="29"/>
  <c r="H117" i="29"/>
  <c r="I117" i="29"/>
  <c r="J117" i="29"/>
  <c r="B118" i="29"/>
  <c r="C118" i="29"/>
  <c r="D118" i="29"/>
  <c r="E118" i="29"/>
  <c r="F118" i="29"/>
  <c r="H118" i="29"/>
  <c r="I118" i="29"/>
  <c r="J118" i="29"/>
  <c r="B119" i="29"/>
  <c r="C119" i="29"/>
  <c r="D119" i="29"/>
  <c r="E119" i="29"/>
  <c r="F119" i="29"/>
  <c r="H119" i="29"/>
  <c r="I119" i="29"/>
  <c r="J119" i="29"/>
  <c r="B120" i="29"/>
  <c r="C120" i="29"/>
  <c r="D120" i="29"/>
  <c r="E120" i="29"/>
  <c r="F120" i="29"/>
  <c r="H120" i="29"/>
  <c r="I120" i="29"/>
  <c r="J120" i="29"/>
  <c r="B121" i="29"/>
  <c r="C121" i="29"/>
  <c r="D121" i="29"/>
  <c r="E121" i="29"/>
  <c r="F121" i="29"/>
  <c r="H121" i="29"/>
  <c r="I121" i="29"/>
  <c r="J121" i="29"/>
  <c r="B122" i="29"/>
  <c r="C122" i="29"/>
  <c r="D122" i="29"/>
  <c r="E122" i="29"/>
  <c r="F122" i="29"/>
  <c r="H122" i="29"/>
  <c r="I122" i="29"/>
  <c r="J122" i="29"/>
  <c r="B123" i="29"/>
  <c r="C123" i="29"/>
  <c r="D123" i="29"/>
  <c r="E123" i="29"/>
  <c r="F123" i="29"/>
  <c r="H123" i="29"/>
  <c r="I123" i="29"/>
  <c r="J123" i="29"/>
  <c r="B124" i="29"/>
  <c r="C124" i="29"/>
  <c r="D124" i="29"/>
  <c r="E124" i="29"/>
  <c r="F124" i="29"/>
  <c r="H124" i="29"/>
  <c r="I124" i="29"/>
  <c r="J124" i="29"/>
  <c r="B125" i="29"/>
  <c r="C125" i="29"/>
  <c r="D125" i="29"/>
  <c r="E125" i="29"/>
  <c r="F125" i="29"/>
  <c r="H125" i="29"/>
  <c r="I125" i="29"/>
  <c r="J125" i="29"/>
  <c r="B126" i="29"/>
  <c r="C126" i="29"/>
  <c r="D126" i="29"/>
  <c r="E126" i="29"/>
  <c r="F126" i="29"/>
  <c r="H126" i="29"/>
  <c r="I126" i="29"/>
  <c r="J126" i="29"/>
  <c r="B127" i="29"/>
  <c r="C127" i="29"/>
  <c r="D127" i="29"/>
  <c r="E127" i="29"/>
  <c r="F127" i="29"/>
  <c r="H127" i="29"/>
  <c r="I127" i="29"/>
  <c r="J127" i="29"/>
  <c r="B128" i="29"/>
  <c r="C128" i="29"/>
  <c r="D128" i="29"/>
  <c r="E128" i="29"/>
  <c r="F128" i="29"/>
  <c r="H128" i="29"/>
  <c r="I128" i="29"/>
  <c r="J128" i="29"/>
  <c r="B129" i="29"/>
  <c r="C129" i="29"/>
  <c r="D129" i="29"/>
  <c r="E129" i="29"/>
  <c r="F129" i="29"/>
  <c r="H129" i="29"/>
  <c r="I129" i="29"/>
  <c r="J129" i="29"/>
  <c r="B130" i="29"/>
  <c r="C130" i="29"/>
  <c r="D130" i="29"/>
  <c r="E130" i="29"/>
  <c r="F130" i="29"/>
  <c r="H130" i="29"/>
  <c r="I130" i="29"/>
  <c r="J130" i="29"/>
  <c r="B131" i="29"/>
  <c r="C131" i="29"/>
  <c r="D131" i="29"/>
  <c r="E131" i="29"/>
  <c r="F131" i="29"/>
  <c r="H131" i="29"/>
  <c r="I131" i="29"/>
  <c r="J131" i="29"/>
  <c r="B132" i="29"/>
  <c r="C132" i="29"/>
  <c r="D132" i="29"/>
  <c r="E132" i="29"/>
  <c r="F132" i="29"/>
  <c r="H132" i="29"/>
  <c r="I132" i="29"/>
  <c r="J132" i="29"/>
  <c r="B133" i="29"/>
  <c r="C133" i="29"/>
  <c r="D133" i="29"/>
  <c r="E133" i="29"/>
  <c r="F133" i="29"/>
  <c r="H133" i="29"/>
  <c r="I133" i="29"/>
  <c r="J133" i="29"/>
  <c r="B134" i="29"/>
  <c r="C134" i="29"/>
  <c r="D134" i="29"/>
  <c r="E134" i="29"/>
  <c r="F134" i="29"/>
  <c r="H134" i="29"/>
  <c r="I134" i="29"/>
  <c r="J134" i="29"/>
  <c r="B135" i="29"/>
  <c r="C135" i="29"/>
  <c r="D135" i="29"/>
  <c r="E135" i="29"/>
  <c r="F135" i="29"/>
  <c r="H135" i="29"/>
  <c r="I135" i="29"/>
  <c r="J135" i="29"/>
  <c r="B136" i="29"/>
  <c r="C136" i="29"/>
  <c r="D136" i="29"/>
  <c r="E136" i="29"/>
  <c r="F136" i="29"/>
  <c r="H136" i="29"/>
  <c r="I136" i="29"/>
  <c r="J136" i="29"/>
  <c r="B137" i="29"/>
  <c r="C137" i="29"/>
  <c r="D137" i="29"/>
  <c r="E137" i="29"/>
  <c r="F137" i="29"/>
  <c r="H137" i="29"/>
  <c r="I137" i="29"/>
  <c r="J137" i="29"/>
  <c r="B138" i="29"/>
  <c r="C138" i="29"/>
  <c r="D138" i="29"/>
  <c r="E138" i="29"/>
  <c r="F138" i="29"/>
  <c r="H138" i="29"/>
  <c r="I138" i="29"/>
  <c r="J138" i="29"/>
  <c r="B139" i="29"/>
  <c r="C139" i="29"/>
  <c r="D139" i="29"/>
  <c r="E139" i="29"/>
  <c r="F139" i="29"/>
  <c r="H139" i="29"/>
  <c r="I139" i="29"/>
  <c r="J139" i="29"/>
  <c r="B140" i="29"/>
  <c r="C140" i="29"/>
  <c r="D140" i="29"/>
  <c r="E140" i="29"/>
  <c r="F140" i="29"/>
  <c r="H140" i="29"/>
  <c r="I140" i="29"/>
  <c r="J140" i="29"/>
  <c r="B141" i="29"/>
  <c r="C141" i="29"/>
  <c r="D141" i="29"/>
  <c r="E141" i="29"/>
  <c r="F141" i="29"/>
  <c r="H141" i="29"/>
  <c r="I141" i="29"/>
  <c r="J141" i="29"/>
  <c r="B142" i="29"/>
  <c r="C142" i="29"/>
  <c r="D142" i="29"/>
  <c r="E142" i="29"/>
  <c r="F142" i="29"/>
  <c r="H142" i="29"/>
  <c r="I142" i="29"/>
  <c r="J142" i="29"/>
  <c r="B143" i="29"/>
  <c r="C143" i="29"/>
  <c r="D143" i="29"/>
  <c r="E143" i="29"/>
  <c r="F143" i="29"/>
  <c r="H143" i="29"/>
  <c r="I143" i="29"/>
  <c r="J143" i="29"/>
  <c r="B144" i="29"/>
  <c r="C144" i="29"/>
  <c r="D144" i="29"/>
  <c r="E144" i="29"/>
  <c r="F144" i="29"/>
  <c r="H144" i="29"/>
  <c r="I144" i="29"/>
  <c r="J144" i="29"/>
  <c r="B145" i="29"/>
  <c r="C145" i="29"/>
  <c r="D145" i="29"/>
  <c r="E145" i="29"/>
  <c r="F145" i="29"/>
  <c r="H145" i="29"/>
  <c r="I145" i="29"/>
  <c r="J145" i="29"/>
  <c r="B146" i="29"/>
  <c r="C146" i="29"/>
  <c r="D146" i="29"/>
  <c r="E146" i="29"/>
  <c r="F146" i="29"/>
  <c r="H146" i="29"/>
  <c r="I146" i="29"/>
  <c r="J146" i="29"/>
  <c r="B147" i="29"/>
  <c r="C147" i="29"/>
  <c r="D147" i="29"/>
  <c r="E147" i="29"/>
  <c r="F147" i="29"/>
  <c r="H147" i="29"/>
  <c r="I147" i="29"/>
  <c r="J147" i="29"/>
  <c r="B148" i="29"/>
  <c r="C148" i="29"/>
  <c r="D148" i="29"/>
  <c r="E148" i="29"/>
  <c r="F148" i="29"/>
  <c r="H148" i="29"/>
  <c r="I148" i="29"/>
  <c r="J148" i="29"/>
  <c r="B149" i="29"/>
  <c r="C149" i="29"/>
  <c r="D149" i="29"/>
  <c r="E149" i="29"/>
  <c r="F149" i="29"/>
  <c r="H149" i="29"/>
  <c r="I149" i="29"/>
  <c r="J149" i="29"/>
  <c r="B150" i="29"/>
  <c r="C150" i="29"/>
  <c r="D150" i="29"/>
  <c r="E150" i="29"/>
  <c r="F150" i="29"/>
  <c r="H150" i="29"/>
  <c r="I150" i="29"/>
  <c r="J150" i="29"/>
  <c r="B151" i="29"/>
  <c r="C151" i="29"/>
  <c r="D151" i="29"/>
  <c r="E151" i="29"/>
  <c r="F151" i="29"/>
  <c r="H151" i="29"/>
  <c r="I151" i="29"/>
  <c r="J151" i="29"/>
  <c r="B152" i="29"/>
  <c r="C152" i="29"/>
  <c r="D152" i="29"/>
  <c r="E152" i="29"/>
  <c r="F152" i="29"/>
  <c r="H152" i="29"/>
  <c r="I152" i="29"/>
  <c r="J152" i="29"/>
  <c r="B153" i="29"/>
  <c r="C153" i="29"/>
  <c r="D153" i="29"/>
  <c r="E153" i="29"/>
  <c r="F153" i="29"/>
  <c r="H153" i="29"/>
  <c r="I153" i="29"/>
  <c r="J153" i="29"/>
  <c r="B154" i="29"/>
  <c r="C154" i="29"/>
  <c r="D154" i="29"/>
  <c r="E154" i="29"/>
  <c r="F154" i="29"/>
  <c r="H154" i="29"/>
  <c r="I154" i="29"/>
  <c r="J154" i="29"/>
  <c r="B155" i="29"/>
  <c r="C155" i="29"/>
  <c r="D155" i="29"/>
  <c r="E155" i="29"/>
  <c r="F155" i="29"/>
  <c r="H155" i="29"/>
  <c r="I155" i="29"/>
  <c r="J155" i="29"/>
  <c r="B156" i="29"/>
  <c r="C156" i="29"/>
  <c r="D156" i="29"/>
  <c r="E156" i="29"/>
  <c r="F156" i="29"/>
  <c r="H156" i="29"/>
  <c r="I156" i="29"/>
  <c r="J156" i="29"/>
  <c r="B157" i="29"/>
  <c r="C157" i="29"/>
  <c r="D157" i="29"/>
  <c r="E157" i="29"/>
  <c r="F157" i="29"/>
  <c r="H157" i="29"/>
  <c r="I157" i="29"/>
  <c r="J157" i="29"/>
  <c r="B158" i="29"/>
  <c r="C158" i="29"/>
  <c r="D158" i="29"/>
  <c r="E158" i="29"/>
  <c r="F158" i="29"/>
  <c r="H158" i="29"/>
  <c r="I158" i="29"/>
  <c r="J158" i="29"/>
  <c r="B159" i="29"/>
  <c r="C159" i="29"/>
  <c r="D159" i="29"/>
  <c r="E159" i="29"/>
  <c r="F159" i="29"/>
  <c r="H159" i="29"/>
  <c r="I159" i="29"/>
  <c r="J159" i="29"/>
  <c r="B160" i="29"/>
  <c r="C160" i="29"/>
  <c r="D160" i="29"/>
  <c r="E160" i="29"/>
  <c r="F160" i="29"/>
  <c r="H160" i="29"/>
  <c r="I160" i="29"/>
  <c r="J160" i="29"/>
  <c r="B161" i="29"/>
  <c r="C161" i="29"/>
  <c r="D161" i="29"/>
  <c r="E161" i="29"/>
  <c r="F161" i="29"/>
  <c r="H161" i="29"/>
  <c r="I161" i="29"/>
  <c r="J161" i="29"/>
  <c r="B162" i="29"/>
  <c r="C162" i="29"/>
  <c r="D162" i="29"/>
  <c r="E162" i="29"/>
  <c r="F162" i="29"/>
  <c r="H162" i="29"/>
  <c r="I162" i="29"/>
  <c r="J162" i="29"/>
  <c r="B163" i="29"/>
  <c r="C163" i="29"/>
  <c r="D163" i="29"/>
  <c r="E163" i="29"/>
  <c r="F163" i="29"/>
  <c r="H163" i="29"/>
  <c r="I163" i="29"/>
  <c r="J163" i="29"/>
  <c r="B164" i="29"/>
  <c r="C164" i="29"/>
  <c r="D164" i="29"/>
  <c r="E164" i="29"/>
  <c r="F164" i="29"/>
  <c r="H164" i="29"/>
  <c r="I164" i="29"/>
  <c r="J164" i="29"/>
  <c r="B165" i="29"/>
  <c r="C165" i="29"/>
  <c r="D165" i="29"/>
  <c r="E165" i="29"/>
  <c r="F165" i="29"/>
  <c r="H165" i="29"/>
  <c r="I165" i="29"/>
  <c r="J165" i="29"/>
  <c r="B166" i="29"/>
  <c r="C166" i="29"/>
  <c r="D166" i="29"/>
  <c r="E166" i="29"/>
  <c r="F166" i="29"/>
  <c r="H166" i="29"/>
  <c r="I166" i="29"/>
  <c r="J166" i="29"/>
  <c r="B167" i="29"/>
  <c r="C167" i="29"/>
  <c r="D167" i="29"/>
  <c r="E167" i="29"/>
  <c r="F167" i="29"/>
  <c r="H167" i="29"/>
  <c r="I167" i="29"/>
  <c r="J167" i="29"/>
  <c r="B168" i="29"/>
  <c r="C168" i="29"/>
  <c r="D168" i="29"/>
  <c r="E168" i="29"/>
  <c r="F168" i="29"/>
  <c r="H168" i="29"/>
  <c r="I168" i="29"/>
  <c r="J168" i="29"/>
  <c r="B169" i="29"/>
  <c r="C169" i="29"/>
  <c r="D169" i="29"/>
  <c r="E169" i="29"/>
  <c r="F169" i="29"/>
  <c r="H169" i="29"/>
  <c r="I169" i="29"/>
  <c r="J169" i="29"/>
  <c r="B170" i="29"/>
  <c r="C170" i="29"/>
  <c r="D170" i="29"/>
  <c r="E170" i="29"/>
  <c r="F170" i="29"/>
  <c r="H170" i="29"/>
  <c r="I170" i="29"/>
  <c r="J170" i="29"/>
  <c r="B171" i="29"/>
  <c r="C171" i="29"/>
  <c r="D171" i="29"/>
  <c r="E171" i="29"/>
  <c r="F171" i="29"/>
  <c r="H171" i="29"/>
  <c r="I171" i="29"/>
  <c r="J171" i="29"/>
  <c r="B172" i="29"/>
  <c r="C172" i="29"/>
  <c r="D172" i="29"/>
  <c r="E172" i="29"/>
  <c r="F172" i="29"/>
  <c r="H172" i="29"/>
  <c r="I172" i="29"/>
  <c r="J172" i="29"/>
  <c r="B173" i="29"/>
  <c r="C173" i="29"/>
  <c r="D173" i="29"/>
  <c r="E173" i="29"/>
  <c r="F173" i="29"/>
  <c r="H173" i="29"/>
  <c r="I173" i="29"/>
  <c r="J173" i="29"/>
  <c r="B174" i="29"/>
  <c r="C174" i="29"/>
  <c r="D174" i="29"/>
  <c r="E174" i="29"/>
  <c r="F174" i="29"/>
  <c r="H174" i="29"/>
  <c r="I174" i="29"/>
  <c r="J174" i="29"/>
  <c r="B175" i="29"/>
  <c r="C175" i="29"/>
  <c r="D175" i="29"/>
  <c r="E175" i="29"/>
  <c r="F175" i="29"/>
  <c r="H175" i="29"/>
  <c r="I175" i="29"/>
  <c r="J175" i="29"/>
  <c r="B176" i="29"/>
  <c r="C176" i="29"/>
  <c r="D176" i="29"/>
  <c r="E176" i="29"/>
  <c r="F176" i="29"/>
  <c r="H176" i="29"/>
  <c r="I176" i="29"/>
  <c r="J176" i="29"/>
  <c r="B177" i="29"/>
  <c r="C177" i="29"/>
  <c r="D177" i="29"/>
  <c r="E177" i="29"/>
  <c r="F177" i="29"/>
  <c r="H177" i="29"/>
  <c r="I177" i="29"/>
  <c r="J177" i="29"/>
  <c r="B178" i="29"/>
  <c r="C178" i="29"/>
  <c r="D178" i="29"/>
  <c r="E178" i="29"/>
  <c r="F178" i="29"/>
  <c r="H178" i="29"/>
  <c r="I178" i="29"/>
  <c r="J178" i="29"/>
  <c r="B179" i="29"/>
  <c r="C179" i="29"/>
  <c r="D179" i="29"/>
  <c r="E179" i="29"/>
  <c r="F179" i="29"/>
  <c r="H179" i="29"/>
  <c r="I179" i="29"/>
  <c r="J179" i="29"/>
  <c r="B180" i="29"/>
  <c r="C180" i="29"/>
  <c r="D180" i="29"/>
  <c r="E180" i="29"/>
  <c r="F180" i="29"/>
  <c r="H180" i="29"/>
  <c r="I180" i="29"/>
  <c r="J180" i="29"/>
  <c r="B181" i="29"/>
  <c r="C181" i="29"/>
  <c r="D181" i="29"/>
  <c r="E181" i="29"/>
  <c r="F181" i="29"/>
  <c r="H181" i="29"/>
  <c r="I181" i="29"/>
  <c r="J181" i="29"/>
  <c r="B182" i="29"/>
  <c r="C182" i="29"/>
  <c r="D182" i="29"/>
  <c r="E182" i="29"/>
  <c r="F182" i="29"/>
  <c r="H182" i="29"/>
  <c r="I182" i="29"/>
  <c r="J182" i="29"/>
  <c r="B183" i="29"/>
  <c r="C183" i="29"/>
  <c r="D183" i="29"/>
  <c r="E183" i="29"/>
  <c r="F183" i="29"/>
  <c r="H183" i="29"/>
  <c r="I183" i="29"/>
  <c r="J183" i="29"/>
  <c r="B184" i="29"/>
  <c r="C184" i="29"/>
  <c r="D184" i="29"/>
  <c r="E184" i="29"/>
  <c r="F184" i="29"/>
  <c r="H184" i="29"/>
  <c r="I184" i="29"/>
  <c r="J184" i="29"/>
  <c r="B185" i="29"/>
  <c r="C185" i="29"/>
  <c r="D185" i="29"/>
  <c r="E185" i="29"/>
  <c r="F185" i="29"/>
  <c r="H185" i="29"/>
  <c r="I185" i="29"/>
  <c r="J185" i="29"/>
  <c r="B186" i="29"/>
  <c r="C186" i="29"/>
  <c r="D186" i="29"/>
  <c r="E186" i="29"/>
  <c r="F186" i="29"/>
  <c r="H186" i="29"/>
  <c r="I186" i="29"/>
  <c r="J186" i="29"/>
  <c r="B187" i="29"/>
  <c r="C187" i="29"/>
  <c r="D187" i="29"/>
  <c r="E187" i="29"/>
  <c r="F187" i="29"/>
  <c r="H187" i="29"/>
  <c r="I187" i="29"/>
  <c r="J187" i="29"/>
  <c r="B188" i="29"/>
  <c r="C188" i="29"/>
  <c r="D188" i="29"/>
  <c r="E188" i="29"/>
  <c r="F188" i="29"/>
  <c r="H188" i="29"/>
  <c r="I188" i="29"/>
  <c r="J188" i="29"/>
  <c r="B189" i="29"/>
  <c r="C189" i="29"/>
  <c r="D189" i="29"/>
  <c r="E189" i="29"/>
  <c r="F189" i="29"/>
  <c r="H189" i="29"/>
  <c r="I189" i="29"/>
  <c r="J189" i="29"/>
  <c r="B190" i="29"/>
  <c r="C190" i="29"/>
  <c r="D190" i="29"/>
  <c r="E190" i="29"/>
  <c r="F190" i="29"/>
  <c r="H190" i="29"/>
  <c r="I190" i="29"/>
  <c r="J190" i="29"/>
  <c r="B191" i="29"/>
  <c r="C191" i="29"/>
  <c r="D191" i="29"/>
  <c r="E191" i="29"/>
  <c r="F191" i="29"/>
  <c r="H191" i="29"/>
  <c r="I191" i="29"/>
  <c r="J191" i="29"/>
  <c r="B192" i="29"/>
  <c r="C192" i="29"/>
  <c r="D192" i="29"/>
  <c r="E192" i="29"/>
  <c r="F192" i="29"/>
  <c r="H192" i="29"/>
  <c r="I192" i="29"/>
  <c r="J192" i="29"/>
  <c r="B193" i="29"/>
  <c r="C193" i="29"/>
  <c r="D193" i="29"/>
  <c r="E193" i="29"/>
  <c r="F193" i="29"/>
  <c r="H193" i="29"/>
  <c r="I193" i="29"/>
  <c r="J193" i="29"/>
  <c r="B194" i="29"/>
  <c r="C194" i="29"/>
  <c r="D194" i="29"/>
  <c r="E194" i="29"/>
  <c r="F194" i="29"/>
  <c r="H194" i="29"/>
  <c r="I194" i="29"/>
  <c r="J194" i="29"/>
  <c r="B195" i="29"/>
  <c r="C195" i="29"/>
  <c r="D195" i="29"/>
  <c r="E195" i="29"/>
  <c r="F195" i="29"/>
  <c r="H195" i="29"/>
  <c r="I195" i="29"/>
  <c r="J195" i="29"/>
  <c r="B196" i="29"/>
  <c r="C196" i="29"/>
  <c r="D196" i="29"/>
  <c r="E196" i="29"/>
  <c r="F196" i="29"/>
  <c r="H196" i="29"/>
  <c r="I196" i="29"/>
  <c r="J196" i="29"/>
  <c r="B197" i="29"/>
  <c r="C197" i="29"/>
  <c r="D197" i="29"/>
  <c r="E197" i="29"/>
  <c r="F197" i="29"/>
  <c r="H197" i="29"/>
  <c r="I197" i="29"/>
  <c r="J197" i="29"/>
  <c r="B198" i="29"/>
  <c r="C198" i="29"/>
  <c r="D198" i="29"/>
  <c r="E198" i="29"/>
  <c r="F198" i="29"/>
  <c r="H198" i="29"/>
  <c r="I198" i="29"/>
  <c r="J198" i="29"/>
  <c r="B199" i="29"/>
  <c r="C199" i="29"/>
  <c r="D199" i="29"/>
  <c r="E199" i="29"/>
  <c r="F199" i="29"/>
  <c r="H199" i="29"/>
  <c r="I199" i="29"/>
  <c r="J199" i="29"/>
  <c r="B200" i="29"/>
  <c r="C200" i="29"/>
  <c r="D200" i="29"/>
  <c r="E200" i="29"/>
  <c r="F200" i="29"/>
  <c r="H200" i="29"/>
  <c r="I200" i="29"/>
  <c r="J200" i="29"/>
  <c r="B201" i="29"/>
  <c r="C201" i="29"/>
  <c r="D201" i="29"/>
  <c r="E201" i="29"/>
  <c r="F201" i="29"/>
  <c r="H201" i="29"/>
  <c r="I201" i="29"/>
  <c r="J201" i="29"/>
  <c r="B202" i="29"/>
  <c r="C202" i="29"/>
  <c r="D202" i="29"/>
  <c r="E202" i="29"/>
  <c r="F202" i="29"/>
  <c r="H202" i="29"/>
  <c r="I202" i="29"/>
  <c r="J202" i="29"/>
  <c r="B203" i="29"/>
  <c r="C203" i="29"/>
  <c r="D203" i="29"/>
  <c r="E203" i="29"/>
  <c r="F203" i="29"/>
  <c r="H203" i="29"/>
  <c r="I203" i="29"/>
  <c r="J203" i="29"/>
  <c r="B204" i="29"/>
  <c r="C204" i="29"/>
  <c r="D204" i="29"/>
  <c r="E204" i="29"/>
  <c r="F204" i="29"/>
  <c r="H204" i="29"/>
  <c r="I204" i="29"/>
  <c r="J204" i="29"/>
  <c r="B205" i="29"/>
  <c r="C205" i="29"/>
  <c r="D205" i="29"/>
  <c r="E205" i="29"/>
  <c r="F205" i="29"/>
  <c r="H205" i="29"/>
  <c r="I205" i="29"/>
  <c r="J205" i="29"/>
  <c r="B206" i="29"/>
  <c r="C206" i="29"/>
  <c r="D206" i="29"/>
  <c r="E206" i="29"/>
  <c r="F206" i="29"/>
  <c r="H206" i="29"/>
  <c r="I206" i="29"/>
  <c r="J206" i="29"/>
  <c r="B207" i="29"/>
  <c r="C207" i="29"/>
  <c r="D207" i="29"/>
  <c r="E207" i="29"/>
  <c r="F207" i="29"/>
  <c r="H207" i="29"/>
  <c r="I207" i="29"/>
  <c r="J207" i="29"/>
  <c r="B208" i="29"/>
  <c r="C208" i="29"/>
  <c r="D208" i="29"/>
  <c r="E208" i="29"/>
  <c r="F208" i="29"/>
  <c r="H208" i="29"/>
  <c r="I208" i="29"/>
  <c r="J208" i="29"/>
  <c r="B209" i="29"/>
  <c r="C209" i="29"/>
  <c r="D209" i="29"/>
  <c r="E209" i="29"/>
  <c r="F209" i="29"/>
  <c r="H209" i="29"/>
  <c r="I209" i="29"/>
  <c r="J209" i="29"/>
  <c r="B210" i="29"/>
  <c r="C210" i="29"/>
  <c r="D210" i="29"/>
  <c r="E210" i="29"/>
  <c r="F210" i="29"/>
  <c r="H210" i="29"/>
  <c r="I210" i="29"/>
  <c r="J210" i="29"/>
  <c r="B211" i="29"/>
  <c r="C211" i="29"/>
  <c r="D211" i="29"/>
  <c r="E211" i="29"/>
  <c r="F211" i="29"/>
  <c r="H211" i="29"/>
  <c r="I211" i="29"/>
  <c r="J211" i="29"/>
  <c r="B212" i="29"/>
  <c r="C212" i="29"/>
  <c r="D212" i="29"/>
  <c r="E212" i="29"/>
  <c r="F212" i="29"/>
  <c r="H212" i="29"/>
  <c r="I212" i="29"/>
  <c r="J212" i="29"/>
  <c r="B213" i="29"/>
  <c r="C213" i="29"/>
  <c r="D213" i="29"/>
  <c r="E213" i="29"/>
  <c r="F213" i="29"/>
  <c r="H213" i="29"/>
  <c r="I213" i="29"/>
  <c r="J213" i="29"/>
  <c r="B214" i="29"/>
  <c r="C214" i="29"/>
  <c r="D214" i="29"/>
  <c r="E214" i="29"/>
  <c r="F214" i="29"/>
  <c r="H214" i="29"/>
  <c r="I214" i="29"/>
  <c r="J214" i="29"/>
  <c r="B215" i="29"/>
  <c r="C215" i="29"/>
  <c r="D215" i="29"/>
  <c r="E215" i="29"/>
  <c r="F215" i="29"/>
  <c r="H215" i="29"/>
  <c r="I215" i="29"/>
  <c r="J215" i="29"/>
  <c r="B216" i="29"/>
  <c r="C216" i="29"/>
  <c r="D216" i="29"/>
  <c r="E216" i="29"/>
  <c r="F216" i="29"/>
  <c r="H216" i="29"/>
  <c r="I216" i="29"/>
  <c r="J216" i="29"/>
  <c r="B217" i="29"/>
  <c r="C217" i="29"/>
  <c r="D217" i="29"/>
  <c r="E217" i="29"/>
  <c r="F217" i="29"/>
  <c r="H217" i="29"/>
  <c r="I217" i="29"/>
  <c r="J217" i="29"/>
  <c r="B218" i="29"/>
  <c r="C218" i="29"/>
  <c r="D218" i="29"/>
  <c r="E218" i="29"/>
  <c r="F218" i="29"/>
  <c r="H218" i="29"/>
  <c r="I218" i="29"/>
  <c r="J218" i="29"/>
  <c r="B219" i="29"/>
  <c r="C219" i="29"/>
  <c r="D219" i="29"/>
  <c r="E219" i="29"/>
  <c r="F219" i="29"/>
  <c r="H219" i="29"/>
  <c r="I219" i="29"/>
  <c r="J219" i="29"/>
  <c r="B220" i="29"/>
  <c r="C220" i="29"/>
  <c r="D220" i="29"/>
  <c r="E220" i="29"/>
  <c r="F220" i="29"/>
  <c r="H220" i="29"/>
  <c r="I220" i="29"/>
  <c r="J220" i="29"/>
  <c r="B221" i="29"/>
  <c r="C221" i="29"/>
  <c r="D221" i="29"/>
  <c r="E221" i="29"/>
  <c r="F221" i="29"/>
  <c r="H221" i="29"/>
  <c r="I221" i="29"/>
  <c r="J221" i="29"/>
  <c r="B222" i="29"/>
  <c r="C222" i="29"/>
  <c r="D222" i="29"/>
  <c r="E222" i="29"/>
  <c r="F222" i="29"/>
  <c r="H222" i="29"/>
  <c r="I222" i="29"/>
  <c r="J222" i="29"/>
  <c r="B223" i="29"/>
  <c r="C223" i="29"/>
  <c r="D223" i="29"/>
  <c r="E223" i="29"/>
  <c r="F223" i="29"/>
  <c r="H223" i="29"/>
  <c r="I223" i="29"/>
  <c r="J223" i="29"/>
  <c r="B224" i="29"/>
  <c r="C224" i="29"/>
  <c r="D224" i="29"/>
  <c r="E224" i="29"/>
  <c r="F224" i="29"/>
  <c r="H224" i="29"/>
  <c r="I224" i="29"/>
  <c r="J224" i="29"/>
  <c r="B225" i="29"/>
  <c r="C225" i="29"/>
  <c r="D225" i="29"/>
  <c r="E225" i="29"/>
  <c r="F225" i="29"/>
  <c r="H225" i="29"/>
  <c r="I225" i="29"/>
  <c r="J225" i="29"/>
  <c r="B226" i="29"/>
  <c r="C226" i="29"/>
  <c r="D226" i="29"/>
  <c r="E226" i="29"/>
  <c r="F226" i="29"/>
  <c r="H226" i="29"/>
  <c r="I226" i="29"/>
  <c r="J226" i="29"/>
  <c r="B227" i="29"/>
  <c r="C227" i="29"/>
  <c r="D227" i="29"/>
  <c r="E227" i="29"/>
  <c r="F227" i="29"/>
  <c r="H227" i="29"/>
  <c r="I227" i="29"/>
  <c r="J227" i="29"/>
  <c r="B228" i="29"/>
  <c r="C228" i="29"/>
  <c r="D228" i="29"/>
  <c r="E228" i="29"/>
  <c r="F228" i="29"/>
  <c r="H228" i="29"/>
  <c r="I228" i="29"/>
  <c r="J228" i="29"/>
  <c r="B229" i="29"/>
  <c r="C229" i="29"/>
  <c r="D229" i="29"/>
  <c r="E229" i="29"/>
  <c r="F229" i="29"/>
  <c r="H229" i="29"/>
  <c r="I229" i="29"/>
  <c r="J229" i="29"/>
  <c r="B230" i="29"/>
  <c r="C230" i="29"/>
  <c r="D230" i="29"/>
  <c r="E230" i="29"/>
  <c r="F230" i="29"/>
  <c r="H230" i="29"/>
  <c r="I230" i="29"/>
  <c r="J230" i="29"/>
  <c r="B231" i="29"/>
  <c r="C231" i="29"/>
  <c r="D231" i="29"/>
  <c r="E231" i="29"/>
  <c r="F231" i="29"/>
  <c r="H231" i="29"/>
  <c r="I231" i="29"/>
  <c r="J231" i="29"/>
  <c r="B232" i="29"/>
  <c r="C232" i="29"/>
  <c r="D232" i="29"/>
  <c r="E232" i="29"/>
  <c r="F232" i="29"/>
  <c r="H232" i="29"/>
  <c r="I232" i="29"/>
  <c r="J232" i="29"/>
  <c r="B233" i="29"/>
  <c r="C233" i="29"/>
  <c r="D233" i="29"/>
  <c r="E233" i="29"/>
  <c r="F233" i="29"/>
  <c r="H233" i="29"/>
  <c r="I233" i="29"/>
  <c r="J233" i="29"/>
  <c r="B234" i="29"/>
  <c r="C234" i="29"/>
  <c r="D234" i="29"/>
  <c r="E234" i="29"/>
  <c r="F234" i="29"/>
  <c r="H234" i="29"/>
  <c r="I234" i="29"/>
  <c r="J234" i="29"/>
  <c r="B235" i="29"/>
  <c r="C235" i="29"/>
  <c r="D235" i="29"/>
  <c r="E235" i="29"/>
  <c r="F235" i="29"/>
  <c r="H235" i="29"/>
  <c r="I235" i="29"/>
  <c r="J235" i="29"/>
  <c r="B236" i="29"/>
  <c r="C236" i="29"/>
  <c r="D236" i="29"/>
  <c r="E236" i="29"/>
  <c r="F236" i="29"/>
  <c r="H236" i="29"/>
  <c r="I236" i="29"/>
  <c r="J236" i="29"/>
  <c r="B237" i="29"/>
  <c r="C237" i="29"/>
  <c r="D237" i="29"/>
  <c r="E237" i="29"/>
  <c r="F237" i="29"/>
  <c r="H237" i="29"/>
  <c r="I237" i="29"/>
  <c r="J237" i="29"/>
  <c r="B238" i="29"/>
  <c r="C238" i="29"/>
  <c r="D238" i="29"/>
  <c r="E238" i="29"/>
  <c r="F238" i="29"/>
  <c r="H238" i="29"/>
  <c r="I238" i="29"/>
  <c r="J238" i="29"/>
  <c r="B239" i="29"/>
  <c r="C239" i="29"/>
  <c r="D239" i="29"/>
  <c r="E239" i="29"/>
  <c r="F239" i="29"/>
  <c r="H239" i="29"/>
  <c r="I239" i="29"/>
  <c r="J239" i="29"/>
  <c r="B240" i="29"/>
  <c r="C240" i="29"/>
  <c r="D240" i="29"/>
  <c r="E240" i="29"/>
  <c r="F240" i="29"/>
  <c r="H240" i="29"/>
  <c r="I240" i="29"/>
  <c r="J240" i="29"/>
  <c r="B241" i="29"/>
  <c r="C241" i="29"/>
  <c r="D241" i="29"/>
  <c r="E241" i="29"/>
  <c r="F241" i="29"/>
  <c r="H241" i="29"/>
  <c r="I241" i="29"/>
  <c r="J241" i="29"/>
  <c r="B242" i="29"/>
  <c r="C242" i="29"/>
  <c r="D242" i="29"/>
  <c r="E242" i="29"/>
  <c r="F242" i="29"/>
  <c r="H242" i="29"/>
  <c r="I242" i="29"/>
  <c r="J242" i="29"/>
  <c r="B243" i="29"/>
  <c r="C243" i="29"/>
  <c r="D243" i="29"/>
  <c r="E243" i="29"/>
  <c r="F243" i="29"/>
  <c r="H243" i="29"/>
  <c r="I243" i="29"/>
  <c r="J243" i="29"/>
  <c r="B244" i="29"/>
  <c r="C244" i="29"/>
  <c r="D244" i="29"/>
  <c r="E244" i="29"/>
  <c r="F244" i="29"/>
  <c r="H244" i="29"/>
  <c r="I244" i="29"/>
  <c r="J244" i="29"/>
  <c r="B245" i="29"/>
  <c r="C245" i="29"/>
  <c r="D245" i="29"/>
  <c r="E245" i="29"/>
  <c r="F245" i="29"/>
  <c r="H245" i="29"/>
  <c r="I245" i="29"/>
  <c r="J245" i="29"/>
  <c r="B246" i="29"/>
  <c r="C246" i="29"/>
  <c r="D246" i="29"/>
  <c r="E246" i="29"/>
  <c r="F246" i="29"/>
  <c r="H246" i="29"/>
  <c r="I246" i="29"/>
  <c r="J246" i="29"/>
  <c r="B247" i="29"/>
  <c r="C247" i="29"/>
  <c r="D247" i="29"/>
  <c r="E247" i="29"/>
  <c r="F247" i="29"/>
  <c r="H247" i="29"/>
  <c r="I247" i="29"/>
  <c r="J247" i="29"/>
  <c r="B248" i="29"/>
  <c r="C248" i="29"/>
  <c r="D248" i="29"/>
  <c r="E248" i="29"/>
  <c r="F248" i="29"/>
  <c r="H248" i="29"/>
  <c r="I248" i="29"/>
  <c r="J248" i="29"/>
  <c r="B249" i="29"/>
  <c r="C249" i="29"/>
  <c r="D249" i="29"/>
  <c r="E249" i="29"/>
  <c r="F249" i="29"/>
  <c r="H249" i="29"/>
  <c r="I249" i="29"/>
  <c r="J249" i="29"/>
  <c r="B250" i="29"/>
  <c r="C250" i="29"/>
  <c r="D250" i="29"/>
  <c r="E250" i="29"/>
  <c r="F250" i="29"/>
  <c r="H250" i="29"/>
  <c r="I250" i="29"/>
  <c r="J250" i="29"/>
  <c r="B251" i="29"/>
  <c r="C251" i="29"/>
  <c r="D251" i="29"/>
  <c r="E251" i="29"/>
  <c r="F251" i="29"/>
  <c r="H251" i="29"/>
  <c r="I251" i="29"/>
  <c r="J251" i="29"/>
  <c r="B252" i="29"/>
  <c r="C252" i="29"/>
  <c r="D252" i="29"/>
  <c r="E252" i="29"/>
  <c r="F252" i="29"/>
  <c r="H252" i="29"/>
  <c r="I252" i="29"/>
  <c r="J252" i="29"/>
  <c r="B253" i="29"/>
  <c r="C253" i="29"/>
  <c r="D253" i="29"/>
  <c r="E253" i="29"/>
  <c r="F253" i="29"/>
  <c r="H253" i="29"/>
  <c r="I253" i="29"/>
  <c r="J253" i="29"/>
  <c r="B254" i="29"/>
  <c r="C254" i="29"/>
  <c r="D254" i="29"/>
  <c r="E254" i="29"/>
  <c r="F254" i="29"/>
  <c r="H254" i="29"/>
  <c r="I254" i="29"/>
  <c r="J254" i="29"/>
  <c r="B255" i="29"/>
  <c r="C255" i="29"/>
  <c r="D255" i="29"/>
  <c r="E255" i="29"/>
  <c r="F255" i="29"/>
  <c r="H255" i="29"/>
  <c r="I255" i="29"/>
  <c r="J255" i="29"/>
  <c r="B256" i="29"/>
  <c r="C256" i="29"/>
  <c r="D256" i="29"/>
  <c r="E256" i="29"/>
  <c r="F256" i="29"/>
  <c r="H256" i="29"/>
  <c r="I256" i="29"/>
  <c r="J256" i="29"/>
  <c r="B257" i="29"/>
  <c r="C257" i="29"/>
  <c r="D257" i="29"/>
  <c r="E257" i="29"/>
  <c r="F257" i="29"/>
  <c r="H257" i="29"/>
  <c r="I257" i="29"/>
  <c r="J257" i="29"/>
  <c r="B258" i="29"/>
  <c r="C258" i="29"/>
  <c r="D258" i="29"/>
  <c r="E258" i="29"/>
  <c r="F258" i="29"/>
  <c r="H258" i="29"/>
  <c r="I258" i="29"/>
  <c r="J258" i="29"/>
  <c r="B259" i="29"/>
  <c r="C259" i="29"/>
  <c r="D259" i="29"/>
  <c r="E259" i="29"/>
  <c r="F259" i="29"/>
  <c r="H259" i="29"/>
  <c r="I259" i="29"/>
  <c r="J259" i="29"/>
  <c r="B260" i="29"/>
  <c r="C260" i="29"/>
  <c r="D260" i="29"/>
  <c r="E260" i="29"/>
  <c r="F260" i="29"/>
  <c r="H260" i="29"/>
  <c r="I260" i="29"/>
  <c r="J260" i="29"/>
  <c r="B261" i="29"/>
  <c r="C261" i="29"/>
  <c r="D261" i="29"/>
  <c r="E261" i="29"/>
  <c r="F261" i="29"/>
  <c r="H261" i="29"/>
  <c r="I261" i="29"/>
  <c r="J261" i="29"/>
  <c r="B262" i="29"/>
  <c r="C262" i="29"/>
  <c r="D262" i="29"/>
  <c r="E262" i="29"/>
  <c r="F262" i="29"/>
  <c r="H262" i="29"/>
  <c r="I262" i="29"/>
  <c r="J262" i="29"/>
  <c r="B263" i="29"/>
  <c r="C263" i="29"/>
  <c r="D263" i="29"/>
  <c r="E263" i="29"/>
  <c r="F263" i="29"/>
  <c r="H263" i="29"/>
  <c r="I263" i="29"/>
  <c r="J263" i="29"/>
  <c r="B264" i="29"/>
  <c r="C264" i="29"/>
  <c r="D264" i="29"/>
  <c r="E264" i="29"/>
  <c r="F264" i="29"/>
  <c r="H264" i="29"/>
  <c r="I264" i="29"/>
  <c r="J264" i="29"/>
  <c r="B265" i="29"/>
  <c r="C265" i="29"/>
  <c r="D265" i="29"/>
  <c r="E265" i="29"/>
  <c r="F265" i="29"/>
  <c r="H265" i="29"/>
  <c r="I265" i="29"/>
  <c r="J265" i="29"/>
  <c r="B266" i="29"/>
  <c r="C266" i="29"/>
  <c r="D266" i="29"/>
  <c r="E266" i="29"/>
  <c r="F266" i="29"/>
  <c r="H266" i="29"/>
  <c r="I266" i="29"/>
  <c r="J266" i="29"/>
  <c r="B267" i="29"/>
  <c r="C267" i="29"/>
  <c r="D267" i="29"/>
  <c r="E267" i="29"/>
  <c r="F267" i="29"/>
  <c r="H267" i="29"/>
  <c r="I267" i="29"/>
  <c r="J267" i="29"/>
  <c r="B268" i="29"/>
  <c r="C268" i="29"/>
  <c r="D268" i="29"/>
  <c r="E268" i="29"/>
  <c r="F268" i="29"/>
  <c r="H268" i="29"/>
  <c r="I268" i="29"/>
  <c r="J268" i="29"/>
  <c r="B269" i="29"/>
  <c r="C269" i="29"/>
  <c r="D269" i="29"/>
  <c r="E269" i="29"/>
  <c r="F269" i="29"/>
  <c r="H269" i="29"/>
  <c r="I269" i="29"/>
  <c r="J269" i="29"/>
  <c r="B270" i="29"/>
  <c r="C270" i="29"/>
  <c r="D270" i="29"/>
  <c r="E270" i="29"/>
  <c r="F270" i="29"/>
  <c r="H270" i="29"/>
  <c r="I270" i="29"/>
  <c r="J270" i="29"/>
  <c r="B271" i="29"/>
  <c r="C271" i="29"/>
  <c r="D271" i="29"/>
  <c r="E271" i="29"/>
  <c r="F271" i="29"/>
  <c r="H271" i="29"/>
  <c r="I271" i="29"/>
  <c r="J271" i="29"/>
  <c r="B272" i="29"/>
  <c r="C272" i="29"/>
  <c r="D272" i="29"/>
  <c r="E272" i="29"/>
  <c r="F272" i="29"/>
  <c r="H272" i="29"/>
  <c r="I272" i="29"/>
  <c r="J272" i="29"/>
  <c r="B273" i="29"/>
  <c r="C273" i="29"/>
  <c r="D273" i="29"/>
  <c r="E273" i="29"/>
  <c r="F273" i="29"/>
  <c r="H273" i="29"/>
  <c r="I273" i="29"/>
  <c r="J273" i="29"/>
  <c r="B274" i="29"/>
  <c r="C274" i="29"/>
  <c r="D274" i="29"/>
  <c r="E274" i="29"/>
  <c r="F274" i="29"/>
  <c r="H274" i="29"/>
  <c r="I274" i="29"/>
  <c r="J274" i="29"/>
  <c r="B275" i="29"/>
  <c r="C275" i="29"/>
  <c r="D275" i="29"/>
  <c r="E275" i="29"/>
  <c r="F275" i="29"/>
  <c r="H275" i="29"/>
  <c r="I275" i="29"/>
  <c r="J275" i="29"/>
  <c r="B276" i="29"/>
  <c r="C276" i="29"/>
  <c r="D276" i="29"/>
  <c r="E276" i="29"/>
  <c r="F276" i="29"/>
  <c r="H276" i="29"/>
  <c r="I276" i="29"/>
  <c r="J276" i="29"/>
  <c r="B277" i="29"/>
  <c r="C277" i="29"/>
  <c r="D277" i="29"/>
  <c r="E277" i="29"/>
  <c r="F277" i="29"/>
  <c r="H277" i="29"/>
  <c r="I277" i="29"/>
  <c r="J277" i="29"/>
  <c r="B278" i="29"/>
  <c r="C278" i="29"/>
  <c r="D278" i="29"/>
  <c r="E278" i="29"/>
  <c r="F278" i="29"/>
  <c r="H278" i="29"/>
  <c r="I278" i="29"/>
  <c r="J278" i="29"/>
  <c r="B279" i="29"/>
  <c r="C279" i="29"/>
  <c r="D279" i="29"/>
  <c r="E279" i="29"/>
  <c r="F279" i="29"/>
  <c r="H279" i="29"/>
  <c r="I279" i="29"/>
  <c r="J279" i="29"/>
  <c r="B280" i="29"/>
  <c r="C280" i="29"/>
  <c r="D280" i="29"/>
  <c r="E280" i="29"/>
  <c r="F280" i="29"/>
  <c r="H280" i="29"/>
  <c r="I280" i="29"/>
  <c r="J280" i="29"/>
  <c r="B281" i="29"/>
  <c r="C281" i="29"/>
  <c r="D281" i="29"/>
  <c r="E281" i="29"/>
  <c r="F281" i="29"/>
  <c r="H281" i="29"/>
  <c r="I281" i="29"/>
  <c r="J281" i="29"/>
  <c r="B282" i="29"/>
  <c r="C282" i="29"/>
  <c r="D282" i="29"/>
  <c r="E282" i="29"/>
  <c r="F282" i="29"/>
  <c r="H282" i="29"/>
  <c r="I282" i="29"/>
  <c r="J282" i="29"/>
  <c r="B283" i="29"/>
  <c r="C283" i="29"/>
  <c r="D283" i="29"/>
  <c r="E283" i="29"/>
  <c r="F283" i="29"/>
  <c r="H283" i="29"/>
  <c r="I283" i="29"/>
  <c r="J283" i="29"/>
  <c r="B284" i="29"/>
  <c r="C284" i="29"/>
  <c r="D284" i="29"/>
  <c r="E284" i="29"/>
  <c r="F284" i="29"/>
  <c r="H284" i="29"/>
  <c r="I284" i="29"/>
  <c r="J284" i="29"/>
  <c r="B285" i="29"/>
  <c r="C285" i="29"/>
  <c r="D285" i="29"/>
  <c r="E285" i="29"/>
  <c r="F285" i="29"/>
  <c r="H285" i="29"/>
  <c r="I285" i="29"/>
  <c r="J285" i="29"/>
  <c r="B286" i="29"/>
  <c r="C286" i="29"/>
  <c r="D286" i="29"/>
  <c r="E286" i="29"/>
  <c r="F286" i="29"/>
  <c r="H286" i="29"/>
  <c r="I286" i="29"/>
  <c r="J286" i="29"/>
  <c r="B287" i="29"/>
  <c r="C287" i="29"/>
  <c r="D287" i="29"/>
  <c r="E287" i="29"/>
  <c r="F287" i="29"/>
  <c r="H287" i="29"/>
  <c r="I287" i="29"/>
  <c r="J287" i="29"/>
  <c r="B288" i="29"/>
  <c r="C288" i="29"/>
  <c r="D288" i="29"/>
  <c r="E288" i="29"/>
  <c r="F288" i="29"/>
  <c r="H288" i="29"/>
  <c r="I288" i="29"/>
  <c r="J288" i="29"/>
  <c r="B289" i="29"/>
  <c r="C289" i="29"/>
  <c r="D289" i="29"/>
  <c r="E289" i="29"/>
  <c r="F289" i="29"/>
  <c r="H289" i="29"/>
  <c r="I289" i="29"/>
  <c r="J289" i="29"/>
  <c r="B290" i="29"/>
  <c r="C290" i="29"/>
  <c r="D290" i="29"/>
  <c r="E290" i="29"/>
  <c r="F290" i="29"/>
  <c r="H290" i="29"/>
  <c r="I290" i="29"/>
  <c r="J290" i="29"/>
  <c r="B291" i="29"/>
  <c r="C291" i="29"/>
  <c r="D291" i="29"/>
  <c r="E291" i="29"/>
  <c r="F291" i="29"/>
  <c r="H291" i="29"/>
  <c r="I291" i="29"/>
  <c r="J291" i="29"/>
  <c r="B292" i="29"/>
  <c r="C292" i="29"/>
  <c r="D292" i="29"/>
  <c r="E292" i="29"/>
  <c r="F292" i="29"/>
  <c r="H292" i="29"/>
  <c r="I292" i="29"/>
  <c r="J292" i="29"/>
  <c r="B293" i="29"/>
  <c r="C293" i="29"/>
  <c r="D293" i="29"/>
  <c r="E293" i="29"/>
  <c r="F293" i="29"/>
  <c r="H293" i="29"/>
  <c r="I293" i="29"/>
  <c r="J293" i="29"/>
  <c r="B294" i="29"/>
  <c r="C294" i="29"/>
  <c r="D294" i="29"/>
  <c r="E294" i="29"/>
  <c r="F294" i="29"/>
  <c r="H294" i="29"/>
  <c r="I294" i="29"/>
  <c r="J294" i="29"/>
  <c r="B295" i="29"/>
  <c r="C295" i="29"/>
  <c r="D295" i="29"/>
  <c r="E295" i="29"/>
  <c r="F295" i="29"/>
  <c r="H295" i="29"/>
  <c r="I295" i="29"/>
  <c r="J295" i="29"/>
  <c r="B296" i="29"/>
  <c r="C296" i="29"/>
  <c r="D296" i="29"/>
  <c r="E296" i="29"/>
  <c r="F296" i="29"/>
  <c r="H296" i="29"/>
  <c r="I296" i="29"/>
  <c r="J296" i="29"/>
  <c r="B297" i="29"/>
  <c r="C297" i="29"/>
  <c r="D297" i="29"/>
  <c r="E297" i="29"/>
  <c r="F297" i="29"/>
  <c r="H297" i="29"/>
  <c r="I297" i="29"/>
  <c r="J297" i="29"/>
  <c r="B298" i="29"/>
  <c r="C298" i="29"/>
  <c r="D298" i="29"/>
  <c r="E298" i="29"/>
  <c r="F298" i="29"/>
  <c r="H298" i="29"/>
  <c r="I298" i="29"/>
  <c r="J298" i="29"/>
  <c r="B299" i="29"/>
  <c r="C299" i="29"/>
  <c r="D299" i="29"/>
  <c r="E299" i="29"/>
  <c r="F299" i="29"/>
  <c r="H299" i="29"/>
  <c r="I299" i="29"/>
  <c r="J299" i="29"/>
  <c r="B300" i="29"/>
  <c r="C300" i="29"/>
  <c r="D300" i="29"/>
  <c r="E300" i="29"/>
  <c r="F300" i="29"/>
  <c r="H300" i="29"/>
  <c r="I300" i="29"/>
  <c r="J300" i="29"/>
  <c r="B301" i="29"/>
  <c r="C301" i="29"/>
  <c r="D301" i="29"/>
  <c r="E301" i="29"/>
  <c r="F301" i="29"/>
  <c r="H301" i="29"/>
  <c r="I301" i="29"/>
  <c r="J301" i="29"/>
  <c r="B302" i="29"/>
  <c r="C302" i="29"/>
  <c r="D302" i="29"/>
  <c r="E302" i="29"/>
  <c r="F302" i="29"/>
  <c r="H302" i="29"/>
  <c r="I302" i="29"/>
  <c r="J302" i="29"/>
  <c r="B303" i="29"/>
  <c r="C303" i="29"/>
  <c r="D303" i="29"/>
  <c r="E303" i="29"/>
  <c r="F303" i="29"/>
  <c r="H303" i="29"/>
  <c r="I303" i="29"/>
  <c r="J303" i="29"/>
  <c r="B304" i="29"/>
  <c r="C304" i="29"/>
  <c r="D304" i="29"/>
  <c r="E304" i="29"/>
  <c r="F304" i="29"/>
  <c r="H304" i="29"/>
  <c r="I304" i="29"/>
  <c r="J304" i="29"/>
  <c r="B305" i="29"/>
  <c r="C305" i="29"/>
  <c r="D305" i="29"/>
  <c r="E305" i="29"/>
  <c r="F305" i="29"/>
  <c r="H305" i="29"/>
  <c r="I305" i="29"/>
  <c r="J305" i="29"/>
  <c r="B306" i="29"/>
  <c r="C306" i="29"/>
  <c r="D306" i="29"/>
  <c r="E306" i="29"/>
  <c r="F306" i="29"/>
  <c r="H306" i="29"/>
  <c r="I306" i="29"/>
  <c r="J306" i="29"/>
  <c r="B307" i="29"/>
  <c r="C307" i="29"/>
  <c r="D307" i="29"/>
  <c r="E307" i="29"/>
  <c r="F307" i="29"/>
  <c r="H307" i="29"/>
  <c r="I307" i="29"/>
  <c r="J307" i="29"/>
  <c r="B308" i="29"/>
  <c r="C308" i="29"/>
  <c r="D308" i="29"/>
  <c r="E308" i="29"/>
  <c r="F308" i="29"/>
  <c r="H308" i="29"/>
  <c r="I308" i="29"/>
  <c r="J308" i="29"/>
  <c r="B309" i="29"/>
  <c r="C309" i="29"/>
  <c r="D309" i="29"/>
  <c r="E309" i="29"/>
  <c r="F309" i="29"/>
  <c r="H309" i="29"/>
  <c r="I309" i="29"/>
  <c r="J309" i="29"/>
  <c r="B310" i="29"/>
  <c r="C310" i="29"/>
  <c r="D310" i="29"/>
  <c r="E310" i="29"/>
  <c r="F310" i="29"/>
  <c r="H310" i="29"/>
  <c r="I310" i="29"/>
  <c r="J310" i="29"/>
  <c r="B311" i="29"/>
  <c r="C311" i="29"/>
  <c r="D311" i="29"/>
  <c r="E311" i="29"/>
  <c r="F311" i="29"/>
  <c r="H311" i="29"/>
  <c r="I311" i="29"/>
  <c r="J311" i="29"/>
  <c r="B312" i="29"/>
  <c r="C312" i="29"/>
  <c r="D312" i="29"/>
  <c r="E312" i="29"/>
  <c r="F312" i="29"/>
  <c r="H312" i="29"/>
  <c r="I312" i="29"/>
  <c r="J312" i="29"/>
  <c r="B313" i="29"/>
  <c r="C313" i="29"/>
  <c r="D313" i="29"/>
  <c r="E313" i="29"/>
  <c r="F313" i="29"/>
  <c r="H313" i="29"/>
  <c r="I313" i="29"/>
  <c r="J313" i="29"/>
  <c r="B314" i="29"/>
  <c r="C314" i="29"/>
  <c r="D314" i="29"/>
  <c r="E314" i="29"/>
  <c r="F314" i="29"/>
  <c r="H314" i="29"/>
  <c r="I314" i="29"/>
  <c r="J314" i="29"/>
  <c r="B315" i="29"/>
  <c r="C315" i="29"/>
  <c r="D315" i="29"/>
  <c r="E315" i="29"/>
  <c r="F315" i="29"/>
  <c r="H315" i="29"/>
  <c r="I315" i="29"/>
  <c r="J315" i="29"/>
  <c r="B316" i="29"/>
  <c r="C316" i="29"/>
  <c r="D316" i="29"/>
  <c r="E316" i="29"/>
  <c r="F316" i="29"/>
  <c r="H316" i="29"/>
  <c r="I316" i="29"/>
  <c r="J316" i="29"/>
  <c r="B317" i="29"/>
  <c r="C317" i="29"/>
  <c r="D317" i="29"/>
  <c r="E317" i="29"/>
  <c r="F317" i="29"/>
  <c r="H317" i="29"/>
  <c r="I317" i="29"/>
  <c r="J317" i="29"/>
  <c r="B318" i="29"/>
  <c r="C318" i="29"/>
  <c r="D318" i="29"/>
  <c r="E318" i="29"/>
  <c r="F318" i="29"/>
  <c r="H318" i="29"/>
  <c r="I318" i="29"/>
  <c r="J318" i="29"/>
  <c r="B319" i="29"/>
  <c r="C319" i="29"/>
  <c r="D319" i="29"/>
  <c r="E319" i="29"/>
  <c r="F319" i="29"/>
  <c r="H319" i="29"/>
  <c r="I319" i="29"/>
  <c r="J319" i="29"/>
  <c r="B320" i="29"/>
  <c r="C320" i="29"/>
  <c r="D320" i="29"/>
  <c r="E320" i="29"/>
  <c r="F320" i="29"/>
  <c r="H320" i="29"/>
  <c r="I320" i="29"/>
  <c r="J320" i="29"/>
  <c r="B321" i="29"/>
  <c r="C321" i="29"/>
  <c r="D321" i="29"/>
  <c r="E321" i="29"/>
  <c r="F321" i="29"/>
  <c r="H321" i="29"/>
  <c r="I321" i="29"/>
  <c r="J321" i="29"/>
  <c r="B322" i="29"/>
  <c r="C322" i="29"/>
  <c r="D322" i="29"/>
  <c r="E322" i="29"/>
  <c r="F322" i="29"/>
  <c r="H322" i="29"/>
  <c r="I322" i="29"/>
  <c r="J322" i="29"/>
  <c r="B323" i="29"/>
  <c r="C323" i="29"/>
  <c r="D323" i="29"/>
  <c r="E323" i="29"/>
  <c r="F323" i="29"/>
  <c r="H323" i="29"/>
  <c r="I323" i="29"/>
  <c r="J323" i="29"/>
  <c r="B324" i="29"/>
  <c r="C324" i="29"/>
  <c r="D324" i="29"/>
  <c r="E324" i="29"/>
  <c r="F324" i="29"/>
  <c r="H324" i="29"/>
  <c r="I324" i="29"/>
  <c r="J324" i="29"/>
  <c r="B325" i="29"/>
  <c r="C325" i="29"/>
  <c r="D325" i="29"/>
  <c r="E325" i="29"/>
  <c r="F325" i="29"/>
  <c r="H325" i="29"/>
  <c r="I325" i="29"/>
  <c r="J325" i="29"/>
  <c r="B326" i="29"/>
  <c r="C326" i="29"/>
  <c r="D326" i="29"/>
  <c r="E326" i="29"/>
  <c r="F326" i="29"/>
  <c r="H326" i="29"/>
  <c r="I326" i="29"/>
  <c r="J326" i="29"/>
  <c r="B327" i="29"/>
  <c r="C327" i="29"/>
  <c r="D327" i="29"/>
  <c r="E327" i="29"/>
  <c r="F327" i="29"/>
  <c r="H327" i="29"/>
  <c r="I327" i="29"/>
  <c r="J327" i="29"/>
  <c r="B328" i="29"/>
  <c r="C328" i="29"/>
  <c r="D328" i="29"/>
  <c r="E328" i="29"/>
  <c r="F328" i="29"/>
  <c r="H328" i="29"/>
  <c r="I328" i="29"/>
  <c r="J328" i="29"/>
  <c r="B329" i="29"/>
  <c r="C329" i="29"/>
  <c r="D329" i="29"/>
  <c r="E329" i="29"/>
  <c r="F329" i="29"/>
  <c r="H329" i="29"/>
  <c r="I329" i="29"/>
  <c r="J329" i="29"/>
  <c r="B330" i="29"/>
  <c r="C330" i="29"/>
  <c r="D330" i="29"/>
  <c r="E330" i="29"/>
  <c r="F330" i="29"/>
  <c r="H330" i="29"/>
  <c r="I330" i="29"/>
  <c r="J330" i="29"/>
  <c r="B331" i="29"/>
  <c r="C331" i="29"/>
  <c r="D331" i="29"/>
  <c r="E331" i="29"/>
  <c r="F331" i="29"/>
  <c r="H331" i="29"/>
  <c r="I331" i="29"/>
  <c r="J331" i="29"/>
  <c r="B332" i="29"/>
  <c r="C332" i="29"/>
  <c r="D332" i="29"/>
  <c r="E332" i="29"/>
  <c r="F332" i="29"/>
  <c r="H332" i="29"/>
  <c r="I332" i="29"/>
  <c r="J332" i="29"/>
  <c r="B333" i="29"/>
  <c r="C333" i="29"/>
  <c r="D333" i="29"/>
  <c r="E333" i="29"/>
  <c r="F333" i="29"/>
  <c r="H333" i="29"/>
  <c r="I333" i="29"/>
  <c r="J333" i="29"/>
  <c r="B334" i="29"/>
  <c r="C334" i="29"/>
  <c r="D334" i="29"/>
  <c r="E334" i="29"/>
  <c r="F334" i="29"/>
  <c r="H334" i="29"/>
  <c r="I334" i="29"/>
  <c r="J334" i="29"/>
  <c r="B335" i="29"/>
  <c r="C335" i="29"/>
  <c r="D335" i="29"/>
  <c r="E335" i="29"/>
  <c r="F335" i="29"/>
  <c r="H335" i="29"/>
  <c r="I335" i="29"/>
  <c r="J335" i="29"/>
  <c r="B336" i="29"/>
  <c r="C336" i="29"/>
  <c r="D336" i="29"/>
  <c r="E336" i="29"/>
  <c r="F336" i="29"/>
  <c r="H336" i="29"/>
  <c r="I336" i="29"/>
  <c r="J336" i="29"/>
  <c r="B337" i="29"/>
  <c r="C337" i="29"/>
  <c r="D337" i="29"/>
  <c r="E337" i="29"/>
  <c r="F337" i="29"/>
  <c r="H337" i="29"/>
  <c r="I337" i="29"/>
  <c r="J337" i="29"/>
  <c r="B338" i="29"/>
  <c r="C338" i="29"/>
  <c r="D338" i="29"/>
  <c r="E338" i="29"/>
  <c r="F338" i="29"/>
  <c r="H338" i="29"/>
  <c r="I338" i="29"/>
  <c r="J338" i="29"/>
  <c r="B339" i="29"/>
  <c r="C339" i="29"/>
  <c r="D339" i="29"/>
  <c r="E339" i="29"/>
  <c r="F339" i="29"/>
  <c r="H339" i="29"/>
  <c r="I339" i="29"/>
  <c r="J339" i="29"/>
  <c r="B340" i="29"/>
  <c r="C340" i="29"/>
  <c r="D340" i="29"/>
  <c r="E340" i="29"/>
  <c r="F340" i="29"/>
  <c r="H340" i="29"/>
  <c r="I340" i="29"/>
  <c r="J340" i="29"/>
  <c r="B341" i="29"/>
  <c r="C341" i="29"/>
  <c r="D341" i="29"/>
  <c r="E341" i="29"/>
  <c r="F341" i="29"/>
  <c r="H341" i="29"/>
  <c r="I341" i="29"/>
  <c r="J341" i="29"/>
  <c r="B342" i="29"/>
  <c r="C342" i="29"/>
  <c r="D342" i="29"/>
  <c r="E342" i="29"/>
  <c r="F342" i="29"/>
  <c r="H342" i="29"/>
  <c r="I342" i="29"/>
  <c r="J342" i="29"/>
  <c r="B343" i="29"/>
  <c r="C343" i="29"/>
  <c r="D343" i="29"/>
  <c r="E343" i="29"/>
  <c r="F343" i="29"/>
  <c r="H343" i="29"/>
  <c r="I343" i="29"/>
  <c r="J343" i="29"/>
  <c r="B344" i="29"/>
  <c r="C344" i="29"/>
  <c r="D344" i="29"/>
  <c r="E344" i="29"/>
  <c r="F344" i="29"/>
  <c r="H344" i="29"/>
  <c r="I344" i="29"/>
  <c r="J344" i="29"/>
  <c r="B345" i="29"/>
  <c r="C345" i="29"/>
  <c r="D345" i="29"/>
  <c r="E345" i="29"/>
  <c r="F345" i="29"/>
  <c r="H345" i="29"/>
  <c r="I345" i="29"/>
  <c r="J345" i="29"/>
  <c r="B346" i="29"/>
  <c r="C346" i="29"/>
  <c r="D346" i="29"/>
  <c r="E346" i="29"/>
  <c r="F346" i="29"/>
  <c r="H346" i="29"/>
  <c r="I346" i="29"/>
  <c r="J346" i="29"/>
  <c r="B347" i="29"/>
  <c r="C347" i="29"/>
  <c r="D347" i="29"/>
  <c r="E347" i="29"/>
  <c r="F347" i="29"/>
  <c r="H347" i="29"/>
  <c r="I347" i="29"/>
  <c r="J347" i="29"/>
  <c r="B348" i="29"/>
  <c r="C348" i="29"/>
  <c r="D348" i="29"/>
  <c r="E348" i="29"/>
  <c r="F348" i="29"/>
  <c r="H348" i="29"/>
  <c r="I348" i="29"/>
  <c r="J348" i="29"/>
  <c r="B349" i="29"/>
  <c r="C349" i="29"/>
  <c r="D349" i="29"/>
  <c r="E349" i="29"/>
  <c r="F349" i="29"/>
  <c r="H349" i="29"/>
  <c r="I349" i="29"/>
  <c r="J349" i="29"/>
  <c r="B350" i="29"/>
  <c r="C350" i="29"/>
  <c r="D350" i="29"/>
  <c r="E350" i="29"/>
  <c r="F350" i="29"/>
  <c r="H350" i="29"/>
  <c r="I350" i="29"/>
  <c r="J350" i="29"/>
  <c r="B351" i="29"/>
  <c r="C351" i="29"/>
  <c r="D351" i="29"/>
  <c r="E351" i="29"/>
  <c r="F351" i="29"/>
  <c r="H351" i="29"/>
  <c r="I351" i="29"/>
  <c r="J351" i="29"/>
  <c r="B352" i="29"/>
  <c r="C352" i="29"/>
  <c r="D352" i="29"/>
  <c r="E352" i="29"/>
  <c r="F352" i="29"/>
  <c r="H352" i="29"/>
  <c r="I352" i="29"/>
  <c r="J352" i="29"/>
  <c r="B353" i="29"/>
  <c r="C353" i="29"/>
  <c r="D353" i="29"/>
  <c r="E353" i="29"/>
  <c r="F353" i="29"/>
  <c r="H353" i="29"/>
  <c r="I353" i="29"/>
  <c r="J353" i="29"/>
  <c r="B354" i="29"/>
  <c r="C354" i="29"/>
  <c r="D354" i="29"/>
  <c r="E354" i="29"/>
  <c r="F354" i="29"/>
  <c r="H354" i="29"/>
  <c r="I354" i="29"/>
  <c r="J354" i="29"/>
  <c r="B355" i="29"/>
  <c r="C355" i="29"/>
  <c r="D355" i="29"/>
  <c r="E355" i="29"/>
  <c r="F355" i="29"/>
  <c r="H355" i="29"/>
  <c r="I355" i="29"/>
  <c r="J355" i="29"/>
  <c r="B356" i="29"/>
  <c r="C356" i="29"/>
  <c r="D356" i="29"/>
  <c r="E356" i="29"/>
  <c r="F356" i="29"/>
  <c r="H356" i="29"/>
  <c r="I356" i="29"/>
  <c r="J356" i="29"/>
  <c r="B357" i="29"/>
  <c r="C357" i="29"/>
  <c r="D357" i="29"/>
  <c r="E357" i="29"/>
  <c r="F357" i="29"/>
  <c r="H357" i="29"/>
  <c r="I357" i="29"/>
  <c r="J357" i="29"/>
  <c r="B358" i="29"/>
  <c r="C358" i="29"/>
  <c r="D358" i="29"/>
  <c r="E358" i="29"/>
  <c r="F358" i="29"/>
  <c r="H358" i="29"/>
  <c r="I358" i="29"/>
  <c r="J358" i="29"/>
  <c r="B359" i="29"/>
  <c r="C359" i="29"/>
  <c r="D359" i="29"/>
  <c r="E359" i="29"/>
  <c r="F359" i="29"/>
  <c r="H359" i="29"/>
  <c r="I359" i="29"/>
  <c r="J359" i="29"/>
  <c r="B360" i="29"/>
  <c r="C360" i="29"/>
  <c r="D360" i="29"/>
  <c r="E360" i="29"/>
  <c r="F360" i="29"/>
  <c r="H360" i="29"/>
  <c r="I360" i="29"/>
  <c r="J360" i="29"/>
  <c r="B361" i="29"/>
  <c r="C361" i="29"/>
  <c r="D361" i="29"/>
  <c r="E361" i="29"/>
  <c r="F361" i="29"/>
  <c r="H361" i="29"/>
  <c r="I361" i="29"/>
  <c r="J361" i="29"/>
  <c r="B362" i="29"/>
  <c r="C362" i="29"/>
  <c r="D362" i="29"/>
  <c r="E362" i="29"/>
  <c r="F362" i="29"/>
  <c r="H362" i="29"/>
  <c r="I362" i="29"/>
  <c r="J362" i="29"/>
  <c r="B363" i="29"/>
  <c r="C363" i="29"/>
  <c r="D363" i="29"/>
  <c r="E363" i="29"/>
  <c r="F363" i="29"/>
  <c r="H363" i="29"/>
  <c r="I363" i="29"/>
  <c r="J363" i="29"/>
  <c r="B364" i="29"/>
  <c r="C364" i="29"/>
  <c r="D364" i="29"/>
  <c r="E364" i="29"/>
  <c r="F364" i="29"/>
  <c r="H364" i="29"/>
  <c r="I364" i="29"/>
  <c r="J364" i="29"/>
  <c r="B365" i="29"/>
  <c r="C365" i="29"/>
  <c r="D365" i="29"/>
  <c r="E365" i="29"/>
  <c r="F365" i="29"/>
  <c r="H365" i="29"/>
  <c r="I365" i="29"/>
  <c r="J365" i="29"/>
  <c r="B366" i="29"/>
  <c r="C366" i="29"/>
  <c r="D366" i="29"/>
  <c r="E366" i="29"/>
  <c r="F366" i="29"/>
  <c r="H366" i="29"/>
  <c r="I366" i="29"/>
  <c r="J366" i="29"/>
  <c r="B367" i="29"/>
  <c r="C367" i="29"/>
  <c r="D367" i="29"/>
  <c r="E367" i="29"/>
  <c r="F367" i="29"/>
  <c r="H367" i="29"/>
  <c r="I367" i="29"/>
  <c r="J367" i="29"/>
  <c r="M4" i="29" l="1"/>
  <c r="M11" i="29"/>
  <c r="M18" i="29"/>
  <c r="M25" i="29"/>
  <c r="M32" i="29"/>
  <c r="M39" i="29"/>
  <c r="M46" i="29"/>
  <c r="M53" i="29"/>
  <c r="M60" i="29"/>
  <c r="M67" i="29"/>
  <c r="M74" i="29"/>
  <c r="M81" i="29"/>
  <c r="M88" i="29"/>
  <c r="M95" i="29"/>
  <c r="M102" i="29"/>
  <c r="M109" i="29"/>
  <c r="M116" i="29"/>
  <c r="M123" i="29"/>
  <c r="M130" i="29"/>
  <c r="M137" i="29"/>
  <c r="M144" i="29"/>
  <c r="M151" i="29"/>
  <c r="M158" i="29"/>
  <c r="M165" i="29"/>
  <c r="M172" i="29"/>
  <c r="M179" i="29"/>
  <c r="M186" i="29"/>
  <c r="M193" i="29"/>
  <c r="M200" i="29"/>
  <c r="M207" i="29"/>
  <c r="M214" i="29"/>
  <c r="M221" i="29"/>
  <c r="M228" i="29"/>
  <c r="M235" i="29"/>
  <c r="M242" i="29"/>
  <c r="M249" i="29"/>
  <c r="M256" i="29"/>
  <c r="M263" i="29"/>
  <c r="M270" i="29"/>
  <c r="M277" i="29"/>
  <c r="M284" i="29"/>
  <c r="M291" i="29"/>
  <c r="M298" i="29"/>
  <c r="M305" i="29"/>
  <c r="M312" i="29"/>
  <c r="M319" i="29"/>
  <c r="M326" i="29"/>
  <c r="M333" i="29"/>
  <c r="M340" i="29"/>
  <c r="M347" i="29"/>
  <c r="M354" i="29"/>
  <c r="M361" i="29"/>
  <c r="M2" i="29"/>
  <c r="M36" i="29"/>
  <c r="M204" i="29"/>
  <c r="M260" i="29"/>
  <c r="M288" i="29"/>
  <c r="M323" i="29"/>
  <c r="M351" i="29"/>
  <c r="M515" i="29"/>
  <c r="M508" i="29"/>
  <c r="M501" i="29"/>
  <c r="M494" i="29"/>
  <c r="M487" i="29"/>
  <c r="M480" i="29"/>
  <c r="M473" i="29"/>
  <c r="M466" i="29"/>
  <c r="M459" i="29"/>
  <c r="M452" i="29"/>
  <c r="M445" i="29"/>
  <c r="M438" i="29"/>
  <c r="M431" i="29"/>
  <c r="M424" i="29"/>
  <c r="M417" i="29"/>
  <c r="M410" i="29"/>
  <c r="M403" i="29"/>
  <c r="M396" i="29"/>
  <c r="M389" i="29"/>
  <c r="M382" i="29"/>
  <c r="M375" i="29"/>
  <c r="M368" i="29"/>
  <c r="M5" i="29"/>
  <c r="M12" i="29"/>
  <c r="M19" i="29"/>
  <c r="M26" i="29"/>
  <c r="M33" i="29"/>
  <c r="M40" i="29"/>
  <c r="M47" i="29"/>
  <c r="M54" i="29"/>
  <c r="M61" i="29"/>
  <c r="M68" i="29"/>
  <c r="M75" i="29"/>
  <c r="M82" i="29"/>
  <c r="M89" i="29"/>
  <c r="M96" i="29"/>
  <c r="M103" i="29"/>
  <c r="M110" i="29"/>
  <c r="M117" i="29"/>
  <c r="M124" i="29"/>
  <c r="M131" i="29"/>
  <c r="M138" i="29"/>
  <c r="M145" i="29"/>
  <c r="M152" i="29"/>
  <c r="M159" i="29"/>
  <c r="M166" i="29"/>
  <c r="M173" i="29"/>
  <c r="M180" i="29"/>
  <c r="M187" i="29"/>
  <c r="M194" i="29"/>
  <c r="M201" i="29"/>
  <c r="M208" i="29"/>
  <c r="M215" i="29"/>
  <c r="M222" i="29"/>
  <c r="M229" i="29"/>
  <c r="M236" i="29"/>
  <c r="M243" i="29"/>
  <c r="M250" i="29"/>
  <c r="M257" i="29"/>
  <c r="M264" i="29"/>
  <c r="M271" i="29"/>
  <c r="M278" i="29"/>
  <c r="M285" i="29"/>
  <c r="M292" i="29"/>
  <c r="M299" i="29"/>
  <c r="M306" i="29"/>
  <c r="M313" i="29"/>
  <c r="M320" i="29"/>
  <c r="M327" i="29"/>
  <c r="M334" i="29"/>
  <c r="M341" i="29"/>
  <c r="M348" i="29"/>
  <c r="M355" i="29"/>
  <c r="M362" i="29"/>
  <c r="M239" i="29"/>
  <c r="M512" i="29"/>
  <c r="M505" i="29"/>
  <c r="M498" i="29"/>
  <c r="M491" i="29"/>
  <c r="M484" i="29"/>
  <c r="M477" i="29"/>
  <c r="M470" i="29"/>
  <c r="M463" i="29"/>
  <c r="M456" i="29"/>
  <c r="M449" i="29"/>
  <c r="M442" i="29"/>
  <c r="M435" i="29"/>
  <c r="M428" i="29"/>
  <c r="M421" i="29"/>
  <c r="M414" i="29"/>
  <c r="M407" i="29"/>
  <c r="M400" i="29"/>
  <c r="M393" i="29"/>
  <c r="M386" i="29"/>
  <c r="M379" i="29"/>
  <c r="M372" i="29"/>
  <c r="M513" i="29"/>
  <c r="M506" i="29"/>
  <c r="M499" i="29"/>
  <c r="M492" i="29"/>
  <c r="M485" i="29"/>
  <c r="M478" i="29"/>
  <c r="M471" i="29"/>
  <c r="M464" i="29"/>
  <c r="M457" i="29"/>
  <c r="M443" i="29"/>
  <c r="M436" i="29"/>
  <c r="M429" i="29"/>
  <c r="M422" i="29"/>
  <c r="M408" i="29"/>
  <c r="M387" i="29"/>
  <c r="M373" i="29"/>
  <c r="M22" i="29"/>
  <c r="M50" i="29"/>
  <c r="M78" i="29"/>
  <c r="M106" i="29"/>
  <c r="M134" i="29"/>
  <c r="M162" i="29"/>
  <c r="M183" i="29"/>
  <c r="M218" i="29"/>
  <c r="M253" i="29"/>
  <c r="M295" i="29"/>
  <c r="M344" i="29"/>
  <c r="M6" i="29"/>
  <c r="M13" i="29"/>
  <c r="M20" i="29"/>
  <c r="M27" i="29"/>
  <c r="M34" i="29"/>
  <c r="M41" i="29"/>
  <c r="M48" i="29"/>
  <c r="M55" i="29"/>
  <c r="M62" i="29"/>
  <c r="M69" i="29"/>
  <c r="M76" i="29"/>
  <c r="M83" i="29"/>
  <c r="M90" i="29"/>
  <c r="M97" i="29"/>
  <c r="M104" i="29"/>
  <c r="M111" i="29"/>
  <c r="M118" i="29"/>
  <c r="M125" i="29"/>
  <c r="M132" i="29"/>
  <c r="M139" i="29"/>
  <c r="M146" i="29"/>
  <c r="M153" i="29"/>
  <c r="M160" i="29"/>
  <c r="M167" i="29"/>
  <c r="M174" i="29"/>
  <c r="M181" i="29"/>
  <c r="M188" i="29"/>
  <c r="M195" i="29"/>
  <c r="M202" i="29"/>
  <c r="M209" i="29"/>
  <c r="M216" i="29"/>
  <c r="M223" i="29"/>
  <c r="M230" i="29"/>
  <c r="M237" i="29"/>
  <c r="M244" i="29"/>
  <c r="M251" i="29"/>
  <c r="M258" i="29"/>
  <c r="M265" i="29"/>
  <c r="M272" i="29"/>
  <c r="M279" i="29"/>
  <c r="M286" i="29"/>
  <c r="M293" i="29"/>
  <c r="M300" i="29"/>
  <c r="M307" i="29"/>
  <c r="M314" i="29"/>
  <c r="M321" i="29"/>
  <c r="M328" i="29"/>
  <c r="M335" i="29"/>
  <c r="M342" i="29"/>
  <c r="M349" i="29"/>
  <c r="M356" i="29"/>
  <c r="M363" i="29"/>
  <c r="M29" i="29"/>
  <c r="M64" i="29"/>
  <c r="M99" i="29"/>
  <c r="M127" i="29"/>
  <c r="M155" i="29"/>
  <c r="M190" i="29"/>
  <c r="M225" i="29"/>
  <c r="M267" i="29"/>
  <c r="M302" i="29"/>
  <c r="M330" i="29"/>
  <c r="M516" i="29"/>
  <c r="M509" i="29"/>
  <c r="M502" i="29"/>
  <c r="M495" i="29"/>
  <c r="M488" i="29"/>
  <c r="M481" i="29"/>
  <c r="M474" i="29"/>
  <c r="M467" i="29"/>
  <c r="M460" i="29"/>
  <c r="M453" i="29"/>
  <c r="M446" i="29"/>
  <c r="M439" i="29"/>
  <c r="M432" i="29"/>
  <c r="M425" i="29"/>
  <c r="M418" i="29"/>
  <c r="M411" i="29"/>
  <c r="M404" i="29"/>
  <c r="M397" i="29"/>
  <c r="M390" i="29"/>
  <c r="M383" i="29"/>
  <c r="M376" i="29"/>
  <c r="M369" i="29"/>
  <c r="M8" i="29"/>
  <c r="M43" i="29"/>
  <c r="M71" i="29"/>
  <c r="M92" i="29"/>
  <c r="M120" i="29"/>
  <c r="M148" i="29"/>
  <c r="M176" i="29"/>
  <c r="M211" i="29"/>
  <c r="M246" i="29"/>
  <c r="M281" i="29"/>
  <c r="M309" i="29"/>
  <c r="M337" i="29"/>
  <c r="M365" i="29"/>
  <c r="M7" i="29"/>
  <c r="M14" i="29"/>
  <c r="M21" i="29"/>
  <c r="M28" i="29"/>
  <c r="M35" i="29"/>
  <c r="M42" i="29"/>
  <c r="M49" i="29"/>
  <c r="M56" i="29"/>
  <c r="M63" i="29"/>
  <c r="M70" i="29"/>
  <c r="M77" i="29"/>
  <c r="M84" i="29"/>
  <c r="M91" i="29"/>
  <c r="M98" i="29"/>
  <c r="M105" i="29"/>
  <c r="M112" i="29"/>
  <c r="M119" i="29"/>
  <c r="M126" i="29"/>
  <c r="M133" i="29"/>
  <c r="M140" i="29"/>
  <c r="M147" i="29"/>
  <c r="M154" i="29"/>
  <c r="M161" i="29"/>
  <c r="M168" i="29"/>
  <c r="M175" i="29"/>
  <c r="M182" i="29"/>
  <c r="M189" i="29"/>
  <c r="M196" i="29"/>
  <c r="M203" i="29"/>
  <c r="M210" i="29"/>
  <c r="M217" i="29"/>
  <c r="M224" i="29"/>
  <c r="M231" i="29"/>
  <c r="M238" i="29"/>
  <c r="M245" i="29"/>
  <c r="M252" i="29"/>
  <c r="M259" i="29"/>
  <c r="M266" i="29"/>
  <c r="M273" i="29"/>
  <c r="M280" i="29"/>
  <c r="M287" i="29"/>
  <c r="M294" i="29"/>
  <c r="M301" i="29"/>
  <c r="M308" i="29"/>
  <c r="M315" i="29"/>
  <c r="M322" i="29"/>
  <c r="M329" i="29"/>
  <c r="M336" i="29"/>
  <c r="M343" i="29"/>
  <c r="M350" i="29"/>
  <c r="M357" i="29"/>
  <c r="M364" i="29"/>
  <c r="M450" i="29"/>
  <c r="M415" i="29"/>
  <c r="M401" i="29"/>
  <c r="M394" i="29"/>
  <c r="M380" i="29"/>
  <c r="M15" i="29"/>
  <c r="M57" i="29"/>
  <c r="M85" i="29"/>
  <c r="M113" i="29"/>
  <c r="M141" i="29"/>
  <c r="M169" i="29"/>
  <c r="M197" i="29"/>
  <c r="M232" i="29"/>
  <c r="M274" i="29"/>
  <c r="M316" i="29"/>
  <c r="M358" i="29"/>
  <c r="M9" i="29"/>
  <c r="M16" i="29"/>
  <c r="M23" i="29"/>
  <c r="M30" i="29"/>
  <c r="M37" i="29"/>
  <c r="M44" i="29"/>
  <c r="M51" i="29"/>
  <c r="M58" i="29"/>
  <c r="M65" i="29"/>
  <c r="M72" i="29"/>
  <c r="M79" i="29"/>
  <c r="M86" i="29"/>
  <c r="M93" i="29"/>
  <c r="M100" i="29"/>
  <c r="M107" i="29"/>
  <c r="M114" i="29"/>
  <c r="M121" i="29"/>
  <c r="M128" i="29"/>
  <c r="M135" i="29"/>
  <c r="M142" i="29"/>
  <c r="M149" i="29"/>
  <c r="M156" i="29"/>
  <c r="M163" i="29"/>
  <c r="M170" i="29"/>
  <c r="M177" i="29"/>
  <c r="M184" i="29"/>
  <c r="M191" i="29"/>
  <c r="M198" i="29"/>
  <c r="M205" i="29"/>
  <c r="M212" i="29"/>
  <c r="M219" i="29"/>
  <c r="M226" i="29"/>
  <c r="M233" i="29"/>
  <c r="M240" i="29"/>
  <c r="M247" i="29"/>
  <c r="M254" i="29"/>
  <c r="M261" i="29"/>
  <c r="M268" i="29"/>
  <c r="M275" i="29"/>
  <c r="M282" i="29"/>
  <c r="M289" i="29"/>
  <c r="M296" i="29"/>
  <c r="M303" i="29"/>
  <c r="M310" i="29"/>
  <c r="M317" i="29"/>
  <c r="M324" i="29"/>
  <c r="M331" i="29"/>
  <c r="M338" i="29"/>
  <c r="M345" i="29"/>
  <c r="M352" i="29"/>
  <c r="M359" i="29"/>
  <c r="M366" i="29"/>
  <c r="M514" i="29"/>
  <c r="M507" i="29"/>
  <c r="M500" i="29"/>
  <c r="M493" i="29"/>
  <c r="M486" i="29"/>
  <c r="M479" i="29"/>
  <c r="M472" i="29"/>
  <c r="M465" i="29"/>
  <c r="M458" i="29"/>
  <c r="M451" i="29"/>
  <c r="M444" i="29"/>
  <c r="M437" i="29"/>
  <c r="M430" i="29"/>
  <c r="M423" i="29"/>
  <c r="M416" i="29"/>
  <c r="M409" i="29"/>
  <c r="M402" i="29"/>
  <c r="M395" i="29"/>
  <c r="M388" i="29"/>
  <c r="M381" i="29"/>
  <c r="M374" i="29"/>
  <c r="M3" i="29"/>
  <c r="M10" i="29"/>
  <c r="M17" i="29"/>
  <c r="M24" i="29"/>
  <c r="M31" i="29"/>
  <c r="M38" i="29"/>
  <c r="M45" i="29"/>
  <c r="M52" i="29"/>
  <c r="M59" i="29"/>
  <c r="M497" i="29"/>
  <c r="M482" i="29"/>
  <c r="M399" i="29"/>
  <c r="M384" i="29"/>
  <c r="M80" i="29"/>
  <c r="M129" i="29"/>
  <c r="M178" i="29"/>
  <c r="M227" i="29"/>
  <c r="M276" i="29"/>
  <c r="M325" i="29"/>
  <c r="M192" i="29"/>
  <c r="M241" i="29"/>
  <c r="M290" i="29"/>
  <c r="M339" i="29"/>
  <c r="M248" i="29"/>
  <c r="M262" i="29"/>
  <c r="M503" i="29"/>
  <c r="M420" i="29"/>
  <c r="M405" i="29"/>
  <c r="M115" i="29"/>
  <c r="M441" i="29"/>
  <c r="M426" i="29"/>
  <c r="M94" i="29"/>
  <c r="M143" i="29"/>
  <c r="M150" i="29"/>
  <c r="M199" i="29"/>
  <c r="M346" i="29"/>
  <c r="M462" i="29"/>
  <c r="M447" i="29"/>
  <c r="M448" i="29"/>
  <c r="M433" i="29"/>
  <c r="M469" i="29"/>
  <c r="M454" i="29"/>
  <c r="M371" i="29"/>
  <c r="M87" i="29"/>
  <c r="M136" i="29"/>
  <c r="M185" i="29"/>
  <c r="M234" i="29"/>
  <c r="M283" i="29"/>
  <c r="M332" i="29"/>
  <c r="M490" i="29"/>
  <c r="M475" i="29"/>
  <c r="M392" i="29"/>
  <c r="M377" i="29"/>
  <c r="M511" i="29"/>
  <c r="M496" i="29"/>
  <c r="M413" i="29"/>
  <c r="M398" i="29"/>
  <c r="M101" i="29"/>
  <c r="M297" i="29"/>
  <c r="M434" i="29"/>
  <c r="M419" i="29"/>
  <c r="M455" i="29"/>
  <c r="M440" i="29"/>
  <c r="M66" i="29"/>
  <c r="M164" i="29"/>
  <c r="M213" i="29"/>
  <c r="M311" i="29"/>
  <c r="M360" i="29"/>
  <c r="M476" i="29"/>
  <c r="M461" i="29"/>
  <c r="M378" i="29"/>
  <c r="M483" i="29"/>
  <c r="M468" i="29"/>
  <c r="M385" i="29"/>
  <c r="M370" i="29"/>
  <c r="M108" i="29"/>
  <c r="M157" i="29"/>
  <c r="M206" i="29"/>
  <c r="M255" i="29"/>
  <c r="M304" i="29"/>
  <c r="M353" i="29"/>
  <c r="M269" i="29"/>
  <c r="M318" i="29"/>
  <c r="M367" i="29"/>
  <c r="M504" i="29"/>
  <c r="M489" i="29"/>
  <c r="M406" i="29"/>
  <c r="M391" i="29"/>
  <c r="M510" i="29"/>
  <c r="M427" i="29"/>
  <c r="M412" i="29"/>
  <c r="M73" i="29"/>
  <c r="M122" i="29"/>
  <c r="M171" i="29"/>
  <c r="M220" i="29"/>
  <c r="K14" i="26"/>
  <c r="K1" i="26"/>
  <c r="J8" i="26"/>
  <c r="J1" i="26"/>
  <c r="L42" i="26"/>
  <c r="H30" i="26"/>
  <c r="A28" i="26"/>
  <c r="A27" i="26"/>
  <c r="D26" i="26"/>
  <c r="A26" i="26"/>
  <c r="A25" i="26"/>
  <c r="R20" i="26"/>
  <c r="Q20" i="26"/>
  <c r="P20" i="26"/>
  <c r="O20" i="26"/>
  <c r="N20" i="26"/>
  <c r="M20" i="26"/>
  <c r="K20" i="26"/>
  <c r="R19" i="26"/>
  <c r="R48" i="26" s="1"/>
  <c r="Q19" i="26"/>
  <c r="Q48" i="26" s="1"/>
  <c r="P19" i="26"/>
  <c r="P48" i="26" s="1"/>
  <c r="O19" i="26"/>
  <c r="O48" i="26" s="1"/>
  <c r="N19" i="26"/>
  <c r="N48" i="26" s="1"/>
  <c r="M19" i="26"/>
  <c r="M38" i="26" s="1"/>
  <c r="L19" i="26"/>
  <c r="L48" i="26" s="1"/>
  <c r="K19" i="26"/>
  <c r="K48" i="26" s="1"/>
  <c r="J19" i="26"/>
  <c r="J17" i="26"/>
  <c r="R16" i="26"/>
  <c r="R47" i="26" s="1"/>
  <c r="Q16" i="26"/>
  <c r="Q47" i="26" s="1"/>
  <c r="P16" i="26"/>
  <c r="P47" i="26" s="1"/>
  <c r="K16" i="26"/>
  <c r="K47" i="26" s="1"/>
  <c r="J16" i="26"/>
  <c r="J47" i="26" s="1"/>
  <c r="R14" i="26"/>
  <c r="Q14" i="26"/>
  <c r="P14" i="26"/>
  <c r="O14" i="26"/>
  <c r="N14" i="26"/>
  <c r="M14" i="26"/>
  <c r="J14" i="26"/>
  <c r="R13" i="26"/>
  <c r="E28" i="26" s="1"/>
  <c r="K13" i="26"/>
  <c r="E21" i="26" s="1"/>
  <c r="R12" i="26"/>
  <c r="D28" i="26" s="1"/>
  <c r="Q12" i="26"/>
  <c r="D27" i="26" s="1"/>
  <c r="P12" i="26"/>
  <c r="O12" i="26"/>
  <c r="D25" i="26" s="1"/>
  <c r="K12" i="26"/>
  <c r="D21" i="26" s="1"/>
  <c r="J12" i="26"/>
  <c r="D20" i="26" s="1"/>
  <c r="R11" i="26"/>
  <c r="C28" i="26" s="1"/>
  <c r="Q11" i="26"/>
  <c r="C27" i="26" s="1"/>
  <c r="P11" i="26"/>
  <c r="C26" i="26" s="1"/>
  <c r="O11" i="26"/>
  <c r="C25" i="26" s="1"/>
  <c r="N11" i="26"/>
  <c r="C24" i="26" s="1"/>
  <c r="M11" i="26"/>
  <c r="C23" i="26" s="1"/>
  <c r="L11" i="26"/>
  <c r="C22" i="26" s="1"/>
  <c r="K11" i="26"/>
  <c r="C21" i="26" s="1"/>
  <c r="J11" i="26"/>
  <c r="C20" i="26" s="1"/>
  <c r="Z10" i="26"/>
  <c r="K10" i="26"/>
  <c r="B21" i="26" s="1"/>
  <c r="J10" i="26"/>
  <c r="J46" i="26" s="1"/>
  <c r="Z9" i="26"/>
  <c r="AA9" i="26" s="1"/>
  <c r="R8" i="26"/>
  <c r="K8" i="26"/>
  <c r="Z7" i="26"/>
  <c r="R7" i="26"/>
  <c r="Q7" i="26"/>
  <c r="R6" i="26"/>
  <c r="R45" i="26" s="1"/>
  <c r="Q6" i="26"/>
  <c r="Q45" i="26" s="1"/>
  <c r="P6" i="26"/>
  <c r="P45" i="26" s="1"/>
  <c r="O6" i="26"/>
  <c r="O35" i="26" s="1"/>
  <c r="N6" i="26"/>
  <c r="N45" i="26" s="1"/>
  <c r="M6" i="26"/>
  <c r="M45" i="26" s="1"/>
  <c r="L6" i="26"/>
  <c r="L45" i="26" s="1"/>
  <c r="K6" i="26"/>
  <c r="K45" i="26" s="1"/>
  <c r="Z5" i="26"/>
  <c r="R2" i="26"/>
  <c r="R17" i="26" s="1"/>
  <c r="Q2" i="26"/>
  <c r="Q13" i="26" s="1"/>
  <c r="E27" i="26" s="1"/>
  <c r="P2" i="26"/>
  <c r="P7" i="26" s="1"/>
  <c r="O2" i="26"/>
  <c r="O16" i="26" s="1"/>
  <c r="O47" i="26" s="1"/>
  <c r="N2" i="26"/>
  <c r="N12" i="26" s="1"/>
  <c r="D24" i="26" s="1"/>
  <c r="M2" i="26"/>
  <c r="M12" i="26" s="1"/>
  <c r="D23" i="26" s="1"/>
  <c r="L2" i="26"/>
  <c r="L20" i="26" s="1"/>
  <c r="J1" i="2"/>
  <c r="K1" i="10"/>
  <c r="K1" i="9"/>
  <c r="K1" i="2"/>
  <c r="J1" i="10"/>
  <c r="J1" i="9"/>
  <c r="J6" i="10"/>
  <c r="J6" i="9"/>
  <c r="J6" i="2"/>
  <c r="B21" i="17"/>
  <c r="B22" i="17"/>
  <c r="B23" i="17"/>
  <c r="B24" i="17"/>
  <c r="B25" i="17"/>
  <c r="B26" i="17"/>
  <c r="B27" i="17"/>
  <c r="B28" i="17"/>
  <c r="P14" i="17" l="1"/>
  <c r="P16" i="17"/>
  <c r="P17" i="17"/>
  <c r="P28" i="17"/>
  <c r="P21" i="17"/>
  <c r="P13" i="17"/>
  <c r="P18" i="17"/>
  <c r="P19" i="17"/>
  <c r="P25" i="17"/>
  <c r="P12" i="17"/>
  <c r="P27" i="17"/>
  <c r="P20" i="17"/>
  <c r="P11" i="17"/>
  <c r="I48" i="26"/>
  <c r="J48" i="26"/>
  <c r="K17" i="26"/>
  <c r="K7" i="26"/>
  <c r="J13" i="26"/>
  <c r="J20" i="26"/>
  <c r="J7" i="26"/>
  <c r="J6" i="26"/>
  <c r="K46" i="26"/>
  <c r="L14" i="26"/>
  <c r="L10" i="26"/>
  <c r="L8" i="26"/>
  <c r="M10" i="26"/>
  <c r="L17" i="26"/>
  <c r="M8" i="26"/>
  <c r="N10" i="26"/>
  <c r="L13" i="26"/>
  <c r="M17" i="26"/>
  <c r="O45" i="26"/>
  <c r="L7" i="26"/>
  <c r="P8" i="26"/>
  <c r="Q10" i="26"/>
  <c r="O13" i="26"/>
  <c r="P17" i="26"/>
  <c r="M7" i="26"/>
  <c r="Q8" i="26"/>
  <c r="R10" i="26"/>
  <c r="P13" i="26"/>
  <c r="L16" i="26"/>
  <c r="Q17" i="26"/>
  <c r="M13" i="26"/>
  <c r="N17" i="26"/>
  <c r="B20" i="26"/>
  <c r="O8" i="26"/>
  <c r="I47" i="26"/>
  <c r="N7" i="26"/>
  <c r="L12" i="26"/>
  <c r="M16" i="26"/>
  <c r="J36" i="26"/>
  <c r="N8" i="26"/>
  <c r="O10" i="26"/>
  <c r="P10" i="26"/>
  <c r="N13" i="26"/>
  <c r="O17" i="26"/>
  <c r="M48" i="26"/>
  <c r="O7" i="26"/>
  <c r="N16" i="26"/>
  <c r="I46" i="26"/>
  <c r="B2" i="21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B3" i="17"/>
  <c r="B4" i="17"/>
  <c r="B5" i="17"/>
  <c r="B6" i="17"/>
  <c r="B7" i="17"/>
  <c r="B8" i="17"/>
  <c r="B11" i="17"/>
  <c r="B10" i="17"/>
  <c r="B14" i="17"/>
  <c r="B15" i="17"/>
  <c r="B16" i="17"/>
  <c r="B17" i="17"/>
  <c r="B18" i="17"/>
  <c r="B19" i="17"/>
  <c r="B20" i="17"/>
  <c r="B2" i="17"/>
  <c r="H3" i="17"/>
  <c r="I3" i="17"/>
  <c r="J3" i="17"/>
  <c r="H4" i="17"/>
  <c r="I4" i="17"/>
  <c r="J4" i="17"/>
  <c r="H5" i="17"/>
  <c r="I5" i="17"/>
  <c r="J5" i="17"/>
  <c r="H6" i="17"/>
  <c r="I6" i="17"/>
  <c r="J6" i="17"/>
  <c r="H7" i="17"/>
  <c r="I7" i="17"/>
  <c r="J7" i="17"/>
  <c r="H8" i="17"/>
  <c r="I8" i="17"/>
  <c r="J8" i="17"/>
  <c r="H9" i="17"/>
  <c r="I9" i="17"/>
  <c r="J9" i="17"/>
  <c r="H10" i="17"/>
  <c r="I10" i="17"/>
  <c r="J10" i="17"/>
  <c r="H11" i="17"/>
  <c r="I11" i="17"/>
  <c r="J11" i="17"/>
  <c r="H12" i="17"/>
  <c r="I12" i="17"/>
  <c r="J12" i="17"/>
  <c r="H13" i="17"/>
  <c r="I13" i="17"/>
  <c r="J13" i="17"/>
  <c r="H14" i="17"/>
  <c r="I14" i="17"/>
  <c r="J14" i="17"/>
  <c r="H15" i="17"/>
  <c r="I15" i="17"/>
  <c r="J15" i="17"/>
  <c r="H16" i="17"/>
  <c r="I16" i="17"/>
  <c r="J16" i="17"/>
  <c r="H17" i="17"/>
  <c r="I17" i="17"/>
  <c r="J17" i="17"/>
  <c r="H18" i="17"/>
  <c r="I18" i="17"/>
  <c r="J18" i="17"/>
  <c r="H19" i="17"/>
  <c r="I19" i="17"/>
  <c r="J19" i="17"/>
  <c r="H20" i="17"/>
  <c r="I20" i="17"/>
  <c r="J20" i="17"/>
  <c r="H21" i="17"/>
  <c r="I21" i="17"/>
  <c r="J21" i="17"/>
  <c r="H22" i="17"/>
  <c r="I22" i="17"/>
  <c r="J22" i="17"/>
  <c r="H23" i="17"/>
  <c r="I23" i="17"/>
  <c r="J23" i="17"/>
  <c r="H24" i="17"/>
  <c r="I24" i="17"/>
  <c r="J24" i="17"/>
  <c r="H25" i="17"/>
  <c r="I25" i="17"/>
  <c r="J25" i="17"/>
  <c r="H26" i="17"/>
  <c r="I26" i="17"/>
  <c r="J26" i="17"/>
  <c r="H27" i="17"/>
  <c r="I27" i="17"/>
  <c r="J27" i="17"/>
  <c r="H28" i="17"/>
  <c r="I28" i="17"/>
  <c r="J28" i="17"/>
  <c r="J2" i="17"/>
  <c r="I2" i="17"/>
  <c r="H2" i="17"/>
  <c r="C3" i="17"/>
  <c r="D3" i="17"/>
  <c r="E3" i="17"/>
  <c r="F3" i="17"/>
  <c r="C4" i="17"/>
  <c r="D4" i="17"/>
  <c r="E4" i="17"/>
  <c r="F4" i="17"/>
  <c r="C5" i="17"/>
  <c r="D5" i="17"/>
  <c r="E5" i="17"/>
  <c r="F5" i="17"/>
  <c r="C6" i="17"/>
  <c r="D6" i="17"/>
  <c r="E6" i="17"/>
  <c r="F6" i="17"/>
  <c r="C7" i="17"/>
  <c r="D7" i="17"/>
  <c r="E7" i="17"/>
  <c r="F7" i="17"/>
  <c r="C8" i="17"/>
  <c r="D8" i="17"/>
  <c r="E8" i="17"/>
  <c r="F8" i="17"/>
  <c r="C9" i="17"/>
  <c r="D9" i="17"/>
  <c r="E9" i="17"/>
  <c r="F9" i="17"/>
  <c r="C10" i="17"/>
  <c r="D10" i="17"/>
  <c r="E10" i="17"/>
  <c r="F10" i="17"/>
  <c r="C11" i="17"/>
  <c r="D11" i="17"/>
  <c r="E11" i="17"/>
  <c r="F11" i="17"/>
  <c r="C12" i="17"/>
  <c r="D12" i="17"/>
  <c r="E12" i="17"/>
  <c r="F12" i="17"/>
  <c r="C13" i="17"/>
  <c r="D13" i="17"/>
  <c r="E13" i="17"/>
  <c r="F13" i="17"/>
  <c r="C14" i="17"/>
  <c r="D14" i="17"/>
  <c r="E14" i="17"/>
  <c r="F14" i="17"/>
  <c r="C15" i="17"/>
  <c r="D15" i="17"/>
  <c r="E15" i="17"/>
  <c r="F15" i="17"/>
  <c r="C16" i="17"/>
  <c r="D16" i="17"/>
  <c r="E16" i="17"/>
  <c r="F16" i="17"/>
  <c r="C17" i="17"/>
  <c r="D17" i="17"/>
  <c r="E17" i="17"/>
  <c r="F17" i="17"/>
  <c r="C18" i="17"/>
  <c r="D18" i="17"/>
  <c r="E18" i="17"/>
  <c r="F18" i="17"/>
  <c r="C19" i="17"/>
  <c r="D19" i="17"/>
  <c r="E19" i="17"/>
  <c r="F19" i="17"/>
  <c r="C20" i="17"/>
  <c r="D20" i="17"/>
  <c r="E20" i="17"/>
  <c r="F20" i="17"/>
  <c r="C21" i="17"/>
  <c r="D21" i="17"/>
  <c r="E21" i="17"/>
  <c r="F21" i="17"/>
  <c r="C22" i="17"/>
  <c r="D22" i="17"/>
  <c r="E22" i="17"/>
  <c r="F22" i="17"/>
  <c r="C23" i="17"/>
  <c r="D23" i="17"/>
  <c r="E23" i="17"/>
  <c r="F23" i="17"/>
  <c r="C24" i="17"/>
  <c r="D24" i="17"/>
  <c r="E24" i="17"/>
  <c r="F24" i="17"/>
  <c r="C25" i="17"/>
  <c r="D25" i="17"/>
  <c r="E25" i="17"/>
  <c r="F25" i="17"/>
  <c r="C26" i="17"/>
  <c r="D26" i="17"/>
  <c r="E26" i="17"/>
  <c r="F26" i="17"/>
  <c r="C27" i="17"/>
  <c r="D27" i="17"/>
  <c r="E27" i="17"/>
  <c r="F27" i="17"/>
  <c r="C28" i="17"/>
  <c r="D28" i="17"/>
  <c r="E28" i="17"/>
  <c r="F28" i="17"/>
  <c r="F2" i="17"/>
  <c r="E2" i="17"/>
  <c r="D2" i="17"/>
  <c r="C2" i="17"/>
  <c r="AB5" i="14"/>
  <c r="AN5" i="14" s="1"/>
  <c r="AZ5" i="14" s="1" a="1"/>
  <c r="AC5" i="14"/>
  <c r="AO5" i="14" s="1"/>
  <c r="BA5" i="14" s="1" a="1"/>
  <c r="AD5" i="14"/>
  <c r="AP5" i="14" s="1"/>
  <c r="BB5" i="14" s="1" a="1"/>
  <c r="AE5" i="14"/>
  <c r="AQ5" i="14" s="1"/>
  <c r="BC5" i="14" s="1" a="1"/>
  <c r="AF5" i="14"/>
  <c r="AR5" i="14" s="1"/>
  <c r="BD5" i="14" s="1" a="1"/>
  <c r="AG5" i="14"/>
  <c r="AS5" i="14" s="1"/>
  <c r="BE5" i="14" s="1" a="1"/>
  <c r="AH5" i="14"/>
  <c r="AT5" i="14" s="1"/>
  <c r="BF5" i="14" s="1" a="1"/>
  <c r="AI5" i="14"/>
  <c r="AU5" i="14" s="1"/>
  <c r="BG5" i="14" s="1" a="1"/>
  <c r="AJ5" i="14"/>
  <c r="AV5" i="14" s="1"/>
  <c r="BH5" i="14" s="1" a="1"/>
  <c r="AK5" i="14"/>
  <c r="AW5" i="14" s="1"/>
  <c r="BI5" i="14" s="1" a="1"/>
  <c r="AL5" i="14"/>
  <c r="AX5" i="14" s="1"/>
  <c r="BJ5" i="14" s="1" a="1"/>
  <c r="AM5" i="14"/>
  <c r="AY5" i="14" s="1"/>
  <c r="BK5" i="14" s="1" a="1"/>
  <c r="AB6" i="14"/>
  <c r="AN6" i="14" s="1"/>
  <c r="AZ6" i="14" s="1" a="1"/>
  <c r="AC6" i="14"/>
  <c r="AO6" i="14" s="1"/>
  <c r="BA6" i="14" s="1" a="1"/>
  <c r="AD6" i="14"/>
  <c r="AP6" i="14" s="1"/>
  <c r="BB6" i="14" s="1" a="1"/>
  <c r="AE6" i="14"/>
  <c r="AQ6" i="14" s="1"/>
  <c r="BC6" i="14" s="1" a="1"/>
  <c r="AF6" i="14"/>
  <c r="AR6" i="14" s="1"/>
  <c r="BD6" i="14" s="1" a="1"/>
  <c r="AG6" i="14"/>
  <c r="AS6" i="14" s="1"/>
  <c r="BE6" i="14" s="1" a="1"/>
  <c r="AH6" i="14"/>
  <c r="AT6" i="14" s="1"/>
  <c r="BF6" i="14" s="1" a="1"/>
  <c r="AI6" i="14"/>
  <c r="AU6" i="14" s="1"/>
  <c r="BG6" i="14" s="1" a="1"/>
  <c r="AJ6" i="14"/>
  <c r="AV6" i="14" s="1"/>
  <c r="BH6" i="14" s="1" a="1"/>
  <c r="AK6" i="14"/>
  <c r="AW6" i="14" s="1"/>
  <c r="BI6" i="14" s="1" a="1"/>
  <c r="AL6" i="14"/>
  <c r="AX6" i="14" s="1"/>
  <c r="BJ6" i="14" s="1" a="1"/>
  <c r="AM6" i="14"/>
  <c r="AY6" i="14" s="1"/>
  <c r="BK6" i="14" s="1" a="1"/>
  <c r="AB7" i="14"/>
  <c r="AN7" i="14" s="1"/>
  <c r="AZ7" i="14" s="1" a="1"/>
  <c r="AC7" i="14"/>
  <c r="AO7" i="14" s="1"/>
  <c r="BA7" i="14" s="1" a="1"/>
  <c r="AD7" i="14"/>
  <c r="AP7" i="14" s="1"/>
  <c r="BB7" i="14" s="1" a="1"/>
  <c r="AE7" i="14"/>
  <c r="AQ7" i="14" s="1"/>
  <c r="BC7" i="14" s="1" a="1"/>
  <c r="AF7" i="14"/>
  <c r="AR7" i="14" s="1"/>
  <c r="BD7" i="14" s="1" a="1"/>
  <c r="AG7" i="14"/>
  <c r="AS7" i="14" s="1"/>
  <c r="BE7" i="14" s="1" a="1"/>
  <c r="AH7" i="14"/>
  <c r="AT7" i="14" s="1"/>
  <c r="BF7" i="14" s="1" a="1"/>
  <c r="AI7" i="14"/>
  <c r="AU7" i="14" s="1"/>
  <c r="BG7" i="14" s="1" a="1"/>
  <c r="AJ7" i="14"/>
  <c r="AV7" i="14" s="1"/>
  <c r="BH7" i="14" s="1" a="1"/>
  <c r="AK7" i="14"/>
  <c r="AW7" i="14" s="1"/>
  <c r="BI7" i="14" s="1" a="1"/>
  <c r="AL7" i="14"/>
  <c r="AX7" i="14" s="1"/>
  <c r="BJ7" i="14" s="1" a="1"/>
  <c r="AM7" i="14"/>
  <c r="AY7" i="14" s="1"/>
  <c r="BK7" i="14" s="1" a="1"/>
  <c r="AB8" i="14"/>
  <c r="AN8" i="14" s="1"/>
  <c r="AZ8" i="14" s="1" a="1"/>
  <c r="AC8" i="14"/>
  <c r="AO8" i="14" s="1"/>
  <c r="BA8" i="14" s="1" a="1"/>
  <c r="AD8" i="14"/>
  <c r="AP8" i="14" s="1"/>
  <c r="BB8" i="14" s="1" a="1"/>
  <c r="AE8" i="14"/>
  <c r="AQ8" i="14" s="1"/>
  <c r="BC8" i="14" s="1" a="1"/>
  <c r="AF8" i="14"/>
  <c r="AR8" i="14" s="1"/>
  <c r="BD8" i="14" s="1" a="1"/>
  <c r="AG8" i="14"/>
  <c r="AS8" i="14" s="1"/>
  <c r="BE8" i="14" s="1" a="1"/>
  <c r="AH8" i="14"/>
  <c r="AT8" i="14" s="1"/>
  <c r="BF8" i="14" s="1" a="1"/>
  <c r="AI8" i="14"/>
  <c r="AU8" i="14" s="1"/>
  <c r="BG8" i="14" s="1" a="1"/>
  <c r="AJ8" i="14"/>
  <c r="AV8" i="14" s="1"/>
  <c r="BH8" i="14" s="1" a="1"/>
  <c r="AK8" i="14"/>
  <c r="AW8" i="14" s="1"/>
  <c r="BI8" i="14" s="1" a="1"/>
  <c r="AL8" i="14"/>
  <c r="AX8" i="14" s="1"/>
  <c r="BJ8" i="14" s="1" a="1"/>
  <c r="AM8" i="14"/>
  <c r="AY8" i="14" s="1"/>
  <c r="BK8" i="14" s="1" a="1"/>
  <c r="AB9" i="14"/>
  <c r="AN9" i="14" s="1"/>
  <c r="AZ9" i="14" s="1" a="1"/>
  <c r="AC9" i="14"/>
  <c r="AO9" i="14" s="1"/>
  <c r="BA9" i="14" s="1" a="1"/>
  <c r="AD9" i="14"/>
  <c r="AP9" i="14" s="1"/>
  <c r="BB9" i="14" s="1" a="1"/>
  <c r="AE9" i="14"/>
  <c r="AQ9" i="14" s="1"/>
  <c r="BC9" i="14" s="1" a="1"/>
  <c r="AF9" i="14"/>
  <c r="AR9" i="14" s="1"/>
  <c r="BD9" i="14" s="1" a="1"/>
  <c r="AG9" i="14"/>
  <c r="AS9" i="14" s="1"/>
  <c r="BE9" i="14" s="1" a="1"/>
  <c r="AH9" i="14"/>
  <c r="AT9" i="14" s="1"/>
  <c r="BF9" i="14" s="1" a="1"/>
  <c r="AI9" i="14"/>
  <c r="AU9" i="14" s="1"/>
  <c r="BG9" i="14" s="1" a="1"/>
  <c r="AJ9" i="14"/>
  <c r="AV9" i="14" s="1"/>
  <c r="BH9" i="14" s="1" a="1"/>
  <c r="AK9" i="14"/>
  <c r="AW9" i="14" s="1"/>
  <c r="BI9" i="14" s="1" a="1"/>
  <c r="AL9" i="14"/>
  <c r="AX9" i="14" s="1"/>
  <c r="BJ9" i="14" s="1" a="1"/>
  <c r="AM9" i="14"/>
  <c r="AY9" i="14" s="1"/>
  <c r="BK9" i="14" s="1" a="1"/>
  <c r="AB10" i="14"/>
  <c r="AN10" i="14" s="1"/>
  <c r="AZ10" i="14" s="1" a="1"/>
  <c r="AC10" i="14"/>
  <c r="AO10" i="14" s="1"/>
  <c r="BA10" i="14" s="1" a="1"/>
  <c r="AD10" i="14"/>
  <c r="AP10" i="14" s="1"/>
  <c r="BB10" i="14" s="1" a="1"/>
  <c r="AE10" i="14"/>
  <c r="AQ10" i="14" s="1"/>
  <c r="BC10" i="14" s="1" a="1"/>
  <c r="AF10" i="14"/>
  <c r="AR10" i="14" s="1"/>
  <c r="BD10" i="14" s="1" a="1"/>
  <c r="AG10" i="14"/>
  <c r="AS10" i="14" s="1"/>
  <c r="BE10" i="14" s="1" a="1"/>
  <c r="AH10" i="14"/>
  <c r="AT10" i="14" s="1"/>
  <c r="BF10" i="14" s="1" a="1"/>
  <c r="AI10" i="14"/>
  <c r="AU10" i="14" s="1"/>
  <c r="BG10" i="14" s="1" a="1"/>
  <c r="AJ10" i="14"/>
  <c r="AV10" i="14" s="1"/>
  <c r="BH10" i="14" s="1" a="1"/>
  <c r="AK10" i="14"/>
  <c r="AW10" i="14" s="1"/>
  <c r="BI10" i="14" s="1" a="1"/>
  <c r="AL10" i="14"/>
  <c r="AX10" i="14" s="1"/>
  <c r="BJ10" i="14" s="1" a="1"/>
  <c r="AM10" i="14"/>
  <c r="AY10" i="14" s="1"/>
  <c r="BK10" i="14" s="1" a="1"/>
  <c r="AB11" i="14"/>
  <c r="AN11" i="14" s="1"/>
  <c r="AZ11" i="14" s="1" a="1"/>
  <c r="AC11" i="14"/>
  <c r="AO11" i="14" s="1"/>
  <c r="BA11" i="14" s="1" a="1"/>
  <c r="AD11" i="14"/>
  <c r="AP11" i="14" s="1"/>
  <c r="BB11" i="14" s="1" a="1"/>
  <c r="AE11" i="14"/>
  <c r="AQ11" i="14" s="1"/>
  <c r="BC11" i="14" s="1" a="1"/>
  <c r="AF11" i="14"/>
  <c r="AR11" i="14" s="1"/>
  <c r="BD11" i="14" s="1" a="1"/>
  <c r="AG11" i="14"/>
  <c r="AS11" i="14" s="1"/>
  <c r="BE11" i="14" s="1" a="1"/>
  <c r="AH11" i="14"/>
  <c r="AT11" i="14" s="1"/>
  <c r="BF11" i="14" s="1" a="1"/>
  <c r="AI11" i="14"/>
  <c r="AU11" i="14" s="1"/>
  <c r="BG11" i="14" s="1" a="1"/>
  <c r="AJ11" i="14"/>
  <c r="AV11" i="14" s="1"/>
  <c r="BH11" i="14" s="1" a="1"/>
  <c r="AK11" i="14"/>
  <c r="AW11" i="14" s="1"/>
  <c r="BI11" i="14" s="1" a="1"/>
  <c r="AL11" i="14"/>
  <c r="AX11" i="14" s="1"/>
  <c r="BJ11" i="14" s="1" a="1"/>
  <c r="AM11" i="14"/>
  <c r="AY11" i="14" s="1"/>
  <c r="BK11" i="14" s="1" a="1"/>
  <c r="AB12" i="14"/>
  <c r="AN12" i="14" s="1"/>
  <c r="AZ12" i="14" s="1" a="1"/>
  <c r="AC12" i="14"/>
  <c r="AO12" i="14" s="1"/>
  <c r="BA12" i="14" s="1" a="1"/>
  <c r="AD12" i="14"/>
  <c r="AP12" i="14" s="1"/>
  <c r="BB12" i="14" s="1" a="1"/>
  <c r="AE12" i="14"/>
  <c r="AQ12" i="14" s="1"/>
  <c r="BC12" i="14" s="1" a="1"/>
  <c r="AF12" i="14"/>
  <c r="AR12" i="14" s="1"/>
  <c r="BD12" i="14" s="1" a="1"/>
  <c r="AG12" i="14"/>
  <c r="AS12" i="14" s="1"/>
  <c r="BE12" i="14" s="1" a="1"/>
  <c r="AH12" i="14"/>
  <c r="AT12" i="14" s="1"/>
  <c r="BF12" i="14" s="1" a="1"/>
  <c r="AI12" i="14"/>
  <c r="AU12" i="14" s="1"/>
  <c r="BG12" i="14" s="1" a="1"/>
  <c r="AJ12" i="14"/>
  <c r="AK12" i="14"/>
  <c r="AW12" i="14" s="1"/>
  <c r="BI12" i="14" s="1" a="1"/>
  <c r="AL12" i="14"/>
  <c r="AX12" i="14" s="1"/>
  <c r="BJ12" i="14" s="1" a="1"/>
  <c r="AM12" i="14"/>
  <c r="AY12" i="14" s="1"/>
  <c r="BK12" i="14" s="1" a="1"/>
  <c r="AB13" i="14"/>
  <c r="AN13" i="14" s="1"/>
  <c r="AZ13" i="14" s="1" a="1"/>
  <c r="AC13" i="14"/>
  <c r="AO13" i="14" s="1"/>
  <c r="BA13" i="14" s="1" a="1"/>
  <c r="AD13" i="14"/>
  <c r="AP13" i="14" s="1"/>
  <c r="BB13" i="14" s="1" a="1"/>
  <c r="AE13" i="14"/>
  <c r="AQ13" i="14" s="1"/>
  <c r="BC13" i="14" s="1" a="1"/>
  <c r="AF13" i="14"/>
  <c r="AR13" i="14" s="1"/>
  <c r="BD13" i="14" s="1" a="1"/>
  <c r="AG13" i="14"/>
  <c r="AS13" i="14" s="1"/>
  <c r="BE13" i="14" s="1" a="1"/>
  <c r="AH13" i="14"/>
  <c r="AT13" i="14" s="1"/>
  <c r="BF13" i="14" s="1" a="1"/>
  <c r="AI13" i="14"/>
  <c r="AU13" i="14" s="1"/>
  <c r="BG13" i="14" s="1" a="1"/>
  <c r="AJ13" i="14"/>
  <c r="AV13" i="14" s="1"/>
  <c r="BH13" i="14" s="1" a="1"/>
  <c r="AK13" i="14"/>
  <c r="AW13" i="14" s="1"/>
  <c r="BI13" i="14" s="1" a="1"/>
  <c r="AL13" i="14"/>
  <c r="AX13" i="14" s="1"/>
  <c r="BJ13" i="14" s="1" a="1"/>
  <c r="AM13" i="14"/>
  <c r="AY13" i="14" s="1"/>
  <c r="BK13" i="14" s="1" a="1"/>
  <c r="AB14" i="14"/>
  <c r="AN14" i="14" s="1"/>
  <c r="AZ14" i="14" s="1" a="1"/>
  <c r="AC14" i="14"/>
  <c r="AO14" i="14" s="1"/>
  <c r="BA14" i="14" s="1" a="1"/>
  <c r="AD14" i="14"/>
  <c r="AP14" i="14" s="1"/>
  <c r="BB14" i="14" s="1" a="1"/>
  <c r="AE14" i="14"/>
  <c r="AQ14" i="14" s="1"/>
  <c r="BC14" i="14" s="1" a="1"/>
  <c r="AF14" i="14"/>
  <c r="AR14" i="14" s="1"/>
  <c r="BD14" i="14" s="1" a="1"/>
  <c r="AG14" i="14"/>
  <c r="AS14" i="14" s="1"/>
  <c r="BE14" i="14" s="1" a="1"/>
  <c r="AH14" i="14"/>
  <c r="AT14" i="14" s="1"/>
  <c r="BF14" i="14" s="1" a="1"/>
  <c r="AI14" i="14"/>
  <c r="AU14" i="14" s="1"/>
  <c r="BG14" i="14" s="1" a="1"/>
  <c r="AJ14" i="14"/>
  <c r="AV14" i="14" s="1"/>
  <c r="BH14" i="14" s="1" a="1"/>
  <c r="AK14" i="14"/>
  <c r="AW14" i="14" s="1"/>
  <c r="BI14" i="14" s="1" a="1"/>
  <c r="AL14" i="14"/>
  <c r="AX14" i="14" s="1"/>
  <c r="BJ14" i="14" s="1" a="1"/>
  <c r="AM14" i="14"/>
  <c r="AY14" i="14" s="1"/>
  <c r="BK14" i="14" s="1" a="1"/>
  <c r="AB15" i="14"/>
  <c r="AN15" i="14" s="1"/>
  <c r="AZ15" i="14" s="1" a="1"/>
  <c r="AC15" i="14"/>
  <c r="AO15" i="14" s="1"/>
  <c r="BA15" i="14" s="1" a="1"/>
  <c r="AD15" i="14"/>
  <c r="AP15" i="14" s="1"/>
  <c r="BB15" i="14" s="1" a="1"/>
  <c r="AE15" i="14"/>
  <c r="AQ15" i="14" s="1"/>
  <c r="BC15" i="14" s="1" a="1"/>
  <c r="AF15" i="14"/>
  <c r="AR15" i="14" s="1"/>
  <c r="BD15" i="14" s="1" a="1"/>
  <c r="AG15" i="14"/>
  <c r="AS15" i="14" s="1"/>
  <c r="BE15" i="14" s="1" a="1"/>
  <c r="AH15" i="14"/>
  <c r="AT15" i="14" s="1"/>
  <c r="BF15" i="14" s="1" a="1"/>
  <c r="AI15" i="14"/>
  <c r="AU15" i="14" s="1"/>
  <c r="BG15" i="14" s="1" a="1"/>
  <c r="AJ15" i="14"/>
  <c r="AV15" i="14" s="1"/>
  <c r="BH15" i="14" s="1" a="1"/>
  <c r="AK15" i="14"/>
  <c r="AW15" i="14" s="1"/>
  <c r="BI15" i="14" s="1" a="1"/>
  <c r="AL15" i="14"/>
  <c r="AX15" i="14" s="1"/>
  <c r="BJ15" i="14" s="1" a="1"/>
  <c r="AM15" i="14"/>
  <c r="AY15" i="14" s="1"/>
  <c r="BK15" i="14" s="1" a="1"/>
  <c r="R3" i="1" a="1"/>
  <c r="R4" i="1" a="1"/>
  <c r="R5" i="1" a="1"/>
  <c r="R6" i="1" a="1"/>
  <c r="R7" i="1" a="1"/>
  <c r="R8" i="1" a="1"/>
  <c r="R9" i="1" a="1"/>
  <c r="R10" i="1" a="1"/>
  <c r="R11" i="1" a="1"/>
  <c r="R12" i="1" a="1"/>
  <c r="R13" i="1" a="1"/>
  <c r="R14" i="1" a="1"/>
  <c r="R15" i="1" a="1"/>
  <c r="R16" i="1" a="1"/>
  <c r="R17" i="1" a="1"/>
  <c r="R18" i="1" a="1"/>
  <c r="R19" i="1" a="1"/>
  <c r="R20" i="1" a="1"/>
  <c r="R21" i="1" a="1"/>
  <c r="R22" i="1" a="1"/>
  <c r="R23" i="1" a="1"/>
  <c r="R24" i="1" a="1"/>
  <c r="R25" i="1" a="1"/>
  <c r="R26" i="1" a="1"/>
  <c r="R27" i="1" a="1"/>
  <c r="R28" i="1" a="1"/>
  <c r="R29" i="1" a="1"/>
  <c r="R30" i="1" a="1"/>
  <c r="R31" i="1" a="1"/>
  <c r="R32" i="1" a="1"/>
  <c r="R33" i="1" a="1"/>
  <c r="R34" i="1" a="1"/>
  <c r="R35" i="1" a="1"/>
  <c r="R36" i="1" a="1"/>
  <c r="R37" i="1" a="1"/>
  <c r="R38" i="1" a="1"/>
  <c r="R39" i="1" a="1"/>
  <c r="R40" i="1" a="1"/>
  <c r="R41" i="1" a="1"/>
  <c r="R42" i="1" a="1"/>
  <c r="R43" i="1" a="1"/>
  <c r="R44" i="1" a="1"/>
  <c r="R45" i="1" a="1"/>
  <c r="R46" i="1" a="1"/>
  <c r="R47" i="1" a="1"/>
  <c r="R48" i="1" a="1"/>
  <c r="R49" i="1" a="1"/>
  <c r="R50" i="1" a="1"/>
  <c r="R51" i="1" a="1"/>
  <c r="R52" i="1" a="1"/>
  <c r="R53" i="1" a="1"/>
  <c r="R54" i="1" a="1"/>
  <c r="R55" i="1" a="1"/>
  <c r="R56" i="1" a="1"/>
  <c r="R57" i="1" a="1"/>
  <c r="R58" i="1" a="1"/>
  <c r="R2" i="1" a="1"/>
  <c r="P24" i="17" l="1"/>
  <c r="P22" i="17"/>
  <c r="P23" i="17"/>
  <c r="B9" i="17"/>
  <c r="B13" i="17"/>
  <c r="B12" i="17"/>
  <c r="AV12" i="14"/>
  <c r="BH12" i="14" s="1" a="1"/>
  <c r="B20" i="29"/>
  <c r="B10" i="29"/>
  <c r="B19" i="29"/>
  <c r="B9" i="29"/>
  <c r="B17" i="29"/>
  <c r="B18" i="29"/>
  <c r="B16" i="29"/>
  <c r="B15" i="29"/>
  <c r="B8" i="29"/>
  <c r="B7" i="29"/>
  <c r="B6" i="29"/>
  <c r="B5" i="29"/>
  <c r="B4" i="29"/>
  <c r="B14" i="29"/>
  <c r="B3" i="29"/>
  <c r="B13" i="29"/>
  <c r="B2" i="29"/>
  <c r="B12" i="29"/>
  <c r="B11" i="29"/>
  <c r="K259" i="29"/>
  <c r="K164" i="29"/>
  <c r="K66" i="29"/>
  <c r="K173" i="29"/>
  <c r="K82" i="29"/>
  <c r="K176" i="29"/>
  <c r="K78" i="29"/>
  <c r="K230" i="29"/>
  <c r="K62" i="29"/>
  <c r="K110" i="29"/>
  <c r="K153" i="29"/>
  <c r="K193" i="29"/>
  <c r="K95" i="29"/>
  <c r="K215" i="29"/>
  <c r="K12" i="29"/>
  <c r="K170" i="29"/>
  <c r="K72" i="29"/>
  <c r="K154" i="29"/>
  <c r="K56" i="29"/>
  <c r="K181" i="29"/>
  <c r="K167" i="29"/>
  <c r="K231" i="29"/>
  <c r="K157" i="29"/>
  <c r="K59" i="29"/>
  <c r="K159" i="29"/>
  <c r="K241" i="29"/>
  <c r="K169" i="29"/>
  <c r="K71" i="29"/>
  <c r="K216" i="29"/>
  <c r="K55" i="29"/>
  <c r="K96" i="29"/>
  <c r="K139" i="29"/>
  <c r="K186" i="29"/>
  <c r="K88" i="29"/>
  <c r="K194" i="29"/>
  <c r="K5" i="29"/>
  <c r="K163" i="29"/>
  <c r="K65" i="29"/>
  <c r="K147" i="29"/>
  <c r="K49" i="29"/>
  <c r="K195" i="29"/>
  <c r="K214" i="29"/>
  <c r="K175" i="29"/>
  <c r="K76" i="29"/>
  <c r="K117" i="29"/>
  <c r="K257" i="29"/>
  <c r="K150" i="29"/>
  <c r="K52" i="29"/>
  <c r="K145" i="29"/>
  <c r="K260" i="29"/>
  <c r="K162" i="29"/>
  <c r="K64" i="29"/>
  <c r="K202" i="29"/>
  <c r="K48" i="29"/>
  <c r="K75" i="29"/>
  <c r="K125" i="29"/>
  <c r="K179" i="29"/>
  <c r="K81" i="29"/>
  <c r="K33" i="29"/>
  <c r="K261" i="29"/>
  <c r="K156" i="29"/>
  <c r="K58" i="29"/>
  <c r="K140" i="29"/>
  <c r="K42" i="29"/>
  <c r="K203" i="29"/>
  <c r="K191" i="29"/>
  <c r="K258" i="29"/>
  <c r="K85" i="29"/>
  <c r="K222" i="29"/>
  <c r="K143" i="29"/>
  <c r="K45" i="29"/>
  <c r="K131" i="29"/>
  <c r="K253" i="29"/>
  <c r="K155" i="29"/>
  <c r="K57" i="29"/>
  <c r="K188" i="29"/>
  <c r="K41" i="29"/>
  <c r="K40" i="29"/>
  <c r="K111" i="29"/>
  <c r="K172" i="29"/>
  <c r="K74" i="29"/>
  <c r="K220" i="29"/>
  <c r="K247" i="29"/>
  <c r="K149" i="29"/>
  <c r="K51" i="29"/>
  <c r="K133" i="29"/>
  <c r="K35" i="29"/>
  <c r="K83" i="29"/>
  <c r="K229" i="29"/>
  <c r="K70" i="29"/>
  <c r="K69" i="29"/>
  <c r="K180" i="29"/>
  <c r="K136" i="29"/>
  <c r="K38" i="29"/>
  <c r="K61" i="29"/>
  <c r="K246" i="29"/>
  <c r="K148" i="29"/>
  <c r="K50" i="29"/>
  <c r="K174" i="29"/>
  <c r="K34" i="29"/>
  <c r="K248" i="29"/>
  <c r="K97" i="29"/>
  <c r="K165" i="29"/>
  <c r="K67" i="29"/>
  <c r="K254" i="29"/>
  <c r="K240" i="29"/>
  <c r="K142" i="29"/>
  <c r="K44" i="29"/>
  <c r="K126" i="29"/>
  <c r="K28" i="29"/>
  <c r="K99" i="29"/>
  <c r="K166" i="29"/>
  <c r="K92" i="29"/>
  <c r="K208" i="29"/>
  <c r="K103" i="29"/>
  <c r="K129" i="29"/>
  <c r="K31" i="29"/>
  <c r="K47" i="29"/>
  <c r="K239" i="29"/>
  <c r="K141" i="29"/>
  <c r="K43" i="29"/>
  <c r="K160" i="29"/>
  <c r="K27" i="29"/>
  <c r="K213" i="29"/>
  <c r="K256" i="29"/>
  <c r="K158" i="29"/>
  <c r="K60" i="29"/>
  <c r="K9" i="29"/>
  <c r="K233" i="29"/>
  <c r="K135" i="29"/>
  <c r="K37" i="29"/>
  <c r="K119" i="29"/>
  <c r="K21" i="29"/>
  <c r="K26" i="29"/>
  <c r="K116" i="29"/>
  <c r="K93" i="29"/>
  <c r="K250" i="29"/>
  <c r="K124" i="29"/>
  <c r="K89" i="29"/>
  <c r="K122" i="29"/>
  <c r="K24" i="29"/>
  <c r="K255" i="29"/>
  <c r="K232" i="29"/>
  <c r="K134" i="29"/>
  <c r="K36" i="29"/>
  <c r="K146" i="29"/>
  <c r="K20" i="29"/>
  <c r="K199" i="29"/>
  <c r="K249" i="29"/>
  <c r="K151" i="29"/>
  <c r="K53" i="29"/>
  <c r="K2" i="29"/>
  <c r="K226" i="29"/>
  <c r="K128" i="29"/>
  <c r="K30" i="29"/>
  <c r="K112" i="29"/>
  <c r="K14" i="29"/>
  <c r="K197" i="29"/>
  <c r="K18" i="29"/>
  <c r="K178" i="29"/>
  <c r="K109" i="29"/>
  <c r="K184" i="29"/>
  <c r="K73" i="29"/>
  <c r="K4" i="29"/>
  <c r="K177" i="29"/>
  <c r="K161" i="29"/>
  <c r="K68" i="29"/>
  <c r="K115" i="29"/>
  <c r="K17" i="29"/>
  <c r="K227" i="29"/>
  <c r="K225" i="29"/>
  <c r="K127" i="29"/>
  <c r="K29" i="29"/>
  <c r="K132" i="29"/>
  <c r="K13" i="29"/>
  <c r="K251" i="29"/>
  <c r="K242" i="29"/>
  <c r="K144" i="29"/>
  <c r="K46" i="29"/>
  <c r="K224" i="29"/>
  <c r="K219" i="29"/>
  <c r="K121" i="29"/>
  <c r="K23" i="29"/>
  <c r="K105" i="29"/>
  <c r="K7" i="29"/>
  <c r="K185" i="29"/>
  <c r="K207" i="29"/>
  <c r="K200" i="29"/>
  <c r="K54" i="29"/>
  <c r="K108" i="29"/>
  <c r="K10" i="29"/>
  <c r="K206" i="29"/>
  <c r="K218" i="29"/>
  <c r="K120" i="29"/>
  <c r="K22" i="29"/>
  <c r="K118" i="29"/>
  <c r="K6" i="29"/>
  <c r="K237" i="29"/>
  <c r="K235" i="29"/>
  <c r="K137" i="29"/>
  <c r="K39" i="29"/>
  <c r="K196" i="29"/>
  <c r="K212" i="29"/>
  <c r="K114" i="29"/>
  <c r="K16" i="29"/>
  <c r="K98" i="29"/>
  <c r="K87" i="29"/>
  <c r="K190" i="29"/>
  <c r="K86" i="29"/>
  <c r="K244" i="29"/>
  <c r="K234" i="29"/>
  <c r="K101" i="29"/>
  <c r="K3" i="29"/>
  <c r="K238" i="29"/>
  <c r="K211" i="29"/>
  <c r="K113" i="29"/>
  <c r="K15" i="29"/>
  <c r="K104" i="29"/>
  <c r="K245" i="29"/>
  <c r="K223" i="29"/>
  <c r="K228" i="29"/>
  <c r="K130" i="29"/>
  <c r="K32" i="29"/>
  <c r="K236" i="29"/>
  <c r="K205" i="29"/>
  <c r="K107" i="29"/>
  <c r="K189" i="29"/>
  <c r="K91" i="29"/>
  <c r="K201" i="29"/>
  <c r="K152" i="29"/>
  <c r="K168" i="29"/>
  <c r="K183" i="29"/>
  <c r="K192" i="29"/>
  <c r="K94" i="29"/>
  <c r="K252" i="29"/>
  <c r="K217" i="29"/>
  <c r="K204" i="29"/>
  <c r="K106" i="29"/>
  <c r="K8" i="29"/>
  <c r="K90" i="29"/>
  <c r="K210" i="29"/>
  <c r="K209" i="29"/>
  <c r="K221" i="29"/>
  <c r="K123" i="29"/>
  <c r="K25" i="29"/>
  <c r="K187" i="29"/>
  <c r="K198" i="29"/>
  <c r="K100" i="29"/>
  <c r="K182" i="29"/>
  <c r="K84" i="29"/>
  <c r="K243" i="29"/>
  <c r="K77" i="29"/>
  <c r="K80" i="29"/>
  <c r="K11" i="29"/>
  <c r="K138" i="29"/>
  <c r="K171" i="29"/>
  <c r="K102" i="29"/>
  <c r="K19" i="29"/>
  <c r="K79" i="29"/>
  <c r="K63" i="29"/>
  <c r="M22" i="17"/>
  <c r="L47" i="26"/>
  <c r="N47" i="26"/>
  <c r="E25" i="26"/>
  <c r="E23" i="26"/>
  <c r="E22" i="26"/>
  <c r="E24" i="26"/>
  <c r="E26" i="26"/>
  <c r="D22" i="26"/>
  <c r="Q31" i="26"/>
  <c r="P31" i="26"/>
  <c r="O31" i="26"/>
  <c r="K31" i="26"/>
  <c r="E20" i="26"/>
  <c r="J45" i="26"/>
  <c r="I45" i="26"/>
  <c r="J31" i="26"/>
  <c r="B24" i="26"/>
  <c r="N46" i="26"/>
  <c r="B25" i="26"/>
  <c r="O46" i="26"/>
  <c r="R46" i="26"/>
  <c r="B28" i="26"/>
  <c r="M46" i="26"/>
  <c r="B23" i="26"/>
  <c r="M31" i="26"/>
  <c r="B22" i="26"/>
  <c r="L46" i="26"/>
  <c r="P46" i="26"/>
  <c r="B26" i="26"/>
  <c r="M47" i="26"/>
  <c r="M37" i="26"/>
  <c r="I39" i="26" s="1"/>
  <c r="W8" i="26" s="1"/>
  <c r="Z8" i="26" s="1"/>
  <c r="Z11" i="26" s="1"/>
  <c r="AA11" i="26" s="1"/>
  <c r="N31" i="26"/>
  <c r="Q46" i="26"/>
  <c r="B27" i="26"/>
  <c r="R31" i="26"/>
  <c r="L31" i="26"/>
  <c r="M16" i="17"/>
  <c r="M10" i="17"/>
  <c r="M14" i="17"/>
  <c r="M15" i="17"/>
  <c r="M13" i="17"/>
  <c r="M11" i="17"/>
  <c r="M26" i="17"/>
  <c r="M25" i="17"/>
  <c r="M24" i="17"/>
  <c r="M12" i="17"/>
  <c r="M17" i="17"/>
  <c r="M5" i="17"/>
  <c r="M6" i="17"/>
  <c r="M7" i="17"/>
  <c r="M23" i="17"/>
  <c r="M3" i="17"/>
  <c r="M18" i="17"/>
  <c r="M4" i="17"/>
  <c r="M19" i="17"/>
  <c r="M2" i="17"/>
  <c r="M20" i="17"/>
  <c r="M28" i="17"/>
  <c r="M21" i="17"/>
  <c r="M27" i="17"/>
  <c r="M9" i="17"/>
  <c r="M8" i="17"/>
  <c r="A125" i="14"/>
  <c r="A61" i="33"/>
  <c r="A6" i="34"/>
  <c r="A144" i="14"/>
  <c r="R3" i="12"/>
  <c r="S3" i="12"/>
  <c r="T3" i="12"/>
  <c r="U3" i="12"/>
  <c r="V3" i="12"/>
  <c r="W3" i="12"/>
  <c r="R4" i="12"/>
  <c r="S4" i="12"/>
  <c r="T4" i="12"/>
  <c r="U4" i="12"/>
  <c r="V4" i="12"/>
  <c r="W4" i="12"/>
  <c r="R5" i="12"/>
  <c r="S5" i="12"/>
  <c r="T5" i="12"/>
  <c r="U5" i="12"/>
  <c r="V5" i="12"/>
  <c r="W5" i="12"/>
  <c r="R6" i="12"/>
  <c r="S6" i="12"/>
  <c r="T6" i="12"/>
  <c r="U6" i="12"/>
  <c r="V6" i="12"/>
  <c r="W6" i="12"/>
  <c r="R7" i="12"/>
  <c r="S7" i="12"/>
  <c r="T7" i="12"/>
  <c r="U7" i="12"/>
  <c r="V7" i="12"/>
  <c r="W7" i="12"/>
  <c r="R8" i="12"/>
  <c r="S8" i="12"/>
  <c r="T8" i="12"/>
  <c r="U8" i="12"/>
  <c r="V8" i="12"/>
  <c r="W8" i="12"/>
  <c r="R9" i="12"/>
  <c r="S9" i="12"/>
  <c r="T9" i="12"/>
  <c r="U9" i="12"/>
  <c r="V9" i="12"/>
  <c r="W9" i="12"/>
  <c r="R10" i="12"/>
  <c r="S10" i="12"/>
  <c r="T10" i="12"/>
  <c r="U10" i="12"/>
  <c r="V10" i="12"/>
  <c r="W10" i="12"/>
  <c r="R11" i="12"/>
  <c r="S11" i="12"/>
  <c r="T11" i="12"/>
  <c r="U11" i="12"/>
  <c r="V11" i="12"/>
  <c r="W11" i="12"/>
  <c r="R12" i="12"/>
  <c r="S12" i="12"/>
  <c r="T12" i="12"/>
  <c r="U12" i="12"/>
  <c r="V12" i="12"/>
  <c r="W12" i="12"/>
  <c r="R13" i="12"/>
  <c r="S13" i="12"/>
  <c r="T13" i="12"/>
  <c r="U13" i="12"/>
  <c r="V13" i="12"/>
  <c r="W13" i="12"/>
  <c r="R14" i="12"/>
  <c r="S14" i="12"/>
  <c r="T14" i="12"/>
  <c r="U14" i="12"/>
  <c r="V14" i="12"/>
  <c r="W14" i="12"/>
  <c r="R15" i="12"/>
  <c r="S15" i="12"/>
  <c r="T15" i="12"/>
  <c r="U15" i="12"/>
  <c r="V15" i="12"/>
  <c r="W15" i="12"/>
  <c r="R16" i="12"/>
  <c r="S16" i="12"/>
  <c r="T16" i="12"/>
  <c r="U16" i="12"/>
  <c r="V16" i="12"/>
  <c r="W16" i="12"/>
  <c r="R17" i="12"/>
  <c r="S17" i="12"/>
  <c r="T17" i="12"/>
  <c r="U17" i="12"/>
  <c r="V17" i="12"/>
  <c r="W17" i="12"/>
  <c r="R18" i="12"/>
  <c r="S18" i="12"/>
  <c r="T18" i="12"/>
  <c r="U18" i="12"/>
  <c r="V18" i="12"/>
  <c r="W18" i="12"/>
  <c r="R19" i="12"/>
  <c r="S19" i="12"/>
  <c r="T19" i="12"/>
  <c r="U19" i="12"/>
  <c r="V19" i="12"/>
  <c r="W19" i="12"/>
  <c r="R20" i="12"/>
  <c r="S20" i="12"/>
  <c r="T20" i="12"/>
  <c r="U20" i="12"/>
  <c r="V20" i="12"/>
  <c r="W20" i="12"/>
  <c r="R21" i="12"/>
  <c r="S21" i="12"/>
  <c r="T21" i="12"/>
  <c r="U21" i="12"/>
  <c r="V21" i="12"/>
  <c r="W21" i="12"/>
  <c r="R22" i="12"/>
  <c r="S22" i="12"/>
  <c r="T22" i="12"/>
  <c r="U22" i="12"/>
  <c r="V22" i="12"/>
  <c r="W22" i="12"/>
  <c r="R23" i="12"/>
  <c r="S23" i="12"/>
  <c r="T23" i="12"/>
  <c r="U23" i="12"/>
  <c r="V23" i="12"/>
  <c r="W23" i="12"/>
  <c r="R24" i="12"/>
  <c r="S24" i="12"/>
  <c r="T24" i="12"/>
  <c r="U24" i="12"/>
  <c r="V24" i="12"/>
  <c r="W24" i="12"/>
  <c r="R25" i="12"/>
  <c r="S25" i="12"/>
  <c r="T25" i="12"/>
  <c r="U25" i="12"/>
  <c r="V25" i="12"/>
  <c r="W25" i="12"/>
  <c r="R26" i="12"/>
  <c r="S26" i="12"/>
  <c r="T26" i="12"/>
  <c r="U26" i="12"/>
  <c r="V26" i="12"/>
  <c r="W26" i="12"/>
  <c r="R27" i="12"/>
  <c r="S27" i="12"/>
  <c r="T27" i="12"/>
  <c r="U27" i="12"/>
  <c r="V27" i="12"/>
  <c r="W27" i="12"/>
  <c r="R28" i="12"/>
  <c r="S28" i="12"/>
  <c r="T28" i="12"/>
  <c r="U28" i="12"/>
  <c r="V28" i="12"/>
  <c r="W28" i="12"/>
  <c r="R29" i="12"/>
  <c r="S29" i="12"/>
  <c r="T29" i="12"/>
  <c r="U29" i="12"/>
  <c r="V29" i="12"/>
  <c r="W29" i="12"/>
  <c r="R30" i="12"/>
  <c r="S30" i="12"/>
  <c r="T30" i="12"/>
  <c r="U30" i="12"/>
  <c r="V30" i="12"/>
  <c r="W30" i="12"/>
  <c r="R31" i="12"/>
  <c r="S31" i="12"/>
  <c r="T31" i="12"/>
  <c r="U31" i="12"/>
  <c r="V31" i="12"/>
  <c r="W31" i="12"/>
  <c r="R32" i="12"/>
  <c r="S32" i="12"/>
  <c r="T32" i="12"/>
  <c r="U32" i="12"/>
  <c r="V32" i="12"/>
  <c r="W32" i="12"/>
  <c r="R33" i="12"/>
  <c r="S33" i="12"/>
  <c r="T33" i="12"/>
  <c r="U33" i="12"/>
  <c r="V33" i="12"/>
  <c r="W33" i="12"/>
  <c r="R34" i="12"/>
  <c r="S34" i="12"/>
  <c r="T34" i="12"/>
  <c r="U34" i="12"/>
  <c r="V34" i="12"/>
  <c r="W34" i="12"/>
  <c r="R35" i="12"/>
  <c r="S35" i="12"/>
  <c r="T35" i="12"/>
  <c r="U35" i="12"/>
  <c r="V35" i="12"/>
  <c r="W35" i="12"/>
  <c r="R36" i="12"/>
  <c r="S36" i="12"/>
  <c r="T36" i="12"/>
  <c r="U36" i="12"/>
  <c r="V36" i="12"/>
  <c r="W36" i="12"/>
  <c r="R37" i="12"/>
  <c r="S37" i="12"/>
  <c r="T37" i="12"/>
  <c r="U37" i="12"/>
  <c r="V37" i="12"/>
  <c r="W37" i="12"/>
  <c r="R38" i="12"/>
  <c r="S38" i="12"/>
  <c r="T38" i="12"/>
  <c r="U38" i="12"/>
  <c r="V38" i="12"/>
  <c r="W38" i="12"/>
  <c r="R39" i="12"/>
  <c r="S39" i="12"/>
  <c r="T39" i="12"/>
  <c r="U39" i="12"/>
  <c r="V39" i="12"/>
  <c r="W39" i="12"/>
  <c r="R40" i="12"/>
  <c r="S40" i="12"/>
  <c r="T40" i="12"/>
  <c r="U40" i="12"/>
  <c r="V40" i="12"/>
  <c r="W40" i="12"/>
  <c r="R41" i="12"/>
  <c r="S41" i="12"/>
  <c r="T41" i="12"/>
  <c r="U41" i="12"/>
  <c r="V41" i="12"/>
  <c r="W41" i="12"/>
  <c r="R42" i="12"/>
  <c r="S42" i="12"/>
  <c r="T42" i="12"/>
  <c r="U42" i="12"/>
  <c r="V42" i="12"/>
  <c r="W42" i="12"/>
  <c r="R43" i="12"/>
  <c r="S43" i="12"/>
  <c r="T43" i="12"/>
  <c r="U43" i="12"/>
  <c r="V43" i="12"/>
  <c r="W43" i="12"/>
  <c r="R44" i="12"/>
  <c r="S44" i="12"/>
  <c r="T44" i="12"/>
  <c r="U44" i="12"/>
  <c r="V44" i="12"/>
  <c r="W44" i="12"/>
  <c r="R45" i="12"/>
  <c r="S45" i="12"/>
  <c r="T45" i="12"/>
  <c r="U45" i="12"/>
  <c r="V45" i="12"/>
  <c r="W45" i="12"/>
  <c r="R46" i="12"/>
  <c r="S46" i="12"/>
  <c r="T46" i="12"/>
  <c r="U46" i="12"/>
  <c r="V46" i="12"/>
  <c r="W46" i="12"/>
  <c r="R47" i="12"/>
  <c r="S47" i="12"/>
  <c r="T47" i="12"/>
  <c r="U47" i="12"/>
  <c r="V47" i="12"/>
  <c r="W47" i="12"/>
  <c r="R48" i="12"/>
  <c r="S48" i="12"/>
  <c r="T48" i="12"/>
  <c r="U48" i="12"/>
  <c r="V48" i="12"/>
  <c r="W48" i="12"/>
  <c r="R49" i="12"/>
  <c r="S49" i="12"/>
  <c r="T49" i="12"/>
  <c r="U49" i="12"/>
  <c r="V49" i="12"/>
  <c r="W49" i="12"/>
  <c r="R50" i="12"/>
  <c r="S50" i="12"/>
  <c r="T50" i="12"/>
  <c r="U50" i="12"/>
  <c r="V50" i="12"/>
  <c r="W50" i="12"/>
  <c r="R51" i="12"/>
  <c r="S51" i="12"/>
  <c r="T51" i="12"/>
  <c r="U51" i="12"/>
  <c r="V51" i="12"/>
  <c r="W51" i="12"/>
  <c r="R52" i="12"/>
  <c r="S52" i="12"/>
  <c r="T52" i="12"/>
  <c r="U52" i="12"/>
  <c r="V52" i="12"/>
  <c r="W52" i="12"/>
  <c r="R53" i="12"/>
  <c r="S53" i="12"/>
  <c r="T53" i="12"/>
  <c r="U53" i="12"/>
  <c r="V53" i="12"/>
  <c r="W53" i="12"/>
  <c r="R54" i="12"/>
  <c r="S54" i="12"/>
  <c r="T54" i="12"/>
  <c r="U54" i="12"/>
  <c r="V54" i="12"/>
  <c r="W54" i="12"/>
  <c r="R55" i="12"/>
  <c r="S55" i="12"/>
  <c r="T55" i="12"/>
  <c r="U55" i="12"/>
  <c r="V55" i="12"/>
  <c r="W55" i="12"/>
  <c r="R56" i="12"/>
  <c r="S56" i="12"/>
  <c r="T56" i="12"/>
  <c r="U56" i="12"/>
  <c r="V56" i="12"/>
  <c r="W56" i="12"/>
  <c r="R57" i="12"/>
  <c r="S57" i="12"/>
  <c r="T57" i="12"/>
  <c r="U57" i="12"/>
  <c r="V57" i="12"/>
  <c r="W57" i="12"/>
  <c r="R58" i="12"/>
  <c r="S58" i="12"/>
  <c r="T58" i="12"/>
  <c r="U58" i="12"/>
  <c r="V58" i="12"/>
  <c r="W58" i="12"/>
  <c r="W2" i="12"/>
  <c r="V2" i="12"/>
  <c r="U2" i="12"/>
  <c r="T2" i="12"/>
  <c r="S2" i="12"/>
  <c r="R2" i="12"/>
  <c r="A71" i="14" l="1"/>
  <c r="A140" i="14"/>
  <c r="A23" i="34"/>
  <c r="A137" i="14"/>
  <c r="A156" i="14"/>
  <c r="A96" i="14"/>
  <c r="A101" i="14"/>
  <c r="A159" i="14"/>
  <c r="A163" i="14"/>
  <c r="A24" i="33"/>
  <c r="A48" i="33"/>
  <c r="A103" i="14"/>
  <c r="A9" i="34"/>
  <c r="A14" i="34"/>
  <c r="A17" i="34"/>
  <c r="A12" i="34"/>
  <c r="A15" i="34"/>
  <c r="A11" i="34"/>
  <c r="A16" i="34"/>
  <c r="A18" i="34"/>
  <c r="A13" i="34"/>
  <c r="A10" i="34"/>
  <c r="A50" i="33"/>
  <c r="A51" i="33"/>
  <c r="A52" i="33"/>
  <c r="A53" i="33"/>
  <c r="A54" i="33"/>
  <c r="A57" i="33"/>
  <c r="A55" i="33"/>
  <c r="A56" i="33"/>
  <c r="A58" i="33"/>
  <c r="A59" i="33"/>
  <c r="A60" i="33"/>
  <c r="A145" i="14"/>
  <c r="A146" i="14"/>
  <c r="A147" i="14"/>
  <c r="A148" i="14"/>
  <c r="A149" i="14"/>
  <c r="A150" i="14"/>
  <c r="A141" i="14"/>
  <c r="A143" i="14"/>
  <c r="A151" i="14"/>
  <c r="A152" i="14"/>
  <c r="A142" i="14"/>
  <c r="A120" i="14"/>
  <c r="A121" i="14"/>
  <c r="A122" i="14"/>
  <c r="A123" i="14"/>
  <c r="A124" i="14"/>
  <c r="A126" i="14"/>
  <c r="A117" i="14"/>
  <c r="A118" i="14"/>
  <c r="A119" i="14"/>
  <c r="A127" i="14"/>
  <c r="A129" i="14"/>
  <c r="A128" i="14"/>
  <c r="A112" i="14"/>
  <c r="A114" i="14"/>
  <c r="A115" i="14"/>
  <c r="A110" i="14"/>
  <c r="A108" i="14"/>
  <c r="A109" i="14"/>
  <c r="A111" i="14"/>
  <c r="A107" i="14"/>
  <c r="A105" i="14"/>
  <c r="A106" i="14"/>
  <c r="A104" i="14"/>
  <c r="A9" i="33"/>
  <c r="R3" i="7"/>
  <c r="S3" i="7"/>
  <c r="T3" i="7"/>
  <c r="U3" i="7"/>
  <c r="V3" i="7"/>
  <c r="W3" i="7"/>
  <c r="R4" i="7"/>
  <c r="S4" i="7"/>
  <c r="T4" i="7"/>
  <c r="U4" i="7"/>
  <c r="V4" i="7"/>
  <c r="W4" i="7"/>
  <c r="R5" i="7"/>
  <c r="S5" i="7"/>
  <c r="T5" i="7"/>
  <c r="U5" i="7"/>
  <c r="V5" i="7"/>
  <c r="W5" i="7"/>
  <c r="R6" i="7"/>
  <c r="S6" i="7"/>
  <c r="T6" i="7"/>
  <c r="U6" i="7"/>
  <c r="V6" i="7"/>
  <c r="W6" i="7"/>
  <c r="R7" i="7"/>
  <c r="S7" i="7"/>
  <c r="T7" i="7"/>
  <c r="U7" i="7"/>
  <c r="V7" i="7"/>
  <c r="W7" i="7"/>
  <c r="R8" i="7"/>
  <c r="S8" i="7"/>
  <c r="T8" i="7"/>
  <c r="U8" i="7"/>
  <c r="V8" i="7"/>
  <c r="W8" i="7"/>
  <c r="R9" i="7"/>
  <c r="S9" i="7"/>
  <c r="T9" i="7"/>
  <c r="U9" i="7"/>
  <c r="V9" i="7"/>
  <c r="W9" i="7"/>
  <c r="R10" i="7"/>
  <c r="S10" i="7"/>
  <c r="T10" i="7"/>
  <c r="U10" i="7"/>
  <c r="V10" i="7"/>
  <c r="W10" i="7"/>
  <c r="R11" i="7"/>
  <c r="S11" i="7"/>
  <c r="T11" i="7"/>
  <c r="U11" i="7"/>
  <c r="V11" i="7"/>
  <c r="W11" i="7"/>
  <c r="R12" i="7"/>
  <c r="S12" i="7"/>
  <c r="T12" i="7"/>
  <c r="U12" i="7"/>
  <c r="V12" i="7"/>
  <c r="W12" i="7"/>
  <c r="R13" i="7"/>
  <c r="S13" i="7"/>
  <c r="T13" i="7"/>
  <c r="U13" i="7"/>
  <c r="V13" i="7"/>
  <c r="W13" i="7"/>
  <c r="R14" i="7"/>
  <c r="S14" i="7"/>
  <c r="T14" i="7"/>
  <c r="U14" i="7"/>
  <c r="V14" i="7"/>
  <c r="W14" i="7"/>
  <c r="R15" i="7"/>
  <c r="S15" i="7"/>
  <c r="T15" i="7"/>
  <c r="U15" i="7"/>
  <c r="V15" i="7"/>
  <c r="W15" i="7"/>
  <c r="R16" i="7"/>
  <c r="S16" i="7"/>
  <c r="T16" i="7"/>
  <c r="U16" i="7"/>
  <c r="V16" i="7"/>
  <c r="W16" i="7"/>
  <c r="R17" i="7"/>
  <c r="S17" i="7"/>
  <c r="T17" i="7"/>
  <c r="U17" i="7"/>
  <c r="V17" i="7"/>
  <c r="W17" i="7"/>
  <c r="R18" i="7"/>
  <c r="S18" i="7"/>
  <c r="T18" i="7"/>
  <c r="U18" i="7"/>
  <c r="V18" i="7"/>
  <c r="W18" i="7"/>
  <c r="R19" i="7"/>
  <c r="S19" i="7"/>
  <c r="T19" i="7"/>
  <c r="U19" i="7"/>
  <c r="V19" i="7"/>
  <c r="W19" i="7"/>
  <c r="R20" i="7"/>
  <c r="S20" i="7"/>
  <c r="T20" i="7"/>
  <c r="U20" i="7"/>
  <c r="V20" i="7"/>
  <c r="W20" i="7"/>
  <c r="R21" i="7"/>
  <c r="S21" i="7"/>
  <c r="T21" i="7"/>
  <c r="U21" i="7"/>
  <c r="V21" i="7"/>
  <c r="W21" i="7"/>
  <c r="R22" i="7"/>
  <c r="S22" i="7"/>
  <c r="T22" i="7"/>
  <c r="U22" i="7"/>
  <c r="V22" i="7"/>
  <c r="W22" i="7"/>
  <c r="R23" i="7"/>
  <c r="S23" i="7"/>
  <c r="T23" i="7"/>
  <c r="U23" i="7"/>
  <c r="V23" i="7"/>
  <c r="W23" i="7"/>
  <c r="R24" i="7"/>
  <c r="S24" i="7"/>
  <c r="T24" i="7"/>
  <c r="U24" i="7"/>
  <c r="V24" i="7"/>
  <c r="W24" i="7"/>
  <c r="R25" i="7"/>
  <c r="S25" i="7"/>
  <c r="T25" i="7"/>
  <c r="U25" i="7"/>
  <c r="V25" i="7"/>
  <c r="W25" i="7"/>
  <c r="R26" i="7"/>
  <c r="S26" i="7"/>
  <c r="T26" i="7"/>
  <c r="U26" i="7"/>
  <c r="V26" i="7"/>
  <c r="W26" i="7"/>
  <c r="R27" i="7"/>
  <c r="S27" i="7"/>
  <c r="T27" i="7"/>
  <c r="U27" i="7"/>
  <c r="V27" i="7"/>
  <c r="W27" i="7"/>
  <c r="R28" i="7"/>
  <c r="S28" i="7"/>
  <c r="T28" i="7"/>
  <c r="U28" i="7"/>
  <c r="V28" i="7"/>
  <c r="W28" i="7"/>
  <c r="R29" i="7"/>
  <c r="S29" i="7"/>
  <c r="T29" i="7"/>
  <c r="U29" i="7"/>
  <c r="V29" i="7"/>
  <c r="W29" i="7"/>
  <c r="R30" i="7"/>
  <c r="S30" i="7"/>
  <c r="T30" i="7"/>
  <c r="U30" i="7"/>
  <c r="V30" i="7"/>
  <c r="W30" i="7"/>
  <c r="R31" i="7"/>
  <c r="S31" i="7"/>
  <c r="T31" i="7"/>
  <c r="U31" i="7"/>
  <c r="V31" i="7"/>
  <c r="W31" i="7"/>
  <c r="R32" i="7"/>
  <c r="S32" i="7"/>
  <c r="T32" i="7"/>
  <c r="U32" i="7"/>
  <c r="V32" i="7"/>
  <c r="W32" i="7"/>
  <c r="R33" i="7"/>
  <c r="S33" i="7"/>
  <c r="T33" i="7"/>
  <c r="U33" i="7"/>
  <c r="V33" i="7"/>
  <c r="W33" i="7"/>
  <c r="R34" i="7"/>
  <c r="S34" i="7"/>
  <c r="T34" i="7"/>
  <c r="U34" i="7"/>
  <c r="V34" i="7"/>
  <c r="W34" i="7"/>
  <c r="R35" i="7"/>
  <c r="S35" i="7"/>
  <c r="T35" i="7"/>
  <c r="U35" i="7"/>
  <c r="V35" i="7"/>
  <c r="W35" i="7"/>
  <c r="R36" i="7"/>
  <c r="S36" i="7"/>
  <c r="T36" i="7"/>
  <c r="U36" i="7"/>
  <c r="V36" i="7"/>
  <c r="W36" i="7"/>
  <c r="R37" i="7"/>
  <c r="S37" i="7"/>
  <c r="T37" i="7"/>
  <c r="U37" i="7"/>
  <c r="V37" i="7"/>
  <c r="W37" i="7"/>
  <c r="R38" i="7"/>
  <c r="S38" i="7"/>
  <c r="T38" i="7"/>
  <c r="U38" i="7"/>
  <c r="V38" i="7"/>
  <c r="W38" i="7"/>
  <c r="R39" i="7"/>
  <c r="S39" i="7"/>
  <c r="T39" i="7"/>
  <c r="U39" i="7"/>
  <c r="V39" i="7"/>
  <c r="W39" i="7"/>
  <c r="R40" i="7"/>
  <c r="S40" i="7"/>
  <c r="T40" i="7"/>
  <c r="U40" i="7"/>
  <c r="V40" i="7"/>
  <c r="W40" i="7"/>
  <c r="R41" i="7"/>
  <c r="S41" i="7"/>
  <c r="T41" i="7"/>
  <c r="U41" i="7"/>
  <c r="V41" i="7"/>
  <c r="W41" i="7"/>
  <c r="R42" i="7"/>
  <c r="S42" i="7"/>
  <c r="T42" i="7"/>
  <c r="U42" i="7"/>
  <c r="V42" i="7"/>
  <c r="W42" i="7"/>
  <c r="R43" i="7"/>
  <c r="S43" i="7"/>
  <c r="T43" i="7"/>
  <c r="U43" i="7"/>
  <c r="V43" i="7"/>
  <c r="W43" i="7"/>
  <c r="R44" i="7"/>
  <c r="S44" i="7"/>
  <c r="T44" i="7"/>
  <c r="U44" i="7"/>
  <c r="V44" i="7"/>
  <c r="W44" i="7"/>
  <c r="R45" i="7"/>
  <c r="S45" i="7"/>
  <c r="T45" i="7"/>
  <c r="U45" i="7"/>
  <c r="V45" i="7"/>
  <c r="W45" i="7"/>
  <c r="R46" i="7"/>
  <c r="S46" i="7"/>
  <c r="T46" i="7"/>
  <c r="U46" i="7"/>
  <c r="V46" i="7"/>
  <c r="W46" i="7"/>
  <c r="R47" i="7"/>
  <c r="S47" i="7"/>
  <c r="T47" i="7"/>
  <c r="U47" i="7"/>
  <c r="V47" i="7"/>
  <c r="W47" i="7"/>
  <c r="R48" i="7"/>
  <c r="S48" i="7"/>
  <c r="T48" i="7"/>
  <c r="U48" i="7"/>
  <c r="V48" i="7"/>
  <c r="W48" i="7"/>
  <c r="R49" i="7"/>
  <c r="S49" i="7"/>
  <c r="T49" i="7"/>
  <c r="U49" i="7"/>
  <c r="V49" i="7"/>
  <c r="W49" i="7"/>
  <c r="R50" i="7"/>
  <c r="S50" i="7"/>
  <c r="T50" i="7"/>
  <c r="U50" i="7"/>
  <c r="V50" i="7"/>
  <c r="W50" i="7"/>
  <c r="R51" i="7"/>
  <c r="S51" i="7"/>
  <c r="T51" i="7"/>
  <c r="U51" i="7"/>
  <c r="V51" i="7"/>
  <c r="W51" i="7"/>
  <c r="R52" i="7"/>
  <c r="S52" i="7"/>
  <c r="T52" i="7"/>
  <c r="U52" i="7"/>
  <c r="V52" i="7"/>
  <c r="W52" i="7"/>
  <c r="R53" i="7"/>
  <c r="S53" i="7"/>
  <c r="T53" i="7"/>
  <c r="U53" i="7"/>
  <c r="V53" i="7"/>
  <c r="W53" i="7"/>
  <c r="R54" i="7"/>
  <c r="S54" i="7"/>
  <c r="T54" i="7"/>
  <c r="U54" i="7"/>
  <c r="V54" i="7"/>
  <c r="W54" i="7"/>
  <c r="R55" i="7"/>
  <c r="S55" i="7"/>
  <c r="T55" i="7"/>
  <c r="U55" i="7"/>
  <c r="V55" i="7"/>
  <c r="W55" i="7"/>
  <c r="R56" i="7"/>
  <c r="S56" i="7"/>
  <c r="T56" i="7"/>
  <c r="U56" i="7"/>
  <c r="V56" i="7"/>
  <c r="W56" i="7"/>
  <c r="R57" i="7"/>
  <c r="S57" i="7"/>
  <c r="T57" i="7"/>
  <c r="U57" i="7"/>
  <c r="V57" i="7"/>
  <c r="W57" i="7"/>
  <c r="R58" i="7"/>
  <c r="S58" i="7"/>
  <c r="T58" i="7"/>
  <c r="U58" i="7"/>
  <c r="V58" i="7"/>
  <c r="W58" i="7"/>
  <c r="W2" i="7"/>
  <c r="V2" i="7"/>
  <c r="U2" i="7"/>
  <c r="T2" i="7"/>
  <c r="S2" i="7"/>
  <c r="R2" i="7"/>
  <c r="V8" i="5"/>
  <c r="R3" i="5"/>
  <c r="S3" i="5"/>
  <c r="T3" i="5"/>
  <c r="U3" i="5"/>
  <c r="V3" i="5"/>
  <c r="W3" i="5"/>
  <c r="R4" i="5"/>
  <c r="S4" i="5"/>
  <c r="T4" i="5"/>
  <c r="U4" i="5"/>
  <c r="V4" i="5"/>
  <c r="W4" i="5"/>
  <c r="R5" i="5"/>
  <c r="S5" i="5"/>
  <c r="T5" i="5"/>
  <c r="U5" i="5"/>
  <c r="V5" i="5"/>
  <c r="W5" i="5"/>
  <c r="R6" i="5"/>
  <c r="S6" i="5"/>
  <c r="T6" i="5"/>
  <c r="U6" i="5"/>
  <c r="V6" i="5"/>
  <c r="W6" i="5"/>
  <c r="R7" i="5"/>
  <c r="S7" i="5"/>
  <c r="T7" i="5"/>
  <c r="U7" i="5"/>
  <c r="V7" i="5"/>
  <c r="W7" i="5"/>
  <c r="R8" i="5"/>
  <c r="S8" i="5"/>
  <c r="T8" i="5"/>
  <c r="U8" i="5"/>
  <c r="W8" i="5"/>
  <c r="R9" i="5"/>
  <c r="S9" i="5"/>
  <c r="T9" i="5"/>
  <c r="U9" i="5"/>
  <c r="V9" i="5"/>
  <c r="W9" i="5"/>
  <c r="R10" i="5"/>
  <c r="S10" i="5"/>
  <c r="T10" i="5"/>
  <c r="U10" i="5"/>
  <c r="V10" i="5"/>
  <c r="W10" i="5"/>
  <c r="R11" i="5"/>
  <c r="S11" i="5"/>
  <c r="T11" i="5"/>
  <c r="U11" i="5"/>
  <c r="V11" i="5"/>
  <c r="W11" i="5"/>
  <c r="R12" i="5"/>
  <c r="S12" i="5"/>
  <c r="T12" i="5"/>
  <c r="U12" i="5"/>
  <c r="V12" i="5"/>
  <c r="W12" i="5"/>
  <c r="R13" i="5"/>
  <c r="S13" i="5"/>
  <c r="T13" i="5"/>
  <c r="U13" i="5"/>
  <c r="V13" i="5"/>
  <c r="W13" i="5"/>
  <c r="R14" i="5"/>
  <c r="S14" i="5"/>
  <c r="T14" i="5"/>
  <c r="U14" i="5"/>
  <c r="V14" i="5"/>
  <c r="W14" i="5"/>
  <c r="R15" i="5"/>
  <c r="S15" i="5"/>
  <c r="T15" i="5"/>
  <c r="U15" i="5"/>
  <c r="V15" i="5"/>
  <c r="W15" i="5"/>
  <c r="R16" i="5"/>
  <c r="S16" i="5"/>
  <c r="T16" i="5"/>
  <c r="U16" i="5"/>
  <c r="V16" i="5"/>
  <c r="W16" i="5"/>
  <c r="R17" i="5"/>
  <c r="S17" i="5"/>
  <c r="T17" i="5"/>
  <c r="U17" i="5"/>
  <c r="V17" i="5"/>
  <c r="W17" i="5"/>
  <c r="R18" i="5"/>
  <c r="S18" i="5"/>
  <c r="T18" i="5"/>
  <c r="U18" i="5"/>
  <c r="V18" i="5"/>
  <c r="W18" i="5"/>
  <c r="R19" i="5"/>
  <c r="S19" i="5"/>
  <c r="T19" i="5"/>
  <c r="U19" i="5"/>
  <c r="V19" i="5"/>
  <c r="W19" i="5"/>
  <c r="R20" i="5"/>
  <c r="S20" i="5"/>
  <c r="T20" i="5"/>
  <c r="U20" i="5"/>
  <c r="V20" i="5"/>
  <c r="W20" i="5"/>
  <c r="R21" i="5"/>
  <c r="S21" i="5"/>
  <c r="T21" i="5"/>
  <c r="U21" i="5"/>
  <c r="V21" i="5"/>
  <c r="W21" i="5"/>
  <c r="R22" i="5"/>
  <c r="S22" i="5"/>
  <c r="T22" i="5"/>
  <c r="U22" i="5"/>
  <c r="V22" i="5"/>
  <c r="W22" i="5"/>
  <c r="R23" i="5"/>
  <c r="S23" i="5"/>
  <c r="T23" i="5"/>
  <c r="U23" i="5"/>
  <c r="V23" i="5"/>
  <c r="W23" i="5"/>
  <c r="R24" i="5"/>
  <c r="S24" i="5"/>
  <c r="T24" i="5"/>
  <c r="U24" i="5"/>
  <c r="V24" i="5"/>
  <c r="W24" i="5"/>
  <c r="R25" i="5"/>
  <c r="S25" i="5"/>
  <c r="T25" i="5"/>
  <c r="U25" i="5"/>
  <c r="V25" i="5"/>
  <c r="W25" i="5"/>
  <c r="R26" i="5"/>
  <c r="S26" i="5"/>
  <c r="T26" i="5"/>
  <c r="U26" i="5"/>
  <c r="V26" i="5"/>
  <c r="W26" i="5"/>
  <c r="R27" i="5"/>
  <c r="S27" i="5"/>
  <c r="T27" i="5"/>
  <c r="U27" i="5"/>
  <c r="V27" i="5"/>
  <c r="W27" i="5"/>
  <c r="R28" i="5"/>
  <c r="S28" i="5"/>
  <c r="T28" i="5"/>
  <c r="U28" i="5"/>
  <c r="V28" i="5"/>
  <c r="W28" i="5"/>
  <c r="R29" i="5"/>
  <c r="S29" i="5"/>
  <c r="T29" i="5"/>
  <c r="U29" i="5"/>
  <c r="V29" i="5"/>
  <c r="W29" i="5"/>
  <c r="R30" i="5"/>
  <c r="S30" i="5"/>
  <c r="T30" i="5"/>
  <c r="U30" i="5"/>
  <c r="V30" i="5"/>
  <c r="W30" i="5"/>
  <c r="R31" i="5"/>
  <c r="S31" i="5"/>
  <c r="T31" i="5"/>
  <c r="U31" i="5"/>
  <c r="V31" i="5"/>
  <c r="W31" i="5"/>
  <c r="R32" i="5"/>
  <c r="S32" i="5"/>
  <c r="T32" i="5"/>
  <c r="U32" i="5"/>
  <c r="V32" i="5"/>
  <c r="W32" i="5"/>
  <c r="R33" i="5"/>
  <c r="S33" i="5"/>
  <c r="T33" i="5"/>
  <c r="U33" i="5"/>
  <c r="V33" i="5"/>
  <c r="W33" i="5"/>
  <c r="R34" i="5"/>
  <c r="S34" i="5"/>
  <c r="T34" i="5"/>
  <c r="U34" i="5"/>
  <c r="V34" i="5"/>
  <c r="W34" i="5"/>
  <c r="R35" i="5"/>
  <c r="S35" i="5"/>
  <c r="T35" i="5"/>
  <c r="U35" i="5"/>
  <c r="V35" i="5"/>
  <c r="W35" i="5"/>
  <c r="R36" i="5"/>
  <c r="S36" i="5"/>
  <c r="T36" i="5"/>
  <c r="U36" i="5"/>
  <c r="V36" i="5"/>
  <c r="W36" i="5"/>
  <c r="R37" i="5"/>
  <c r="S37" i="5"/>
  <c r="T37" i="5"/>
  <c r="U37" i="5"/>
  <c r="V37" i="5"/>
  <c r="W37" i="5"/>
  <c r="R38" i="5"/>
  <c r="S38" i="5"/>
  <c r="T38" i="5"/>
  <c r="U38" i="5"/>
  <c r="V38" i="5"/>
  <c r="W38" i="5"/>
  <c r="R39" i="5"/>
  <c r="S39" i="5"/>
  <c r="T39" i="5"/>
  <c r="U39" i="5"/>
  <c r="V39" i="5"/>
  <c r="W39" i="5"/>
  <c r="R40" i="5"/>
  <c r="S40" i="5"/>
  <c r="T40" i="5"/>
  <c r="U40" i="5"/>
  <c r="V40" i="5"/>
  <c r="W40" i="5"/>
  <c r="R41" i="5"/>
  <c r="S41" i="5"/>
  <c r="T41" i="5"/>
  <c r="U41" i="5"/>
  <c r="V41" i="5"/>
  <c r="W41" i="5"/>
  <c r="R42" i="5"/>
  <c r="S42" i="5"/>
  <c r="T42" i="5"/>
  <c r="U42" i="5"/>
  <c r="V42" i="5"/>
  <c r="W42" i="5"/>
  <c r="R43" i="5"/>
  <c r="S43" i="5"/>
  <c r="T43" i="5"/>
  <c r="U43" i="5"/>
  <c r="V43" i="5"/>
  <c r="W43" i="5"/>
  <c r="R44" i="5"/>
  <c r="S44" i="5"/>
  <c r="T44" i="5"/>
  <c r="U44" i="5"/>
  <c r="V44" i="5"/>
  <c r="W44" i="5"/>
  <c r="R45" i="5"/>
  <c r="S45" i="5"/>
  <c r="T45" i="5"/>
  <c r="U45" i="5"/>
  <c r="V45" i="5"/>
  <c r="W45" i="5"/>
  <c r="R46" i="5"/>
  <c r="S46" i="5"/>
  <c r="T46" i="5"/>
  <c r="U46" i="5"/>
  <c r="V46" i="5"/>
  <c r="W46" i="5"/>
  <c r="R47" i="5"/>
  <c r="S47" i="5"/>
  <c r="T47" i="5"/>
  <c r="U47" i="5"/>
  <c r="V47" i="5"/>
  <c r="W47" i="5"/>
  <c r="R48" i="5"/>
  <c r="S48" i="5"/>
  <c r="T48" i="5"/>
  <c r="U48" i="5"/>
  <c r="V48" i="5"/>
  <c r="W48" i="5"/>
  <c r="R49" i="5"/>
  <c r="S49" i="5"/>
  <c r="T49" i="5"/>
  <c r="U49" i="5"/>
  <c r="V49" i="5"/>
  <c r="W49" i="5"/>
  <c r="R50" i="5"/>
  <c r="S50" i="5"/>
  <c r="T50" i="5"/>
  <c r="U50" i="5"/>
  <c r="V50" i="5"/>
  <c r="W50" i="5"/>
  <c r="R51" i="5"/>
  <c r="S51" i="5"/>
  <c r="T51" i="5"/>
  <c r="U51" i="5"/>
  <c r="V51" i="5"/>
  <c r="W51" i="5"/>
  <c r="R52" i="5"/>
  <c r="S52" i="5"/>
  <c r="T52" i="5"/>
  <c r="U52" i="5"/>
  <c r="V52" i="5"/>
  <c r="W52" i="5"/>
  <c r="R53" i="5"/>
  <c r="S53" i="5"/>
  <c r="T53" i="5"/>
  <c r="U53" i="5"/>
  <c r="V53" i="5"/>
  <c r="W53" i="5"/>
  <c r="R54" i="5"/>
  <c r="S54" i="5"/>
  <c r="T54" i="5"/>
  <c r="U54" i="5"/>
  <c r="V54" i="5"/>
  <c r="W54" i="5"/>
  <c r="R55" i="5"/>
  <c r="S55" i="5"/>
  <c r="T55" i="5"/>
  <c r="U55" i="5"/>
  <c r="V55" i="5"/>
  <c r="W55" i="5"/>
  <c r="R56" i="5"/>
  <c r="S56" i="5"/>
  <c r="T56" i="5"/>
  <c r="U56" i="5"/>
  <c r="V56" i="5"/>
  <c r="W56" i="5"/>
  <c r="R57" i="5"/>
  <c r="S57" i="5"/>
  <c r="T57" i="5"/>
  <c r="U57" i="5"/>
  <c r="V57" i="5"/>
  <c r="W57" i="5"/>
  <c r="R58" i="5"/>
  <c r="S58" i="5"/>
  <c r="T58" i="5"/>
  <c r="U58" i="5"/>
  <c r="V58" i="5"/>
  <c r="W58" i="5"/>
  <c r="W2" i="5"/>
  <c r="V2" i="5"/>
  <c r="U2" i="5"/>
  <c r="T2" i="5"/>
  <c r="S2" i="5"/>
  <c r="R2" i="5"/>
  <c r="A134" i="14" l="1"/>
  <c r="A89" i="14"/>
  <c r="A133" i="14"/>
  <c r="A94" i="14"/>
  <c r="A27" i="34"/>
  <c r="A22" i="34"/>
  <c r="A132" i="14"/>
  <c r="A65" i="14"/>
  <c r="A62" i="14"/>
  <c r="A61" i="14"/>
  <c r="A139" i="14"/>
  <c r="A69" i="14"/>
  <c r="A66" i="14"/>
  <c r="A25" i="34"/>
  <c r="A21" i="34"/>
  <c r="A26" i="34"/>
  <c r="A31" i="34"/>
  <c r="A20" i="34"/>
  <c r="A29" i="34"/>
  <c r="A28" i="34"/>
  <c r="A24" i="34"/>
  <c r="A136" i="14"/>
  <c r="A131" i="14"/>
  <c r="A130" i="14"/>
  <c r="A72" i="14"/>
  <c r="A67" i="14"/>
  <c r="A64" i="14"/>
  <c r="A70" i="14"/>
  <c r="A78" i="14"/>
  <c r="A79" i="14"/>
  <c r="A13" i="35"/>
  <c r="A18" i="35"/>
  <c r="A23" i="33"/>
  <c r="A32" i="33"/>
  <c r="A31" i="33"/>
  <c r="A34" i="14"/>
  <c r="A44" i="14"/>
  <c r="A27" i="33"/>
  <c r="A38" i="33"/>
  <c r="A46" i="33"/>
  <c r="A47" i="33"/>
  <c r="A99" i="14"/>
  <c r="A100" i="14"/>
  <c r="A95" i="14"/>
  <c r="A97" i="14"/>
  <c r="A60" i="14"/>
  <c r="A49" i="14"/>
  <c r="A91" i="14"/>
  <c r="A138" i="14"/>
  <c r="A135" i="14"/>
  <c r="A4" i="14"/>
  <c r="A16" i="14"/>
  <c r="A17" i="14"/>
  <c r="A18" i="14"/>
  <c r="A88" i="14"/>
  <c r="A19" i="34"/>
  <c r="A33" i="34"/>
  <c r="A32" i="34"/>
  <c r="A90" i="14"/>
  <c r="A153" i="14"/>
  <c r="A154" i="14"/>
  <c r="A31" i="14"/>
  <c r="A32" i="14"/>
  <c r="A93" i="14"/>
  <c r="A68" i="14"/>
  <c r="A63" i="14"/>
  <c r="A75" i="14"/>
  <c r="A74" i="14"/>
  <c r="A73" i="14"/>
  <c r="A116" i="14"/>
  <c r="A113" i="14"/>
  <c r="A155" i="14"/>
  <c r="AF4" i="14"/>
  <c r="AR4" i="14" s="1"/>
  <c r="BD4" i="14" s="1" a="1"/>
  <c r="AG4" i="14"/>
  <c r="AS4" i="14" s="1"/>
  <c r="BE4" i="14" s="1" a="1"/>
  <c r="AH4" i="14"/>
  <c r="AT4" i="14" s="1"/>
  <c r="BF4" i="14" s="1" a="1"/>
  <c r="AI4" i="14"/>
  <c r="AU4" i="14" s="1"/>
  <c r="BG4" i="14" s="1" a="1"/>
  <c r="AJ4" i="14"/>
  <c r="AV4" i="14" s="1"/>
  <c r="BH4" i="14" s="1" a="1"/>
  <c r="AD4" i="14"/>
  <c r="AP4" i="14" s="1"/>
  <c r="BB4" i="14" s="1" a="1"/>
  <c r="AK4" i="14"/>
  <c r="AW4" i="14" s="1"/>
  <c r="BI4" i="14" s="1" a="1"/>
  <c r="AL4" i="14"/>
  <c r="AX4" i="14" s="1"/>
  <c r="BJ4" i="14" s="1" a="1"/>
  <c r="AC4" i="14"/>
  <c r="AO4" i="14" s="1"/>
  <c r="BA4" i="14" s="1" a="1"/>
  <c r="AM4" i="14"/>
  <c r="AY4" i="14" s="1"/>
  <c r="BK4" i="14" s="1" a="1"/>
  <c r="AB4" i="14"/>
  <c r="AN4" i="14" s="1"/>
  <c r="AZ4" i="14" s="1" a="1"/>
  <c r="AE4" i="14"/>
  <c r="AQ4" i="14" s="1"/>
  <c r="BC4" i="14" s="1" a="1"/>
  <c r="A39" i="33"/>
  <c r="A164" i="14"/>
  <c r="A162" i="14"/>
  <c r="A36" i="33"/>
  <c r="A161" i="14"/>
  <c r="A49" i="33"/>
  <c r="A22" i="33"/>
  <c r="A92" i="14"/>
  <c r="A102" i="14"/>
  <c r="A158" i="14"/>
  <c r="A21" i="33"/>
  <c r="A30" i="34"/>
  <c r="A157" i="14"/>
  <c r="A20" i="33"/>
  <c r="A14" i="35"/>
  <c r="A98" i="14"/>
  <c r="A26" i="33"/>
  <c r="A16" i="35"/>
  <c r="A25" i="33"/>
  <c r="A17" i="35"/>
  <c r="A37" i="33"/>
  <c r="A10" i="35"/>
  <c r="A35" i="33"/>
  <c r="A19" i="33"/>
  <c r="A45" i="33"/>
  <c r="A44" i="33"/>
  <c r="A7" i="35"/>
  <c r="A43" i="33"/>
  <c r="A30" i="33"/>
  <c r="A12" i="35"/>
  <c r="A9" i="35"/>
  <c r="A41" i="33"/>
  <c r="A34" i="33"/>
  <c r="A5" i="35"/>
  <c r="A29" i="33"/>
  <c r="A15" i="35"/>
  <c r="A8" i="35"/>
  <c r="A6" i="35"/>
  <c r="A160" i="14"/>
  <c r="A40" i="33"/>
  <c r="A28" i="33"/>
  <c r="A11" i="35"/>
  <c r="A42" i="33"/>
  <c r="A33" i="33"/>
  <c r="A8" i="34"/>
  <c r="A18" i="33"/>
  <c r="A15" i="33"/>
  <c r="A16" i="33"/>
  <c r="A6" i="33"/>
  <c r="A5" i="34"/>
  <c r="A10" i="33"/>
  <c r="A7" i="33"/>
  <c r="A7" i="34"/>
  <c r="A8" i="33"/>
  <c r="A17" i="33"/>
  <c r="A11" i="33"/>
  <c r="A4" i="33"/>
  <c r="A12" i="33"/>
  <c r="A14" i="33"/>
  <c r="A13" i="33"/>
  <c r="A4" i="34"/>
  <c r="A5" i="33"/>
  <c r="A41" i="14"/>
  <c r="A45" i="14"/>
  <c r="A42" i="14"/>
  <c r="A33" i="14"/>
  <c r="A85" i="14"/>
  <c r="A84" i="14"/>
  <c r="A83" i="14"/>
  <c r="A80" i="14"/>
  <c r="A81" i="14"/>
  <c r="A40" i="14"/>
  <c r="A77" i="14"/>
  <c r="A38" i="14"/>
  <c r="A35" i="14"/>
  <c r="A36" i="14"/>
  <c r="A39" i="14"/>
  <c r="A46" i="14"/>
  <c r="A43" i="14"/>
  <c r="A37" i="14"/>
  <c r="A87" i="14"/>
  <c r="A86" i="14"/>
  <c r="A82" i="14"/>
  <c r="A76" i="14"/>
  <c r="A57" i="14"/>
  <c r="A58" i="14"/>
  <c r="A48" i="14"/>
  <c r="A50" i="14"/>
  <c r="A51" i="14"/>
  <c r="A53" i="14"/>
  <c r="A52" i="14"/>
  <c r="A54" i="14"/>
  <c r="A55" i="14"/>
  <c r="A56" i="14"/>
  <c r="A59" i="14"/>
  <c r="A47" i="14"/>
  <c r="A11" i="14"/>
  <c r="A15" i="14"/>
  <c r="A12" i="14"/>
  <c r="A13" i="14"/>
  <c r="A14" i="14"/>
  <c r="A8" i="14"/>
  <c r="A10" i="14"/>
  <c r="A5" i="14"/>
  <c r="A6" i="14"/>
  <c r="A7" i="14"/>
  <c r="A9" i="14"/>
  <c r="A28" i="14"/>
  <c r="A29" i="14"/>
  <c r="A30" i="14"/>
  <c r="A19" i="14"/>
  <c r="A20" i="14"/>
  <c r="A21" i="14"/>
  <c r="A22" i="14"/>
  <c r="A24" i="14"/>
  <c r="A23" i="14"/>
  <c r="A25" i="14"/>
  <c r="A26" i="14"/>
  <c r="A27" i="14"/>
  <c r="AH4" i="1"/>
  <c r="AU4" i="1" s="1"/>
  <c r="AI4" i="1"/>
  <c r="AV4" i="1" s="1"/>
  <c r="AJ4" i="1"/>
  <c r="AW4" i="1" s="1"/>
  <c r="AF5" i="1"/>
  <c r="AS5" i="1" s="1"/>
  <c r="AH5" i="1"/>
  <c r="AU5" i="1" s="1"/>
  <c r="AI6" i="1"/>
  <c r="AV6" i="1" s="1"/>
  <c r="AJ6" i="1"/>
  <c r="AW6" i="1" s="1"/>
  <c r="AE7" i="1"/>
  <c r="AR7" i="1" s="1"/>
  <c r="AF7" i="1"/>
  <c r="AS7" i="1" s="1"/>
  <c r="AH7" i="1"/>
  <c r="AU7" i="1" s="1"/>
  <c r="AE9" i="1"/>
  <c r="AR9" i="1" s="1"/>
  <c r="AF9" i="1"/>
  <c r="AS9" i="1" s="1"/>
  <c r="AG9" i="1"/>
  <c r="AT9" i="1" s="1"/>
  <c r="AH9" i="1"/>
  <c r="AU9" i="1" s="1"/>
  <c r="AH10" i="1"/>
  <c r="AU10" i="1" s="1"/>
  <c r="AH11" i="1"/>
  <c r="AU11" i="1" s="1"/>
  <c r="AI11" i="1"/>
  <c r="AV11" i="1" s="1"/>
  <c r="AJ11" i="1"/>
  <c r="AW11" i="1" s="1"/>
  <c r="AG13" i="1"/>
  <c r="AT13" i="1" s="1"/>
  <c r="AI13" i="1"/>
  <c r="AV13" i="1" s="1"/>
  <c r="AJ13" i="1"/>
  <c r="AW13" i="1" s="1"/>
  <c r="AE14" i="1"/>
  <c r="AR14" i="1" s="1"/>
  <c r="AF14" i="1"/>
  <c r="AS14" i="1" s="1"/>
  <c r="AH14" i="1"/>
  <c r="AU14" i="1" s="1"/>
  <c r="AE16" i="1"/>
  <c r="AR16" i="1" s="1"/>
  <c r="AF16" i="1"/>
  <c r="AS16" i="1" s="1"/>
  <c r="AG16" i="1"/>
  <c r="AT16" i="1" s="1"/>
  <c r="AH16" i="1"/>
  <c r="AU16" i="1" s="1"/>
  <c r="AG17" i="1"/>
  <c r="AT17" i="1" s="1"/>
  <c r="AH18" i="1"/>
  <c r="AU18" i="1" s="1"/>
  <c r="AI18" i="1"/>
  <c r="AV18" i="1" s="1"/>
  <c r="AJ18" i="1"/>
  <c r="AW18" i="1" s="1"/>
  <c r="AH19" i="1"/>
  <c r="AU19" i="1" s="1"/>
  <c r="AG20" i="1"/>
  <c r="AT20" i="1" s="1"/>
  <c r="AI20" i="1"/>
  <c r="AV20" i="1" s="1"/>
  <c r="AJ20" i="1"/>
  <c r="AW20" i="1" s="1"/>
  <c r="AE21" i="1"/>
  <c r="AR21" i="1" s="1"/>
  <c r="AF21" i="1"/>
  <c r="AS21" i="1" s="1"/>
  <c r="AF23" i="1"/>
  <c r="AS23" i="1" s="1"/>
  <c r="AH23" i="1"/>
  <c r="AU23" i="1" s="1"/>
  <c r="AJ23" i="1"/>
  <c r="AW23" i="1" s="1"/>
  <c r="AE25" i="1"/>
  <c r="AR25" i="1" s="1"/>
  <c r="AG25" i="1"/>
  <c r="AT25" i="1" s="1"/>
  <c r="AH25" i="1"/>
  <c r="AU25" i="1" s="1"/>
  <c r="AI25" i="1"/>
  <c r="AV25" i="1" s="1"/>
  <c r="AJ25" i="1"/>
  <c r="AW25" i="1" s="1"/>
  <c r="AF26" i="1"/>
  <c r="AS26" i="1" s="1"/>
  <c r="AI26" i="1"/>
  <c r="AV26" i="1" s="1"/>
  <c r="AJ27" i="1"/>
  <c r="AW27" i="1" s="1"/>
  <c r="AE28" i="1"/>
  <c r="AR28" i="1" s="1"/>
  <c r="AF28" i="1"/>
  <c r="AS28" i="1" s="1"/>
  <c r="AH28" i="1"/>
  <c r="AU28" i="1" s="1"/>
  <c r="AE30" i="1"/>
  <c r="AR30" i="1" s="1"/>
  <c r="AF30" i="1"/>
  <c r="AS30" i="1" s="1"/>
  <c r="AG30" i="1"/>
  <c r="AT30" i="1" s="1"/>
  <c r="AH30" i="1"/>
  <c r="AU30" i="1" s="1"/>
  <c r="AJ30" i="1"/>
  <c r="AW30" i="1" s="1"/>
  <c r="AF31" i="1"/>
  <c r="AS31" i="1" s="1"/>
  <c r="AG31" i="1"/>
  <c r="AT31" i="1" s="1"/>
  <c r="AE32" i="1"/>
  <c r="AR32" i="1" s="1"/>
  <c r="AG32" i="1"/>
  <c r="AT32" i="1" s="1"/>
  <c r="AI32" i="1"/>
  <c r="AV32" i="1" s="1"/>
  <c r="AJ32" i="1"/>
  <c r="AW32" i="1" s="1"/>
  <c r="AE33" i="1"/>
  <c r="AR33" i="1" s="1"/>
  <c r="AF33" i="1"/>
  <c r="AS33" i="1" s="1"/>
  <c r="AJ34" i="1"/>
  <c r="AW34" i="1" s="1"/>
  <c r="AE35" i="1"/>
  <c r="AR35" i="1" s="1"/>
  <c r="AF35" i="1"/>
  <c r="AS35" i="1" s="1"/>
  <c r="AG35" i="1"/>
  <c r="AT35" i="1" s="1"/>
  <c r="AH35" i="1"/>
  <c r="AU35" i="1" s="1"/>
  <c r="AE36" i="1"/>
  <c r="AR36" i="1" s="1"/>
  <c r="AI36" i="1"/>
  <c r="AV36" i="1" s="1"/>
  <c r="AE37" i="1"/>
  <c r="AR37" i="1" s="1"/>
  <c r="AF37" i="1"/>
  <c r="AS37" i="1" s="1"/>
  <c r="AG37" i="1"/>
  <c r="AT37" i="1" s="1"/>
  <c r="AH37" i="1"/>
  <c r="AU37" i="1" s="1"/>
  <c r="AH38" i="1"/>
  <c r="AU38" i="1" s="1"/>
  <c r="AE39" i="1"/>
  <c r="AR39" i="1" s="1"/>
  <c r="AG39" i="1"/>
  <c r="AT39" i="1" s="1"/>
  <c r="AI39" i="1"/>
  <c r="AV39" i="1" s="1"/>
  <c r="AJ39" i="1"/>
  <c r="AW39" i="1" s="1"/>
  <c r="AE40" i="1"/>
  <c r="AR40" i="1" s="1"/>
  <c r="AF40" i="1"/>
  <c r="AS40" i="1" s="1"/>
  <c r="AJ40" i="1"/>
  <c r="AW40" i="1" s="1"/>
  <c r="AE41" i="1"/>
  <c r="AR41" i="1" s="1"/>
  <c r="AG41" i="1"/>
  <c r="AT41" i="1" s="1"/>
  <c r="AI41" i="1"/>
  <c r="AV41" i="1" s="1"/>
  <c r="AJ41" i="1"/>
  <c r="AW41" i="1" s="1"/>
  <c r="AE42" i="1"/>
  <c r="AR42" i="1" s="1"/>
  <c r="AF42" i="1"/>
  <c r="AS42" i="1" s="1"/>
  <c r="AH42" i="1"/>
  <c r="AU42" i="1" s="1"/>
  <c r="AJ42" i="1"/>
  <c r="AW42" i="1" s="1"/>
  <c r="AF43" i="1"/>
  <c r="AS43" i="1" s="1"/>
  <c r="AI43" i="1"/>
  <c r="AV43" i="1" s="1"/>
  <c r="AJ43" i="1"/>
  <c r="AW43" i="1" s="1"/>
  <c r="AH44" i="1"/>
  <c r="AU44" i="1" s="1"/>
  <c r="AH45" i="1"/>
  <c r="AU45" i="1" s="1"/>
  <c r="AH46" i="1"/>
  <c r="AU46" i="1" s="1"/>
  <c r="AI46" i="1"/>
  <c r="AV46" i="1" s="1"/>
  <c r="AJ46" i="1"/>
  <c r="AW46" i="1" s="1"/>
  <c r="AI47" i="1"/>
  <c r="AV47" i="1" s="1"/>
  <c r="AJ47" i="1"/>
  <c r="AW47" i="1" s="1"/>
  <c r="AG48" i="1"/>
  <c r="AT48" i="1" s="1"/>
  <c r="AI48" i="1"/>
  <c r="AV48" i="1" s="1"/>
  <c r="AJ48" i="1"/>
  <c r="AW48" i="1" s="1"/>
  <c r="AE49" i="1"/>
  <c r="AR49" i="1" s="1"/>
  <c r="AF49" i="1"/>
  <c r="AS49" i="1" s="1"/>
  <c r="AJ49" i="1"/>
  <c r="AW49" i="1" s="1"/>
  <c r="AE51" i="1"/>
  <c r="AR51" i="1" s="1"/>
  <c r="AF51" i="1"/>
  <c r="AS51" i="1" s="1"/>
  <c r="AG51" i="1"/>
  <c r="AT51" i="1" s="1"/>
  <c r="AH51" i="1"/>
  <c r="AU51" i="1" s="1"/>
  <c r="AI51" i="1"/>
  <c r="AV51" i="1" s="1"/>
  <c r="AJ51" i="1"/>
  <c r="AW51" i="1" s="1"/>
  <c r="AG53" i="1"/>
  <c r="AT53" i="1" s="1"/>
  <c r="AH53" i="1"/>
  <c r="AU53" i="1" s="1"/>
  <c r="AI53" i="1"/>
  <c r="AV53" i="1" s="1"/>
  <c r="AJ53" i="1"/>
  <c r="AW53" i="1" s="1"/>
  <c r="AJ55" i="1"/>
  <c r="AW55" i="1" s="1"/>
  <c r="AE56" i="1"/>
  <c r="AR56" i="1" s="1"/>
  <c r="AF56" i="1"/>
  <c r="AS56" i="1" s="1"/>
  <c r="AG57" i="1"/>
  <c r="AT57" i="1" s="1"/>
  <c r="AE58" i="1"/>
  <c r="AR58" i="1" s="1"/>
  <c r="AF58" i="1"/>
  <c r="AS58" i="1" s="1"/>
  <c r="AG58" i="1"/>
  <c r="AT58" i="1" s="1"/>
  <c r="AH58" i="1"/>
  <c r="AU58" i="1" s="1"/>
  <c r="AJ58" i="1"/>
  <c r="AW58" i="1" s="1"/>
  <c r="AI3" i="12"/>
  <c r="AV3" i="12" s="1"/>
  <c r="AM3" i="12"/>
  <c r="AZ3" i="12" s="1"/>
  <c r="AP3" i="12"/>
  <c r="BC3" i="12" s="1"/>
  <c r="AF4" i="12"/>
  <c r="AL4" i="12"/>
  <c r="AY4" i="12" s="1"/>
  <c r="AN4" i="12"/>
  <c r="BA4" i="12" s="1"/>
  <c r="AO4" i="12"/>
  <c r="BB4" i="12" s="1"/>
  <c r="AP4" i="12"/>
  <c r="AF5" i="12"/>
  <c r="AS5" i="12" s="1"/>
  <c r="AG5" i="12"/>
  <c r="AT5" i="12" s="1"/>
  <c r="AH5" i="12"/>
  <c r="AU5" i="12" s="1"/>
  <c r="AE6" i="12"/>
  <c r="AR6" i="12" s="1"/>
  <c r="AI6" i="12"/>
  <c r="AV6" i="12" s="1"/>
  <c r="AJ6" i="12"/>
  <c r="AW6" i="12" s="1"/>
  <c r="AO6" i="12"/>
  <c r="BB6" i="12" s="1"/>
  <c r="AP6" i="12"/>
  <c r="BC6" i="12" s="1"/>
  <c r="AF7" i="12"/>
  <c r="AG7" i="12"/>
  <c r="AT7" i="12" s="1"/>
  <c r="AH7" i="12"/>
  <c r="AU7" i="12" s="1"/>
  <c r="AJ7" i="12"/>
  <c r="AW7" i="12" s="1"/>
  <c r="AK7" i="12"/>
  <c r="AX7" i="12" s="1"/>
  <c r="AL7" i="12"/>
  <c r="AY7" i="12" s="1"/>
  <c r="AI8" i="12"/>
  <c r="AV8" i="12" s="1"/>
  <c r="AL8" i="12"/>
  <c r="AY8" i="12" s="1"/>
  <c r="AM8" i="12"/>
  <c r="AZ8" i="12" s="1"/>
  <c r="AN8" i="12"/>
  <c r="BA8" i="12" s="1"/>
  <c r="AH9" i="12"/>
  <c r="AU9" i="12" s="1"/>
  <c r="AJ9" i="12"/>
  <c r="AW9" i="12" s="1"/>
  <c r="AK9" i="12"/>
  <c r="AX9" i="12" s="1"/>
  <c r="AL9" i="12"/>
  <c r="AO9" i="12"/>
  <c r="BB9" i="12" s="1"/>
  <c r="AP9" i="12"/>
  <c r="BC9" i="12" s="1"/>
  <c r="AL10" i="12"/>
  <c r="AY10" i="12" s="1"/>
  <c r="AM10" i="12"/>
  <c r="AZ10" i="12" s="1"/>
  <c r="AF11" i="12"/>
  <c r="AS11" i="12" s="1"/>
  <c r="AK11" i="12"/>
  <c r="AX11" i="12" s="1"/>
  <c r="AL11" i="12"/>
  <c r="AY11" i="12" s="1"/>
  <c r="AO11" i="12"/>
  <c r="BB11" i="12" s="1"/>
  <c r="AG12" i="12"/>
  <c r="AT12" i="12" s="1"/>
  <c r="AH12" i="12"/>
  <c r="AU12" i="12" s="1"/>
  <c r="AP12" i="12"/>
  <c r="BC12" i="12" s="1"/>
  <c r="AE13" i="12"/>
  <c r="AR13" i="12" s="1"/>
  <c r="AH13" i="12"/>
  <c r="AU13" i="12" s="1"/>
  <c r="AI13" i="12"/>
  <c r="AV13" i="12" s="1"/>
  <c r="AJ13" i="12"/>
  <c r="AW13" i="12" s="1"/>
  <c r="AP13" i="12"/>
  <c r="BC13" i="12" s="1"/>
  <c r="AG14" i="12"/>
  <c r="AT14" i="12" s="1"/>
  <c r="AJ14" i="12"/>
  <c r="AW14" i="12" s="1"/>
  <c r="AK14" i="12"/>
  <c r="AX14" i="12" s="1"/>
  <c r="AL14" i="12"/>
  <c r="AY14" i="12" s="1"/>
  <c r="AI15" i="12"/>
  <c r="AV15" i="12" s="1"/>
  <c r="AJ15" i="12"/>
  <c r="AL15" i="12"/>
  <c r="AM15" i="12"/>
  <c r="AZ15" i="12" s="1"/>
  <c r="AN15" i="12"/>
  <c r="BA15" i="12" s="1"/>
  <c r="AF16" i="12"/>
  <c r="AS16" i="12" s="1"/>
  <c r="AG16" i="12"/>
  <c r="AT16" i="12" s="1"/>
  <c r="AH16" i="12"/>
  <c r="AK16" i="12"/>
  <c r="AX16" i="12" s="1"/>
  <c r="AN16" i="12"/>
  <c r="BA16" i="12" s="1"/>
  <c r="AO16" i="12"/>
  <c r="BB16" i="12" s="1"/>
  <c r="AP16" i="12"/>
  <c r="BC16" i="12" s="1"/>
  <c r="AJ17" i="12"/>
  <c r="AW17" i="12" s="1"/>
  <c r="AL17" i="12"/>
  <c r="AY17" i="12" s="1"/>
  <c r="AM17" i="12"/>
  <c r="AZ17" i="12" s="1"/>
  <c r="AN17" i="12"/>
  <c r="BA17" i="12" s="1"/>
  <c r="AP17" i="12"/>
  <c r="BC17" i="12" s="1"/>
  <c r="AE18" i="12"/>
  <c r="AR18" i="12" s="1"/>
  <c r="AF18" i="12"/>
  <c r="AS18" i="12" s="1"/>
  <c r="AK18" i="12"/>
  <c r="AX18" i="12" s="1"/>
  <c r="AF19" i="12"/>
  <c r="AS19" i="12" s="1"/>
  <c r="AG19" i="12"/>
  <c r="AT19" i="12" s="1"/>
  <c r="AH19" i="12"/>
  <c r="AU19" i="12" s="1"/>
  <c r="AM19" i="12"/>
  <c r="AN19" i="12"/>
  <c r="BA19" i="12" s="1"/>
  <c r="AE20" i="12"/>
  <c r="AR20" i="12" s="1"/>
  <c r="AI20" i="12"/>
  <c r="AV20" i="12" s="1"/>
  <c r="AJ20" i="12"/>
  <c r="AW20" i="12" s="1"/>
  <c r="AP20" i="12"/>
  <c r="BC20" i="12" s="1"/>
  <c r="AF21" i="12"/>
  <c r="AS21" i="12" s="1"/>
  <c r="AG21" i="12"/>
  <c r="AT21" i="12" s="1"/>
  <c r="AH21" i="12"/>
  <c r="AU21" i="12" s="1"/>
  <c r="AJ21" i="12"/>
  <c r="AW21" i="12" s="1"/>
  <c r="AK21" i="12"/>
  <c r="AX21" i="12" s="1"/>
  <c r="AL21" i="12"/>
  <c r="AY21" i="12" s="1"/>
  <c r="AH22" i="12"/>
  <c r="AU22" i="12" s="1"/>
  <c r="AI22" i="12"/>
  <c r="AV22" i="12" s="1"/>
  <c r="AM22" i="12"/>
  <c r="AZ22" i="12" s="1"/>
  <c r="AN22" i="12"/>
  <c r="BA22" i="12" s="1"/>
  <c r="AP22" i="12"/>
  <c r="BC22" i="12" s="1"/>
  <c r="AH23" i="12"/>
  <c r="AU23" i="12" s="1"/>
  <c r="AJ23" i="12"/>
  <c r="AW23" i="12" s="1"/>
  <c r="AK23" i="12"/>
  <c r="AX23" i="12" s="1"/>
  <c r="AL23" i="12"/>
  <c r="AY23" i="12" s="1"/>
  <c r="AO23" i="12"/>
  <c r="BB23" i="12" s="1"/>
  <c r="AP23" i="12"/>
  <c r="BC23" i="12" s="1"/>
  <c r="AM24" i="12"/>
  <c r="AZ24" i="12" s="1"/>
  <c r="AO24" i="12"/>
  <c r="BB24" i="12" s="1"/>
  <c r="AP24" i="12"/>
  <c r="BC24" i="12" s="1"/>
  <c r="AF25" i="12"/>
  <c r="AS25" i="12" s="1"/>
  <c r="AH25" i="12"/>
  <c r="AU25" i="12" s="1"/>
  <c r="AN25" i="12"/>
  <c r="BA25" i="12" s="1"/>
  <c r="AO25" i="12"/>
  <c r="BB25" i="12" s="1"/>
  <c r="AP25" i="12"/>
  <c r="BC25" i="12" s="1"/>
  <c r="AF26" i="12"/>
  <c r="AS26" i="12" s="1"/>
  <c r="AG26" i="12"/>
  <c r="AT26" i="12" s="1"/>
  <c r="AH26" i="12"/>
  <c r="AU26" i="12" s="1"/>
  <c r="AM26" i="12"/>
  <c r="AZ26" i="12" s="1"/>
  <c r="AP26" i="12"/>
  <c r="BC26" i="12" s="1"/>
  <c r="AE27" i="12"/>
  <c r="AR27" i="12" s="1"/>
  <c r="AF27" i="12"/>
  <c r="AS27" i="12" s="1"/>
  <c r="AH27" i="12"/>
  <c r="AU27" i="12" s="1"/>
  <c r="AI27" i="12"/>
  <c r="AV27" i="12" s="1"/>
  <c r="AJ27" i="12"/>
  <c r="AW27" i="12" s="1"/>
  <c r="AP27" i="12"/>
  <c r="BC27" i="12" s="1"/>
  <c r="AG28" i="12"/>
  <c r="AT28" i="12" s="1"/>
  <c r="AJ28" i="12"/>
  <c r="AW28" i="12" s="1"/>
  <c r="AK28" i="12"/>
  <c r="AX28" i="12" s="1"/>
  <c r="AL28" i="12"/>
  <c r="AY28" i="12" s="1"/>
  <c r="AE29" i="12"/>
  <c r="AR29" i="12" s="1"/>
  <c r="AF29" i="12"/>
  <c r="AS29" i="12" s="1"/>
  <c r="AH29" i="12"/>
  <c r="AU29" i="12" s="1"/>
  <c r="AI29" i="12"/>
  <c r="AV29" i="12" s="1"/>
  <c r="AL29" i="12"/>
  <c r="AY29" i="12" s="1"/>
  <c r="AM29" i="12"/>
  <c r="AZ29" i="12" s="1"/>
  <c r="AH30" i="12"/>
  <c r="AU30" i="12" s="1"/>
  <c r="AK30" i="12"/>
  <c r="AX30" i="12" s="1"/>
  <c r="AM30" i="12"/>
  <c r="AZ30" i="12" s="1"/>
  <c r="AO30" i="12"/>
  <c r="BB30" i="12" s="1"/>
  <c r="AP30" i="12"/>
  <c r="BC30" i="12" s="1"/>
  <c r="AH31" i="12"/>
  <c r="AU31" i="12" s="1"/>
  <c r="AJ31" i="12"/>
  <c r="AW31" i="12" s="1"/>
  <c r="AM31" i="12"/>
  <c r="AZ31" i="12" s="1"/>
  <c r="AN31" i="12"/>
  <c r="BA31" i="12" s="1"/>
  <c r="AP31" i="12"/>
  <c r="BC31" i="12" s="1"/>
  <c r="AE32" i="12"/>
  <c r="AR32" i="12" s="1"/>
  <c r="AF32" i="12"/>
  <c r="AS32" i="12" s="1"/>
  <c r="AN32" i="12"/>
  <c r="BA32" i="12" s="1"/>
  <c r="AO32" i="12"/>
  <c r="BB32" i="12" s="1"/>
  <c r="AP32" i="12"/>
  <c r="AF33" i="12"/>
  <c r="AS33" i="12" s="1"/>
  <c r="AG33" i="12"/>
  <c r="AT33" i="12" s="1"/>
  <c r="AH33" i="12"/>
  <c r="AU33" i="12" s="1"/>
  <c r="AJ33" i="12"/>
  <c r="AW33" i="12" s="1"/>
  <c r="AL33" i="12"/>
  <c r="AY33" i="12" s="1"/>
  <c r="AN33" i="12"/>
  <c r="BA33" i="12" s="1"/>
  <c r="AE34" i="12"/>
  <c r="AR34" i="12" s="1"/>
  <c r="AI34" i="12"/>
  <c r="AV34" i="12" s="1"/>
  <c r="AJ34" i="12"/>
  <c r="AW34" i="12" s="1"/>
  <c r="AO34" i="12"/>
  <c r="BB34" i="12" s="1"/>
  <c r="AP34" i="12"/>
  <c r="BC34" i="12" s="1"/>
  <c r="AG35" i="12"/>
  <c r="AT35" i="12" s="1"/>
  <c r="AJ35" i="12"/>
  <c r="AW35" i="12" s="1"/>
  <c r="AK35" i="12"/>
  <c r="AX35" i="12" s="1"/>
  <c r="AL35" i="12"/>
  <c r="AY35" i="12" s="1"/>
  <c r="AE36" i="12"/>
  <c r="AR36" i="12" s="1"/>
  <c r="AF36" i="12"/>
  <c r="AS36" i="12" s="1"/>
  <c r="AH36" i="12"/>
  <c r="AU36" i="12" s="1"/>
  <c r="AI36" i="12"/>
  <c r="AV36" i="12" s="1"/>
  <c r="AL36" i="12"/>
  <c r="AM36" i="12"/>
  <c r="AZ36" i="12" s="1"/>
  <c r="AN36" i="12"/>
  <c r="BA36" i="12" s="1"/>
  <c r="AJ37" i="12"/>
  <c r="AW37" i="12" s="1"/>
  <c r="AK37" i="12"/>
  <c r="AX37" i="12" s="1"/>
  <c r="AM37" i="12"/>
  <c r="AZ37" i="12" s="1"/>
  <c r="AN37" i="12"/>
  <c r="BA37" i="12" s="1"/>
  <c r="AO37" i="12"/>
  <c r="BB37" i="12" s="1"/>
  <c r="AP37" i="12"/>
  <c r="BC37" i="12" s="1"/>
  <c r="AI38" i="12"/>
  <c r="AV38" i="12" s="1"/>
  <c r="AJ38" i="12"/>
  <c r="AW38" i="12" s="1"/>
  <c r="AL38" i="12"/>
  <c r="AY38" i="12" s="1"/>
  <c r="AM38" i="12"/>
  <c r="AZ38" i="12" s="1"/>
  <c r="AP38" i="12"/>
  <c r="BC38" i="12" s="1"/>
  <c r="AE39" i="12"/>
  <c r="AR39" i="12" s="1"/>
  <c r="AF39" i="12"/>
  <c r="AS39" i="12" s="1"/>
  <c r="AK39" i="12"/>
  <c r="AL39" i="12"/>
  <c r="AY39" i="12" s="1"/>
  <c r="AN39" i="12"/>
  <c r="BA39" i="12" s="1"/>
  <c r="AO39" i="12"/>
  <c r="BB39" i="12" s="1"/>
  <c r="AP39" i="12"/>
  <c r="BC39" i="12" s="1"/>
  <c r="AF40" i="12"/>
  <c r="AS40" i="12" s="1"/>
  <c r="AG40" i="12"/>
  <c r="AT40" i="12" s="1"/>
  <c r="AH40" i="12"/>
  <c r="AU40" i="12" s="1"/>
  <c r="AJ40" i="12"/>
  <c r="AL40" i="12"/>
  <c r="AY40" i="12" s="1"/>
  <c r="AN40" i="12"/>
  <c r="BA40" i="12" s="1"/>
  <c r="AP40" i="12"/>
  <c r="BC40" i="12" s="1"/>
  <c r="AE41" i="12"/>
  <c r="AR41" i="12" s="1"/>
  <c r="AF41" i="12"/>
  <c r="AG41" i="12"/>
  <c r="AT41" i="12" s="1"/>
  <c r="AI41" i="12"/>
  <c r="AV41" i="12" s="1"/>
  <c r="AJ41" i="12"/>
  <c r="AW41" i="12" s="1"/>
  <c r="AO41" i="12"/>
  <c r="BB41" i="12" s="1"/>
  <c r="AG42" i="12"/>
  <c r="AT42" i="12" s="1"/>
  <c r="AJ42" i="12"/>
  <c r="AW42" i="12" s="1"/>
  <c r="AK42" i="12"/>
  <c r="AX42" i="12" s="1"/>
  <c r="AL42" i="12"/>
  <c r="AY42" i="12" s="1"/>
  <c r="AF43" i="12"/>
  <c r="AS43" i="12" s="1"/>
  <c r="AH43" i="12"/>
  <c r="AI43" i="12"/>
  <c r="AV43" i="12" s="1"/>
  <c r="AJ43" i="12"/>
  <c r="AW43" i="12" s="1"/>
  <c r="AK43" i="12"/>
  <c r="AX43" i="12" s="1"/>
  <c r="AL43" i="12"/>
  <c r="AY43" i="12" s="1"/>
  <c r="AM43" i="12"/>
  <c r="AZ43" i="12" s="1"/>
  <c r="AN43" i="12"/>
  <c r="BA43" i="12" s="1"/>
  <c r="AG44" i="12"/>
  <c r="AT44" i="12" s="1"/>
  <c r="AH44" i="12"/>
  <c r="AU44" i="12" s="1"/>
  <c r="AN44" i="12"/>
  <c r="BA44" i="12" s="1"/>
  <c r="AO44" i="12"/>
  <c r="BB44" i="12" s="1"/>
  <c r="AP44" i="12"/>
  <c r="BC44" i="12" s="1"/>
  <c r="AH45" i="12"/>
  <c r="AU45" i="12" s="1"/>
  <c r="AI45" i="12"/>
  <c r="AV45" i="12" s="1"/>
  <c r="AJ45" i="12"/>
  <c r="AW45" i="12" s="1"/>
  <c r="AL45" i="12"/>
  <c r="AY45" i="12" s="1"/>
  <c r="AM45" i="12"/>
  <c r="AZ45" i="12" s="1"/>
  <c r="AP45" i="12"/>
  <c r="BC45" i="12" s="1"/>
  <c r="AE46" i="12"/>
  <c r="AR46" i="12" s="1"/>
  <c r="AF46" i="12"/>
  <c r="AS46" i="12" s="1"/>
  <c r="AK46" i="12"/>
  <c r="AX46" i="12" s="1"/>
  <c r="AL46" i="12"/>
  <c r="AY46" i="12" s="1"/>
  <c r="AN46" i="12"/>
  <c r="BA46" i="12" s="1"/>
  <c r="AO46" i="12"/>
  <c r="BB46" i="12" s="1"/>
  <c r="AE47" i="12"/>
  <c r="AR47" i="12" s="1"/>
  <c r="AF47" i="12"/>
  <c r="AS47" i="12" s="1"/>
  <c r="AG47" i="12"/>
  <c r="AT47" i="12" s="1"/>
  <c r="AH47" i="12"/>
  <c r="AU47" i="12" s="1"/>
  <c r="AL47" i="12"/>
  <c r="AM47" i="12"/>
  <c r="AZ47" i="12" s="1"/>
  <c r="AP47" i="12"/>
  <c r="BC47" i="12" s="1"/>
  <c r="AE48" i="12"/>
  <c r="AR48" i="12" s="1"/>
  <c r="AF48" i="12"/>
  <c r="AS48" i="12" s="1"/>
  <c r="AG48" i="12"/>
  <c r="AT48" i="12" s="1"/>
  <c r="AJ48" i="12"/>
  <c r="AW48" i="12" s="1"/>
  <c r="AG49" i="12"/>
  <c r="AT49" i="12" s="1"/>
  <c r="AJ49" i="12"/>
  <c r="AW49" i="12" s="1"/>
  <c r="AK49" i="12"/>
  <c r="AX49" i="12" s="1"/>
  <c r="AL49" i="12"/>
  <c r="AY49" i="12" s="1"/>
  <c r="AP49" i="12"/>
  <c r="BC49" i="12" s="1"/>
  <c r="AE50" i="12"/>
  <c r="AR50" i="12" s="1"/>
  <c r="AF50" i="12"/>
  <c r="AS50" i="12" s="1"/>
  <c r="AI50" i="12"/>
  <c r="AV50" i="12" s="1"/>
  <c r="AJ50" i="12"/>
  <c r="AW50" i="12" s="1"/>
  <c r="AK50" i="12"/>
  <c r="AX50" i="12" s="1"/>
  <c r="AL50" i="12"/>
  <c r="AY50" i="12" s="1"/>
  <c r="AM50" i="12"/>
  <c r="AZ50" i="12" s="1"/>
  <c r="AN50" i="12"/>
  <c r="BA50" i="12" s="1"/>
  <c r="AF51" i="12"/>
  <c r="AS51" i="12" s="1"/>
  <c r="AG51" i="12"/>
  <c r="AT51" i="12" s="1"/>
  <c r="AH51" i="12"/>
  <c r="AU51" i="12" s="1"/>
  <c r="AJ51" i="12"/>
  <c r="AW51" i="12" s="1"/>
  <c r="AK51" i="12"/>
  <c r="AX51" i="12" s="1"/>
  <c r="AM51" i="12"/>
  <c r="AZ51" i="12" s="1"/>
  <c r="AN51" i="12"/>
  <c r="BA51" i="12" s="1"/>
  <c r="AO51" i="12"/>
  <c r="BB51" i="12" s="1"/>
  <c r="AP51" i="12"/>
  <c r="BC51" i="12" s="1"/>
  <c r="AF52" i="12"/>
  <c r="AS52" i="12" s="1"/>
  <c r="AH52" i="12"/>
  <c r="AU52" i="12" s="1"/>
  <c r="AM52" i="12"/>
  <c r="AZ52" i="12" s="1"/>
  <c r="AO52" i="12"/>
  <c r="AP52" i="12"/>
  <c r="BC52" i="12" s="1"/>
  <c r="AE53" i="12"/>
  <c r="AR53" i="12" s="1"/>
  <c r="AF53" i="12"/>
  <c r="AS53" i="12" s="1"/>
  <c r="AK53" i="12"/>
  <c r="AX53" i="12" s="1"/>
  <c r="AL53" i="12"/>
  <c r="AY53" i="12" s="1"/>
  <c r="AM53" i="12"/>
  <c r="AZ53" i="12" s="1"/>
  <c r="AN53" i="12"/>
  <c r="BA53" i="12" s="1"/>
  <c r="AO53" i="12"/>
  <c r="BB53" i="12" s="1"/>
  <c r="AP53" i="12"/>
  <c r="BC53" i="12" s="1"/>
  <c r="AE54" i="12"/>
  <c r="AR54" i="12" s="1"/>
  <c r="AG54" i="12"/>
  <c r="AT54" i="12" s="1"/>
  <c r="AH54" i="12"/>
  <c r="AU54" i="12" s="1"/>
  <c r="AL54" i="12"/>
  <c r="AY54" i="12" s="1"/>
  <c r="AM54" i="12"/>
  <c r="AZ54" i="12" s="1"/>
  <c r="AN54" i="12"/>
  <c r="BA54" i="12" s="1"/>
  <c r="AP54" i="12"/>
  <c r="BC54" i="12" s="1"/>
  <c r="AE55" i="12"/>
  <c r="AR55" i="12" s="1"/>
  <c r="AF55" i="12"/>
  <c r="AH55" i="12"/>
  <c r="AU55" i="12" s="1"/>
  <c r="AI55" i="12"/>
  <c r="AV55" i="12" s="1"/>
  <c r="AJ55" i="12"/>
  <c r="AW55" i="12" s="1"/>
  <c r="AG56" i="12"/>
  <c r="AT56" i="12" s="1"/>
  <c r="AJ56" i="12"/>
  <c r="AW56" i="12" s="1"/>
  <c r="AK56" i="12"/>
  <c r="AX56" i="12" s="1"/>
  <c r="AL56" i="12"/>
  <c r="AY56" i="12" s="1"/>
  <c r="AP56" i="12"/>
  <c r="BC56" i="12" s="1"/>
  <c r="AE57" i="12"/>
  <c r="AR57" i="12" s="1"/>
  <c r="AH57" i="12"/>
  <c r="AU57" i="12" s="1"/>
  <c r="AI57" i="12"/>
  <c r="AV57" i="12" s="1"/>
  <c r="AJ57" i="12"/>
  <c r="AW57" i="12" s="1"/>
  <c r="AK57" i="12"/>
  <c r="AX57" i="12" s="1"/>
  <c r="AL57" i="12"/>
  <c r="AM57" i="12"/>
  <c r="AZ57" i="12" s="1"/>
  <c r="AN57" i="12"/>
  <c r="BA57" i="12" s="1"/>
  <c r="AG58" i="12"/>
  <c r="AT58" i="12" s="1"/>
  <c r="AH58" i="12"/>
  <c r="AU58" i="12" s="1"/>
  <c r="AI58" i="12"/>
  <c r="AV58" i="12" s="1"/>
  <c r="AJ58" i="12"/>
  <c r="AW58" i="12" s="1"/>
  <c r="AK58" i="12"/>
  <c r="AX58" i="12" s="1"/>
  <c r="AM58" i="12"/>
  <c r="AZ58" i="12" s="1"/>
  <c r="AN58" i="12"/>
  <c r="BA58" i="12" s="1"/>
  <c r="AO58" i="12"/>
  <c r="BB58" i="12" s="1"/>
  <c r="AP58" i="12"/>
  <c r="BC58" i="12" s="1"/>
  <c r="AM2" i="12"/>
  <c r="AZ2" i="12" s="1"/>
  <c r="AN3" i="7"/>
  <c r="BA3" i="7" s="1"/>
  <c r="AO3" i="7"/>
  <c r="BB3" i="7" s="1"/>
  <c r="AP3" i="7"/>
  <c r="BC3" i="7" s="1"/>
  <c r="AE4" i="7"/>
  <c r="AR4" i="7" s="1"/>
  <c r="AF4" i="7"/>
  <c r="AS4" i="7" s="1"/>
  <c r="AO4" i="7"/>
  <c r="BB4" i="7" s="1"/>
  <c r="AG5" i="7"/>
  <c r="AT5" i="7" s="1"/>
  <c r="AH5" i="7"/>
  <c r="AU5" i="7" s="1"/>
  <c r="AF6" i="7"/>
  <c r="AS6" i="7" s="1"/>
  <c r="AG6" i="7"/>
  <c r="AT6" i="7" s="1"/>
  <c r="AH6" i="7"/>
  <c r="AU6" i="7" s="1"/>
  <c r="AI6" i="7"/>
  <c r="AV6" i="7" s="1"/>
  <c r="AJ6" i="7"/>
  <c r="AW6" i="7" s="1"/>
  <c r="AE7" i="7"/>
  <c r="AR7" i="7" s="1"/>
  <c r="AJ7" i="7"/>
  <c r="AW7" i="7" s="1"/>
  <c r="AK7" i="7"/>
  <c r="AX7" i="7" s="1"/>
  <c r="AL7" i="7"/>
  <c r="AY7" i="7" s="1"/>
  <c r="AG8" i="7"/>
  <c r="AT8" i="7" s="1"/>
  <c r="AI8" i="7"/>
  <c r="AV8" i="7" s="1"/>
  <c r="AM8" i="7"/>
  <c r="AZ8" i="7" s="1"/>
  <c r="AN8" i="7"/>
  <c r="BA8" i="7" s="1"/>
  <c r="AI9" i="7"/>
  <c r="AV9" i="7" s="1"/>
  <c r="AL9" i="7"/>
  <c r="AY9" i="7" s="1"/>
  <c r="AM9" i="7"/>
  <c r="AZ9" i="7" s="1"/>
  <c r="AN9" i="7"/>
  <c r="BA9" i="7" s="1"/>
  <c r="AO9" i="7"/>
  <c r="BB9" i="7" s="1"/>
  <c r="AP9" i="7"/>
  <c r="BC9" i="7" s="1"/>
  <c r="AM10" i="7"/>
  <c r="AZ10" i="7" s="1"/>
  <c r="AN10" i="7"/>
  <c r="BA10" i="7" s="1"/>
  <c r="AO10" i="7"/>
  <c r="BB10" i="7" s="1"/>
  <c r="AP10" i="7"/>
  <c r="BC10" i="7" s="1"/>
  <c r="AE11" i="7"/>
  <c r="AR11" i="7" s="1"/>
  <c r="AF11" i="7"/>
  <c r="AS11" i="7" s="1"/>
  <c r="AP11" i="7"/>
  <c r="BC11" i="7" s="1"/>
  <c r="AG12" i="7"/>
  <c r="AT12" i="7" s="1"/>
  <c r="AH12" i="7"/>
  <c r="AU12" i="7" s="1"/>
  <c r="AH13" i="7"/>
  <c r="AU13" i="7" s="1"/>
  <c r="AI13" i="7"/>
  <c r="AV13" i="7" s="1"/>
  <c r="AJ13" i="7"/>
  <c r="AW13" i="7" s="1"/>
  <c r="AG14" i="7"/>
  <c r="AT14" i="7" s="1"/>
  <c r="AH14" i="7"/>
  <c r="AU14" i="7" s="1"/>
  <c r="AI14" i="7"/>
  <c r="AV14" i="7" s="1"/>
  <c r="AJ14" i="7"/>
  <c r="AW14" i="7" s="1"/>
  <c r="AL14" i="7"/>
  <c r="AY14" i="7" s="1"/>
  <c r="AJ15" i="7"/>
  <c r="AW15" i="7" s="1"/>
  <c r="AK15" i="7"/>
  <c r="AX15" i="7" s="1"/>
  <c r="AL15" i="7"/>
  <c r="AY15" i="7" s="1"/>
  <c r="AM15" i="7"/>
  <c r="AZ15" i="7" s="1"/>
  <c r="AN15" i="7"/>
  <c r="BA15" i="7" s="1"/>
  <c r="AM16" i="7"/>
  <c r="AZ16" i="7" s="1"/>
  <c r="AN16" i="7"/>
  <c r="BA16" i="7" s="1"/>
  <c r="AO16" i="7"/>
  <c r="BB16" i="7" s="1"/>
  <c r="AP16" i="7"/>
  <c r="BC16" i="7" s="1"/>
  <c r="AK17" i="7"/>
  <c r="AX17" i="7" s="1"/>
  <c r="AP17" i="7"/>
  <c r="BC17" i="7" s="1"/>
  <c r="AE18" i="7"/>
  <c r="AR18" i="7" s="1"/>
  <c r="AF18" i="7"/>
  <c r="AS18" i="7" s="1"/>
  <c r="AM18" i="7"/>
  <c r="AZ18" i="7" s="1"/>
  <c r="AP18" i="7"/>
  <c r="BC18" i="7" s="1"/>
  <c r="AH19" i="7"/>
  <c r="AU19" i="7" s="1"/>
  <c r="AG20" i="7"/>
  <c r="AT20" i="7" s="1"/>
  <c r="AH20" i="7"/>
  <c r="AU20" i="7" s="1"/>
  <c r="AI20" i="7"/>
  <c r="AV20" i="7" s="1"/>
  <c r="AJ20" i="7"/>
  <c r="AW20" i="7" s="1"/>
  <c r="AL20" i="7"/>
  <c r="AY20" i="7" s="1"/>
  <c r="AG21" i="7"/>
  <c r="AT21" i="7" s="1"/>
  <c r="AH21" i="7"/>
  <c r="AU21" i="7" s="1"/>
  <c r="AI21" i="7"/>
  <c r="AV21" i="7" s="1"/>
  <c r="AJ21" i="7"/>
  <c r="AW21" i="7" s="1"/>
  <c r="AL21" i="7"/>
  <c r="AY21" i="7" s="1"/>
  <c r="AG22" i="7"/>
  <c r="AT22" i="7" s="1"/>
  <c r="AK22" i="7"/>
  <c r="AX22" i="7" s="1"/>
  <c r="AL22" i="7"/>
  <c r="AY22" i="7" s="1"/>
  <c r="AI23" i="7"/>
  <c r="AV23" i="7" s="1"/>
  <c r="AK23" i="7"/>
  <c r="AX23" i="7" s="1"/>
  <c r="AL23" i="7"/>
  <c r="AY23" i="7" s="1"/>
  <c r="AM23" i="7"/>
  <c r="AZ23" i="7" s="1"/>
  <c r="AN23" i="7"/>
  <c r="BA23" i="7" s="1"/>
  <c r="AO23" i="7"/>
  <c r="BB23" i="7" s="1"/>
  <c r="AM24" i="7"/>
  <c r="AZ24" i="7" s="1"/>
  <c r="AN24" i="7"/>
  <c r="BA24" i="7" s="1"/>
  <c r="AO24" i="7"/>
  <c r="BB24" i="7" s="1"/>
  <c r="AP24" i="7"/>
  <c r="BC24" i="7" s="1"/>
  <c r="AE25" i="7"/>
  <c r="AR25" i="7" s="1"/>
  <c r="AF25" i="7"/>
  <c r="AS25" i="7" s="1"/>
  <c r="AE26" i="7"/>
  <c r="AR26" i="7" s="1"/>
  <c r="AF26" i="7"/>
  <c r="AS26" i="7" s="1"/>
  <c r="AG26" i="7"/>
  <c r="AT26" i="7" s="1"/>
  <c r="AH26" i="7"/>
  <c r="AU26" i="7" s="1"/>
  <c r="AJ26" i="7"/>
  <c r="AW26" i="7" s="1"/>
  <c r="AO26" i="7"/>
  <c r="BB26" i="7" s="1"/>
  <c r="AF27" i="7"/>
  <c r="AS27" i="7" s="1"/>
  <c r="AG27" i="7"/>
  <c r="AT27" i="7" s="1"/>
  <c r="AH27" i="7"/>
  <c r="AU27" i="7" s="1"/>
  <c r="AI27" i="7"/>
  <c r="AV27" i="7" s="1"/>
  <c r="AJ27" i="7"/>
  <c r="AW27" i="7" s="1"/>
  <c r="AE28" i="7"/>
  <c r="AR28" i="7" s="1"/>
  <c r="AG28" i="7"/>
  <c r="AT28" i="7" s="1"/>
  <c r="AH28" i="7"/>
  <c r="AU28" i="7" s="1"/>
  <c r="AI28" i="7"/>
  <c r="AV28" i="7" s="1"/>
  <c r="AJ28" i="7"/>
  <c r="AW28" i="7" s="1"/>
  <c r="AK28" i="7"/>
  <c r="AX28" i="7" s="1"/>
  <c r="AL28" i="7"/>
  <c r="AY28" i="7" s="1"/>
  <c r="AL29" i="7"/>
  <c r="AY29" i="7" s="1"/>
  <c r="AM29" i="7"/>
  <c r="AZ29" i="7" s="1"/>
  <c r="AN29" i="7"/>
  <c r="BA29" i="7" s="1"/>
  <c r="AP29" i="7"/>
  <c r="BC29" i="7" s="1"/>
  <c r="AF30" i="7"/>
  <c r="AS30" i="7" s="1"/>
  <c r="AK30" i="7"/>
  <c r="AX30" i="7" s="1"/>
  <c r="AL30" i="7"/>
  <c r="AY30" i="7" s="1"/>
  <c r="AM30" i="7"/>
  <c r="AZ30" i="7" s="1"/>
  <c r="AN30" i="7"/>
  <c r="BA30" i="7" s="1"/>
  <c r="AO30" i="7"/>
  <c r="BB30" i="7" s="1"/>
  <c r="AM31" i="7"/>
  <c r="AZ31" i="7" s="1"/>
  <c r="AN31" i="7"/>
  <c r="BA31" i="7" s="1"/>
  <c r="AO31" i="7"/>
  <c r="BB31" i="7" s="1"/>
  <c r="AP31" i="7"/>
  <c r="BC31" i="7" s="1"/>
  <c r="AE32" i="7"/>
  <c r="AR32" i="7" s="1"/>
  <c r="AF32" i="7"/>
  <c r="AS32" i="7" s="1"/>
  <c r="AG33" i="7"/>
  <c r="AT33" i="7" s="1"/>
  <c r="AH33" i="7"/>
  <c r="AU33" i="7" s="1"/>
  <c r="AO33" i="7"/>
  <c r="BB33" i="7" s="1"/>
  <c r="AF34" i="7"/>
  <c r="AS34" i="7" s="1"/>
  <c r="AG34" i="7"/>
  <c r="AT34" i="7" s="1"/>
  <c r="AH34" i="7"/>
  <c r="AU34" i="7" s="1"/>
  <c r="AI34" i="7"/>
  <c r="AV34" i="7" s="1"/>
  <c r="AJ34" i="7"/>
  <c r="AW34" i="7" s="1"/>
  <c r="AE35" i="7"/>
  <c r="AR35" i="7" s="1"/>
  <c r="AK35" i="7"/>
  <c r="AX35" i="7" s="1"/>
  <c r="AL35" i="7"/>
  <c r="AY35" i="7" s="1"/>
  <c r="AN35" i="7"/>
  <c r="BA35" i="7" s="1"/>
  <c r="AG36" i="7"/>
  <c r="AT36" i="7" s="1"/>
  <c r="AL36" i="7"/>
  <c r="AY36" i="7" s="1"/>
  <c r="AM36" i="7"/>
  <c r="AZ36" i="7" s="1"/>
  <c r="AN36" i="7"/>
  <c r="BA36" i="7" s="1"/>
  <c r="AI37" i="7"/>
  <c r="AV37" i="7" s="1"/>
  <c r="AK37" i="7"/>
  <c r="AX37" i="7" s="1"/>
  <c r="AL37" i="7"/>
  <c r="AY37" i="7" s="1"/>
  <c r="AM37" i="7"/>
  <c r="AZ37" i="7" s="1"/>
  <c r="AN37" i="7"/>
  <c r="BA37" i="7" s="1"/>
  <c r="AO37" i="7"/>
  <c r="BB37" i="7" s="1"/>
  <c r="AP37" i="7"/>
  <c r="BC37" i="7" s="1"/>
  <c r="AN38" i="7"/>
  <c r="BA38" i="7" s="1"/>
  <c r="AO38" i="7"/>
  <c r="BB38" i="7" s="1"/>
  <c r="AP38" i="7"/>
  <c r="BC38" i="7" s="1"/>
  <c r="AE39" i="7"/>
  <c r="AR39" i="7" s="1"/>
  <c r="AF39" i="7"/>
  <c r="AS39" i="7" s="1"/>
  <c r="AH39" i="7"/>
  <c r="AU39" i="7" s="1"/>
  <c r="AI39" i="7"/>
  <c r="AV39" i="7" s="1"/>
  <c r="AM39" i="7"/>
  <c r="AZ39" i="7" s="1"/>
  <c r="AE40" i="7"/>
  <c r="AR40" i="7" s="1"/>
  <c r="AF40" i="7"/>
  <c r="AS40" i="7" s="1"/>
  <c r="AG40" i="7"/>
  <c r="AT40" i="7" s="1"/>
  <c r="AH40" i="7"/>
  <c r="AU40" i="7" s="1"/>
  <c r="AJ40" i="7"/>
  <c r="AW40" i="7" s="1"/>
  <c r="AL40" i="7"/>
  <c r="AY40" i="7" s="1"/>
  <c r="AO40" i="7"/>
  <c r="BB40" i="7" s="1"/>
  <c r="AE41" i="7"/>
  <c r="AR41" i="7" s="1"/>
  <c r="AF41" i="7"/>
  <c r="AS41" i="7" s="1"/>
  <c r="AG41" i="7"/>
  <c r="AT41" i="7" s="1"/>
  <c r="AH41" i="7"/>
  <c r="AU41" i="7" s="1"/>
  <c r="AJ41" i="7"/>
  <c r="AW41" i="7" s="1"/>
  <c r="AK42" i="7"/>
  <c r="AX42" i="7" s="1"/>
  <c r="AL42" i="7"/>
  <c r="AY42" i="7" s="1"/>
  <c r="AP42" i="7"/>
  <c r="BC42" i="7" s="1"/>
  <c r="AK43" i="7"/>
  <c r="AX43" i="7" s="1"/>
  <c r="AL43" i="7"/>
  <c r="AY43" i="7" s="1"/>
  <c r="AM43" i="7"/>
  <c r="AZ43" i="7" s="1"/>
  <c r="AN43" i="7"/>
  <c r="BA43" i="7" s="1"/>
  <c r="AP43" i="7"/>
  <c r="BC43" i="7" s="1"/>
  <c r="AK44" i="7"/>
  <c r="AX44" i="7" s="1"/>
  <c r="AL44" i="7"/>
  <c r="AY44" i="7" s="1"/>
  <c r="AO44" i="7"/>
  <c r="BB44" i="7" s="1"/>
  <c r="AP44" i="7"/>
  <c r="BC44" i="7" s="1"/>
  <c r="AF45" i="7"/>
  <c r="AS45" i="7" s="1"/>
  <c r="AH45" i="7"/>
  <c r="AU45" i="7" s="1"/>
  <c r="AM45" i="7"/>
  <c r="AZ45" i="7" s="1"/>
  <c r="AN45" i="7"/>
  <c r="BA45" i="7" s="1"/>
  <c r="AO45" i="7"/>
  <c r="BB45" i="7" s="1"/>
  <c r="AP45" i="7"/>
  <c r="BC45" i="7" s="1"/>
  <c r="AE46" i="7"/>
  <c r="AR46" i="7" s="1"/>
  <c r="AP46" i="7"/>
  <c r="BC46" i="7" s="1"/>
  <c r="AG47" i="7"/>
  <c r="AT47" i="7" s="1"/>
  <c r="AH47" i="7"/>
  <c r="AU47" i="7" s="1"/>
  <c r="AK47" i="7"/>
  <c r="AX47" i="7" s="1"/>
  <c r="AL47" i="7"/>
  <c r="AY47" i="7" s="1"/>
  <c r="AE48" i="7"/>
  <c r="AR48" i="7" s="1"/>
  <c r="AG48" i="7"/>
  <c r="AT48" i="7" s="1"/>
  <c r="AH48" i="7"/>
  <c r="AU48" i="7" s="1"/>
  <c r="AI48" i="7"/>
  <c r="AV48" i="7" s="1"/>
  <c r="AJ48" i="7"/>
  <c r="AW48" i="7" s="1"/>
  <c r="AM48" i="7"/>
  <c r="AZ48" i="7" s="1"/>
  <c r="AE49" i="7"/>
  <c r="AR49" i="7" s="1"/>
  <c r="AJ49" i="7"/>
  <c r="AW49" i="7" s="1"/>
  <c r="AK49" i="7"/>
  <c r="AX49" i="7" s="1"/>
  <c r="AL49" i="7"/>
  <c r="AY49" i="7" s="1"/>
  <c r="AG50" i="7"/>
  <c r="AT50" i="7" s="1"/>
  <c r="AJ50" i="7"/>
  <c r="AW50" i="7" s="1"/>
  <c r="AK50" i="7"/>
  <c r="AX50" i="7" s="1"/>
  <c r="AL50" i="7"/>
  <c r="AY50" i="7" s="1"/>
  <c r="AM50" i="7"/>
  <c r="AZ50" i="7" s="1"/>
  <c r="AN50" i="7"/>
  <c r="BA50" i="7" s="1"/>
  <c r="AN51" i="7"/>
  <c r="BA51" i="7" s="1"/>
  <c r="AO51" i="7"/>
  <c r="BB51" i="7" s="1"/>
  <c r="AP51" i="7"/>
  <c r="BC51" i="7" s="1"/>
  <c r="AF52" i="7"/>
  <c r="AS52" i="7" s="1"/>
  <c r="AG52" i="7"/>
  <c r="AT52" i="7" s="1"/>
  <c r="AM52" i="7"/>
  <c r="AZ52" i="7" s="1"/>
  <c r="AN52" i="7"/>
  <c r="BA52" i="7" s="1"/>
  <c r="AE53" i="7"/>
  <c r="AR53" i="7" s="1"/>
  <c r="AF53" i="7"/>
  <c r="AS53" i="7" s="1"/>
  <c r="AM53" i="7"/>
  <c r="AZ53" i="7" s="1"/>
  <c r="AP53" i="7"/>
  <c r="BC53" i="7" s="1"/>
  <c r="AH54" i="7"/>
  <c r="AU54" i="7" s="1"/>
  <c r="AK54" i="7"/>
  <c r="AX54" i="7" s="1"/>
  <c r="AF55" i="7"/>
  <c r="AS55" i="7" s="1"/>
  <c r="AG55" i="7"/>
  <c r="AT55" i="7" s="1"/>
  <c r="AH55" i="7"/>
  <c r="AU55" i="7" s="1"/>
  <c r="AI55" i="7"/>
  <c r="AV55" i="7" s="1"/>
  <c r="AJ55" i="7"/>
  <c r="AW55" i="7" s="1"/>
  <c r="AE56" i="7"/>
  <c r="AR56" i="7" s="1"/>
  <c r="AG56" i="7"/>
  <c r="AT56" i="7" s="1"/>
  <c r="AH56" i="7"/>
  <c r="AU56" i="7" s="1"/>
  <c r="AI56" i="7"/>
  <c r="AV56" i="7" s="1"/>
  <c r="AJ56" i="7"/>
  <c r="AW56" i="7" s="1"/>
  <c r="AK56" i="7"/>
  <c r="AX56" i="7" s="1"/>
  <c r="AL56" i="7"/>
  <c r="AY56" i="7" s="1"/>
  <c r="AN56" i="7"/>
  <c r="BA56" i="7" s="1"/>
  <c r="AP56" i="7"/>
  <c r="BC56" i="7" s="1"/>
  <c r="AJ57" i="7"/>
  <c r="AW57" i="7" s="1"/>
  <c r="AK57" i="7"/>
  <c r="AX57" i="7" s="1"/>
  <c r="AL57" i="7"/>
  <c r="AY57" i="7" s="1"/>
  <c r="AN57" i="7"/>
  <c r="BA57" i="7" s="1"/>
  <c r="AE58" i="7"/>
  <c r="AR58" i="7" s="1"/>
  <c r="AI58" i="7"/>
  <c r="AV58" i="7" s="1"/>
  <c r="AL58" i="7"/>
  <c r="AY58" i="7" s="1"/>
  <c r="AM58" i="7"/>
  <c r="AZ58" i="7" s="1"/>
  <c r="AN58" i="7"/>
  <c r="BA58" i="7" s="1"/>
  <c r="AO58" i="7"/>
  <c r="BB58" i="7" s="1"/>
  <c r="AP58" i="7"/>
  <c r="BC58" i="7" s="1"/>
  <c r="AP2" i="7"/>
  <c r="BC2" i="7" s="1"/>
  <c r="AM2" i="7"/>
  <c r="AZ2" i="7" s="1"/>
  <c r="AO3" i="1"/>
  <c r="BB3" i="1" s="1"/>
  <c r="AE4" i="1"/>
  <c r="AR4" i="1" s="1"/>
  <c r="AF4" i="1"/>
  <c r="AS4" i="1" s="1"/>
  <c r="AM4" i="1"/>
  <c r="AZ4" i="1" s="1"/>
  <c r="AN4" i="1"/>
  <c r="BA4" i="1" s="1"/>
  <c r="AO4" i="1"/>
  <c r="BB4" i="1" s="1"/>
  <c r="AP4" i="1"/>
  <c r="BC4" i="1" s="1"/>
  <c r="AE5" i="1"/>
  <c r="AR5" i="1" s="1"/>
  <c r="AG5" i="1"/>
  <c r="AT5" i="1" s="1"/>
  <c r="AK5" i="1"/>
  <c r="AX5" i="1" s="1"/>
  <c r="AO5" i="1"/>
  <c r="BB5" i="1" s="1"/>
  <c r="AP5" i="1"/>
  <c r="BC5" i="1" s="1"/>
  <c r="AE6" i="1"/>
  <c r="AR6" i="1" s="1"/>
  <c r="AF6" i="1"/>
  <c r="AS6" i="1" s="1"/>
  <c r="AG6" i="1"/>
  <c r="AT6" i="1" s="1"/>
  <c r="AG7" i="1"/>
  <c r="AT7" i="1" s="1"/>
  <c r="AI7" i="1"/>
  <c r="AV7" i="1" s="1"/>
  <c r="AK7" i="1"/>
  <c r="AX7" i="1" s="1"/>
  <c r="AL7" i="1"/>
  <c r="AY7" i="1" s="1"/>
  <c r="AH8" i="1"/>
  <c r="AU8" i="1" s="1"/>
  <c r="AI8" i="1"/>
  <c r="AV8" i="1" s="1"/>
  <c r="AJ8" i="1"/>
  <c r="AW8" i="1" s="1"/>
  <c r="AK8" i="1"/>
  <c r="AX8" i="1" s="1"/>
  <c r="AM8" i="1"/>
  <c r="AZ8" i="1" s="1"/>
  <c r="AN8" i="1"/>
  <c r="BA8" i="1" s="1"/>
  <c r="AI9" i="1"/>
  <c r="AV9" i="1" s="1"/>
  <c r="AJ9" i="1"/>
  <c r="AW9" i="1" s="1"/>
  <c r="AK9" i="1"/>
  <c r="AX9" i="1" s="1"/>
  <c r="AL9" i="1"/>
  <c r="AY9" i="1" s="1"/>
  <c r="AJ10" i="1"/>
  <c r="AW10" i="1" s="1"/>
  <c r="AK10" i="1"/>
  <c r="AX10" i="1" s="1"/>
  <c r="AL10" i="1"/>
  <c r="AY10" i="1" s="1"/>
  <c r="AM10" i="1"/>
  <c r="AZ10" i="1" s="1"/>
  <c r="AN10" i="1"/>
  <c r="BA10" i="1" s="1"/>
  <c r="AO10" i="1"/>
  <c r="BB10" i="1" s="1"/>
  <c r="AF11" i="1"/>
  <c r="AS11" i="1" s="1"/>
  <c r="AL11" i="1"/>
  <c r="AY11" i="1" s="1"/>
  <c r="AM11" i="1"/>
  <c r="AZ11" i="1" s="1"/>
  <c r="AN11" i="1"/>
  <c r="BA11" i="1" s="1"/>
  <c r="AO11" i="1"/>
  <c r="BB11" i="1" s="1"/>
  <c r="AP11" i="1"/>
  <c r="BC11" i="1" s="1"/>
  <c r="AE12" i="1"/>
  <c r="AR12" i="1" s="1"/>
  <c r="AG12" i="1"/>
  <c r="AT12" i="1" s="1"/>
  <c r="AH12" i="1"/>
  <c r="AU12" i="1" s="1"/>
  <c r="AN12" i="1"/>
  <c r="BA12" i="1" s="1"/>
  <c r="AO12" i="1"/>
  <c r="BB12" i="1" s="1"/>
  <c r="AP12" i="1"/>
  <c r="BC12" i="1" s="1"/>
  <c r="AE13" i="1"/>
  <c r="AR13" i="1" s="1"/>
  <c r="AF13" i="1"/>
  <c r="AS13" i="1" s="1"/>
  <c r="AP13" i="1"/>
  <c r="BC13" i="1" s="1"/>
  <c r="AG14" i="1"/>
  <c r="AT14" i="1" s="1"/>
  <c r="AI14" i="1"/>
  <c r="AV14" i="1" s="1"/>
  <c r="AL14" i="1"/>
  <c r="AY14" i="1" s="1"/>
  <c r="AG15" i="1"/>
  <c r="AT15" i="1" s="1"/>
  <c r="AH15" i="1"/>
  <c r="AU15" i="1" s="1"/>
  <c r="AI15" i="1"/>
  <c r="AV15" i="1" s="1"/>
  <c r="AJ15" i="1"/>
  <c r="AW15" i="1" s="1"/>
  <c r="AK15" i="1"/>
  <c r="AX15" i="1" s="1"/>
  <c r="AN15" i="1"/>
  <c r="BA15" i="1" s="1"/>
  <c r="AI16" i="1"/>
  <c r="AV16" i="1" s="1"/>
  <c r="AJ16" i="1"/>
  <c r="AW16" i="1" s="1"/>
  <c r="AK16" i="1"/>
  <c r="AX16" i="1" s="1"/>
  <c r="AL16" i="1"/>
  <c r="AY16" i="1" s="1"/>
  <c r="AM16" i="1"/>
  <c r="AZ16" i="1" s="1"/>
  <c r="AO16" i="1"/>
  <c r="AP16" i="1"/>
  <c r="BC16" i="1" s="1"/>
  <c r="AK17" i="1"/>
  <c r="AX17" i="1" s="1"/>
  <c r="AL17" i="1"/>
  <c r="AY17" i="1" s="1"/>
  <c r="AM17" i="1"/>
  <c r="AZ17" i="1" s="1"/>
  <c r="AN17" i="1"/>
  <c r="BA17" i="1" s="1"/>
  <c r="AO17" i="1"/>
  <c r="BB17" i="1" s="1"/>
  <c r="AE18" i="1"/>
  <c r="AR18" i="1" s="1"/>
  <c r="AF18" i="1"/>
  <c r="AS18" i="1" s="1"/>
  <c r="AM18" i="1"/>
  <c r="AZ18" i="1" s="1"/>
  <c r="AN18" i="1"/>
  <c r="BA18" i="1" s="1"/>
  <c r="AO18" i="1"/>
  <c r="BB18" i="1" s="1"/>
  <c r="AP18" i="1"/>
  <c r="BC18" i="1" s="1"/>
  <c r="AE19" i="1"/>
  <c r="AR19" i="1" s="1"/>
  <c r="AG19" i="1"/>
  <c r="AT19" i="1" s="1"/>
  <c r="AO19" i="1"/>
  <c r="BB19" i="1" s="1"/>
  <c r="AP19" i="1"/>
  <c r="BC19" i="1" s="1"/>
  <c r="AE20" i="1"/>
  <c r="AR20" i="1" s="1"/>
  <c r="AF20" i="1"/>
  <c r="AS20" i="1" s="1"/>
  <c r="AG21" i="1"/>
  <c r="AT21" i="1" s="1"/>
  <c r="AH21" i="1"/>
  <c r="AU21" i="1" s="1"/>
  <c r="AI21" i="1"/>
  <c r="AV21" i="1" s="1"/>
  <c r="AK21" i="1"/>
  <c r="AX21" i="1" s="1"/>
  <c r="AL21" i="1"/>
  <c r="AY21" i="1" s="1"/>
  <c r="AO21" i="1"/>
  <c r="BB21" i="1" s="1"/>
  <c r="AP21" i="1"/>
  <c r="BC21" i="1" s="1"/>
  <c r="AF22" i="1"/>
  <c r="AS22" i="1" s="1"/>
  <c r="AM22" i="1"/>
  <c r="AZ22" i="1" s="1"/>
  <c r="AN22" i="1"/>
  <c r="BA22" i="1" s="1"/>
  <c r="AK23" i="1"/>
  <c r="AX23" i="1" s="1"/>
  <c r="AL23" i="1"/>
  <c r="AY23" i="1" s="1"/>
  <c r="AM23" i="1"/>
  <c r="AZ23" i="1" s="1"/>
  <c r="AP23" i="1"/>
  <c r="BC23" i="1" s="1"/>
  <c r="AG24" i="1"/>
  <c r="AT24" i="1" s="1"/>
  <c r="AK24" i="1"/>
  <c r="AX24" i="1" s="1"/>
  <c r="AL24" i="1"/>
  <c r="AY24" i="1" s="1"/>
  <c r="AM24" i="1"/>
  <c r="AZ24" i="1" s="1"/>
  <c r="AN24" i="1"/>
  <c r="BA24" i="1" s="1"/>
  <c r="AO24" i="1"/>
  <c r="BB24" i="1" s="1"/>
  <c r="AF25" i="1"/>
  <c r="AS25" i="1" s="1"/>
  <c r="AM25" i="1"/>
  <c r="AZ25" i="1" s="1"/>
  <c r="AN25" i="1"/>
  <c r="BA25" i="1" s="1"/>
  <c r="AE26" i="1"/>
  <c r="AR26" i="1" s="1"/>
  <c r="AG26" i="1"/>
  <c r="AT26" i="1" s="1"/>
  <c r="AH26" i="1"/>
  <c r="AU26" i="1" s="1"/>
  <c r="AO26" i="1"/>
  <c r="BB26" i="1" s="1"/>
  <c r="AP26" i="1"/>
  <c r="BC26" i="1" s="1"/>
  <c r="AE27" i="1"/>
  <c r="AR27" i="1" s="1"/>
  <c r="AF27" i="1"/>
  <c r="AS27" i="1" s="1"/>
  <c r="AG27" i="1"/>
  <c r="AT27" i="1" s="1"/>
  <c r="AN27" i="1"/>
  <c r="BA27" i="1" s="1"/>
  <c r="AG28" i="1"/>
  <c r="AT28" i="1" s="1"/>
  <c r="AI28" i="1"/>
  <c r="AV28" i="1" s="1"/>
  <c r="AL28" i="1"/>
  <c r="AY28" i="1" s="1"/>
  <c r="AG29" i="1"/>
  <c r="AT29" i="1" s="1"/>
  <c r="AH29" i="1"/>
  <c r="AU29" i="1" s="1"/>
  <c r="AI29" i="1"/>
  <c r="AV29" i="1" s="1"/>
  <c r="AJ29" i="1"/>
  <c r="AW29" i="1" s="1"/>
  <c r="AM29" i="1"/>
  <c r="AZ29" i="1" s="1"/>
  <c r="AN29" i="1"/>
  <c r="BA29" i="1" s="1"/>
  <c r="AI30" i="1"/>
  <c r="AV30" i="1" s="1"/>
  <c r="AK30" i="1"/>
  <c r="AX30" i="1" s="1"/>
  <c r="AL30" i="1"/>
  <c r="AY30" i="1" s="1"/>
  <c r="AM30" i="1"/>
  <c r="AZ30" i="1" s="1"/>
  <c r="AO30" i="1"/>
  <c r="BB30" i="1" s="1"/>
  <c r="AP30" i="1"/>
  <c r="BC30" i="1" s="1"/>
  <c r="AL31" i="1"/>
  <c r="AY31" i="1" s="1"/>
  <c r="AM31" i="1"/>
  <c r="AZ31" i="1" s="1"/>
  <c r="AN31" i="1"/>
  <c r="BA31" i="1" s="1"/>
  <c r="AO31" i="1"/>
  <c r="BB31" i="1" s="1"/>
  <c r="AF32" i="1"/>
  <c r="AS32" i="1" s="1"/>
  <c r="AP32" i="1"/>
  <c r="BC32" i="1" s="1"/>
  <c r="AG33" i="1"/>
  <c r="AT33" i="1" s="1"/>
  <c r="AH33" i="1"/>
  <c r="AU33" i="1" s="1"/>
  <c r="AP33" i="1"/>
  <c r="BC33" i="1" s="1"/>
  <c r="AE34" i="1"/>
  <c r="AR34" i="1" s="1"/>
  <c r="AF34" i="1"/>
  <c r="AS34" i="1" s="1"/>
  <c r="AG34" i="1"/>
  <c r="AT34" i="1" s="1"/>
  <c r="AI34" i="1"/>
  <c r="AV34" i="1" s="1"/>
  <c r="AI35" i="1"/>
  <c r="AV35" i="1" s="1"/>
  <c r="AK35" i="1"/>
  <c r="AX35" i="1" s="1"/>
  <c r="AL35" i="1"/>
  <c r="AY35" i="1" s="1"/>
  <c r="AP35" i="1"/>
  <c r="BC35" i="1" s="1"/>
  <c r="AH36" i="1"/>
  <c r="AU36" i="1" s="1"/>
  <c r="AJ36" i="1"/>
  <c r="AW36" i="1" s="1"/>
  <c r="AK36" i="1"/>
  <c r="AX36" i="1" s="1"/>
  <c r="AM36" i="1"/>
  <c r="AZ36" i="1" s="1"/>
  <c r="AN36" i="1"/>
  <c r="BA36" i="1" s="1"/>
  <c r="AL37" i="1"/>
  <c r="AY37" i="1" s="1"/>
  <c r="AM37" i="1"/>
  <c r="AZ37" i="1" s="1"/>
  <c r="AO37" i="1"/>
  <c r="BB37" i="1" s="1"/>
  <c r="AP37" i="1"/>
  <c r="BC37" i="1" s="1"/>
  <c r="AG38" i="1"/>
  <c r="AT38" i="1" s="1"/>
  <c r="AK38" i="1"/>
  <c r="AX38" i="1" s="1"/>
  <c r="AO38" i="1"/>
  <c r="BB38" i="1" s="1"/>
  <c r="AP38" i="1"/>
  <c r="BC38" i="1" s="1"/>
  <c r="AF39" i="1"/>
  <c r="AS39" i="1" s="1"/>
  <c r="AM39" i="1"/>
  <c r="AZ39" i="1" s="1"/>
  <c r="AN39" i="1"/>
  <c r="BA39" i="1" s="1"/>
  <c r="AO39" i="1"/>
  <c r="BB39" i="1" s="1"/>
  <c r="AP39" i="1"/>
  <c r="BC39" i="1" s="1"/>
  <c r="AG40" i="1"/>
  <c r="AT40" i="1" s="1"/>
  <c r="AH40" i="1"/>
  <c r="AU40" i="1" s="1"/>
  <c r="AO40" i="1"/>
  <c r="BB40" i="1" s="1"/>
  <c r="AP40" i="1"/>
  <c r="BC40" i="1" s="1"/>
  <c r="AF41" i="1"/>
  <c r="AS41" i="1" s="1"/>
  <c r="AG42" i="1"/>
  <c r="AT42" i="1" s="1"/>
  <c r="AI42" i="1"/>
  <c r="AV42" i="1" s="1"/>
  <c r="AK42" i="1"/>
  <c r="AX42" i="1" s="1"/>
  <c r="AL42" i="1"/>
  <c r="AY42" i="1" s="1"/>
  <c r="AH43" i="1"/>
  <c r="AU43" i="1" s="1"/>
  <c r="AK43" i="1"/>
  <c r="AX43" i="1" s="1"/>
  <c r="AM43" i="1"/>
  <c r="AN43" i="1"/>
  <c r="BA43" i="1" s="1"/>
  <c r="AE44" i="1"/>
  <c r="AR44" i="1" s="1"/>
  <c r="AL44" i="1"/>
  <c r="AY44" i="1" s="1"/>
  <c r="AM44" i="1"/>
  <c r="AZ44" i="1" s="1"/>
  <c r="AO44" i="1"/>
  <c r="BB44" i="1" s="1"/>
  <c r="AP44" i="1"/>
  <c r="BC44" i="1" s="1"/>
  <c r="AG45" i="1"/>
  <c r="AT45" i="1" s="1"/>
  <c r="AO45" i="1"/>
  <c r="BB45" i="1" s="1"/>
  <c r="AE46" i="1"/>
  <c r="AR46" i="1" s="1"/>
  <c r="AF46" i="1"/>
  <c r="AS46" i="1" s="1"/>
  <c r="AM46" i="1"/>
  <c r="AZ46" i="1" s="1"/>
  <c r="AN46" i="1"/>
  <c r="BA46" i="1" s="1"/>
  <c r="AO46" i="1"/>
  <c r="BB46" i="1" s="1"/>
  <c r="AP46" i="1"/>
  <c r="BC46" i="1" s="1"/>
  <c r="AE47" i="1"/>
  <c r="AR47" i="1" s="1"/>
  <c r="AF47" i="1"/>
  <c r="AS47" i="1" s="1"/>
  <c r="AG47" i="1"/>
  <c r="AT47" i="1" s="1"/>
  <c r="AH47" i="1"/>
  <c r="AU47" i="1" s="1"/>
  <c r="AO47" i="1"/>
  <c r="BB47" i="1" s="1"/>
  <c r="AP47" i="1"/>
  <c r="BC47" i="1" s="1"/>
  <c r="AE48" i="1"/>
  <c r="AR48" i="1" s="1"/>
  <c r="AF48" i="1"/>
  <c r="AS48" i="1" s="1"/>
  <c r="AG49" i="1"/>
  <c r="AT49" i="1" s="1"/>
  <c r="AH49" i="1"/>
  <c r="AU49" i="1" s="1"/>
  <c r="AI49" i="1"/>
  <c r="AV49" i="1" s="1"/>
  <c r="AK49" i="1"/>
  <c r="AX49" i="1" s="1"/>
  <c r="AL49" i="1"/>
  <c r="AY49" i="1" s="1"/>
  <c r="AG50" i="1"/>
  <c r="AT50" i="1" s="1"/>
  <c r="AH50" i="1"/>
  <c r="AU50" i="1" s="1"/>
  <c r="AI50" i="1"/>
  <c r="AV50" i="1" s="1"/>
  <c r="AJ50" i="1"/>
  <c r="AW50" i="1" s="1"/>
  <c r="AK50" i="1"/>
  <c r="AX50" i="1" s="1"/>
  <c r="AM50" i="1"/>
  <c r="AZ50" i="1" s="1"/>
  <c r="AN50" i="1"/>
  <c r="BA50" i="1" s="1"/>
  <c r="AK51" i="1"/>
  <c r="AX51" i="1" s="1"/>
  <c r="AL51" i="1"/>
  <c r="AY51" i="1" s="1"/>
  <c r="AM51" i="1"/>
  <c r="AZ51" i="1" s="1"/>
  <c r="AO51" i="1"/>
  <c r="BB51" i="1" s="1"/>
  <c r="AP51" i="1"/>
  <c r="BC51" i="1" s="1"/>
  <c r="AJ52" i="1"/>
  <c r="AW52" i="1" s="1"/>
  <c r="AK52" i="1"/>
  <c r="AX52" i="1" s="1"/>
  <c r="AM52" i="1"/>
  <c r="AZ52" i="1" s="1"/>
  <c r="AN52" i="1"/>
  <c r="BA52" i="1" s="1"/>
  <c r="AO52" i="1"/>
  <c r="BB52" i="1" s="1"/>
  <c r="AE53" i="1"/>
  <c r="AR53" i="1" s="1"/>
  <c r="AF53" i="1"/>
  <c r="AS53" i="1" s="1"/>
  <c r="AM53" i="1"/>
  <c r="AZ53" i="1" s="1"/>
  <c r="AN53" i="1"/>
  <c r="BA53" i="1" s="1"/>
  <c r="AP53" i="1"/>
  <c r="BC53" i="1" s="1"/>
  <c r="AE54" i="1"/>
  <c r="AR54" i="1" s="1"/>
  <c r="AG54" i="1"/>
  <c r="AT54" i="1" s="1"/>
  <c r="AH54" i="1"/>
  <c r="AU54" i="1" s="1"/>
  <c r="AL54" i="1"/>
  <c r="AY54" i="1" s="1"/>
  <c r="AP54" i="1"/>
  <c r="BC54" i="1" s="1"/>
  <c r="AE55" i="1"/>
  <c r="AR55" i="1" s="1"/>
  <c r="AF55" i="1"/>
  <c r="AS55" i="1" s="1"/>
  <c r="AG55" i="1"/>
  <c r="AT55" i="1" s="1"/>
  <c r="AH55" i="1"/>
  <c r="AU55" i="1" s="1"/>
  <c r="AI55" i="1"/>
  <c r="AV55" i="1" s="1"/>
  <c r="AM55" i="1"/>
  <c r="AZ55" i="1" s="1"/>
  <c r="AG56" i="1"/>
  <c r="AT56" i="1" s="1"/>
  <c r="AH56" i="1"/>
  <c r="AU56" i="1" s="1"/>
  <c r="AI56" i="1"/>
  <c r="AV56" i="1" s="1"/>
  <c r="AK56" i="1"/>
  <c r="AX56" i="1" s="1"/>
  <c r="AL56" i="1"/>
  <c r="AY56" i="1" s="1"/>
  <c r="AF57" i="1"/>
  <c r="AS57" i="1" s="1"/>
  <c r="AH57" i="1"/>
  <c r="AU57" i="1" s="1"/>
  <c r="AI57" i="1"/>
  <c r="AV57" i="1" s="1"/>
  <c r="AK57" i="1"/>
  <c r="AX57" i="1" s="1"/>
  <c r="AM57" i="1"/>
  <c r="AZ57" i="1" s="1"/>
  <c r="AN57" i="1"/>
  <c r="BA57" i="1" s="1"/>
  <c r="AI58" i="1"/>
  <c r="AV58" i="1" s="1"/>
  <c r="AO58" i="1"/>
  <c r="BB58" i="1" s="1"/>
  <c r="AP58" i="1"/>
  <c r="BC58" i="1" s="1"/>
  <c r="AH2" i="1"/>
  <c r="AU2" i="1" s="1"/>
  <c r="AL58" i="12"/>
  <c r="AY58" i="12" s="1"/>
  <c r="AF58" i="12"/>
  <c r="AS58" i="12" s="1"/>
  <c r="AE58" i="12"/>
  <c r="AR58" i="12" s="1"/>
  <c r="D58" i="12"/>
  <c r="AY57" i="12"/>
  <c r="AP57" i="12"/>
  <c r="BC57" i="12" s="1"/>
  <c r="AO57" i="12"/>
  <c r="BB57" i="12" s="1"/>
  <c r="AG57" i="12"/>
  <c r="AT57" i="12" s="1"/>
  <c r="AF57" i="12"/>
  <c r="AS57" i="12" s="1"/>
  <c r="D57" i="12"/>
  <c r="BB56" i="12"/>
  <c r="BA56" i="12"/>
  <c r="AO56" i="12"/>
  <c r="AN56" i="12"/>
  <c r="AM56" i="12"/>
  <c r="AZ56" i="12" s="1"/>
  <c r="AI56" i="12"/>
  <c r="AV56" i="12" s="1"/>
  <c r="AH56" i="12"/>
  <c r="AU56" i="12" s="1"/>
  <c r="AF56" i="12"/>
  <c r="AS56" i="12" s="1"/>
  <c r="AE56" i="12"/>
  <c r="AR56" i="12" s="1"/>
  <c r="D56" i="12"/>
  <c r="AX55" i="12"/>
  <c r="AS55" i="12"/>
  <c r="AP55" i="12"/>
  <c r="BC55" i="12" s="1"/>
  <c r="AO55" i="12"/>
  <c r="BB55" i="12" s="1"/>
  <c r="AN55" i="12"/>
  <c r="BA55" i="12" s="1"/>
  <c r="AM55" i="12"/>
  <c r="AZ55" i="12" s="1"/>
  <c r="AL55" i="12"/>
  <c r="AY55" i="12" s="1"/>
  <c r="AK55" i="12"/>
  <c r="AG55" i="12"/>
  <c r="AT55" i="12" s="1"/>
  <c r="D55" i="12"/>
  <c r="AO54" i="12"/>
  <c r="BB54" i="12" s="1"/>
  <c r="AK54" i="12"/>
  <c r="AX54" i="12" s="1"/>
  <c r="AJ54" i="12"/>
  <c r="AW54" i="12" s="1"/>
  <c r="AI54" i="12"/>
  <c r="AV54" i="12" s="1"/>
  <c r="AF54" i="12"/>
  <c r="AS54" i="12" s="1"/>
  <c r="D54" i="12"/>
  <c r="AJ53" i="12"/>
  <c r="AW53" i="12" s="1"/>
  <c r="AI53" i="12"/>
  <c r="AV53" i="12" s="1"/>
  <c r="AH53" i="12"/>
  <c r="AU53" i="12" s="1"/>
  <c r="AG53" i="12"/>
  <c r="AT53" i="12" s="1"/>
  <c r="D53" i="12"/>
  <c r="BB52" i="12"/>
  <c r="AN52" i="12"/>
  <c r="BA52" i="12" s="1"/>
  <c r="AL52" i="12"/>
  <c r="AY52" i="12" s="1"/>
  <c r="AK52" i="12"/>
  <c r="AX52" i="12" s="1"/>
  <c r="AJ52" i="12"/>
  <c r="AW52" i="12" s="1"/>
  <c r="AI52" i="12"/>
  <c r="AV52" i="12" s="1"/>
  <c r="AG52" i="12"/>
  <c r="AT52" i="12" s="1"/>
  <c r="AE52" i="12"/>
  <c r="AR52" i="12" s="1"/>
  <c r="D52" i="12"/>
  <c r="AL51" i="12"/>
  <c r="AY51" i="12" s="1"/>
  <c r="AI51" i="12"/>
  <c r="AV51" i="12" s="1"/>
  <c r="AE51" i="12"/>
  <c r="AR51" i="12" s="1"/>
  <c r="D51" i="12"/>
  <c r="AP50" i="12"/>
  <c r="BC50" i="12" s="1"/>
  <c r="AO50" i="12"/>
  <c r="BB50" i="12" s="1"/>
  <c r="AH50" i="12"/>
  <c r="AU50" i="12" s="1"/>
  <c r="AG50" i="12"/>
  <c r="AT50" i="12" s="1"/>
  <c r="D50" i="12"/>
  <c r="AO49" i="12"/>
  <c r="BB49" i="12" s="1"/>
  <c r="AN49" i="12"/>
  <c r="BA49" i="12" s="1"/>
  <c r="AM49" i="12"/>
  <c r="AZ49" i="12" s="1"/>
  <c r="AI49" i="12"/>
  <c r="AV49" i="12" s="1"/>
  <c r="AH49" i="12"/>
  <c r="AU49" i="12" s="1"/>
  <c r="AF49" i="12"/>
  <c r="AS49" i="12" s="1"/>
  <c r="AE49" i="12"/>
  <c r="AR49" i="12" s="1"/>
  <c r="D49" i="12"/>
  <c r="AP48" i="12"/>
  <c r="BC48" i="12" s="1"/>
  <c r="AO48" i="12"/>
  <c r="BB48" i="12" s="1"/>
  <c r="AN48" i="12"/>
  <c r="BA48" i="12" s="1"/>
  <c r="AM48" i="12"/>
  <c r="AZ48" i="12" s="1"/>
  <c r="AL48" i="12"/>
  <c r="AY48" i="12" s="1"/>
  <c r="AK48" i="12"/>
  <c r="AX48" i="12" s="1"/>
  <c r="AI48" i="12"/>
  <c r="AV48" i="12" s="1"/>
  <c r="AH48" i="12"/>
  <c r="AU48" i="12" s="1"/>
  <c r="D48" i="12"/>
  <c r="AY47" i="12"/>
  <c r="AO47" i="12"/>
  <c r="BB47" i="12" s="1"/>
  <c r="AN47" i="12"/>
  <c r="BA47" i="12" s="1"/>
  <c r="AK47" i="12"/>
  <c r="AX47" i="12" s="1"/>
  <c r="AJ47" i="12"/>
  <c r="AW47" i="12" s="1"/>
  <c r="AI47" i="12"/>
  <c r="AV47" i="12" s="1"/>
  <c r="D47" i="12"/>
  <c r="AZ46" i="12"/>
  <c r="AU46" i="12"/>
  <c r="AP46" i="12"/>
  <c r="BC46" i="12" s="1"/>
  <c r="AM46" i="12"/>
  <c r="AJ46" i="12"/>
  <c r="AW46" i="12" s="1"/>
  <c r="AI46" i="12"/>
  <c r="AV46" i="12" s="1"/>
  <c r="AH46" i="12"/>
  <c r="AG46" i="12"/>
  <c r="AT46" i="12" s="1"/>
  <c r="D46" i="12"/>
  <c r="AO45" i="12"/>
  <c r="BB45" i="12" s="1"/>
  <c r="AN45" i="12"/>
  <c r="BA45" i="12" s="1"/>
  <c r="AK45" i="12"/>
  <c r="AX45" i="12" s="1"/>
  <c r="AG45" i="12"/>
  <c r="AT45" i="12" s="1"/>
  <c r="AF45" i="12"/>
  <c r="AS45" i="12" s="1"/>
  <c r="AE45" i="12"/>
  <c r="AR45" i="12" s="1"/>
  <c r="D45" i="12"/>
  <c r="AM44" i="12"/>
  <c r="AZ44" i="12" s="1"/>
  <c r="AL44" i="12"/>
  <c r="AY44" i="12" s="1"/>
  <c r="AK44" i="12"/>
  <c r="AX44" i="12" s="1"/>
  <c r="AJ44" i="12"/>
  <c r="AW44" i="12" s="1"/>
  <c r="AI44" i="12"/>
  <c r="AV44" i="12" s="1"/>
  <c r="AF44" i="12"/>
  <c r="AS44" i="12" s="1"/>
  <c r="AE44" i="12"/>
  <c r="AR44" i="12" s="1"/>
  <c r="D44" i="12"/>
  <c r="AU43" i="12"/>
  <c r="AP43" i="12"/>
  <c r="BC43" i="12" s="1"/>
  <c r="AO43" i="12"/>
  <c r="BB43" i="12" s="1"/>
  <c r="AG43" i="12"/>
  <c r="AT43" i="12" s="1"/>
  <c r="AE43" i="12"/>
  <c r="AR43" i="12" s="1"/>
  <c r="D43" i="12"/>
  <c r="BC42" i="12"/>
  <c r="BB42" i="12"/>
  <c r="AZ42" i="12"/>
  <c r="AP42" i="12"/>
  <c r="AO42" i="12"/>
  <c r="AN42" i="12"/>
  <c r="BA42" i="12" s="1"/>
  <c r="AM42" i="12"/>
  <c r="AI42" i="12"/>
  <c r="AV42" i="12" s="1"/>
  <c r="AH42" i="12"/>
  <c r="AU42" i="12" s="1"/>
  <c r="AF42" i="12"/>
  <c r="AS42" i="12" s="1"/>
  <c r="AE42" i="12"/>
  <c r="AR42" i="12" s="1"/>
  <c r="D42" i="12"/>
  <c r="AU41" i="12"/>
  <c r="AS41" i="12"/>
  <c r="AP41" i="12"/>
  <c r="BC41" i="12" s="1"/>
  <c r="AN41" i="12"/>
  <c r="BA41" i="12" s="1"/>
  <c r="AM41" i="12"/>
  <c r="AZ41" i="12" s="1"/>
  <c r="AL41" i="12"/>
  <c r="AY41" i="12" s="1"/>
  <c r="AK41" i="12"/>
  <c r="AX41" i="12" s="1"/>
  <c r="AH41" i="12"/>
  <c r="D41" i="12"/>
  <c r="AZ40" i="12"/>
  <c r="AW40" i="12"/>
  <c r="AV40" i="12"/>
  <c r="AO40" i="12"/>
  <c r="BB40" i="12" s="1"/>
  <c r="AM40" i="12"/>
  <c r="AK40" i="12"/>
  <c r="AX40" i="12" s="1"/>
  <c r="AI40" i="12"/>
  <c r="AE40" i="12"/>
  <c r="AR40" i="12" s="1"/>
  <c r="D40" i="12"/>
  <c r="AX39" i="12"/>
  <c r="AM39" i="12"/>
  <c r="AZ39" i="12" s="1"/>
  <c r="AJ39" i="12"/>
  <c r="AW39" i="12" s="1"/>
  <c r="AI39" i="12"/>
  <c r="AV39" i="12" s="1"/>
  <c r="AH39" i="12"/>
  <c r="AU39" i="12" s="1"/>
  <c r="AG39" i="12"/>
  <c r="AT39" i="12" s="1"/>
  <c r="D39" i="12"/>
  <c r="AO38" i="12"/>
  <c r="BB38" i="12" s="1"/>
  <c r="AN38" i="12"/>
  <c r="BA38" i="12" s="1"/>
  <c r="AK38" i="12"/>
  <c r="AX38" i="12" s="1"/>
  <c r="AH38" i="12"/>
  <c r="AU38" i="12" s="1"/>
  <c r="AG38" i="12"/>
  <c r="AT38" i="12" s="1"/>
  <c r="AF38" i="12"/>
  <c r="AS38" i="12" s="1"/>
  <c r="AE38" i="12"/>
  <c r="AR38" i="12" s="1"/>
  <c r="D38" i="12"/>
  <c r="AL37" i="12"/>
  <c r="AY37" i="12" s="1"/>
  <c r="AI37" i="12"/>
  <c r="AV37" i="12" s="1"/>
  <c r="AU37" i="12"/>
  <c r="AG37" i="12"/>
  <c r="AT37" i="12" s="1"/>
  <c r="AF37" i="12"/>
  <c r="AS37" i="12" s="1"/>
  <c r="AE37" i="12"/>
  <c r="AR37" i="12" s="1"/>
  <c r="D37" i="12"/>
  <c r="AY36" i="12"/>
  <c r="AP36" i="12"/>
  <c r="BC36" i="12" s="1"/>
  <c r="AO36" i="12"/>
  <c r="BB36" i="12" s="1"/>
  <c r="AK36" i="12"/>
  <c r="AX36" i="12" s="1"/>
  <c r="AJ36" i="12"/>
  <c r="AW36" i="12" s="1"/>
  <c r="AG36" i="12"/>
  <c r="AT36" i="12" s="1"/>
  <c r="D36" i="12"/>
  <c r="AP35" i="12"/>
  <c r="BC35" i="12" s="1"/>
  <c r="AO35" i="12"/>
  <c r="BB35" i="12" s="1"/>
  <c r="AN35" i="12"/>
  <c r="BA35" i="12" s="1"/>
  <c r="AM35" i="12"/>
  <c r="AZ35" i="12" s="1"/>
  <c r="AI35" i="12"/>
  <c r="AV35" i="12" s="1"/>
  <c r="AH35" i="12"/>
  <c r="AU35" i="12" s="1"/>
  <c r="AF35" i="12"/>
  <c r="AS35" i="12" s="1"/>
  <c r="AE35" i="12"/>
  <c r="AR35" i="12" s="1"/>
  <c r="D35" i="12"/>
  <c r="AN34" i="12"/>
  <c r="BA34" i="12" s="1"/>
  <c r="AM34" i="12"/>
  <c r="AZ34" i="12" s="1"/>
  <c r="AL34" i="12"/>
  <c r="AY34" i="12" s="1"/>
  <c r="AK34" i="12"/>
  <c r="AX34" i="12" s="1"/>
  <c r="AH34" i="12"/>
  <c r="AU34" i="12" s="1"/>
  <c r="AG34" i="12"/>
  <c r="AT34" i="12" s="1"/>
  <c r="AF34" i="12"/>
  <c r="AS34" i="12" s="1"/>
  <c r="D34" i="12"/>
  <c r="AP33" i="12"/>
  <c r="BC33" i="12" s="1"/>
  <c r="AO33" i="12"/>
  <c r="BB33" i="12" s="1"/>
  <c r="AM33" i="12"/>
  <c r="AZ33" i="12" s="1"/>
  <c r="AK33" i="12"/>
  <c r="AX33" i="12" s="1"/>
  <c r="AI33" i="12"/>
  <c r="AV33" i="12" s="1"/>
  <c r="AE33" i="12"/>
  <c r="AR33" i="12" s="1"/>
  <c r="D33" i="12"/>
  <c r="BC32" i="12"/>
  <c r="AV32" i="12"/>
  <c r="AM32" i="12"/>
  <c r="AZ32" i="12" s="1"/>
  <c r="AL32" i="12"/>
  <c r="AY32" i="12" s="1"/>
  <c r="AK32" i="12"/>
  <c r="AX32" i="12" s="1"/>
  <c r="AJ32" i="12"/>
  <c r="AW32" i="12" s="1"/>
  <c r="AI32" i="12"/>
  <c r="AH32" i="12"/>
  <c r="AU32" i="12" s="1"/>
  <c r="AG32" i="12"/>
  <c r="AT32" i="12" s="1"/>
  <c r="D32" i="12"/>
  <c r="AR31" i="12"/>
  <c r="AO31" i="12"/>
  <c r="BB31" i="12" s="1"/>
  <c r="AL31" i="12"/>
  <c r="AY31" i="12" s="1"/>
  <c r="AK31" i="12"/>
  <c r="AX31" i="12" s="1"/>
  <c r="AI31" i="12"/>
  <c r="AV31" i="12" s="1"/>
  <c r="AG31" i="12"/>
  <c r="AT31" i="12" s="1"/>
  <c r="AF31" i="12"/>
  <c r="AS31" i="12" s="1"/>
  <c r="AE31" i="12"/>
  <c r="D31" i="12"/>
  <c r="AN30" i="12"/>
  <c r="BA30" i="12" s="1"/>
  <c r="AL30" i="12"/>
  <c r="AY30" i="12" s="1"/>
  <c r="AJ30" i="12"/>
  <c r="AW30" i="12" s="1"/>
  <c r="AI30" i="12"/>
  <c r="AV30" i="12" s="1"/>
  <c r="AG30" i="12"/>
  <c r="AT30" i="12" s="1"/>
  <c r="AF30" i="12"/>
  <c r="AS30" i="12" s="1"/>
  <c r="AE30" i="12"/>
  <c r="AR30" i="12" s="1"/>
  <c r="D30" i="12"/>
  <c r="AP29" i="12"/>
  <c r="BC29" i="12" s="1"/>
  <c r="AO29" i="12"/>
  <c r="BB29" i="12" s="1"/>
  <c r="AN29" i="12"/>
  <c r="BA29" i="12" s="1"/>
  <c r="AK29" i="12"/>
  <c r="AX29" i="12" s="1"/>
  <c r="AJ29" i="12"/>
  <c r="AW29" i="12" s="1"/>
  <c r="AG29" i="12"/>
  <c r="AT29" i="12" s="1"/>
  <c r="D29" i="12"/>
  <c r="BB28" i="12"/>
  <c r="AP28" i="12"/>
  <c r="BC28" i="12" s="1"/>
  <c r="AO28" i="12"/>
  <c r="AN28" i="12"/>
  <c r="BA28" i="12" s="1"/>
  <c r="AM28" i="12"/>
  <c r="AZ28" i="12" s="1"/>
  <c r="AI28" i="12"/>
  <c r="AV28" i="12" s="1"/>
  <c r="AH28" i="12"/>
  <c r="AU28" i="12" s="1"/>
  <c r="AF28" i="12"/>
  <c r="AS28" i="12" s="1"/>
  <c r="AE28" i="12"/>
  <c r="AR28" i="12" s="1"/>
  <c r="D28" i="12"/>
  <c r="AO27" i="12"/>
  <c r="BB27" i="12" s="1"/>
  <c r="AN27" i="12"/>
  <c r="BA27" i="12" s="1"/>
  <c r="AM27" i="12"/>
  <c r="AZ27" i="12" s="1"/>
  <c r="AL27" i="12"/>
  <c r="AY27" i="12" s="1"/>
  <c r="AK27" i="12"/>
  <c r="AX27" i="12" s="1"/>
  <c r="AG27" i="12"/>
  <c r="AT27" i="12" s="1"/>
  <c r="D27" i="12"/>
  <c r="BB26" i="12"/>
  <c r="AO26" i="12"/>
  <c r="AN26" i="12"/>
  <c r="BA26" i="12" s="1"/>
  <c r="AL26" i="12"/>
  <c r="AY26" i="12" s="1"/>
  <c r="AK26" i="12"/>
  <c r="AX26" i="12" s="1"/>
  <c r="AJ26" i="12"/>
  <c r="AW26" i="12" s="1"/>
  <c r="AI26" i="12"/>
  <c r="AV26" i="12" s="1"/>
  <c r="AE26" i="12"/>
  <c r="AR26" i="12" s="1"/>
  <c r="D26" i="12"/>
  <c r="AZ25" i="12"/>
  <c r="AM25" i="12"/>
  <c r="AL25" i="12"/>
  <c r="AY25" i="12" s="1"/>
  <c r="AK25" i="12"/>
  <c r="AX25" i="12" s="1"/>
  <c r="AJ25" i="12"/>
  <c r="AW25" i="12" s="1"/>
  <c r="AI25" i="12"/>
  <c r="AV25" i="12" s="1"/>
  <c r="AG25" i="12"/>
  <c r="AT25" i="12" s="1"/>
  <c r="AE25" i="12"/>
  <c r="AR25" i="12" s="1"/>
  <c r="D25" i="12"/>
  <c r="AN24" i="12"/>
  <c r="BA24" i="12" s="1"/>
  <c r="AL24" i="12"/>
  <c r="AY24" i="12" s="1"/>
  <c r="AK24" i="12"/>
  <c r="AX24" i="12" s="1"/>
  <c r="AJ24" i="12"/>
  <c r="AW24" i="12" s="1"/>
  <c r="AI24" i="12"/>
  <c r="AV24" i="12" s="1"/>
  <c r="AH24" i="12"/>
  <c r="AU24" i="12" s="1"/>
  <c r="AG24" i="12"/>
  <c r="AT24" i="12" s="1"/>
  <c r="AF24" i="12"/>
  <c r="AS24" i="12" s="1"/>
  <c r="AE24" i="12"/>
  <c r="AR24" i="12" s="1"/>
  <c r="D24" i="12"/>
  <c r="AN23" i="12"/>
  <c r="BA23" i="12" s="1"/>
  <c r="AM23" i="12"/>
  <c r="AZ23" i="12" s="1"/>
  <c r="AI23" i="12"/>
  <c r="AV23" i="12" s="1"/>
  <c r="AG23" i="12"/>
  <c r="AT23" i="12" s="1"/>
  <c r="AF23" i="12"/>
  <c r="AS23" i="12" s="1"/>
  <c r="AE23" i="12"/>
  <c r="AR23" i="12" s="1"/>
  <c r="D23" i="12"/>
  <c r="AX22" i="12"/>
  <c r="AO22" i="12"/>
  <c r="BB22" i="12" s="1"/>
  <c r="AL22" i="12"/>
  <c r="AY22" i="12" s="1"/>
  <c r="AK22" i="12"/>
  <c r="AJ22" i="12"/>
  <c r="AW22" i="12" s="1"/>
  <c r="AG22" i="12"/>
  <c r="AT22" i="12" s="1"/>
  <c r="AF22" i="12"/>
  <c r="AS22" i="12" s="1"/>
  <c r="AE22" i="12"/>
  <c r="AR22" i="12" s="1"/>
  <c r="D22" i="12"/>
  <c r="AR21" i="12"/>
  <c r="AP21" i="12"/>
  <c r="BC21" i="12" s="1"/>
  <c r="AO21" i="12"/>
  <c r="BB21" i="12" s="1"/>
  <c r="AN21" i="12"/>
  <c r="BA21" i="12" s="1"/>
  <c r="AM21" i="12"/>
  <c r="AZ21" i="12" s="1"/>
  <c r="AI21" i="12"/>
  <c r="AV21" i="12" s="1"/>
  <c r="AE21" i="12"/>
  <c r="D21" i="12"/>
  <c r="AO20" i="12"/>
  <c r="BB20" i="12" s="1"/>
  <c r="AN20" i="12"/>
  <c r="BA20" i="12" s="1"/>
  <c r="AM20" i="12"/>
  <c r="AZ20" i="12" s="1"/>
  <c r="AL20" i="12"/>
  <c r="AY20" i="12" s="1"/>
  <c r="AK20" i="12"/>
  <c r="AX20" i="12" s="1"/>
  <c r="AH20" i="12"/>
  <c r="AU20" i="12" s="1"/>
  <c r="AG20" i="12"/>
  <c r="AT20" i="12" s="1"/>
  <c r="AF20" i="12"/>
  <c r="AS20" i="12" s="1"/>
  <c r="D20" i="12"/>
  <c r="AZ19" i="12"/>
  <c r="AP19" i="12"/>
  <c r="BC19" i="12" s="1"/>
  <c r="AO19" i="12"/>
  <c r="BB19" i="12" s="1"/>
  <c r="AL19" i="12"/>
  <c r="AY19" i="12" s="1"/>
  <c r="AK19" i="12"/>
  <c r="AX19" i="12" s="1"/>
  <c r="AJ19" i="12"/>
  <c r="AW19" i="12" s="1"/>
  <c r="AI19" i="12"/>
  <c r="AV19" i="12" s="1"/>
  <c r="AE19" i="12"/>
  <c r="AR19" i="12" s="1"/>
  <c r="D19" i="12"/>
  <c r="AP18" i="12"/>
  <c r="BC18" i="12" s="1"/>
  <c r="AO18" i="12"/>
  <c r="BB18" i="12" s="1"/>
  <c r="AN18" i="12"/>
  <c r="BA18" i="12" s="1"/>
  <c r="AM18" i="12"/>
  <c r="AZ18" i="12" s="1"/>
  <c r="AL18" i="12"/>
  <c r="AY18" i="12" s="1"/>
  <c r="AJ18" i="12"/>
  <c r="AW18" i="12" s="1"/>
  <c r="AI18" i="12"/>
  <c r="AV18" i="12" s="1"/>
  <c r="AH18" i="12"/>
  <c r="AU18" i="12" s="1"/>
  <c r="AG18" i="12"/>
  <c r="AT18" i="12" s="1"/>
  <c r="D18" i="12"/>
  <c r="AO17" i="12"/>
  <c r="BB17" i="12" s="1"/>
  <c r="AK17" i="12"/>
  <c r="AX17" i="12" s="1"/>
  <c r="AI17" i="12"/>
  <c r="AV17" i="12" s="1"/>
  <c r="AH17" i="12"/>
  <c r="AU17" i="12" s="1"/>
  <c r="AG17" i="12"/>
  <c r="AT17" i="12" s="1"/>
  <c r="AF17" i="12"/>
  <c r="AS17" i="12" s="1"/>
  <c r="AE17" i="12"/>
  <c r="AR17" i="12" s="1"/>
  <c r="D17" i="12"/>
  <c r="AU16" i="12"/>
  <c r="AM16" i="12"/>
  <c r="AZ16" i="12" s="1"/>
  <c r="AL16" i="12"/>
  <c r="AY16" i="12" s="1"/>
  <c r="AJ16" i="12"/>
  <c r="AW16" i="12" s="1"/>
  <c r="AI16" i="12"/>
  <c r="AV16" i="12" s="1"/>
  <c r="AE16" i="12"/>
  <c r="AR16" i="12" s="1"/>
  <c r="D16" i="12"/>
  <c r="AY15" i="12"/>
  <c r="AW15" i="12"/>
  <c r="AP15" i="12"/>
  <c r="BC15" i="12" s="1"/>
  <c r="AO15" i="12"/>
  <c r="BB15" i="12" s="1"/>
  <c r="AK15" i="12"/>
  <c r="AX15" i="12" s="1"/>
  <c r="AH15" i="12"/>
  <c r="AU15" i="12" s="1"/>
  <c r="AG15" i="12"/>
  <c r="AT15" i="12" s="1"/>
  <c r="AF15" i="12"/>
  <c r="AS15" i="12" s="1"/>
  <c r="AE15" i="12"/>
  <c r="AR15" i="12" s="1"/>
  <c r="D15" i="12"/>
  <c r="BC14" i="12"/>
  <c r="AP14" i="12"/>
  <c r="AO14" i="12"/>
  <c r="BB14" i="12" s="1"/>
  <c r="AN14" i="12"/>
  <c r="BA14" i="12" s="1"/>
  <c r="AM14" i="12"/>
  <c r="AZ14" i="12" s="1"/>
  <c r="AI14" i="12"/>
  <c r="AV14" i="12" s="1"/>
  <c r="AH14" i="12"/>
  <c r="AU14" i="12" s="1"/>
  <c r="AF14" i="12"/>
  <c r="AS14" i="12" s="1"/>
  <c r="AE14" i="12"/>
  <c r="AR14" i="12" s="1"/>
  <c r="D14" i="12"/>
  <c r="AO13" i="12"/>
  <c r="BB13" i="12" s="1"/>
  <c r="AN13" i="12"/>
  <c r="BA13" i="12" s="1"/>
  <c r="AM13" i="12"/>
  <c r="AZ13" i="12" s="1"/>
  <c r="AL13" i="12"/>
  <c r="AY13" i="12" s="1"/>
  <c r="AK13" i="12"/>
  <c r="AX13" i="12" s="1"/>
  <c r="AG13" i="12"/>
  <c r="AT13" i="12" s="1"/>
  <c r="AF13" i="12"/>
  <c r="AS13" i="12" s="1"/>
  <c r="D13" i="12"/>
  <c r="AO12" i="12"/>
  <c r="BB12" i="12" s="1"/>
  <c r="AN12" i="12"/>
  <c r="BA12" i="12" s="1"/>
  <c r="AM12" i="12"/>
  <c r="AZ12" i="12" s="1"/>
  <c r="AL12" i="12"/>
  <c r="AY12" i="12" s="1"/>
  <c r="AK12" i="12"/>
  <c r="AX12" i="12" s="1"/>
  <c r="AJ12" i="12"/>
  <c r="AW12" i="12" s="1"/>
  <c r="AI12" i="12"/>
  <c r="AV12" i="12" s="1"/>
  <c r="AF12" i="12"/>
  <c r="AS12" i="12" s="1"/>
  <c r="AE12" i="12"/>
  <c r="AR12" i="12" s="1"/>
  <c r="D12" i="12"/>
  <c r="AP11" i="12"/>
  <c r="BC11" i="12" s="1"/>
  <c r="AN11" i="12"/>
  <c r="BA11" i="12" s="1"/>
  <c r="AM11" i="12"/>
  <c r="AZ11" i="12" s="1"/>
  <c r="AJ11" i="12"/>
  <c r="AW11" i="12" s="1"/>
  <c r="AI11" i="12"/>
  <c r="AV11" i="12" s="1"/>
  <c r="AH11" i="12"/>
  <c r="AU11" i="12" s="1"/>
  <c r="AG11" i="12"/>
  <c r="AT11" i="12" s="1"/>
  <c r="AE11" i="12"/>
  <c r="AR11" i="12" s="1"/>
  <c r="D11" i="12"/>
  <c r="AP10" i="12"/>
  <c r="BC10" i="12" s="1"/>
  <c r="AO10" i="12"/>
  <c r="BB10" i="12" s="1"/>
  <c r="AN10" i="12"/>
  <c r="BA10" i="12" s="1"/>
  <c r="AK10" i="12"/>
  <c r="AX10" i="12" s="1"/>
  <c r="AJ10" i="12"/>
  <c r="AW10" i="12" s="1"/>
  <c r="AI10" i="12"/>
  <c r="AV10" i="12" s="1"/>
  <c r="AH10" i="12"/>
  <c r="AU10" i="12" s="1"/>
  <c r="AG10" i="12"/>
  <c r="AT10" i="12" s="1"/>
  <c r="AF10" i="12"/>
  <c r="AS10" i="12" s="1"/>
  <c r="AE10" i="12"/>
  <c r="AR10" i="12" s="1"/>
  <c r="D10" i="12"/>
  <c r="AY9" i="12"/>
  <c r="AV9" i="12"/>
  <c r="AN9" i="12"/>
  <c r="BA9" i="12" s="1"/>
  <c r="AM9" i="12"/>
  <c r="AZ9" i="12" s="1"/>
  <c r="AI9" i="12"/>
  <c r="AG9" i="12"/>
  <c r="AT9" i="12" s="1"/>
  <c r="AF9" i="12"/>
  <c r="AS9" i="12" s="1"/>
  <c r="AE9" i="12"/>
  <c r="AR9" i="12" s="1"/>
  <c r="D9" i="12"/>
  <c r="AP8" i="12"/>
  <c r="BC8" i="12" s="1"/>
  <c r="AO8" i="12"/>
  <c r="BB8" i="12" s="1"/>
  <c r="AK8" i="12"/>
  <c r="AX8" i="12" s="1"/>
  <c r="AJ8" i="12"/>
  <c r="AW8" i="12" s="1"/>
  <c r="AH8" i="12"/>
  <c r="AU8" i="12" s="1"/>
  <c r="AG8" i="12"/>
  <c r="AT8" i="12" s="1"/>
  <c r="AF8" i="12"/>
  <c r="AS8" i="12" s="1"/>
  <c r="AE8" i="12"/>
  <c r="AR8" i="12" s="1"/>
  <c r="D8" i="12"/>
  <c r="AS7" i="12"/>
  <c r="AP7" i="12"/>
  <c r="BC7" i="12" s="1"/>
  <c r="AO7" i="12"/>
  <c r="BB7" i="12" s="1"/>
  <c r="AN7" i="12"/>
  <c r="BA7" i="12" s="1"/>
  <c r="AM7" i="12"/>
  <c r="AZ7" i="12" s="1"/>
  <c r="AI7" i="12"/>
  <c r="AV7" i="12" s="1"/>
  <c r="AE7" i="12"/>
  <c r="AR7" i="12" s="1"/>
  <c r="D7" i="12"/>
  <c r="BA6" i="12"/>
  <c r="AN6" i="12"/>
  <c r="AM6" i="12"/>
  <c r="AZ6" i="12" s="1"/>
  <c r="AL6" i="12"/>
  <c r="AY6" i="12" s="1"/>
  <c r="AK6" i="12"/>
  <c r="AX6" i="12" s="1"/>
  <c r="AH6" i="12"/>
  <c r="AU6" i="12" s="1"/>
  <c r="AG6" i="12"/>
  <c r="AT6" i="12" s="1"/>
  <c r="AF6" i="12"/>
  <c r="AS6" i="12" s="1"/>
  <c r="D6" i="12"/>
  <c r="AV5" i="12"/>
  <c r="AP5" i="12"/>
  <c r="BC5" i="12" s="1"/>
  <c r="AO5" i="12"/>
  <c r="BB5" i="12" s="1"/>
  <c r="AN5" i="12"/>
  <c r="BA5" i="12" s="1"/>
  <c r="AM5" i="12"/>
  <c r="AZ5" i="12" s="1"/>
  <c r="AL5" i="12"/>
  <c r="AY5" i="12" s="1"/>
  <c r="AK5" i="12"/>
  <c r="AX5" i="12" s="1"/>
  <c r="AJ5" i="12"/>
  <c r="AW5" i="12" s="1"/>
  <c r="AI5" i="12"/>
  <c r="AE5" i="12"/>
  <c r="AR5" i="12" s="1"/>
  <c r="D5" i="12"/>
  <c r="BC4" i="12"/>
  <c r="AX4" i="12"/>
  <c r="AS4" i="12"/>
  <c r="AM4" i="12"/>
  <c r="AZ4" i="12" s="1"/>
  <c r="AK4" i="12"/>
  <c r="AJ4" i="12"/>
  <c r="AW4" i="12" s="1"/>
  <c r="AI4" i="12"/>
  <c r="AV4" i="12" s="1"/>
  <c r="AH4" i="12"/>
  <c r="AU4" i="12" s="1"/>
  <c r="AG4" i="12"/>
  <c r="AT4" i="12" s="1"/>
  <c r="AE4" i="12"/>
  <c r="AR4" i="12" s="1"/>
  <c r="D4" i="12"/>
  <c r="AO3" i="12"/>
  <c r="BB3" i="12" s="1"/>
  <c r="AN3" i="12"/>
  <c r="BA3" i="12" s="1"/>
  <c r="AL3" i="12"/>
  <c r="AY3" i="12" s="1"/>
  <c r="AK3" i="12"/>
  <c r="AX3" i="12" s="1"/>
  <c r="AJ3" i="12"/>
  <c r="AW3" i="12" s="1"/>
  <c r="AH3" i="12"/>
  <c r="AU3" i="12" s="1"/>
  <c r="AG3" i="12"/>
  <c r="AT3" i="12" s="1"/>
  <c r="AF3" i="12"/>
  <c r="AS3" i="12" s="1"/>
  <c r="AE3" i="12"/>
  <c r="AR3" i="12" s="1"/>
  <c r="D3" i="12"/>
  <c r="AR2" i="12"/>
  <c r="AI2" i="12"/>
  <c r="AV2" i="12" s="1"/>
  <c r="AH2" i="12"/>
  <c r="AU2" i="12" s="1"/>
  <c r="AG2" i="12"/>
  <c r="AT2" i="12" s="1"/>
  <c r="AE2" i="12"/>
  <c r="D2" i="12"/>
  <c r="AE2" i="1"/>
  <c r="AR2" i="1" s="1"/>
  <c r="AG2" i="1"/>
  <c r="AT2" i="1" s="1"/>
  <c r="AI2" i="1"/>
  <c r="AV2" i="1" s="1"/>
  <c r="AF3" i="1"/>
  <c r="AS3" i="1" s="1"/>
  <c r="AG3" i="1"/>
  <c r="AT3" i="1" s="1"/>
  <c r="AH3" i="1"/>
  <c r="AU3" i="1" s="1"/>
  <c r="AI3" i="1"/>
  <c r="AV3" i="1" s="1"/>
  <c r="AJ3" i="1"/>
  <c r="AW3" i="1" s="1"/>
  <c r="AE3" i="1"/>
  <c r="AR3" i="1" s="1"/>
  <c r="AK3" i="1"/>
  <c r="AL3" i="1"/>
  <c r="AY3" i="1" s="1"/>
  <c r="AM3" i="1"/>
  <c r="AZ3" i="1" s="1"/>
  <c r="AN3" i="1"/>
  <c r="BA3" i="1" s="1"/>
  <c r="AP3" i="1"/>
  <c r="BC3" i="1" s="1"/>
  <c r="AX3" i="1"/>
  <c r="AG4" i="1"/>
  <c r="AT4" i="1" s="1"/>
  <c r="AK4" i="1"/>
  <c r="AX4" i="1" s="1"/>
  <c r="AL4" i="1"/>
  <c r="AY4" i="1" s="1"/>
  <c r="AI5" i="1"/>
  <c r="AV5" i="1" s="1"/>
  <c r="AJ5" i="1"/>
  <c r="AW5" i="1" s="1"/>
  <c r="AL5" i="1"/>
  <c r="AY5" i="1" s="1"/>
  <c r="AM5" i="1"/>
  <c r="AZ5" i="1" s="1"/>
  <c r="AN5" i="1"/>
  <c r="BA5" i="1" s="1"/>
  <c r="AH6" i="1"/>
  <c r="AU6" i="1" s="1"/>
  <c r="AK6" i="1"/>
  <c r="AX6" i="1" s="1"/>
  <c r="AL6" i="1"/>
  <c r="AY6" i="1" s="1"/>
  <c r="AM6" i="1"/>
  <c r="AZ6" i="1" s="1"/>
  <c r="AN6" i="1"/>
  <c r="BA6" i="1" s="1"/>
  <c r="AO6" i="1"/>
  <c r="BB6" i="1" s="1"/>
  <c r="AP6" i="1"/>
  <c r="BC6" i="1" s="1"/>
  <c r="AJ7" i="1"/>
  <c r="AW7" i="1" s="1"/>
  <c r="AM7" i="1"/>
  <c r="AN7" i="1"/>
  <c r="BA7" i="1" s="1"/>
  <c r="AO7" i="1"/>
  <c r="BB7" i="1" s="1"/>
  <c r="AP7" i="1"/>
  <c r="BC7" i="1" s="1"/>
  <c r="AZ7" i="1"/>
  <c r="AF8" i="1"/>
  <c r="AS8" i="1" s="1"/>
  <c r="AG8" i="1"/>
  <c r="AT8" i="1" s="1"/>
  <c r="AE8" i="1"/>
  <c r="AR8" i="1" s="1"/>
  <c r="AL8" i="1"/>
  <c r="AO8" i="1"/>
  <c r="BB8" i="1" s="1"/>
  <c r="AP8" i="1"/>
  <c r="BC8" i="1" s="1"/>
  <c r="AY8" i="1"/>
  <c r="AM9" i="1"/>
  <c r="AZ9" i="1" s="1"/>
  <c r="AN9" i="1"/>
  <c r="BA9" i="1" s="1"/>
  <c r="AO9" i="1"/>
  <c r="BB9" i="1" s="1"/>
  <c r="AP9" i="1"/>
  <c r="BC9" i="1" s="1"/>
  <c r="AE10" i="1"/>
  <c r="AR10" i="1" s="1"/>
  <c r="AF10" i="1"/>
  <c r="AS10" i="1" s="1"/>
  <c r="AI10" i="1"/>
  <c r="AV10" i="1" s="1"/>
  <c r="AG10" i="1"/>
  <c r="AT10" i="1" s="1"/>
  <c r="AP10" i="1"/>
  <c r="BC10" i="1" s="1"/>
  <c r="AE11" i="1"/>
  <c r="AR11" i="1" s="1"/>
  <c r="AG11" i="1"/>
  <c r="AT11" i="1" s="1"/>
  <c r="AK11" i="1"/>
  <c r="AX11" i="1" s="1"/>
  <c r="AI12" i="1"/>
  <c r="AV12" i="1" s="1"/>
  <c r="AF12" i="1"/>
  <c r="AS12" i="1" s="1"/>
  <c r="AJ12" i="1"/>
  <c r="AW12" i="1" s="1"/>
  <c r="AK12" i="1"/>
  <c r="AX12" i="1" s="1"/>
  <c r="AL12" i="1"/>
  <c r="AY12" i="1" s="1"/>
  <c r="AM12" i="1"/>
  <c r="AZ12" i="1" s="1"/>
  <c r="AH13" i="1"/>
  <c r="AU13" i="1" s="1"/>
  <c r="AK13" i="1"/>
  <c r="AX13" i="1" s="1"/>
  <c r="AL13" i="1"/>
  <c r="AY13" i="1" s="1"/>
  <c r="AM13" i="1"/>
  <c r="AZ13" i="1" s="1"/>
  <c r="AN13" i="1"/>
  <c r="BA13" i="1" s="1"/>
  <c r="AO13" i="1"/>
  <c r="BB13" i="1" s="1"/>
  <c r="AJ14" i="1"/>
  <c r="AW14" i="1" s="1"/>
  <c r="AK14" i="1"/>
  <c r="AX14" i="1" s="1"/>
  <c r="AM14" i="1"/>
  <c r="AZ14" i="1" s="1"/>
  <c r="AN14" i="1"/>
  <c r="BA14" i="1" s="1"/>
  <c r="AO14" i="1"/>
  <c r="BB14" i="1" s="1"/>
  <c r="AP14" i="1"/>
  <c r="BC14" i="1" s="1"/>
  <c r="AF15" i="1"/>
  <c r="AS15" i="1" s="1"/>
  <c r="AE15" i="1"/>
  <c r="AR15" i="1" s="1"/>
  <c r="AL15" i="1"/>
  <c r="AY15" i="1" s="1"/>
  <c r="AM15" i="1"/>
  <c r="AZ15" i="1" s="1"/>
  <c r="AO15" i="1"/>
  <c r="BB15" i="1" s="1"/>
  <c r="AP15" i="1"/>
  <c r="BC15" i="1" s="1"/>
  <c r="AN16" i="1"/>
  <c r="BA16" i="1"/>
  <c r="BB16" i="1"/>
  <c r="AE17" i="1"/>
  <c r="AR17" i="1" s="1"/>
  <c r="AH17" i="1"/>
  <c r="AU17" i="1" s="1"/>
  <c r="AF17" i="1"/>
  <c r="AS17" i="1" s="1"/>
  <c r="AI17" i="1"/>
  <c r="AV17" i="1" s="1"/>
  <c r="AJ17" i="1"/>
  <c r="AW17" i="1" s="1"/>
  <c r="AP17" i="1"/>
  <c r="BC17" i="1" s="1"/>
  <c r="AG18" i="1"/>
  <c r="AT18" i="1" s="1"/>
  <c r="AK18" i="1"/>
  <c r="AX18" i="1" s="1"/>
  <c r="AL18" i="1"/>
  <c r="AY18" i="1" s="1"/>
  <c r="AF19" i="1"/>
  <c r="AS19" i="1" s="1"/>
  <c r="AI19" i="1"/>
  <c r="AV19" i="1" s="1"/>
  <c r="AJ19" i="1"/>
  <c r="AW19" i="1" s="1"/>
  <c r="AK19" i="1"/>
  <c r="AX19" i="1" s="1"/>
  <c r="AL19" i="1"/>
  <c r="AY19" i="1" s="1"/>
  <c r="AM19" i="1"/>
  <c r="AZ19" i="1" s="1"/>
  <c r="AN19" i="1"/>
  <c r="BA19" i="1" s="1"/>
  <c r="AH20" i="1"/>
  <c r="AU20" i="1" s="1"/>
  <c r="AK20" i="1"/>
  <c r="AX20" i="1" s="1"/>
  <c r="AL20" i="1"/>
  <c r="AY20" i="1" s="1"/>
  <c r="AM20" i="1"/>
  <c r="AZ20" i="1" s="1"/>
  <c r="AN20" i="1"/>
  <c r="BA20" i="1" s="1"/>
  <c r="AO20" i="1"/>
  <c r="AP20" i="1"/>
  <c r="BC20" i="1" s="1"/>
  <c r="BB20" i="1"/>
  <c r="AJ21" i="1"/>
  <c r="AW21" i="1" s="1"/>
  <c r="AM21" i="1"/>
  <c r="AZ21" i="1" s="1"/>
  <c r="AN21" i="1"/>
  <c r="BA21" i="1" s="1"/>
  <c r="AE22" i="1"/>
  <c r="AR22" i="1" s="1"/>
  <c r="AG22" i="1"/>
  <c r="AT22" i="1" s="1"/>
  <c r="AH22" i="1"/>
  <c r="AU22" i="1" s="1"/>
  <c r="AI22" i="1"/>
  <c r="AV22" i="1" s="1"/>
  <c r="AJ22" i="1"/>
  <c r="AW22" i="1" s="1"/>
  <c r="AK22" i="1"/>
  <c r="AX22" i="1" s="1"/>
  <c r="AL22" i="1"/>
  <c r="AY22" i="1" s="1"/>
  <c r="AO22" i="1"/>
  <c r="BB22" i="1" s="1"/>
  <c r="AP22" i="1"/>
  <c r="BC22" i="1" s="1"/>
  <c r="AE23" i="1"/>
  <c r="AR23" i="1" s="1"/>
  <c r="AG23" i="1"/>
  <c r="AT23" i="1" s="1"/>
  <c r="AI23" i="1"/>
  <c r="AV23" i="1" s="1"/>
  <c r="AN23" i="1"/>
  <c r="BA23" i="1" s="1"/>
  <c r="AO23" i="1"/>
  <c r="BB23" i="1" s="1"/>
  <c r="AE24" i="1"/>
  <c r="AR24" i="1" s="1"/>
  <c r="AF24" i="1"/>
  <c r="AS24" i="1" s="1"/>
  <c r="AH24" i="1"/>
  <c r="AU24" i="1" s="1"/>
  <c r="AI24" i="1"/>
  <c r="AV24" i="1" s="1"/>
  <c r="AJ24" i="1"/>
  <c r="AW24" i="1" s="1"/>
  <c r="AP24" i="1"/>
  <c r="BC24" i="1" s="1"/>
  <c r="AK25" i="1"/>
  <c r="AX25" i="1" s="1"/>
  <c r="AL25" i="1"/>
  <c r="AY25" i="1" s="1"/>
  <c r="AO25" i="1"/>
  <c r="BB25" i="1" s="1"/>
  <c r="AP25" i="1"/>
  <c r="BC25" i="1" s="1"/>
  <c r="AJ26" i="1"/>
  <c r="AW26" i="1" s="1"/>
  <c r="AK26" i="1"/>
  <c r="AX26" i="1" s="1"/>
  <c r="AL26" i="1"/>
  <c r="AY26" i="1" s="1"/>
  <c r="AM26" i="1"/>
  <c r="AZ26" i="1" s="1"/>
  <c r="AN26" i="1"/>
  <c r="BA26" i="1" s="1"/>
  <c r="AH27" i="1"/>
  <c r="AU27" i="1" s="1"/>
  <c r="AI27" i="1"/>
  <c r="AV27" i="1" s="1"/>
  <c r="AK27" i="1"/>
  <c r="AX27" i="1" s="1"/>
  <c r="AL27" i="1"/>
  <c r="AY27" i="1" s="1"/>
  <c r="AM27" i="1"/>
  <c r="AZ27" i="1" s="1"/>
  <c r="AO27" i="1"/>
  <c r="AP27" i="1"/>
  <c r="BC27" i="1" s="1"/>
  <c r="BB27" i="1"/>
  <c r="AJ28" i="1"/>
  <c r="AW28" i="1" s="1"/>
  <c r="AK28" i="1"/>
  <c r="AX28" i="1" s="1"/>
  <c r="AM28" i="1"/>
  <c r="AZ28" i="1" s="1"/>
  <c r="AN28" i="1"/>
  <c r="BA28" i="1" s="1"/>
  <c r="AO28" i="1"/>
  <c r="BB28" i="1" s="1"/>
  <c r="AP28" i="1"/>
  <c r="BC28" i="1" s="1"/>
  <c r="AF29" i="1"/>
  <c r="AS29" i="1" s="1"/>
  <c r="AE29" i="1"/>
  <c r="AR29" i="1" s="1"/>
  <c r="AK29" i="1"/>
  <c r="AX29" i="1" s="1"/>
  <c r="AL29" i="1"/>
  <c r="AY29" i="1" s="1"/>
  <c r="AO29" i="1"/>
  <c r="BB29" i="1" s="1"/>
  <c r="AP29" i="1"/>
  <c r="BC29" i="1" s="1"/>
  <c r="AN30" i="1"/>
  <c r="BA30" i="1" s="1"/>
  <c r="AE31" i="1"/>
  <c r="AR31" i="1" s="1"/>
  <c r="AH31" i="1"/>
  <c r="AU31" i="1" s="1"/>
  <c r="AI31" i="1"/>
  <c r="AV31" i="1" s="1"/>
  <c r="AJ31" i="1"/>
  <c r="AW31" i="1" s="1"/>
  <c r="AK31" i="1"/>
  <c r="AX31" i="1" s="1"/>
  <c r="AP31" i="1"/>
  <c r="BC31" i="1" s="1"/>
  <c r="AH32" i="1"/>
  <c r="AU32" i="1" s="1"/>
  <c r="AK32" i="1"/>
  <c r="AX32" i="1" s="1"/>
  <c r="AL32" i="1"/>
  <c r="AY32" i="1" s="1"/>
  <c r="AM32" i="1"/>
  <c r="AZ32" i="1" s="1"/>
  <c r="AN32" i="1"/>
  <c r="BA32" i="1" s="1"/>
  <c r="AO32" i="1"/>
  <c r="BB32" i="1" s="1"/>
  <c r="AI33" i="1"/>
  <c r="AV33" i="1" s="1"/>
  <c r="AJ33" i="1"/>
  <c r="AW33" i="1" s="1"/>
  <c r="AK33" i="1"/>
  <c r="AX33" i="1" s="1"/>
  <c r="AL33" i="1"/>
  <c r="AM33" i="1"/>
  <c r="AZ33" i="1" s="1"/>
  <c r="AN33" i="1"/>
  <c r="BA33" i="1" s="1"/>
  <c r="AO33" i="1"/>
  <c r="BB33" i="1" s="1"/>
  <c r="AY33" i="1"/>
  <c r="AH34" i="1"/>
  <c r="AU34" i="1" s="1"/>
  <c r="AK34" i="1"/>
  <c r="AX34" i="1" s="1"/>
  <c r="AL34" i="1"/>
  <c r="AY34" i="1" s="1"/>
  <c r="AM34" i="1"/>
  <c r="AZ34" i="1" s="1"/>
  <c r="AN34" i="1"/>
  <c r="BA34" i="1" s="1"/>
  <c r="AO34" i="1"/>
  <c r="BB34" i="1" s="1"/>
  <c r="AP34" i="1"/>
  <c r="BC34" i="1" s="1"/>
  <c r="AJ35" i="1"/>
  <c r="AW35" i="1" s="1"/>
  <c r="AM35" i="1"/>
  <c r="AZ35" i="1" s="1"/>
  <c r="AN35" i="1"/>
  <c r="BA35" i="1" s="1"/>
  <c r="AO35" i="1"/>
  <c r="BB35" i="1"/>
  <c r="AF36" i="1"/>
  <c r="AS36" i="1" s="1"/>
  <c r="AG36" i="1"/>
  <c r="AT36" i="1" s="1"/>
  <c r="AL36" i="1"/>
  <c r="AY36" i="1" s="1"/>
  <c r="AO36" i="1"/>
  <c r="BB36" i="1" s="1"/>
  <c r="AP36" i="1"/>
  <c r="BC36" i="1" s="1"/>
  <c r="AI37" i="1"/>
  <c r="AV37" i="1" s="1"/>
  <c r="AJ37" i="1"/>
  <c r="AW37" i="1" s="1"/>
  <c r="AK37" i="1"/>
  <c r="AX37" i="1" s="1"/>
  <c r="AN37" i="1"/>
  <c r="BA37" i="1" s="1"/>
  <c r="AF38" i="1"/>
  <c r="AS38" i="1" s="1"/>
  <c r="AI38" i="1"/>
  <c r="AV38" i="1" s="1"/>
  <c r="AJ38" i="1"/>
  <c r="AW38" i="1" s="1"/>
  <c r="AE38" i="1"/>
  <c r="AR38" i="1" s="1"/>
  <c r="AL38" i="1"/>
  <c r="AY38" i="1" s="1"/>
  <c r="AM38" i="1"/>
  <c r="AZ38" i="1" s="1"/>
  <c r="AN38" i="1"/>
  <c r="BA38" i="1" s="1"/>
  <c r="AH39" i="1"/>
  <c r="AU39" i="1" s="1"/>
  <c r="AK39" i="1"/>
  <c r="AX39" i="1" s="1"/>
  <c r="AL39" i="1"/>
  <c r="AY39" i="1" s="1"/>
  <c r="AI40" i="1"/>
  <c r="AV40" i="1" s="1"/>
  <c r="AK40" i="1"/>
  <c r="AX40" i="1" s="1"/>
  <c r="AL40" i="1"/>
  <c r="AY40" i="1" s="1"/>
  <c r="AM40" i="1"/>
  <c r="AZ40" i="1" s="1"/>
  <c r="AN40" i="1"/>
  <c r="BA40" i="1" s="1"/>
  <c r="AH41" i="1"/>
  <c r="AU41" i="1" s="1"/>
  <c r="AK41" i="1"/>
  <c r="AX41" i="1" s="1"/>
  <c r="AL41" i="1"/>
  <c r="AY41" i="1" s="1"/>
  <c r="AM41" i="1"/>
  <c r="AZ41" i="1" s="1"/>
  <c r="AN41" i="1"/>
  <c r="BA41" i="1" s="1"/>
  <c r="AO41" i="1"/>
  <c r="BB41" i="1" s="1"/>
  <c r="AP41" i="1"/>
  <c r="BC41" i="1" s="1"/>
  <c r="AM42" i="1"/>
  <c r="AZ42" i="1" s="1"/>
  <c r="AN42" i="1"/>
  <c r="BA42" i="1" s="1"/>
  <c r="AO42" i="1"/>
  <c r="BB42" i="1" s="1"/>
  <c r="AP42" i="1"/>
  <c r="BC42" i="1" s="1"/>
  <c r="AE43" i="1"/>
  <c r="AR43" i="1" s="1"/>
  <c r="AG43" i="1"/>
  <c r="AT43" i="1" s="1"/>
  <c r="AL43" i="1"/>
  <c r="AY43" i="1" s="1"/>
  <c r="AO43" i="1"/>
  <c r="BB43" i="1" s="1"/>
  <c r="AP43" i="1"/>
  <c r="BC43" i="1" s="1"/>
  <c r="AZ43" i="1"/>
  <c r="AF44" i="1"/>
  <c r="AS44" i="1" s="1"/>
  <c r="AG44" i="1"/>
  <c r="AT44" i="1" s="1"/>
  <c r="AI44" i="1"/>
  <c r="AV44" i="1" s="1"/>
  <c r="AJ44" i="1"/>
  <c r="AW44" i="1" s="1"/>
  <c r="AK44" i="1"/>
  <c r="AX44" i="1" s="1"/>
  <c r="AN44" i="1"/>
  <c r="BA44" i="1" s="1"/>
  <c r="AE45" i="1"/>
  <c r="AR45" i="1" s="1"/>
  <c r="AF45" i="1"/>
  <c r="AS45" i="1" s="1"/>
  <c r="AI45" i="1"/>
  <c r="AV45" i="1" s="1"/>
  <c r="AJ45" i="1"/>
  <c r="AW45" i="1" s="1"/>
  <c r="AK45" i="1"/>
  <c r="AX45" i="1" s="1"/>
  <c r="AL45" i="1"/>
  <c r="AY45" i="1" s="1"/>
  <c r="AM45" i="1"/>
  <c r="AZ45" i="1" s="1"/>
  <c r="AN45" i="1"/>
  <c r="BA45" i="1" s="1"/>
  <c r="AP45" i="1"/>
  <c r="BC45" i="1"/>
  <c r="AG46" i="1"/>
  <c r="AT46" i="1" s="1"/>
  <c r="AK46" i="1"/>
  <c r="AX46" i="1" s="1"/>
  <c r="AL46" i="1"/>
  <c r="AY46" i="1" s="1"/>
  <c r="AK47" i="1"/>
  <c r="AL47" i="1"/>
  <c r="AY47" i="1" s="1"/>
  <c r="AM47" i="1"/>
  <c r="AZ47" i="1" s="1"/>
  <c r="AN47" i="1"/>
  <c r="BA47" i="1" s="1"/>
  <c r="AX47" i="1"/>
  <c r="AH48" i="1"/>
  <c r="AU48" i="1" s="1"/>
  <c r="AK48" i="1"/>
  <c r="AX48" i="1" s="1"/>
  <c r="AL48" i="1"/>
  <c r="AY48" i="1" s="1"/>
  <c r="AM48" i="1"/>
  <c r="AZ48" i="1" s="1"/>
  <c r="AN48" i="1"/>
  <c r="BA48" i="1" s="1"/>
  <c r="AO48" i="1"/>
  <c r="BB48" i="1" s="1"/>
  <c r="AP48" i="1"/>
  <c r="BC48" i="1" s="1"/>
  <c r="AM49" i="1"/>
  <c r="AZ49" i="1" s="1"/>
  <c r="AN49" i="1"/>
  <c r="BA49" i="1" s="1"/>
  <c r="AO49" i="1"/>
  <c r="BB49" i="1" s="1"/>
  <c r="AP49" i="1"/>
  <c r="BC49" i="1" s="1"/>
  <c r="AE50" i="1"/>
  <c r="AR50" i="1" s="1"/>
  <c r="AF50" i="1"/>
  <c r="AS50" i="1" s="1"/>
  <c r="AL50" i="1"/>
  <c r="AY50" i="1" s="1"/>
  <c r="AO50" i="1"/>
  <c r="BB50" i="1" s="1"/>
  <c r="AP50" i="1"/>
  <c r="BC50" i="1" s="1"/>
  <c r="AN51" i="1"/>
  <c r="BA51" i="1" s="1"/>
  <c r="AE52" i="1"/>
  <c r="AR52" i="1" s="1"/>
  <c r="AF52" i="1"/>
  <c r="AS52" i="1" s="1"/>
  <c r="AG52" i="1"/>
  <c r="AT52" i="1" s="1"/>
  <c r="AH52" i="1"/>
  <c r="AU52" i="1" s="1"/>
  <c r="AI52" i="1"/>
  <c r="AV52" i="1" s="1"/>
  <c r="AL52" i="1"/>
  <c r="AY52" i="1" s="1"/>
  <c r="AP52" i="1"/>
  <c r="BC52" i="1" s="1"/>
  <c r="AK53" i="1"/>
  <c r="AL53" i="1"/>
  <c r="AY53" i="1" s="1"/>
  <c r="AO53" i="1"/>
  <c r="BB53" i="1" s="1"/>
  <c r="AX53" i="1"/>
  <c r="AF54" i="1"/>
  <c r="AS54" i="1" s="1"/>
  <c r="AI54" i="1"/>
  <c r="AV54" i="1" s="1"/>
  <c r="AJ54" i="1"/>
  <c r="AW54" i="1" s="1"/>
  <c r="AK54" i="1"/>
  <c r="AX54" i="1" s="1"/>
  <c r="AM54" i="1"/>
  <c r="AZ54" i="1" s="1"/>
  <c r="AN54" i="1"/>
  <c r="BA54" i="1" s="1"/>
  <c r="AO54" i="1"/>
  <c r="BB54" i="1" s="1"/>
  <c r="AK55" i="1"/>
  <c r="AL55" i="1"/>
  <c r="AY55" i="1" s="1"/>
  <c r="AN55" i="1"/>
  <c r="AO55" i="1"/>
  <c r="BB55" i="1" s="1"/>
  <c r="AP55" i="1"/>
  <c r="BC55" i="1" s="1"/>
  <c r="AX55" i="1"/>
  <c r="BA55" i="1"/>
  <c r="AJ56" i="1"/>
  <c r="AW56" i="1" s="1"/>
  <c r="AM56" i="1"/>
  <c r="AZ56" i="1" s="1"/>
  <c r="AN56" i="1"/>
  <c r="BA56" i="1" s="1"/>
  <c r="AO56" i="1"/>
  <c r="BB56" i="1" s="1"/>
  <c r="AP56" i="1"/>
  <c r="BC56" i="1" s="1"/>
  <c r="AE57" i="1"/>
  <c r="AR57" i="1" s="1"/>
  <c r="AJ57" i="1"/>
  <c r="AW57" i="1" s="1"/>
  <c r="AL57" i="1"/>
  <c r="AY57" i="1" s="1"/>
  <c r="AO57" i="1"/>
  <c r="BB57" i="1" s="1"/>
  <c r="AP57" i="1"/>
  <c r="BC57" i="1" s="1"/>
  <c r="AK58" i="1"/>
  <c r="AX58" i="1" s="1"/>
  <c r="AL58" i="1"/>
  <c r="AY58" i="1" s="1"/>
  <c r="AM58" i="1"/>
  <c r="AZ58" i="1" s="1"/>
  <c r="AN58" i="1"/>
  <c r="BA58" i="1" s="1"/>
  <c r="AE3" i="7"/>
  <c r="AR3" i="7" s="1"/>
  <c r="AF3" i="7"/>
  <c r="AS3" i="7" s="1"/>
  <c r="AG3" i="7"/>
  <c r="AT3" i="7" s="1"/>
  <c r="AH3" i="7"/>
  <c r="AU3" i="7" s="1"/>
  <c r="AI3" i="7"/>
  <c r="AV3" i="7" s="1"/>
  <c r="AG4" i="7"/>
  <c r="AT4" i="7" s="1"/>
  <c r="AH4" i="7"/>
  <c r="AU4" i="7" s="1"/>
  <c r="AI4" i="7"/>
  <c r="AV4" i="7" s="1"/>
  <c r="AJ4" i="7"/>
  <c r="AW4" i="7" s="1"/>
  <c r="AE5" i="7"/>
  <c r="AR5" i="7" s="1"/>
  <c r="AF5" i="7"/>
  <c r="AS5" i="7" s="1"/>
  <c r="AI5" i="7"/>
  <c r="AV5" i="7" s="1"/>
  <c r="AJ5" i="7"/>
  <c r="AW5" i="7" s="1"/>
  <c r="AE6" i="7"/>
  <c r="AR6" i="7" s="1"/>
  <c r="AF7" i="7"/>
  <c r="AS7" i="7" s="1"/>
  <c r="AG7" i="7"/>
  <c r="AT7" i="7" s="1"/>
  <c r="AH7" i="7"/>
  <c r="AU7" i="7" s="1"/>
  <c r="AI7" i="7"/>
  <c r="AV7" i="7" s="1"/>
  <c r="AE8" i="7"/>
  <c r="AR8" i="7" s="1"/>
  <c r="AF8" i="7"/>
  <c r="AS8" i="7" s="1"/>
  <c r="AE9" i="7"/>
  <c r="AR9" i="7" s="1"/>
  <c r="AF9" i="7"/>
  <c r="AS9" i="7" s="1"/>
  <c r="AG9" i="7"/>
  <c r="AT9" i="7" s="1"/>
  <c r="AH9" i="7"/>
  <c r="AU9" i="7" s="1"/>
  <c r="AJ9" i="7"/>
  <c r="AW9" i="7" s="1"/>
  <c r="AE10" i="7"/>
  <c r="AR10" i="7" s="1"/>
  <c r="AF10" i="7"/>
  <c r="AS10" i="7" s="1"/>
  <c r="AH10" i="7"/>
  <c r="AU10" i="7" s="1"/>
  <c r="AG11" i="7"/>
  <c r="AT11" i="7" s="1"/>
  <c r="AE12" i="7"/>
  <c r="AR12" i="7" s="1"/>
  <c r="AF12" i="7"/>
  <c r="AS12" i="7" s="1"/>
  <c r="AI12" i="7"/>
  <c r="AV12" i="7" s="1"/>
  <c r="AE15" i="7"/>
  <c r="AR15" i="7" s="1"/>
  <c r="AF15" i="7"/>
  <c r="AS15" i="7" s="1"/>
  <c r="AI15" i="7"/>
  <c r="AV15" i="7" s="1"/>
  <c r="AF16" i="7"/>
  <c r="AS16" i="7" s="1"/>
  <c r="AG16" i="7"/>
  <c r="AT16" i="7" s="1"/>
  <c r="AH16" i="7"/>
  <c r="AU16" i="7" s="1"/>
  <c r="AI16" i="7"/>
  <c r="AV16" i="7" s="1"/>
  <c r="AJ16" i="7"/>
  <c r="AW16" i="7" s="1"/>
  <c r="AG17" i="7"/>
  <c r="AT17" i="7" s="1"/>
  <c r="AH17" i="7"/>
  <c r="AU17" i="7" s="1"/>
  <c r="AI17" i="7"/>
  <c r="AV17" i="7" s="1"/>
  <c r="AG18" i="7"/>
  <c r="AT18" i="7" s="1"/>
  <c r="AH18" i="7"/>
  <c r="AU18" i="7" s="1"/>
  <c r="AI18" i="7"/>
  <c r="AV18" i="7" s="1"/>
  <c r="AJ18" i="7"/>
  <c r="AW18" i="7" s="1"/>
  <c r="AE19" i="7"/>
  <c r="AR19" i="7" s="1"/>
  <c r="AF19" i="7"/>
  <c r="AS19" i="7" s="1"/>
  <c r="AG19" i="7"/>
  <c r="AT19" i="7" s="1"/>
  <c r="AI19" i="7"/>
  <c r="AV19" i="7" s="1"/>
  <c r="AJ19" i="7"/>
  <c r="AW19" i="7" s="1"/>
  <c r="AE20" i="7"/>
  <c r="AR20" i="7" s="1"/>
  <c r="AE21" i="7"/>
  <c r="AR21" i="7" s="1"/>
  <c r="AE22" i="7"/>
  <c r="AR22" i="7" s="1"/>
  <c r="AF22" i="7"/>
  <c r="AS22" i="7" s="1"/>
  <c r="AJ22" i="7"/>
  <c r="AW22" i="7" s="1"/>
  <c r="AJ23" i="7"/>
  <c r="AW23" i="7" s="1"/>
  <c r="AE24" i="7"/>
  <c r="AR24" i="7" s="1"/>
  <c r="AH24" i="7"/>
  <c r="AU24" i="7" s="1"/>
  <c r="AI24" i="7"/>
  <c r="AV24" i="7" s="1"/>
  <c r="AG25" i="7"/>
  <c r="AT25" i="7" s="1"/>
  <c r="AH25" i="7"/>
  <c r="AU25" i="7" s="1"/>
  <c r="AI25" i="7"/>
  <c r="AV25" i="7" s="1"/>
  <c r="AJ25" i="7"/>
  <c r="AW25" i="7" s="1"/>
  <c r="AI26" i="7"/>
  <c r="AV26" i="7" s="1"/>
  <c r="AF28" i="7"/>
  <c r="AS28" i="7" s="1"/>
  <c r="AF29" i="7"/>
  <c r="AS29" i="7" s="1"/>
  <c r="AG29" i="7"/>
  <c r="AT29" i="7" s="1"/>
  <c r="AI29" i="7"/>
  <c r="AV29" i="7" s="1"/>
  <c r="AE30" i="7"/>
  <c r="AR30" i="7" s="1"/>
  <c r="AG30" i="7"/>
  <c r="AT30" i="7" s="1"/>
  <c r="AH30" i="7"/>
  <c r="AU30" i="7" s="1"/>
  <c r="AI30" i="7"/>
  <c r="AV30" i="7" s="1"/>
  <c r="AJ30" i="7"/>
  <c r="AW30" i="7" s="1"/>
  <c r="AE31" i="7"/>
  <c r="AR31" i="7" s="1"/>
  <c r="AF31" i="7"/>
  <c r="AS31" i="7" s="1"/>
  <c r="AG31" i="7"/>
  <c r="AT31" i="7" s="1"/>
  <c r="AH31" i="7"/>
  <c r="AU31" i="7" s="1"/>
  <c r="AG32" i="7"/>
  <c r="AT32" i="7" s="1"/>
  <c r="AI32" i="7"/>
  <c r="AV32" i="7" s="1"/>
  <c r="AJ32" i="7"/>
  <c r="AW32" i="7" s="1"/>
  <c r="AE33" i="7"/>
  <c r="AR33" i="7" s="1"/>
  <c r="AF33" i="7"/>
  <c r="AS33" i="7" s="1"/>
  <c r="AI33" i="7"/>
  <c r="AV33" i="7" s="1"/>
  <c r="AJ33" i="7"/>
  <c r="AW33" i="7" s="1"/>
  <c r="AF35" i="7"/>
  <c r="AS35" i="7" s="1"/>
  <c r="AG35" i="7"/>
  <c r="AT35" i="7" s="1"/>
  <c r="AH35" i="7"/>
  <c r="AU35" i="7" s="1"/>
  <c r="AI35" i="7"/>
  <c r="AV35" i="7" s="1"/>
  <c r="AJ35" i="7"/>
  <c r="AW35" i="7" s="1"/>
  <c r="AF36" i="7"/>
  <c r="AS36" i="7" s="1"/>
  <c r="AE37" i="7"/>
  <c r="AR37" i="7" s="1"/>
  <c r="AF37" i="7"/>
  <c r="AS37" i="7" s="1"/>
  <c r="AG37" i="7"/>
  <c r="AT37" i="7" s="1"/>
  <c r="AH37" i="7"/>
  <c r="AU37" i="7" s="1"/>
  <c r="AJ37" i="7"/>
  <c r="AW37" i="7" s="1"/>
  <c r="AE38" i="7"/>
  <c r="AR38" i="7" s="1"/>
  <c r="AF38" i="7"/>
  <c r="AS38" i="7" s="1"/>
  <c r="AG38" i="7"/>
  <c r="AT38" i="7" s="1"/>
  <c r="AH38" i="7"/>
  <c r="AU38" i="7" s="1"/>
  <c r="AG39" i="7"/>
  <c r="AT39" i="7" s="1"/>
  <c r="AI40" i="7"/>
  <c r="AV40" i="7" s="1"/>
  <c r="AE42" i="7"/>
  <c r="AR42" i="7" s="1"/>
  <c r="AF42" i="7"/>
  <c r="AS42" i="7" s="1"/>
  <c r="AG42" i="7"/>
  <c r="AT42" i="7" s="1"/>
  <c r="AH42" i="7"/>
  <c r="AU42" i="7" s="1"/>
  <c r="AI42" i="7"/>
  <c r="AV42" i="7" s="1"/>
  <c r="AJ42" i="7"/>
  <c r="AW42" i="7" s="1"/>
  <c r="AE43" i="7"/>
  <c r="AR43" i="7" s="1"/>
  <c r="AF43" i="7"/>
  <c r="AS43" i="7" s="1"/>
  <c r="AG44" i="7"/>
  <c r="AT44" i="7" s="1"/>
  <c r="AH44" i="7"/>
  <c r="AI44" i="7"/>
  <c r="AV44" i="7" s="1"/>
  <c r="AJ44" i="7"/>
  <c r="AW44" i="7" s="1"/>
  <c r="AE45" i="7"/>
  <c r="AR45" i="7" s="1"/>
  <c r="AG45" i="7"/>
  <c r="AT45" i="7" s="1"/>
  <c r="AG46" i="7"/>
  <c r="AT46" i="7" s="1"/>
  <c r="AH46" i="7"/>
  <c r="AU46" i="7" s="1"/>
  <c r="AI46" i="7"/>
  <c r="AV46" i="7" s="1"/>
  <c r="AJ46" i="7"/>
  <c r="AW46" i="7" s="1"/>
  <c r="AE47" i="7"/>
  <c r="AR47" i="7" s="1"/>
  <c r="AF47" i="7"/>
  <c r="AS47" i="7" s="1"/>
  <c r="AI47" i="7"/>
  <c r="AV47" i="7" s="1"/>
  <c r="AJ47" i="7"/>
  <c r="AW47" i="7" s="1"/>
  <c r="AF49" i="7"/>
  <c r="AS49" i="7" s="1"/>
  <c r="AG49" i="7"/>
  <c r="AT49" i="7" s="1"/>
  <c r="AH49" i="7"/>
  <c r="AU49" i="7" s="1"/>
  <c r="AI49" i="7"/>
  <c r="AV49" i="7" s="1"/>
  <c r="AE50" i="7"/>
  <c r="AR50" i="7" s="1"/>
  <c r="AF50" i="7"/>
  <c r="AS50" i="7" s="1"/>
  <c r="AE51" i="7"/>
  <c r="AR51" i="7" s="1"/>
  <c r="AI51" i="7"/>
  <c r="AV51" i="7" s="1"/>
  <c r="AJ51" i="7"/>
  <c r="AW51" i="7" s="1"/>
  <c r="AH52" i="7"/>
  <c r="AU52" i="7" s="1"/>
  <c r="AG53" i="7"/>
  <c r="AT53" i="7" s="1"/>
  <c r="AH53" i="7"/>
  <c r="AU53" i="7" s="1"/>
  <c r="AI53" i="7"/>
  <c r="AV53" i="7" s="1"/>
  <c r="AJ53" i="7"/>
  <c r="AW53" i="7" s="1"/>
  <c r="AE54" i="7"/>
  <c r="AR54" i="7" s="1"/>
  <c r="AF54" i="7"/>
  <c r="AS54" i="7" s="1"/>
  <c r="AG54" i="7"/>
  <c r="AT54" i="7" s="1"/>
  <c r="AI54" i="7"/>
  <c r="AV54" i="7" s="1"/>
  <c r="AF56" i="7"/>
  <c r="AS56" i="7" s="1"/>
  <c r="AE57" i="7"/>
  <c r="AR57" i="7" s="1"/>
  <c r="AF57" i="7"/>
  <c r="AS57" i="7" s="1"/>
  <c r="AG57" i="7"/>
  <c r="AT57" i="7" s="1"/>
  <c r="AI57" i="7"/>
  <c r="AV57" i="7" s="1"/>
  <c r="AF58" i="7"/>
  <c r="AS58" i="7" s="1"/>
  <c r="AG58" i="7"/>
  <c r="AT58" i="7" s="1"/>
  <c r="AH58" i="7"/>
  <c r="AU58" i="7" s="1"/>
  <c r="AJ58" i="7"/>
  <c r="AW58" i="7" s="1"/>
  <c r="AI2" i="7"/>
  <c r="AV2" i="7" s="1"/>
  <c r="AH2" i="7"/>
  <c r="AU2" i="7" s="1"/>
  <c r="AG2" i="7"/>
  <c r="AT2" i="7" s="1"/>
  <c r="AF2" i="7"/>
  <c r="AS2" i="7" s="1"/>
  <c r="AE2" i="7"/>
  <c r="AR2" i="7" s="1"/>
  <c r="AK58" i="7"/>
  <c r="AX58" i="7" s="1"/>
  <c r="AP57" i="7"/>
  <c r="BC57" i="7" s="1"/>
  <c r="AO57" i="7"/>
  <c r="BB57" i="7" s="1"/>
  <c r="AM57" i="7"/>
  <c r="AZ57" i="7" s="1"/>
  <c r="AH57" i="7"/>
  <c r="AU57" i="7" s="1"/>
  <c r="AO56" i="7"/>
  <c r="BB56" i="7" s="1"/>
  <c r="AM56" i="7"/>
  <c r="AZ56" i="7" s="1"/>
  <c r="AP55" i="7"/>
  <c r="BC55" i="7" s="1"/>
  <c r="AO55" i="7"/>
  <c r="BB55" i="7" s="1"/>
  <c r="AN55" i="7"/>
  <c r="BA55" i="7" s="1"/>
  <c r="AM55" i="7"/>
  <c r="AZ55" i="7" s="1"/>
  <c r="AL55" i="7"/>
  <c r="AY55" i="7" s="1"/>
  <c r="AK55" i="7"/>
  <c r="AX55" i="7" s="1"/>
  <c r="AE55" i="7"/>
  <c r="AR55" i="7" s="1"/>
  <c r="AP54" i="7"/>
  <c r="BC54" i="7" s="1"/>
  <c r="AO54" i="7"/>
  <c r="BB54" i="7" s="1"/>
  <c r="AN54" i="7"/>
  <c r="BA54" i="7" s="1"/>
  <c r="AM54" i="7"/>
  <c r="AZ54" i="7" s="1"/>
  <c r="AL54" i="7"/>
  <c r="AY54" i="7" s="1"/>
  <c r="AJ54" i="7"/>
  <c r="AW54" i="7" s="1"/>
  <c r="AO53" i="7"/>
  <c r="BB53" i="7" s="1"/>
  <c r="AN53" i="7"/>
  <c r="BA53" i="7" s="1"/>
  <c r="AL53" i="7"/>
  <c r="AY53" i="7" s="1"/>
  <c r="AK53" i="7"/>
  <c r="AX53" i="7" s="1"/>
  <c r="AW52" i="7"/>
  <c r="AV52" i="7"/>
  <c r="AP52" i="7"/>
  <c r="BC52" i="7" s="1"/>
  <c r="AO52" i="7"/>
  <c r="BB52" i="7" s="1"/>
  <c r="AL52" i="7"/>
  <c r="AY52" i="7" s="1"/>
  <c r="AK52" i="7"/>
  <c r="AX52" i="7" s="1"/>
  <c r="AJ52" i="7"/>
  <c r="AI52" i="7"/>
  <c r="AE52" i="7"/>
  <c r="AR52" i="7" s="1"/>
  <c r="AM51" i="7"/>
  <c r="AZ51" i="7" s="1"/>
  <c r="AL51" i="7"/>
  <c r="AY51" i="7" s="1"/>
  <c r="AK51" i="7"/>
  <c r="AX51" i="7" s="1"/>
  <c r="AH51" i="7"/>
  <c r="AU51" i="7" s="1"/>
  <c r="AG51" i="7"/>
  <c r="AT51" i="7" s="1"/>
  <c r="AF51" i="7"/>
  <c r="AS51" i="7" s="1"/>
  <c r="AP50" i="7"/>
  <c r="BC50" i="7" s="1"/>
  <c r="AO50" i="7"/>
  <c r="BB50" i="7" s="1"/>
  <c r="AI50" i="7"/>
  <c r="AV50" i="7" s="1"/>
  <c r="AH50" i="7"/>
  <c r="AU50" i="7" s="1"/>
  <c r="AP49" i="7"/>
  <c r="BC49" i="7" s="1"/>
  <c r="AO49" i="7"/>
  <c r="BB49" i="7" s="1"/>
  <c r="AN49" i="7"/>
  <c r="BA49" i="7" s="1"/>
  <c r="AM49" i="7"/>
  <c r="AZ49" i="7" s="1"/>
  <c r="AP48" i="7"/>
  <c r="BC48" i="7" s="1"/>
  <c r="AO48" i="7"/>
  <c r="BB48" i="7" s="1"/>
  <c r="AN48" i="7"/>
  <c r="BA48" i="7" s="1"/>
  <c r="AL48" i="7"/>
  <c r="AY48" i="7" s="1"/>
  <c r="AK48" i="7"/>
  <c r="AX48" i="7" s="1"/>
  <c r="AF48" i="7"/>
  <c r="AS48" i="7" s="1"/>
  <c r="AZ47" i="7"/>
  <c r="AP47" i="7"/>
  <c r="BC47" i="7" s="1"/>
  <c r="AO47" i="7"/>
  <c r="BB47" i="7" s="1"/>
  <c r="AN47" i="7"/>
  <c r="BA47" i="7" s="1"/>
  <c r="AM47" i="7"/>
  <c r="AO46" i="7"/>
  <c r="BB46" i="7" s="1"/>
  <c r="AN46" i="7"/>
  <c r="BA46" i="7" s="1"/>
  <c r="AM46" i="7"/>
  <c r="AZ46" i="7" s="1"/>
  <c r="AL46" i="7"/>
  <c r="AY46" i="7" s="1"/>
  <c r="AK46" i="7"/>
  <c r="AX46" i="7" s="1"/>
  <c r="AF46" i="7"/>
  <c r="AS46" i="7" s="1"/>
  <c r="AL45" i="7"/>
  <c r="AY45" i="7" s="1"/>
  <c r="AK45" i="7"/>
  <c r="AX45" i="7" s="1"/>
  <c r="AJ45" i="7"/>
  <c r="AW45" i="7" s="1"/>
  <c r="AI45" i="7"/>
  <c r="AV45" i="7" s="1"/>
  <c r="AU44" i="7"/>
  <c r="AN44" i="7"/>
  <c r="BA44" i="7" s="1"/>
  <c r="AM44" i="7"/>
  <c r="AZ44" i="7" s="1"/>
  <c r="AF44" i="7"/>
  <c r="AS44" i="7" s="1"/>
  <c r="AE44" i="7"/>
  <c r="AR44" i="7" s="1"/>
  <c r="AO43" i="7"/>
  <c r="BB43" i="7" s="1"/>
  <c r="AJ43" i="7"/>
  <c r="AW43" i="7" s="1"/>
  <c r="AI43" i="7"/>
  <c r="AV43" i="7" s="1"/>
  <c r="AH43" i="7"/>
  <c r="AU43" i="7" s="1"/>
  <c r="AG43" i="7"/>
  <c r="AT43" i="7" s="1"/>
  <c r="AO42" i="7"/>
  <c r="BB42" i="7" s="1"/>
  <c r="AN42" i="7"/>
  <c r="BA42" i="7" s="1"/>
  <c r="AM42" i="7"/>
  <c r="AZ42" i="7" s="1"/>
  <c r="AP41" i="7"/>
  <c r="BC41" i="7" s="1"/>
  <c r="AO41" i="7"/>
  <c r="BB41" i="7" s="1"/>
  <c r="AN41" i="7"/>
  <c r="BA41" i="7" s="1"/>
  <c r="AM41" i="7"/>
  <c r="AZ41" i="7" s="1"/>
  <c r="AL41" i="7"/>
  <c r="AY41" i="7" s="1"/>
  <c r="AK41" i="7"/>
  <c r="AX41" i="7" s="1"/>
  <c r="AI41" i="7"/>
  <c r="AV41" i="7" s="1"/>
  <c r="AP40" i="7"/>
  <c r="BC40" i="7" s="1"/>
  <c r="AN40" i="7"/>
  <c r="BA40" i="7" s="1"/>
  <c r="AM40" i="7"/>
  <c r="AZ40" i="7" s="1"/>
  <c r="AK40" i="7"/>
  <c r="AX40" i="7" s="1"/>
  <c r="AP39" i="7"/>
  <c r="BC39" i="7" s="1"/>
  <c r="AO39" i="7"/>
  <c r="BB39" i="7" s="1"/>
  <c r="AN39" i="7"/>
  <c r="BA39" i="7" s="1"/>
  <c r="AL39" i="7"/>
  <c r="AY39" i="7" s="1"/>
  <c r="AK39" i="7"/>
  <c r="AX39" i="7" s="1"/>
  <c r="AJ39" i="7"/>
  <c r="AW39" i="7" s="1"/>
  <c r="AM38" i="7"/>
  <c r="AZ38" i="7" s="1"/>
  <c r="AL38" i="7"/>
  <c r="AY38" i="7" s="1"/>
  <c r="AK38" i="7"/>
  <c r="AX38" i="7" s="1"/>
  <c r="AJ38" i="7"/>
  <c r="AW38" i="7" s="1"/>
  <c r="AI38" i="7"/>
  <c r="AV38" i="7" s="1"/>
  <c r="AP36" i="7"/>
  <c r="BC36" i="7" s="1"/>
  <c r="AO36" i="7"/>
  <c r="BB36" i="7" s="1"/>
  <c r="AK36" i="7"/>
  <c r="AX36" i="7" s="1"/>
  <c r="AJ36" i="7"/>
  <c r="AW36" i="7" s="1"/>
  <c r="AI36" i="7"/>
  <c r="AV36" i="7" s="1"/>
  <c r="AH36" i="7"/>
  <c r="AU36" i="7" s="1"/>
  <c r="AE36" i="7"/>
  <c r="AR36" i="7" s="1"/>
  <c r="AP35" i="7"/>
  <c r="BC35" i="7" s="1"/>
  <c r="AO35" i="7"/>
  <c r="BB35" i="7" s="1"/>
  <c r="AM35" i="7"/>
  <c r="AZ35" i="7" s="1"/>
  <c r="AP34" i="7"/>
  <c r="BC34" i="7" s="1"/>
  <c r="AO34" i="7"/>
  <c r="BB34" i="7" s="1"/>
  <c r="AN34" i="7"/>
  <c r="BA34" i="7" s="1"/>
  <c r="AM34" i="7"/>
  <c r="AZ34" i="7" s="1"/>
  <c r="AL34" i="7"/>
  <c r="AY34" i="7" s="1"/>
  <c r="AK34" i="7"/>
  <c r="AX34" i="7" s="1"/>
  <c r="AE34" i="7"/>
  <c r="AR34" i="7" s="1"/>
  <c r="AP33" i="7"/>
  <c r="BC33" i="7" s="1"/>
  <c r="AN33" i="7"/>
  <c r="BA33" i="7" s="1"/>
  <c r="AM33" i="7"/>
  <c r="AZ33" i="7" s="1"/>
  <c r="AL33" i="7"/>
  <c r="AY33" i="7" s="1"/>
  <c r="AK33" i="7"/>
  <c r="AX33" i="7" s="1"/>
  <c r="AP32" i="7"/>
  <c r="BC32" i="7" s="1"/>
  <c r="AO32" i="7"/>
  <c r="BB32" i="7" s="1"/>
  <c r="AN32" i="7"/>
  <c r="BA32" i="7" s="1"/>
  <c r="AM32" i="7"/>
  <c r="AZ32" i="7" s="1"/>
  <c r="AL32" i="7"/>
  <c r="AY32" i="7" s="1"/>
  <c r="AK32" i="7"/>
  <c r="AX32" i="7" s="1"/>
  <c r="AH32" i="7"/>
  <c r="AU32" i="7" s="1"/>
  <c r="AL31" i="7"/>
  <c r="AY31" i="7" s="1"/>
  <c r="AK31" i="7"/>
  <c r="AX31" i="7" s="1"/>
  <c r="AJ31" i="7"/>
  <c r="AW31" i="7" s="1"/>
  <c r="AI31" i="7"/>
  <c r="AV31" i="7" s="1"/>
  <c r="AP30" i="7"/>
  <c r="BC30" i="7" s="1"/>
  <c r="AO29" i="7"/>
  <c r="BB29" i="7" s="1"/>
  <c r="AK29" i="7"/>
  <c r="AX29" i="7" s="1"/>
  <c r="AJ29" i="7"/>
  <c r="AW29" i="7" s="1"/>
  <c r="AH29" i="7"/>
  <c r="AU29" i="7" s="1"/>
  <c r="AE29" i="7"/>
  <c r="AR29" i="7" s="1"/>
  <c r="AP28" i="7"/>
  <c r="BC28" i="7" s="1"/>
  <c r="AO28" i="7"/>
  <c r="BB28" i="7" s="1"/>
  <c r="AN28" i="7"/>
  <c r="BA28" i="7" s="1"/>
  <c r="AM28" i="7"/>
  <c r="AZ28" i="7" s="1"/>
  <c r="AP27" i="7"/>
  <c r="BC27" i="7" s="1"/>
  <c r="AO27" i="7"/>
  <c r="BB27" i="7" s="1"/>
  <c r="AN27" i="7"/>
  <c r="BA27" i="7" s="1"/>
  <c r="AM27" i="7"/>
  <c r="AZ27" i="7" s="1"/>
  <c r="AL27" i="7"/>
  <c r="AY27" i="7" s="1"/>
  <c r="AK27" i="7"/>
  <c r="AX27" i="7" s="1"/>
  <c r="AE27" i="7"/>
  <c r="AR27" i="7" s="1"/>
  <c r="AP26" i="7"/>
  <c r="BC26" i="7" s="1"/>
  <c r="AN26" i="7"/>
  <c r="BA26" i="7" s="1"/>
  <c r="AM26" i="7"/>
  <c r="AZ26" i="7" s="1"/>
  <c r="AL26" i="7"/>
  <c r="AY26" i="7" s="1"/>
  <c r="AK26" i="7"/>
  <c r="AX26" i="7" s="1"/>
  <c r="AP25" i="7"/>
  <c r="BC25" i="7" s="1"/>
  <c r="AO25" i="7"/>
  <c r="BB25" i="7" s="1"/>
  <c r="AN25" i="7"/>
  <c r="BA25" i="7" s="1"/>
  <c r="AM25" i="7"/>
  <c r="AZ25" i="7" s="1"/>
  <c r="AL25" i="7"/>
  <c r="AY25" i="7" s="1"/>
  <c r="AK25" i="7"/>
  <c r="AX25" i="7" s="1"/>
  <c r="AL24" i="7"/>
  <c r="AY24" i="7" s="1"/>
  <c r="AK24" i="7"/>
  <c r="AX24" i="7" s="1"/>
  <c r="AJ24" i="7"/>
  <c r="AW24" i="7" s="1"/>
  <c r="AG24" i="7"/>
  <c r="AT24" i="7" s="1"/>
  <c r="AF24" i="7"/>
  <c r="AS24" i="7" s="1"/>
  <c r="AP23" i="7"/>
  <c r="BC23" i="7" s="1"/>
  <c r="AH23" i="7"/>
  <c r="AU23" i="7" s="1"/>
  <c r="AG23" i="7"/>
  <c r="AT23" i="7" s="1"/>
  <c r="AF23" i="7"/>
  <c r="AS23" i="7" s="1"/>
  <c r="AE23" i="7"/>
  <c r="AR23" i="7" s="1"/>
  <c r="AP22" i="7"/>
  <c r="BC22" i="7" s="1"/>
  <c r="AO22" i="7"/>
  <c r="BB22" i="7" s="1"/>
  <c r="AN22" i="7"/>
  <c r="BA22" i="7" s="1"/>
  <c r="AM22" i="7"/>
  <c r="AZ22" i="7" s="1"/>
  <c r="AI22" i="7"/>
  <c r="AV22" i="7" s="1"/>
  <c r="AH22" i="7"/>
  <c r="AU22" i="7" s="1"/>
  <c r="AP21" i="7"/>
  <c r="BC21" i="7" s="1"/>
  <c r="AO21" i="7"/>
  <c r="BB21" i="7" s="1"/>
  <c r="AN21" i="7"/>
  <c r="BA21" i="7" s="1"/>
  <c r="AM21" i="7"/>
  <c r="AZ21" i="7" s="1"/>
  <c r="AK21" i="7"/>
  <c r="AX21" i="7" s="1"/>
  <c r="AF21" i="7"/>
  <c r="AS21" i="7" s="1"/>
  <c r="AP20" i="7"/>
  <c r="BC20" i="7" s="1"/>
  <c r="AO20" i="7"/>
  <c r="BB20" i="7" s="1"/>
  <c r="AN20" i="7"/>
  <c r="BA20" i="7" s="1"/>
  <c r="AM20" i="7"/>
  <c r="AZ20" i="7" s="1"/>
  <c r="AK20" i="7"/>
  <c r="AX20" i="7" s="1"/>
  <c r="AF20" i="7"/>
  <c r="AS20" i="7" s="1"/>
  <c r="AP19" i="7"/>
  <c r="BC19" i="7" s="1"/>
  <c r="AO19" i="7"/>
  <c r="BB19" i="7" s="1"/>
  <c r="AN19" i="7"/>
  <c r="BA19" i="7" s="1"/>
  <c r="AM19" i="7"/>
  <c r="AZ19" i="7" s="1"/>
  <c r="AL19" i="7"/>
  <c r="AY19" i="7" s="1"/>
  <c r="AK19" i="7"/>
  <c r="AX19" i="7" s="1"/>
  <c r="AO18" i="7"/>
  <c r="BB18" i="7" s="1"/>
  <c r="AN18" i="7"/>
  <c r="BA18" i="7" s="1"/>
  <c r="AL18" i="7"/>
  <c r="AY18" i="7" s="1"/>
  <c r="AK18" i="7"/>
  <c r="AX18" i="7" s="1"/>
  <c r="AO17" i="7"/>
  <c r="BB17" i="7" s="1"/>
  <c r="AN17" i="7"/>
  <c r="BA17" i="7" s="1"/>
  <c r="AM17" i="7"/>
  <c r="AZ17" i="7" s="1"/>
  <c r="AL17" i="7"/>
  <c r="AY17" i="7" s="1"/>
  <c r="AJ17" i="7"/>
  <c r="AW17" i="7" s="1"/>
  <c r="AF17" i="7"/>
  <c r="AS17" i="7" s="1"/>
  <c r="AE17" i="7"/>
  <c r="AR17" i="7" s="1"/>
  <c r="AL16" i="7"/>
  <c r="AY16" i="7" s="1"/>
  <c r="AK16" i="7"/>
  <c r="AX16" i="7" s="1"/>
  <c r="AE16" i="7"/>
  <c r="AR16" i="7" s="1"/>
  <c r="AP15" i="7"/>
  <c r="BC15" i="7" s="1"/>
  <c r="AO15" i="7"/>
  <c r="BB15" i="7" s="1"/>
  <c r="AH15" i="7"/>
  <c r="AU15" i="7" s="1"/>
  <c r="AG15" i="7"/>
  <c r="AT15" i="7" s="1"/>
  <c r="AP14" i="7"/>
  <c r="BC14" i="7" s="1"/>
  <c r="AO14" i="7"/>
  <c r="BB14" i="7" s="1"/>
  <c r="AN14" i="7"/>
  <c r="BA14" i="7" s="1"/>
  <c r="AM14" i="7"/>
  <c r="AZ14" i="7" s="1"/>
  <c r="AK14" i="7"/>
  <c r="AX14" i="7" s="1"/>
  <c r="AF14" i="7"/>
  <c r="AS14" i="7" s="1"/>
  <c r="AE14" i="7"/>
  <c r="AR14" i="7" s="1"/>
  <c r="AP13" i="7"/>
  <c r="BC13" i="7" s="1"/>
  <c r="AO13" i="7"/>
  <c r="BB13" i="7" s="1"/>
  <c r="AN13" i="7"/>
  <c r="BA13" i="7" s="1"/>
  <c r="AM13" i="7"/>
  <c r="AZ13" i="7" s="1"/>
  <c r="AL13" i="7"/>
  <c r="AY13" i="7" s="1"/>
  <c r="AK13" i="7"/>
  <c r="AX13" i="7" s="1"/>
  <c r="AG13" i="7"/>
  <c r="AT13" i="7" s="1"/>
  <c r="AF13" i="7"/>
  <c r="AS13" i="7" s="1"/>
  <c r="AE13" i="7"/>
  <c r="AR13" i="7" s="1"/>
  <c r="AP12" i="7"/>
  <c r="BC12" i="7" s="1"/>
  <c r="AO12" i="7"/>
  <c r="BB12" i="7" s="1"/>
  <c r="AN12" i="7"/>
  <c r="BA12" i="7" s="1"/>
  <c r="AM12" i="7"/>
  <c r="AZ12" i="7" s="1"/>
  <c r="AL12" i="7"/>
  <c r="AY12" i="7" s="1"/>
  <c r="AK12" i="7"/>
  <c r="AX12" i="7" s="1"/>
  <c r="AJ12" i="7"/>
  <c r="AW12" i="7" s="1"/>
  <c r="AO11" i="7"/>
  <c r="BB11" i="7" s="1"/>
  <c r="AN11" i="7"/>
  <c r="BA11" i="7" s="1"/>
  <c r="AM11" i="7"/>
  <c r="AZ11" i="7" s="1"/>
  <c r="AL11" i="7"/>
  <c r="AY11" i="7" s="1"/>
  <c r="AK11" i="7"/>
  <c r="AX11" i="7" s="1"/>
  <c r="AJ11" i="7"/>
  <c r="AW11" i="7" s="1"/>
  <c r="AI11" i="7"/>
  <c r="AV11" i="7" s="1"/>
  <c r="AH11" i="7"/>
  <c r="AU11" i="7" s="1"/>
  <c r="AL10" i="7"/>
  <c r="AY10" i="7" s="1"/>
  <c r="AK10" i="7"/>
  <c r="AX10" i="7" s="1"/>
  <c r="AJ10" i="7"/>
  <c r="AW10" i="7" s="1"/>
  <c r="AI10" i="7"/>
  <c r="AV10" i="7" s="1"/>
  <c r="AG10" i="7"/>
  <c r="AT10" i="7" s="1"/>
  <c r="AK9" i="7"/>
  <c r="AX9" i="7" s="1"/>
  <c r="AP8" i="7"/>
  <c r="BC8" i="7" s="1"/>
  <c r="AO8" i="7"/>
  <c r="BB8" i="7" s="1"/>
  <c r="AL8" i="7"/>
  <c r="AY8" i="7" s="1"/>
  <c r="AK8" i="7"/>
  <c r="AX8" i="7" s="1"/>
  <c r="AJ8" i="7"/>
  <c r="AW8" i="7" s="1"/>
  <c r="AH8" i="7"/>
  <c r="AU8" i="7" s="1"/>
  <c r="AP7" i="7"/>
  <c r="BC7" i="7" s="1"/>
  <c r="AO7" i="7"/>
  <c r="BB7" i="7" s="1"/>
  <c r="AN7" i="7"/>
  <c r="BA7" i="7" s="1"/>
  <c r="AM7" i="7"/>
  <c r="AZ7" i="7" s="1"/>
  <c r="AY6" i="7"/>
  <c r="AP6" i="7"/>
  <c r="BC6" i="7" s="1"/>
  <c r="AO6" i="7"/>
  <c r="BB6" i="7" s="1"/>
  <c r="AN6" i="7"/>
  <c r="BA6" i="7" s="1"/>
  <c r="AM6" i="7"/>
  <c r="AZ6" i="7" s="1"/>
  <c r="AL6" i="7"/>
  <c r="AK6" i="7"/>
  <c r="AX6" i="7" s="1"/>
  <c r="AP5" i="7"/>
  <c r="BC5" i="7" s="1"/>
  <c r="AO5" i="7"/>
  <c r="BB5" i="7" s="1"/>
  <c r="AN5" i="7"/>
  <c r="BA5" i="7" s="1"/>
  <c r="AM5" i="7"/>
  <c r="AZ5" i="7" s="1"/>
  <c r="AL5" i="7"/>
  <c r="AY5" i="7" s="1"/>
  <c r="AK5" i="7"/>
  <c r="AX5" i="7" s="1"/>
  <c r="AP4" i="7"/>
  <c r="BC4" i="7" s="1"/>
  <c r="AN4" i="7"/>
  <c r="BA4" i="7" s="1"/>
  <c r="AM4" i="7"/>
  <c r="AZ4" i="7" s="1"/>
  <c r="AL4" i="7"/>
  <c r="AY4" i="7" s="1"/>
  <c r="AK4" i="7"/>
  <c r="AX4" i="7" s="1"/>
  <c r="AM3" i="7"/>
  <c r="AZ3" i="7" s="1"/>
  <c r="AL3" i="7"/>
  <c r="AY3" i="7" s="1"/>
  <c r="AK3" i="7"/>
  <c r="AX3" i="7" s="1"/>
  <c r="AJ3" i="7"/>
  <c r="AW3" i="7" s="1"/>
  <c r="AL2" i="7"/>
  <c r="AY2" i="7" s="1"/>
  <c r="L32" i="33" l="1"/>
  <c r="AJ32" i="33" s="1"/>
  <c r="AV32" i="33" s="1"/>
  <c r="BH32" i="33" s="1" a="1"/>
  <c r="G32" i="33"/>
  <c r="AE32" i="33" s="1"/>
  <c r="AQ32" i="33" s="1"/>
  <c r="BC32" i="33" s="1" a="1"/>
  <c r="D32" i="33"/>
  <c r="M32" i="33"/>
  <c r="AK32" i="33" s="1"/>
  <c r="AW32" i="33" s="1"/>
  <c r="BI32" i="33" s="1" a="1"/>
  <c r="O32" i="33"/>
  <c r="AM32" i="33" s="1"/>
  <c r="AY32" i="33" s="1"/>
  <c r="BK32" i="33" s="1" a="1"/>
  <c r="F32" i="33"/>
  <c r="AD32" i="33" s="1"/>
  <c r="AP32" i="33" s="1"/>
  <c r="BB32" i="33" s="1" a="1"/>
  <c r="P47" i="33"/>
  <c r="P33" i="34" s="1"/>
  <c r="K32" i="33"/>
  <c r="AI32" i="33" s="1"/>
  <c r="AU32" i="33" s="1"/>
  <c r="BG32" i="33" s="1" a="1"/>
  <c r="J32" i="33"/>
  <c r="AH32" i="33" s="1"/>
  <c r="AT32" i="33" s="1"/>
  <c r="BF32" i="33" s="1" a="1"/>
  <c r="H32" i="33"/>
  <c r="AF32" i="33" s="1"/>
  <c r="AR32" i="33" s="1"/>
  <c r="BD32" i="33" s="1" a="1"/>
  <c r="P32" i="33"/>
  <c r="I32" i="33"/>
  <c r="AG32" i="33" s="1"/>
  <c r="AS32" i="33" s="1"/>
  <c r="BE32" i="33" s="1" a="1"/>
  <c r="E32" i="33"/>
  <c r="AC32" i="33" s="1"/>
  <c r="AO32" i="33" s="1"/>
  <c r="BA32" i="33" s="1" a="1"/>
  <c r="N32" i="33"/>
  <c r="AL32" i="33" s="1"/>
  <c r="AX32" i="33" s="1"/>
  <c r="BJ32" i="33" s="1" a="1"/>
  <c r="P9" i="33"/>
  <c r="O9" i="33"/>
  <c r="V9" i="33"/>
  <c r="G9" i="33"/>
  <c r="T9" i="33"/>
  <c r="N9" i="33"/>
  <c r="AA9" i="33"/>
  <c r="M9" i="33"/>
  <c r="Z9" i="33"/>
  <c r="L9" i="33"/>
  <c r="Y9" i="33"/>
  <c r="K9" i="33"/>
  <c r="W9" i="33"/>
  <c r="I9" i="33"/>
  <c r="X9" i="33"/>
  <c r="J9" i="33"/>
  <c r="U9" i="33"/>
  <c r="F9" i="33"/>
  <c r="S9" i="33"/>
  <c r="E9" i="33"/>
  <c r="R9" i="33"/>
  <c r="D9" i="33"/>
  <c r="Q9" i="33"/>
  <c r="H9" i="33"/>
  <c r="P42" i="33"/>
  <c r="P41" i="33"/>
  <c r="X61" i="33"/>
  <c r="N61" i="33"/>
  <c r="W61" i="33"/>
  <c r="V61" i="33"/>
  <c r="E61" i="33"/>
  <c r="L61" i="33"/>
  <c r="D61" i="33"/>
  <c r="J61" i="33"/>
  <c r="AA61" i="33"/>
  <c r="M61" i="33"/>
  <c r="K61" i="33"/>
  <c r="P61" i="33"/>
  <c r="Q61" i="33"/>
  <c r="Y61" i="33"/>
  <c r="I61" i="33"/>
  <c r="U61" i="33"/>
  <c r="H61" i="33"/>
  <c r="G61" i="33"/>
  <c r="Z61" i="33"/>
  <c r="S61" i="33"/>
  <c r="F61" i="33"/>
  <c r="O61" i="33"/>
  <c r="T61" i="33"/>
  <c r="R61" i="33"/>
  <c r="P36" i="33"/>
  <c r="W46" i="33"/>
  <c r="Q46" i="33"/>
  <c r="P46" i="33"/>
  <c r="G46" i="33"/>
  <c r="S46" i="33"/>
  <c r="D46" i="33"/>
  <c r="J46" i="33"/>
  <c r="I46" i="33"/>
  <c r="AA46" i="33"/>
  <c r="E46" i="33"/>
  <c r="L46" i="33"/>
  <c r="R46" i="33"/>
  <c r="V46" i="33"/>
  <c r="O46" i="33"/>
  <c r="H46" i="33"/>
  <c r="N46" i="33"/>
  <c r="U46" i="33"/>
  <c r="Y46" i="33"/>
  <c r="X46" i="33"/>
  <c r="Z46" i="33"/>
  <c r="M46" i="33"/>
  <c r="T46" i="33"/>
  <c r="F46" i="33"/>
  <c r="K46" i="33"/>
  <c r="P45" i="33"/>
  <c r="P48" i="33"/>
  <c r="P35" i="33"/>
  <c r="P34" i="33"/>
  <c r="P44" i="33"/>
  <c r="P40" i="33"/>
  <c r="P38" i="33"/>
  <c r="P39" i="33"/>
  <c r="P37" i="33"/>
  <c r="P43" i="33"/>
  <c r="I31" i="33"/>
  <c r="AG31" i="33" s="1"/>
  <c r="AS31" i="33" s="1"/>
  <c r="BE31" i="33" s="1" a="1"/>
  <c r="H31" i="33"/>
  <c r="AF31" i="33" s="1"/>
  <c r="AR31" i="33" s="1"/>
  <c r="BD31" i="33" s="1" a="1"/>
  <c r="J31" i="33"/>
  <c r="AH31" i="33" s="1"/>
  <c r="AT31" i="33" s="1"/>
  <c r="BF31" i="33" s="1" a="1"/>
  <c r="G31" i="33"/>
  <c r="AE31" i="33" s="1"/>
  <c r="AQ31" i="33" s="1"/>
  <c r="BC31" i="33" s="1" a="1"/>
  <c r="F31" i="33"/>
  <c r="AD31" i="33" s="1"/>
  <c r="AP31" i="33" s="1"/>
  <c r="BB31" i="33" s="1" a="1"/>
  <c r="K31" i="33"/>
  <c r="AI31" i="33" s="1"/>
  <c r="AU31" i="33" s="1"/>
  <c r="BG31" i="33" s="1" a="1"/>
  <c r="E31" i="33"/>
  <c r="AC31" i="33" s="1"/>
  <c r="AO31" i="33" s="1"/>
  <c r="BA31" i="33" s="1" a="1"/>
  <c r="L31" i="33"/>
  <c r="AJ31" i="33" s="1"/>
  <c r="AV31" i="33" s="1"/>
  <c r="BH31" i="33" s="1" a="1"/>
  <c r="M31" i="33"/>
  <c r="AK31" i="33" s="1"/>
  <c r="AW31" i="33" s="1"/>
  <c r="BI31" i="33" s="1" a="1"/>
  <c r="N31" i="33"/>
  <c r="AL31" i="33" s="1"/>
  <c r="AX31" i="33" s="1"/>
  <c r="BJ31" i="33" s="1" a="1"/>
  <c r="P31" i="33"/>
  <c r="D31" i="33"/>
  <c r="O31" i="33"/>
  <c r="AM31" i="33" s="1"/>
  <c r="AY31" i="33" s="1"/>
  <c r="BK31" i="33" s="1" a="1"/>
  <c r="I47" i="33"/>
  <c r="I33" i="34" s="1"/>
  <c r="L47" i="33"/>
  <c r="D47" i="33"/>
  <c r="D33" i="34" s="1"/>
  <c r="J47" i="33"/>
  <c r="K47" i="33"/>
  <c r="K33" i="34" s="1"/>
  <c r="M47" i="33"/>
  <c r="N47" i="33"/>
  <c r="E47" i="33"/>
  <c r="E33" i="34" s="1"/>
  <c r="F47" i="33"/>
  <c r="F33" i="34" s="1"/>
  <c r="G47" i="33"/>
  <c r="G33" i="34" s="1"/>
  <c r="H47" i="33"/>
  <c r="H33" i="34" s="1"/>
  <c r="O47" i="33"/>
  <c r="Q47" i="33"/>
  <c r="Q33" i="34" s="1"/>
  <c r="R47" i="33"/>
  <c r="R33" i="34" s="1"/>
  <c r="Y47" i="33"/>
  <c r="Y33" i="34" s="1"/>
  <c r="AK33" i="34" s="1"/>
  <c r="AW33" i="34" s="1"/>
  <c r="BI33" i="34" s="1" a="1"/>
  <c r="S47" i="33"/>
  <c r="S33" i="34" s="1"/>
  <c r="V47" i="33"/>
  <c r="V33" i="34" s="1"/>
  <c r="T47" i="33"/>
  <c r="T33" i="34" s="1"/>
  <c r="AA47" i="33"/>
  <c r="AA33" i="34" s="1"/>
  <c r="AM33" i="34" s="1"/>
  <c r="AY33" i="34" s="1"/>
  <c r="BK33" i="34" s="1" a="1"/>
  <c r="U47" i="33"/>
  <c r="U33" i="34" s="1"/>
  <c r="W47" i="33"/>
  <c r="W33" i="34" s="1"/>
  <c r="X47" i="33"/>
  <c r="X33" i="34" s="1"/>
  <c r="AJ33" i="34" s="1"/>
  <c r="AV33" i="34" s="1"/>
  <c r="BH33" i="34" s="1" a="1"/>
  <c r="Z47" i="33"/>
  <c r="Z33" i="34" s="1"/>
  <c r="AL33" i="34" s="1"/>
  <c r="AX33" i="34" s="1"/>
  <c r="BJ33" i="34" s="1" a="1"/>
  <c r="P26" i="17"/>
  <c r="P10" i="17"/>
  <c r="T50" i="33"/>
  <c r="N19" i="33"/>
  <c r="D19" i="33"/>
  <c r="D50" i="33"/>
  <c r="W50" i="33"/>
  <c r="L50" i="33"/>
  <c r="S12" i="33"/>
  <c r="Q57" i="33"/>
  <c r="E26" i="33"/>
  <c r="O40" i="33"/>
  <c r="Z12" i="33"/>
  <c r="P57" i="33"/>
  <c r="K26" i="33"/>
  <c r="D57" i="33"/>
  <c r="J12" i="33"/>
  <c r="AA12" i="33"/>
  <c r="Q40" i="33"/>
  <c r="R57" i="33"/>
  <c r="L26" i="33"/>
  <c r="D40" i="33"/>
  <c r="E57" i="33"/>
  <c r="V12" i="33"/>
  <c r="Z40" i="33"/>
  <c r="W57" i="33"/>
  <c r="O26" i="33"/>
  <c r="K40" i="33"/>
  <c r="H57" i="33"/>
  <c r="F12" i="33"/>
  <c r="X57" i="33"/>
  <c r="I57" i="33"/>
  <c r="G12" i="33"/>
  <c r="Y12" i="33"/>
  <c r="P26" i="33"/>
  <c r="Z57" i="33"/>
  <c r="W12" i="33"/>
  <c r="AA40" i="33"/>
  <c r="L40" i="33"/>
  <c r="X12" i="33"/>
  <c r="Y57" i="33"/>
  <c r="M40" i="33"/>
  <c r="J57" i="33"/>
  <c r="H12" i="33"/>
  <c r="V40" i="33"/>
  <c r="I40" i="33"/>
  <c r="K57" i="33"/>
  <c r="P12" i="33"/>
  <c r="W40" i="33"/>
  <c r="J40" i="33"/>
  <c r="L57" i="33"/>
  <c r="D12" i="33"/>
  <c r="Q12" i="33"/>
  <c r="X40" i="33"/>
  <c r="S57" i="33"/>
  <c r="N40" i="33"/>
  <c r="M57" i="33"/>
  <c r="E12" i="33"/>
  <c r="R12" i="33"/>
  <c r="Y40" i="33"/>
  <c r="T57" i="33"/>
  <c r="N57" i="33"/>
  <c r="T40" i="33"/>
  <c r="E40" i="33"/>
  <c r="O57" i="33"/>
  <c r="N12" i="33"/>
  <c r="AA57" i="33"/>
  <c r="U40" i="33"/>
  <c r="F40" i="33"/>
  <c r="O12" i="33"/>
  <c r="U57" i="33"/>
  <c r="G40" i="33"/>
  <c r="V57" i="33"/>
  <c r="H40" i="33"/>
  <c r="D26" i="33"/>
  <c r="F26" i="33"/>
  <c r="R40" i="33"/>
  <c r="I12" i="33"/>
  <c r="L12" i="33"/>
  <c r="U12" i="33"/>
  <c r="M26" i="33"/>
  <c r="G57" i="33"/>
  <c r="S40" i="33"/>
  <c r="K12" i="33"/>
  <c r="G26" i="33"/>
  <c r="I26" i="33"/>
  <c r="H26" i="33"/>
  <c r="M12" i="33"/>
  <c r="F57" i="33"/>
  <c r="T12" i="33"/>
  <c r="J26" i="33"/>
  <c r="N26" i="33"/>
  <c r="R50" i="33"/>
  <c r="K4" i="33"/>
  <c r="O50" i="33"/>
  <c r="I50" i="33"/>
  <c r="N4" i="33"/>
  <c r="S50" i="33"/>
  <c r="K33" i="33"/>
  <c r="AA4" i="33"/>
  <c r="J19" i="33"/>
  <c r="G19" i="33"/>
  <c r="G33" i="33"/>
  <c r="AA8" i="33"/>
  <c r="W37" i="33"/>
  <c r="Y54" i="33"/>
  <c r="M23" i="33"/>
  <c r="I37" i="33"/>
  <c r="K54" i="33"/>
  <c r="Q8" i="33"/>
  <c r="U37" i="33"/>
  <c r="V54" i="33"/>
  <c r="H37" i="33"/>
  <c r="I54" i="33"/>
  <c r="D8" i="33"/>
  <c r="R8" i="33"/>
  <c r="P23" i="33"/>
  <c r="V37" i="33"/>
  <c r="W54" i="33"/>
  <c r="J37" i="33"/>
  <c r="J54" i="33"/>
  <c r="W8" i="33"/>
  <c r="X54" i="33"/>
  <c r="O23" i="33"/>
  <c r="M37" i="33"/>
  <c r="G54" i="33"/>
  <c r="L8" i="33"/>
  <c r="Z54" i="33"/>
  <c r="H54" i="33"/>
  <c r="M8" i="33"/>
  <c r="Z8" i="33"/>
  <c r="X8" i="33"/>
  <c r="N37" i="33"/>
  <c r="Y8" i="33"/>
  <c r="AA54" i="33"/>
  <c r="O37" i="33"/>
  <c r="L54" i="33"/>
  <c r="N8" i="33"/>
  <c r="F23" i="33"/>
  <c r="G23" i="33"/>
  <c r="H23" i="33"/>
  <c r="D37" i="33"/>
  <c r="E8" i="33"/>
  <c r="I23" i="33"/>
  <c r="E37" i="33"/>
  <c r="D54" i="33"/>
  <c r="U8" i="33"/>
  <c r="X37" i="33"/>
  <c r="P54" i="33"/>
  <c r="K37" i="33"/>
  <c r="R54" i="33"/>
  <c r="AA37" i="33"/>
  <c r="S54" i="33"/>
  <c r="G8" i="33"/>
  <c r="V8" i="33"/>
  <c r="Y37" i="33"/>
  <c r="Q54" i="33"/>
  <c r="L37" i="33"/>
  <c r="Z37" i="33"/>
  <c r="F8" i="33"/>
  <c r="T54" i="33"/>
  <c r="H8" i="33"/>
  <c r="U54" i="33"/>
  <c r="I8" i="33"/>
  <c r="D23" i="33"/>
  <c r="J8" i="33"/>
  <c r="E23" i="33"/>
  <c r="K8" i="33"/>
  <c r="S8" i="33"/>
  <c r="E54" i="33"/>
  <c r="M54" i="33"/>
  <c r="O54" i="33"/>
  <c r="O8" i="33"/>
  <c r="R37" i="33"/>
  <c r="S37" i="33"/>
  <c r="T37" i="33"/>
  <c r="K23" i="33"/>
  <c r="G37" i="33"/>
  <c r="L23" i="33"/>
  <c r="P8" i="33"/>
  <c r="N23" i="33"/>
  <c r="T8" i="33"/>
  <c r="F54" i="33"/>
  <c r="N54" i="33"/>
  <c r="Q37" i="33"/>
  <c r="J23" i="33"/>
  <c r="F37" i="33"/>
  <c r="J33" i="33"/>
  <c r="K19" i="33"/>
  <c r="Y50" i="33"/>
  <c r="Y15" i="33"/>
  <c r="U43" i="33"/>
  <c r="W60" i="33"/>
  <c r="K29" i="33"/>
  <c r="G43" i="33"/>
  <c r="T15" i="33"/>
  <c r="Y43" i="33"/>
  <c r="Z60" i="33"/>
  <c r="E29" i="33"/>
  <c r="L43" i="33"/>
  <c r="J60" i="33"/>
  <c r="U15" i="33"/>
  <c r="Z43" i="33"/>
  <c r="AA60" i="33"/>
  <c r="F29" i="33"/>
  <c r="M43" i="33"/>
  <c r="K60" i="33"/>
  <c r="V15" i="33"/>
  <c r="AA43" i="33"/>
  <c r="U60" i="33"/>
  <c r="N29" i="33"/>
  <c r="J43" i="33"/>
  <c r="D60" i="33"/>
  <c r="O15" i="33"/>
  <c r="Z15" i="33"/>
  <c r="Y60" i="33"/>
  <c r="W15" i="33"/>
  <c r="V60" i="33"/>
  <c r="O29" i="33"/>
  <c r="K43" i="33"/>
  <c r="E60" i="33"/>
  <c r="X15" i="33"/>
  <c r="X60" i="33"/>
  <c r="N43" i="33"/>
  <c r="F60" i="33"/>
  <c r="G29" i="33"/>
  <c r="O60" i="33"/>
  <c r="G15" i="33"/>
  <c r="J29" i="33"/>
  <c r="H29" i="33"/>
  <c r="H15" i="33"/>
  <c r="I29" i="33"/>
  <c r="I15" i="33"/>
  <c r="Q43" i="33"/>
  <c r="R15" i="33"/>
  <c r="T43" i="33"/>
  <c r="G60" i="33"/>
  <c r="Q60" i="33"/>
  <c r="E43" i="33"/>
  <c r="X43" i="33"/>
  <c r="R60" i="33"/>
  <c r="F43" i="33"/>
  <c r="L60" i="33"/>
  <c r="F15" i="33"/>
  <c r="S60" i="33"/>
  <c r="S15" i="33"/>
  <c r="V43" i="33"/>
  <c r="P60" i="33"/>
  <c r="D43" i="33"/>
  <c r="H60" i="33"/>
  <c r="D15" i="33"/>
  <c r="AA15" i="33"/>
  <c r="W43" i="33"/>
  <c r="I60" i="33"/>
  <c r="H43" i="33"/>
  <c r="M60" i="33"/>
  <c r="J15" i="33"/>
  <c r="O43" i="33"/>
  <c r="E15" i="33"/>
  <c r="T60" i="33"/>
  <c r="I43" i="33"/>
  <c r="N60" i="33"/>
  <c r="K15" i="33"/>
  <c r="L15" i="33"/>
  <c r="M15" i="33"/>
  <c r="S43" i="33"/>
  <c r="D29" i="33"/>
  <c r="Q15" i="33"/>
  <c r="M29" i="33"/>
  <c r="P29" i="33"/>
  <c r="P15" i="33"/>
  <c r="L29" i="33"/>
  <c r="N15" i="33"/>
  <c r="R43" i="33"/>
  <c r="Y38" i="33"/>
  <c r="AA55" i="33"/>
  <c r="O24" i="33"/>
  <c r="K38" i="33"/>
  <c r="M55" i="33"/>
  <c r="T10" i="33"/>
  <c r="X38" i="33"/>
  <c r="Y55" i="33"/>
  <c r="E24" i="33"/>
  <c r="L38" i="33"/>
  <c r="L55" i="33"/>
  <c r="F10" i="33"/>
  <c r="U10" i="33"/>
  <c r="Z38" i="33"/>
  <c r="Z55" i="33"/>
  <c r="F24" i="33"/>
  <c r="M38" i="33"/>
  <c r="N55" i="33"/>
  <c r="O55" i="33"/>
  <c r="O10" i="33"/>
  <c r="D24" i="33"/>
  <c r="S38" i="33"/>
  <c r="P55" i="33"/>
  <c r="H24" i="33"/>
  <c r="Q38" i="33"/>
  <c r="R38" i="33"/>
  <c r="G24" i="33"/>
  <c r="P10" i="33"/>
  <c r="P24" i="33"/>
  <c r="V38" i="33"/>
  <c r="Q55" i="33"/>
  <c r="J38" i="33"/>
  <c r="I55" i="33"/>
  <c r="I10" i="33"/>
  <c r="Q10" i="33"/>
  <c r="W38" i="33"/>
  <c r="R55" i="33"/>
  <c r="N38" i="33"/>
  <c r="J55" i="33"/>
  <c r="J10" i="33"/>
  <c r="R10" i="33"/>
  <c r="AA38" i="33"/>
  <c r="S55" i="33"/>
  <c r="O38" i="33"/>
  <c r="K55" i="33"/>
  <c r="K10" i="33"/>
  <c r="S10" i="33"/>
  <c r="T55" i="33"/>
  <c r="K24" i="33"/>
  <c r="E55" i="33"/>
  <c r="M10" i="33"/>
  <c r="N10" i="33"/>
  <c r="G55" i="33"/>
  <c r="W10" i="33"/>
  <c r="N24" i="33"/>
  <c r="E38" i="33"/>
  <c r="X10" i="33"/>
  <c r="T38" i="33"/>
  <c r="L24" i="33"/>
  <c r="F55" i="33"/>
  <c r="F38" i="33"/>
  <c r="U55" i="33"/>
  <c r="H38" i="33"/>
  <c r="V10" i="33"/>
  <c r="M24" i="33"/>
  <c r="D38" i="33"/>
  <c r="H55" i="33"/>
  <c r="Y10" i="33"/>
  <c r="U38" i="33"/>
  <c r="G38" i="33"/>
  <c r="Z10" i="33"/>
  <c r="AA10" i="33"/>
  <c r="V55" i="33"/>
  <c r="I38" i="33"/>
  <c r="I24" i="33"/>
  <c r="E10" i="33"/>
  <c r="G10" i="33"/>
  <c r="L10" i="33"/>
  <c r="W55" i="33"/>
  <c r="X55" i="33"/>
  <c r="J24" i="33"/>
  <c r="D10" i="33"/>
  <c r="H10" i="33"/>
  <c r="D55" i="33"/>
  <c r="X50" i="33"/>
  <c r="M4" i="33"/>
  <c r="F4" i="33"/>
  <c r="Y4" i="33"/>
  <c r="I19" i="33"/>
  <c r="D33" i="33"/>
  <c r="R4" i="33"/>
  <c r="P50" i="33"/>
  <c r="N33" i="33"/>
  <c r="F19" i="33"/>
  <c r="D4" i="33"/>
  <c r="AA50" i="33"/>
  <c r="Q4" i="33"/>
  <c r="L4" i="33"/>
  <c r="N50" i="33"/>
  <c r="M19" i="33"/>
  <c r="Z4" i="33"/>
  <c r="V50" i="33"/>
  <c r="M50" i="33"/>
  <c r="T4" i="33"/>
  <c r="Q11" i="33"/>
  <c r="AA39" i="33"/>
  <c r="M39" i="33"/>
  <c r="O56" i="33"/>
  <c r="W11" i="33"/>
  <c r="H25" i="33"/>
  <c r="O39" i="33"/>
  <c r="H11" i="33"/>
  <c r="X11" i="33"/>
  <c r="I25" i="33"/>
  <c r="P11" i="33"/>
  <c r="U39" i="33"/>
  <c r="R56" i="33"/>
  <c r="J25" i="33"/>
  <c r="F39" i="33"/>
  <c r="R11" i="33"/>
  <c r="V39" i="33"/>
  <c r="G39" i="33"/>
  <c r="T11" i="33"/>
  <c r="X39" i="33"/>
  <c r="U56" i="33"/>
  <c r="M25" i="33"/>
  <c r="S56" i="33"/>
  <c r="K25" i="33"/>
  <c r="D56" i="33"/>
  <c r="D11" i="33"/>
  <c r="S11" i="33"/>
  <c r="W39" i="33"/>
  <c r="T56" i="33"/>
  <c r="L25" i="33"/>
  <c r="H39" i="33"/>
  <c r="E56" i="33"/>
  <c r="E11" i="33"/>
  <c r="AA11" i="33"/>
  <c r="Z56" i="33"/>
  <c r="D25" i="33"/>
  <c r="O11" i="33"/>
  <c r="D39" i="33"/>
  <c r="F56" i="33"/>
  <c r="AA56" i="33"/>
  <c r="E25" i="33"/>
  <c r="F25" i="33"/>
  <c r="G25" i="33"/>
  <c r="X56" i="33"/>
  <c r="F11" i="33"/>
  <c r="G11" i="33"/>
  <c r="P25" i="33"/>
  <c r="N25" i="33"/>
  <c r="Y56" i="33"/>
  <c r="I11" i="33"/>
  <c r="G56" i="33"/>
  <c r="K11" i="33"/>
  <c r="O25" i="33"/>
  <c r="H56" i="33"/>
  <c r="J11" i="33"/>
  <c r="Q39" i="33"/>
  <c r="I56" i="33"/>
  <c r="U11" i="33"/>
  <c r="R39" i="33"/>
  <c r="J56" i="33"/>
  <c r="L11" i="33"/>
  <c r="P56" i="33"/>
  <c r="J39" i="33"/>
  <c r="Z11" i="33"/>
  <c r="K56" i="33"/>
  <c r="L56" i="33"/>
  <c r="T39" i="33"/>
  <c r="Y39" i="33"/>
  <c r="E39" i="33"/>
  <c r="M11" i="33"/>
  <c r="Z39" i="33"/>
  <c r="I39" i="33"/>
  <c r="N11" i="33"/>
  <c r="Q56" i="33"/>
  <c r="K39" i="33"/>
  <c r="V11" i="33"/>
  <c r="V56" i="33"/>
  <c r="L39" i="33"/>
  <c r="Y11" i="33"/>
  <c r="W56" i="33"/>
  <c r="N39" i="33"/>
  <c r="M56" i="33"/>
  <c r="N56" i="33"/>
  <c r="S39" i="33"/>
  <c r="U13" i="33"/>
  <c r="Q41" i="33"/>
  <c r="S58" i="33"/>
  <c r="G27" i="33"/>
  <c r="S41" i="33"/>
  <c r="T58" i="33"/>
  <c r="N27" i="33"/>
  <c r="F41" i="33"/>
  <c r="F58" i="33"/>
  <c r="L13" i="33"/>
  <c r="T41" i="33"/>
  <c r="U58" i="33"/>
  <c r="O27" i="33"/>
  <c r="G41" i="33"/>
  <c r="G58" i="33"/>
  <c r="AA13" i="33"/>
  <c r="L58" i="33"/>
  <c r="I13" i="33"/>
  <c r="D27" i="33"/>
  <c r="M58" i="33"/>
  <c r="R41" i="33"/>
  <c r="F27" i="33"/>
  <c r="J13" i="33"/>
  <c r="E27" i="33"/>
  <c r="N58" i="33"/>
  <c r="K13" i="33"/>
  <c r="Y13" i="33"/>
  <c r="Z58" i="33"/>
  <c r="H27" i="33"/>
  <c r="M13" i="33"/>
  <c r="Z13" i="33"/>
  <c r="AA58" i="33"/>
  <c r="I27" i="33"/>
  <c r="N13" i="33"/>
  <c r="J27" i="33"/>
  <c r="O13" i="33"/>
  <c r="K27" i="33"/>
  <c r="D41" i="33"/>
  <c r="P13" i="33"/>
  <c r="P27" i="33"/>
  <c r="L27" i="33"/>
  <c r="U41" i="33"/>
  <c r="V41" i="33"/>
  <c r="H58" i="33"/>
  <c r="T13" i="33"/>
  <c r="W41" i="33"/>
  <c r="Q13" i="33"/>
  <c r="M27" i="33"/>
  <c r="D58" i="33"/>
  <c r="D13" i="33"/>
  <c r="S13" i="33"/>
  <c r="I58" i="33"/>
  <c r="H13" i="33"/>
  <c r="R13" i="33"/>
  <c r="E58" i="33"/>
  <c r="E13" i="33"/>
  <c r="E41" i="33"/>
  <c r="F13" i="33"/>
  <c r="Q58" i="33"/>
  <c r="K58" i="33"/>
  <c r="V13" i="33"/>
  <c r="X41" i="33"/>
  <c r="P58" i="33"/>
  <c r="H41" i="33"/>
  <c r="J58" i="33"/>
  <c r="G13" i="33"/>
  <c r="W13" i="33"/>
  <c r="Y41" i="33"/>
  <c r="I41" i="33"/>
  <c r="X13" i="33"/>
  <c r="Z41" i="33"/>
  <c r="R58" i="33"/>
  <c r="J41" i="33"/>
  <c r="O58" i="33"/>
  <c r="V58" i="33"/>
  <c r="K41" i="33"/>
  <c r="O41" i="33"/>
  <c r="AA41" i="33"/>
  <c r="X58" i="33"/>
  <c r="Y58" i="33"/>
  <c r="N41" i="33"/>
  <c r="W58" i="33"/>
  <c r="L41" i="33"/>
  <c r="M41" i="33"/>
  <c r="J4" i="33"/>
  <c r="E19" i="33"/>
  <c r="H50" i="33"/>
  <c r="L33" i="33"/>
  <c r="W6" i="33"/>
  <c r="S35" i="33"/>
  <c r="U52" i="33"/>
  <c r="E35" i="33"/>
  <c r="G52" i="33"/>
  <c r="Z6" i="33"/>
  <c r="P52" i="33"/>
  <c r="L21" i="33"/>
  <c r="N6" i="33"/>
  <c r="AA6" i="33"/>
  <c r="Q52" i="33"/>
  <c r="D52" i="33"/>
  <c r="M21" i="33"/>
  <c r="Q35" i="33"/>
  <c r="N52" i="33"/>
  <c r="H21" i="33"/>
  <c r="F6" i="33"/>
  <c r="I21" i="33"/>
  <c r="P6" i="33"/>
  <c r="U35" i="33"/>
  <c r="R35" i="33"/>
  <c r="O52" i="33"/>
  <c r="G6" i="33"/>
  <c r="T35" i="33"/>
  <c r="D35" i="33"/>
  <c r="J21" i="33"/>
  <c r="H6" i="33"/>
  <c r="X6" i="33"/>
  <c r="Y52" i="33"/>
  <c r="F35" i="33"/>
  <c r="E6" i="33"/>
  <c r="H52" i="33"/>
  <c r="Y6" i="33"/>
  <c r="Z52" i="33"/>
  <c r="G35" i="33"/>
  <c r="E52" i="33"/>
  <c r="D21" i="33"/>
  <c r="I6" i="33"/>
  <c r="AA52" i="33"/>
  <c r="H35" i="33"/>
  <c r="F52" i="33"/>
  <c r="E21" i="33"/>
  <c r="J6" i="33"/>
  <c r="I35" i="33"/>
  <c r="Q6" i="33"/>
  <c r="K52" i="33"/>
  <c r="M52" i="33"/>
  <c r="W35" i="33"/>
  <c r="U6" i="33"/>
  <c r="R52" i="33"/>
  <c r="R6" i="33"/>
  <c r="L52" i="33"/>
  <c r="J35" i="33"/>
  <c r="T6" i="33"/>
  <c r="L35" i="33"/>
  <c r="D6" i="33"/>
  <c r="L6" i="33"/>
  <c r="S6" i="33"/>
  <c r="V35" i="33"/>
  <c r="K35" i="33"/>
  <c r="X35" i="33"/>
  <c r="N35" i="33"/>
  <c r="F21" i="33"/>
  <c r="V6" i="33"/>
  <c r="Y35" i="33"/>
  <c r="S52" i="33"/>
  <c r="M35" i="33"/>
  <c r="K6" i="33"/>
  <c r="Z35" i="33"/>
  <c r="T52" i="33"/>
  <c r="AA35" i="33"/>
  <c r="V52" i="33"/>
  <c r="O35" i="33"/>
  <c r="G21" i="33"/>
  <c r="M6" i="33"/>
  <c r="O6" i="33"/>
  <c r="W52" i="33"/>
  <c r="I52" i="33"/>
  <c r="J52" i="33"/>
  <c r="K21" i="33"/>
  <c r="O21" i="33"/>
  <c r="P21" i="33"/>
  <c r="X52" i="33"/>
  <c r="N21" i="33"/>
  <c r="P4" i="33"/>
  <c r="K50" i="33"/>
  <c r="F33" i="33"/>
  <c r="G4" i="33"/>
  <c r="W4" i="33"/>
  <c r="Z50" i="33"/>
  <c r="O33" i="33"/>
  <c r="AA16" i="33"/>
  <c r="W44" i="33"/>
  <c r="AA48" i="33"/>
  <c r="I44" i="33"/>
  <c r="M48" i="33"/>
  <c r="W16" i="33"/>
  <c r="S48" i="33"/>
  <c r="O44" i="33"/>
  <c r="F48" i="33"/>
  <c r="D16" i="33"/>
  <c r="X16" i="33"/>
  <c r="T48" i="33"/>
  <c r="G48" i="33"/>
  <c r="E16" i="33"/>
  <c r="Y48" i="33"/>
  <c r="J48" i="33"/>
  <c r="F16" i="33"/>
  <c r="Z48" i="33"/>
  <c r="K48" i="33"/>
  <c r="G16" i="33"/>
  <c r="R44" i="33"/>
  <c r="Q44" i="33"/>
  <c r="L48" i="33"/>
  <c r="H16" i="33"/>
  <c r="Q16" i="33"/>
  <c r="X44" i="33"/>
  <c r="W48" i="33"/>
  <c r="G44" i="33"/>
  <c r="D48" i="33"/>
  <c r="J16" i="33"/>
  <c r="K44" i="33"/>
  <c r="I48" i="33"/>
  <c r="R16" i="33"/>
  <c r="Y44" i="33"/>
  <c r="X48" i="33"/>
  <c r="H44" i="33"/>
  <c r="E48" i="33"/>
  <c r="K16" i="33"/>
  <c r="S16" i="33"/>
  <c r="Z44" i="33"/>
  <c r="J44" i="33"/>
  <c r="H48" i="33"/>
  <c r="L16" i="33"/>
  <c r="T16" i="33"/>
  <c r="AA44" i="33"/>
  <c r="Q48" i="33"/>
  <c r="M16" i="33"/>
  <c r="U48" i="33"/>
  <c r="S44" i="33"/>
  <c r="R48" i="33"/>
  <c r="N16" i="33"/>
  <c r="O16" i="33"/>
  <c r="P16" i="33"/>
  <c r="V48" i="33"/>
  <c r="U16" i="33"/>
  <c r="U44" i="33"/>
  <c r="N48" i="33"/>
  <c r="V16" i="33"/>
  <c r="T44" i="33"/>
  <c r="Y16" i="33"/>
  <c r="Z16" i="33"/>
  <c r="V44" i="33"/>
  <c r="D44" i="33"/>
  <c r="O48" i="33"/>
  <c r="N44" i="33"/>
  <c r="F44" i="33"/>
  <c r="L44" i="33"/>
  <c r="M44" i="33"/>
  <c r="I16" i="33"/>
  <c r="E44" i="33"/>
  <c r="Y45" i="33"/>
  <c r="M30" i="33"/>
  <c r="K45" i="33"/>
  <c r="O49" i="33"/>
  <c r="Z17" i="33"/>
  <c r="V49" i="33"/>
  <c r="H30" i="33"/>
  <c r="I49" i="33"/>
  <c r="F17" i="33"/>
  <c r="AA17" i="33"/>
  <c r="Q45" i="33"/>
  <c r="W49" i="33"/>
  <c r="I30" i="33"/>
  <c r="D45" i="33"/>
  <c r="J49" i="33"/>
  <c r="P17" i="33"/>
  <c r="T45" i="33"/>
  <c r="E45" i="33"/>
  <c r="I17" i="33"/>
  <c r="Q17" i="33"/>
  <c r="S17" i="33"/>
  <c r="W45" i="33"/>
  <c r="Q49" i="33"/>
  <c r="U45" i="33"/>
  <c r="F45" i="33"/>
  <c r="J17" i="33"/>
  <c r="R17" i="33"/>
  <c r="V45" i="33"/>
  <c r="P49" i="33"/>
  <c r="D30" i="33"/>
  <c r="G45" i="33"/>
  <c r="K17" i="33"/>
  <c r="N49" i="33"/>
  <c r="R49" i="33"/>
  <c r="S49" i="33"/>
  <c r="G30" i="33"/>
  <c r="I45" i="33"/>
  <c r="L49" i="33"/>
  <c r="K30" i="33"/>
  <c r="L30" i="33"/>
  <c r="M45" i="33"/>
  <c r="D17" i="33"/>
  <c r="T49" i="33"/>
  <c r="J30" i="33"/>
  <c r="J45" i="33"/>
  <c r="M49" i="33"/>
  <c r="L45" i="33"/>
  <c r="N30" i="33"/>
  <c r="N45" i="33"/>
  <c r="E17" i="33"/>
  <c r="P30" i="33"/>
  <c r="H17" i="33"/>
  <c r="U49" i="33"/>
  <c r="O30" i="33"/>
  <c r="O45" i="33"/>
  <c r="G17" i="33"/>
  <c r="X49" i="33"/>
  <c r="T17" i="33"/>
  <c r="Y49" i="33"/>
  <c r="L17" i="33"/>
  <c r="W17" i="33"/>
  <c r="Z49" i="33"/>
  <c r="E49" i="33"/>
  <c r="O17" i="33"/>
  <c r="S45" i="33"/>
  <c r="Z45" i="33"/>
  <c r="U17" i="33"/>
  <c r="AA45" i="33"/>
  <c r="AA31" i="34" s="1"/>
  <c r="E30" i="33"/>
  <c r="V17" i="33"/>
  <c r="F30" i="33"/>
  <c r="X17" i="33"/>
  <c r="AA49" i="33"/>
  <c r="H45" i="33"/>
  <c r="Y17" i="33"/>
  <c r="D49" i="33"/>
  <c r="M17" i="33"/>
  <c r="N17" i="33"/>
  <c r="F49" i="33"/>
  <c r="H49" i="33"/>
  <c r="K49" i="33"/>
  <c r="R45" i="33"/>
  <c r="X45" i="33"/>
  <c r="G49" i="33"/>
  <c r="J50" i="33"/>
  <c r="F50" i="33"/>
  <c r="Q50" i="33"/>
  <c r="Y7" i="33"/>
  <c r="U36" i="33"/>
  <c r="W53" i="33"/>
  <c r="G36" i="33"/>
  <c r="I53" i="33"/>
  <c r="R36" i="33"/>
  <c r="S53" i="33"/>
  <c r="E36" i="33"/>
  <c r="F53" i="33"/>
  <c r="N22" i="33"/>
  <c r="S36" i="33"/>
  <c r="T53" i="33"/>
  <c r="F36" i="33"/>
  <c r="G53" i="33"/>
  <c r="O22" i="33"/>
  <c r="R7" i="33"/>
  <c r="W36" i="33"/>
  <c r="Q53" i="33"/>
  <c r="H36" i="33"/>
  <c r="L22" i="33"/>
  <c r="I7" i="33"/>
  <c r="X36" i="33"/>
  <c r="I36" i="33"/>
  <c r="J7" i="33"/>
  <c r="U7" i="33"/>
  <c r="Z36" i="33"/>
  <c r="V53" i="33"/>
  <c r="S7" i="33"/>
  <c r="R53" i="33"/>
  <c r="M22" i="33"/>
  <c r="T7" i="33"/>
  <c r="Y36" i="33"/>
  <c r="U53" i="33"/>
  <c r="J36" i="33"/>
  <c r="D53" i="33"/>
  <c r="K7" i="33"/>
  <c r="T36" i="33"/>
  <c r="N36" i="33"/>
  <c r="M53" i="33"/>
  <c r="J22" i="33"/>
  <c r="N7" i="33"/>
  <c r="V36" i="33"/>
  <c r="O36" i="33"/>
  <c r="N53" i="33"/>
  <c r="K22" i="33"/>
  <c r="O7" i="33"/>
  <c r="P7" i="33"/>
  <c r="AA36" i="33"/>
  <c r="O53" i="33"/>
  <c r="Q7" i="33"/>
  <c r="P53" i="33"/>
  <c r="G22" i="33"/>
  <c r="L7" i="33"/>
  <c r="I22" i="33"/>
  <c r="E53" i="33"/>
  <c r="P22" i="33"/>
  <c r="H22" i="33"/>
  <c r="M7" i="33"/>
  <c r="H53" i="33"/>
  <c r="K53" i="33"/>
  <c r="J53" i="33"/>
  <c r="V7" i="33"/>
  <c r="X7" i="33"/>
  <c r="W7" i="33"/>
  <c r="L53" i="33"/>
  <c r="E7" i="33"/>
  <c r="F7" i="33"/>
  <c r="K36" i="33"/>
  <c r="X53" i="33"/>
  <c r="E22" i="33"/>
  <c r="M36" i="33"/>
  <c r="F22" i="33"/>
  <c r="Z7" i="33"/>
  <c r="AA53" i="33"/>
  <c r="AA7" i="33"/>
  <c r="D7" i="33"/>
  <c r="G7" i="33"/>
  <c r="D36" i="33"/>
  <c r="D22" i="33"/>
  <c r="L36" i="33"/>
  <c r="Y53" i="33"/>
  <c r="Z53" i="33"/>
  <c r="Q36" i="33"/>
  <c r="H7" i="33"/>
  <c r="I4" i="33"/>
  <c r="X4" i="33"/>
  <c r="M33" i="33"/>
  <c r="O4" i="33"/>
  <c r="I33" i="33"/>
  <c r="E50" i="33"/>
  <c r="L19" i="33"/>
  <c r="U50" i="33"/>
  <c r="H33" i="33"/>
  <c r="U4" i="33"/>
  <c r="S4" i="33"/>
  <c r="H19" i="33"/>
  <c r="G50" i="33"/>
  <c r="U5" i="33"/>
  <c r="Q34" i="33"/>
  <c r="S51" i="33"/>
  <c r="E51" i="33"/>
  <c r="W5" i="33"/>
  <c r="AA34" i="33"/>
  <c r="N34" i="33"/>
  <c r="O51" i="33"/>
  <c r="L5" i="33"/>
  <c r="X5" i="33"/>
  <c r="O34" i="33"/>
  <c r="Y5" i="33"/>
  <c r="X51" i="33"/>
  <c r="L34" i="33"/>
  <c r="I51" i="33"/>
  <c r="Y51" i="33"/>
  <c r="J51" i="33"/>
  <c r="D5" i="33"/>
  <c r="AA51" i="33"/>
  <c r="Z5" i="33"/>
  <c r="M34" i="33"/>
  <c r="AA5" i="33"/>
  <c r="P20" i="33"/>
  <c r="Z51" i="33"/>
  <c r="K51" i="33"/>
  <c r="D20" i="33"/>
  <c r="E5" i="33"/>
  <c r="U34" i="33"/>
  <c r="N51" i="33"/>
  <c r="V34" i="33"/>
  <c r="P51" i="33"/>
  <c r="P5" i="33"/>
  <c r="W34" i="33"/>
  <c r="Q51" i="33"/>
  <c r="E20" i="33"/>
  <c r="Q5" i="33"/>
  <c r="X34" i="33"/>
  <c r="R51" i="33"/>
  <c r="Y34" i="33"/>
  <c r="T51" i="33"/>
  <c r="J34" i="33"/>
  <c r="K5" i="33"/>
  <c r="W51" i="33"/>
  <c r="Z34" i="33"/>
  <c r="U51" i="33"/>
  <c r="K34" i="33"/>
  <c r="M5" i="33"/>
  <c r="V51" i="33"/>
  <c r="N5" i="33"/>
  <c r="F20" i="33"/>
  <c r="O5" i="33"/>
  <c r="G20" i="33"/>
  <c r="H20" i="33"/>
  <c r="D51" i="33"/>
  <c r="I20" i="33"/>
  <c r="F51" i="33"/>
  <c r="J20" i="33"/>
  <c r="D34" i="33"/>
  <c r="O20" i="33"/>
  <c r="R5" i="33"/>
  <c r="S5" i="33"/>
  <c r="G51" i="33"/>
  <c r="T5" i="33"/>
  <c r="H51" i="33"/>
  <c r="F5" i="33"/>
  <c r="M51" i="33"/>
  <c r="L20" i="33"/>
  <c r="H5" i="33"/>
  <c r="M20" i="33"/>
  <c r="I5" i="33"/>
  <c r="N20" i="33"/>
  <c r="J5" i="33"/>
  <c r="R34" i="33"/>
  <c r="E34" i="33"/>
  <c r="S34" i="33"/>
  <c r="F34" i="33"/>
  <c r="T34" i="33"/>
  <c r="G34" i="33"/>
  <c r="H34" i="33"/>
  <c r="V5" i="33"/>
  <c r="L51" i="33"/>
  <c r="K20" i="33"/>
  <c r="G5" i="33"/>
  <c r="I34" i="33"/>
  <c r="Q18" i="33"/>
  <c r="H18" i="33"/>
  <c r="U18" i="33"/>
  <c r="L18" i="33"/>
  <c r="M18" i="33"/>
  <c r="X18" i="33"/>
  <c r="V18" i="33"/>
  <c r="W18" i="33"/>
  <c r="N18" i="33"/>
  <c r="P18" i="33"/>
  <c r="D18" i="33"/>
  <c r="R18" i="33"/>
  <c r="E18" i="33"/>
  <c r="S18" i="33"/>
  <c r="F18" i="33"/>
  <c r="T18" i="33"/>
  <c r="Y18" i="33"/>
  <c r="Y18" i="34" s="1"/>
  <c r="Y18" i="35" s="1"/>
  <c r="AK18" i="35" s="1"/>
  <c r="AW18" i="35" s="1"/>
  <c r="BI18" i="35" s="1" a="1"/>
  <c r="K18" i="33"/>
  <c r="Z18" i="33"/>
  <c r="Z18" i="34" s="1"/>
  <c r="Z18" i="35" s="1"/>
  <c r="AL18" i="35" s="1"/>
  <c r="AX18" i="35" s="1"/>
  <c r="BJ18" i="35" s="1" a="1"/>
  <c r="O18" i="33"/>
  <c r="AA18" i="33"/>
  <c r="AA18" i="34" s="1"/>
  <c r="AA18" i="35" s="1"/>
  <c r="AM18" i="35" s="1"/>
  <c r="AY18" i="35" s="1"/>
  <c r="BK18" i="35" s="1" a="1"/>
  <c r="G18" i="33"/>
  <c r="I18" i="33"/>
  <c r="J18" i="33"/>
  <c r="W14" i="33"/>
  <c r="S42" i="33"/>
  <c r="U59" i="33"/>
  <c r="I28" i="33"/>
  <c r="E42" i="33"/>
  <c r="Q14" i="33"/>
  <c r="V42" i="33"/>
  <c r="W59" i="33"/>
  <c r="I42" i="33"/>
  <c r="H59" i="33"/>
  <c r="N14" i="33"/>
  <c r="R14" i="33"/>
  <c r="P28" i="33"/>
  <c r="W42" i="33"/>
  <c r="X59" i="33"/>
  <c r="J42" i="33"/>
  <c r="I59" i="33"/>
  <c r="T42" i="33"/>
  <c r="P59" i="33"/>
  <c r="H28" i="33"/>
  <c r="D42" i="33"/>
  <c r="L14" i="33"/>
  <c r="U42" i="33"/>
  <c r="Q59" i="33"/>
  <c r="J28" i="33"/>
  <c r="F42" i="33"/>
  <c r="M14" i="33"/>
  <c r="T14" i="33"/>
  <c r="Y42" i="33"/>
  <c r="S59" i="33"/>
  <c r="L28" i="33"/>
  <c r="P14" i="33"/>
  <c r="S14" i="33"/>
  <c r="X42" i="33"/>
  <c r="R59" i="33"/>
  <c r="K28" i="33"/>
  <c r="G42" i="33"/>
  <c r="O14" i="33"/>
  <c r="Z42" i="33"/>
  <c r="K42" i="33"/>
  <c r="F59" i="33"/>
  <c r="K59" i="33"/>
  <c r="AA42" i="33"/>
  <c r="L42" i="33"/>
  <c r="G59" i="33"/>
  <c r="U14" i="33"/>
  <c r="T59" i="33"/>
  <c r="M42" i="33"/>
  <c r="J59" i="33"/>
  <c r="V14" i="33"/>
  <c r="V59" i="33"/>
  <c r="N42" i="33"/>
  <c r="AA59" i="33"/>
  <c r="O42" i="33"/>
  <c r="K14" i="33"/>
  <c r="D28" i="33"/>
  <c r="F28" i="33"/>
  <c r="E28" i="33"/>
  <c r="G28" i="33"/>
  <c r="M28" i="33"/>
  <c r="X14" i="33"/>
  <c r="N28" i="33"/>
  <c r="D14" i="33"/>
  <c r="L59" i="33"/>
  <c r="H14" i="33"/>
  <c r="Y59" i="33"/>
  <c r="O28" i="33"/>
  <c r="I14" i="33"/>
  <c r="AA14" i="33"/>
  <c r="Z59" i="33"/>
  <c r="H42" i="33"/>
  <c r="D59" i="33"/>
  <c r="E59" i="33"/>
  <c r="M59" i="33"/>
  <c r="N59" i="33"/>
  <c r="Q42" i="33"/>
  <c r="G14" i="33"/>
  <c r="O59" i="33"/>
  <c r="E14" i="33"/>
  <c r="Z14" i="33"/>
  <c r="J14" i="33"/>
  <c r="R42" i="33"/>
  <c r="F14" i="33"/>
  <c r="Y14" i="33"/>
  <c r="H4" i="33"/>
  <c r="P19" i="33"/>
  <c r="E33" i="33"/>
  <c r="V4" i="33"/>
  <c r="O19" i="33"/>
  <c r="E4" i="33"/>
  <c r="AP2" i="12"/>
  <c r="BC2" i="12" s="1"/>
  <c r="AL2" i="12"/>
  <c r="AY2" i="12" s="1"/>
  <c r="AF2" i="12"/>
  <c r="AS2" i="12" s="1"/>
  <c r="AO2" i="12"/>
  <c r="BB2" i="12" s="1"/>
  <c r="AK2" i="12"/>
  <c r="AX2" i="12" s="1"/>
  <c r="AN2" i="12"/>
  <c r="BA2" i="12" s="1"/>
  <c r="AJ2" i="12"/>
  <c r="AW2" i="12" s="1"/>
  <c r="AK2" i="7"/>
  <c r="AX2" i="7" s="1"/>
  <c r="AO2" i="7"/>
  <c r="BB2" i="7" s="1"/>
  <c r="AJ2" i="7"/>
  <c r="AW2" i="7" s="1"/>
  <c r="AN2" i="7"/>
  <c r="BA2" i="7" s="1"/>
  <c r="AM2" i="1"/>
  <c r="AZ2" i="1" s="1"/>
  <c r="AF2" i="1"/>
  <c r="AS2" i="1" s="1"/>
  <c r="AK2" i="1"/>
  <c r="AX2" i="1" s="1"/>
  <c r="AO2" i="1"/>
  <c r="BB2" i="1" s="1"/>
  <c r="AN2" i="1"/>
  <c r="BA2" i="1" s="1"/>
  <c r="AJ2" i="1"/>
  <c r="AW2" i="1" s="1"/>
  <c r="AP58" i="5"/>
  <c r="BC58" i="5" s="1"/>
  <c r="AO58" i="5"/>
  <c r="BB58" i="5" s="1"/>
  <c r="AN58" i="5"/>
  <c r="BA58" i="5" s="1"/>
  <c r="AM58" i="5"/>
  <c r="AZ58" i="5" s="1"/>
  <c r="AL58" i="5"/>
  <c r="AY58" i="5" s="1"/>
  <c r="AK58" i="5"/>
  <c r="AX58" i="5" s="1"/>
  <c r="AJ58" i="5"/>
  <c r="AW58" i="5" s="1"/>
  <c r="AI58" i="5"/>
  <c r="AV58" i="5" s="1"/>
  <c r="AH58" i="5"/>
  <c r="AU58" i="5" s="1"/>
  <c r="AG58" i="5"/>
  <c r="AT58" i="5" s="1"/>
  <c r="AF58" i="5"/>
  <c r="AS58" i="5" s="1"/>
  <c r="AE58" i="5"/>
  <c r="AR58" i="5" s="1"/>
  <c r="AP57" i="5"/>
  <c r="BC57" i="5" s="1"/>
  <c r="AO57" i="5"/>
  <c r="BB57" i="5" s="1"/>
  <c r="AN57" i="5"/>
  <c r="BA57" i="5" s="1"/>
  <c r="AM57" i="5"/>
  <c r="AZ57" i="5" s="1"/>
  <c r="AL57" i="5"/>
  <c r="AY57" i="5" s="1"/>
  <c r="AK57" i="5"/>
  <c r="AX57" i="5" s="1"/>
  <c r="AJ57" i="5"/>
  <c r="AW57" i="5" s="1"/>
  <c r="AI57" i="5"/>
  <c r="AV57" i="5" s="1"/>
  <c r="AH57" i="5"/>
  <c r="AU57" i="5" s="1"/>
  <c r="AG57" i="5"/>
  <c r="AT57" i="5" s="1"/>
  <c r="AF57" i="5"/>
  <c r="AS57" i="5" s="1"/>
  <c r="AE57" i="5"/>
  <c r="AR57" i="5" s="1"/>
  <c r="AP56" i="5"/>
  <c r="BC56" i="5" s="1"/>
  <c r="AO56" i="5"/>
  <c r="BB56" i="5" s="1"/>
  <c r="AN56" i="5"/>
  <c r="BA56" i="5" s="1"/>
  <c r="AM56" i="5"/>
  <c r="AZ56" i="5" s="1"/>
  <c r="AL56" i="5"/>
  <c r="AY56" i="5" s="1"/>
  <c r="AK56" i="5"/>
  <c r="AX56" i="5" s="1"/>
  <c r="AJ56" i="5"/>
  <c r="AW56" i="5" s="1"/>
  <c r="AI56" i="5"/>
  <c r="AV56" i="5" s="1"/>
  <c r="AH56" i="5"/>
  <c r="AU56" i="5" s="1"/>
  <c r="AG56" i="5"/>
  <c r="AT56" i="5" s="1"/>
  <c r="AF56" i="5"/>
  <c r="AS56" i="5" s="1"/>
  <c r="AE56" i="5"/>
  <c r="AR56" i="5" s="1"/>
  <c r="AP55" i="5"/>
  <c r="BC55" i="5" s="1"/>
  <c r="AO55" i="5"/>
  <c r="BB55" i="5" s="1"/>
  <c r="AN55" i="5"/>
  <c r="BA55" i="5" s="1"/>
  <c r="AM55" i="5"/>
  <c r="AZ55" i="5" s="1"/>
  <c r="AL55" i="5"/>
  <c r="AY55" i="5" s="1"/>
  <c r="AK55" i="5"/>
  <c r="AX55" i="5" s="1"/>
  <c r="AJ55" i="5"/>
  <c r="AW55" i="5" s="1"/>
  <c r="AI55" i="5"/>
  <c r="AV55" i="5" s="1"/>
  <c r="AH55" i="5"/>
  <c r="AU55" i="5" s="1"/>
  <c r="AG55" i="5"/>
  <c r="AT55" i="5" s="1"/>
  <c r="AF55" i="5"/>
  <c r="AS55" i="5" s="1"/>
  <c r="AE55" i="5"/>
  <c r="AR55" i="5" s="1"/>
  <c r="AP54" i="5"/>
  <c r="BC54" i="5" s="1"/>
  <c r="AO54" i="5"/>
  <c r="BB54" i="5" s="1"/>
  <c r="AN54" i="5"/>
  <c r="BA54" i="5" s="1"/>
  <c r="AM54" i="5"/>
  <c r="AZ54" i="5" s="1"/>
  <c r="AL54" i="5"/>
  <c r="AY54" i="5" s="1"/>
  <c r="AK54" i="5"/>
  <c r="AX54" i="5" s="1"/>
  <c r="AJ54" i="5"/>
  <c r="AW54" i="5" s="1"/>
  <c r="AI54" i="5"/>
  <c r="AV54" i="5" s="1"/>
  <c r="AH54" i="5"/>
  <c r="AU54" i="5" s="1"/>
  <c r="AG54" i="5"/>
  <c r="AT54" i="5" s="1"/>
  <c r="AF54" i="5"/>
  <c r="AS54" i="5" s="1"/>
  <c r="AE54" i="5"/>
  <c r="AR54" i="5" s="1"/>
  <c r="AP53" i="5"/>
  <c r="BC53" i="5" s="1"/>
  <c r="AO53" i="5"/>
  <c r="BB53" i="5" s="1"/>
  <c r="AN53" i="5"/>
  <c r="BA53" i="5" s="1"/>
  <c r="AM53" i="5"/>
  <c r="AZ53" i="5" s="1"/>
  <c r="AL53" i="5"/>
  <c r="AY53" i="5" s="1"/>
  <c r="AK53" i="5"/>
  <c r="AX53" i="5" s="1"/>
  <c r="AJ53" i="5"/>
  <c r="AW53" i="5" s="1"/>
  <c r="AI53" i="5"/>
  <c r="AV53" i="5" s="1"/>
  <c r="AH53" i="5"/>
  <c r="AU53" i="5" s="1"/>
  <c r="AG53" i="5"/>
  <c r="AT53" i="5" s="1"/>
  <c r="AF53" i="5"/>
  <c r="AS53" i="5" s="1"/>
  <c r="AE53" i="5"/>
  <c r="AR53" i="5" s="1"/>
  <c r="AP52" i="5"/>
  <c r="BC52" i="5" s="1"/>
  <c r="AO52" i="5"/>
  <c r="BB52" i="5" s="1"/>
  <c r="AN52" i="5"/>
  <c r="BA52" i="5" s="1"/>
  <c r="AM52" i="5"/>
  <c r="AZ52" i="5" s="1"/>
  <c r="AL52" i="5"/>
  <c r="AY52" i="5" s="1"/>
  <c r="AK52" i="5"/>
  <c r="AX52" i="5" s="1"/>
  <c r="AJ52" i="5"/>
  <c r="AW52" i="5" s="1"/>
  <c r="AI52" i="5"/>
  <c r="AV52" i="5" s="1"/>
  <c r="AH52" i="5"/>
  <c r="AU52" i="5" s="1"/>
  <c r="AG52" i="5"/>
  <c r="AT52" i="5" s="1"/>
  <c r="AF52" i="5"/>
  <c r="AS52" i="5" s="1"/>
  <c r="AE52" i="5"/>
  <c r="AR52" i="5" s="1"/>
  <c r="BA51" i="5"/>
  <c r="AP51" i="5"/>
  <c r="BC51" i="5" s="1"/>
  <c r="AO51" i="5"/>
  <c r="BB51" i="5" s="1"/>
  <c r="AN51" i="5"/>
  <c r="AM51" i="5"/>
  <c r="AZ51" i="5" s="1"/>
  <c r="AL51" i="5"/>
  <c r="AY51" i="5" s="1"/>
  <c r="AK51" i="5"/>
  <c r="AX51" i="5" s="1"/>
  <c r="AJ51" i="5"/>
  <c r="AW51" i="5" s="1"/>
  <c r="AI51" i="5"/>
  <c r="AV51" i="5" s="1"/>
  <c r="AH51" i="5"/>
  <c r="AU51" i="5" s="1"/>
  <c r="AG51" i="5"/>
  <c r="AT51" i="5" s="1"/>
  <c r="AF51" i="5"/>
  <c r="AS51" i="5" s="1"/>
  <c r="AE51" i="5"/>
  <c r="AR51" i="5" s="1"/>
  <c r="AP50" i="5"/>
  <c r="BC50" i="5" s="1"/>
  <c r="AO50" i="5"/>
  <c r="BB50" i="5" s="1"/>
  <c r="AN50" i="5"/>
  <c r="BA50" i="5" s="1"/>
  <c r="AM50" i="5"/>
  <c r="AZ50" i="5" s="1"/>
  <c r="AL50" i="5"/>
  <c r="AY50" i="5" s="1"/>
  <c r="AK50" i="5"/>
  <c r="AX50" i="5" s="1"/>
  <c r="AJ50" i="5"/>
  <c r="AW50" i="5" s="1"/>
  <c r="AI50" i="5"/>
  <c r="AV50" i="5" s="1"/>
  <c r="AH50" i="5"/>
  <c r="AU50" i="5" s="1"/>
  <c r="AG50" i="5"/>
  <c r="AT50" i="5" s="1"/>
  <c r="AF50" i="5"/>
  <c r="AS50" i="5" s="1"/>
  <c r="AE50" i="5"/>
  <c r="AR50" i="5" s="1"/>
  <c r="AP49" i="5"/>
  <c r="BC49" i="5" s="1"/>
  <c r="AO49" i="5"/>
  <c r="BB49" i="5" s="1"/>
  <c r="AN49" i="5"/>
  <c r="BA49" i="5" s="1"/>
  <c r="AM49" i="5"/>
  <c r="AZ49" i="5" s="1"/>
  <c r="AL49" i="5"/>
  <c r="AY49" i="5" s="1"/>
  <c r="AK49" i="5"/>
  <c r="AX49" i="5" s="1"/>
  <c r="AJ49" i="5"/>
  <c r="AW49" i="5" s="1"/>
  <c r="AI49" i="5"/>
  <c r="AV49" i="5" s="1"/>
  <c r="AH49" i="5"/>
  <c r="AU49" i="5" s="1"/>
  <c r="AG49" i="5"/>
  <c r="AT49" i="5" s="1"/>
  <c r="AF49" i="5"/>
  <c r="AS49" i="5" s="1"/>
  <c r="AE49" i="5"/>
  <c r="AR49" i="5" s="1"/>
  <c r="AY48" i="5"/>
  <c r="AX48" i="5"/>
  <c r="AP48" i="5"/>
  <c r="BC48" i="5" s="1"/>
  <c r="AO48" i="5"/>
  <c r="BB48" i="5" s="1"/>
  <c r="AN48" i="5"/>
  <c r="BA48" i="5" s="1"/>
  <c r="AM48" i="5"/>
  <c r="AZ48" i="5" s="1"/>
  <c r="AL48" i="5"/>
  <c r="AK48" i="5"/>
  <c r="AJ48" i="5"/>
  <c r="AW48" i="5" s="1"/>
  <c r="AI48" i="5"/>
  <c r="AV48" i="5" s="1"/>
  <c r="AH48" i="5"/>
  <c r="AU48" i="5" s="1"/>
  <c r="AG48" i="5"/>
  <c r="AT48" i="5" s="1"/>
  <c r="AF48" i="5"/>
  <c r="AS48" i="5" s="1"/>
  <c r="AE48" i="5"/>
  <c r="AR48" i="5" s="1"/>
  <c r="BA47" i="5"/>
  <c r="AY47" i="5"/>
  <c r="AX47" i="5"/>
  <c r="AP47" i="5"/>
  <c r="BC47" i="5" s="1"/>
  <c r="AO47" i="5"/>
  <c r="BB47" i="5" s="1"/>
  <c r="AN47" i="5"/>
  <c r="AM47" i="5"/>
  <c r="AZ47" i="5" s="1"/>
  <c r="AL47" i="5"/>
  <c r="AK47" i="5"/>
  <c r="AJ47" i="5"/>
  <c r="AW47" i="5" s="1"/>
  <c r="AI47" i="5"/>
  <c r="AV47" i="5" s="1"/>
  <c r="AH47" i="5"/>
  <c r="AU47" i="5" s="1"/>
  <c r="AG47" i="5"/>
  <c r="AT47" i="5" s="1"/>
  <c r="AF47" i="5"/>
  <c r="AS47" i="5" s="1"/>
  <c r="AE47" i="5"/>
  <c r="AR47" i="5" s="1"/>
  <c r="AU46" i="5"/>
  <c r="AP46" i="5"/>
  <c r="BC46" i="5" s="1"/>
  <c r="AO46" i="5"/>
  <c r="BB46" i="5" s="1"/>
  <c r="AN46" i="5"/>
  <c r="BA46" i="5" s="1"/>
  <c r="AM46" i="5"/>
  <c r="AZ46" i="5" s="1"/>
  <c r="AL46" i="5"/>
  <c r="AY46" i="5" s="1"/>
  <c r="AK46" i="5"/>
  <c r="AX46" i="5" s="1"/>
  <c r="AJ46" i="5"/>
  <c r="AW46" i="5" s="1"/>
  <c r="AI46" i="5"/>
  <c r="AV46" i="5" s="1"/>
  <c r="AH46" i="5"/>
  <c r="AG46" i="5"/>
  <c r="AT46" i="5" s="1"/>
  <c r="AF46" i="5"/>
  <c r="AS46" i="5" s="1"/>
  <c r="AE46" i="5"/>
  <c r="AR46" i="5" s="1"/>
  <c r="AX45" i="5"/>
  <c r="AV45" i="5"/>
  <c r="AP45" i="5"/>
  <c r="BC45" i="5" s="1"/>
  <c r="AO45" i="5"/>
  <c r="BB45" i="5" s="1"/>
  <c r="AN45" i="5"/>
  <c r="BA45" i="5" s="1"/>
  <c r="AM45" i="5"/>
  <c r="AZ45" i="5" s="1"/>
  <c r="AL45" i="5"/>
  <c r="AY45" i="5" s="1"/>
  <c r="AK45" i="5"/>
  <c r="AJ45" i="5"/>
  <c r="AW45" i="5" s="1"/>
  <c r="AI45" i="5"/>
  <c r="AH45" i="5"/>
  <c r="AU45" i="5" s="1"/>
  <c r="AG45" i="5"/>
  <c r="AT45" i="5" s="1"/>
  <c r="AF45" i="5"/>
  <c r="AS45" i="5" s="1"/>
  <c r="AE45" i="5"/>
  <c r="AR45" i="5" s="1"/>
  <c r="BA44" i="5"/>
  <c r="AZ44" i="5"/>
  <c r="AP44" i="5"/>
  <c r="BC44" i="5" s="1"/>
  <c r="AO44" i="5"/>
  <c r="BB44" i="5" s="1"/>
  <c r="AN44" i="5"/>
  <c r="AM44" i="5"/>
  <c r="AL44" i="5"/>
  <c r="AY44" i="5" s="1"/>
  <c r="AK44" i="5"/>
  <c r="AX44" i="5" s="1"/>
  <c r="AJ44" i="5"/>
  <c r="AW44" i="5" s="1"/>
  <c r="AI44" i="5"/>
  <c r="AV44" i="5" s="1"/>
  <c r="AH44" i="5"/>
  <c r="AU44" i="5" s="1"/>
  <c r="AG44" i="5"/>
  <c r="AT44" i="5" s="1"/>
  <c r="AF44" i="5"/>
  <c r="AS44" i="5" s="1"/>
  <c r="AE44" i="5"/>
  <c r="AR44" i="5" s="1"/>
  <c r="AP43" i="5"/>
  <c r="BC43" i="5" s="1"/>
  <c r="AO43" i="5"/>
  <c r="BB43" i="5" s="1"/>
  <c r="AN43" i="5"/>
  <c r="BA43" i="5" s="1"/>
  <c r="AM43" i="5"/>
  <c r="AZ43" i="5" s="1"/>
  <c r="AL43" i="5"/>
  <c r="AY43" i="5" s="1"/>
  <c r="AK43" i="5"/>
  <c r="AX43" i="5" s="1"/>
  <c r="AJ43" i="5"/>
  <c r="AW43" i="5" s="1"/>
  <c r="AI43" i="5"/>
  <c r="AV43" i="5" s="1"/>
  <c r="AH43" i="5"/>
  <c r="AU43" i="5" s="1"/>
  <c r="AG43" i="5"/>
  <c r="AT43" i="5" s="1"/>
  <c r="AF43" i="5"/>
  <c r="AS43" i="5" s="1"/>
  <c r="AE43" i="5"/>
  <c r="AR43" i="5" s="1"/>
  <c r="AP42" i="5"/>
  <c r="BC42" i="5" s="1"/>
  <c r="AO42" i="5"/>
  <c r="BB42" i="5" s="1"/>
  <c r="AN42" i="5"/>
  <c r="BA42" i="5" s="1"/>
  <c r="AM42" i="5"/>
  <c r="AZ42" i="5" s="1"/>
  <c r="AL42" i="5"/>
  <c r="AY42" i="5" s="1"/>
  <c r="AK42" i="5"/>
  <c r="AX42" i="5" s="1"/>
  <c r="AJ42" i="5"/>
  <c r="AW42" i="5" s="1"/>
  <c r="AI42" i="5"/>
  <c r="AV42" i="5" s="1"/>
  <c r="AH42" i="5"/>
  <c r="AU42" i="5" s="1"/>
  <c r="AG42" i="5"/>
  <c r="AT42" i="5" s="1"/>
  <c r="AF42" i="5"/>
  <c r="AS42" i="5" s="1"/>
  <c r="AE42" i="5"/>
  <c r="AR42" i="5" s="1"/>
  <c r="AP41" i="5"/>
  <c r="BC41" i="5" s="1"/>
  <c r="AO41" i="5"/>
  <c r="BB41" i="5" s="1"/>
  <c r="AN41" i="5"/>
  <c r="BA41" i="5" s="1"/>
  <c r="AM41" i="5"/>
  <c r="AZ41" i="5" s="1"/>
  <c r="AL41" i="5"/>
  <c r="AY41" i="5" s="1"/>
  <c r="AK41" i="5"/>
  <c r="AX41" i="5" s="1"/>
  <c r="AJ41" i="5"/>
  <c r="AW41" i="5" s="1"/>
  <c r="AI41" i="5"/>
  <c r="AV41" i="5" s="1"/>
  <c r="AH41" i="5"/>
  <c r="AU41" i="5" s="1"/>
  <c r="AG41" i="5"/>
  <c r="AT41" i="5" s="1"/>
  <c r="AF41" i="5"/>
  <c r="AS41" i="5" s="1"/>
  <c r="AE41" i="5"/>
  <c r="AR41" i="5" s="1"/>
  <c r="AP40" i="5"/>
  <c r="BC40" i="5" s="1"/>
  <c r="AO40" i="5"/>
  <c r="BB40" i="5" s="1"/>
  <c r="AN40" i="5"/>
  <c r="BA40" i="5" s="1"/>
  <c r="AM40" i="5"/>
  <c r="AZ40" i="5" s="1"/>
  <c r="AL40" i="5"/>
  <c r="AY40" i="5" s="1"/>
  <c r="AK40" i="5"/>
  <c r="AX40" i="5" s="1"/>
  <c r="AJ40" i="5"/>
  <c r="AW40" i="5" s="1"/>
  <c r="AI40" i="5"/>
  <c r="AV40" i="5" s="1"/>
  <c r="AH40" i="5"/>
  <c r="AU40" i="5" s="1"/>
  <c r="AG40" i="5"/>
  <c r="AT40" i="5" s="1"/>
  <c r="AF40" i="5"/>
  <c r="AS40" i="5" s="1"/>
  <c r="AE40" i="5"/>
  <c r="AR40" i="5" s="1"/>
  <c r="AP39" i="5"/>
  <c r="BC39" i="5" s="1"/>
  <c r="AO39" i="5"/>
  <c r="BB39" i="5" s="1"/>
  <c r="AN39" i="5"/>
  <c r="BA39" i="5" s="1"/>
  <c r="AM39" i="5"/>
  <c r="AZ39" i="5" s="1"/>
  <c r="AL39" i="5"/>
  <c r="AY39" i="5" s="1"/>
  <c r="AK39" i="5"/>
  <c r="AX39" i="5" s="1"/>
  <c r="AJ39" i="5"/>
  <c r="AW39" i="5" s="1"/>
  <c r="AI39" i="5"/>
  <c r="AV39" i="5" s="1"/>
  <c r="AH39" i="5"/>
  <c r="AU39" i="5" s="1"/>
  <c r="AG39" i="5"/>
  <c r="AT39" i="5" s="1"/>
  <c r="AF39" i="5"/>
  <c r="AS39" i="5" s="1"/>
  <c r="AE39" i="5"/>
  <c r="AR39" i="5" s="1"/>
  <c r="AP38" i="5"/>
  <c r="BC38" i="5" s="1"/>
  <c r="AO38" i="5"/>
  <c r="BB38" i="5" s="1"/>
  <c r="AN38" i="5"/>
  <c r="BA38" i="5" s="1"/>
  <c r="AM38" i="5"/>
  <c r="AZ38" i="5" s="1"/>
  <c r="AL38" i="5"/>
  <c r="AY38" i="5" s="1"/>
  <c r="AK38" i="5"/>
  <c r="AX38" i="5" s="1"/>
  <c r="AJ38" i="5"/>
  <c r="AW38" i="5" s="1"/>
  <c r="AI38" i="5"/>
  <c r="AV38" i="5" s="1"/>
  <c r="AH38" i="5"/>
  <c r="AU38" i="5" s="1"/>
  <c r="AG38" i="5"/>
  <c r="AT38" i="5" s="1"/>
  <c r="AF38" i="5"/>
  <c r="AS38" i="5" s="1"/>
  <c r="AE38" i="5"/>
  <c r="AR38" i="5" s="1"/>
  <c r="AP37" i="5"/>
  <c r="BC37" i="5" s="1"/>
  <c r="AO37" i="5"/>
  <c r="BB37" i="5" s="1"/>
  <c r="AN37" i="5"/>
  <c r="BA37" i="5" s="1"/>
  <c r="AM37" i="5"/>
  <c r="AZ37" i="5" s="1"/>
  <c r="AL37" i="5"/>
  <c r="AY37" i="5" s="1"/>
  <c r="AK37" i="5"/>
  <c r="AX37" i="5" s="1"/>
  <c r="AJ37" i="5"/>
  <c r="AW37" i="5" s="1"/>
  <c r="AI37" i="5"/>
  <c r="AV37" i="5" s="1"/>
  <c r="AH37" i="5"/>
  <c r="AU37" i="5" s="1"/>
  <c r="AG37" i="5"/>
  <c r="AT37" i="5" s="1"/>
  <c r="AF37" i="5"/>
  <c r="AS37" i="5" s="1"/>
  <c r="AE37" i="5"/>
  <c r="AR37" i="5" s="1"/>
  <c r="AP36" i="5"/>
  <c r="BC36" i="5" s="1"/>
  <c r="AO36" i="5"/>
  <c r="BB36" i="5" s="1"/>
  <c r="AN36" i="5"/>
  <c r="BA36" i="5" s="1"/>
  <c r="AM36" i="5"/>
  <c r="AZ36" i="5" s="1"/>
  <c r="AL36" i="5"/>
  <c r="AY36" i="5" s="1"/>
  <c r="AK36" i="5"/>
  <c r="AX36" i="5" s="1"/>
  <c r="AJ36" i="5"/>
  <c r="AW36" i="5" s="1"/>
  <c r="AI36" i="5"/>
  <c r="AV36" i="5" s="1"/>
  <c r="AH36" i="5"/>
  <c r="AU36" i="5" s="1"/>
  <c r="AG36" i="5"/>
  <c r="AT36" i="5" s="1"/>
  <c r="AF36" i="5"/>
  <c r="AS36" i="5" s="1"/>
  <c r="AE36" i="5"/>
  <c r="AR36" i="5" s="1"/>
  <c r="AP35" i="5"/>
  <c r="BC35" i="5" s="1"/>
  <c r="AO35" i="5"/>
  <c r="BB35" i="5" s="1"/>
  <c r="AN35" i="5"/>
  <c r="BA35" i="5" s="1"/>
  <c r="AM35" i="5"/>
  <c r="AZ35" i="5" s="1"/>
  <c r="AL35" i="5"/>
  <c r="AY35" i="5" s="1"/>
  <c r="AK35" i="5"/>
  <c r="AX35" i="5" s="1"/>
  <c r="AJ35" i="5"/>
  <c r="AW35" i="5" s="1"/>
  <c r="AI35" i="5"/>
  <c r="AV35" i="5" s="1"/>
  <c r="AH35" i="5"/>
  <c r="AU35" i="5" s="1"/>
  <c r="AG35" i="5"/>
  <c r="AT35" i="5" s="1"/>
  <c r="AF35" i="5"/>
  <c r="AS35" i="5" s="1"/>
  <c r="AE35" i="5"/>
  <c r="AR35" i="5" s="1"/>
  <c r="AP34" i="5"/>
  <c r="BC34" i="5" s="1"/>
  <c r="AO34" i="5"/>
  <c r="BB34" i="5" s="1"/>
  <c r="AN34" i="5"/>
  <c r="BA34" i="5" s="1"/>
  <c r="AM34" i="5"/>
  <c r="AZ34" i="5" s="1"/>
  <c r="AL34" i="5"/>
  <c r="AY34" i="5" s="1"/>
  <c r="AK34" i="5"/>
  <c r="AX34" i="5" s="1"/>
  <c r="AJ34" i="5"/>
  <c r="AW34" i="5" s="1"/>
  <c r="AI34" i="5"/>
  <c r="AV34" i="5" s="1"/>
  <c r="AH34" i="5"/>
  <c r="AU34" i="5" s="1"/>
  <c r="AG34" i="5"/>
  <c r="AT34" i="5" s="1"/>
  <c r="AF34" i="5"/>
  <c r="AS34" i="5" s="1"/>
  <c r="AE34" i="5"/>
  <c r="AR34" i="5" s="1"/>
  <c r="AP33" i="5"/>
  <c r="BC33" i="5" s="1"/>
  <c r="AO33" i="5"/>
  <c r="BB33" i="5" s="1"/>
  <c r="AN33" i="5"/>
  <c r="BA33" i="5" s="1"/>
  <c r="AM33" i="5"/>
  <c r="AZ33" i="5" s="1"/>
  <c r="AL33" i="5"/>
  <c r="AY33" i="5" s="1"/>
  <c r="AK33" i="5"/>
  <c r="AX33" i="5" s="1"/>
  <c r="AJ33" i="5"/>
  <c r="AW33" i="5" s="1"/>
  <c r="AI33" i="5"/>
  <c r="AV33" i="5" s="1"/>
  <c r="AH33" i="5"/>
  <c r="AU33" i="5" s="1"/>
  <c r="AG33" i="5"/>
  <c r="AT33" i="5" s="1"/>
  <c r="AF33" i="5"/>
  <c r="AS33" i="5" s="1"/>
  <c r="AE33" i="5"/>
  <c r="AR33" i="5" s="1"/>
  <c r="AP32" i="5"/>
  <c r="BC32" i="5" s="1"/>
  <c r="AO32" i="5"/>
  <c r="BB32" i="5" s="1"/>
  <c r="AN32" i="5"/>
  <c r="BA32" i="5" s="1"/>
  <c r="AM32" i="5"/>
  <c r="AZ32" i="5" s="1"/>
  <c r="AL32" i="5"/>
  <c r="AY32" i="5" s="1"/>
  <c r="AK32" i="5"/>
  <c r="AX32" i="5" s="1"/>
  <c r="AJ32" i="5"/>
  <c r="AW32" i="5" s="1"/>
  <c r="AI32" i="5"/>
  <c r="AV32" i="5" s="1"/>
  <c r="AH32" i="5"/>
  <c r="AU32" i="5" s="1"/>
  <c r="AG32" i="5"/>
  <c r="AT32" i="5" s="1"/>
  <c r="AF32" i="5"/>
  <c r="AS32" i="5" s="1"/>
  <c r="AE32" i="5"/>
  <c r="AR32" i="5" s="1"/>
  <c r="AP31" i="5"/>
  <c r="BC31" i="5" s="1"/>
  <c r="AO31" i="5"/>
  <c r="BB31" i="5" s="1"/>
  <c r="AN31" i="5"/>
  <c r="BA31" i="5" s="1"/>
  <c r="AM31" i="5"/>
  <c r="AZ31" i="5" s="1"/>
  <c r="AL31" i="5"/>
  <c r="AY31" i="5" s="1"/>
  <c r="AK31" i="5"/>
  <c r="AX31" i="5" s="1"/>
  <c r="AJ31" i="5"/>
  <c r="AW31" i="5" s="1"/>
  <c r="AI31" i="5"/>
  <c r="AV31" i="5" s="1"/>
  <c r="AH31" i="5"/>
  <c r="AU31" i="5" s="1"/>
  <c r="AG31" i="5"/>
  <c r="AT31" i="5" s="1"/>
  <c r="AF31" i="5"/>
  <c r="AS31" i="5" s="1"/>
  <c r="AE31" i="5"/>
  <c r="AR31" i="5" s="1"/>
  <c r="AP30" i="5"/>
  <c r="BC30" i="5" s="1"/>
  <c r="AO30" i="5"/>
  <c r="BB30" i="5" s="1"/>
  <c r="AN30" i="5"/>
  <c r="BA30" i="5" s="1"/>
  <c r="AM30" i="5"/>
  <c r="AZ30" i="5" s="1"/>
  <c r="AL30" i="5"/>
  <c r="AY30" i="5" s="1"/>
  <c r="AK30" i="5"/>
  <c r="AX30" i="5" s="1"/>
  <c r="AJ30" i="5"/>
  <c r="AW30" i="5" s="1"/>
  <c r="AI30" i="5"/>
  <c r="AV30" i="5" s="1"/>
  <c r="AH30" i="5"/>
  <c r="AU30" i="5" s="1"/>
  <c r="AG30" i="5"/>
  <c r="AT30" i="5" s="1"/>
  <c r="AF30" i="5"/>
  <c r="AS30" i="5" s="1"/>
  <c r="AE30" i="5"/>
  <c r="AR30" i="5" s="1"/>
  <c r="AP29" i="5"/>
  <c r="BC29" i="5" s="1"/>
  <c r="AO29" i="5"/>
  <c r="BB29" i="5" s="1"/>
  <c r="AN29" i="5"/>
  <c r="BA29" i="5" s="1"/>
  <c r="AM29" i="5"/>
  <c r="AZ29" i="5" s="1"/>
  <c r="AL29" i="5"/>
  <c r="AY29" i="5" s="1"/>
  <c r="AK29" i="5"/>
  <c r="AX29" i="5" s="1"/>
  <c r="AJ29" i="5"/>
  <c r="AW29" i="5" s="1"/>
  <c r="AI29" i="5"/>
  <c r="AV29" i="5" s="1"/>
  <c r="AH29" i="5"/>
  <c r="AU29" i="5" s="1"/>
  <c r="AG29" i="5"/>
  <c r="AT29" i="5" s="1"/>
  <c r="AF29" i="5"/>
  <c r="AS29" i="5" s="1"/>
  <c r="AE29" i="5"/>
  <c r="AR29" i="5" s="1"/>
  <c r="AP28" i="5"/>
  <c r="BC28" i="5" s="1"/>
  <c r="AO28" i="5"/>
  <c r="BB28" i="5" s="1"/>
  <c r="AN28" i="5"/>
  <c r="BA28" i="5" s="1"/>
  <c r="AM28" i="5"/>
  <c r="AZ28" i="5" s="1"/>
  <c r="AL28" i="5"/>
  <c r="AY28" i="5" s="1"/>
  <c r="AK28" i="5"/>
  <c r="AX28" i="5" s="1"/>
  <c r="AJ28" i="5"/>
  <c r="AW28" i="5" s="1"/>
  <c r="AI28" i="5"/>
  <c r="AV28" i="5" s="1"/>
  <c r="AH28" i="5"/>
  <c r="AU28" i="5" s="1"/>
  <c r="AG28" i="5"/>
  <c r="AT28" i="5" s="1"/>
  <c r="AF28" i="5"/>
  <c r="AS28" i="5" s="1"/>
  <c r="AE28" i="5"/>
  <c r="AR28" i="5" s="1"/>
  <c r="AP27" i="5"/>
  <c r="BC27" i="5" s="1"/>
  <c r="AO27" i="5"/>
  <c r="BB27" i="5" s="1"/>
  <c r="AN27" i="5"/>
  <c r="BA27" i="5" s="1"/>
  <c r="AM27" i="5"/>
  <c r="AZ27" i="5" s="1"/>
  <c r="AL27" i="5"/>
  <c r="AY27" i="5" s="1"/>
  <c r="AK27" i="5"/>
  <c r="AX27" i="5" s="1"/>
  <c r="AJ27" i="5"/>
  <c r="AW27" i="5" s="1"/>
  <c r="AI27" i="5"/>
  <c r="AV27" i="5" s="1"/>
  <c r="AH27" i="5"/>
  <c r="AU27" i="5" s="1"/>
  <c r="AG27" i="5"/>
  <c r="AT27" i="5" s="1"/>
  <c r="AF27" i="5"/>
  <c r="AS27" i="5" s="1"/>
  <c r="AE27" i="5"/>
  <c r="AR27" i="5" s="1"/>
  <c r="AP26" i="5"/>
  <c r="BC26" i="5" s="1"/>
  <c r="AO26" i="5"/>
  <c r="BB26" i="5" s="1"/>
  <c r="AN26" i="5"/>
  <c r="BA26" i="5" s="1"/>
  <c r="AM26" i="5"/>
  <c r="AZ26" i="5" s="1"/>
  <c r="AL26" i="5"/>
  <c r="AY26" i="5" s="1"/>
  <c r="AK26" i="5"/>
  <c r="AX26" i="5" s="1"/>
  <c r="AJ26" i="5"/>
  <c r="AW26" i="5" s="1"/>
  <c r="AI26" i="5"/>
  <c r="AV26" i="5" s="1"/>
  <c r="AH26" i="5"/>
  <c r="AU26" i="5" s="1"/>
  <c r="AG26" i="5"/>
  <c r="AT26" i="5" s="1"/>
  <c r="AF26" i="5"/>
  <c r="AS26" i="5" s="1"/>
  <c r="AE26" i="5"/>
  <c r="AR26" i="5" s="1"/>
  <c r="AP25" i="5"/>
  <c r="BC25" i="5" s="1"/>
  <c r="AO25" i="5"/>
  <c r="BB25" i="5" s="1"/>
  <c r="AN25" i="5"/>
  <c r="BA25" i="5" s="1"/>
  <c r="AM25" i="5"/>
  <c r="AZ25" i="5" s="1"/>
  <c r="AL25" i="5"/>
  <c r="AY25" i="5" s="1"/>
  <c r="AK25" i="5"/>
  <c r="AX25" i="5" s="1"/>
  <c r="AJ25" i="5"/>
  <c r="AW25" i="5" s="1"/>
  <c r="AI25" i="5"/>
  <c r="AV25" i="5" s="1"/>
  <c r="AH25" i="5"/>
  <c r="AU25" i="5" s="1"/>
  <c r="AG25" i="5"/>
  <c r="AT25" i="5" s="1"/>
  <c r="AF25" i="5"/>
  <c r="AS25" i="5" s="1"/>
  <c r="AE25" i="5"/>
  <c r="AR25" i="5" s="1"/>
  <c r="AP24" i="5"/>
  <c r="BC24" i="5" s="1"/>
  <c r="AO24" i="5"/>
  <c r="BB24" i="5" s="1"/>
  <c r="AN24" i="5"/>
  <c r="BA24" i="5" s="1"/>
  <c r="AM24" i="5"/>
  <c r="AZ24" i="5" s="1"/>
  <c r="AL24" i="5"/>
  <c r="AY24" i="5" s="1"/>
  <c r="AK24" i="5"/>
  <c r="AX24" i="5" s="1"/>
  <c r="AJ24" i="5"/>
  <c r="AW24" i="5" s="1"/>
  <c r="AI24" i="5"/>
  <c r="AV24" i="5" s="1"/>
  <c r="AH24" i="5"/>
  <c r="AU24" i="5" s="1"/>
  <c r="AG24" i="5"/>
  <c r="AT24" i="5" s="1"/>
  <c r="AF24" i="5"/>
  <c r="AS24" i="5" s="1"/>
  <c r="AE24" i="5"/>
  <c r="AR24" i="5" s="1"/>
  <c r="AP23" i="5"/>
  <c r="BC23" i="5" s="1"/>
  <c r="AO23" i="5"/>
  <c r="BB23" i="5" s="1"/>
  <c r="AN23" i="5"/>
  <c r="BA23" i="5" s="1"/>
  <c r="AM23" i="5"/>
  <c r="AZ23" i="5" s="1"/>
  <c r="AL23" i="5"/>
  <c r="AY23" i="5" s="1"/>
  <c r="AK23" i="5"/>
  <c r="AX23" i="5" s="1"/>
  <c r="AJ23" i="5"/>
  <c r="AW23" i="5" s="1"/>
  <c r="AI23" i="5"/>
  <c r="AV23" i="5" s="1"/>
  <c r="AH23" i="5"/>
  <c r="AU23" i="5" s="1"/>
  <c r="AG23" i="5"/>
  <c r="AT23" i="5" s="1"/>
  <c r="AF23" i="5"/>
  <c r="AS23" i="5" s="1"/>
  <c r="AE23" i="5"/>
  <c r="AR23" i="5" s="1"/>
  <c r="AP22" i="5"/>
  <c r="BC22" i="5" s="1"/>
  <c r="AO22" i="5"/>
  <c r="BB22" i="5" s="1"/>
  <c r="AN22" i="5"/>
  <c r="BA22" i="5" s="1"/>
  <c r="AM22" i="5"/>
  <c r="AZ22" i="5" s="1"/>
  <c r="AL22" i="5"/>
  <c r="AY22" i="5" s="1"/>
  <c r="AK22" i="5"/>
  <c r="AX22" i="5" s="1"/>
  <c r="AJ22" i="5"/>
  <c r="AW22" i="5" s="1"/>
  <c r="AI22" i="5"/>
  <c r="AV22" i="5" s="1"/>
  <c r="AH22" i="5"/>
  <c r="AU22" i="5" s="1"/>
  <c r="AG22" i="5"/>
  <c r="AT22" i="5" s="1"/>
  <c r="AF22" i="5"/>
  <c r="AS22" i="5" s="1"/>
  <c r="AE22" i="5"/>
  <c r="AR22" i="5" s="1"/>
  <c r="AP21" i="5"/>
  <c r="BC21" i="5" s="1"/>
  <c r="AO21" i="5"/>
  <c r="BB21" i="5" s="1"/>
  <c r="AN21" i="5"/>
  <c r="BA21" i="5" s="1"/>
  <c r="AM21" i="5"/>
  <c r="AZ21" i="5" s="1"/>
  <c r="AL21" i="5"/>
  <c r="AY21" i="5" s="1"/>
  <c r="AK21" i="5"/>
  <c r="AX21" i="5" s="1"/>
  <c r="AJ21" i="5"/>
  <c r="AW21" i="5" s="1"/>
  <c r="AI21" i="5"/>
  <c r="AV21" i="5" s="1"/>
  <c r="AH21" i="5"/>
  <c r="AU21" i="5" s="1"/>
  <c r="AG21" i="5"/>
  <c r="AT21" i="5" s="1"/>
  <c r="AF21" i="5"/>
  <c r="AS21" i="5" s="1"/>
  <c r="AE21" i="5"/>
  <c r="AR21" i="5" s="1"/>
  <c r="AP20" i="5"/>
  <c r="BC20" i="5" s="1"/>
  <c r="AO20" i="5"/>
  <c r="BB20" i="5" s="1"/>
  <c r="AN20" i="5"/>
  <c r="BA20" i="5" s="1"/>
  <c r="AM20" i="5"/>
  <c r="AZ20" i="5" s="1"/>
  <c r="AL20" i="5"/>
  <c r="AY20" i="5" s="1"/>
  <c r="AK20" i="5"/>
  <c r="AX20" i="5" s="1"/>
  <c r="AJ20" i="5"/>
  <c r="AW20" i="5" s="1"/>
  <c r="AI20" i="5"/>
  <c r="AV20" i="5" s="1"/>
  <c r="AH20" i="5"/>
  <c r="AU20" i="5" s="1"/>
  <c r="AG20" i="5"/>
  <c r="AT20" i="5" s="1"/>
  <c r="AF20" i="5"/>
  <c r="AS20" i="5" s="1"/>
  <c r="AE20" i="5"/>
  <c r="AR20" i="5" s="1"/>
  <c r="AP19" i="5"/>
  <c r="BC19" i="5" s="1"/>
  <c r="AO19" i="5"/>
  <c r="BB19" i="5" s="1"/>
  <c r="AN19" i="5"/>
  <c r="BA19" i="5" s="1"/>
  <c r="AM19" i="5"/>
  <c r="AZ19" i="5" s="1"/>
  <c r="AL19" i="5"/>
  <c r="AY19" i="5" s="1"/>
  <c r="AK19" i="5"/>
  <c r="AX19" i="5" s="1"/>
  <c r="AJ19" i="5"/>
  <c r="AW19" i="5" s="1"/>
  <c r="AI19" i="5"/>
  <c r="AV19" i="5" s="1"/>
  <c r="AH19" i="5"/>
  <c r="AU19" i="5" s="1"/>
  <c r="AG19" i="5"/>
  <c r="AT19" i="5" s="1"/>
  <c r="AF19" i="5"/>
  <c r="AS19" i="5" s="1"/>
  <c r="AE19" i="5"/>
  <c r="AR19" i="5" s="1"/>
  <c r="AP18" i="5"/>
  <c r="BC18" i="5" s="1"/>
  <c r="AO18" i="5"/>
  <c r="BB18" i="5" s="1"/>
  <c r="AN18" i="5"/>
  <c r="BA18" i="5" s="1"/>
  <c r="AM18" i="5"/>
  <c r="AZ18" i="5" s="1"/>
  <c r="AL18" i="5"/>
  <c r="AY18" i="5" s="1"/>
  <c r="AK18" i="5"/>
  <c r="AX18" i="5" s="1"/>
  <c r="AJ18" i="5"/>
  <c r="AW18" i="5" s="1"/>
  <c r="AI18" i="5"/>
  <c r="AV18" i="5" s="1"/>
  <c r="AH18" i="5"/>
  <c r="AU18" i="5" s="1"/>
  <c r="AG18" i="5"/>
  <c r="AT18" i="5" s="1"/>
  <c r="AF18" i="5"/>
  <c r="AS18" i="5" s="1"/>
  <c r="AE18" i="5"/>
  <c r="AR18" i="5" s="1"/>
  <c r="AP17" i="5"/>
  <c r="BC17" i="5" s="1"/>
  <c r="AO17" i="5"/>
  <c r="BB17" i="5" s="1"/>
  <c r="AN17" i="5"/>
  <c r="BA17" i="5" s="1"/>
  <c r="AM17" i="5"/>
  <c r="AZ17" i="5" s="1"/>
  <c r="AL17" i="5"/>
  <c r="AY17" i="5" s="1"/>
  <c r="AK17" i="5"/>
  <c r="AX17" i="5" s="1"/>
  <c r="AJ17" i="5"/>
  <c r="AW17" i="5" s="1"/>
  <c r="AI17" i="5"/>
  <c r="AV17" i="5" s="1"/>
  <c r="AH17" i="5"/>
  <c r="AU17" i="5" s="1"/>
  <c r="AG17" i="5"/>
  <c r="AT17" i="5" s="1"/>
  <c r="AF17" i="5"/>
  <c r="AS17" i="5" s="1"/>
  <c r="AE17" i="5"/>
  <c r="AR17" i="5" s="1"/>
  <c r="AP16" i="5"/>
  <c r="BC16" i="5" s="1"/>
  <c r="AO16" i="5"/>
  <c r="BB16" i="5" s="1"/>
  <c r="AN16" i="5"/>
  <c r="BA16" i="5" s="1"/>
  <c r="AM16" i="5"/>
  <c r="AZ16" i="5" s="1"/>
  <c r="AL16" i="5"/>
  <c r="AY16" i="5" s="1"/>
  <c r="AK16" i="5"/>
  <c r="AX16" i="5" s="1"/>
  <c r="AJ16" i="5"/>
  <c r="AW16" i="5" s="1"/>
  <c r="AI16" i="5"/>
  <c r="AV16" i="5" s="1"/>
  <c r="AH16" i="5"/>
  <c r="AU16" i="5" s="1"/>
  <c r="AG16" i="5"/>
  <c r="AT16" i="5" s="1"/>
  <c r="AF16" i="5"/>
  <c r="AS16" i="5" s="1"/>
  <c r="AE16" i="5"/>
  <c r="AR16" i="5" s="1"/>
  <c r="AP15" i="5"/>
  <c r="BC15" i="5" s="1"/>
  <c r="AO15" i="5"/>
  <c r="BB15" i="5" s="1"/>
  <c r="AN15" i="5"/>
  <c r="BA15" i="5" s="1"/>
  <c r="AM15" i="5"/>
  <c r="AZ15" i="5" s="1"/>
  <c r="AL15" i="5"/>
  <c r="AY15" i="5" s="1"/>
  <c r="AK15" i="5"/>
  <c r="AX15" i="5" s="1"/>
  <c r="AJ15" i="5"/>
  <c r="AW15" i="5" s="1"/>
  <c r="AI15" i="5"/>
  <c r="AV15" i="5" s="1"/>
  <c r="AH15" i="5"/>
  <c r="AU15" i="5" s="1"/>
  <c r="AG15" i="5"/>
  <c r="AT15" i="5" s="1"/>
  <c r="AF15" i="5"/>
  <c r="AS15" i="5" s="1"/>
  <c r="AE15" i="5"/>
  <c r="AR15" i="5" s="1"/>
  <c r="AU14" i="5"/>
  <c r="AP14" i="5"/>
  <c r="BC14" i="5" s="1"/>
  <c r="AO14" i="5"/>
  <c r="BB14" i="5" s="1"/>
  <c r="AN14" i="5"/>
  <c r="BA14" i="5" s="1"/>
  <c r="AM14" i="5"/>
  <c r="AZ14" i="5" s="1"/>
  <c r="AL14" i="5"/>
  <c r="AY14" i="5" s="1"/>
  <c r="AK14" i="5"/>
  <c r="AX14" i="5" s="1"/>
  <c r="AJ14" i="5"/>
  <c r="AW14" i="5" s="1"/>
  <c r="AI14" i="5"/>
  <c r="AV14" i="5" s="1"/>
  <c r="AH14" i="5"/>
  <c r="AG14" i="5"/>
  <c r="AT14" i="5" s="1"/>
  <c r="AF14" i="5"/>
  <c r="AS14" i="5" s="1"/>
  <c r="AE14" i="5"/>
  <c r="AR14" i="5" s="1"/>
  <c r="AP13" i="5"/>
  <c r="BC13" i="5" s="1"/>
  <c r="AO13" i="5"/>
  <c r="BB13" i="5" s="1"/>
  <c r="AN13" i="5"/>
  <c r="BA13" i="5" s="1"/>
  <c r="AM13" i="5"/>
  <c r="AZ13" i="5" s="1"/>
  <c r="AL13" i="5"/>
  <c r="AY13" i="5" s="1"/>
  <c r="AK13" i="5"/>
  <c r="AX13" i="5" s="1"/>
  <c r="AJ13" i="5"/>
  <c r="AW13" i="5" s="1"/>
  <c r="AI13" i="5"/>
  <c r="AV13" i="5" s="1"/>
  <c r="AH13" i="5"/>
  <c r="AU13" i="5" s="1"/>
  <c r="AG13" i="5"/>
  <c r="AT13" i="5" s="1"/>
  <c r="AF13" i="5"/>
  <c r="AS13" i="5" s="1"/>
  <c r="AE13" i="5"/>
  <c r="AR13" i="5" s="1"/>
  <c r="AP12" i="5"/>
  <c r="BC12" i="5" s="1"/>
  <c r="AO12" i="5"/>
  <c r="BB12" i="5" s="1"/>
  <c r="AN12" i="5"/>
  <c r="BA12" i="5" s="1"/>
  <c r="AM12" i="5"/>
  <c r="AZ12" i="5" s="1"/>
  <c r="AL12" i="5"/>
  <c r="AY12" i="5" s="1"/>
  <c r="AK12" i="5"/>
  <c r="AX12" i="5" s="1"/>
  <c r="AJ12" i="5"/>
  <c r="AW12" i="5" s="1"/>
  <c r="AI12" i="5"/>
  <c r="AV12" i="5" s="1"/>
  <c r="AH12" i="5"/>
  <c r="AU12" i="5" s="1"/>
  <c r="AG12" i="5"/>
  <c r="AT12" i="5" s="1"/>
  <c r="AF12" i="5"/>
  <c r="AS12" i="5" s="1"/>
  <c r="AE12" i="5"/>
  <c r="AR12" i="5" s="1"/>
  <c r="AP11" i="5"/>
  <c r="BC11" i="5" s="1"/>
  <c r="AO11" i="5"/>
  <c r="BB11" i="5" s="1"/>
  <c r="AN11" i="5"/>
  <c r="BA11" i="5" s="1"/>
  <c r="AM11" i="5"/>
  <c r="AZ11" i="5" s="1"/>
  <c r="AL11" i="5"/>
  <c r="AY11" i="5" s="1"/>
  <c r="AK11" i="5"/>
  <c r="AX11" i="5" s="1"/>
  <c r="AJ11" i="5"/>
  <c r="AW11" i="5" s="1"/>
  <c r="AI11" i="5"/>
  <c r="AV11" i="5" s="1"/>
  <c r="AH11" i="5"/>
  <c r="AU11" i="5" s="1"/>
  <c r="AG11" i="5"/>
  <c r="AT11" i="5" s="1"/>
  <c r="AF11" i="5"/>
  <c r="AS11" i="5" s="1"/>
  <c r="AE11" i="5"/>
  <c r="AR11" i="5" s="1"/>
  <c r="AP10" i="5"/>
  <c r="BC10" i="5" s="1"/>
  <c r="AO10" i="5"/>
  <c r="BB10" i="5" s="1"/>
  <c r="AN10" i="5"/>
  <c r="BA10" i="5" s="1"/>
  <c r="AM10" i="5"/>
  <c r="AZ10" i="5" s="1"/>
  <c r="AL10" i="5"/>
  <c r="AY10" i="5" s="1"/>
  <c r="AK10" i="5"/>
  <c r="AX10" i="5" s="1"/>
  <c r="AJ10" i="5"/>
  <c r="AW10" i="5" s="1"/>
  <c r="AI10" i="5"/>
  <c r="AV10" i="5" s="1"/>
  <c r="AH10" i="5"/>
  <c r="AU10" i="5" s="1"/>
  <c r="AG10" i="5"/>
  <c r="AT10" i="5" s="1"/>
  <c r="AF10" i="5"/>
  <c r="AS10" i="5" s="1"/>
  <c r="AE10" i="5"/>
  <c r="AR10" i="5" s="1"/>
  <c r="AP9" i="5"/>
  <c r="BC9" i="5" s="1"/>
  <c r="AO9" i="5"/>
  <c r="BB9" i="5" s="1"/>
  <c r="AN9" i="5"/>
  <c r="BA9" i="5" s="1"/>
  <c r="AM9" i="5"/>
  <c r="AZ9" i="5" s="1"/>
  <c r="AL9" i="5"/>
  <c r="AY9" i="5" s="1"/>
  <c r="AK9" i="5"/>
  <c r="AX9" i="5" s="1"/>
  <c r="AJ9" i="5"/>
  <c r="AW9" i="5" s="1"/>
  <c r="AI9" i="5"/>
  <c r="AV9" i="5" s="1"/>
  <c r="AH9" i="5"/>
  <c r="AU9" i="5" s="1"/>
  <c r="AG9" i="5"/>
  <c r="AT9" i="5" s="1"/>
  <c r="AF9" i="5"/>
  <c r="AS9" i="5" s="1"/>
  <c r="AE9" i="5"/>
  <c r="AR9" i="5" s="1"/>
  <c r="AP8" i="5"/>
  <c r="BC8" i="5" s="1"/>
  <c r="AO8" i="5"/>
  <c r="BB8" i="5" s="1"/>
  <c r="AN8" i="5"/>
  <c r="BA8" i="5" s="1"/>
  <c r="AM8" i="5"/>
  <c r="AZ8" i="5" s="1"/>
  <c r="AL8" i="5"/>
  <c r="AY8" i="5" s="1"/>
  <c r="AK8" i="5"/>
  <c r="AX8" i="5" s="1"/>
  <c r="AJ8" i="5"/>
  <c r="AW8" i="5" s="1"/>
  <c r="AV8" i="5"/>
  <c r="AH8" i="5"/>
  <c r="AU8" i="5" s="1"/>
  <c r="AG8" i="5"/>
  <c r="AT8" i="5" s="1"/>
  <c r="AF8" i="5"/>
  <c r="AS8" i="5" s="1"/>
  <c r="AE8" i="5"/>
  <c r="AR8" i="5" s="1"/>
  <c r="AP7" i="5"/>
  <c r="BC7" i="5" s="1"/>
  <c r="AO7" i="5"/>
  <c r="BB7" i="5" s="1"/>
  <c r="AN7" i="5"/>
  <c r="BA7" i="5" s="1"/>
  <c r="AM7" i="5"/>
  <c r="AZ7" i="5" s="1"/>
  <c r="AL7" i="5"/>
  <c r="AY7" i="5" s="1"/>
  <c r="AK7" i="5"/>
  <c r="AX7" i="5" s="1"/>
  <c r="AJ7" i="5"/>
  <c r="AW7" i="5" s="1"/>
  <c r="AI7" i="5"/>
  <c r="AV7" i="5" s="1"/>
  <c r="AH7" i="5"/>
  <c r="AU7" i="5" s="1"/>
  <c r="AG7" i="5"/>
  <c r="AT7" i="5" s="1"/>
  <c r="AF7" i="5"/>
  <c r="AS7" i="5" s="1"/>
  <c r="AE7" i="5"/>
  <c r="AR7" i="5" s="1"/>
  <c r="AP6" i="5"/>
  <c r="BC6" i="5" s="1"/>
  <c r="AO6" i="5"/>
  <c r="BB6" i="5" s="1"/>
  <c r="AN6" i="5"/>
  <c r="BA6" i="5" s="1"/>
  <c r="AM6" i="5"/>
  <c r="AZ6" i="5" s="1"/>
  <c r="AL6" i="5"/>
  <c r="AY6" i="5" s="1"/>
  <c r="AK6" i="5"/>
  <c r="AX6" i="5" s="1"/>
  <c r="AJ6" i="5"/>
  <c r="AW6" i="5" s="1"/>
  <c r="AI6" i="5"/>
  <c r="AV6" i="5" s="1"/>
  <c r="AH6" i="5"/>
  <c r="AU6" i="5" s="1"/>
  <c r="AG6" i="5"/>
  <c r="AT6" i="5" s="1"/>
  <c r="AF6" i="5"/>
  <c r="AS6" i="5" s="1"/>
  <c r="AE6" i="5"/>
  <c r="AR6" i="5" s="1"/>
  <c r="AP5" i="5"/>
  <c r="BC5" i="5" s="1"/>
  <c r="AO5" i="5"/>
  <c r="BB5" i="5" s="1"/>
  <c r="AN5" i="5"/>
  <c r="BA5" i="5" s="1"/>
  <c r="AM5" i="5"/>
  <c r="AZ5" i="5" s="1"/>
  <c r="AL5" i="5"/>
  <c r="AY5" i="5" s="1"/>
  <c r="AK5" i="5"/>
  <c r="AX5" i="5" s="1"/>
  <c r="AJ5" i="5"/>
  <c r="AW5" i="5" s="1"/>
  <c r="AI5" i="5"/>
  <c r="AV5" i="5" s="1"/>
  <c r="AH5" i="5"/>
  <c r="AU5" i="5" s="1"/>
  <c r="AG5" i="5"/>
  <c r="AT5" i="5" s="1"/>
  <c r="AF5" i="5"/>
  <c r="AS5" i="5" s="1"/>
  <c r="AE5" i="5"/>
  <c r="AR5" i="5" s="1"/>
  <c r="AP4" i="5"/>
  <c r="BC4" i="5" s="1"/>
  <c r="AO4" i="5"/>
  <c r="BB4" i="5" s="1"/>
  <c r="AN4" i="5"/>
  <c r="BA4" i="5" s="1"/>
  <c r="AM4" i="5"/>
  <c r="AZ4" i="5" s="1"/>
  <c r="AL4" i="5"/>
  <c r="AY4" i="5" s="1"/>
  <c r="AK4" i="5"/>
  <c r="AX4" i="5" s="1"/>
  <c r="AJ4" i="5"/>
  <c r="AW4" i="5" s="1"/>
  <c r="AI4" i="5"/>
  <c r="AV4" i="5" s="1"/>
  <c r="AH4" i="5"/>
  <c r="AU4" i="5" s="1"/>
  <c r="AG4" i="5"/>
  <c r="AT4" i="5" s="1"/>
  <c r="AF4" i="5"/>
  <c r="AS4" i="5" s="1"/>
  <c r="AE4" i="5"/>
  <c r="AR4" i="5" s="1"/>
  <c r="AP3" i="5"/>
  <c r="BC3" i="5" s="1"/>
  <c r="AO3" i="5"/>
  <c r="BB3" i="5" s="1"/>
  <c r="AN3" i="5"/>
  <c r="BA3" i="5" s="1"/>
  <c r="AM3" i="5"/>
  <c r="AZ3" i="5" s="1"/>
  <c r="AL3" i="5"/>
  <c r="AY3" i="5" s="1"/>
  <c r="AK3" i="5"/>
  <c r="AX3" i="5" s="1"/>
  <c r="AJ3" i="5"/>
  <c r="AW3" i="5" s="1"/>
  <c r="AI3" i="5"/>
  <c r="AV3" i="5" s="1"/>
  <c r="AH3" i="5"/>
  <c r="AU3" i="5" s="1"/>
  <c r="AG3" i="5"/>
  <c r="AT3" i="5" s="1"/>
  <c r="AF3" i="5"/>
  <c r="AS3" i="5" s="1"/>
  <c r="AE3" i="5"/>
  <c r="AR3" i="5" s="1"/>
  <c r="AP2" i="5"/>
  <c r="BC2" i="5" s="1"/>
  <c r="AO2" i="5"/>
  <c r="BB2" i="5" s="1"/>
  <c r="AN2" i="5"/>
  <c r="BA2" i="5" s="1"/>
  <c r="AM2" i="5"/>
  <c r="AZ2" i="5" s="1"/>
  <c r="AL2" i="5"/>
  <c r="AY2" i="5" s="1"/>
  <c r="AK2" i="5"/>
  <c r="AX2" i="5" s="1"/>
  <c r="AJ2" i="5"/>
  <c r="AW2" i="5" s="1"/>
  <c r="AI2" i="5"/>
  <c r="AV2" i="5" s="1"/>
  <c r="AH2" i="5"/>
  <c r="AU2" i="5" s="1"/>
  <c r="AG2" i="5"/>
  <c r="AT2" i="5" s="1"/>
  <c r="AF2" i="5"/>
  <c r="AS2" i="5" s="1"/>
  <c r="AE2" i="5"/>
  <c r="AR2" i="5" s="1"/>
  <c r="AB32" i="33" l="1"/>
  <c r="AN32" i="33" s="1"/>
  <c r="AZ32" i="33" s="1" a="1"/>
  <c r="AB33" i="34"/>
  <c r="AN33" i="34" s="1"/>
  <c r="AZ33" i="34" s="1" a="1"/>
  <c r="AI9" i="33"/>
  <c r="AU9" i="33" s="1"/>
  <c r="BG9" i="33" s="1" a="1"/>
  <c r="J6" i="34"/>
  <c r="AC9" i="33"/>
  <c r="AO9" i="33" s="1"/>
  <c r="BA9" i="33" s="1" a="1"/>
  <c r="AL9" i="33"/>
  <c r="AX9" i="33" s="1"/>
  <c r="BJ9" i="33" s="1" a="1"/>
  <c r="AD9" i="33"/>
  <c r="AP9" i="33" s="1"/>
  <c r="BB9" i="33" s="1" a="1"/>
  <c r="AM9" i="33"/>
  <c r="AY9" i="33" s="1"/>
  <c r="BK9" i="33" s="1" a="1"/>
  <c r="AK9" i="33"/>
  <c r="AW9" i="33" s="1"/>
  <c r="BI9" i="33" s="1" a="1"/>
  <c r="AE9" i="33"/>
  <c r="AQ9" i="33" s="1"/>
  <c r="BC9" i="33" s="1" a="1"/>
  <c r="AJ9" i="33"/>
  <c r="AV9" i="33" s="1"/>
  <c r="BH9" i="33" s="1" a="1"/>
  <c r="AF9" i="33"/>
  <c r="AR9" i="33" s="1"/>
  <c r="BD9" i="33" s="1" a="1"/>
  <c r="AG9" i="33"/>
  <c r="AS9" i="33" s="1"/>
  <c r="BE9" i="33" s="1" a="1"/>
  <c r="AH9" i="33"/>
  <c r="AT9" i="33" s="1"/>
  <c r="BF9" i="33" s="1" a="1"/>
  <c r="AB9" i="33"/>
  <c r="AN9" i="33" s="1"/>
  <c r="AZ9" i="33" s="1" a="1"/>
  <c r="AB61" i="33"/>
  <c r="AN61" i="33" s="1"/>
  <c r="AZ61" i="33" s="1" a="1"/>
  <c r="M6" i="34"/>
  <c r="I6" i="34"/>
  <c r="U6" i="34"/>
  <c r="V6" i="34"/>
  <c r="T6" i="34"/>
  <c r="S6" i="34"/>
  <c r="K6" i="34"/>
  <c r="AA6" i="34"/>
  <c r="P6" i="34"/>
  <c r="O6" i="34"/>
  <c r="H6" i="34"/>
  <c r="D6" i="34"/>
  <c r="G6" i="34"/>
  <c r="Z6" i="34"/>
  <c r="Q6" i="34"/>
  <c r="Y6" i="34"/>
  <c r="R6" i="34"/>
  <c r="F6" i="34"/>
  <c r="N6" i="34"/>
  <c r="AF61" i="33"/>
  <c r="AR61" i="33" s="1"/>
  <c r="BD61" i="33" s="1" a="1"/>
  <c r="W6" i="34"/>
  <c r="L6" i="34"/>
  <c r="E6" i="34"/>
  <c r="X6" i="34"/>
  <c r="AM61" i="33"/>
  <c r="AY61" i="33" s="1"/>
  <c r="BK61" i="33" s="1" a="1"/>
  <c r="AM46" i="33"/>
  <c r="AY46" i="33" s="1"/>
  <c r="BK46" i="33" s="1" a="1"/>
  <c r="AE61" i="33"/>
  <c r="AQ61" i="33" s="1"/>
  <c r="BC61" i="33" s="1" a="1"/>
  <c r="AD61" i="33"/>
  <c r="AP61" i="33" s="1"/>
  <c r="BB61" i="33" s="1" a="1"/>
  <c r="AL61" i="33"/>
  <c r="AX61" i="33" s="1"/>
  <c r="BJ61" i="33" s="1" a="1"/>
  <c r="AI61" i="33"/>
  <c r="AU61" i="33" s="1"/>
  <c r="BG61" i="33" s="1" a="1"/>
  <c r="AI33" i="34"/>
  <c r="AU33" i="34" s="1"/>
  <c r="BG33" i="34" s="1" a="1"/>
  <c r="AC61" i="33"/>
  <c r="AO61" i="33" s="1"/>
  <c r="BA61" i="33" s="1" a="1"/>
  <c r="AH61" i="33"/>
  <c r="AT61" i="33" s="1"/>
  <c r="BF61" i="33" s="1" a="1"/>
  <c r="AG61" i="33"/>
  <c r="AS61" i="33" s="1"/>
  <c r="BE61" i="33" s="1" a="1"/>
  <c r="AJ61" i="33"/>
  <c r="AV61" i="33" s="1"/>
  <c r="BH61" i="33" s="1" a="1"/>
  <c r="AK61" i="33"/>
  <c r="AW61" i="33" s="1"/>
  <c r="BI61" i="33" s="1" a="1"/>
  <c r="AG33" i="34"/>
  <c r="AS33" i="34" s="1"/>
  <c r="BE33" i="34" s="1" a="1"/>
  <c r="AE46" i="33"/>
  <c r="AQ46" i="33" s="1"/>
  <c r="BC46" i="33" s="1" a="1"/>
  <c r="AF33" i="34"/>
  <c r="AR33" i="34" s="1"/>
  <c r="BD33" i="34" s="1" a="1"/>
  <c r="AE33" i="34"/>
  <c r="AQ33" i="34" s="1"/>
  <c r="BC33" i="34" s="1" a="1"/>
  <c r="J32" i="34"/>
  <c r="J33" i="34"/>
  <c r="AH33" i="34" s="1"/>
  <c r="AT33" i="34" s="1"/>
  <c r="BF33" i="34" s="1" a="1"/>
  <c r="Y30" i="34"/>
  <c r="AK30" i="34" s="1"/>
  <c r="AW30" i="34" s="1"/>
  <c r="BI30" i="34" s="1" a="1"/>
  <c r="AD33" i="34"/>
  <c r="AP33" i="34" s="1"/>
  <c r="BB33" i="34" s="1" a="1"/>
  <c r="AC33" i="34"/>
  <c r="AO33" i="34" s="1"/>
  <c r="BA33" i="34" s="1" a="1"/>
  <c r="AF46" i="33"/>
  <c r="AR46" i="33" s="1"/>
  <c r="BD46" i="33" s="1" a="1"/>
  <c r="Y31" i="34"/>
  <c r="AK31" i="34" s="1"/>
  <c r="AW31" i="34" s="1"/>
  <c r="BI31" i="34" s="1" a="1"/>
  <c r="AH46" i="33"/>
  <c r="AT46" i="33" s="1"/>
  <c r="BF46" i="33" s="1" a="1"/>
  <c r="E30" i="34"/>
  <c r="AD46" i="33"/>
  <c r="AP46" i="33" s="1"/>
  <c r="BB46" i="33" s="1" a="1"/>
  <c r="AL46" i="33"/>
  <c r="AX46" i="33" s="1"/>
  <c r="BJ46" i="33" s="1" a="1"/>
  <c r="H32" i="34"/>
  <c r="AG46" i="33"/>
  <c r="AS46" i="33" s="1"/>
  <c r="BE46" i="33" s="1" a="1"/>
  <c r="AB46" i="33"/>
  <c r="AN46" i="33" s="1"/>
  <c r="AZ46" i="33" s="1" a="1"/>
  <c r="AJ46" i="33"/>
  <c r="AV46" i="33" s="1"/>
  <c r="BH46" i="33" s="1" a="1"/>
  <c r="AK46" i="33"/>
  <c r="AW46" i="33" s="1"/>
  <c r="BI46" i="33" s="1" a="1"/>
  <c r="AC46" i="33"/>
  <c r="AO46" i="33" s="1"/>
  <c r="BA46" i="33" s="1" a="1"/>
  <c r="AI46" i="33"/>
  <c r="AU46" i="33" s="1"/>
  <c r="BG46" i="33" s="1" a="1"/>
  <c r="I30" i="34"/>
  <c r="AI4" i="33"/>
  <c r="AU4" i="33" s="1"/>
  <c r="BG4" i="33" s="1" a="1"/>
  <c r="H30" i="34"/>
  <c r="D30" i="34"/>
  <c r="K32" i="34"/>
  <c r="Z32" i="34"/>
  <c r="AL32" i="34" s="1"/>
  <c r="AX32" i="34" s="1"/>
  <c r="BJ32" i="34" s="1" a="1"/>
  <c r="E32" i="34"/>
  <c r="G32" i="34"/>
  <c r="F32" i="34"/>
  <c r="V32" i="34"/>
  <c r="D32" i="34"/>
  <c r="S32" i="34"/>
  <c r="Y32" i="34"/>
  <c r="AK32" i="34" s="1"/>
  <c r="AW32" i="34" s="1"/>
  <c r="BI32" i="34" s="1" a="1"/>
  <c r="I32" i="34"/>
  <c r="K30" i="34"/>
  <c r="G30" i="34"/>
  <c r="AA30" i="34"/>
  <c r="AM30" i="34" s="1"/>
  <c r="AY30" i="34" s="1"/>
  <c r="BK30" i="34" s="1" a="1"/>
  <c r="J30" i="34"/>
  <c r="Z30" i="34"/>
  <c r="AL30" i="34" s="1"/>
  <c r="AX30" i="34" s="1"/>
  <c r="BJ30" i="34" s="1" a="1"/>
  <c r="F30" i="34"/>
  <c r="G31" i="34"/>
  <c r="G18" i="34"/>
  <c r="G18" i="35" s="1"/>
  <c r="J31" i="34"/>
  <c r="F18" i="34"/>
  <c r="F18" i="35" s="1"/>
  <c r="AB31" i="33"/>
  <c r="AN31" i="33" s="1"/>
  <c r="AZ31" i="33" s="1" a="1"/>
  <c r="J18" i="34"/>
  <c r="J18" i="35" s="1"/>
  <c r="D4" i="34"/>
  <c r="D31" i="34"/>
  <c r="I31" i="34"/>
  <c r="H18" i="34"/>
  <c r="H18" i="35" s="1"/>
  <c r="E18" i="34"/>
  <c r="E18" i="35" s="1"/>
  <c r="F31" i="34"/>
  <c r="K18" i="34"/>
  <c r="K18" i="35" s="1"/>
  <c r="M7" i="34"/>
  <c r="E25" i="34"/>
  <c r="H31" i="34"/>
  <c r="E31" i="34"/>
  <c r="I18" i="34"/>
  <c r="I18" i="35" s="1"/>
  <c r="D18" i="34"/>
  <c r="D18" i="35" s="1"/>
  <c r="K31" i="34"/>
  <c r="Z31" i="34"/>
  <c r="AL31" i="34" s="1"/>
  <c r="AX31" i="34" s="1"/>
  <c r="BJ31" i="34" s="1" a="1"/>
  <c r="AF52" i="33"/>
  <c r="AR52" i="33" s="1"/>
  <c r="BD52" i="33" s="1" a="1"/>
  <c r="AG47" i="33"/>
  <c r="AS47" i="33" s="1"/>
  <c r="BE47" i="33" s="1" a="1"/>
  <c r="Y7" i="34"/>
  <c r="AJ47" i="33"/>
  <c r="AV47" i="33" s="1"/>
  <c r="BH47" i="33" s="1" a="1"/>
  <c r="AC47" i="33"/>
  <c r="AO47" i="33" s="1"/>
  <c r="BA47" i="33" s="1" a="1"/>
  <c r="AF47" i="33"/>
  <c r="AR47" i="33" s="1"/>
  <c r="BD47" i="33" s="1" a="1"/>
  <c r="AI47" i="33"/>
  <c r="AU47" i="33" s="1"/>
  <c r="BG47" i="33" s="1" a="1"/>
  <c r="AD47" i="33"/>
  <c r="AP47" i="33" s="1"/>
  <c r="BB47" i="33" s="1" a="1"/>
  <c r="AG50" i="33"/>
  <c r="AS50" i="33" s="1"/>
  <c r="BE50" i="33" s="1" a="1"/>
  <c r="AB47" i="33"/>
  <c r="AN47" i="33" s="1"/>
  <c r="AZ47" i="33" s="1" a="1"/>
  <c r="AM47" i="33"/>
  <c r="AY47" i="33" s="1"/>
  <c r="BK47" i="33" s="1" a="1"/>
  <c r="AH47" i="33"/>
  <c r="AT47" i="33" s="1"/>
  <c r="BF47" i="33" s="1" a="1"/>
  <c r="U32" i="34"/>
  <c r="W32" i="34"/>
  <c r="AC6" i="33"/>
  <c r="AO6" i="33" s="1"/>
  <c r="BA6" i="33" s="1" a="1"/>
  <c r="X32" i="34"/>
  <c r="AJ32" i="34" s="1"/>
  <c r="AV32" i="34" s="1"/>
  <c r="BH32" i="34" s="1" a="1"/>
  <c r="AA32" i="34"/>
  <c r="AM32" i="34" s="1"/>
  <c r="AY32" i="34" s="1"/>
  <c r="BK32" i="34" s="1" a="1"/>
  <c r="AL47" i="33"/>
  <c r="AX47" i="33" s="1"/>
  <c r="BJ47" i="33" s="1" a="1"/>
  <c r="R32" i="34"/>
  <c r="Q32" i="34"/>
  <c r="P32" i="34"/>
  <c r="AE47" i="33"/>
  <c r="AQ47" i="33" s="1"/>
  <c r="BC47" i="33" s="1" a="1"/>
  <c r="T32" i="34"/>
  <c r="AK47" i="33"/>
  <c r="AW47" i="33" s="1"/>
  <c r="BI47" i="33" s="1" a="1"/>
  <c r="AJ34" i="33"/>
  <c r="AV34" i="33" s="1"/>
  <c r="BH34" i="33" s="1" a="1"/>
  <c r="D25" i="34"/>
  <c r="AD48" i="33"/>
  <c r="AP48" i="33" s="1"/>
  <c r="BB48" i="33" s="1" a="1"/>
  <c r="AE19" i="33"/>
  <c r="AQ19" i="33" s="1"/>
  <c r="BC19" i="33" s="1" a="1"/>
  <c r="AJ13" i="33"/>
  <c r="AV13" i="33" s="1"/>
  <c r="BH13" i="33" s="1" a="1"/>
  <c r="AC48" i="33"/>
  <c r="AO48" i="33" s="1"/>
  <c r="BA48" i="33" s="1" a="1"/>
  <c r="AF11" i="33"/>
  <c r="AR11" i="33" s="1"/>
  <c r="BD11" i="33" s="1" a="1"/>
  <c r="AJ5" i="33"/>
  <c r="AV5" i="33" s="1"/>
  <c r="BH5" i="33" s="1" a="1"/>
  <c r="AE4" i="33"/>
  <c r="AQ4" i="33" s="1"/>
  <c r="BC4" i="33" s="1" a="1"/>
  <c r="I22" i="34"/>
  <c r="AC49" i="33"/>
  <c r="AO49" i="33" s="1"/>
  <c r="BA49" i="33" s="1" a="1"/>
  <c r="AC27" i="33"/>
  <c r="AO27" i="33" s="1"/>
  <c r="BA27" i="33" s="1" a="1"/>
  <c r="AB33" i="33"/>
  <c r="AN33" i="33" s="1"/>
  <c r="AZ33" i="33" s="1" a="1"/>
  <c r="AF53" i="33"/>
  <c r="AR53" i="33" s="1"/>
  <c r="BD53" i="33" s="1" a="1"/>
  <c r="AH4" i="33"/>
  <c r="AT4" i="33" s="1"/>
  <c r="BF4" i="33" s="1" a="1"/>
  <c r="AG54" i="33"/>
  <c r="AS54" i="33" s="1"/>
  <c r="BE54" i="33" s="1" a="1"/>
  <c r="AC22" i="33"/>
  <c r="AO22" i="33" s="1"/>
  <c r="BA22" i="33" s="1" a="1"/>
  <c r="AG56" i="33"/>
  <c r="AS56" i="33" s="1"/>
  <c r="BE56" i="33" s="1" a="1"/>
  <c r="AH50" i="33"/>
  <c r="AT50" i="33" s="1"/>
  <c r="BF50" i="33" s="1" a="1"/>
  <c r="AB10" i="33"/>
  <c r="AN10" i="33" s="1"/>
  <c r="AZ10" i="33" s="1" a="1"/>
  <c r="AI19" i="33"/>
  <c r="AU19" i="33" s="1"/>
  <c r="BG19" i="33" s="1" a="1"/>
  <c r="AG58" i="33"/>
  <c r="AS58" i="33" s="1"/>
  <c r="BE58" i="33" s="1" a="1"/>
  <c r="AH25" i="33"/>
  <c r="AT25" i="33" s="1"/>
  <c r="BF25" i="33" s="1" a="1"/>
  <c r="H7" i="34"/>
  <c r="AH16" i="33"/>
  <c r="AT16" i="33" s="1"/>
  <c r="BF16" i="33" s="1" a="1"/>
  <c r="AF27" i="33"/>
  <c r="AR27" i="33" s="1"/>
  <c r="BD27" i="33" s="1" a="1"/>
  <c r="AI10" i="33"/>
  <c r="AU10" i="33" s="1"/>
  <c r="BG10" i="33" s="1" a="1"/>
  <c r="AC29" i="33"/>
  <c r="AO29" i="33" s="1"/>
  <c r="BA29" i="33" s="1" a="1"/>
  <c r="AD33" i="33"/>
  <c r="AP33" i="33" s="1"/>
  <c r="BB33" i="33" s="1" a="1"/>
  <c r="AC35" i="33"/>
  <c r="AO35" i="33" s="1"/>
  <c r="BA35" i="33" s="1" a="1"/>
  <c r="AJ52" i="33"/>
  <c r="AV52" i="33" s="1"/>
  <c r="BH52" i="33" s="1" a="1"/>
  <c r="AB21" i="33"/>
  <c r="AN21" i="33" s="1"/>
  <c r="AZ21" i="33" s="1" a="1"/>
  <c r="AD58" i="33"/>
  <c r="AP58" i="33" s="1"/>
  <c r="BB58" i="33" s="1" a="1"/>
  <c r="AF25" i="33"/>
  <c r="AR25" i="33" s="1"/>
  <c r="BD25" i="33" s="1" a="1"/>
  <c r="AF24" i="33"/>
  <c r="AR24" i="33" s="1"/>
  <c r="BD24" i="33" s="1" a="1"/>
  <c r="AD24" i="33"/>
  <c r="AP24" i="33" s="1"/>
  <c r="BB24" i="33" s="1" a="1"/>
  <c r="AE15" i="33"/>
  <c r="AQ15" i="33" s="1"/>
  <c r="BC15" i="33" s="1" a="1"/>
  <c r="AG23" i="33"/>
  <c r="AS23" i="33" s="1"/>
  <c r="BE23" i="33" s="1" a="1"/>
  <c r="AH54" i="33"/>
  <c r="AT54" i="33" s="1"/>
  <c r="BF54" i="33" s="1" a="1"/>
  <c r="AH12" i="33"/>
  <c r="AT12" i="33" s="1"/>
  <c r="BF12" i="33" s="1" a="1"/>
  <c r="AI17" i="33"/>
  <c r="AU17" i="33" s="1"/>
  <c r="BG17" i="33" s="1" a="1"/>
  <c r="AH21" i="33"/>
  <c r="AT21" i="33" s="1"/>
  <c r="BF21" i="33" s="1" a="1"/>
  <c r="D20" i="34"/>
  <c r="AI20" i="33"/>
  <c r="AU20" i="33" s="1"/>
  <c r="BG20" i="33" s="1" a="1"/>
  <c r="Y19" i="34"/>
  <c r="AC58" i="33"/>
  <c r="AO58" i="33" s="1"/>
  <c r="BA58" i="33" s="1" a="1"/>
  <c r="D19" i="34"/>
  <c r="Y20" i="34"/>
  <c r="AE6" i="33"/>
  <c r="AQ6" i="33" s="1"/>
  <c r="BC6" i="33" s="1" a="1"/>
  <c r="AH29" i="33"/>
  <c r="AT29" i="33" s="1"/>
  <c r="BF29" i="33" s="1" a="1"/>
  <c r="AH11" i="33"/>
  <c r="AT11" i="33" s="1"/>
  <c r="BF11" i="33" s="1" a="1"/>
  <c r="AG40" i="33"/>
  <c r="AS40" i="33" s="1"/>
  <c r="BE40" i="33" s="1" a="1"/>
  <c r="AB50" i="33"/>
  <c r="AN50" i="33" s="1"/>
  <c r="AZ50" i="33" s="1" a="1"/>
  <c r="AB6" i="33"/>
  <c r="AN6" i="33" s="1"/>
  <c r="AZ6" i="33" s="1" a="1"/>
  <c r="AG17" i="33"/>
  <c r="AS17" i="33" s="1"/>
  <c r="BE17" i="33" s="1" a="1"/>
  <c r="AJ50" i="33"/>
  <c r="AV50" i="33" s="1"/>
  <c r="BH50" i="33" s="1" a="1"/>
  <c r="O13" i="34"/>
  <c r="AB25" i="33"/>
  <c r="AN25" i="33" s="1"/>
  <c r="AZ25" i="33" s="1" a="1"/>
  <c r="I19" i="34"/>
  <c r="K10" i="17"/>
  <c r="AB30" i="33"/>
  <c r="AN30" i="33" s="1"/>
  <c r="AZ30" i="33" s="1" a="1"/>
  <c r="AB27" i="33"/>
  <c r="AN27" i="33" s="1"/>
  <c r="AZ27" i="33" s="1" a="1"/>
  <c r="AD4" i="33"/>
  <c r="AP4" i="33" s="1"/>
  <c r="BB4" i="33" s="1" a="1"/>
  <c r="AC28" i="33"/>
  <c r="AO28" i="33" s="1"/>
  <c r="BA28" i="33" s="1" a="1"/>
  <c r="AF59" i="33"/>
  <c r="AR59" i="33" s="1"/>
  <c r="BD59" i="33" s="1" a="1"/>
  <c r="AE25" i="33"/>
  <c r="AQ25" i="33" s="1"/>
  <c r="BC25" i="33" s="1" a="1"/>
  <c r="AJ48" i="33"/>
  <c r="AV48" i="33" s="1"/>
  <c r="BH48" i="33" s="1" a="1"/>
  <c r="AB35" i="33"/>
  <c r="AN35" i="33" s="1"/>
  <c r="AZ35" i="33" s="1" a="1"/>
  <c r="AD43" i="33"/>
  <c r="AP43" i="33" s="1"/>
  <c r="BB43" i="33" s="1" a="1"/>
  <c r="AE40" i="33"/>
  <c r="AQ40" i="33" s="1"/>
  <c r="BC40" i="33" s="1" a="1"/>
  <c r="AF34" i="33"/>
  <c r="AR34" i="33" s="1"/>
  <c r="BD34" i="33" s="1" a="1"/>
  <c r="AF5" i="33"/>
  <c r="AR5" i="33" s="1"/>
  <c r="BD5" i="33" s="1" a="1"/>
  <c r="AJ20" i="33"/>
  <c r="AV20" i="33" s="1"/>
  <c r="BH20" i="33" s="1" a="1"/>
  <c r="AJ51" i="33"/>
  <c r="AV51" i="33" s="1"/>
  <c r="BH51" i="33" s="1" a="1"/>
  <c r="AG20" i="33"/>
  <c r="AS20" i="33" s="1"/>
  <c r="BE20" i="33" s="1" a="1"/>
  <c r="AI7" i="33"/>
  <c r="AU7" i="33" s="1"/>
  <c r="BG7" i="33" s="1" a="1"/>
  <c r="AB58" i="33"/>
  <c r="AN58" i="33" s="1"/>
  <c r="AZ58" i="33" s="1" a="1"/>
  <c r="AI24" i="33"/>
  <c r="AU24" i="33" s="1"/>
  <c r="BG24" i="33" s="1" a="1"/>
  <c r="AB23" i="33"/>
  <c r="AN23" i="33" s="1"/>
  <c r="AZ23" i="33" s="1" a="1"/>
  <c r="AB53" i="33"/>
  <c r="AN53" i="33" s="1"/>
  <c r="AZ53" i="33" s="1" a="1"/>
  <c r="AD17" i="33"/>
  <c r="AP17" i="33" s="1"/>
  <c r="BB17" i="33" s="1" a="1"/>
  <c r="AB17" i="33"/>
  <c r="AN17" i="33" s="1"/>
  <c r="AZ17" i="33" s="1" a="1"/>
  <c r="AI23" i="33"/>
  <c r="AU23" i="33" s="1"/>
  <c r="BG23" i="33" s="1" a="1"/>
  <c r="AG12" i="33"/>
  <c r="AS12" i="33" s="1"/>
  <c r="BE12" i="33" s="1" a="1"/>
  <c r="AI14" i="33"/>
  <c r="AU14" i="33" s="1"/>
  <c r="BG14" i="33" s="1" a="1"/>
  <c r="AB51" i="33"/>
  <c r="AN51" i="33" s="1"/>
  <c r="AZ51" i="33" s="1" a="1"/>
  <c r="AD12" i="33"/>
  <c r="AP12" i="33" s="1"/>
  <c r="BB12" i="33" s="1" a="1"/>
  <c r="AD51" i="33"/>
  <c r="AP51" i="33" s="1"/>
  <c r="BB51" i="33" s="1" a="1"/>
  <c r="AH36" i="33"/>
  <c r="AT36" i="33" s="1"/>
  <c r="BF36" i="33" s="1" a="1"/>
  <c r="AI36" i="33"/>
  <c r="AU36" i="33" s="1"/>
  <c r="BG36" i="33" s="1" a="1"/>
  <c r="AG49" i="33"/>
  <c r="AS49" i="33" s="1"/>
  <c r="BE49" i="33" s="1" a="1"/>
  <c r="AJ58" i="33"/>
  <c r="AV58" i="33" s="1"/>
  <c r="BH58" i="33" s="1" a="1"/>
  <c r="AG41" i="33"/>
  <c r="AS41" i="33" s="1"/>
  <c r="BE41" i="33" s="1" a="1"/>
  <c r="AC10" i="33"/>
  <c r="AO10" i="33" s="1"/>
  <c r="BA10" i="33" s="1" a="1"/>
  <c r="AG10" i="33"/>
  <c r="AS10" i="33" s="1"/>
  <c r="BE10" i="33" s="1" a="1"/>
  <c r="AE7" i="33"/>
  <c r="AQ7" i="33" s="1"/>
  <c r="BC7" i="33" s="1" a="1"/>
  <c r="AD7" i="33"/>
  <c r="AP7" i="33" s="1"/>
  <c r="BB7" i="33" s="1" a="1"/>
  <c r="AC30" i="33"/>
  <c r="AO30" i="33" s="1"/>
  <c r="BA30" i="33" s="1" a="1"/>
  <c r="AH35" i="33"/>
  <c r="AT35" i="33" s="1"/>
  <c r="BF35" i="33" s="1" a="1"/>
  <c r="AC52" i="33"/>
  <c r="AO52" i="33" s="1"/>
  <c r="BA52" i="33" s="1" a="1"/>
  <c r="AB56" i="33"/>
  <c r="AN56" i="33" s="1"/>
  <c r="AZ56" i="33" s="1" a="1"/>
  <c r="AH53" i="33"/>
  <c r="AT53" i="33" s="1"/>
  <c r="BF53" i="33" s="1" a="1"/>
  <c r="AG36" i="33"/>
  <c r="AS36" i="33" s="1"/>
  <c r="BE36" i="33" s="1" a="1"/>
  <c r="AH52" i="33"/>
  <c r="AT52" i="33" s="1"/>
  <c r="BF52" i="33" s="1" a="1"/>
  <c r="AJ41" i="33"/>
  <c r="AV41" i="33" s="1"/>
  <c r="BH41" i="33" s="1" a="1"/>
  <c r="AF43" i="33"/>
  <c r="AR43" i="33" s="1"/>
  <c r="BD43" i="33" s="1" a="1"/>
  <c r="AJ7" i="33"/>
  <c r="AV7" i="33" s="1"/>
  <c r="BH7" i="33" s="1" a="1"/>
  <c r="AE34" i="33"/>
  <c r="AQ34" i="33" s="1"/>
  <c r="BC34" i="33" s="1" a="1"/>
  <c r="AE5" i="33"/>
  <c r="AQ5" i="33" s="1"/>
  <c r="BC5" i="33" s="1" a="1"/>
  <c r="AH51" i="33"/>
  <c r="AT51" i="33" s="1"/>
  <c r="BF51" i="33" s="1" a="1"/>
  <c r="Z19" i="34"/>
  <c r="AE48" i="33"/>
  <c r="AQ48" i="33" s="1"/>
  <c r="BC48" i="33" s="1" a="1"/>
  <c r="AF21" i="33"/>
  <c r="AR21" i="33" s="1"/>
  <c r="BD21" i="33" s="1" a="1"/>
  <c r="AA19" i="34"/>
  <c r="AJ25" i="33"/>
  <c r="AV25" i="33" s="1"/>
  <c r="BH25" i="33" s="1" a="1"/>
  <c r="AC55" i="33"/>
  <c r="AO55" i="33" s="1"/>
  <c r="BA55" i="33" s="1" a="1"/>
  <c r="AB15" i="33"/>
  <c r="AN15" i="33" s="1"/>
  <c r="AZ15" i="33" s="1" a="1"/>
  <c r="AB60" i="33"/>
  <c r="AN60" i="33" s="1"/>
  <c r="AZ60" i="33" s="1" a="1"/>
  <c r="AF12" i="33"/>
  <c r="AR12" i="33" s="1"/>
  <c r="BD12" i="33" s="1" a="1"/>
  <c r="AC12" i="33"/>
  <c r="AO12" i="33" s="1"/>
  <c r="BA12" i="33" s="1" a="1"/>
  <c r="AC5" i="33"/>
  <c r="AO5" i="33" s="1"/>
  <c r="BA5" i="33" s="1" a="1"/>
  <c r="AG5" i="33"/>
  <c r="AS5" i="33" s="1"/>
  <c r="BE5" i="33" s="1" a="1"/>
  <c r="AG7" i="33"/>
  <c r="AS7" i="33" s="1"/>
  <c r="BE7" i="33" s="1" a="1"/>
  <c r="AF37" i="33"/>
  <c r="AR37" i="33" s="1"/>
  <c r="BD37" i="33" s="1" a="1"/>
  <c r="AF17" i="33"/>
  <c r="AR17" i="33" s="1"/>
  <c r="BD17" i="33" s="1" a="1"/>
  <c r="AF30" i="33"/>
  <c r="AR30" i="33" s="1"/>
  <c r="BD30" i="33" s="1" a="1"/>
  <c r="AH60" i="33"/>
  <c r="AT60" i="33" s="1"/>
  <c r="BF60" i="33" s="1" a="1"/>
  <c r="AC37" i="33"/>
  <c r="AO37" i="33" s="1"/>
  <c r="BA37" i="33" s="1" a="1"/>
  <c r="AD41" i="33"/>
  <c r="AP41" i="33" s="1"/>
  <c r="BB41" i="33" s="1" a="1"/>
  <c r="AG19" i="33"/>
  <c r="AS19" i="33" s="1"/>
  <c r="BE19" i="33" s="1" a="1"/>
  <c r="AC42" i="33"/>
  <c r="AO42" i="33" s="1"/>
  <c r="BA42" i="33" s="1" a="1"/>
  <c r="AF29" i="33"/>
  <c r="AR29" i="33" s="1"/>
  <c r="BD29" i="33" s="1" a="1"/>
  <c r="AG57" i="33"/>
  <c r="AS57" i="33" s="1"/>
  <c r="BE57" i="33" s="1" a="1"/>
  <c r="AD25" i="33"/>
  <c r="AP25" i="33" s="1"/>
  <c r="BB25" i="33" s="1" a="1"/>
  <c r="AH37" i="33"/>
  <c r="AT37" i="33" s="1"/>
  <c r="BF37" i="33" s="1" a="1"/>
  <c r="AI53" i="33"/>
  <c r="AU53" i="33" s="1"/>
  <c r="BG53" i="33" s="1" a="1"/>
  <c r="AE30" i="33"/>
  <c r="AQ30" i="33" s="1"/>
  <c r="BC30" i="33" s="1" a="1"/>
  <c r="AG30" i="33"/>
  <c r="AS30" i="33" s="1"/>
  <c r="BE30" i="33" s="1" a="1"/>
  <c r="AE13" i="33"/>
  <c r="AQ13" i="33" s="1"/>
  <c r="BC13" i="33" s="1" a="1"/>
  <c r="AJ40" i="33"/>
  <c r="AV40" i="33" s="1"/>
  <c r="BH40" i="33" s="1" a="1"/>
  <c r="AD35" i="33"/>
  <c r="AP35" i="33" s="1"/>
  <c r="BB35" i="33" s="1" a="1"/>
  <c r="AE58" i="33"/>
  <c r="AQ58" i="33" s="1"/>
  <c r="BC58" i="33" s="1" a="1"/>
  <c r="AD5" i="33"/>
  <c r="AP5" i="33" s="1"/>
  <c r="BB5" i="33" s="1" a="1"/>
  <c r="AC51" i="33"/>
  <c r="AO51" i="33" s="1"/>
  <c r="BA51" i="33" s="1" a="1"/>
  <c r="AH20" i="33"/>
  <c r="AT20" i="33" s="1"/>
  <c r="BF20" i="33" s="1" a="1"/>
  <c r="AH7" i="33"/>
  <c r="AT7" i="33" s="1"/>
  <c r="BF7" i="33" s="1" a="1"/>
  <c r="AC7" i="33"/>
  <c r="AO7" i="33" s="1"/>
  <c r="BA7" i="33" s="1" a="1"/>
  <c r="AD16" i="33"/>
  <c r="AP16" i="33" s="1"/>
  <c r="BB16" i="33" s="1" a="1"/>
  <c r="AI16" i="33"/>
  <c r="AU16" i="33" s="1"/>
  <c r="BG16" i="33" s="1" a="1"/>
  <c r="AH43" i="33"/>
  <c r="AT43" i="33" s="1"/>
  <c r="BF43" i="33" s="1" a="1"/>
  <c r="AH10" i="33"/>
  <c r="AT10" i="33" s="1"/>
  <c r="BF10" i="33" s="1" a="1"/>
  <c r="AD14" i="33"/>
  <c r="AP14" i="33" s="1"/>
  <c r="BB14" i="33" s="1" a="1"/>
  <c r="AJ49" i="33"/>
  <c r="AV49" i="33" s="1"/>
  <c r="BH49" i="33" s="1" a="1"/>
  <c r="AF49" i="33"/>
  <c r="AR49" i="33" s="1"/>
  <c r="BD49" i="33" s="1" a="1"/>
  <c r="AJ56" i="33"/>
  <c r="AV56" i="33" s="1"/>
  <c r="BH56" i="33" s="1" a="1"/>
  <c r="AJ54" i="33"/>
  <c r="AV54" i="33" s="1"/>
  <c r="BH54" i="33" s="1" a="1"/>
  <c r="AC57" i="33"/>
  <c r="AO57" i="33" s="1"/>
  <c r="BA57" i="33" s="1" a="1"/>
  <c r="AG28" i="33"/>
  <c r="AS28" i="33" s="1"/>
  <c r="BE28" i="33" s="1" a="1"/>
  <c r="AD59" i="33"/>
  <c r="AP59" i="33" s="1"/>
  <c r="BB59" i="33" s="1" a="1"/>
  <c r="AC59" i="33"/>
  <c r="AO59" i="33" s="1"/>
  <c r="BA59" i="33" s="1" a="1"/>
  <c r="AF20" i="33"/>
  <c r="AR20" i="33" s="1"/>
  <c r="BD20" i="33" s="1" a="1"/>
  <c r="AE53" i="33"/>
  <c r="AQ53" i="33" s="1"/>
  <c r="BC53" i="33" s="1" a="1"/>
  <c r="AH17" i="33"/>
  <c r="AT17" i="33" s="1"/>
  <c r="BF17" i="33" s="1" a="1"/>
  <c r="AD30" i="33"/>
  <c r="AP30" i="33" s="1"/>
  <c r="BB30" i="33" s="1" a="1"/>
  <c r="AG16" i="33"/>
  <c r="AS16" i="33" s="1"/>
  <c r="BE16" i="33" s="1" a="1"/>
  <c r="AH6" i="33"/>
  <c r="AT6" i="33" s="1"/>
  <c r="BF6" i="33" s="1" a="1"/>
  <c r="AD21" i="33"/>
  <c r="AP21" i="33" s="1"/>
  <c r="BB21" i="33" s="1" a="1"/>
  <c r="AI56" i="33"/>
  <c r="AU56" i="33" s="1"/>
  <c r="BG56" i="33" s="1" a="1"/>
  <c r="AD55" i="33"/>
  <c r="AP55" i="33" s="1"/>
  <c r="BB55" i="33" s="1" a="1"/>
  <c r="AG29" i="33"/>
  <c r="AS29" i="33" s="1"/>
  <c r="BE29" i="33" s="1" a="1"/>
  <c r="AB22" i="33"/>
  <c r="AN22" i="33" s="1"/>
  <c r="AZ22" i="33" s="1" a="1"/>
  <c r="AF56" i="33"/>
  <c r="AR56" i="33" s="1"/>
  <c r="BD56" i="33" s="1" a="1"/>
  <c r="AF8" i="33"/>
  <c r="AR8" i="33" s="1"/>
  <c r="BD8" i="33" s="1" a="1"/>
  <c r="AC26" i="33"/>
  <c r="AO26" i="33" s="1"/>
  <c r="BA26" i="33" s="1" a="1"/>
  <c r="AI42" i="33"/>
  <c r="AU42" i="33" s="1"/>
  <c r="BG42" i="33" s="1" a="1"/>
  <c r="AD42" i="33"/>
  <c r="AP42" i="33" s="1"/>
  <c r="BB42" i="33" s="1" a="1"/>
  <c r="AH55" i="33"/>
  <c r="AT55" i="33" s="1"/>
  <c r="BF55" i="33" s="1" a="1"/>
  <c r="AE14" i="33"/>
  <c r="AQ14" i="33" s="1"/>
  <c r="BC14" i="33" s="1" a="1"/>
  <c r="AH49" i="33"/>
  <c r="AT49" i="33" s="1"/>
  <c r="BF49" i="33" s="1" a="1"/>
  <c r="AJ16" i="33"/>
  <c r="AV16" i="33" s="1"/>
  <c r="BH16" i="33" s="1" a="1"/>
  <c r="AG21" i="33"/>
  <c r="AS21" i="33" s="1"/>
  <c r="BE21" i="33" s="1" a="1"/>
  <c r="AE10" i="33"/>
  <c r="AQ10" i="33" s="1"/>
  <c r="BC10" i="33" s="1" a="1"/>
  <c r="AI59" i="33"/>
  <c r="AU59" i="33" s="1"/>
  <c r="BG59" i="33" s="1" a="1"/>
  <c r="AH42" i="33"/>
  <c r="AT42" i="33" s="1"/>
  <c r="BF42" i="33" s="1" a="1"/>
  <c r="AE11" i="33"/>
  <c r="AQ11" i="33" s="1"/>
  <c r="BC11" i="33" s="1" a="1"/>
  <c r="AB8" i="33"/>
  <c r="AN8" i="33" s="1"/>
  <c r="AZ8" i="33" s="1" a="1"/>
  <c r="AI6" i="33"/>
  <c r="AU6" i="33" s="1"/>
  <c r="BG6" i="33" s="1" a="1"/>
  <c r="AD27" i="33"/>
  <c r="AP27" i="33" s="1"/>
  <c r="BB27" i="33" s="1" a="1"/>
  <c r="AJ10" i="33"/>
  <c r="AV10" i="33" s="1"/>
  <c r="BH10" i="33" s="1" a="1"/>
  <c r="AH8" i="33"/>
  <c r="AT8" i="33" s="1"/>
  <c r="BF8" i="33" s="1" a="1"/>
  <c r="AG59" i="33"/>
  <c r="AS59" i="33" s="1"/>
  <c r="BE59" i="33" s="1" a="1"/>
  <c r="AC56" i="33"/>
  <c r="AO56" i="33" s="1"/>
  <c r="BA56" i="33" s="1" a="1"/>
  <c r="AI25" i="33"/>
  <c r="AU25" i="33" s="1"/>
  <c r="BG25" i="33" s="1" a="1"/>
  <c r="AG39" i="33"/>
  <c r="AS39" i="33" s="1"/>
  <c r="BE39" i="33" s="1" a="1"/>
  <c r="AC25" i="33"/>
  <c r="AO25" i="33" s="1"/>
  <c r="BA25" i="33" s="1" a="1"/>
  <c r="AG38" i="33"/>
  <c r="AS38" i="33" s="1"/>
  <c r="BE38" i="33" s="1" a="1"/>
  <c r="AG60" i="33"/>
  <c r="AS60" i="33" s="1"/>
  <c r="BE60" i="33" s="1" a="1"/>
  <c r="AC33" i="33"/>
  <c r="AO33" i="33" s="1"/>
  <c r="BA33" i="33" s="1" a="1"/>
  <c r="AD8" i="33"/>
  <c r="AP8" i="33" s="1"/>
  <c r="BB8" i="33" s="1" a="1"/>
  <c r="AH19" i="33"/>
  <c r="AT19" i="33" s="1"/>
  <c r="BF19" i="33" s="1" a="1"/>
  <c r="AJ28" i="33"/>
  <c r="AV28" i="33" s="1"/>
  <c r="BH28" i="33" s="1" a="1"/>
  <c r="AC11" i="33"/>
  <c r="AO11" i="33" s="1"/>
  <c r="BA11" i="33" s="1" a="1"/>
  <c r="AD29" i="33"/>
  <c r="AP29" i="33" s="1"/>
  <c r="BB29" i="33" s="1" a="1"/>
  <c r="AC21" i="33"/>
  <c r="AO21" i="33" s="1"/>
  <c r="BA21" i="33" s="1" a="1"/>
  <c r="AB41" i="33"/>
  <c r="AN41" i="33" s="1"/>
  <c r="AZ41" i="33" s="1" a="1"/>
  <c r="AG27" i="33"/>
  <c r="AS27" i="33" s="1"/>
  <c r="BE27" i="33" s="1" a="1"/>
  <c r="AB29" i="33"/>
  <c r="AN29" i="33" s="1"/>
  <c r="AZ29" i="33" s="1" a="1"/>
  <c r="AD15" i="33"/>
  <c r="AP15" i="33" s="1"/>
  <c r="BB15" i="33" s="1" a="1"/>
  <c r="AJ15" i="33"/>
  <c r="AV15" i="33" s="1"/>
  <c r="BH15" i="33" s="1" a="1"/>
  <c r="AH15" i="33"/>
  <c r="AT15" i="33" s="1"/>
  <c r="BF15" i="33" s="1" a="1"/>
  <c r="AF15" i="33"/>
  <c r="AR15" i="33" s="1"/>
  <c r="BD15" i="33" s="1" a="1"/>
  <c r="AJ12" i="33"/>
  <c r="AV12" i="33" s="1"/>
  <c r="BH12" i="33" s="1" a="1"/>
  <c r="AI57" i="33"/>
  <c r="AU57" i="33" s="1"/>
  <c r="BG57" i="33" s="1" a="1"/>
  <c r="AB40" i="33"/>
  <c r="AN40" i="33" s="1"/>
  <c r="AZ40" i="33" s="1" a="1"/>
  <c r="AG13" i="33"/>
  <c r="AS13" i="33" s="1"/>
  <c r="BE13" i="33" s="1" a="1"/>
  <c r="AD39" i="33"/>
  <c r="AP39" i="33" s="1"/>
  <c r="BB39" i="33" s="1" a="1"/>
  <c r="AJ24" i="33"/>
  <c r="AV24" i="33" s="1"/>
  <c r="BH24" i="33" s="1" a="1"/>
  <c r="AC43" i="33"/>
  <c r="AO43" i="33" s="1"/>
  <c r="BA43" i="33" s="1" a="1"/>
  <c r="AD54" i="33"/>
  <c r="AP54" i="33" s="1"/>
  <c r="BB54" i="33" s="1" a="1"/>
  <c r="AD40" i="33"/>
  <c r="AP40" i="33" s="1"/>
  <c r="BB40" i="33" s="1" a="1"/>
  <c r="AF40" i="33"/>
  <c r="AR40" i="33" s="1"/>
  <c r="BD40" i="33" s="1" a="1"/>
  <c r="AJ26" i="33"/>
  <c r="AV26" i="33" s="1"/>
  <c r="BH26" i="33" s="1" a="1"/>
  <c r="AH26" i="33"/>
  <c r="AT26" i="33" s="1"/>
  <c r="BF26" i="33" s="1" a="1"/>
  <c r="AG14" i="33"/>
  <c r="AS14" i="33" s="1"/>
  <c r="BE14" i="33" s="1" a="1"/>
  <c r="AJ42" i="33"/>
  <c r="AV42" i="33" s="1"/>
  <c r="BH42" i="33" s="1" a="1"/>
  <c r="AG42" i="33"/>
  <c r="AS42" i="33" s="1"/>
  <c r="BE42" i="33" s="1" a="1"/>
  <c r="T18" i="34"/>
  <c r="T18" i="35" s="1"/>
  <c r="AF18" i="33"/>
  <c r="AR18" i="33" s="1"/>
  <c r="BD18" i="33" s="1" a="1"/>
  <c r="AH22" i="33"/>
  <c r="AT22" i="33" s="1"/>
  <c r="BF22" i="33" s="1" a="1"/>
  <c r="AG22" i="33"/>
  <c r="AS22" i="33" s="1"/>
  <c r="BE22" i="33" s="1" a="1"/>
  <c r="Z22" i="34"/>
  <c r="AE49" i="33"/>
  <c r="AQ49" i="33" s="1"/>
  <c r="BC49" i="33" s="1" a="1"/>
  <c r="V30" i="34"/>
  <c r="AH44" i="33"/>
  <c r="AT44" i="33" s="1"/>
  <c r="BF44" i="33" s="1" a="1"/>
  <c r="AG48" i="33"/>
  <c r="AS48" i="33" s="1"/>
  <c r="BE48" i="33" s="1" a="1"/>
  <c r="R30" i="34"/>
  <c r="AD44" i="33"/>
  <c r="AP44" i="33" s="1"/>
  <c r="BB44" i="33" s="1" a="1"/>
  <c r="AG33" i="33"/>
  <c r="AS33" i="33" s="1"/>
  <c r="BE33" i="33" s="1" a="1"/>
  <c r="AH58" i="33"/>
  <c r="AT58" i="33" s="1"/>
  <c r="BF58" i="33" s="1" a="1"/>
  <c r="AI27" i="33"/>
  <c r="AU27" i="33" s="1"/>
  <c r="BG27" i="33" s="1" a="1"/>
  <c r="AC41" i="33"/>
  <c r="AO41" i="33" s="1"/>
  <c r="BA41" i="33" s="1" a="1"/>
  <c r="AE55" i="33"/>
  <c r="AQ55" i="33" s="1"/>
  <c r="BC55" i="33" s="1" a="1"/>
  <c r="AJ29" i="33"/>
  <c r="AV29" i="33" s="1"/>
  <c r="BH29" i="33" s="1" a="1"/>
  <c r="AJ60" i="33"/>
  <c r="AV60" i="33" s="1"/>
  <c r="BH60" i="33" s="1" a="1"/>
  <c r="AE54" i="33"/>
  <c r="AQ54" i="33" s="1"/>
  <c r="BC54" i="33" s="1" a="1"/>
  <c r="AB57" i="33"/>
  <c r="AN57" i="33" s="1"/>
  <c r="AZ57" i="33" s="1" a="1"/>
  <c r="AG35" i="33"/>
  <c r="AS35" i="33" s="1"/>
  <c r="BE35" i="33" s="1" a="1"/>
  <c r="AH13" i="33"/>
  <c r="AT13" i="33" s="1"/>
  <c r="BF13" i="33" s="1" a="1"/>
  <c r="AE56" i="33"/>
  <c r="AQ56" i="33" s="1"/>
  <c r="BC56" i="33" s="1" a="1"/>
  <c r="AB11" i="33"/>
  <c r="AN11" i="33" s="1"/>
  <c r="AZ11" i="33" s="1" a="1"/>
  <c r="AF4" i="33"/>
  <c r="AR4" i="33" s="1"/>
  <c r="BD4" i="33" s="1" a="1"/>
  <c r="AH38" i="33"/>
  <c r="AT38" i="33" s="1"/>
  <c r="BF38" i="33" s="1" a="1"/>
  <c r="AF60" i="33"/>
  <c r="AR60" i="33" s="1"/>
  <c r="BD60" i="33" s="1" a="1"/>
  <c r="AF50" i="33"/>
  <c r="AR50" i="33" s="1"/>
  <c r="BD50" i="33" s="1" a="1"/>
  <c r="AJ33" i="33"/>
  <c r="AJ55" i="33"/>
  <c r="AV55" i="33" s="1"/>
  <c r="BH55" i="33" s="1" a="1"/>
  <c r="AB24" i="33"/>
  <c r="AN24" i="33" s="1"/>
  <c r="AZ24" i="33" s="1" a="1"/>
  <c r="AB38" i="33"/>
  <c r="AN38" i="33" s="1"/>
  <c r="AZ38" i="33" s="1" a="1"/>
  <c r="AJ38" i="33"/>
  <c r="AV38" i="33" s="1"/>
  <c r="BH38" i="33" s="1" a="1"/>
  <c r="AH23" i="33"/>
  <c r="AT23" i="33" s="1"/>
  <c r="BF23" i="33" s="1" a="1"/>
  <c r="Q30" i="34"/>
  <c r="AC44" i="33"/>
  <c r="AO44" i="33" s="1"/>
  <c r="BA44" i="33" s="1" a="1"/>
  <c r="AB4" i="33"/>
  <c r="AN4" i="33" s="1"/>
  <c r="AZ4" i="33" s="1" a="1"/>
  <c r="AG51" i="33"/>
  <c r="AS51" i="33" s="1"/>
  <c r="BE51" i="33" s="1" a="1"/>
  <c r="AI49" i="33"/>
  <c r="AU49" i="33" s="1"/>
  <c r="BG49" i="33" s="1" a="1"/>
  <c r="AI55" i="33"/>
  <c r="AU55" i="33" s="1"/>
  <c r="BG55" i="33" s="1" a="1"/>
  <c r="R10" i="34"/>
  <c r="AD10" i="33"/>
  <c r="AP10" i="33" s="1"/>
  <c r="BB10" i="33" s="1" a="1"/>
  <c r="AF28" i="33"/>
  <c r="AR28" i="33" s="1"/>
  <c r="BD28" i="33" s="1" a="1"/>
  <c r="AB14" i="33"/>
  <c r="AN14" i="33" s="1"/>
  <c r="AZ14" i="33" s="1" a="1"/>
  <c r="AB59" i="33"/>
  <c r="AN59" i="33" s="1"/>
  <c r="AZ59" i="33" s="1" a="1"/>
  <c r="AC14" i="33"/>
  <c r="AO14" i="33" s="1"/>
  <c r="BA14" i="33" s="1" a="1"/>
  <c r="R18" i="34"/>
  <c r="R18" i="35" s="1"/>
  <c r="AD18" i="33"/>
  <c r="AP18" i="33" s="1"/>
  <c r="BB18" i="33" s="1" a="1"/>
  <c r="AB34" i="33"/>
  <c r="AN34" i="33" s="1"/>
  <c r="AZ34" i="33" s="1" a="1"/>
  <c r="AB5" i="33"/>
  <c r="AN5" i="33" s="1"/>
  <c r="AZ5" i="33" s="1" a="1"/>
  <c r="AG4" i="33"/>
  <c r="AS4" i="33" s="1"/>
  <c r="BE4" i="33" s="1" a="1"/>
  <c r="AF22" i="33"/>
  <c r="AR22" i="33" s="1"/>
  <c r="BD22" i="33" s="1" a="1"/>
  <c r="AJ36" i="33"/>
  <c r="AV36" i="33" s="1"/>
  <c r="BH36" i="33" s="1" a="1"/>
  <c r="AJ30" i="33"/>
  <c r="AV30" i="33" s="1"/>
  <c r="BH30" i="33" s="1" a="1"/>
  <c r="W31" i="34"/>
  <c r="AI45" i="33"/>
  <c r="AU45" i="33" s="1"/>
  <c r="BG45" i="33" s="1" a="1"/>
  <c r="Q31" i="34"/>
  <c r="AC45" i="33"/>
  <c r="AO45" i="33" s="1"/>
  <c r="BA45" i="33" s="1" a="1"/>
  <c r="AF16" i="33"/>
  <c r="AR16" i="33" s="1"/>
  <c r="BD16" i="33" s="1" a="1"/>
  <c r="AF6" i="33"/>
  <c r="AR6" i="33" s="1"/>
  <c r="BD6" i="33" s="1" a="1"/>
  <c r="AB52" i="33"/>
  <c r="AN52" i="33" s="1"/>
  <c r="AZ52" i="33" s="1" a="1"/>
  <c r="AC13" i="33"/>
  <c r="AO13" i="33" s="1"/>
  <c r="BA13" i="33" s="1" a="1"/>
  <c r="AE27" i="33"/>
  <c r="AQ27" i="33" s="1"/>
  <c r="BC27" i="33" s="1" a="1"/>
  <c r="AF41" i="33"/>
  <c r="AR41" i="33" s="1"/>
  <c r="BD41" i="33" s="1" a="1"/>
  <c r="AG11" i="33"/>
  <c r="AS11" i="33" s="1"/>
  <c r="BE11" i="33" s="1" a="1"/>
  <c r="AJ39" i="33"/>
  <c r="AV39" i="33" s="1"/>
  <c r="BH39" i="33" s="1" a="1"/>
  <c r="AJ11" i="33"/>
  <c r="AV11" i="33" s="1"/>
  <c r="BH11" i="33" s="1" a="1"/>
  <c r="AF10" i="33"/>
  <c r="AR10" i="33" s="1"/>
  <c r="BD10" i="33" s="1" a="1"/>
  <c r="AI29" i="33"/>
  <c r="AU29" i="33" s="1"/>
  <c r="BG29" i="33" s="1" a="1"/>
  <c r="AE60" i="33"/>
  <c r="AQ60" i="33" s="1"/>
  <c r="BC60" i="33" s="1" a="1"/>
  <c r="AI60" i="33"/>
  <c r="AU60" i="33" s="1"/>
  <c r="BG60" i="33" s="1" a="1"/>
  <c r="AE23" i="33"/>
  <c r="AQ23" i="33" s="1"/>
  <c r="BC23" i="33" s="1" a="1"/>
  <c r="AF23" i="33"/>
  <c r="AR23" i="33" s="1"/>
  <c r="BD23" i="33" s="1" a="1"/>
  <c r="AB54" i="33"/>
  <c r="AN54" i="33" s="1"/>
  <c r="AZ54" i="33" s="1" a="1"/>
  <c r="AG37" i="33"/>
  <c r="AS37" i="33" s="1"/>
  <c r="BE37" i="33" s="1" a="1"/>
  <c r="AE50" i="33"/>
  <c r="AQ50" i="33" s="1"/>
  <c r="BC50" i="33" s="1" a="1"/>
  <c r="AD26" i="33"/>
  <c r="AP26" i="33" s="1"/>
  <c r="BB26" i="33" s="1" a="1"/>
  <c r="AF57" i="33"/>
  <c r="AR57" i="33" s="1"/>
  <c r="BD57" i="33" s="1" a="1"/>
  <c r="AI40" i="33"/>
  <c r="AU40" i="33" s="1"/>
  <c r="BG40" i="33" s="1" a="1"/>
  <c r="AI12" i="33"/>
  <c r="AU12" i="33" s="1"/>
  <c r="BG12" i="33" s="1" a="1"/>
  <c r="U18" i="34"/>
  <c r="U18" i="35" s="1"/>
  <c r="AG18" i="33"/>
  <c r="AS18" i="33" s="1"/>
  <c r="BE18" i="33" s="1" a="1"/>
  <c r="Q18" i="34"/>
  <c r="Q18" i="35" s="1"/>
  <c r="AC18" i="33"/>
  <c r="AO18" i="33" s="1"/>
  <c r="BA18" i="33" s="1" a="1"/>
  <c r="AD49" i="33"/>
  <c r="AP49" i="33" s="1"/>
  <c r="BB49" i="33" s="1" a="1"/>
  <c r="AF42" i="33"/>
  <c r="AR42" i="33" s="1"/>
  <c r="BD42" i="33" s="1" a="1"/>
  <c r="AI51" i="33"/>
  <c r="AU51" i="33" s="1"/>
  <c r="BG51" i="33" s="1" a="1"/>
  <c r="H19" i="34"/>
  <c r="AC36" i="33"/>
  <c r="AO36" i="33" s="1"/>
  <c r="BA36" i="33" s="1" a="1"/>
  <c r="AJ53" i="33"/>
  <c r="AV53" i="33" s="1"/>
  <c r="BH53" i="33" s="1" a="1"/>
  <c r="AB7" i="33"/>
  <c r="AN7" i="33" s="1"/>
  <c r="AZ7" i="33" s="1" a="1"/>
  <c r="AJ17" i="33"/>
  <c r="AV17" i="33" s="1"/>
  <c r="BH17" i="33" s="1" a="1"/>
  <c r="AH30" i="33"/>
  <c r="AT30" i="33" s="1"/>
  <c r="BF30" i="33" s="1" a="1"/>
  <c r="W30" i="34"/>
  <c r="AI44" i="33"/>
  <c r="AU44" i="33" s="1"/>
  <c r="BG44" i="33" s="1" a="1"/>
  <c r="S21" i="34"/>
  <c r="AE52" i="33"/>
  <c r="AQ52" i="33" s="1"/>
  <c r="BC52" i="33" s="1" a="1"/>
  <c r="AJ6" i="33"/>
  <c r="AV6" i="33" s="1"/>
  <c r="BH6" i="33" s="1" a="1"/>
  <c r="AJ21" i="33"/>
  <c r="AV21" i="33" s="1"/>
  <c r="BH21" i="33" s="1" a="1"/>
  <c r="AI41" i="33"/>
  <c r="AU41" i="33" s="1"/>
  <c r="BG41" i="33" s="1" a="1"/>
  <c r="AD38" i="33"/>
  <c r="AP38" i="33" s="1"/>
  <c r="BB38" i="33" s="1" a="1"/>
  <c r="AC15" i="33"/>
  <c r="AO15" i="33" s="1"/>
  <c r="BA15" i="33" s="1" a="1"/>
  <c r="AB43" i="33"/>
  <c r="AN43" i="33" s="1"/>
  <c r="AZ43" i="33" s="1" a="1"/>
  <c r="AG43" i="33"/>
  <c r="AS43" i="33" s="1"/>
  <c r="BE43" i="33" s="1" a="1"/>
  <c r="AE37" i="33"/>
  <c r="AQ37" i="33" s="1"/>
  <c r="BC37" i="33" s="1" a="1"/>
  <c r="AF54" i="33"/>
  <c r="AR54" i="33" s="1"/>
  <c r="BD54" i="33" s="1" a="1"/>
  <c r="AJ37" i="33"/>
  <c r="AV37" i="33" s="1"/>
  <c r="BH37" i="33" s="1" a="1"/>
  <c r="AC8" i="33"/>
  <c r="AO8" i="33" s="1"/>
  <c r="BA8" i="33" s="1" a="1"/>
  <c r="W19" i="34"/>
  <c r="AI33" i="33"/>
  <c r="AU33" i="33" s="1"/>
  <c r="BG33" i="33" s="1" a="1"/>
  <c r="AG26" i="33"/>
  <c r="AS26" i="33" s="1"/>
  <c r="BE26" i="33" s="1" a="1"/>
  <c r="S31" i="34"/>
  <c r="AE45" i="33"/>
  <c r="AQ45" i="33" s="1"/>
  <c r="BC45" i="33" s="1" a="1"/>
  <c r="AB20" i="33"/>
  <c r="AN20" i="33" s="1"/>
  <c r="AZ20" i="33" s="1" a="1"/>
  <c r="AC50" i="33"/>
  <c r="AO50" i="33" s="1"/>
  <c r="BA50" i="33" s="1" a="1"/>
  <c r="S25" i="34"/>
  <c r="AE39" i="33"/>
  <c r="AQ39" i="33" s="1"/>
  <c r="BC39" i="33" s="1" a="1"/>
  <c r="AE59" i="33"/>
  <c r="AQ59" i="33" s="1"/>
  <c r="BC59" i="33" s="1" a="1"/>
  <c r="P18" i="34"/>
  <c r="P18" i="35" s="1"/>
  <c r="AB18" i="33"/>
  <c r="AN18" i="33" s="1"/>
  <c r="AZ18" i="33" s="1" a="1"/>
  <c r="AH34" i="33"/>
  <c r="AT34" i="33" s="1"/>
  <c r="BF34" i="33" s="1" a="1"/>
  <c r="AC20" i="33"/>
  <c r="AO20" i="33" s="1"/>
  <c r="BA20" i="33" s="1" a="1"/>
  <c r="AJ19" i="33"/>
  <c r="AV19" i="33" s="1"/>
  <c r="BH19" i="33" s="1" a="1"/>
  <c r="AI30" i="33"/>
  <c r="AU30" i="33" s="1"/>
  <c r="BG30" i="33" s="1" a="1"/>
  <c r="AE17" i="33"/>
  <c r="AQ17" i="33" s="1"/>
  <c r="BC17" i="33" s="1" a="1"/>
  <c r="U30" i="34"/>
  <c r="AG44" i="33"/>
  <c r="AS44" i="33" s="1"/>
  <c r="BE44" i="33" s="1" a="1"/>
  <c r="AF13" i="33"/>
  <c r="AR13" i="33" s="1"/>
  <c r="BD13" i="33" s="1" a="1"/>
  <c r="AC39" i="33"/>
  <c r="AO39" i="33" s="1"/>
  <c r="BA39" i="33" s="1" a="1"/>
  <c r="AH24" i="33"/>
  <c r="AT24" i="33" s="1"/>
  <c r="BF24" i="33" s="1" a="1"/>
  <c r="AI15" i="33"/>
  <c r="AU15" i="33" s="1"/>
  <c r="BG15" i="33" s="1" a="1"/>
  <c r="AD37" i="33"/>
  <c r="AP37" i="33" s="1"/>
  <c r="BB37" i="33" s="1" a="1"/>
  <c r="AH57" i="33"/>
  <c r="AT57" i="33" s="1"/>
  <c r="BF57" i="33" s="1" a="1"/>
  <c r="AI26" i="33"/>
  <c r="AU26" i="33" s="1"/>
  <c r="BG26" i="33" s="1" a="1"/>
  <c r="P12" i="34"/>
  <c r="AB12" i="33"/>
  <c r="AN12" i="33" s="1"/>
  <c r="AZ12" i="33" s="1" a="1"/>
  <c r="AB26" i="33"/>
  <c r="AN26" i="33" s="1"/>
  <c r="AZ26" i="33" s="1" a="1"/>
  <c r="S18" i="34"/>
  <c r="S18" i="35" s="1"/>
  <c r="AE18" i="33"/>
  <c r="AQ18" i="33" s="1"/>
  <c r="BC18" i="33" s="1" a="1"/>
  <c r="U31" i="34"/>
  <c r="AG45" i="33"/>
  <c r="AS45" i="33" s="1"/>
  <c r="BE45" i="33" s="1" a="1"/>
  <c r="AE20" i="33"/>
  <c r="AQ20" i="33" s="1"/>
  <c r="BC20" i="33" s="1" a="1"/>
  <c r="AB36" i="33"/>
  <c r="AN36" i="33" s="1"/>
  <c r="AZ36" i="33" s="1" a="1"/>
  <c r="AG53" i="33"/>
  <c r="AS53" i="33" s="1"/>
  <c r="BE53" i="33" s="1" a="1"/>
  <c r="AI48" i="33"/>
  <c r="AU48" i="33" s="1"/>
  <c r="BG48" i="33" s="1" a="1"/>
  <c r="AI58" i="33"/>
  <c r="AU58" i="33" s="1"/>
  <c r="BG58" i="33" s="1" a="1"/>
  <c r="AH27" i="33"/>
  <c r="AT27" i="33" s="1"/>
  <c r="BF27" i="33" s="1" a="1"/>
  <c r="AF39" i="33"/>
  <c r="AR39" i="33" s="1"/>
  <c r="BD39" i="33" s="1" a="1"/>
  <c r="AH39" i="33"/>
  <c r="AT39" i="33" s="1"/>
  <c r="BF39" i="33" s="1" a="1"/>
  <c r="AE33" i="33"/>
  <c r="AQ33" i="33" s="1"/>
  <c r="BC33" i="33" s="1" a="1"/>
  <c r="AG55" i="33"/>
  <c r="AS55" i="33" s="1"/>
  <c r="BE55" i="33" s="1" a="1"/>
  <c r="AC38" i="33"/>
  <c r="AO38" i="33" s="1"/>
  <c r="BA38" i="33" s="1" a="1"/>
  <c r="AE29" i="33"/>
  <c r="AQ29" i="33" s="1"/>
  <c r="BC29" i="33" s="1" a="1"/>
  <c r="Z23" i="34"/>
  <c r="AG8" i="33"/>
  <c r="AS8" i="33" s="1"/>
  <c r="BE8" i="33" s="1" a="1"/>
  <c r="AC23" i="33"/>
  <c r="AO23" i="33" s="1"/>
  <c r="BA23" i="33" s="1" a="1"/>
  <c r="AI8" i="33"/>
  <c r="AU8" i="33" s="1"/>
  <c r="BG8" i="33" s="1" a="1"/>
  <c r="AD57" i="33"/>
  <c r="AP57" i="33" s="1"/>
  <c r="BB57" i="33" s="1" a="1"/>
  <c r="AE26" i="33"/>
  <c r="AQ26" i="33" s="1"/>
  <c r="BC26" i="33" s="1" a="1"/>
  <c r="AD56" i="33"/>
  <c r="AP56" i="33" s="1"/>
  <c r="BB56" i="33" s="1" a="1"/>
  <c r="P30" i="34"/>
  <c r="AB44" i="33"/>
  <c r="AN44" i="33" s="1"/>
  <c r="AZ44" i="33" s="1" a="1"/>
  <c r="AD22" i="33"/>
  <c r="AP22" i="33" s="1"/>
  <c r="BB22" i="33" s="1" a="1"/>
  <c r="AE42" i="33"/>
  <c r="AQ42" i="33" s="1"/>
  <c r="BC42" i="33" s="1" a="1"/>
  <c r="W18" i="34"/>
  <c r="W18" i="35" s="1"/>
  <c r="AI18" i="33"/>
  <c r="AU18" i="33" s="1"/>
  <c r="BG18" i="33" s="1" a="1"/>
  <c r="AH5" i="33"/>
  <c r="AT5" i="33" s="1"/>
  <c r="BF5" i="33" s="1" a="1"/>
  <c r="AF51" i="33"/>
  <c r="AR51" i="33" s="1"/>
  <c r="BD51" i="33" s="1" a="1"/>
  <c r="AI5" i="33"/>
  <c r="AU5" i="33" s="1"/>
  <c r="BG5" i="33" s="1" a="1"/>
  <c r="AD36" i="33"/>
  <c r="AP36" i="33" s="1"/>
  <c r="BB36" i="33" s="1" a="1"/>
  <c r="X31" i="34"/>
  <c r="AJ45" i="33"/>
  <c r="AV45" i="33" s="1"/>
  <c r="BH45" i="33" s="1" a="1"/>
  <c r="AC17" i="33"/>
  <c r="AO17" i="33" s="1"/>
  <c r="BA17" i="33" s="1" a="1"/>
  <c r="AB48" i="33"/>
  <c r="AN48" i="33" s="1"/>
  <c r="AZ48" i="33" s="1" a="1"/>
  <c r="AH48" i="33"/>
  <c r="AT48" i="33" s="1"/>
  <c r="BF48" i="33" s="1" a="1"/>
  <c r="X30" i="34"/>
  <c r="AJ44" i="33"/>
  <c r="AV44" i="33" s="1"/>
  <c r="BH44" i="33" s="1" a="1"/>
  <c r="AI52" i="33"/>
  <c r="AU52" i="33" s="1"/>
  <c r="BG52" i="33" s="1" a="1"/>
  <c r="AD6" i="33"/>
  <c r="AP6" i="33" s="1"/>
  <c r="BB6" i="33" s="1" a="1"/>
  <c r="AI13" i="33"/>
  <c r="AU13" i="33" s="1"/>
  <c r="BG13" i="33" s="1" a="1"/>
  <c r="AH41" i="33"/>
  <c r="AT41" i="33" s="1"/>
  <c r="BF41" i="33" s="1" a="1"/>
  <c r="AB39" i="33"/>
  <c r="AN39" i="33" s="1"/>
  <c r="AZ39" i="33" s="1" a="1"/>
  <c r="AG25" i="33"/>
  <c r="AS25" i="33" s="1"/>
  <c r="BE25" i="33" s="1" a="1"/>
  <c r="AF55" i="33"/>
  <c r="AR55" i="33" s="1"/>
  <c r="BD55" i="33" s="1" a="1"/>
  <c r="AI38" i="33"/>
  <c r="AU38" i="33" s="1"/>
  <c r="BG38" i="33" s="1" a="1"/>
  <c r="AG24" i="33"/>
  <c r="AS24" i="33" s="1"/>
  <c r="BE24" i="33" s="1" a="1"/>
  <c r="AI43" i="33"/>
  <c r="AU43" i="33" s="1"/>
  <c r="BG43" i="33" s="1" a="1"/>
  <c r="AD60" i="33"/>
  <c r="AP60" i="33" s="1"/>
  <c r="BB60" i="33" s="1" a="1"/>
  <c r="AG15" i="33"/>
  <c r="AS15" i="33" s="1"/>
  <c r="BE15" i="33" s="1" a="1"/>
  <c r="AC40" i="33"/>
  <c r="AO40" i="33" s="1"/>
  <c r="BA40" i="33" s="1" a="1"/>
  <c r="AE12" i="33"/>
  <c r="AQ12" i="33" s="1"/>
  <c r="BC12" i="33" s="1" a="1"/>
  <c r="AB13" i="33"/>
  <c r="AN13" i="33" s="1"/>
  <c r="AZ13" i="33" s="1" a="1"/>
  <c r="T22" i="34"/>
  <c r="AF36" i="33"/>
  <c r="AR36" i="33" s="1"/>
  <c r="BD36" i="33" s="1" a="1"/>
  <c r="S22" i="34"/>
  <c r="AE36" i="33"/>
  <c r="AQ36" i="33" s="1"/>
  <c r="BC36" i="33" s="1" a="1"/>
  <c r="T30" i="34"/>
  <c r="AF44" i="33"/>
  <c r="AR44" i="33" s="1"/>
  <c r="BD44" i="33" s="1" a="1"/>
  <c r="AB42" i="33"/>
  <c r="AN42" i="33" s="1"/>
  <c r="AZ42" i="33" s="1" a="1"/>
  <c r="AH59" i="33"/>
  <c r="AT59" i="33" s="1"/>
  <c r="BF59" i="33" s="1" a="1"/>
  <c r="AH28" i="33"/>
  <c r="AT28" i="33" s="1"/>
  <c r="BF28" i="33" s="1" a="1"/>
  <c r="AD28" i="33"/>
  <c r="AP28" i="33" s="1"/>
  <c r="BB28" i="33" s="1" a="1"/>
  <c r="AH14" i="33"/>
  <c r="AT14" i="33" s="1"/>
  <c r="BF14" i="33" s="1" a="1"/>
  <c r="AE28" i="33"/>
  <c r="AQ28" i="33" s="1"/>
  <c r="BC28" i="33" s="1" a="1"/>
  <c r="AF14" i="33"/>
  <c r="AR14" i="33" s="1"/>
  <c r="BD14" i="33" s="1" a="1"/>
  <c r="AJ59" i="33"/>
  <c r="AV59" i="33" s="1"/>
  <c r="BH59" i="33" s="1" a="1"/>
  <c r="AI28" i="33"/>
  <c r="AU28" i="33" s="1"/>
  <c r="BG28" i="33" s="1" a="1"/>
  <c r="V18" i="34"/>
  <c r="V18" i="35" s="1"/>
  <c r="AH18" i="33"/>
  <c r="AT18" i="33" s="1"/>
  <c r="BF18" i="33" s="1" a="1"/>
  <c r="AG34" i="33"/>
  <c r="AS34" i="33" s="1"/>
  <c r="BE34" i="33" s="1" a="1"/>
  <c r="T19" i="34"/>
  <c r="AF33" i="33"/>
  <c r="AR33" i="33" s="1"/>
  <c r="BD33" i="33" s="1" a="1"/>
  <c r="AF7" i="33"/>
  <c r="AR7" i="33" s="1"/>
  <c r="BD7" i="33" s="1" a="1"/>
  <c r="AC53" i="33"/>
  <c r="AO53" i="33" s="1"/>
  <c r="BA53" i="33" s="1" a="1"/>
  <c r="R31" i="34"/>
  <c r="AD45" i="33"/>
  <c r="AP45" i="33" s="1"/>
  <c r="BB45" i="33" s="1" a="1"/>
  <c r="AB16" i="33"/>
  <c r="AN16" i="33" s="1"/>
  <c r="AZ16" i="33" s="1" a="1"/>
  <c r="AE16" i="33"/>
  <c r="AQ16" i="33" s="1"/>
  <c r="BC16" i="33" s="1" a="1"/>
  <c r="AC16" i="33"/>
  <c r="AO16" i="33" s="1"/>
  <c r="BA16" i="33" s="1" a="1"/>
  <c r="AF48" i="33"/>
  <c r="AR48" i="33" s="1"/>
  <c r="BD48" i="33" s="1" a="1"/>
  <c r="AD52" i="33"/>
  <c r="AP52" i="33" s="1"/>
  <c r="BB52" i="33" s="1" a="1"/>
  <c r="AF35" i="33"/>
  <c r="AR35" i="33" s="1"/>
  <c r="BD35" i="33" s="1" a="1"/>
  <c r="AE21" i="33"/>
  <c r="AQ21" i="33" s="1"/>
  <c r="BC21" i="33" s="1" a="1"/>
  <c r="AG52" i="33"/>
  <c r="AS52" i="33" s="1"/>
  <c r="BE52" i="33" s="1" a="1"/>
  <c r="AD13" i="33"/>
  <c r="AP13" i="33" s="1"/>
  <c r="BB13" i="33" s="1" a="1"/>
  <c r="AJ27" i="33"/>
  <c r="AV27" i="33" s="1"/>
  <c r="BH27" i="33" s="1" a="1"/>
  <c r="AF58" i="33"/>
  <c r="AR58" i="33" s="1"/>
  <c r="BD58" i="33" s="1" a="1"/>
  <c r="AI39" i="33"/>
  <c r="AU39" i="33" s="1"/>
  <c r="BG39" i="33" s="1" a="1"/>
  <c r="AD11" i="33"/>
  <c r="AP11" i="33" s="1"/>
  <c r="BB11" i="33" s="1" a="1"/>
  <c r="AI11" i="33"/>
  <c r="AU11" i="33" s="1"/>
  <c r="BG11" i="33" s="1" a="1"/>
  <c r="AC19" i="33"/>
  <c r="AO19" i="33" s="1"/>
  <c r="BA19" i="33" s="1" a="1"/>
  <c r="AC24" i="33"/>
  <c r="AO24" i="33" s="1"/>
  <c r="BA24" i="33" s="1" a="1"/>
  <c r="AE24" i="33"/>
  <c r="AQ24" i="33" s="1"/>
  <c r="BC24" i="33" s="1" a="1"/>
  <c r="AE43" i="33"/>
  <c r="AQ43" i="33" s="1"/>
  <c r="BC43" i="33" s="1" a="1"/>
  <c r="AJ43" i="33"/>
  <c r="AV43" i="33" s="1"/>
  <c r="BH43" i="33" s="1" a="1"/>
  <c r="AH33" i="33"/>
  <c r="AT33" i="33" s="1"/>
  <c r="BF33" i="33" s="1" a="1"/>
  <c r="AC54" i="33"/>
  <c r="AO54" i="33" s="1"/>
  <c r="BA54" i="33" s="1" a="1"/>
  <c r="AH40" i="33"/>
  <c r="AT40" i="33" s="1"/>
  <c r="BF40" i="33" s="1" a="1"/>
  <c r="S30" i="34"/>
  <c r="AE44" i="33"/>
  <c r="AQ44" i="33" s="1"/>
  <c r="BC44" i="33" s="1" a="1"/>
  <c r="AD34" i="33"/>
  <c r="AP34" i="33" s="1"/>
  <c r="BB34" i="33" s="1" a="1"/>
  <c r="AB49" i="33"/>
  <c r="AN49" i="33" s="1"/>
  <c r="AZ49" i="33" s="1" a="1"/>
  <c r="AJ35" i="33"/>
  <c r="AV35" i="33" s="1"/>
  <c r="BH35" i="33" s="1" a="1"/>
  <c r="U7" i="34"/>
  <c r="AG6" i="33"/>
  <c r="AS6" i="33" s="1"/>
  <c r="BE6" i="33" s="1" a="1"/>
  <c r="AE35" i="33"/>
  <c r="AQ35" i="33" s="1"/>
  <c r="BC35" i="33" s="1" a="1"/>
  <c r="AE41" i="33"/>
  <c r="AQ41" i="33" s="1"/>
  <c r="BC41" i="33" s="1" a="1"/>
  <c r="AH56" i="33"/>
  <c r="AT56" i="33" s="1"/>
  <c r="BF56" i="33" s="1" a="1"/>
  <c r="AC4" i="33"/>
  <c r="AO4" i="33" s="1"/>
  <c r="BA4" i="33" s="1" a="1"/>
  <c r="AB55" i="33"/>
  <c r="AN55" i="33" s="1"/>
  <c r="AZ55" i="33" s="1" a="1"/>
  <c r="AJ23" i="33"/>
  <c r="AV23" i="33" s="1"/>
  <c r="BH23" i="33" s="1" a="1"/>
  <c r="AJ8" i="33"/>
  <c r="AV8" i="33" s="1"/>
  <c r="BH8" i="33" s="1" a="1"/>
  <c r="AI54" i="33"/>
  <c r="AU54" i="33" s="1"/>
  <c r="BG54" i="33" s="1" a="1"/>
  <c r="AI37" i="33"/>
  <c r="AU37" i="33" s="1"/>
  <c r="BG37" i="33" s="1" a="1"/>
  <c r="AD50" i="33"/>
  <c r="AP50" i="33" s="1"/>
  <c r="BB50" i="33" s="1" a="1"/>
  <c r="AF26" i="33"/>
  <c r="AR26" i="33" s="1"/>
  <c r="BD26" i="33" s="1" a="1"/>
  <c r="AJ57" i="33"/>
  <c r="AV57" i="33" s="1"/>
  <c r="BH57" i="33" s="1" a="1"/>
  <c r="AI50" i="33"/>
  <c r="AU50" i="33" s="1"/>
  <c r="BG50" i="33" s="1" a="1"/>
  <c r="AI34" i="33"/>
  <c r="AU34" i="33" s="1"/>
  <c r="BG34" i="33" s="1" a="1"/>
  <c r="AB19" i="33"/>
  <c r="AN19" i="33" s="1"/>
  <c r="AZ19" i="33" s="1" a="1"/>
  <c r="AJ14" i="33"/>
  <c r="AV14" i="33" s="1"/>
  <c r="BH14" i="33" s="1" a="1"/>
  <c r="X18" i="34"/>
  <c r="X18" i="35" s="1"/>
  <c r="AJ18" i="35" s="1"/>
  <c r="AV18" i="35" s="1"/>
  <c r="BH18" i="35" s="1" a="1"/>
  <c r="AJ18" i="33"/>
  <c r="AV18" i="33" s="1"/>
  <c r="BH18" i="33" s="1" a="1"/>
  <c r="AD20" i="33"/>
  <c r="AP20" i="33" s="1"/>
  <c r="BB20" i="33" s="1" a="1"/>
  <c r="AE51" i="33"/>
  <c r="AQ51" i="33" s="1"/>
  <c r="BC51" i="33" s="1" a="1"/>
  <c r="AB28" i="33"/>
  <c r="AN28" i="33" s="1"/>
  <c r="AZ28" i="33" s="1" a="1"/>
  <c r="AF19" i="33"/>
  <c r="AR19" i="33" s="1"/>
  <c r="BD19" i="33" s="1" a="1"/>
  <c r="AC34" i="33"/>
  <c r="AO34" i="33" s="1"/>
  <c r="BA34" i="33" s="1" a="1"/>
  <c r="AD19" i="33"/>
  <c r="AP19" i="33" s="1"/>
  <c r="BB19" i="33" s="1" a="1"/>
  <c r="AI22" i="33"/>
  <c r="AU22" i="33" s="1"/>
  <c r="BG22" i="33" s="1" a="1"/>
  <c r="AE22" i="33"/>
  <c r="AQ22" i="33" s="1"/>
  <c r="BC22" i="33" s="1" a="1"/>
  <c r="AD53" i="33"/>
  <c r="AP53" i="33" s="1"/>
  <c r="BB53" i="33" s="1" a="1"/>
  <c r="AJ22" i="33"/>
  <c r="AV22" i="33" s="1"/>
  <c r="BH22" i="33" s="1" a="1"/>
  <c r="V31" i="34"/>
  <c r="AH45" i="33"/>
  <c r="AT45" i="33" s="1"/>
  <c r="BF45" i="33" s="1" a="1"/>
  <c r="T31" i="34"/>
  <c r="AF45" i="33"/>
  <c r="AR45" i="33" s="1"/>
  <c r="BD45" i="33" s="1" a="1"/>
  <c r="P31" i="34"/>
  <c r="AB45" i="33"/>
  <c r="AN45" i="33" s="1"/>
  <c r="AZ45" i="33" s="1" a="1"/>
  <c r="AI35" i="33"/>
  <c r="AU35" i="33" s="1"/>
  <c r="BG35" i="33" s="1" a="1"/>
  <c r="AI21" i="33"/>
  <c r="AU21" i="33" s="1"/>
  <c r="BG21" i="33" s="1" a="1"/>
  <c r="AF38" i="33"/>
  <c r="AR38" i="33" s="1"/>
  <c r="BD38" i="33" s="1" a="1"/>
  <c r="AE38" i="33"/>
  <c r="AQ38" i="33" s="1"/>
  <c r="BC38" i="33" s="1" a="1"/>
  <c r="AC60" i="33"/>
  <c r="AO60" i="33" s="1"/>
  <c r="BA60" i="33" s="1" a="1"/>
  <c r="AE8" i="33"/>
  <c r="AQ8" i="33" s="1"/>
  <c r="BC8" i="33" s="1" a="1"/>
  <c r="AB37" i="33"/>
  <c r="AN37" i="33" s="1"/>
  <c r="AZ37" i="33" s="1" a="1"/>
  <c r="AD23" i="33"/>
  <c r="AP23" i="33" s="1"/>
  <c r="BB23" i="33" s="1" a="1"/>
  <c r="AE57" i="33"/>
  <c r="AQ57" i="33" s="1"/>
  <c r="BC57" i="33" s="1" a="1"/>
  <c r="Q22" i="34"/>
  <c r="W27" i="34"/>
  <c r="R24" i="34"/>
  <c r="K20" i="34"/>
  <c r="Q19" i="34"/>
  <c r="Z21" i="34"/>
  <c r="V28" i="34"/>
  <c r="Z27" i="34"/>
  <c r="W26" i="34"/>
  <c r="J24" i="34"/>
  <c r="U29" i="34"/>
  <c r="Q28" i="34"/>
  <c r="T21" i="34"/>
  <c r="Y24" i="34"/>
  <c r="G20" i="34"/>
  <c r="J25" i="34"/>
  <c r="J14" i="34"/>
  <c r="D28" i="34"/>
  <c r="J22" i="34"/>
  <c r="J27" i="34"/>
  <c r="R25" i="34"/>
  <c r="D24" i="34"/>
  <c r="H23" i="34"/>
  <c r="T26" i="34"/>
  <c r="AA22" i="34"/>
  <c r="I21" i="34"/>
  <c r="F21" i="34"/>
  <c r="R27" i="34"/>
  <c r="K23" i="34"/>
  <c r="J26" i="34"/>
  <c r="AA26" i="34"/>
  <c r="P20" i="34"/>
  <c r="Z20" i="34"/>
  <c r="J21" i="34"/>
  <c r="X23" i="34"/>
  <c r="Z28" i="34"/>
  <c r="S28" i="34"/>
  <c r="T20" i="34"/>
  <c r="H22" i="34"/>
  <c r="Q21" i="34"/>
  <c r="V27" i="34"/>
  <c r="P25" i="34"/>
  <c r="I24" i="34"/>
  <c r="Q26" i="34"/>
  <c r="E19" i="34"/>
  <c r="W25" i="34"/>
  <c r="V26" i="34"/>
  <c r="F28" i="34"/>
  <c r="X20" i="34"/>
  <c r="G22" i="34"/>
  <c r="K21" i="34"/>
  <c r="W21" i="34"/>
  <c r="AA27" i="34"/>
  <c r="S24" i="34"/>
  <c r="P9" i="34"/>
  <c r="E27" i="34"/>
  <c r="P29" i="34"/>
  <c r="S23" i="34"/>
  <c r="H26" i="34"/>
  <c r="Y26" i="34"/>
  <c r="D26" i="34"/>
  <c r="Z25" i="34"/>
  <c r="T28" i="34"/>
  <c r="P28" i="34"/>
  <c r="V20" i="34"/>
  <c r="K22" i="34"/>
  <c r="Y21" i="34"/>
  <c r="I27" i="34"/>
  <c r="Q25" i="34"/>
  <c r="H25" i="34"/>
  <c r="G25" i="34"/>
  <c r="H29" i="34"/>
  <c r="E28" i="34"/>
  <c r="Y28" i="34"/>
  <c r="P22" i="34"/>
  <c r="H21" i="34"/>
  <c r="F27" i="34"/>
  <c r="T25" i="34"/>
  <c r="S19" i="34"/>
  <c r="Q24" i="34"/>
  <c r="F29" i="34"/>
  <c r="I23" i="34"/>
  <c r="G26" i="34"/>
  <c r="R22" i="34"/>
  <c r="D21" i="34"/>
  <c r="E21" i="34"/>
  <c r="W29" i="34"/>
  <c r="H20" i="34"/>
  <c r="S29" i="34"/>
  <c r="X29" i="34"/>
  <c r="V19" i="34"/>
  <c r="E23" i="34"/>
  <c r="J23" i="34"/>
  <c r="W28" i="34"/>
  <c r="V22" i="34"/>
  <c r="W22" i="34"/>
  <c r="U27" i="34"/>
  <c r="S27" i="34"/>
  <c r="F25" i="34"/>
  <c r="R29" i="34"/>
  <c r="W23" i="34"/>
  <c r="S26" i="34"/>
  <c r="P23" i="34"/>
  <c r="V21" i="34"/>
  <c r="U25" i="34"/>
  <c r="D29" i="34"/>
  <c r="K29" i="34"/>
  <c r="R28" i="34"/>
  <c r="G27" i="34"/>
  <c r="AA20" i="34"/>
  <c r="E22" i="34"/>
  <c r="K24" i="34"/>
  <c r="Z29" i="34"/>
  <c r="R23" i="34"/>
  <c r="Q23" i="34"/>
  <c r="K28" i="34"/>
  <c r="J20" i="34"/>
  <c r="Y27" i="34"/>
  <c r="V25" i="34"/>
  <c r="J28" i="34"/>
  <c r="Y22" i="34"/>
  <c r="F24" i="34"/>
  <c r="W24" i="34"/>
  <c r="Z24" i="34"/>
  <c r="I26" i="34"/>
  <c r="G28" i="34"/>
  <c r="F19" i="34"/>
  <c r="H27" i="34"/>
  <c r="T24" i="34"/>
  <c r="J29" i="34"/>
  <c r="V23" i="34"/>
  <c r="U26" i="34"/>
  <c r="G21" i="34"/>
  <c r="K25" i="34"/>
  <c r="AA25" i="34"/>
  <c r="G24" i="34"/>
  <c r="J19" i="34"/>
  <c r="X26" i="34"/>
  <c r="Y23" i="34"/>
  <c r="H28" i="34"/>
  <c r="F20" i="34"/>
  <c r="AA8" i="34"/>
  <c r="U22" i="34"/>
  <c r="S7" i="34"/>
  <c r="R21" i="34"/>
  <c r="P21" i="34"/>
  <c r="K27" i="34"/>
  <c r="X27" i="34"/>
  <c r="D13" i="34"/>
  <c r="F4" i="34"/>
  <c r="H10" i="34"/>
  <c r="U24" i="34"/>
  <c r="E24" i="34"/>
  <c r="T29" i="34"/>
  <c r="Y29" i="34"/>
  <c r="D23" i="34"/>
  <c r="G19" i="34"/>
  <c r="K26" i="34"/>
  <c r="D22" i="34"/>
  <c r="R19" i="34"/>
  <c r="X28" i="34"/>
  <c r="U28" i="34"/>
  <c r="S20" i="34"/>
  <c r="U19" i="34"/>
  <c r="AA21" i="34"/>
  <c r="D27" i="34"/>
  <c r="Q27" i="34"/>
  <c r="Y10" i="34"/>
  <c r="I29" i="34"/>
  <c r="AA29" i="34"/>
  <c r="G23" i="34"/>
  <c r="I28" i="34"/>
  <c r="E20" i="34"/>
  <c r="Q20" i="34"/>
  <c r="F22" i="34"/>
  <c r="U21" i="34"/>
  <c r="P27" i="34"/>
  <c r="Y25" i="34"/>
  <c r="P19" i="34"/>
  <c r="H24" i="34"/>
  <c r="AA24" i="34"/>
  <c r="V24" i="34"/>
  <c r="V29" i="34"/>
  <c r="F23" i="34"/>
  <c r="AA23" i="34"/>
  <c r="F26" i="34"/>
  <c r="E26" i="34"/>
  <c r="P26" i="34"/>
  <c r="R20" i="34"/>
  <c r="W20" i="34"/>
  <c r="X21" i="34"/>
  <c r="I25" i="34"/>
  <c r="X19" i="34"/>
  <c r="P24" i="34"/>
  <c r="X24" i="34"/>
  <c r="Q29" i="34"/>
  <c r="E29" i="34"/>
  <c r="G29" i="34"/>
  <c r="R26" i="34"/>
  <c r="Z26" i="34"/>
  <c r="I20" i="34"/>
  <c r="T23" i="34"/>
  <c r="N9" i="34"/>
  <c r="K19" i="34"/>
  <c r="X7" i="34"/>
  <c r="AA28" i="34"/>
  <c r="U20" i="34"/>
  <c r="X22" i="34"/>
  <c r="T27" i="34"/>
  <c r="X25" i="34"/>
  <c r="U23" i="34"/>
  <c r="AM31" i="34"/>
  <c r="AY31" i="34" s="1"/>
  <c r="BK31" i="34" s="1" a="1"/>
  <c r="J16" i="34"/>
  <c r="J4" i="34"/>
  <c r="F13" i="34"/>
  <c r="E4" i="34"/>
  <c r="I8" i="34"/>
  <c r="I16" i="34"/>
  <c r="T13" i="34"/>
  <c r="F9" i="34"/>
  <c r="D14" i="34"/>
  <c r="H5" i="34"/>
  <c r="D5" i="34"/>
  <c r="K17" i="34"/>
  <c r="E16" i="34"/>
  <c r="V7" i="34"/>
  <c r="Y12" i="34"/>
  <c r="H4" i="34"/>
  <c r="Y14" i="34"/>
  <c r="G9" i="34"/>
  <c r="P10" i="34"/>
  <c r="F14" i="34"/>
  <c r="M17" i="34"/>
  <c r="L7" i="34"/>
  <c r="I11" i="34"/>
  <c r="P16" i="34"/>
  <c r="W8" i="34"/>
  <c r="W7" i="34"/>
  <c r="X10" i="34"/>
  <c r="Z8" i="34"/>
  <c r="M16" i="34"/>
  <c r="D7" i="34"/>
  <c r="N11" i="34"/>
  <c r="AA4" i="34"/>
  <c r="D10" i="34"/>
  <c r="N4" i="34"/>
  <c r="D17" i="34"/>
  <c r="U16" i="34"/>
  <c r="E13" i="34"/>
  <c r="Z13" i="34"/>
  <c r="V5" i="34"/>
  <c r="F8" i="34"/>
  <c r="M13" i="34"/>
  <c r="Y4" i="34"/>
  <c r="T9" i="34"/>
  <c r="S12" i="34"/>
  <c r="E8" i="34"/>
  <c r="G4" i="34"/>
  <c r="G7" i="34"/>
  <c r="Z10" i="34"/>
  <c r="R14" i="34"/>
  <c r="D8" i="34"/>
  <c r="K11" i="34"/>
  <c r="K15" i="34"/>
  <c r="F17" i="34"/>
  <c r="Q16" i="34"/>
  <c r="W4" i="34"/>
  <c r="K12" i="34"/>
  <c r="L4" i="34"/>
  <c r="X14" i="34"/>
  <c r="O14" i="34"/>
  <c r="M14" i="34"/>
  <c r="W14" i="34"/>
  <c r="F5" i="34"/>
  <c r="U17" i="34"/>
  <c r="O16" i="34"/>
  <c r="K16" i="34"/>
  <c r="H16" i="34"/>
  <c r="X16" i="34"/>
  <c r="H13" i="34"/>
  <c r="Z11" i="34"/>
  <c r="Q4" i="34"/>
  <c r="AA10" i="34"/>
  <c r="S10" i="34"/>
  <c r="Q10" i="34"/>
  <c r="U10" i="34"/>
  <c r="M15" i="34"/>
  <c r="AA15" i="34"/>
  <c r="AA12" i="34"/>
  <c r="K5" i="34"/>
  <c r="O5" i="34"/>
  <c r="G8" i="34"/>
  <c r="H17" i="34"/>
  <c r="Y13" i="34"/>
  <c r="V11" i="34"/>
  <c r="F10" i="34"/>
  <c r="N15" i="34"/>
  <c r="L15" i="34"/>
  <c r="D15" i="34"/>
  <c r="H12" i="34"/>
  <c r="F12" i="34"/>
  <c r="Y15" i="34"/>
  <c r="R7" i="34"/>
  <c r="K13" i="34"/>
  <c r="D11" i="34"/>
  <c r="K9" i="34"/>
  <c r="V9" i="34"/>
  <c r="E9" i="34"/>
  <c r="N14" i="34"/>
  <c r="Q5" i="34"/>
  <c r="Z17" i="34"/>
  <c r="M9" i="34"/>
  <c r="U14" i="34"/>
  <c r="W13" i="34"/>
  <c r="Q11" i="34"/>
  <c r="E10" i="34"/>
  <c r="P15" i="34"/>
  <c r="R15" i="34"/>
  <c r="J9" i="34"/>
  <c r="D9" i="34"/>
  <c r="L12" i="34"/>
  <c r="Q12" i="34"/>
  <c r="I14" i="34"/>
  <c r="X5" i="34"/>
  <c r="X4" i="34"/>
  <c r="Y16" i="34"/>
  <c r="Q7" i="34"/>
  <c r="N7" i="34"/>
  <c r="U13" i="34"/>
  <c r="W5" i="34"/>
  <c r="L5" i="34"/>
  <c r="I4" i="34"/>
  <c r="J13" i="34"/>
  <c r="E14" i="34"/>
  <c r="P14" i="34"/>
  <c r="Q14" i="34"/>
  <c r="P5" i="34"/>
  <c r="U4" i="34"/>
  <c r="H8" i="34"/>
  <c r="K8" i="34"/>
  <c r="V16" i="34"/>
  <c r="T16" i="34"/>
  <c r="F16" i="34"/>
  <c r="T7" i="34"/>
  <c r="J7" i="34"/>
  <c r="Q13" i="34"/>
  <c r="N13" i="34"/>
  <c r="M11" i="34"/>
  <c r="U11" i="34"/>
  <c r="G11" i="34"/>
  <c r="E11" i="34"/>
  <c r="Z4" i="34"/>
  <c r="R4" i="34"/>
  <c r="L10" i="34"/>
  <c r="N10" i="34"/>
  <c r="J10" i="34"/>
  <c r="T10" i="34"/>
  <c r="J15" i="34"/>
  <c r="H9" i="34"/>
  <c r="W12" i="34"/>
  <c r="AA14" i="34"/>
  <c r="Z14" i="34"/>
  <c r="H14" i="34"/>
  <c r="G5" i="34"/>
  <c r="I5" i="34"/>
  <c r="P8" i="34"/>
  <c r="T17" i="34"/>
  <c r="N16" i="34"/>
  <c r="L16" i="34"/>
  <c r="F7" i="34"/>
  <c r="X13" i="34"/>
  <c r="L13" i="34"/>
  <c r="F11" i="34"/>
  <c r="H11" i="34"/>
  <c r="M4" i="34"/>
  <c r="V10" i="34"/>
  <c r="M10" i="34"/>
  <c r="Q15" i="34"/>
  <c r="Q9" i="34"/>
  <c r="E12" i="34"/>
  <c r="F15" i="34"/>
  <c r="M8" i="34"/>
  <c r="O8" i="34"/>
  <c r="S17" i="34"/>
  <c r="AA17" i="34"/>
  <c r="AA16" i="34"/>
  <c r="Z7" i="34"/>
  <c r="H15" i="34"/>
  <c r="W15" i="34"/>
  <c r="G10" i="34"/>
  <c r="V17" i="34"/>
  <c r="O9" i="34"/>
  <c r="U9" i="34"/>
  <c r="W9" i="34"/>
  <c r="R12" i="34"/>
  <c r="Q17" i="34"/>
  <c r="Y11" i="34"/>
  <c r="J11" i="34"/>
  <c r="Z15" i="34"/>
  <c r="U15" i="34"/>
  <c r="Y9" i="34"/>
  <c r="G12" i="34"/>
  <c r="V14" i="34"/>
  <c r="T14" i="34"/>
  <c r="AM18" i="34"/>
  <c r="AY18" i="34" s="1"/>
  <c r="BK18" i="34" s="1" a="1"/>
  <c r="T8" i="34"/>
  <c r="I17" i="34"/>
  <c r="S16" i="34"/>
  <c r="O7" i="34"/>
  <c r="I7" i="34"/>
  <c r="G13" i="34"/>
  <c r="R13" i="34"/>
  <c r="R11" i="34"/>
  <c r="W11" i="34"/>
  <c r="G15" i="34"/>
  <c r="O15" i="34"/>
  <c r="K4" i="34"/>
  <c r="O12" i="34"/>
  <c r="I13" i="34"/>
  <c r="X9" i="34"/>
  <c r="Z5" i="34"/>
  <c r="E5" i="34"/>
  <c r="L8" i="34"/>
  <c r="D16" i="34"/>
  <c r="S11" i="34"/>
  <c r="K10" i="34"/>
  <c r="I10" i="34"/>
  <c r="S9" i="34"/>
  <c r="J12" i="34"/>
  <c r="T5" i="34"/>
  <c r="N8" i="34"/>
  <c r="S8" i="34"/>
  <c r="S13" i="34"/>
  <c r="Z9" i="34"/>
  <c r="AA9" i="34"/>
  <c r="X17" i="34"/>
  <c r="G14" i="34"/>
  <c r="AK18" i="34"/>
  <c r="AW18" i="34" s="1"/>
  <c r="BI18" i="34" s="1" a="1"/>
  <c r="N5" i="34"/>
  <c r="Y5" i="34"/>
  <c r="U5" i="34"/>
  <c r="X8" i="34"/>
  <c r="N17" i="34"/>
  <c r="O17" i="34"/>
  <c r="E17" i="34"/>
  <c r="G17" i="34"/>
  <c r="R17" i="34"/>
  <c r="P17" i="34"/>
  <c r="P4" i="34"/>
  <c r="P13" i="34"/>
  <c r="AA13" i="34"/>
  <c r="R9" i="34"/>
  <c r="U12" i="34"/>
  <c r="N12" i="34"/>
  <c r="V4" i="34"/>
  <c r="S5" i="34"/>
  <c r="O4" i="34"/>
  <c r="J17" i="34"/>
  <c r="X11" i="34"/>
  <c r="L11" i="34"/>
  <c r="O11" i="34"/>
  <c r="O10" i="34"/>
  <c r="T12" i="34"/>
  <c r="L14" i="34"/>
  <c r="R5" i="34"/>
  <c r="M5" i="34"/>
  <c r="V8" i="34"/>
  <c r="Q8" i="34"/>
  <c r="U8" i="34"/>
  <c r="Y8" i="34"/>
  <c r="Z16" i="34"/>
  <c r="R16" i="34"/>
  <c r="G16" i="34"/>
  <c r="W16" i="34"/>
  <c r="AA7" i="34"/>
  <c r="V13" i="34"/>
  <c r="P11" i="34"/>
  <c r="T4" i="34"/>
  <c r="X15" i="34"/>
  <c r="V15" i="34"/>
  <c r="T15" i="34"/>
  <c r="I12" i="34"/>
  <c r="D12" i="34"/>
  <c r="S14" i="34"/>
  <c r="AA5" i="34"/>
  <c r="J8" i="34"/>
  <c r="Y17" i="34"/>
  <c r="W17" i="34"/>
  <c r="E7" i="34"/>
  <c r="W10" i="34"/>
  <c r="E15" i="34"/>
  <c r="I9" i="34"/>
  <c r="L9" i="34"/>
  <c r="M12" i="34"/>
  <c r="X12" i="34"/>
  <c r="K14" i="34"/>
  <c r="J5" i="34"/>
  <c r="S4" i="34"/>
  <c r="R8" i="34"/>
  <c r="L17" i="34"/>
  <c r="K7" i="34"/>
  <c r="P7" i="34"/>
  <c r="T11" i="34"/>
  <c r="AA11" i="34"/>
  <c r="S15" i="34"/>
  <c r="I15" i="34"/>
  <c r="V12" i="34"/>
  <c r="Z12" i="34"/>
  <c r="AL18" i="34"/>
  <c r="AX18" i="34" s="1"/>
  <c r="BJ18" i="34" s="1" a="1"/>
  <c r="AL49" i="33"/>
  <c r="AX49" i="33" s="1"/>
  <c r="BJ49" i="33" s="1" a="1"/>
  <c r="AL54" i="33"/>
  <c r="AX54" i="33" s="1"/>
  <c r="BJ54" i="33" s="1" a="1"/>
  <c r="AL55" i="33"/>
  <c r="AX55" i="33" s="1"/>
  <c r="BJ55" i="33" s="1" a="1"/>
  <c r="AL58" i="33"/>
  <c r="AX58" i="33" s="1"/>
  <c r="BJ58" i="33" s="1" a="1"/>
  <c r="AM58" i="33"/>
  <c r="AY58" i="33" s="1"/>
  <c r="BK58" i="33" s="1" a="1"/>
  <c r="AL60" i="33"/>
  <c r="AX60" i="33" s="1"/>
  <c r="BJ60" i="33" s="1" a="1"/>
  <c r="AM57" i="33"/>
  <c r="AY57" i="33" s="1"/>
  <c r="BK57" i="33" s="1" a="1"/>
  <c r="AK50" i="33"/>
  <c r="AW50" i="33" s="1"/>
  <c r="BI50" i="33" s="1" a="1"/>
  <c r="AM56" i="33"/>
  <c r="AY56" i="33" s="1"/>
  <c r="BK56" i="33" s="1" a="1"/>
  <c r="AL53" i="33"/>
  <c r="AX53" i="33" s="1"/>
  <c r="BJ53" i="33" s="1" a="1"/>
  <c r="AL57" i="33"/>
  <c r="AX57" i="33" s="1"/>
  <c r="BJ57" i="33" s="1" a="1"/>
  <c r="AK48" i="33"/>
  <c r="AW48" i="33" s="1"/>
  <c r="BI48" i="33" s="1" a="1"/>
  <c r="AM53" i="33"/>
  <c r="AY53" i="33" s="1"/>
  <c r="BK53" i="33" s="1" a="1"/>
  <c r="AM55" i="33"/>
  <c r="AY55" i="33" s="1"/>
  <c r="BK55" i="33" s="1" a="1"/>
  <c r="AK55" i="33"/>
  <c r="AW55" i="33" s="1"/>
  <c r="BI55" i="33" s="1" a="1"/>
  <c r="AK58" i="33"/>
  <c r="AW58" i="33" s="1"/>
  <c r="BI58" i="33" s="1" a="1"/>
  <c r="AM48" i="33"/>
  <c r="AY48" i="33" s="1"/>
  <c r="BK48" i="33" s="1" a="1"/>
  <c r="AL48" i="33"/>
  <c r="AX48" i="33" s="1"/>
  <c r="BJ48" i="33" s="1" a="1"/>
  <c r="AM59" i="33"/>
  <c r="AY59" i="33" s="1"/>
  <c r="BK59" i="33" s="1" a="1"/>
  <c r="AK51" i="33"/>
  <c r="AW51" i="33" s="1"/>
  <c r="BI51" i="33" s="1" a="1"/>
  <c r="AK52" i="33"/>
  <c r="AW52" i="33" s="1"/>
  <c r="BI52" i="33" s="1" a="1"/>
  <c r="AL59" i="33"/>
  <c r="AX59" i="33" s="1"/>
  <c r="BJ59" i="33" s="1" a="1"/>
  <c r="AK54" i="33"/>
  <c r="AW54" i="33" s="1"/>
  <c r="BI54" i="33" s="1" a="1"/>
  <c r="AL51" i="33"/>
  <c r="AX51" i="33" s="1"/>
  <c r="BJ51" i="33" s="1" a="1"/>
  <c r="AK60" i="33"/>
  <c r="AW60" i="33" s="1"/>
  <c r="BI60" i="33" s="1" a="1"/>
  <c r="AM50" i="33"/>
  <c r="AY50" i="33" s="1"/>
  <c r="BK50" i="33" s="1" a="1"/>
  <c r="AM52" i="33"/>
  <c r="AY52" i="33" s="1"/>
  <c r="BK52" i="33" s="1" a="1"/>
  <c r="AL56" i="33"/>
  <c r="AX56" i="33" s="1"/>
  <c r="BJ56" i="33" s="1" a="1"/>
  <c r="AL50" i="33"/>
  <c r="AX50" i="33" s="1"/>
  <c r="BJ50" i="33" s="1" a="1"/>
  <c r="AM51" i="33"/>
  <c r="AY51" i="33" s="1"/>
  <c r="BK51" i="33" s="1" a="1"/>
  <c r="AM60" i="33"/>
  <c r="AY60" i="33" s="1"/>
  <c r="BK60" i="33" s="1" a="1"/>
  <c r="AK53" i="33"/>
  <c r="AW53" i="33" s="1"/>
  <c r="BI53" i="33" s="1" a="1"/>
  <c r="AL52" i="33"/>
  <c r="AX52" i="33" s="1"/>
  <c r="BJ52" i="33" s="1" a="1"/>
  <c r="AK57" i="33"/>
  <c r="AW57" i="33" s="1"/>
  <c r="BI57" i="33" s="1" a="1"/>
  <c r="AK49" i="33"/>
  <c r="AW49" i="33" s="1"/>
  <c r="BI49" i="33" s="1" a="1"/>
  <c r="AK59" i="33"/>
  <c r="AW59" i="33" s="1"/>
  <c r="BI59" i="33" s="1" a="1"/>
  <c r="AM49" i="33"/>
  <c r="AY49" i="33" s="1"/>
  <c r="BK49" i="33" s="1" a="1"/>
  <c r="AK56" i="33"/>
  <c r="AW56" i="33" s="1"/>
  <c r="BI56" i="33" s="1" a="1"/>
  <c r="AM54" i="33"/>
  <c r="AY54" i="33" s="1"/>
  <c r="BK54" i="33" s="1" a="1"/>
  <c r="AM33" i="33"/>
  <c r="AK44" i="33"/>
  <c r="AW44" i="33" s="1"/>
  <c r="BI44" i="33" s="1" a="1"/>
  <c r="AL37" i="33"/>
  <c r="AX37" i="33" s="1"/>
  <c r="BJ37" i="33" s="1" a="1"/>
  <c r="AM27" i="33"/>
  <c r="AY27" i="33" s="1"/>
  <c r="BK27" i="33" s="1" a="1"/>
  <c r="AM41" i="33"/>
  <c r="AY41" i="33" s="1"/>
  <c r="BK41" i="33" s="1" a="1"/>
  <c r="AL41" i="33"/>
  <c r="AX41" i="33" s="1"/>
  <c r="BJ41" i="33" s="1" a="1"/>
  <c r="AM36" i="33"/>
  <c r="AY36" i="33" s="1"/>
  <c r="BK36" i="33" s="1" a="1"/>
  <c r="AL43" i="33"/>
  <c r="AX43" i="33" s="1"/>
  <c r="BJ43" i="33" s="1" a="1"/>
  <c r="AK37" i="33"/>
  <c r="AW37" i="33" s="1"/>
  <c r="BI37" i="33" s="1" a="1"/>
  <c r="AK45" i="33"/>
  <c r="AW45" i="33" s="1"/>
  <c r="BI45" i="33" s="1" a="1"/>
  <c r="AL33" i="33"/>
  <c r="AL27" i="33"/>
  <c r="AX27" i="33" s="1"/>
  <c r="BJ27" i="33" s="1" a="1"/>
  <c r="AM45" i="33"/>
  <c r="AY45" i="33" s="1"/>
  <c r="BK45" i="33" s="1" a="1"/>
  <c r="AM35" i="33"/>
  <c r="AY35" i="33" s="1"/>
  <c r="BK35" i="33" s="1" a="1"/>
  <c r="AL34" i="33"/>
  <c r="AX34" i="33" s="1"/>
  <c r="BJ34" i="33" s="1" a="1"/>
  <c r="AM39" i="33"/>
  <c r="AY39" i="33" s="1"/>
  <c r="BK39" i="33" s="1" a="1"/>
  <c r="AM42" i="33"/>
  <c r="AY42" i="33" s="1"/>
  <c r="BK42" i="33" s="1" a="1"/>
  <c r="AK33" i="33"/>
  <c r="AL35" i="33"/>
  <c r="AX35" i="33" s="1"/>
  <c r="BJ35" i="33" s="1" a="1"/>
  <c r="AK34" i="33"/>
  <c r="AW34" i="33" s="1"/>
  <c r="BI34" i="33" s="1" a="1"/>
  <c r="AL45" i="33"/>
  <c r="AX45" i="33" s="1"/>
  <c r="BJ45" i="33" s="1" a="1"/>
  <c r="AL39" i="33"/>
  <c r="AX39" i="33" s="1"/>
  <c r="BJ39" i="33" s="1" a="1"/>
  <c r="AM34" i="33"/>
  <c r="AY34" i="33" s="1"/>
  <c r="BK34" i="33" s="1" a="1"/>
  <c r="AK39" i="33"/>
  <c r="AW39" i="33" s="1"/>
  <c r="BI39" i="33" s="1" a="1"/>
  <c r="AM38" i="33"/>
  <c r="AY38" i="33" s="1"/>
  <c r="BK38" i="33" s="1" a="1"/>
  <c r="AL24" i="33"/>
  <c r="AX24" i="33" s="1"/>
  <c r="BJ24" i="33" s="1" a="1"/>
  <c r="AK42" i="33"/>
  <c r="AW42" i="33" s="1"/>
  <c r="BI42" i="33" s="1" a="1"/>
  <c r="AK43" i="33"/>
  <c r="AW43" i="33" s="1"/>
  <c r="BI43" i="33" s="1" a="1"/>
  <c r="AM44" i="33"/>
  <c r="AY44" i="33" s="1"/>
  <c r="BK44" i="33" s="1" a="1"/>
  <c r="AK35" i="33"/>
  <c r="AW35" i="33" s="1"/>
  <c r="BI35" i="33" s="1" a="1"/>
  <c r="AK36" i="33"/>
  <c r="AW36" i="33" s="1"/>
  <c r="BI36" i="33" s="1" a="1"/>
  <c r="AM40" i="33"/>
  <c r="AY40" i="33" s="1"/>
  <c r="BK40" i="33" s="1" a="1"/>
  <c r="AK41" i="33"/>
  <c r="AW41" i="33" s="1"/>
  <c r="BI41" i="33" s="1" a="1"/>
  <c r="AM37" i="33"/>
  <c r="AY37" i="33" s="1"/>
  <c r="BK37" i="33" s="1" a="1"/>
  <c r="AL38" i="33"/>
  <c r="AX38" i="33" s="1"/>
  <c r="BJ38" i="33" s="1" a="1"/>
  <c r="AL40" i="33"/>
  <c r="AX40" i="33" s="1"/>
  <c r="BJ40" i="33" s="1" a="1"/>
  <c r="AL42" i="33"/>
  <c r="AX42" i="33" s="1"/>
  <c r="BJ42" i="33" s="1" a="1"/>
  <c r="AM43" i="33"/>
  <c r="AY43" i="33" s="1"/>
  <c r="BK43" i="33" s="1" a="1"/>
  <c r="AK38" i="33"/>
  <c r="AW38" i="33" s="1"/>
  <c r="BI38" i="33" s="1" a="1"/>
  <c r="AK40" i="33"/>
  <c r="AW40" i="33" s="1"/>
  <c r="BI40" i="33" s="1" a="1"/>
  <c r="AL36" i="33"/>
  <c r="AX36" i="33" s="1"/>
  <c r="BJ36" i="33" s="1" a="1"/>
  <c r="AL44" i="33"/>
  <c r="AX44" i="33" s="1"/>
  <c r="BJ44" i="33" s="1" a="1"/>
  <c r="AK27" i="33"/>
  <c r="AW27" i="33" s="1"/>
  <c r="BI27" i="33" s="1" a="1"/>
  <c r="AM24" i="33"/>
  <c r="AY24" i="33" s="1"/>
  <c r="BK24" i="33" s="1" a="1"/>
  <c r="AM23" i="33"/>
  <c r="AY23" i="33" s="1"/>
  <c r="BK23" i="33" s="1" a="1"/>
  <c r="AK30" i="33"/>
  <c r="AW30" i="33" s="1"/>
  <c r="BI30" i="33" s="1" a="1"/>
  <c r="AM19" i="33"/>
  <c r="AY19" i="33" s="1"/>
  <c r="BK19" i="33" s="1" a="1"/>
  <c r="AM17" i="33"/>
  <c r="AY17" i="33" s="1"/>
  <c r="BK17" i="33" s="1" a="1"/>
  <c r="AK24" i="33"/>
  <c r="AW24" i="33" s="1"/>
  <c r="BI24" i="33" s="1" a="1"/>
  <c r="AM25" i="33"/>
  <c r="AY25" i="33" s="1"/>
  <c r="BK25" i="33" s="1" a="1"/>
  <c r="AM28" i="33"/>
  <c r="AY28" i="33" s="1"/>
  <c r="BK28" i="33" s="1" a="1"/>
  <c r="AK25" i="33"/>
  <c r="AW25" i="33" s="1"/>
  <c r="BI25" i="33" s="1" a="1"/>
  <c r="AK21" i="33"/>
  <c r="AW21" i="33" s="1"/>
  <c r="BI21" i="33" s="1" a="1"/>
  <c r="AL23" i="33"/>
  <c r="AX23" i="33" s="1"/>
  <c r="BJ23" i="33" s="1" a="1"/>
  <c r="AL19" i="33"/>
  <c r="AX19" i="33" s="1"/>
  <c r="BJ19" i="33" s="1" a="1"/>
  <c r="AK19" i="33"/>
  <c r="AW19" i="33" s="1"/>
  <c r="BI19" i="33" s="1" a="1"/>
  <c r="AM22" i="33"/>
  <c r="AY22" i="33" s="1"/>
  <c r="BK22" i="33" s="1" a="1"/>
  <c r="AL25" i="33"/>
  <c r="AX25" i="33" s="1"/>
  <c r="BJ25" i="33" s="1" a="1"/>
  <c r="AK28" i="33"/>
  <c r="AW28" i="33" s="1"/>
  <c r="BI28" i="33" s="1" a="1"/>
  <c r="AL21" i="33"/>
  <c r="AX21" i="33" s="1"/>
  <c r="BJ21" i="33" s="1" a="1"/>
  <c r="AK29" i="33"/>
  <c r="AW29" i="33" s="1"/>
  <c r="BI29" i="33" s="1" a="1"/>
  <c r="AL26" i="33"/>
  <c r="AX26" i="33" s="1"/>
  <c r="BJ26" i="33" s="1" a="1"/>
  <c r="AM20" i="33"/>
  <c r="AY20" i="33" s="1"/>
  <c r="BK20" i="33" s="1" a="1"/>
  <c r="AL28" i="33"/>
  <c r="AX28" i="33" s="1"/>
  <c r="BJ28" i="33" s="1" a="1"/>
  <c r="AM30" i="33"/>
  <c r="AY30" i="33" s="1"/>
  <c r="BK30" i="33" s="1" a="1"/>
  <c r="AL20" i="33"/>
  <c r="AX20" i="33" s="1"/>
  <c r="BJ20" i="33" s="1" a="1"/>
  <c r="AL22" i="33"/>
  <c r="AX22" i="33" s="1"/>
  <c r="BJ22" i="33" s="1" a="1"/>
  <c r="AM26" i="33"/>
  <c r="AY26" i="33" s="1"/>
  <c r="BK26" i="33" s="1" a="1"/>
  <c r="AL29" i="33"/>
  <c r="AX29" i="33" s="1"/>
  <c r="BJ29" i="33" s="1" a="1"/>
  <c r="AK22" i="33"/>
  <c r="AW22" i="33" s="1"/>
  <c r="BI22" i="33" s="1" a="1"/>
  <c r="AL30" i="33"/>
  <c r="AX30" i="33" s="1"/>
  <c r="BJ30" i="33" s="1" a="1"/>
  <c r="AM29" i="33"/>
  <c r="AY29" i="33" s="1"/>
  <c r="BK29" i="33" s="1" a="1"/>
  <c r="AK23" i="33"/>
  <c r="AW23" i="33" s="1"/>
  <c r="BI23" i="33" s="1" a="1"/>
  <c r="AK26" i="33"/>
  <c r="AW26" i="33" s="1"/>
  <c r="BI26" i="33" s="1" a="1"/>
  <c r="AM21" i="33"/>
  <c r="AY21" i="33" s="1"/>
  <c r="BK21" i="33" s="1" a="1"/>
  <c r="AK20" i="33"/>
  <c r="AW20" i="33" s="1"/>
  <c r="BI20" i="33" s="1" a="1"/>
  <c r="AL17" i="33"/>
  <c r="AX17" i="33" s="1"/>
  <c r="BJ17" i="33" s="1" a="1"/>
  <c r="AK17" i="33"/>
  <c r="AW17" i="33" s="1"/>
  <c r="BI17" i="33" s="1" a="1"/>
  <c r="AM10" i="33"/>
  <c r="AY10" i="33" s="1"/>
  <c r="BK10" i="33" s="1" a="1"/>
  <c r="AK7" i="33"/>
  <c r="AW7" i="33" s="1"/>
  <c r="BI7" i="33" s="1" a="1"/>
  <c r="K21" i="17"/>
  <c r="AL12" i="33"/>
  <c r="AX12" i="33" s="1"/>
  <c r="BJ12" i="33" s="1" a="1"/>
  <c r="AK16" i="33"/>
  <c r="AW16" i="33" s="1"/>
  <c r="BI16" i="33" s="1" a="1"/>
  <c r="AK6" i="33"/>
  <c r="AW6" i="33" s="1"/>
  <c r="BI6" i="33" s="1" a="1"/>
  <c r="AM6" i="33"/>
  <c r="AY6" i="33" s="1"/>
  <c r="BK6" i="33" s="1" a="1"/>
  <c r="AL4" i="33"/>
  <c r="AX4" i="33" s="1"/>
  <c r="BJ4" i="33" s="1" a="1"/>
  <c r="AK11" i="33"/>
  <c r="AW11" i="33" s="1"/>
  <c r="BI11" i="33" s="1" a="1"/>
  <c r="K23" i="17"/>
  <c r="AL11" i="33"/>
  <c r="AX11" i="33" s="1"/>
  <c r="BJ11" i="33" s="1" a="1"/>
  <c r="K14" i="17"/>
  <c r="AK15" i="33"/>
  <c r="AW15" i="33" s="1"/>
  <c r="BI15" i="33" s="1" a="1"/>
  <c r="AM7" i="33"/>
  <c r="AY7" i="33" s="1"/>
  <c r="BK7" i="33" s="1" a="1"/>
  <c r="K17" i="17"/>
  <c r="AM5" i="33"/>
  <c r="AY5" i="33" s="1"/>
  <c r="BK5" i="33" s="1" a="1"/>
  <c r="AM18" i="33"/>
  <c r="AY18" i="33" s="1"/>
  <c r="BK18" i="33" s="1" a="1"/>
  <c r="AM8" i="33"/>
  <c r="AY8" i="33" s="1"/>
  <c r="BK8" i="33" s="1" a="1"/>
  <c r="AM13" i="33"/>
  <c r="AY13" i="33" s="1"/>
  <c r="BK13" i="33" s="1" a="1"/>
  <c r="AM11" i="33"/>
  <c r="AY11" i="33" s="1"/>
  <c r="BK11" i="33" s="1" a="1"/>
  <c r="AL8" i="33"/>
  <c r="AX8" i="33" s="1"/>
  <c r="BJ8" i="33" s="1" a="1"/>
  <c r="K11" i="17"/>
  <c r="AK8" i="33"/>
  <c r="AW8" i="33" s="1"/>
  <c r="BI8" i="33" s="1" a="1"/>
  <c r="K25" i="17"/>
  <c r="AM16" i="33"/>
  <c r="AY16" i="33" s="1"/>
  <c r="BK16" i="33" s="1" a="1"/>
  <c r="AK13" i="33"/>
  <c r="AW13" i="33" s="1"/>
  <c r="BI13" i="33" s="1" a="1"/>
  <c r="AK4" i="33"/>
  <c r="AW4" i="33" s="1"/>
  <c r="BI4" i="33" s="1" a="1"/>
  <c r="AM4" i="33"/>
  <c r="AY4" i="33" s="1"/>
  <c r="BK4" i="33" s="1" a="1"/>
  <c r="AL16" i="33"/>
  <c r="AX16" i="33" s="1"/>
  <c r="BJ16" i="33" s="1" a="1"/>
  <c r="AL10" i="33"/>
  <c r="AX10" i="33" s="1"/>
  <c r="BJ10" i="33" s="1" a="1"/>
  <c r="AL6" i="33"/>
  <c r="AX6" i="33" s="1"/>
  <c r="BJ6" i="33" s="1" a="1"/>
  <c r="AL18" i="33"/>
  <c r="AX18" i="33" s="1"/>
  <c r="BJ18" i="33" s="1" a="1"/>
  <c r="AL7" i="33"/>
  <c r="AX7" i="33" s="1"/>
  <c r="BJ7" i="33" s="1" a="1"/>
  <c r="AL15" i="33"/>
  <c r="AX15" i="33" s="1"/>
  <c r="BJ15" i="33" s="1" a="1"/>
  <c r="AM14" i="33"/>
  <c r="AY14" i="33" s="1"/>
  <c r="BK14" i="33" s="1" a="1"/>
  <c r="K28" i="17"/>
  <c r="AL14" i="33"/>
  <c r="AX14" i="33" s="1"/>
  <c r="BJ14" i="33" s="1" a="1"/>
  <c r="AK18" i="33"/>
  <c r="AW18" i="33" s="1"/>
  <c r="BI18" i="33" s="1" a="1"/>
  <c r="K12" i="17"/>
  <c r="AK10" i="33"/>
  <c r="AW10" i="33" s="1"/>
  <c r="BI10" i="33" s="1" a="1"/>
  <c r="AK14" i="33"/>
  <c r="AW14" i="33" s="1"/>
  <c r="BI14" i="33" s="1" a="1"/>
  <c r="AL5" i="33"/>
  <c r="AX5" i="33" s="1"/>
  <c r="BJ5" i="33" s="1" a="1"/>
  <c r="AJ4" i="33"/>
  <c r="AV4" i="33" s="1"/>
  <c r="BH4" i="33" s="1" a="1"/>
  <c r="AM12" i="33"/>
  <c r="AY12" i="33" s="1"/>
  <c r="BK12" i="33" s="1" a="1"/>
  <c r="AM15" i="33"/>
  <c r="AY15" i="33" s="1"/>
  <c r="BK15" i="33" s="1" a="1"/>
  <c r="AK5" i="33"/>
  <c r="AW5" i="33" s="1"/>
  <c r="BI5" i="33" s="1" a="1"/>
  <c r="AL13" i="33"/>
  <c r="AX13" i="33" s="1"/>
  <c r="BJ13" i="33" s="1" a="1"/>
  <c r="AK12" i="33"/>
  <c r="AW12" i="33" s="1"/>
  <c r="BI12" i="33" s="1" a="1"/>
  <c r="AL2" i="1"/>
  <c r="AY2" i="1" s="1"/>
  <c r="AP2" i="1"/>
  <c r="BC2" i="1" s="1"/>
  <c r="L42" i="10"/>
  <c r="H30" i="10"/>
  <c r="A28" i="10"/>
  <c r="A27" i="10"/>
  <c r="A26" i="10"/>
  <c r="A25" i="10"/>
  <c r="R19" i="10"/>
  <c r="R48" i="10" s="1"/>
  <c r="Q19" i="10"/>
  <c r="Q48" i="10" s="1"/>
  <c r="J19" i="10"/>
  <c r="R14" i="10"/>
  <c r="Q14" i="10"/>
  <c r="L12" i="10"/>
  <c r="D22" i="10" s="1"/>
  <c r="K12" i="10"/>
  <c r="Z10" i="10"/>
  <c r="AA9" i="10"/>
  <c r="Z9" i="10"/>
  <c r="Z7" i="10"/>
  <c r="R6" i="10"/>
  <c r="R45" i="10" s="1"/>
  <c r="Z5" i="10"/>
  <c r="R2" i="10"/>
  <c r="R20" i="10" s="1"/>
  <c r="Q2" i="10"/>
  <c r="Q20" i="10" s="1"/>
  <c r="P2" i="10"/>
  <c r="P19" i="10" s="1"/>
  <c r="P48" i="10" s="1"/>
  <c r="O2" i="10"/>
  <c r="O14" i="10" s="1"/>
  <c r="N2" i="10"/>
  <c r="N14" i="10" s="1"/>
  <c r="M2" i="10"/>
  <c r="M14" i="10" s="1"/>
  <c r="L2" i="10"/>
  <c r="L10" i="10" s="1"/>
  <c r="K17" i="10"/>
  <c r="J13" i="10"/>
  <c r="L42" i="9"/>
  <c r="H30" i="9"/>
  <c r="A28" i="9"/>
  <c r="A27" i="9"/>
  <c r="A26" i="9"/>
  <c r="A25" i="9"/>
  <c r="L20" i="9"/>
  <c r="L19" i="9"/>
  <c r="L48" i="9" s="1"/>
  <c r="J19" i="9"/>
  <c r="M16" i="9"/>
  <c r="M47" i="9" s="1"/>
  <c r="L16" i="9"/>
  <c r="L47" i="9" s="1"/>
  <c r="M14" i="9"/>
  <c r="K14" i="9"/>
  <c r="J14" i="9"/>
  <c r="L13" i="9"/>
  <c r="E22" i="9" s="1"/>
  <c r="M12" i="9"/>
  <c r="D23" i="9" s="1"/>
  <c r="L12" i="9"/>
  <c r="D22" i="9" s="1"/>
  <c r="L11" i="9"/>
  <c r="C22" i="9" s="1"/>
  <c r="J11" i="9"/>
  <c r="Z10" i="9"/>
  <c r="Z9" i="9"/>
  <c r="AA9" i="9" s="1"/>
  <c r="Z7" i="9"/>
  <c r="R7" i="9"/>
  <c r="Q7" i="9"/>
  <c r="M6" i="9"/>
  <c r="L6" i="9"/>
  <c r="L45" i="9" s="1"/>
  <c r="K6" i="9"/>
  <c r="J45" i="9"/>
  <c r="Z5" i="9"/>
  <c r="R2" i="9"/>
  <c r="R10" i="9" s="1"/>
  <c r="Q2" i="9"/>
  <c r="Q17" i="9" s="1"/>
  <c r="P2" i="9"/>
  <c r="P13" i="9" s="1"/>
  <c r="E26" i="9" s="1"/>
  <c r="O2" i="9"/>
  <c r="O10" i="9" s="1"/>
  <c r="B25" i="9" s="1"/>
  <c r="N2" i="9"/>
  <c r="N17" i="9" s="1"/>
  <c r="M2" i="9"/>
  <c r="M13" i="9" s="1"/>
  <c r="E23" i="9" s="1"/>
  <c r="L2" i="9"/>
  <c r="L17" i="9" s="1"/>
  <c r="K13" i="9"/>
  <c r="J20" i="9"/>
  <c r="A27" i="2"/>
  <c r="A26" i="2"/>
  <c r="A25" i="2"/>
  <c r="D2" i="4"/>
  <c r="A28" i="2"/>
  <c r="AF32" i="34" l="1"/>
  <c r="AR32" i="34" s="1"/>
  <c r="BD32" i="34" s="1" a="1"/>
  <c r="AI6" i="34"/>
  <c r="AU6" i="34" s="1"/>
  <c r="BG6" i="34" s="1" a="1"/>
  <c r="AH6" i="34"/>
  <c r="AT6" i="34" s="1"/>
  <c r="BF6" i="34" s="1" a="1"/>
  <c r="AG6" i="34"/>
  <c r="AS6" i="34" s="1"/>
  <c r="BE6" i="34" s="1" a="1"/>
  <c r="AI18" i="35"/>
  <c r="AU18" i="35" s="1"/>
  <c r="BG18" i="35" s="1" a="1"/>
  <c r="AF6" i="34"/>
  <c r="AR6" i="34" s="1"/>
  <c r="BD6" i="34" s="1" a="1"/>
  <c r="AK6" i="34"/>
  <c r="AW6" i="34" s="1"/>
  <c r="BI6" i="34" s="1" a="1"/>
  <c r="AG18" i="35"/>
  <c r="AS18" i="35" s="1"/>
  <c r="BE18" i="35" s="1" a="1"/>
  <c r="AD18" i="35"/>
  <c r="AP18" i="35" s="1"/>
  <c r="BB18" i="35" s="1" a="1"/>
  <c r="AH18" i="35"/>
  <c r="AT18" i="35" s="1"/>
  <c r="BF18" i="35" s="1" a="1"/>
  <c r="AE18" i="35"/>
  <c r="AQ18" i="35" s="1"/>
  <c r="BC18" i="35" s="1" a="1"/>
  <c r="AC18" i="35"/>
  <c r="AO18" i="35" s="1"/>
  <c r="BA18" i="35" s="1" a="1"/>
  <c r="AF18" i="35"/>
  <c r="AR18" i="35" s="1"/>
  <c r="BD18" i="35" s="1" a="1"/>
  <c r="AB18" i="35"/>
  <c r="AN18" i="35" s="1"/>
  <c r="AZ18" i="35" s="1" a="1"/>
  <c r="AE6" i="34"/>
  <c r="AQ6" i="34" s="1"/>
  <c r="BC6" i="34" s="1" a="1"/>
  <c r="AL6" i="34"/>
  <c r="AX6" i="34" s="1"/>
  <c r="BJ6" i="34" s="1" a="1"/>
  <c r="AJ6" i="34"/>
  <c r="AV6" i="34" s="1"/>
  <c r="BH6" i="34" s="1" a="1"/>
  <c r="AB6" i="34"/>
  <c r="AN6" i="34" s="1"/>
  <c r="AZ6" i="34" s="1" a="1"/>
  <c r="AC6" i="34"/>
  <c r="AO6" i="34" s="1"/>
  <c r="BA6" i="34" s="1" a="1"/>
  <c r="AM6" i="34"/>
  <c r="AY6" i="34" s="1"/>
  <c r="BK6" i="34" s="1" a="1"/>
  <c r="AD6" i="34"/>
  <c r="AP6" i="34" s="1"/>
  <c r="BB6" i="34" s="1" a="1"/>
  <c r="AH32" i="34"/>
  <c r="AT32" i="34" s="1"/>
  <c r="BF32" i="34" s="1" a="1"/>
  <c r="F17" i="35"/>
  <c r="Y16" i="35"/>
  <c r="AK16" i="35" s="1"/>
  <c r="AW16" i="35" s="1"/>
  <c r="BI16" i="35" s="1" a="1"/>
  <c r="I15" i="35"/>
  <c r="AA16" i="35"/>
  <c r="AM16" i="35" s="1"/>
  <c r="AY16" i="35" s="1"/>
  <c r="BK16" i="35" s="1" a="1"/>
  <c r="D17" i="35"/>
  <c r="Y15" i="35"/>
  <c r="AK15" i="35" s="1"/>
  <c r="AW15" i="35" s="1"/>
  <c r="BI15" i="35" s="1" a="1"/>
  <c r="I17" i="35"/>
  <c r="J17" i="35"/>
  <c r="K17" i="35"/>
  <c r="G17" i="35"/>
  <c r="E17" i="35"/>
  <c r="H17" i="35"/>
  <c r="E15" i="35"/>
  <c r="Z15" i="35"/>
  <c r="AL15" i="35" s="1"/>
  <c r="AX15" i="35" s="1"/>
  <c r="BJ15" i="35" s="1" a="1"/>
  <c r="V17" i="35"/>
  <c r="S17" i="35"/>
  <c r="AA15" i="35"/>
  <c r="AM15" i="35" s="1"/>
  <c r="AY15" i="35" s="1"/>
  <c r="BK15" i="35" s="1" a="1"/>
  <c r="AE32" i="34"/>
  <c r="AQ32" i="34" s="1"/>
  <c r="BC32" i="34" s="1" a="1"/>
  <c r="J16" i="35"/>
  <c r="D15" i="35"/>
  <c r="Z17" i="35"/>
  <c r="AL17" i="35" s="1"/>
  <c r="AX17" i="35" s="1"/>
  <c r="BJ17" i="35" s="1" a="1"/>
  <c r="F15" i="35"/>
  <c r="J15" i="35"/>
  <c r="H15" i="35"/>
  <c r="R17" i="35"/>
  <c r="G15" i="35"/>
  <c r="AI32" i="34"/>
  <c r="AU32" i="34" s="1"/>
  <c r="BG32" i="34" s="1" a="1"/>
  <c r="G16" i="35"/>
  <c r="AD32" i="34"/>
  <c r="AP32" i="34" s="1"/>
  <c r="BB32" i="34" s="1" a="1"/>
  <c r="AB32" i="34"/>
  <c r="AN32" i="34" s="1"/>
  <c r="AZ32" i="34" s="1" a="1"/>
  <c r="AC32" i="34"/>
  <c r="AO32" i="34" s="1"/>
  <c r="BA32" i="34" s="1" a="1"/>
  <c r="Y17" i="35"/>
  <c r="AK17" i="35" s="1"/>
  <c r="AW17" i="35" s="1"/>
  <c r="BI17" i="35" s="1" a="1"/>
  <c r="K15" i="35"/>
  <c r="AG32" i="34"/>
  <c r="AS32" i="34" s="1"/>
  <c r="BE32" i="34" s="1" a="1"/>
  <c r="D16" i="35"/>
  <c r="D4" i="35"/>
  <c r="Y4" i="35"/>
  <c r="E10" i="35"/>
  <c r="H16" i="35"/>
  <c r="I16" i="35"/>
  <c r="F16" i="35"/>
  <c r="X7" i="35"/>
  <c r="T6" i="35"/>
  <c r="AK7" i="34"/>
  <c r="AW7" i="34" s="1"/>
  <c r="BI7" i="34" s="1" a="1"/>
  <c r="S15" i="35"/>
  <c r="X5" i="35"/>
  <c r="Z10" i="35"/>
  <c r="U5" i="35"/>
  <c r="S10" i="35"/>
  <c r="Q9" i="35"/>
  <c r="Q5" i="35"/>
  <c r="K16" i="35"/>
  <c r="Z16" i="35"/>
  <c r="AL16" i="35" s="1"/>
  <c r="AX16" i="35" s="1"/>
  <c r="BJ16" i="35" s="1" a="1"/>
  <c r="E16" i="35"/>
  <c r="AW33" i="33"/>
  <c r="BI33" i="33" s="1" a="1"/>
  <c r="AY33" i="33"/>
  <c r="BK33" i="33" s="1" a="1"/>
  <c r="AV33" i="33"/>
  <c r="BH33" i="33" s="1" a="1"/>
  <c r="AX33" i="33"/>
  <c r="BJ33" i="33" s="1" a="1"/>
  <c r="V7" i="35"/>
  <c r="R15" i="35"/>
  <c r="Y6" i="35"/>
  <c r="AK6" i="35" s="1"/>
  <c r="AW6" i="35" s="1"/>
  <c r="BI6" i="35" s="1" a="1"/>
  <c r="X6" i="35"/>
  <c r="X10" i="35"/>
  <c r="V9" i="35"/>
  <c r="Z5" i="35"/>
  <c r="P16" i="35"/>
  <c r="P5" i="35"/>
  <c r="U17" i="35"/>
  <c r="AA8" i="35"/>
  <c r="W13" i="35"/>
  <c r="R7" i="35"/>
  <c r="V11" i="35"/>
  <c r="X17" i="35"/>
  <c r="AJ17" i="35" s="1"/>
  <c r="AV17" i="35" s="1"/>
  <c r="BH17" i="35" s="1" a="1"/>
  <c r="Q12" i="35"/>
  <c r="Y9" i="35"/>
  <c r="X12" i="35"/>
  <c r="V8" i="35"/>
  <c r="Z11" i="35"/>
  <c r="U13" i="35"/>
  <c r="S14" i="35"/>
  <c r="X16" i="35"/>
  <c r="AJ16" i="35" s="1"/>
  <c r="AV16" i="35" s="1"/>
  <c r="BH16" i="35" s="1" a="1"/>
  <c r="P7" i="35"/>
  <c r="Q4" i="35"/>
  <c r="V6" i="35"/>
  <c r="W16" i="35"/>
  <c r="W11" i="35"/>
  <c r="S4" i="35"/>
  <c r="S13" i="35"/>
  <c r="Y7" i="35"/>
  <c r="R11" i="35"/>
  <c r="Y11" i="35"/>
  <c r="S6" i="35"/>
  <c r="I7" i="35"/>
  <c r="W17" i="35"/>
  <c r="AA13" i="35"/>
  <c r="AA5" i="35"/>
  <c r="T5" i="35"/>
  <c r="R13" i="35"/>
  <c r="T17" i="35"/>
  <c r="AA7" i="35"/>
  <c r="S5" i="35"/>
  <c r="W10" i="35"/>
  <c r="U14" i="35"/>
  <c r="W5" i="35"/>
  <c r="Z9" i="35"/>
  <c r="P8" i="35"/>
  <c r="T10" i="35"/>
  <c r="Z8" i="35"/>
  <c r="Y12" i="35"/>
  <c r="Q17" i="35"/>
  <c r="P13" i="35"/>
  <c r="T13" i="35"/>
  <c r="Z13" i="35"/>
  <c r="Z12" i="35"/>
  <c r="P15" i="35"/>
  <c r="V13" i="35"/>
  <c r="U15" i="35"/>
  <c r="P11" i="35"/>
  <c r="Y8" i="35"/>
  <c r="Z6" i="35"/>
  <c r="R6" i="35"/>
  <c r="U16" i="35"/>
  <c r="P17" i="35"/>
  <c r="V4" i="35"/>
  <c r="R10" i="35"/>
  <c r="U6" i="35"/>
  <c r="Y5" i="35"/>
  <c r="S16" i="35"/>
  <c r="T15" i="35"/>
  <c r="AA4" i="35"/>
  <c r="U11" i="35"/>
  <c r="Y13" i="35"/>
  <c r="R5" i="35"/>
  <c r="Q16" i="35"/>
  <c r="X13" i="35"/>
  <c r="S11" i="35"/>
  <c r="P14" i="35"/>
  <c r="S8" i="35"/>
  <c r="AE8" i="34"/>
  <c r="AQ8" i="34" s="1"/>
  <c r="BC8" i="34" s="1" a="1"/>
  <c r="S7" i="35"/>
  <c r="AA14" i="35"/>
  <c r="T9" i="35"/>
  <c r="P9" i="35"/>
  <c r="U9" i="35"/>
  <c r="AA17" i="35"/>
  <c r="AM17" i="35" s="1"/>
  <c r="AY17" i="35" s="1"/>
  <c r="BK17" i="35" s="1" a="1"/>
  <c r="T11" i="35"/>
  <c r="AA10" i="35"/>
  <c r="W9" i="35"/>
  <c r="V12" i="35"/>
  <c r="AB4" i="34"/>
  <c r="AN4" i="34" s="1"/>
  <c r="P4" i="35"/>
  <c r="U8" i="35"/>
  <c r="Q8" i="35"/>
  <c r="V10" i="35"/>
  <c r="W4" i="35"/>
  <c r="X9" i="35"/>
  <c r="Z14" i="35"/>
  <c r="U12" i="35"/>
  <c r="V14" i="35"/>
  <c r="P12" i="35"/>
  <c r="W8" i="35"/>
  <c r="Z4" i="35"/>
  <c r="Z7" i="35"/>
  <c r="AA6" i="35"/>
  <c r="AM6" i="35" s="1"/>
  <c r="AY6" i="35" s="1"/>
  <c r="BK6" i="35" s="1" a="1"/>
  <c r="X8" i="35"/>
  <c r="T7" i="35"/>
  <c r="Q14" i="35"/>
  <c r="Q13" i="35"/>
  <c r="Q11" i="35"/>
  <c r="Q15" i="35"/>
  <c r="W6" i="35"/>
  <c r="R9" i="35"/>
  <c r="U7" i="35"/>
  <c r="T12" i="35"/>
  <c r="Q7" i="35"/>
  <c r="Q10" i="35"/>
  <c r="R12" i="35"/>
  <c r="W12" i="35"/>
  <c r="Q6" i="35"/>
  <c r="P10" i="35"/>
  <c r="U4" i="35"/>
  <c r="P6" i="35"/>
  <c r="W15" i="35"/>
  <c r="R16" i="35"/>
  <c r="S12" i="35"/>
  <c r="V16" i="35"/>
  <c r="U10" i="35"/>
  <c r="X15" i="35"/>
  <c r="AJ15" i="35" s="1"/>
  <c r="AV15" i="35" s="1"/>
  <c r="BH15" i="35" s="1" a="1"/>
  <c r="V5" i="35"/>
  <c r="W7" i="35"/>
  <c r="D10" i="35"/>
  <c r="Y14" i="35"/>
  <c r="X11" i="35"/>
  <c r="V15" i="35"/>
  <c r="AJ15" i="34"/>
  <c r="AV15" i="34" s="1"/>
  <c r="BH15" i="34" s="1" a="1"/>
  <c r="X14" i="35"/>
  <c r="W14" i="35"/>
  <c r="R14" i="35"/>
  <c r="AA11" i="35"/>
  <c r="T14" i="35"/>
  <c r="Y10" i="35"/>
  <c r="R8" i="35"/>
  <c r="S9" i="35"/>
  <c r="T4" i="35"/>
  <c r="AA12" i="35"/>
  <c r="AM12" i="35" s="1"/>
  <c r="AY12" i="35" s="1"/>
  <c r="BK12" i="35" s="1" a="1"/>
  <c r="T16" i="35"/>
  <c r="R4" i="35"/>
  <c r="X4" i="35"/>
  <c r="AA9" i="35"/>
  <c r="T8" i="35"/>
  <c r="AJ4" i="34"/>
  <c r="AV4" i="34" s="1"/>
  <c r="BH4" i="34" s="1" a="1"/>
  <c r="AF7" i="34"/>
  <c r="AR7" i="34" s="1"/>
  <c r="BD7" i="34" s="1" a="1"/>
  <c r="D5" i="35"/>
  <c r="AM19" i="34"/>
  <c r="AY19" i="34" s="1"/>
  <c r="BK19" i="34" s="1" a="1"/>
  <c r="AM13" i="34"/>
  <c r="AY13" i="34" s="1"/>
  <c r="BK13" i="34" s="1" a="1"/>
  <c r="H6" i="35"/>
  <c r="I4" i="35"/>
  <c r="AF18" i="34"/>
  <c r="AR18" i="34" s="1"/>
  <c r="BD18" i="34" s="1" a="1"/>
  <c r="AC18" i="34"/>
  <c r="AO18" i="34" s="1"/>
  <c r="BA18" i="34" s="1" a="1"/>
  <c r="AH18" i="34"/>
  <c r="AT18" i="34" s="1"/>
  <c r="BF18" i="34" s="1" a="1"/>
  <c r="AE18" i="34"/>
  <c r="AQ18" i="34" s="1"/>
  <c r="BC18" i="34" s="1" a="1"/>
  <c r="AI18" i="34"/>
  <c r="AU18" i="34" s="1"/>
  <c r="BG18" i="34" s="1" a="1"/>
  <c r="AG18" i="34"/>
  <c r="AS18" i="34" s="1"/>
  <c r="BE18" i="34" s="1" a="1"/>
  <c r="AJ18" i="34"/>
  <c r="AV18" i="34" s="1"/>
  <c r="BH18" i="34" s="1" a="1"/>
  <c r="AB18" i="34"/>
  <c r="AN18" i="34" s="1"/>
  <c r="AZ18" i="34" s="1" a="1"/>
  <c r="AD18" i="34"/>
  <c r="AP18" i="34" s="1"/>
  <c r="BB18" i="34" s="1" a="1"/>
  <c r="AF17" i="34"/>
  <c r="AR17" i="34" s="1"/>
  <c r="BD17" i="34" s="1" a="1"/>
  <c r="AB5" i="34"/>
  <c r="AN5" i="34" s="1"/>
  <c r="AZ5" i="34" s="1" a="1"/>
  <c r="AD16" i="34"/>
  <c r="AP16" i="34" s="1"/>
  <c r="BB16" i="34" s="1" a="1"/>
  <c r="AJ12" i="34"/>
  <c r="AV12" i="34" s="1"/>
  <c r="BH12" i="34" s="1" a="1"/>
  <c r="AC13" i="34"/>
  <c r="AO13" i="34" s="1"/>
  <c r="BA13" i="34" s="1" a="1"/>
  <c r="AL13" i="34"/>
  <c r="AX13" i="34" s="1"/>
  <c r="BJ13" i="34" s="1" a="1"/>
  <c r="AF10" i="34"/>
  <c r="AR10" i="34" s="1"/>
  <c r="BD10" i="34" s="1" a="1"/>
  <c r="AI15" i="34"/>
  <c r="AU15" i="34" s="1"/>
  <c r="BG15" i="34" s="1" a="1"/>
  <c r="G9" i="35"/>
  <c r="AF4" i="34"/>
  <c r="AR4" i="34" s="1"/>
  <c r="BD4" i="34" s="1" a="1"/>
  <c r="D8" i="35"/>
  <c r="AK13" i="34"/>
  <c r="AW13" i="34" s="1"/>
  <c r="BI13" i="34" s="1" a="1"/>
  <c r="AI17" i="34"/>
  <c r="AU17" i="34" s="1"/>
  <c r="BG17" i="34" s="1" a="1"/>
  <c r="AI11" i="34"/>
  <c r="AU11" i="34" s="1"/>
  <c r="BG11" i="34" s="1" a="1"/>
  <c r="F8" i="35"/>
  <c r="AE12" i="34"/>
  <c r="AQ12" i="34" s="1"/>
  <c r="BC12" i="34" s="1" a="1"/>
  <c r="K11" i="35"/>
  <c r="K12" i="35"/>
  <c r="J7" i="35"/>
  <c r="AG4" i="34"/>
  <c r="AS4" i="34" s="1"/>
  <c r="BE4" i="34" s="1" a="1"/>
  <c r="AF15" i="34"/>
  <c r="AR15" i="34" s="1"/>
  <c r="BD15" i="34" s="1" a="1"/>
  <c r="G14" i="35"/>
  <c r="AF11" i="34"/>
  <c r="AR11" i="34" s="1"/>
  <c r="BD11" i="34" s="1" a="1"/>
  <c r="AB17" i="34"/>
  <c r="AN17" i="34" s="1"/>
  <c r="AZ17" i="34" s="1" a="1"/>
  <c r="AI5" i="34"/>
  <c r="AU5" i="34" s="1"/>
  <c r="BG5" i="34" s="1" a="1"/>
  <c r="D7" i="35"/>
  <c r="AI13" i="34"/>
  <c r="AU13" i="34" s="1"/>
  <c r="BG13" i="34" s="1" a="1"/>
  <c r="I10" i="35"/>
  <c r="AB13" i="34"/>
  <c r="AN13" i="34" s="1"/>
  <c r="AZ13" i="34" s="1" a="1"/>
  <c r="AF14" i="34"/>
  <c r="AR14" i="34" s="1"/>
  <c r="BD14" i="34" s="1" a="1"/>
  <c r="D12" i="35"/>
  <c r="AH14" i="34"/>
  <c r="AT14" i="34" s="1"/>
  <c r="BF14" i="34" s="1" a="1"/>
  <c r="G8" i="35"/>
  <c r="J9" i="35"/>
  <c r="E7" i="35"/>
  <c r="J13" i="35"/>
  <c r="AD8" i="34"/>
  <c r="AP8" i="34" s="1"/>
  <c r="BB8" i="34" s="1" a="1"/>
  <c r="G7" i="35"/>
  <c r="AK10" i="34"/>
  <c r="AW10" i="34" s="1"/>
  <c r="BI10" i="34" s="1" a="1"/>
  <c r="AD7" i="34"/>
  <c r="AP7" i="34" s="1"/>
  <c r="BB7" i="34" s="1" a="1"/>
  <c r="AG16" i="34"/>
  <c r="AS16" i="34" s="1"/>
  <c r="BE16" i="34" s="1" a="1"/>
  <c r="F7" i="35"/>
  <c r="AE5" i="34"/>
  <c r="AQ5" i="34" s="1"/>
  <c r="BC5" i="34" s="1" a="1"/>
  <c r="I5" i="35"/>
  <c r="H13" i="35"/>
  <c r="F4" i="35"/>
  <c r="D14" i="35"/>
  <c r="E4" i="35"/>
  <c r="AF12" i="34"/>
  <c r="AR12" i="34" s="1"/>
  <c r="BD12" i="34" s="1" a="1"/>
  <c r="AD11" i="34"/>
  <c r="AP11" i="34" s="1"/>
  <c r="BB11" i="34" s="1" a="1"/>
  <c r="AG13" i="34"/>
  <c r="AS13" i="34" s="1"/>
  <c r="BE13" i="34" s="1" a="1"/>
  <c r="AF13" i="34"/>
  <c r="AR13" i="34" s="1"/>
  <c r="BD13" i="34" s="1" a="1"/>
  <c r="AI10" i="34"/>
  <c r="AU10" i="34" s="1"/>
  <c r="BG10" i="34" s="1" a="1"/>
  <c r="AH13" i="34"/>
  <c r="AT13" i="34" s="1"/>
  <c r="BF13" i="34" s="1" a="1"/>
  <c r="AG9" i="34"/>
  <c r="AS9" i="34" s="1"/>
  <c r="BE9" i="34" s="1" a="1"/>
  <c r="AC9" i="34"/>
  <c r="AO9" i="34" s="1"/>
  <c r="BA9" i="34" s="1" a="1"/>
  <c r="AH11" i="34"/>
  <c r="AT11" i="34" s="1"/>
  <c r="BF11" i="34" s="1" a="1"/>
  <c r="AH7" i="34"/>
  <c r="AT7" i="34" s="1"/>
  <c r="BF7" i="34" s="1" a="1"/>
  <c r="I14" i="35"/>
  <c r="G4" i="35"/>
  <c r="K10" i="35"/>
  <c r="F9" i="35"/>
  <c r="F12" i="35"/>
  <c r="K7" i="35"/>
  <c r="I9" i="35"/>
  <c r="J11" i="35"/>
  <c r="D13" i="35"/>
  <c r="AC12" i="34"/>
  <c r="AO12" i="34" s="1"/>
  <c r="BA12" i="34" s="1" a="1"/>
  <c r="G6" i="35"/>
  <c r="K8" i="35"/>
  <c r="H4" i="35"/>
  <c r="E14" i="35"/>
  <c r="AB7" i="34"/>
  <c r="AN7" i="34" s="1"/>
  <c r="AZ7" i="34" s="1" a="1"/>
  <c r="AH17" i="34"/>
  <c r="AT17" i="34" s="1"/>
  <c r="BF17" i="34" s="1" a="1"/>
  <c r="AG11" i="34"/>
  <c r="AS11" i="34" s="1"/>
  <c r="BE11" i="34" s="1" a="1"/>
  <c r="AB14" i="34"/>
  <c r="AN14" i="34" s="1"/>
  <c r="AZ14" i="34" s="1" a="1"/>
  <c r="AC16" i="34"/>
  <c r="AO16" i="34" s="1"/>
  <c r="BA16" i="34" s="1" a="1"/>
  <c r="K4" i="35"/>
  <c r="H9" i="35"/>
  <c r="G12" i="35"/>
  <c r="F10" i="35"/>
  <c r="H5" i="35"/>
  <c r="AJ11" i="34"/>
  <c r="AV11" i="34" s="1"/>
  <c r="BH11" i="34" s="1" a="1"/>
  <c r="AH10" i="34"/>
  <c r="AT10" i="34" s="1"/>
  <c r="BF10" i="34" s="1" a="1"/>
  <c r="AH5" i="34"/>
  <c r="AT5" i="34" s="1"/>
  <c r="BF5" i="34" s="1" a="1"/>
  <c r="AE7" i="34"/>
  <c r="AQ7" i="34" s="1"/>
  <c r="BC7" i="34" s="1" a="1"/>
  <c r="F6" i="35"/>
  <c r="E13" i="35"/>
  <c r="H7" i="35"/>
  <c r="I6" i="35"/>
  <c r="J10" i="35"/>
  <c r="K5" i="35"/>
  <c r="J14" i="35"/>
  <c r="E6" i="35"/>
  <c r="H14" i="35"/>
  <c r="D11" i="35"/>
  <c r="K6" i="35"/>
  <c r="G5" i="35"/>
  <c r="J5" i="35"/>
  <c r="K14" i="35"/>
  <c r="D6" i="35"/>
  <c r="E9" i="35"/>
  <c r="F5" i="35"/>
  <c r="H12" i="35"/>
  <c r="K13" i="35"/>
  <c r="G10" i="35"/>
  <c r="H11" i="35"/>
  <c r="AH4" i="34"/>
  <c r="AT4" i="34" s="1"/>
  <c r="BF4" i="34" s="1" a="1"/>
  <c r="AJ13" i="34"/>
  <c r="AV13" i="34" s="1"/>
  <c r="BH13" i="34" s="1" a="1"/>
  <c r="J8" i="35"/>
  <c r="G11" i="35"/>
  <c r="H10" i="35"/>
  <c r="F13" i="35"/>
  <c r="H8" i="35"/>
  <c r="AD13" i="34"/>
  <c r="AP13" i="34" s="1"/>
  <c r="BB13" i="34" s="1" a="1"/>
  <c r="E11" i="35"/>
  <c r="I8" i="35"/>
  <c r="J6" i="35"/>
  <c r="D9" i="35"/>
  <c r="AH15" i="34"/>
  <c r="AT15" i="34" s="1"/>
  <c r="BF15" i="34" s="1" a="1"/>
  <c r="AE11" i="34"/>
  <c r="AQ11" i="34" s="1"/>
  <c r="BC11" i="34" s="1" a="1"/>
  <c r="AC7" i="34"/>
  <c r="AO7" i="34" s="1"/>
  <c r="BA7" i="34" s="1" a="1"/>
  <c r="AC10" i="34"/>
  <c r="AO10" i="34" s="1"/>
  <c r="BA10" i="34" s="1" a="1"/>
  <c r="F11" i="35"/>
  <c r="E5" i="35"/>
  <c r="G13" i="35"/>
  <c r="E8" i="35"/>
  <c r="F14" i="35"/>
  <c r="AH12" i="34"/>
  <c r="AT12" i="34" s="1"/>
  <c r="BF12" i="34" s="1" a="1"/>
  <c r="AD5" i="34"/>
  <c r="AP5" i="34" s="1"/>
  <c r="BB5" i="34" s="1" a="1"/>
  <c r="AD9" i="34"/>
  <c r="AP9" i="34" s="1"/>
  <c r="BB9" i="34" s="1" a="1"/>
  <c r="AC17" i="34"/>
  <c r="AO17" i="34" s="1"/>
  <c r="BA17" i="34" s="1" a="1"/>
  <c r="AE10" i="34"/>
  <c r="AQ10" i="34" s="1"/>
  <c r="BC10" i="34" s="1" a="1"/>
  <c r="AL20" i="34"/>
  <c r="AX20" i="34" s="1"/>
  <c r="BJ20" i="34" s="1" a="1"/>
  <c r="I13" i="35"/>
  <c r="J4" i="35"/>
  <c r="I11" i="35"/>
  <c r="K9" i="35"/>
  <c r="I12" i="35"/>
  <c r="E12" i="35"/>
  <c r="J12" i="35"/>
  <c r="AG20" i="34"/>
  <c r="AS20" i="34" s="1"/>
  <c r="BE20" i="34" s="1" a="1"/>
  <c r="AH29" i="34"/>
  <c r="AT29" i="34" s="1"/>
  <c r="BF29" i="34" s="1" a="1"/>
  <c r="AM25" i="34"/>
  <c r="AY25" i="34" s="1"/>
  <c r="BK25" i="34" s="1" a="1"/>
  <c r="AJ29" i="34"/>
  <c r="AV29" i="34" s="1"/>
  <c r="BH29" i="34" s="1" a="1"/>
  <c r="AE19" i="34"/>
  <c r="AQ19" i="34" s="1"/>
  <c r="BC19" i="34" s="1" a="1"/>
  <c r="AB20" i="34"/>
  <c r="AN20" i="34" s="1"/>
  <c r="AZ20" i="34" s="1" a="1"/>
  <c r="AB30" i="34"/>
  <c r="AN30" i="34" s="1"/>
  <c r="AZ30" i="34" s="1" a="1"/>
  <c r="AJ9" i="34"/>
  <c r="AV9" i="34" s="1"/>
  <c r="BH9" i="34" s="1" a="1"/>
  <c r="AF8" i="34"/>
  <c r="AR8" i="34" s="1"/>
  <c r="BD8" i="34" s="1" a="1"/>
  <c r="AC15" i="34"/>
  <c r="AO15" i="34" s="1"/>
  <c r="BA15" i="34" s="1" a="1"/>
  <c r="AC14" i="34"/>
  <c r="AO14" i="34" s="1"/>
  <c r="BA14" i="34" s="1" a="1"/>
  <c r="AI4" i="34"/>
  <c r="AU4" i="34" s="1"/>
  <c r="BG4" i="34" s="1" a="1"/>
  <c r="AJ10" i="34"/>
  <c r="AV10" i="34" s="1"/>
  <c r="BH10" i="34" s="1" a="1"/>
  <c r="AC29" i="34"/>
  <c r="AO29" i="34" s="1"/>
  <c r="BA29" i="34" s="1" a="1"/>
  <c r="AH24" i="34"/>
  <c r="AT24" i="34" s="1"/>
  <c r="BF24" i="34" s="1" a="1"/>
  <c r="AE26" i="34"/>
  <c r="AQ26" i="34" s="1"/>
  <c r="BC26" i="34" s="1" a="1"/>
  <c r="AE29" i="34"/>
  <c r="AQ29" i="34" s="1"/>
  <c r="BC29" i="34" s="1" a="1"/>
  <c r="AF25" i="34"/>
  <c r="AR25" i="34" s="1"/>
  <c r="BD25" i="34" s="1" a="1"/>
  <c r="AC26" i="34"/>
  <c r="AO26" i="34" s="1"/>
  <c r="BA26" i="34" s="1" a="1"/>
  <c r="AI26" i="34"/>
  <c r="AU26" i="34" s="1"/>
  <c r="BG26" i="34" s="1" a="1"/>
  <c r="AD31" i="34"/>
  <c r="AP31" i="34" s="1"/>
  <c r="BB31" i="34" s="1" a="1"/>
  <c r="AI24" i="34"/>
  <c r="AU24" i="34" s="1"/>
  <c r="BG24" i="34" s="1" a="1"/>
  <c r="AI16" i="34"/>
  <c r="AU16" i="34" s="1"/>
  <c r="BG16" i="34" s="1" a="1"/>
  <c r="AD17" i="34"/>
  <c r="AP17" i="34" s="1"/>
  <c r="BB17" i="34" s="1" a="1"/>
  <c r="AE13" i="34"/>
  <c r="AQ13" i="34" s="1"/>
  <c r="BC13" i="34" s="1" a="1"/>
  <c r="AH9" i="34"/>
  <c r="AT9" i="34" s="1"/>
  <c r="BF9" i="34" s="1" a="1"/>
  <c r="AJ16" i="34"/>
  <c r="AV16" i="34" s="1"/>
  <c r="BH16" i="34" s="1" a="1"/>
  <c r="AI7" i="34"/>
  <c r="AU7" i="34" s="1"/>
  <c r="BG7" i="34" s="1" a="1"/>
  <c r="AJ7" i="34"/>
  <c r="AV7" i="34" s="1"/>
  <c r="BH7" i="34" s="1" a="1"/>
  <c r="AJ24" i="34"/>
  <c r="AV24" i="34" s="1"/>
  <c r="BH24" i="34" s="1" a="1"/>
  <c r="AB21" i="34"/>
  <c r="AN21" i="34" s="1"/>
  <c r="AZ21" i="34" s="1" a="1"/>
  <c r="AI23" i="34"/>
  <c r="AU23" i="34" s="1"/>
  <c r="BG23" i="34" s="1" a="1"/>
  <c r="AB9" i="34"/>
  <c r="AN9" i="34" s="1"/>
  <c r="AZ9" i="34" s="1" a="1"/>
  <c r="AC30" i="34"/>
  <c r="AO30" i="34" s="1"/>
  <c r="BA30" i="34" s="1" a="1"/>
  <c r="AI8" i="34"/>
  <c r="AU8" i="34" s="1"/>
  <c r="BG8" i="34" s="1" a="1"/>
  <c r="AB24" i="34"/>
  <c r="AN24" i="34" s="1"/>
  <c r="AZ24" i="34" s="1" a="1"/>
  <c r="AL19" i="34"/>
  <c r="AX19" i="34" s="1"/>
  <c r="BJ19" i="34" s="1" a="1"/>
  <c r="AD21" i="34"/>
  <c r="AP21" i="34" s="1"/>
  <c r="BB21" i="34" s="1" a="1"/>
  <c r="AK28" i="34"/>
  <c r="AW28" i="34" s="1"/>
  <c r="BI28" i="34" s="1" a="1"/>
  <c r="AL28" i="34"/>
  <c r="AX28" i="34" s="1"/>
  <c r="BJ28" i="34" s="1" a="1"/>
  <c r="AD29" i="34"/>
  <c r="AP29" i="34" s="1"/>
  <c r="BB29" i="34" s="1" a="1"/>
  <c r="AH20" i="34"/>
  <c r="AT20" i="34" s="1"/>
  <c r="BF20" i="34" s="1" a="1"/>
  <c r="AE24" i="34"/>
  <c r="AQ24" i="34" s="1"/>
  <c r="BC24" i="34" s="1" a="1"/>
  <c r="AB25" i="34"/>
  <c r="AN25" i="34" s="1"/>
  <c r="AZ25" i="34" s="1" a="1"/>
  <c r="AH28" i="34"/>
  <c r="AT28" i="34" s="1"/>
  <c r="BF28" i="34" s="1" a="1"/>
  <c r="AE25" i="34"/>
  <c r="AQ25" i="34" s="1"/>
  <c r="BC25" i="34" s="1" a="1"/>
  <c r="AH30" i="34"/>
  <c r="AT30" i="34" s="1"/>
  <c r="BF30" i="34" s="1" a="1"/>
  <c r="AJ19" i="34"/>
  <c r="AV19" i="34" s="1"/>
  <c r="BH19" i="34" s="1" a="1"/>
  <c r="AB19" i="34"/>
  <c r="AN19" i="34" s="1"/>
  <c r="AZ19" i="34" s="1" a="1"/>
  <c r="AG26" i="34"/>
  <c r="AS26" i="34" s="1"/>
  <c r="BE26" i="34" s="1" a="1"/>
  <c r="AB22" i="34"/>
  <c r="AN22" i="34" s="1"/>
  <c r="AZ22" i="34" s="1" a="1"/>
  <c r="AB28" i="34"/>
  <c r="AN28" i="34" s="1"/>
  <c r="AZ28" i="34" s="1" a="1"/>
  <c r="AH27" i="34"/>
  <c r="AT27" i="34" s="1"/>
  <c r="BF27" i="34" s="1" a="1"/>
  <c r="AD27" i="34"/>
  <c r="AP27" i="34" s="1"/>
  <c r="BB27" i="34" s="1" a="1"/>
  <c r="AE30" i="34"/>
  <c r="AQ30" i="34" s="1"/>
  <c r="BC30" i="34" s="1" a="1"/>
  <c r="AJ31" i="34"/>
  <c r="AV31" i="34" s="1"/>
  <c r="BH31" i="34" s="1" a="1"/>
  <c r="AF5" i="34"/>
  <c r="AR5" i="34" s="1"/>
  <c r="BD5" i="34" s="1" a="1"/>
  <c r="AI12" i="34"/>
  <c r="AU12" i="34" s="1"/>
  <c r="BG12" i="34" s="1" a="1"/>
  <c r="AD15" i="34"/>
  <c r="AP15" i="34" s="1"/>
  <c r="BB15" i="34" s="1" a="1"/>
  <c r="AF23" i="34"/>
  <c r="AR23" i="34" s="1"/>
  <c r="BD23" i="34" s="1" a="1"/>
  <c r="AK25" i="34"/>
  <c r="AW25" i="34" s="1"/>
  <c r="BI25" i="34" s="1" a="1"/>
  <c r="AF29" i="34"/>
  <c r="AR29" i="34" s="1"/>
  <c r="BD29" i="34" s="1" a="1"/>
  <c r="AH23" i="34"/>
  <c r="AT23" i="34" s="1"/>
  <c r="BF23" i="34" s="1" a="1"/>
  <c r="AK19" i="34"/>
  <c r="AW19" i="34" s="1"/>
  <c r="BI19" i="34" s="1" a="1"/>
  <c r="AE27" i="34"/>
  <c r="AQ27" i="34" s="1"/>
  <c r="BC27" i="34" s="1" a="1"/>
  <c r="AF28" i="34"/>
  <c r="AR28" i="34" s="1"/>
  <c r="BD28" i="34" s="1" a="1"/>
  <c r="AM27" i="34"/>
  <c r="AY27" i="34" s="1"/>
  <c r="BK27" i="34" s="1" a="1"/>
  <c r="AC21" i="34"/>
  <c r="AO21" i="34" s="1"/>
  <c r="BA21" i="34" s="1" a="1"/>
  <c r="AC19" i="34"/>
  <c r="AO19" i="34" s="1"/>
  <c r="BA19" i="34" s="1" a="1"/>
  <c r="AF19" i="34"/>
  <c r="AR19" i="34" s="1"/>
  <c r="BD19" i="34" s="1" a="1"/>
  <c r="AF30" i="34"/>
  <c r="AR30" i="34" s="1"/>
  <c r="BD30" i="34" s="1" a="1"/>
  <c r="AB16" i="34"/>
  <c r="AN16" i="34" s="1"/>
  <c r="AZ16" i="34" s="1" a="1"/>
  <c r="AC27" i="34"/>
  <c r="AO27" i="34" s="1"/>
  <c r="BA27" i="34" s="1" a="1"/>
  <c r="AE4" i="34"/>
  <c r="AQ4" i="34" s="1"/>
  <c r="BC4" i="34" s="1" a="1"/>
  <c r="AE14" i="34"/>
  <c r="AQ14" i="34" s="1"/>
  <c r="BC14" i="34" s="1" a="1"/>
  <c r="AB15" i="34"/>
  <c r="AN15" i="34" s="1"/>
  <c r="AZ15" i="34" s="1" a="1"/>
  <c r="AG17" i="34"/>
  <c r="AS17" i="34" s="1"/>
  <c r="BE17" i="34" s="1" a="1"/>
  <c r="AJ21" i="34"/>
  <c r="AV21" i="34" s="1"/>
  <c r="BH21" i="34" s="1" a="1"/>
  <c r="AB27" i="34"/>
  <c r="AN27" i="34" s="1"/>
  <c r="AZ27" i="34" s="1" a="1"/>
  <c r="AG22" i="34"/>
  <c r="AS22" i="34" s="1"/>
  <c r="BE22" i="34" s="1" a="1"/>
  <c r="AH25" i="34"/>
  <c r="AT25" i="34" s="1"/>
  <c r="BF25" i="34" s="1" a="1"/>
  <c r="AD28" i="34"/>
  <c r="AP28" i="34" s="1"/>
  <c r="BB28" i="34" s="1" a="1"/>
  <c r="AG27" i="34"/>
  <c r="AS27" i="34" s="1"/>
  <c r="BE27" i="34" s="1" a="1"/>
  <c r="AI29" i="34"/>
  <c r="AU29" i="34" s="1"/>
  <c r="BG29" i="34" s="1" a="1"/>
  <c r="AI21" i="34"/>
  <c r="AU21" i="34" s="1"/>
  <c r="BG21" i="34" s="1" a="1"/>
  <c r="AB31" i="34"/>
  <c r="AN31" i="34" s="1"/>
  <c r="AZ31" i="34" s="1" a="1"/>
  <c r="AG8" i="34"/>
  <c r="AS8" i="34" s="1"/>
  <c r="BE8" i="34" s="1" a="1"/>
  <c r="AJ8" i="34"/>
  <c r="AV8" i="34" s="1"/>
  <c r="BH8" i="34" s="1" a="1"/>
  <c r="AE9" i="34"/>
  <c r="AQ9" i="34" s="1"/>
  <c r="BC9" i="34" s="1" a="1"/>
  <c r="AG15" i="34"/>
  <c r="AS15" i="34" s="1"/>
  <c r="BE15" i="34" s="1" a="1"/>
  <c r="AD14" i="34"/>
  <c r="AP14" i="34" s="1"/>
  <c r="BB14" i="34" s="1" a="1"/>
  <c r="AG23" i="34"/>
  <c r="AS23" i="34" s="1"/>
  <c r="BE23" i="34" s="1" a="1"/>
  <c r="AI20" i="34"/>
  <c r="AU20" i="34" s="1"/>
  <c r="BG20" i="34" s="1" a="1"/>
  <c r="AG21" i="34"/>
  <c r="AS21" i="34" s="1"/>
  <c r="BE21" i="34" s="1" a="1"/>
  <c r="AM21" i="34"/>
  <c r="AY21" i="34" s="1"/>
  <c r="BK21" i="34" s="1" a="1"/>
  <c r="AF24" i="34"/>
  <c r="AR24" i="34" s="1"/>
  <c r="BD24" i="34" s="1" a="1"/>
  <c r="AI22" i="34"/>
  <c r="AU22" i="34" s="1"/>
  <c r="BG22" i="34" s="1" a="1"/>
  <c r="AF20" i="34"/>
  <c r="AR20" i="34" s="1"/>
  <c r="BD20" i="34" s="1" a="1"/>
  <c r="AD24" i="34"/>
  <c r="AP24" i="34" s="1"/>
  <c r="BB24" i="34" s="1" a="1"/>
  <c r="AE22" i="34"/>
  <c r="AQ22" i="34" s="1"/>
  <c r="BC22" i="34" s="1" a="1"/>
  <c r="AG31" i="34"/>
  <c r="AS31" i="34" s="1"/>
  <c r="BE31" i="34" s="1" a="1"/>
  <c r="AG30" i="34"/>
  <c r="AS30" i="34" s="1"/>
  <c r="BE30" i="34" s="1" a="1"/>
  <c r="AE31" i="34"/>
  <c r="AQ31" i="34" s="1"/>
  <c r="BC31" i="34" s="1" a="1"/>
  <c r="AC31" i="34"/>
  <c r="AO31" i="34" s="1"/>
  <c r="BA31" i="34" s="1" a="1"/>
  <c r="AG5" i="34"/>
  <c r="AS5" i="34" s="1"/>
  <c r="BE5" i="34" s="1" a="1"/>
  <c r="AD20" i="34"/>
  <c r="AP20" i="34" s="1"/>
  <c r="BB20" i="34" s="1" a="1"/>
  <c r="AH22" i="34"/>
  <c r="AT22" i="34" s="1"/>
  <c r="BF22" i="34" s="1" a="1"/>
  <c r="AE28" i="34"/>
  <c r="AQ28" i="34" s="1"/>
  <c r="BC28" i="34" s="1" a="1"/>
  <c r="AK24" i="34"/>
  <c r="AW24" i="34" s="1"/>
  <c r="BI24" i="34" s="1" a="1"/>
  <c r="AI27" i="34"/>
  <c r="AU27" i="34" s="1"/>
  <c r="BG27" i="34" s="1" a="1"/>
  <c r="AF31" i="34"/>
  <c r="AR31" i="34" s="1"/>
  <c r="BD31" i="34" s="1" a="1"/>
  <c r="AC8" i="34"/>
  <c r="AO8" i="34" s="1"/>
  <c r="BA8" i="34" s="1" a="1"/>
  <c r="AC11" i="34"/>
  <c r="AO11" i="34" s="1"/>
  <c r="BA11" i="34" s="1" a="1"/>
  <c r="AK20" i="34"/>
  <c r="AW20" i="34" s="1"/>
  <c r="BI20" i="34" s="1" a="1"/>
  <c r="AG19" i="34"/>
  <c r="AS19" i="34" s="1"/>
  <c r="BE19" i="34" s="1" a="1"/>
  <c r="AH8" i="34"/>
  <c r="AT8" i="34" s="1"/>
  <c r="BF8" i="34" s="1" a="1"/>
  <c r="AE17" i="34"/>
  <c r="AQ17" i="34" s="1"/>
  <c r="BC17" i="34" s="1" a="1"/>
  <c r="AF16" i="34"/>
  <c r="AR16" i="34" s="1"/>
  <c r="BD16" i="34" s="1" a="1"/>
  <c r="AG10" i="34"/>
  <c r="AS10" i="34" s="1"/>
  <c r="BE10" i="34" s="1" a="1"/>
  <c r="AI14" i="34"/>
  <c r="AU14" i="34" s="1"/>
  <c r="BG14" i="34" s="1" a="1"/>
  <c r="AB10" i="34"/>
  <c r="AN10" i="34" s="1"/>
  <c r="AZ10" i="34" s="1" a="1"/>
  <c r="AJ25" i="34"/>
  <c r="AV25" i="34" s="1"/>
  <c r="BH25" i="34" s="1" a="1"/>
  <c r="AB26" i="34"/>
  <c r="AN26" i="34" s="1"/>
  <c r="AZ26" i="34" s="1" a="1"/>
  <c r="AL22" i="34"/>
  <c r="AX22" i="34" s="1"/>
  <c r="BJ22" i="34" s="1" a="1"/>
  <c r="AE20" i="34"/>
  <c r="AQ20" i="34" s="1"/>
  <c r="BC20" i="34" s="1" a="1"/>
  <c r="AG24" i="34"/>
  <c r="AS24" i="34" s="1"/>
  <c r="BE24" i="34" s="1" a="1"/>
  <c r="AI28" i="34"/>
  <c r="AU28" i="34" s="1"/>
  <c r="BG28" i="34" s="1" a="1"/>
  <c r="AD22" i="34"/>
  <c r="AP22" i="34" s="1"/>
  <c r="BB22" i="34" s="1" a="1"/>
  <c r="AJ20" i="34"/>
  <c r="AV20" i="34" s="1"/>
  <c r="BH20" i="34" s="1" a="1"/>
  <c r="AF26" i="34"/>
  <c r="AR26" i="34" s="1"/>
  <c r="BD26" i="34" s="1" a="1"/>
  <c r="AF21" i="34"/>
  <c r="AR21" i="34" s="1"/>
  <c r="BD21" i="34" s="1" a="1"/>
  <c r="AC22" i="34"/>
  <c r="AO22" i="34" s="1"/>
  <c r="BA22" i="34" s="1" a="1"/>
  <c r="AF22" i="34"/>
  <c r="AR22" i="34" s="1"/>
  <c r="BD22" i="34" s="1" a="1"/>
  <c r="AE21" i="34"/>
  <c r="AQ21" i="34" s="1"/>
  <c r="BC21" i="34" s="1" a="1"/>
  <c r="AI31" i="34"/>
  <c r="AU31" i="34" s="1"/>
  <c r="BG31" i="34" s="1" a="1"/>
  <c r="AD10" i="34"/>
  <c r="AP10" i="34" s="1"/>
  <c r="BB10" i="34" s="1" a="1"/>
  <c r="AG12" i="34"/>
  <c r="AS12" i="34" s="1"/>
  <c r="BE12" i="34" s="1" a="1"/>
  <c r="AH16" i="34"/>
  <c r="AT16" i="34" s="1"/>
  <c r="BF16" i="34" s="1" a="1"/>
  <c r="AG14" i="34"/>
  <c r="AS14" i="34" s="1"/>
  <c r="BE14" i="34" s="1" a="1"/>
  <c r="AF27" i="34"/>
  <c r="AR27" i="34" s="1"/>
  <c r="BD27" i="34" s="1" a="1"/>
  <c r="AL26" i="34"/>
  <c r="AX26" i="34" s="1"/>
  <c r="BJ26" i="34" s="1" a="1"/>
  <c r="AC20" i="34"/>
  <c r="AO20" i="34" s="1"/>
  <c r="BA20" i="34" s="1" a="1"/>
  <c r="AG28" i="34"/>
  <c r="AS28" i="34" s="1"/>
  <c r="BE28" i="34" s="1" a="1"/>
  <c r="AC23" i="34"/>
  <c r="AO23" i="34" s="1"/>
  <c r="BA23" i="34" s="1" a="1"/>
  <c r="AJ23" i="34"/>
  <c r="AV23" i="34" s="1"/>
  <c r="BH23" i="34" s="1" a="1"/>
  <c r="AL21" i="34"/>
  <c r="AX21" i="34" s="1"/>
  <c r="BJ21" i="34" s="1" a="1"/>
  <c r="AH31" i="34"/>
  <c r="AT31" i="34" s="1"/>
  <c r="BF31" i="34" s="1" a="1"/>
  <c r="AI19" i="34"/>
  <c r="AU19" i="34" s="1"/>
  <c r="BG19" i="34" s="1" a="1"/>
  <c r="AJ28" i="34"/>
  <c r="AV28" i="34" s="1"/>
  <c r="BH28" i="34" s="1" a="1"/>
  <c r="AJ26" i="34"/>
  <c r="AV26" i="34" s="1"/>
  <c r="BH26" i="34" s="1" a="1"/>
  <c r="AD23" i="34"/>
  <c r="AP23" i="34" s="1"/>
  <c r="BB23" i="34" s="1" a="1"/>
  <c r="AG25" i="34"/>
  <c r="AS25" i="34" s="1"/>
  <c r="BE25" i="34" s="1" a="1"/>
  <c r="AL23" i="34"/>
  <c r="AX23" i="34" s="1"/>
  <c r="BJ23" i="34" s="1" a="1"/>
  <c r="AC25" i="34"/>
  <c r="AO25" i="34" s="1"/>
  <c r="BA25" i="34" s="1" a="1"/>
  <c r="AE23" i="34"/>
  <c r="AQ23" i="34" s="1"/>
  <c r="BC23" i="34" s="1" a="1"/>
  <c r="AL27" i="34"/>
  <c r="AX27" i="34" s="1"/>
  <c r="BJ27" i="34" s="1" a="1"/>
  <c r="AI30" i="34"/>
  <c r="AU30" i="34" s="1"/>
  <c r="BG30" i="34" s="1" a="1"/>
  <c r="AD4" i="34"/>
  <c r="AP4" i="34" s="1"/>
  <c r="BB4" i="34" s="1" a="1"/>
  <c r="AJ14" i="34"/>
  <c r="AV14" i="34" s="1"/>
  <c r="BH14" i="34" s="1" a="1"/>
  <c r="AD26" i="34"/>
  <c r="AP26" i="34" s="1"/>
  <c r="BB26" i="34" s="1" a="1"/>
  <c r="AD19" i="34"/>
  <c r="AP19" i="34" s="1"/>
  <c r="BB19" i="34" s="1" a="1"/>
  <c r="AH21" i="34"/>
  <c r="AT21" i="34" s="1"/>
  <c r="BF21" i="34" s="1" a="1"/>
  <c r="AL25" i="34"/>
  <c r="AX25" i="34" s="1"/>
  <c r="BJ25" i="34" s="1" a="1"/>
  <c r="AB29" i="34"/>
  <c r="AN29" i="34" s="1"/>
  <c r="AZ29" i="34" s="1" a="1"/>
  <c r="AH26" i="34"/>
  <c r="AT26" i="34" s="1"/>
  <c r="BF26" i="34" s="1" a="1"/>
  <c r="AK21" i="34"/>
  <c r="AW21" i="34" s="1"/>
  <c r="BI21" i="34" s="1" a="1"/>
  <c r="AD25" i="34"/>
  <c r="AP25" i="34" s="1"/>
  <c r="BB25" i="34" s="1" a="1"/>
  <c r="AC28" i="34"/>
  <c r="AO28" i="34" s="1"/>
  <c r="BA28" i="34" s="1" a="1"/>
  <c r="AJ30" i="34"/>
  <c r="AV30" i="34" s="1"/>
  <c r="BH30" i="34" s="1" a="1"/>
  <c r="AB12" i="34"/>
  <c r="AN12" i="34" s="1"/>
  <c r="AZ12" i="34" s="1" a="1"/>
  <c r="AJ22" i="34"/>
  <c r="AV22" i="34" s="1"/>
  <c r="BH22" i="34" s="1" a="1"/>
  <c r="AD12" i="34"/>
  <c r="AP12" i="34" s="1"/>
  <c r="BB12" i="34" s="1" a="1"/>
  <c r="AE15" i="34"/>
  <c r="AQ15" i="34" s="1"/>
  <c r="BC15" i="34" s="1" a="1"/>
  <c r="AB11" i="34"/>
  <c r="AN11" i="34" s="1"/>
  <c r="AZ11" i="34" s="1" a="1"/>
  <c r="AJ17" i="34"/>
  <c r="AV17" i="34" s="1"/>
  <c r="BH17" i="34" s="1" a="1"/>
  <c r="AE16" i="34"/>
  <c r="AQ16" i="34" s="1"/>
  <c r="BC16" i="34" s="1" a="1"/>
  <c r="AI9" i="34"/>
  <c r="AU9" i="34" s="1"/>
  <c r="BG9" i="34" s="1" a="1"/>
  <c r="AB8" i="34"/>
  <c r="AN8" i="34" s="1"/>
  <c r="AZ8" i="34" s="1" a="1"/>
  <c r="AJ5" i="34"/>
  <c r="AV5" i="34" s="1"/>
  <c r="BH5" i="34" s="1" a="1"/>
  <c r="AC5" i="34"/>
  <c r="AO5" i="34" s="1"/>
  <c r="BA5" i="34" s="1" a="1"/>
  <c r="AC4" i="34"/>
  <c r="AO4" i="34" s="1"/>
  <c r="BA4" i="34" s="1" a="1"/>
  <c r="AF9" i="34"/>
  <c r="AR9" i="34" s="1"/>
  <c r="BD9" i="34" s="1" a="1"/>
  <c r="AJ27" i="34"/>
  <c r="AV27" i="34" s="1"/>
  <c r="BH27" i="34" s="1" a="1"/>
  <c r="AB23" i="34"/>
  <c r="AN23" i="34" s="1"/>
  <c r="AZ23" i="34" s="1" a="1"/>
  <c r="AH19" i="34"/>
  <c r="AT19" i="34" s="1"/>
  <c r="BF19" i="34" s="1" a="1"/>
  <c r="AC24" i="34"/>
  <c r="AO24" i="34" s="1"/>
  <c r="BA24" i="34" s="1" a="1"/>
  <c r="AI25" i="34"/>
  <c r="AU25" i="34" s="1"/>
  <c r="BG25" i="34" s="1" a="1"/>
  <c r="AG29" i="34"/>
  <c r="AS29" i="34" s="1"/>
  <c r="BE29" i="34" s="1" a="1"/>
  <c r="AG7" i="34"/>
  <c r="AS7" i="34" s="1"/>
  <c r="BE7" i="34" s="1" a="1"/>
  <c r="AD30" i="34"/>
  <c r="AP30" i="34" s="1"/>
  <c r="BB30" i="34" s="1" a="1"/>
  <c r="AK4" i="34"/>
  <c r="AW4" i="34" s="1"/>
  <c r="BI4" i="34" s="1" a="1"/>
  <c r="AL8" i="34"/>
  <c r="AX8" i="34" s="1"/>
  <c r="BJ8" i="34" s="1" a="1"/>
  <c r="AM23" i="34"/>
  <c r="AY23" i="34" s="1"/>
  <c r="BK23" i="34" s="1" a="1"/>
  <c r="AM28" i="34"/>
  <c r="AY28" i="34" s="1"/>
  <c r="BK28" i="34" s="1" a="1"/>
  <c r="AM22" i="34"/>
  <c r="AY22" i="34" s="1"/>
  <c r="BK22" i="34" s="1" a="1"/>
  <c r="AL24" i="34"/>
  <c r="AX24" i="34" s="1"/>
  <c r="BJ24" i="34" s="1" a="1"/>
  <c r="AK22" i="34"/>
  <c r="AW22" i="34" s="1"/>
  <c r="BI22" i="34" s="1" a="1"/>
  <c r="AM26" i="34"/>
  <c r="AY26" i="34" s="1"/>
  <c r="BK26" i="34" s="1" a="1"/>
  <c r="AK23" i="34"/>
  <c r="AW23" i="34" s="1"/>
  <c r="BI23" i="34" s="1" a="1"/>
  <c r="AK26" i="34"/>
  <c r="AW26" i="34" s="1"/>
  <c r="BI26" i="34" s="1" a="1"/>
  <c r="AL15" i="34"/>
  <c r="AX15" i="34" s="1"/>
  <c r="BJ15" i="34" s="1" a="1"/>
  <c r="AL29" i="34"/>
  <c r="AX29" i="34" s="1"/>
  <c r="BJ29" i="34" s="1" a="1"/>
  <c r="AM8" i="34"/>
  <c r="AY8" i="34" s="1"/>
  <c r="BK8" i="34" s="1" a="1"/>
  <c r="AM29" i="34"/>
  <c r="AY29" i="34" s="1"/>
  <c r="BK29" i="34" s="1" a="1"/>
  <c r="AM24" i="34"/>
  <c r="AY24" i="34" s="1"/>
  <c r="BK24" i="34" s="1" a="1"/>
  <c r="AM20" i="34"/>
  <c r="AY20" i="34" s="1"/>
  <c r="BK20" i="34" s="1" a="1"/>
  <c r="AL4" i="34"/>
  <c r="AX4" i="34" s="1"/>
  <c r="BJ4" i="34" s="1" a="1"/>
  <c r="AK27" i="34"/>
  <c r="AW27" i="34" s="1"/>
  <c r="BI27" i="34" s="1" a="1"/>
  <c r="AM9" i="34"/>
  <c r="AY9" i="34" s="1"/>
  <c r="BK9" i="34" s="1" a="1"/>
  <c r="AL9" i="34"/>
  <c r="AX9" i="34" s="1"/>
  <c r="BJ9" i="34" s="1" a="1"/>
  <c r="AM10" i="34"/>
  <c r="AY10" i="34" s="1"/>
  <c r="BK10" i="34" s="1" a="1"/>
  <c r="AL11" i="34"/>
  <c r="AX11" i="34" s="1"/>
  <c r="BJ11" i="34" s="1" a="1"/>
  <c r="AK29" i="34"/>
  <c r="AW29" i="34" s="1"/>
  <c r="BI29" i="34" s="1" a="1"/>
  <c r="AK17" i="34"/>
  <c r="AW17" i="34" s="1"/>
  <c r="BI17" i="34" s="1" a="1"/>
  <c r="AL14" i="34"/>
  <c r="AX14" i="34" s="1"/>
  <c r="BJ14" i="34" s="1" a="1"/>
  <c r="AM4" i="34"/>
  <c r="AY4" i="34" s="1"/>
  <c r="BK4" i="34" s="1" a="1"/>
  <c r="AL17" i="34"/>
  <c r="AX17" i="34" s="1"/>
  <c r="BJ17" i="34" s="1" a="1"/>
  <c r="AL7" i="34"/>
  <c r="AX7" i="34" s="1"/>
  <c r="BJ7" i="34" s="1" a="1"/>
  <c r="AK15" i="34"/>
  <c r="AW15" i="34" s="1"/>
  <c r="BI15" i="34" s="1" a="1"/>
  <c r="AK12" i="34"/>
  <c r="AW12" i="34" s="1"/>
  <c r="BI12" i="34" s="1" a="1"/>
  <c r="AL10" i="34"/>
  <c r="AX10" i="34" s="1"/>
  <c r="BJ10" i="34" s="1" a="1"/>
  <c r="AK14" i="34"/>
  <c r="AW14" i="34" s="1"/>
  <c r="BI14" i="34" s="1" a="1"/>
  <c r="AK16" i="34"/>
  <c r="AW16" i="34" s="1"/>
  <c r="BI16" i="34" s="1" a="1"/>
  <c r="AM7" i="34"/>
  <c r="AY7" i="34" s="1"/>
  <c r="BK7" i="34" s="1" a="1"/>
  <c r="AM17" i="34"/>
  <c r="AY17" i="34" s="1"/>
  <c r="BK17" i="34" s="1" a="1"/>
  <c r="AM15" i="34"/>
  <c r="AY15" i="34" s="1"/>
  <c r="BK15" i="34" s="1" a="1"/>
  <c r="AM14" i="34"/>
  <c r="AY14" i="34" s="1"/>
  <c r="BK14" i="34" s="1" a="1"/>
  <c r="AL16" i="34"/>
  <c r="AX16" i="34" s="1"/>
  <c r="BJ16" i="34" s="1" a="1"/>
  <c r="AL12" i="34"/>
  <c r="AX12" i="34" s="1"/>
  <c r="BJ12" i="34" s="1" a="1"/>
  <c r="AK5" i="34"/>
  <c r="AW5" i="34" s="1"/>
  <c r="BI5" i="34" s="1" a="1"/>
  <c r="AM16" i="34"/>
  <c r="AY16" i="34" s="1"/>
  <c r="BK16" i="34" s="1" a="1"/>
  <c r="AL5" i="34"/>
  <c r="AX5" i="34" s="1"/>
  <c r="BJ5" i="34" s="1" a="1"/>
  <c r="AK11" i="34"/>
  <c r="AW11" i="34" s="1"/>
  <c r="BI11" i="34" s="1" a="1"/>
  <c r="AM11" i="34"/>
  <c r="AY11" i="34" s="1"/>
  <c r="BK11" i="34" s="1" a="1"/>
  <c r="AM5" i="34"/>
  <c r="AY5" i="34" s="1"/>
  <c r="BK5" i="34" s="1" a="1"/>
  <c r="AM12" i="34"/>
  <c r="AY12" i="34" s="1"/>
  <c r="BK12" i="34" s="1" a="1"/>
  <c r="AK9" i="34"/>
  <c r="AW9" i="34" s="1"/>
  <c r="BI9" i="34" s="1" a="1"/>
  <c r="AK8" i="34"/>
  <c r="AW8" i="34" s="1"/>
  <c r="BI8" i="34" s="1" a="1"/>
  <c r="E21" i="9"/>
  <c r="K45" i="9"/>
  <c r="D21" i="10"/>
  <c r="E20" i="10"/>
  <c r="J48" i="10"/>
  <c r="J48" i="9"/>
  <c r="C20" i="9"/>
  <c r="BL11" i="5" s="1"/>
  <c r="M8" i="9"/>
  <c r="O20" i="9"/>
  <c r="O12" i="9"/>
  <c r="D25" i="9" s="1"/>
  <c r="O16" i="9"/>
  <c r="O47" i="9" s="1"/>
  <c r="Q16" i="9"/>
  <c r="Q47" i="9" s="1"/>
  <c r="R8" i="9"/>
  <c r="Q13" i="9"/>
  <c r="E27" i="9" s="1"/>
  <c r="R16" i="9"/>
  <c r="R47" i="9" s="1"/>
  <c r="R13" i="9"/>
  <c r="E28" i="9" s="1"/>
  <c r="O6" i="9"/>
  <c r="O45" i="9" s="1"/>
  <c r="K11" i="9"/>
  <c r="L14" i="9"/>
  <c r="K19" i="9"/>
  <c r="BN11" i="5"/>
  <c r="R46" i="9"/>
  <c r="B28" i="9"/>
  <c r="P16" i="9"/>
  <c r="P47" i="9" s="1"/>
  <c r="O13" i="9"/>
  <c r="E25" i="9" s="1"/>
  <c r="R17" i="9"/>
  <c r="K7" i="9"/>
  <c r="O7" i="9"/>
  <c r="J12" i="9"/>
  <c r="J16" i="9"/>
  <c r="O19" i="9"/>
  <c r="O48" i="9" s="1"/>
  <c r="BH11" i="5"/>
  <c r="O8" i="9"/>
  <c r="O17" i="9"/>
  <c r="L7" i="9"/>
  <c r="O11" i="9"/>
  <c r="C25" i="9" s="1"/>
  <c r="O14" i="9"/>
  <c r="M19" i="9"/>
  <c r="M38" i="9" s="1"/>
  <c r="P7" i="9"/>
  <c r="K12" i="9"/>
  <c r="K16" i="9"/>
  <c r="K20" i="9"/>
  <c r="K13" i="10"/>
  <c r="J7" i="10"/>
  <c r="J14" i="10"/>
  <c r="J8" i="10"/>
  <c r="I48" i="10"/>
  <c r="K7" i="10"/>
  <c r="L7" i="10"/>
  <c r="J20" i="10"/>
  <c r="L20" i="10"/>
  <c r="L14" i="10"/>
  <c r="P14" i="10"/>
  <c r="J16" i="10"/>
  <c r="Q11" i="10"/>
  <c r="C27" i="10" s="1"/>
  <c r="L16" i="10"/>
  <c r="L47" i="10" s="1"/>
  <c r="BN10" i="12"/>
  <c r="BO10" i="12"/>
  <c r="BP10" i="12"/>
  <c r="BK10" i="12"/>
  <c r="BG10" i="12"/>
  <c r="BM10" i="12"/>
  <c r="BL10" i="12"/>
  <c r="L46" i="10"/>
  <c r="B22" i="10"/>
  <c r="L13" i="10"/>
  <c r="E22" i="10" s="1"/>
  <c r="BE10" i="12" s="1"/>
  <c r="K16" i="10"/>
  <c r="L6" i="10"/>
  <c r="L45" i="10" s="1"/>
  <c r="R11" i="10"/>
  <c r="C28" i="10" s="1"/>
  <c r="J17" i="10"/>
  <c r="L8" i="10"/>
  <c r="J11" i="10"/>
  <c r="Q6" i="10"/>
  <c r="Q45" i="10" s="1"/>
  <c r="J12" i="10"/>
  <c r="L17" i="10"/>
  <c r="N7" i="9"/>
  <c r="N11" i="9"/>
  <c r="C24" i="9" s="1"/>
  <c r="N14" i="9"/>
  <c r="N12" i="9"/>
  <c r="D24" i="9" s="1"/>
  <c r="N19" i="9"/>
  <c r="N48" i="9" s="1"/>
  <c r="N13" i="9"/>
  <c r="E24" i="9" s="1"/>
  <c r="N16" i="9"/>
  <c r="N47" i="9" s="1"/>
  <c r="N6" i="9"/>
  <c r="N45" i="9" s="1"/>
  <c r="N20" i="9"/>
  <c r="M20" i="9"/>
  <c r="M48" i="9"/>
  <c r="M7" i="9"/>
  <c r="M11" i="9"/>
  <c r="C23" i="9" s="1"/>
  <c r="M17" i="9"/>
  <c r="M45" i="9"/>
  <c r="O10" i="10"/>
  <c r="M7" i="10"/>
  <c r="Q8" i="10"/>
  <c r="R10" i="10"/>
  <c r="P13" i="10"/>
  <c r="E26" i="10" s="1"/>
  <c r="Q17" i="10"/>
  <c r="N7" i="10"/>
  <c r="R8" i="10"/>
  <c r="Q13" i="10"/>
  <c r="E27" i="10" s="1"/>
  <c r="M16" i="10"/>
  <c r="R17" i="10"/>
  <c r="K20" i="10"/>
  <c r="M10" i="10"/>
  <c r="M8" i="10"/>
  <c r="N10" i="10"/>
  <c r="M17" i="10"/>
  <c r="M13" i="10"/>
  <c r="E23" i="10" s="1"/>
  <c r="N17" i="10"/>
  <c r="O8" i="10"/>
  <c r="P10" i="10"/>
  <c r="N13" i="10"/>
  <c r="E24" i="10" s="1"/>
  <c r="O17" i="10"/>
  <c r="P8" i="10"/>
  <c r="Q10" i="10"/>
  <c r="O13" i="10"/>
  <c r="E25" i="10" s="1"/>
  <c r="P17" i="10"/>
  <c r="O7" i="10"/>
  <c r="M12" i="10"/>
  <c r="D23" i="10" s="1"/>
  <c r="R13" i="10"/>
  <c r="E28" i="10" s="1"/>
  <c r="N16" i="10"/>
  <c r="N47" i="10" s="1"/>
  <c r="K6" i="10"/>
  <c r="P7" i="10"/>
  <c r="K11" i="10"/>
  <c r="N12" i="10"/>
  <c r="D24" i="10" s="1"/>
  <c r="O16" i="10"/>
  <c r="O47" i="10" s="1"/>
  <c r="K19" i="10"/>
  <c r="M20" i="10"/>
  <c r="Q7" i="10"/>
  <c r="L11" i="10"/>
  <c r="O12" i="10"/>
  <c r="D25" i="10" s="1"/>
  <c r="K14" i="10"/>
  <c r="P16" i="10"/>
  <c r="P47" i="10" s="1"/>
  <c r="L19" i="10"/>
  <c r="L48" i="10" s="1"/>
  <c r="N20" i="10"/>
  <c r="M6" i="10"/>
  <c r="R7" i="10"/>
  <c r="M11" i="10"/>
  <c r="C23" i="10" s="1"/>
  <c r="P12" i="10"/>
  <c r="D26" i="10" s="1"/>
  <c r="Q16" i="10"/>
  <c r="Q47" i="10" s="1"/>
  <c r="M19" i="10"/>
  <c r="O20" i="10"/>
  <c r="N6" i="10"/>
  <c r="J10" i="10"/>
  <c r="N11" i="10"/>
  <c r="C24" i="10" s="1"/>
  <c r="Q12" i="10"/>
  <c r="D27" i="10" s="1"/>
  <c r="R16" i="10"/>
  <c r="R47" i="10" s="1"/>
  <c r="N19" i="10"/>
  <c r="N48" i="10" s="1"/>
  <c r="P20" i="10"/>
  <c r="O6" i="10"/>
  <c r="N8" i="10"/>
  <c r="K10" i="10"/>
  <c r="O11" i="10"/>
  <c r="C25" i="10" s="1"/>
  <c r="R12" i="10"/>
  <c r="D28" i="10" s="1"/>
  <c r="O19" i="10"/>
  <c r="O48" i="10" s="1"/>
  <c r="P6" i="10"/>
  <c r="K8" i="10"/>
  <c r="P11" i="10"/>
  <c r="C26" i="10" s="1"/>
  <c r="O46" i="9"/>
  <c r="P12" i="9"/>
  <c r="D26" i="9" s="1"/>
  <c r="J10" i="9"/>
  <c r="Q12" i="9"/>
  <c r="D27" i="9" s="1"/>
  <c r="P20" i="9"/>
  <c r="J8" i="9"/>
  <c r="K10" i="9"/>
  <c r="R12" i="9"/>
  <c r="D28" i="9" s="1"/>
  <c r="J17" i="9"/>
  <c r="Q20" i="9"/>
  <c r="M37" i="9"/>
  <c r="P6" i="9"/>
  <c r="K8" i="9"/>
  <c r="L10" i="9"/>
  <c r="P11" i="9"/>
  <c r="C26" i="9" s="1"/>
  <c r="J13" i="9"/>
  <c r="K17" i="9"/>
  <c r="P19" i="9"/>
  <c r="P48" i="9" s="1"/>
  <c r="R20" i="9"/>
  <c r="Q6" i="9"/>
  <c r="L8" i="9"/>
  <c r="M10" i="9"/>
  <c r="Q11" i="9"/>
  <c r="C27" i="9" s="1"/>
  <c r="P14" i="9"/>
  <c r="Q19" i="9"/>
  <c r="Q48" i="9" s="1"/>
  <c r="R6" i="9"/>
  <c r="N10" i="9"/>
  <c r="R11" i="9"/>
  <c r="C28" i="9" s="1"/>
  <c r="BG11" i="5" s="1"/>
  <c r="Q14" i="9"/>
  <c r="R19" i="9"/>
  <c r="R48" i="9" s="1"/>
  <c r="J7" i="9"/>
  <c r="N8" i="9"/>
  <c r="R14" i="9"/>
  <c r="I45" i="9"/>
  <c r="P10" i="9"/>
  <c r="P8" i="9"/>
  <c r="Q10" i="9"/>
  <c r="P17" i="9"/>
  <c r="I48" i="9"/>
  <c r="Q8" i="9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B5" i="12"/>
  <c r="C4" i="12"/>
  <c r="B4" i="12"/>
  <c r="C3" i="12"/>
  <c r="B3" i="12"/>
  <c r="C2" i="12"/>
  <c r="B2" i="12"/>
  <c r="H30" i="2"/>
  <c r="AG17" i="35" l="1"/>
  <c r="AS17" i="35" s="1"/>
  <c r="BE17" i="35" s="1" a="1"/>
  <c r="AH17" i="35"/>
  <c r="AT17" i="35" s="1"/>
  <c r="BF17" i="35" s="1" a="1"/>
  <c r="AB17" i="35"/>
  <c r="AN17" i="35" s="1"/>
  <c r="AZ17" i="35" s="1" a="1"/>
  <c r="AD17" i="35"/>
  <c r="AP17" i="35" s="1"/>
  <c r="BB17" i="35" s="1" a="1"/>
  <c r="AC17" i="35"/>
  <c r="AO17" i="35" s="1"/>
  <c r="BA17" i="35" s="1" a="1"/>
  <c r="AG15" i="35"/>
  <c r="AS15" i="35" s="1"/>
  <c r="BE15" i="35" s="1" a="1"/>
  <c r="AE17" i="35"/>
  <c r="AQ17" i="35" s="1"/>
  <c r="BC17" i="35" s="1" a="1"/>
  <c r="AI17" i="35"/>
  <c r="AU17" i="35" s="1"/>
  <c r="BG17" i="35" s="1" a="1"/>
  <c r="AC15" i="35"/>
  <c r="AO15" i="35" s="1"/>
  <c r="BA15" i="35" s="1" a="1"/>
  <c r="AF17" i="35"/>
  <c r="AR17" i="35" s="1"/>
  <c r="BD17" i="35" s="1" a="1"/>
  <c r="AH15" i="35"/>
  <c r="AT15" i="35" s="1"/>
  <c r="BF15" i="35" s="1" a="1"/>
  <c r="AH16" i="35"/>
  <c r="AT16" i="35" s="1"/>
  <c r="BF16" i="35" s="1" a="1"/>
  <c r="AB15" i="35"/>
  <c r="AN15" i="35" s="1"/>
  <c r="AZ15" i="35" s="1" a="1"/>
  <c r="AE15" i="35"/>
  <c r="AQ15" i="35" s="1"/>
  <c r="BC15" i="35" s="1" a="1"/>
  <c r="AF15" i="35"/>
  <c r="AR15" i="35" s="1"/>
  <c r="BD15" i="35" s="1" a="1"/>
  <c r="AD16" i="35"/>
  <c r="AP16" i="35" s="1"/>
  <c r="BB16" i="35" s="1" a="1"/>
  <c r="AD15" i="35"/>
  <c r="AP15" i="35" s="1"/>
  <c r="BB15" i="35" s="1" a="1"/>
  <c r="AE16" i="35"/>
  <c r="AQ16" i="35" s="1"/>
  <c r="BC16" i="35" s="1" a="1"/>
  <c r="AI15" i="35"/>
  <c r="AU15" i="35" s="1"/>
  <c r="BG15" i="35" s="1" a="1"/>
  <c r="AF16" i="35"/>
  <c r="AR16" i="35" s="1"/>
  <c r="BD16" i="35" s="1" a="1"/>
  <c r="AG16" i="35"/>
  <c r="AS16" i="35" s="1"/>
  <c r="BE16" i="35" s="1" a="1"/>
  <c r="AB16" i="35"/>
  <c r="AN16" i="35" s="1"/>
  <c r="AZ16" i="35" s="1" a="1"/>
  <c r="AC10" i="35"/>
  <c r="AO10" i="35" s="1"/>
  <c r="BA10" i="35" s="1" a="1"/>
  <c r="AC16" i="35"/>
  <c r="AO16" i="35" s="1"/>
  <c r="BA16" i="35" s="1" a="1"/>
  <c r="AI16" i="35"/>
  <c r="AU16" i="35" s="1"/>
  <c r="BG16" i="35" s="1" a="1"/>
  <c r="AG5" i="35"/>
  <c r="AS5" i="35" s="1"/>
  <c r="BE5" i="35" s="1" a="1"/>
  <c r="Q5" i="17"/>
  <c r="K5" i="17" s="1"/>
  <c r="AB10" i="35"/>
  <c r="AN10" i="35" s="1"/>
  <c r="AZ10" i="35" s="1" a="1"/>
  <c r="AG7" i="35"/>
  <c r="AS7" i="35" s="1"/>
  <c r="BE7" i="35" s="1" a="1"/>
  <c r="AI14" i="35"/>
  <c r="AU14" i="35" s="1"/>
  <c r="BG14" i="35" s="1" a="1"/>
  <c r="AB5" i="35"/>
  <c r="AN5" i="35" s="1"/>
  <c r="AZ5" i="35" s="1" a="1"/>
  <c r="AK5" i="35"/>
  <c r="AW5" i="35" s="1"/>
  <c r="BI5" i="35" s="1" a="1"/>
  <c r="AF6" i="35"/>
  <c r="AR6" i="35" s="1"/>
  <c r="BD6" i="35" s="1" a="1"/>
  <c r="Q9" i="17"/>
  <c r="K9" i="17" s="1"/>
  <c r="Q7" i="17"/>
  <c r="K7" i="17" s="1"/>
  <c r="Q8" i="17"/>
  <c r="K8" i="17" s="1"/>
  <c r="AF13" i="35"/>
  <c r="AR13" i="35" s="1"/>
  <c r="BD13" i="35" s="1" a="1"/>
  <c r="AI12" i="35"/>
  <c r="AU12" i="35" s="1"/>
  <c r="BG12" i="35" s="1" a="1"/>
  <c r="AK7" i="35"/>
  <c r="AW7" i="35" s="1"/>
  <c r="BI7" i="35" s="1" a="1"/>
  <c r="AC13" i="35"/>
  <c r="AO13" i="35" s="1"/>
  <c r="BA13" i="35" s="1" a="1"/>
  <c r="AB14" i="35"/>
  <c r="AN14" i="35" s="1"/>
  <c r="AZ14" i="35" s="1" a="1"/>
  <c r="AL12" i="35"/>
  <c r="AX12" i="35" s="1"/>
  <c r="BJ12" i="35" s="1" a="1"/>
  <c r="AL11" i="35"/>
  <c r="AX11" i="35" s="1"/>
  <c r="BJ11" i="35" s="1" a="1"/>
  <c r="AG10" i="35"/>
  <c r="AS10" i="35" s="1"/>
  <c r="BE10" i="35" s="1" a="1"/>
  <c r="AE14" i="35"/>
  <c r="AQ14" i="35" s="1"/>
  <c r="BC14" i="35" s="1" a="1"/>
  <c r="AD10" i="35"/>
  <c r="AP10" i="35" s="1"/>
  <c r="BB10" i="35" s="1" a="1"/>
  <c r="AB8" i="35"/>
  <c r="AN8" i="35" s="1"/>
  <c r="AZ8" i="35" s="1" a="1"/>
  <c r="AB6" i="35"/>
  <c r="AN6" i="35" s="1"/>
  <c r="AZ6" i="35" s="1" a="1"/>
  <c r="AE8" i="35"/>
  <c r="AQ8" i="35" s="1"/>
  <c r="BC8" i="35" s="1" a="1"/>
  <c r="AI6" i="35"/>
  <c r="AU6" i="35" s="1"/>
  <c r="BG6" i="35" s="1" a="1"/>
  <c r="AL10" i="35"/>
  <c r="AX10" i="35" s="1"/>
  <c r="BJ10" i="35" s="1" a="1"/>
  <c r="AD9" i="35"/>
  <c r="AP9" i="35" s="1"/>
  <c r="BB9" i="35" s="1" a="1"/>
  <c r="AF12" i="35"/>
  <c r="AR12" i="35" s="1"/>
  <c r="BD12" i="35" s="1" a="1"/>
  <c r="AE9" i="35"/>
  <c r="AQ9" i="35" s="1"/>
  <c r="BC9" i="35" s="1" a="1"/>
  <c r="AF10" i="35"/>
  <c r="AR10" i="35" s="1"/>
  <c r="BD10" i="35" s="1" a="1"/>
  <c r="AM11" i="35"/>
  <c r="AY11" i="35" s="1"/>
  <c r="BK11" i="35" s="1" a="1"/>
  <c r="AD5" i="35"/>
  <c r="AP5" i="35" s="1"/>
  <c r="BB5" i="35" s="1" a="1"/>
  <c r="AB11" i="35"/>
  <c r="AN11" i="35" s="1"/>
  <c r="AZ11" i="35" s="1" a="1"/>
  <c r="AJ13" i="35"/>
  <c r="AV13" i="35" s="1"/>
  <c r="BH13" i="35" s="1" a="1"/>
  <c r="AK12" i="35"/>
  <c r="AW12" i="35" s="1"/>
  <c r="BI12" i="35" s="1" a="1"/>
  <c r="AM8" i="35"/>
  <c r="AY8" i="35" s="1"/>
  <c r="BK8" i="35" s="1" a="1"/>
  <c r="AI8" i="35"/>
  <c r="AU8" i="35" s="1"/>
  <c r="BG8" i="35" s="1" a="1"/>
  <c r="AM10" i="35"/>
  <c r="AY10" i="35" s="1"/>
  <c r="BK10" i="35" s="1" a="1"/>
  <c r="AG12" i="35"/>
  <c r="AS12" i="35" s="1"/>
  <c r="BE12" i="35" s="1" a="1"/>
  <c r="AC11" i="35"/>
  <c r="AO11" i="35" s="1"/>
  <c r="BA11" i="35" s="1" a="1"/>
  <c r="AG14" i="35"/>
  <c r="AS14" i="35" s="1"/>
  <c r="BE14" i="35" s="1" a="1"/>
  <c r="AB9" i="35"/>
  <c r="AN9" i="35" s="1"/>
  <c r="AZ9" i="35" s="1" a="1"/>
  <c r="AK8" i="35"/>
  <c r="AW8" i="35" s="1"/>
  <c r="BI8" i="35" s="1" a="1"/>
  <c r="AL9" i="35"/>
  <c r="AX9" i="35" s="1"/>
  <c r="BJ9" i="35" s="1" a="1"/>
  <c r="AH7" i="35"/>
  <c r="AT7" i="35" s="1"/>
  <c r="BF7" i="35" s="1" a="1"/>
  <c r="AI7" i="35"/>
  <c r="AU7" i="35" s="1"/>
  <c r="BG7" i="35" s="1" a="1"/>
  <c r="AD8" i="35"/>
  <c r="AP8" i="35" s="1"/>
  <c r="BB8" i="35" s="1" a="1"/>
  <c r="AB7" i="35"/>
  <c r="AN7" i="35" s="1"/>
  <c r="AZ7" i="35" s="1" a="1"/>
  <c r="AL7" i="35"/>
  <c r="AX7" i="35" s="1"/>
  <c r="BJ7" i="35" s="1" a="1"/>
  <c r="AF11" i="35"/>
  <c r="AR11" i="35" s="1"/>
  <c r="BD11" i="35" s="1" a="1"/>
  <c r="AD14" i="35"/>
  <c r="AP14" i="35" s="1"/>
  <c r="BB14" i="35" s="1" a="1"/>
  <c r="AD7" i="35"/>
  <c r="AP7" i="35" s="1"/>
  <c r="BB7" i="35" s="1" a="1"/>
  <c r="AE13" i="35"/>
  <c r="AQ13" i="35" s="1"/>
  <c r="BC13" i="35" s="1" a="1"/>
  <c r="AC6" i="35"/>
  <c r="AO6" i="35" s="1"/>
  <c r="BA6" i="35" s="1" a="1"/>
  <c r="AK13" i="35"/>
  <c r="AW13" i="35" s="1"/>
  <c r="BI13" i="35" s="1" a="1"/>
  <c r="AK11" i="35"/>
  <c r="AW11" i="35" s="1"/>
  <c r="BI11" i="35" s="1" a="1"/>
  <c r="AH6" i="35"/>
  <c r="AT6" i="35" s="1"/>
  <c r="BF6" i="35" s="1" a="1"/>
  <c r="AI5" i="35"/>
  <c r="AU5" i="35" s="1"/>
  <c r="BG5" i="35" s="1" a="1"/>
  <c r="AL14" i="35"/>
  <c r="AX14" i="35" s="1"/>
  <c r="BJ14" i="35" s="1" a="1"/>
  <c r="AH11" i="35"/>
  <c r="AT11" i="35" s="1"/>
  <c r="BF11" i="35" s="1" a="1"/>
  <c r="AH10" i="35"/>
  <c r="AT10" i="35" s="1"/>
  <c r="BF10" i="35" s="1" a="1"/>
  <c r="AH5" i="35"/>
  <c r="AT5" i="35" s="1"/>
  <c r="BF5" i="35" s="1" a="1"/>
  <c r="AL13" i="35"/>
  <c r="AX13" i="35" s="1"/>
  <c r="BJ13" i="35" s="1" a="1"/>
  <c r="AJ12" i="35"/>
  <c r="AV12" i="35" s="1"/>
  <c r="BH12" i="35" s="1" a="1"/>
  <c r="AB12" i="35"/>
  <c r="AN12" i="35" s="1"/>
  <c r="AZ12" i="35" s="1" a="1"/>
  <c r="AM14" i="35"/>
  <c r="AY14" i="35" s="1"/>
  <c r="BK14" i="35" s="1" a="1"/>
  <c r="AJ6" i="35"/>
  <c r="AV6" i="35" s="1"/>
  <c r="BH6" i="35" s="1" a="1"/>
  <c r="AH12" i="35"/>
  <c r="AT12" i="35" s="1"/>
  <c r="BF12" i="35" s="1" a="1"/>
  <c r="AG9" i="35"/>
  <c r="AS9" i="35" s="1"/>
  <c r="BE9" i="35" s="1" a="1"/>
  <c r="AC14" i="35"/>
  <c r="AO14" i="35" s="1"/>
  <c r="BA14" i="35" s="1" a="1"/>
  <c r="AJ14" i="35"/>
  <c r="AV14" i="35" s="1"/>
  <c r="BH14" i="35" s="1" a="1"/>
  <c r="AE7" i="35"/>
  <c r="AQ7" i="35" s="1"/>
  <c r="BC7" i="35" s="1" a="1"/>
  <c r="AB13" i="35"/>
  <c r="AN13" i="35" s="1"/>
  <c r="AZ13" i="35" s="1" a="1"/>
  <c r="AI11" i="35"/>
  <c r="AU11" i="35" s="1"/>
  <c r="BG11" i="35" s="1" a="1"/>
  <c r="AJ9" i="35"/>
  <c r="AV9" i="35" s="1"/>
  <c r="BH9" i="35" s="1" a="1"/>
  <c r="AL8" i="35"/>
  <c r="AX8" i="35" s="1"/>
  <c r="BJ8" i="35" s="1" a="1"/>
  <c r="AL6" i="35"/>
  <c r="AX6" i="35" s="1"/>
  <c r="BJ6" i="35" s="1" a="1"/>
  <c r="AI13" i="35"/>
  <c r="AU13" i="35" s="1"/>
  <c r="BG13" i="35" s="1" a="1"/>
  <c r="AH9" i="35"/>
  <c r="AT9" i="35" s="1"/>
  <c r="BF9" i="35" s="1" a="1"/>
  <c r="AF7" i="35"/>
  <c r="AR7" i="35" s="1"/>
  <c r="BD7" i="35" s="1" a="1"/>
  <c r="AC7" i="35"/>
  <c r="AO7" i="35" s="1"/>
  <c r="BA7" i="35" s="1" a="1"/>
  <c r="AH13" i="35"/>
  <c r="AT13" i="35" s="1"/>
  <c r="BF13" i="35" s="1" a="1"/>
  <c r="AG6" i="35"/>
  <c r="AS6" i="35" s="1"/>
  <c r="BE6" i="35" s="1" a="1"/>
  <c r="AK10" i="35"/>
  <c r="AW10" i="35" s="1"/>
  <c r="BI10" i="35" s="1" a="1"/>
  <c r="AE5" i="35"/>
  <c r="AQ5" i="35" s="1"/>
  <c r="BC5" i="35" s="1" a="1"/>
  <c r="AM13" i="35"/>
  <c r="AY13" i="35" s="1"/>
  <c r="BK13" i="35" s="1" a="1"/>
  <c r="AL5" i="35"/>
  <c r="AX5" i="35" s="1"/>
  <c r="BJ5" i="35" s="1" a="1"/>
  <c r="AE10" i="35"/>
  <c r="AQ10" i="35" s="1"/>
  <c r="BC10" i="35" s="1" a="1"/>
  <c r="AG8" i="35"/>
  <c r="AS8" i="35" s="1"/>
  <c r="BE8" i="35" s="1" a="1"/>
  <c r="AF5" i="35"/>
  <c r="AR5" i="35" s="1"/>
  <c r="BD5" i="35" s="1" a="1"/>
  <c r="AC12" i="35"/>
  <c r="AO12" i="35" s="1"/>
  <c r="BA12" i="35" s="1" a="1"/>
  <c r="AC8" i="35"/>
  <c r="AO8" i="35" s="1"/>
  <c r="BA8" i="35" s="1" a="1"/>
  <c r="AJ10" i="35"/>
  <c r="AV10" i="35" s="1"/>
  <c r="BH10" i="35" s="1" a="1"/>
  <c r="AH14" i="35"/>
  <c r="AT14" i="35" s="1"/>
  <c r="BF14" i="35" s="1" a="1"/>
  <c r="AJ8" i="35"/>
  <c r="AV8" i="35" s="1"/>
  <c r="BH8" i="35" s="1" a="1"/>
  <c r="AG13" i="35"/>
  <c r="AS13" i="35" s="1"/>
  <c r="BE13" i="35" s="1" a="1"/>
  <c r="AE6" i="35"/>
  <c r="AQ6" i="35" s="1"/>
  <c r="BC6" i="35" s="1" a="1"/>
  <c r="AJ11" i="35"/>
  <c r="AV11" i="35" s="1"/>
  <c r="BH11" i="35" s="1" a="1"/>
  <c r="AM7" i="35"/>
  <c r="AY7" i="35" s="1"/>
  <c r="BK7" i="35" s="1" a="1"/>
  <c r="AD11" i="35"/>
  <c r="AP11" i="35" s="1"/>
  <c r="BB11" i="35" s="1" a="1"/>
  <c r="AK14" i="35"/>
  <c r="AW14" i="35" s="1"/>
  <c r="BI14" i="35" s="1" a="1"/>
  <c r="AF8" i="35"/>
  <c r="AR8" i="35" s="1"/>
  <c r="BD8" i="35" s="1" a="1"/>
  <c r="AD6" i="35"/>
  <c r="AP6" i="35" s="1"/>
  <c r="BB6" i="35" s="1" a="1"/>
  <c r="AM9" i="35"/>
  <c r="AY9" i="35" s="1"/>
  <c r="BK9" i="35" s="1" a="1"/>
  <c r="AD13" i="35"/>
  <c r="AP13" i="35" s="1"/>
  <c r="BB13" i="35" s="1" a="1"/>
  <c r="AG11" i="35"/>
  <c r="AS11" i="35" s="1"/>
  <c r="BE11" i="35" s="1" a="1"/>
  <c r="AJ7" i="35"/>
  <c r="AV7" i="35" s="1"/>
  <c r="BH7" i="35" s="1" a="1"/>
  <c r="AE12" i="35"/>
  <c r="AQ12" i="35" s="1"/>
  <c r="BC12" i="35" s="1" a="1"/>
  <c r="AI10" i="35"/>
  <c r="AU10" i="35" s="1"/>
  <c r="BG10" i="35" s="1" a="1"/>
  <c r="AK9" i="35"/>
  <c r="AW9" i="35" s="1"/>
  <c r="BI9" i="35" s="1" a="1"/>
  <c r="AF9" i="35"/>
  <c r="AR9" i="35" s="1"/>
  <c r="BD9" i="35" s="1" a="1"/>
  <c r="AH8" i="35"/>
  <c r="AT8" i="35" s="1"/>
  <c r="BF8" i="35" s="1" a="1"/>
  <c r="AE11" i="35"/>
  <c r="AQ11" i="35" s="1"/>
  <c r="BC11" i="35" s="1" a="1"/>
  <c r="AC5" i="35"/>
  <c r="AO5" i="35" s="1"/>
  <c r="BA5" i="35" s="1" a="1"/>
  <c r="AD12" i="35"/>
  <c r="AP12" i="35" s="1"/>
  <c r="BB12" i="35" s="1" a="1"/>
  <c r="AI9" i="35"/>
  <c r="AU9" i="35" s="1"/>
  <c r="BG9" i="35" s="1" a="1"/>
  <c r="AM5" i="35"/>
  <c r="AY5" i="35" s="1"/>
  <c r="BK5" i="35" s="1" a="1"/>
  <c r="AC9" i="35"/>
  <c r="AO9" i="35" s="1"/>
  <c r="BA9" i="35" s="1" a="1"/>
  <c r="AF14" i="35"/>
  <c r="AR14" i="35" s="1"/>
  <c r="BD14" i="35" s="1" a="1"/>
  <c r="AJ5" i="35"/>
  <c r="AV5" i="35" s="1"/>
  <c r="BH5" i="35" s="1" a="1"/>
  <c r="K48" i="9"/>
  <c r="C21" i="9"/>
  <c r="E21" i="10"/>
  <c r="K48" i="10"/>
  <c r="K47" i="9"/>
  <c r="K31" i="9"/>
  <c r="D21" i="9"/>
  <c r="C21" i="10"/>
  <c r="K47" i="10"/>
  <c r="B20" i="9"/>
  <c r="E20" i="9"/>
  <c r="BP11" i="12" s="1"/>
  <c r="D20" i="10"/>
  <c r="BG10" i="7" s="1"/>
  <c r="BM11" i="5"/>
  <c r="BF11" i="5"/>
  <c r="BK11" i="5"/>
  <c r="BJ11" i="5"/>
  <c r="BI11" i="5"/>
  <c r="BP11" i="5"/>
  <c r="BO11" i="5"/>
  <c r="B20" i="10"/>
  <c r="BO10" i="1" s="1"/>
  <c r="C20" i="10"/>
  <c r="BP10" i="5" s="1"/>
  <c r="D20" i="9"/>
  <c r="BM11" i="7" s="1"/>
  <c r="BE11" i="5"/>
  <c r="K19" i="17"/>
  <c r="J47" i="10"/>
  <c r="J7" i="2"/>
  <c r="J19" i="2"/>
  <c r="J17" i="2"/>
  <c r="J14" i="2"/>
  <c r="J20" i="2"/>
  <c r="J12" i="2"/>
  <c r="J16" i="2"/>
  <c r="J13" i="2"/>
  <c r="J11" i="2"/>
  <c r="J10" i="2"/>
  <c r="J8" i="2"/>
  <c r="L46" i="9"/>
  <c r="B22" i="9"/>
  <c r="Q46" i="9"/>
  <c r="B27" i="9"/>
  <c r="P46" i="9"/>
  <c r="B26" i="9"/>
  <c r="BI11" i="7"/>
  <c r="BJ11" i="7"/>
  <c r="BF11" i="7"/>
  <c r="BH11" i="7"/>
  <c r="BG11" i="7"/>
  <c r="BE11" i="7"/>
  <c r="BF11" i="12"/>
  <c r="BG11" i="12"/>
  <c r="BH11" i="12"/>
  <c r="BJ11" i="12"/>
  <c r="K46" i="9"/>
  <c r="B21" i="9"/>
  <c r="J47" i="9"/>
  <c r="I47" i="9"/>
  <c r="BL11" i="12"/>
  <c r="BI11" i="12"/>
  <c r="BM11" i="12"/>
  <c r="BN11" i="12"/>
  <c r="O35" i="9"/>
  <c r="O31" i="9"/>
  <c r="P46" i="10"/>
  <c r="B26" i="10"/>
  <c r="J45" i="10"/>
  <c r="I45" i="10"/>
  <c r="R46" i="10"/>
  <c r="B28" i="10"/>
  <c r="O46" i="10"/>
  <c r="B25" i="10"/>
  <c r="BH10" i="7"/>
  <c r="BE10" i="7"/>
  <c r="L31" i="10"/>
  <c r="C22" i="10"/>
  <c r="BL10" i="7"/>
  <c r="BN10" i="7"/>
  <c r="BM10" i="7"/>
  <c r="BK10" i="7"/>
  <c r="BP10" i="7"/>
  <c r="BO10" i="7"/>
  <c r="I47" i="10"/>
  <c r="Q46" i="10"/>
  <c r="B27" i="10"/>
  <c r="K46" i="10"/>
  <c r="B21" i="10"/>
  <c r="BG10" i="5"/>
  <c r="BF10" i="5"/>
  <c r="BI10" i="5"/>
  <c r="BJ10" i="5"/>
  <c r="BH10" i="5"/>
  <c r="BE10" i="5"/>
  <c r="BJ10" i="12"/>
  <c r="BI10" i="12"/>
  <c r="BF10" i="12"/>
  <c r="BH10" i="12"/>
  <c r="BI10" i="7"/>
  <c r="BJ10" i="7"/>
  <c r="BF10" i="7"/>
  <c r="N46" i="9"/>
  <c r="B24" i="9"/>
  <c r="M46" i="9"/>
  <c r="B23" i="9"/>
  <c r="N46" i="10"/>
  <c r="B24" i="10"/>
  <c r="M46" i="10"/>
  <c r="B23" i="10"/>
  <c r="D9" i="7"/>
  <c r="D9" i="5"/>
  <c r="D55" i="7"/>
  <c r="D55" i="5"/>
  <c r="D53" i="7"/>
  <c r="D53" i="5"/>
  <c r="D24" i="7"/>
  <c r="D24" i="5"/>
  <c r="D51" i="7"/>
  <c r="D51" i="5"/>
  <c r="D23" i="7"/>
  <c r="D23" i="5"/>
  <c r="D50" i="7"/>
  <c r="D50" i="5"/>
  <c r="D36" i="7"/>
  <c r="D36" i="5"/>
  <c r="D22" i="7"/>
  <c r="D22" i="5"/>
  <c r="D8" i="7"/>
  <c r="D8" i="5"/>
  <c r="D54" i="7"/>
  <c r="D54" i="5"/>
  <c r="D39" i="7"/>
  <c r="D39" i="5"/>
  <c r="D10" i="7"/>
  <c r="D10" i="5"/>
  <c r="D37" i="7"/>
  <c r="D37" i="5"/>
  <c r="D49" i="7"/>
  <c r="D49" i="5"/>
  <c r="D35" i="7"/>
  <c r="D35" i="5"/>
  <c r="D21" i="7"/>
  <c r="D21" i="5"/>
  <c r="D7" i="7"/>
  <c r="D7" i="5"/>
  <c r="D13" i="7"/>
  <c r="D13" i="5"/>
  <c r="D25" i="7"/>
  <c r="D25" i="5"/>
  <c r="D48" i="7"/>
  <c r="D48" i="5"/>
  <c r="D6" i="7"/>
  <c r="D6" i="5"/>
  <c r="D33" i="7"/>
  <c r="D33" i="5"/>
  <c r="D18" i="7"/>
  <c r="D18" i="5"/>
  <c r="D40" i="7"/>
  <c r="D40" i="5"/>
  <c r="D38" i="7"/>
  <c r="D38" i="5"/>
  <c r="D34" i="7"/>
  <c r="D34" i="5"/>
  <c r="D20" i="7"/>
  <c r="D20" i="5"/>
  <c r="D47" i="7"/>
  <c r="D47" i="5"/>
  <c r="D19" i="7"/>
  <c r="D19" i="5"/>
  <c r="D5" i="7"/>
  <c r="D5" i="5"/>
  <c r="D46" i="7"/>
  <c r="D46" i="5"/>
  <c r="D4" i="7"/>
  <c r="D4" i="5"/>
  <c r="D45" i="7"/>
  <c r="D45" i="5"/>
  <c r="D32" i="7"/>
  <c r="D32" i="5"/>
  <c r="D41" i="7"/>
  <c r="D41" i="5"/>
  <c r="D26" i="7"/>
  <c r="D26" i="5"/>
  <c r="D11" i="7"/>
  <c r="D11" i="5"/>
  <c r="D2" i="5"/>
  <c r="D2" i="7"/>
  <c r="D17" i="7"/>
  <c r="D17" i="5"/>
  <c r="D58" i="7"/>
  <c r="D58" i="5"/>
  <c r="D30" i="7"/>
  <c r="D30" i="5"/>
  <c r="D57" i="7"/>
  <c r="D57" i="5"/>
  <c r="D43" i="7"/>
  <c r="D43" i="5"/>
  <c r="D29" i="7"/>
  <c r="D29" i="5"/>
  <c r="D15" i="7"/>
  <c r="D15" i="5"/>
  <c r="D27" i="7"/>
  <c r="D27" i="5"/>
  <c r="D12" i="7"/>
  <c r="D12" i="5"/>
  <c r="D52" i="7"/>
  <c r="D52" i="5"/>
  <c r="D31" i="7"/>
  <c r="D31" i="5"/>
  <c r="D3" i="7"/>
  <c r="D3" i="5"/>
  <c r="D44" i="7"/>
  <c r="D44" i="5"/>
  <c r="D16" i="7"/>
  <c r="D16" i="5"/>
  <c r="D56" i="7"/>
  <c r="D56" i="5"/>
  <c r="D42" i="7"/>
  <c r="D42" i="5"/>
  <c r="D28" i="7"/>
  <c r="D28" i="5"/>
  <c r="D14" i="7"/>
  <c r="D14" i="5"/>
  <c r="B8" i="7"/>
  <c r="B8" i="5"/>
  <c r="B22" i="7"/>
  <c r="B22" i="5"/>
  <c r="B43" i="7"/>
  <c r="B43" i="5"/>
  <c r="B50" i="7"/>
  <c r="B50" i="5"/>
  <c r="C8" i="7"/>
  <c r="C8" i="5"/>
  <c r="C29" i="7"/>
  <c r="C29" i="5"/>
  <c r="C36" i="7"/>
  <c r="C36" i="5"/>
  <c r="C50" i="7"/>
  <c r="C50" i="5"/>
  <c r="B2" i="5"/>
  <c r="B2" i="7"/>
  <c r="B16" i="7"/>
  <c r="B16" i="5"/>
  <c r="B23" i="7"/>
  <c r="B23" i="5"/>
  <c r="B30" i="7"/>
  <c r="B30" i="5"/>
  <c r="B37" i="7"/>
  <c r="B37" i="5"/>
  <c r="B44" i="7"/>
  <c r="B44" i="5"/>
  <c r="B51" i="7"/>
  <c r="B51" i="5"/>
  <c r="B58" i="7"/>
  <c r="B58" i="5"/>
  <c r="B15" i="7"/>
  <c r="B15" i="5"/>
  <c r="B29" i="7"/>
  <c r="B29" i="5"/>
  <c r="B36" i="7"/>
  <c r="B36" i="5"/>
  <c r="B57" i="7"/>
  <c r="B57" i="5"/>
  <c r="C15" i="7"/>
  <c r="C15" i="5"/>
  <c r="C22" i="7"/>
  <c r="C22" i="5"/>
  <c r="C43" i="7"/>
  <c r="C43" i="5"/>
  <c r="C57" i="7"/>
  <c r="C57" i="5"/>
  <c r="B9" i="7"/>
  <c r="B9" i="5"/>
  <c r="C2" i="7"/>
  <c r="C2" i="5"/>
  <c r="C9" i="7"/>
  <c r="C9" i="5"/>
  <c r="C16" i="7"/>
  <c r="C16" i="5"/>
  <c r="C23" i="7"/>
  <c r="C23" i="5"/>
  <c r="C30" i="7"/>
  <c r="C30" i="5"/>
  <c r="C37" i="7"/>
  <c r="C37" i="5"/>
  <c r="C44" i="7"/>
  <c r="C44" i="5"/>
  <c r="C51" i="7"/>
  <c r="C51" i="5"/>
  <c r="C58" i="7"/>
  <c r="C58" i="5"/>
  <c r="B31" i="7"/>
  <c r="B31" i="5"/>
  <c r="B38" i="7"/>
  <c r="B38" i="5"/>
  <c r="B45" i="7"/>
  <c r="B45" i="5"/>
  <c r="B52" i="7"/>
  <c r="B52" i="5"/>
  <c r="C3" i="7"/>
  <c r="C3" i="5"/>
  <c r="C31" i="7"/>
  <c r="C31" i="5"/>
  <c r="C45" i="7"/>
  <c r="C45" i="5"/>
  <c r="C52" i="7"/>
  <c r="C52" i="5"/>
  <c r="B17" i="7"/>
  <c r="B17" i="5"/>
  <c r="B24" i="7"/>
  <c r="B24" i="5"/>
  <c r="C10" i="7"/>
  <c r="C10" i="5"/>
  <c r="C17" i="7"/>
  <c r="C17" i="5"/>
  <c r="C24" i="7"/>
  <c r="C24" i="5"/>
  <c r="C38" i="7"/>
  <c r="C38" i="5"/>
  <c r="B4" i="7"/>
  <c r="B4" i="5"/>
  <c r="B11" i="7"/>
  <c r="B11" i="5"/>
  <c r="B18" i="7"/>
  <c r="B18" i="5"/>
  <c r="B25" i="7"/>
  <c r="B25" i="5"/>
  <c r="B32" i="7"/>
  <c r="B32" i="5"/>
  <c r="B39" i="7"/>
  <c r="B39" i="5"/>
  <c r="B46" i="7"/>
  <c r="B46" i="5"/>
  <c r="B53" i="7"/>
  <c r="B53" i="5"/>
  <c r="C4" i="7"/>
  <c r="C4" i="5"/>
  <c r="C11" i="7"/>
  <c r="C11" i="5"/>
  <c r="C18" i="7"/>
  <c r="C18" i="5"/>
  <c r="C25" i="7"/>
  <c r="C25" i="5"/>
  <c r="C32" i="7"/>
  <c r="C32" i="5"/>
  <c r="C39" i="7"/>
  <c r="C39" i="5"/>
  <c r="C46" i="7"/>
  <c r="C46" i="5"/>
  <c r="C53" i="7"/>
  <c r="C53" i="5"/>
  <c r="B19" i="7"/>
  <c r="B19" i="5"/>
  <c r="B26" i="7"/>
  <c r="B26" i="5"/>
  <c r="B33" i="7"/>
  <c r="B33" i="5"/>
  <c r="B40" i="7"/>
  <c r="B40" i="5"/>
  <c r="B47" i="7"/>
  <c r="B47" i="5"/>
  <c r="B54" i="7"/>
  <c r="B54" i="5"/>
  <c r="C12" i="7"/>
  <c r="C12" i="5"/>
  <c r="C19" i="7"/>
  <c r="C19" i="5"/>
  <c r="C26" i="7"/>
  <c r="C26" i="5"/>
  <c r="C33" i="7"/>
  <c r="C33" i="5"/>
  <c r="C40" i="7"/>
  <c r="C40" i="5"/>
  <c r="C47" i="7"/>
  <c r="C47" i="5"/>
  <c r="C54" i="7"/>
  <c r="C54" i="5"/>
  <c r="B10" i="7"/>
  <c r="B10" i="5"/>
  <c r="B20" i="7"/>
  <c r="B20" i="5"/>
  <c r="B34" i="7"/>
  <c r="B34" i="5"/>
  <c r="B41" i="7"/>
  <c r="B41" i="5"/>
  <c r="B48" i="7"/>
  <c r="B48" i="5"/>
  <c r="B55" i="7"/>
  <c r="B55" i="5"/>
  <c r="B5" i="7"/>
  <c r="B5" i="5"/>
  <c r="C6" i="7"/>
  <c r="C6" i="5"/>
  <c r="C34" i="7"/>
  <c r="C34" i="5"/>
  <c r="C41" i="7"/>
  <c r="C41" i="5"/>
  <c r="C48" i="7"/>
  <c r="C48" i="5"/>
  <c r="C55" i="7"/>
  <c r="C55" i="5"/>
  <c r="B3" i="7"/>
  <c r="B3" i="5"/>
  <c r="B12" i="7"/>
  <c r="B12" i="5"/>
  <c r="C5" i="7"/>
  <c r="C5" i="5"/>
  <c r="B6" i="7"/>
  <c r="B6" i="5"/>
  <c r="B13" i="7"/>
  <c r="B13" i="5"/>
  <c r="B27" i="7"/>
  <c r="B27" i="5"/>
  <c r="C13" i="7"/>
  <c r="C13" i="5"/>
  <c r="C20" i="7"/>
  <c r="C20" i="5"/>
  <c r="C27" i="7"/>
  <c r="C27" i="5"/>
  <c r="B7" i="7"/>
  <c r="B7" i="5"/>
  <c r="B14" i="7"/>
  <c r="B14" i="5"/>
  <c r="B21" i="7"/>
  <c r="B21" i="5"/>
  <c r="B28" i="7"/>
  <c r="B28" i="5"/>
  <c r="B35" i="7"/>
  <c r="B35" i="5"/>
  <c r="B42" i="7"/>
  <c r="B42" i="5"/>
  <c r="B49" i="7"/>
  <c r="B49" i="5"/>
  <c r="B56" i="7"/>
  <c r="B56" i="5"/>
  <c r="C7" i="7"/>
  <c r="C7" i="5"/>
  <c r="C14" i="7"/>
  <c r="C14" i="5"/>
  <c r="C21" i="7"/>
  <c r="C21" i="5"/>
  <c r="C28" i="7"/>
  <c r="C28" i="5"/>
  <c r="C35" i="7"/>
  <c r="C35" i="5"/>
  <c r="C42" i="7"/>
  <c r="C42" i="5"/>
  <c r="C49" i="7"/>
  <c r="C49" i="5"/>
  <c r="C56" i="7"/>
  <c r="C56" i="5"/>
  <c r="M47" i="10"/>
  <c r="M37" i="10"/>
  <c r="O35" i="10"/>
  <c r="O45" i="10"/>
  <c r="O31" i="10"/>
  <c r="M45" i="10"/>
  <c r="M31" i="10"/>
  <c r="R31" i="10"/>
  <c r="K45" i="10"/>
  <c r="K31" i="10"/>
  <c r="Q31" i="10"/>
  <c r="J46" i="10"/>
  <c r="I46" i="10"/>
  <c r="J31" i="10"/>
  <c r="J36" i="10"/>
  <c r="M38" i="10"/>
  <c r="M48" i="10"/>
  <c r="P45" i="10"/>
  <c r="P31" i="10"/>
  <c r="N45" i="10"/>
  <c r="N31" i="10"/>
  <c r="Q31" i="9"/>
  <c r="Q45" i="9"/>
  <c r="J31" i="9"/>
  <c r="J46" i="9"/>
  <c r="I46" i="9"/>
  <c r="J36" i="9"/>
  <c r="I39" i="9" s="1"/>
  <c r="W8" i="9" s="1"/>
  <c r="Z8" i="9" s="1"/>
  <c r="Z11" i="9" s="1"/>
  <c r="AA11" i="9" s="1"/>
  <c r="N31" i="9"/>
  <c r="L31" i="9"/>
  <c r="R45" i="9"/>
  <c r="R31" i="9"/>
  <c r="M31" i="9"/>
  <c r="P31" i="9"/>
  <c r="P45" i="9"/>
  <c r="L42" i="2"/>
  <c r="Z10" i="2"/>
  <c r="Z9" i="2"/>
  <c r="Z7" i="2"/>
  <c r="Z5" i="2"/>
  <c r="R2" i="2"/>
  <c r="Q2" i="2"/>
  <c r="P2" i="2"/>
  <c r="O2" i="2"/>
  <c r="N2" i="2"/>
  <c r="M2" i="2"/>
  <c r="L2" i="2"/>
  <c r="R3" i="17" l="1"/>
  <c r="K3" i="17" s="1"/>
  <c r="R4" i="17"/>
  <c r="K4" i="17" s="1"/>
  <c r="BK11" i="12"/>
  <c r="BO11" i="7"/>
  <c r="BK11" i="7"/>
  <c r="BL10" i="5"/>
  <c r="BE11" i="12"/>
  <c r="BN10" i="1"/>
  <c r="BK10" i="1"/>
  <c r="BE10" i="1"/>
  <c r="BL10" i="1"/>
  <c r="BM10" i="1"/>
  <c r="BO10" i="5"/>
  <c r="BO11" i="12"/>
  <c r="BK10" i="5"/>
  <c r="BN10" i="5"/>
  <c r="BP10" i="1"/>
  <c r="BM10" i="5"/>
  <c r="BP11" i="7"/>
  <c r="BL11" i="7"/>
  <c r="BQ11" i="5"/>
  <c r="K20" i="17"/>
  <c r="BN11" i="7"/>
  <c r="BI11" i="1"/>
  <c r="BH11" i="1"/>
  <c r="BG11" i="1"/>
  <c r="BO11" i="1"/>
  <c r="BF11" i="1"/>
  <c r="BE11" i="1"/>
  <c r="BK11" i="1"/>
  <c r="BL11" i="1"/>
  <c r="BM11" i="1"/>
  <c r="BN11" i="1"/>
  <c r="BP11" i="1"/>
  <c r="BJ11" i="1"/>
  <c r="E20" i="2"/>
  <c r="BM30" i="12" s="1"/>
  <c r="D20" i="2"/>
  <c r="BN15" i="7" s="1"/>
  <c r="C20" i="2"/>
  <c r="BO39" i="5" s="1"/>
  <c r="B20" i="2"/>
  <c r="BN22" i="1" s="1"/>
  <c r="BG36" i="7"/>
  <c r="BH46" i="7"/>
  <c r="BM56" i="7"/>
  <c r="BN13" i="7"/>
  <c r="BM18" i="7"/>
  <c r="BL57" i="7"/>
  <c r="BN21" i="7"/>
  <c r="BG37" i="7"/>
  <c r="BE27" i="7"/>
  <c r="BK34" i="7"/>
  <c r="BH28" i="7"/>
  <c r="BO19" i="7"/>
  <c r="BO44" i="7"/>
  <c r="BH13" i="7"/>
  <c r="BN40" i="7"/>
  <c r="BO43" i="7"/>
  <c r="BG27" i="7"/>
  <c r="BJ53" i="7"/>
  <c r="BM3" i="7"/>
  <c r="BO13" i="7"/>
  <c r="BK38" i="7"/>
  <c r="BM47" i="7"/>
  <c r="BK47" i="7"/>
  <c r="BO17" i="7"/>
  <c r="BN38" i="7"/>
  <c r="BM20" i="7"/>
  <c r="BM7" i="7"/>
  <c r="BP18" i="7"/>
  <c r="BL49" i="7"/>
  <c r="BL35" i="7"/>
  <c r="BL40" i="7"/>
  <c r="BO3" i="7"/>
  <c r="BH47" i="7"/>
  <c r="BE50" i="7"/>
  <c r="BL33" i="7"/>
  <c r="BJ32" i="7"/>
  <c r="BO48" i="7"/>
  <c r="BG6" i="7"/>
  <c r="BK7" i="7"/>
  <c r="BN37" i="7"/>
  <c r="BP34" i="7"/>
  <c r="BK36" i="7"/>
  <c r="BM52" i="7"/>
  <c r="BK19" i="7"/>
  <c r="BG33" i="7"/>
  <c r="BM28" i="7"/>
  <c r="BH29" i="7"/>
  <c r="BP38" i="7"/>
  <c r="BG4" i="7"/>
  <c r="BH38" i="7"/>
  <c r="BO14" i="7"/>
  <c r="BJ9" i="7"/>
  <c r="BO34" i="7"/>
  <c r="BL38" i="7"/>
  <c r="BL21" i="7"/>
  <c r="BG41" i="7"/>
  <c r="BE58" i="7"/>
  <c r="BI48" i="7"/>
  <c r="BF44" i="7"/>
  <c r="BP29" i="7"/>
  <c r="BK12" i="7"/>
  <c r="BI55" i="7"/>
  <c r="BE4" i="7"/>
  <c r="BN5" i="7"/>
  <c r="BL54" i="7"/>
  <c r="BG38" i="7"/>
  <c r="BG26" i="7"/>
  <c r="BJ38" i="7"/>
  <c r="BL50" i="7"/>
  <c r="BL51" i="7"/>
  <c r="BL15" i="7"/>
  <c r="BL13" i="7"/>
  <c r="BP52" i="7"/>
  <c r="BP56" i="7"/>
  <c r="BP31" i="7"/>
  <c r="BP21" i="7"/>
  <c r="BK56" i="7"/>
  <c r="BM34" i="7"/>
  <c r="BP13" i="7"/>
  <c r="BO23" i="7"/>
  <c r="BL19" i="7"/>
  <c r="BK2" i="7"/>
  <c r="BP9" i="7"/>
  <c r="BL39" i="7"/>
  <c r="BH45" i="7"/>
  <c r="BH3" i="7"/>
  <c r="BO41" i="7"/>
  <c r="BH21" i="7"/>
  <c r="BK37" i="7"/>
  <c r="BE40" i="7"/>
  <c r="BN17" i="7"/>
  <c r="BN2" i="7"/>
  <c r="BF25" i="7"/>
  <c r="BJ20" i="7"/>
  <c r="BF37" i="7"/>
  <c r="BH44" i="7"/>
  <c r="BJ45" i="7"/>
  <c r="BH36" i="7"/>
  <c r="BM12" i="7"/>
  <c r="BN9" i="7"/>
  <c r="BJ4" i="7"/>
  <c r="BL36" i="7"/>
  <c r="BP24" i="7"/>
  <c r="BK14" i="7"/>
  <c r="BL30" i="7"/>
  <c r="BG9" i="7"/>
  <c r="BG32" i="7"/>
  <c r="BP55" i="7"/>
  <c r="BI57" i="7"/>
  <c r="BL53" i="7"/>
  <c r="BI42" i="7"/>
  <c r="BN18" i="7"/>
  <c r="BF48" i="7"/>
  <c r="BM26" i="7"/>
  <c r="BJ52" i="7"/>
  <c r="BI33" i="7"/>
  <c r="BM16" i="7"/>
  <c r="BF22" i="7"/>
  <c r="BE22" i="7"/>
  <c r="BE48" i="7"/>
  <c r="BE53" i="7"/>
  <c r="BG19" i="7"/>
  <c r="BL25" i="7"/>
  <c r="BL34" i="7"/>
  <c r="BO32" i="7"/>
  <c r="BE26" i="7"/>
  <c r="BK28" i="7"/>
  <c r="BK8" i="7"/>
  <c r="BP28" i="7"/>
  <c r="BK32" i="7"/>
  <c r="BN41" i="7"/>
  <c r="BL27" i="7"/>
  <c r="BF17" i="7"/>
  <c r="BG25" i="7"/>
  <c r="BM22" i="7"/>
  <c r="BK25" i="7"/>
  <c r="BM50" i="7"/>
  <c r="BK50" i="7"/>
  <c r="BF40" i="7"/>
  <c r="BK30" i="7"/>
  <c r="BO51" i="7"/>
  <c r="BL23" i="7"/>
  <c r="BI43" i="7"/>
  <c r="BM27" i="7"/>
  <c r="BM49" i="7"/>
  <c r="BM15" i="7"/>
  <c r="BG53" i="7"/>
  <c r="BO5" i="7"/>
  <c r="BE29" i="7"/>
  <c r="BI52" i="7"/>
  <c r="BF43" i="7"/>
  <c r="BN25" i="7"/>
  <c r="BK54" i="7"/>
  <c r="BL58" i="7"/>
  <c r="BO6" i="7"/>
  <c r="BI49" i="7"/>
  <c r="BK31" i="7"/>
  <c r="BP58" i="7"/>
  <c r="BH14" i="7"/>
  <c r="BP7" i="7"/>
  <c r="BM53" i="7"/>
  <c r="BN42" i="7"/>
  <c r="BH50" i="7"/>
  <c r="BK29" i="7"/>
  <c r="BF33" i="7"/>
  <c r="BF46" i="7"/>
  <c r="BN19" i="7"/>
  <c r="BO55" i="7"/>
  <c r="BO50" i="7"/>
  <c r="BE21" i="7"/>
  <c r="BK35" i="7"/>
  <c r="BG55" i="7"/>
  <c r="BN33" i="7"/>
  <c r="BH41" i="7"/>
  <c r="BO24" i="7"/>
  <c r="BK4" i="7"/>
  <c r="BP2" i="7"/>
  <c r="BF18" i="7"/>
  <c r="BN29" i="7"/>
  <c r="BF26" i="7"/>
  <c r="BF20" i="7"/>
  <c r="BL28" i="7"/>
  <c r="BM2" i="7"/>
  <c r="BP22" i="7"/>
  <c r="BM32" i="7"/>
  <c r="BM33" i="7"/>
  <c r="BI28" i="7"/>
  <c r="BG48" i="7"/>
  <c r="BN56" i="7"/>
  <c r="BJ47" i="7"/>
  <c r="BI31" i="7"/>
  <c r="BK21" i="7"/>
  <c r="BM24" i="7"/>
  <c r="BH25" i="7"/>
  <c r="BJ3" i="7"/>
  <c r="BP32" i="7"/>
  <c r="BP26" i="7"/>
  <c r="BM19" i="7"/>
  <c r="BL16" i="7"/>
  <c r="BK33" i="7"/>
  <c r="BN36" i="7"/>
  <c r="BF58" i="7"/>
  <c r="BF57" i="7"/>
  <c r="BI25" i="7"/>
  <c r="BH15" i="7"/>
  <c r="BE52" i="7"/>
  <c r="BP12" i="7"/>
  <c r="BH39" i="7"/>
  <c r="BL26" i="7"/>
  <c r="BE19" i="7"/>
  <c r="BJ19" i="7"/>
  <c r="BH58" i="7"/>
  <c r="BG45" i="7"/>
  <c r="BH40" i="7"/>
  <c r="BO20" i="7"/>
  <c r="BP43" i="7"/>
  <c r="BK55" i="7"/>
  <c r="BO16" i="7"/>
  <c r="BM37" i="7"/>
  <c r="BE17" i="7"/>
  <c r="BF52" i="7"/>
  <c r="BH23" i="7"/>
  <c r="BP8" i="7"/>
  <c r="BM14" i="7"/>
  <c r="BO28" i="7"/>
  <c r="BG2" i="1"/>
  <c r="BF2" i="1"/>
  <c r="BE2" i="1"/>
  <c r="BO56" i="7"/>
  <c r="BJ31" i="7"/>
  <c r="BE51" i="7"/>
  <c r="BM6" i="7"/>
  <c r="BP40" i="7"/>
  <c r="BP4" i="7"/>
  <c r="BL3" i="7"/>
  <c r="BK13" i="7"/>
  <c r="BO2" i="7"/>
  <c r="BJ7" i="7"/>
  <c r="BM41" i="7"/>
  <c r="BL42" i="7"/>
  <c r="BN27" i="7"/>
  <c r="BL44" i="7"/>
  <c r="BJ28" i="7"/>
  <c r="BN26" i="7"/>
  <c r="BJ40" i="7"/>
  <c r="BN22" i="7"/>
  <c r="BI44" i="7"/>
  <c r="BN3" i="7"/>
  <c r="BP5" i="7"/>
  <c r="BM5" i="7"/>
  <c r="BP30" i="7"/>
  <c r="BG52" i="7"/>
  <c r="L10" i="2"/>
  <c r="L7" i="2"/>
  <c r="L14" i="2"/>
  <c r="L8" i="2"/>
  <c r="L11" i="2"/>
  <c r="L12" i="2"/>
  <c r="L17" i="2"/>
  <c r="L13" i="2"/>
  <c r="L16" i="2"/>
  <c r="L19" i="2"/>
  <c r="L20" i="2"/>
  <c r="Q11" i="2"/>
  <c r="Q12" i="2"/>
  <c r="Q7" i="2"/>
  <c r="Q13" i="2"/>
  <c r="Q14" i="2"/>
  <c r="Q16" i="2"/>
  <c r="Q17" i="2"/>
  <c r="Q19" i="2"/>
  <c r="Q20" i="2"/>
  <c r="Q8" i="2"/>
  <c r="Q6" i="2"/>
  <c r="Q10" i="2"/>
  <c r="R7" i="2"/>
  <c r="R12" i="2"/>
  <c r="R8" i="2"/>
  <c r="R17" i="2"/>
  <c r="R10" i="2"/>
  <c r="R11" i="2"/>
  <c r="R13" i="2"/>
  <c r="R19" i="2"/>
  <c r="R14" i="2"/>
  <c r="R6" i="2"/>
  <c r="R16" i="2"/>
  <c r="R20" i="2"/>
  <c r="P14" i="2"/>
  <c r="P16" i="2"/>
  <c r="P17" i="2"/>
  <c r="P20" i="2"/>
  <c r="P19" i="2"/>
  <c r="P10" i="2"/>
  <c r="P11" i="2"/>
  <c r="P8" i="2"/>
  <c r="P7" i="2"/>
  <c r="P12" i="2"/>
  <c r="P13" i="2"/>
  <c r="P6" i="2"/>
  <c r="BP20" i="1"/>
  <c r="BK21" i="1"/>
  <c r="BN27" i="1"/>
  <c r="BN43" i="1"/>
  <c r="BM12" i="1"/>
  <c r="BP5" i="1"/>
  <c r="BK33" i="1"/>
  <c r="BO33" i="1"/>
  <c r="BP54" i="1"/>
  <c r="BL42" i="1"/>
  <c r="BO42" i="1"/>
  <c r="BK58" i="1"/>
  <c r="BK15" i="1"/>
  <c r="BK46" i="1"/>
  <c r="BO48" i="1"/>
  <c r="BO56" i="1"/>
  <c r="BO21" i="1"/>
  <c r="BO8" i="1"/>
  <c r="BN46" i="1"/>
  <c r="BP38" i="1"/>
  <c r="BM34" i="1"/>
  <c r="BL49" i="1"/>
  <c r="BO6" i="1"/>
  <c r="BM38" i="1"/>
  <c r="BN31" i="1"/>
  <c r="BL35" i="1"/>
  <c r="BL29" i="1"/>
  <c r="BM32" i="1"/>
  <c r="BO36" i="1"/>
  <c r="BO44" i="1"/>
  <c r="BO46" i="1"/>
  <c r="BL53" i="1"/>
  <c r="BL27" i="1"/>
  <c r="BM25" i="1"/>
  <c r="BO4" i="1"/>
  <c r="BP42" i="1"/>
  <c r="BL58" i="1"/>
  <c r="BN55" i="1"/>
  <c r="BP8" i="1"/>
  <c r="BP48" i="1"/>
  <c r="BL16" i="1"/>
  <c r="BN34" i="1"/>
  <c r="BN6" i="1"/>
  <c r="BN38" i="1"/>
  <c r="BN32" i="1"/>
  <c r="BP4" i="1"/>
  <c r="BK12" i="1"/>
  <c r="BK4" i="1"/>
  <c r="BL50" i="1"/>
  <c r="BM20" i="1"/>
  <c r="BL52" i="1"/>
  <c r="BM52" i="1"/>
  <c r="BK43" i="1"/>
  <c r="BP21" i="1"/>
  <c r="BP17" i="1"/>
  <c r="BO31" i="1"/>
  <c r="BN14" i="1"/>
  <c r="BM30" i="1"/>
  <c r="BL41" i="1"/>
  <c r="BL48" i="1"/>
  <c r="BK35" i="1"/>
  <c r="BM6" i="1"/>
  <c r="BK38" i="1"/>
  <c r="BM41" i="1"/>
  <c r="BO17" i="1"/>
  <c r="BM7" i="1"/>
  <c r="BO27" i="1"/>
  <c r="BP6" i="1"/>
  <c r="BM40" i="1"/>
  <c r="BL12" i="1"/>
  <c r="BL46" i="1"/>
  <c r="BN25" i="1"/>
  <c r="BN15" i="1"/>
  <c r="BL24" i="1"/>
  <c r="BM33" i="1"/>
  <c r="BM45" i="1"/>
  <c r="BL31" i="1"/>
  <c r="BP30" i="1"/>
  <c r="BM55" i="1"/>
  <c r="BP7" i="1"/>
  <c r="BL44" i="1"/>
  <c r="BO25" i="1"/>
  <c r="BL28" i="1"/>
  <c r="BK32" i="1"/>
  <c r="BM37" i="1"/>
  <c r="BM16" i="1"/>
  <c r="BK26" i="1"/>
  <c r="BN18" i="1"/>
  <c r="BL21" i="1"/>
  <c r="BM44" i="1"/>
  <c r="BO18" i="1"/>
  <c r="BN19" i="1"/>
  <c r="BN17" i="1"/>
  <c r="BO54" i="1"/>
  <c r="BO40" i="1"/>
  <c r="BP57" i="1"/>
  <c r="BL57" i="1"/>
  <c r="BP45" i="1"/>
  <c r="BP15" i="1"/>
  <c r="BK49" i="1"/>
  <c r="BP3" i="1"/>
  <c r="BP28" i="1"/>
  <c r="BK19" i="1"/>
  <c r="BN21" i="1"/>
  <c r="BN5" i="1"/>
  <c r="BO13" i="1"/>
  <c r="BN4" i="1"/>
  <c r="BM21" i="1"/>
  <c r="BP35" i="1"/>
  <c r="BL19" i="1"/>
  <c r="BN42" i="1"/>
  <c r="BN16" i="1"/>
  <c r="BK6" i="1"/>
  <c r="BM4" i="1"/>
  <c r="BP23" i="1"/>
  <c r="BK48" i="1"/>
  <c r="BM36" i="1"/>
  <c r="BO29" i="1"/>
  <c r="BO32" i="1"/>
  <c r="BL32" i="1"/>
  <c r="BL51" i="1"/>
  <c r="BP53" i="1"/>
  <c r="BP56" i="1"/>
  <c r="BK54" i="1"/>
  <c r="BO51" i="1"/>
  <c r="BL36" i="1"/>
  <c r="BM18" i="1"/>
  <c r="BL13" i="1"/>
  <c r="BO43" i="1"/>
  <c r="BL15" i="1"/>
  <c r="BP55" i="1"/>
  <c r="BP52" i="1"/>
  <c r="BM49" i="1"/>
  <c r="BP12" i="1"/>
  <c r="BO12" i="1"/>
  <c r="BM35" i="1"/>
  <c r="BO7" i="1"/>
  <c r="BN8" i="1"/>
  <c r="BL7" i="1"/>
  <c r="BK30" i="1"/>
  <c r="BM57" i="1"/>
  <c r="BP36" i="1"/>
  <c r="BL18" i="1"/>
  <c r="BP34" i="1"/>
  <c r="BL34" i="1"/>
  <c r="BK56" i="1"/>
  <c r="BN45" i="1"/>
  <c r="BM15" i="1"/>
  <c r="BP27" i="1"/>
  <c r="BO45" i="1"/>
  <c r="BL25" i="1"/>
  <c r="BM50" i="1"/>
  <c r="BK45" i="1"/>
  <c r="BK51" i="1"/>
  <c r="BK42" i="1"/>
  <c r="BM51" i="1"/>
  <c r="BO35" i="1"/>
  <c r="BK24" i="1"/>
  <c r="BO20" i="1"/>
  <c r="BO26" i="1"/>
  <c r="BN30" i="1"/>
  <c r="BK23" i="1"/>
  <c r="BP37" i="1"/>
  <c r="BO38" i="1"/>
  <c r="BN24" i="1"/>
  <c r="BL26" i="1"/>
  <c r="BO15" i="1"/>
  <c r="BL45" i="1"/>
  <c r="BM23" i="1"/>
  <c r="BK17" i="1"/>
  <c r="BO19" i="1"/>
  <c r="BL4" i="1"/>
  <c r="BO30" i="1"/>
  <c r="BM43" i="1"/>
  <c r="BK16" i="1"/>
  <c r="BO50" i="1"/>
  <c r="BN12" i="1"/>
  <c r="BM28" i="1"/>
  <c r="BK50" i="1"/>
  <c r="BO52" i="1"/>
  <c r="BK36" i="1"/>
  <c r="BL55" i="1"/>
  <c r="BP33" i="1"/>
  <c r="BN36" i="1"/>
  <c r="BM29" i="1"/>
  <c r="BK34" i="1"/>
  <c r="BK5" i="1"/>
  <c r="BP43" i="1"/>
  <c r="BK41" i="1"/>
  <c r="BL14" i="1"/>
  <c r="BN35" i="1"/>
  <c r="BM13" i="1"/>
  <c r="BL37" i="1"/>
  <c r="BP32" i="1"/>
  <c r="BM56" i="1"/>
  <c r="BN40" i="1"/>
  <c r="BP16" i="1"/>
  <c r="BN51" i="1"/>
  <c r="BP25" i="1"/>
  <c r="BM14" i="1"/>
  <c r="BO41" i="1"/>
  <c r="BK14" i="1"/>
  <c r="BM17" i="1"/>
  <c r="BP40" i="1"/>
  <c r="BK27" i="1"/>
  <c r="BM26" i="1"/>
  <c r="BO37" i="1"/>
  <c r="BN37" i="1"/>
  <c r="BN58" i="1"/>
  <c r="BL33" i="1"/>
  <c r="BO22" i="1"/>
  <c r="BK40" i="1"/>
  <c r="BO34" i="1"/>
  <c r="BO23" i="1"/>
  <c r="BN57" i="1"/>
  <c r="BP24" i="1"/>
  <c r="BL22" i="1"/>
  <c r="BL3" i="1"/>
  <c r="BL56" i="1"/>
  <c r="BN52" i="1"/>
  <c r="BP47" i="1"/>
  <c r="BL40" i="1"/>
  <c r="BK37" i="1"/>
  <c r="BM3" i="1"/>
  <c r="BN48" i="1"/>
  <c r="BN7" i="1"/>
  <c r="V5" i="4"/>
  <c r="W5" i="4"/>
  <c r="BO9" i="1"/>
  <c r="BG58" i="1"/>
  <c r="BJ56" i="1"/>
  <c r="BG53" i="1"/>
  <c r="BF46" i="1"/>
  <c r="BH36" i="1"/>
  <c r="BI29" i="1"/>
  <c r="BH26" i="1"/>
  <c r="BH23" i="1"/>
  <c r="BI9" i="1"/>
  <c r="BE31" i="1"/>
  <c r="BE47" i="1"/>
  <c r="BG44" i="1"/>
  <c r="BP9" i="1"/>
  <c r="BF33" i="1"/>
  <c r="BK2" i="1"/>
  <c r="BI56" i="1"/>
  <c r="BJ45" i="1"/>
  <c r="BJ42" i="1"/>
  <c r="BG26" i="1"/>
  <c r="BJ13" i="1"/>
  <c r="BH9" i="1"/>
  <c r="BE17" i="1"/>
  <c r="BE48" i="1"/>
  <c r="BG34" i="1"/>
  <c r="BI54" i="1"/>
  <c r="BE27" i="1"/>
  <c r="BG13" i="1"/>
  <c r="BJ46" i="1"/>
  <c r="BI33" i="1"/>
  <c r="BL2" i="1"/>
  <c r="BH56" i="1"/>
  <c r="BH32" i="1"/>
  <c r="BG29" i="1"/>
  <c r="BJ19" i="1"/>
  <c r="BI13" i="1"/>
  <c r="BE4" i="1"/>
  <c r="BE18" i="1"/>
  <c r="BE33" i="1"/>
  <c r="BE50" i="1"/>
  <c r="BJ24" i="1"/>
  <c r="BE56" i="1"/>
  <c r="BM2" i="1"/>
  <c r="BG56" i="1"/>
  <c r="BJ51" i="1"/>
  <c r="BG45" i="1"/>
  <c r="BJ28" i="1"/>
  <c r="BJ25" i="1"/>
  <c r="BI22" i="1"/>
  <c r="BG16" i="1"/>
  <c r="BF13" i="1"/>
  <c r="BJ5" i="1"/>
  <c r="BE5" i="1"/>
  <c r="BE19" i="1"/>
  <c r="BE34" i="1"/>
  <c r="BE51" i="1"/>
  <c r="BE20" i="1"/>
  <c r="BK9" i="1"/>
  <c r="BG47" i="1"/>
  <c r="BG4" i="1"/>
  <c r="BG30" i="1"/>
  <c r="BN2" i="1"/>
  <c r="BH38" i="1"/>
  <c r="BG35" i="1"/>
  <c r="BJ31" i="1"/>
  <c r="BI28" i="1"/>
  <c r="BG19" i="1"/>
  <c r="BJ8" i="1"/>
  <c r="BI5" i="1"/>
  <c r="BJ27" i="1"/>
  <c r="BO2" i="1"/>
  <c r="BH51" i="1"/>
  <c r="BJ44" i="1"/>
  <c r="BG38" i="1"/>
  <c r="BJ34" i="1"/>
  <c r="BG22" i="1"/>
  <c r="BJ15" i="1"/>
  <c r="BI8" i="1"/>
  <c r="BE7" i="1"/>
  <c r="BE21" i="1"/>
  <c r="BE53" i="1"/>
  <c r="BE54" i="1"/>
  <c r="BJ40" i="1"/>
  <c r="BF34" i="1"/>
  <c r="BE26" i="1"/>
  <c r="BE42" i="1"/>
  <c r="BE44" i="1"/>
  <c r="BP2" i="1"/>
  <c r="BG51" i="1"/>
  <c r="BF48" i="1"/>
  <c r="BI44" i="1"/>
  <c r="BH41" i="1"/>
  <c r="BF38" i="1"/>
  <c r="BH31" i="1"/>
  <c r="BG25" i="1"/>
  <c r="BF22" i="1"/>
  <c r="BI18" i="1"/>
  <c r="BG8" i="1"/>
  <c r="BE37" i="1"/>
  <c r="BE24" i="1"/>
  <c r="BF54" i="1"/>
  <c r="BG54" i="1"/>
  <c r="BG37" i="1"/>
  <c r="BJ17" i="1"/>
  <c r="BE12" i="1"/>
  <c r="BE3" i="1"/>
  <c r="BJ20" i="1"/>
  <c r="BH48" i="1"/>
  <c r="BJ58" i="1"/>
  <c r="BG55" i="1"/>
  <c r="BH44" i="1"/>
  <c r="BH34" i="1"/>
  <c r="BF25" i="1"/>
  <c r="BH18" i="1"/>
  <c r="BH15" i="1"/>
  <c r="BF8" i="1"/>
  <c r="BE9" i="1"/>
  <c r="BE39" i="1"/>
  <c r="BE55" i="1"/>
  <c r="BI43" i="1"/>
  <c r="BE13" i="1"/>
  <c r="BJ50" i="1"/>
  <c r="BI47" i="1"/>
  <c r="BJ30" i="1"/>
  <c r="BJ54" i="1"/>
  <c r="BH37" i="1"/>
  <c r="BG21" i="1"/>
  <c r="BF15" i="1"/>
  <c r="BF58" i="1"/>
  <c r="BJ33" i="1"/>
  <c r="BG50" i="1"/>
  <c r="BM9" i="1"/>
  <c r="BH13" i="1"/>
  <c r="BE57" i="1"/>
  <c r="BH57" i="1"/>
  <c r="BJ53" i="1"/>
  <c r="BI46" i="1"/>
  <c r="BG40" i="1"/>
  <c r="BJ36" i="1"/>
  <c r="BH33" i="1"/>
  <c r="BF30" i="1"/>
  <c r="BJ26" i="1"/>
  <c r="BJ3" i="1"/>
  <c r="BE45" i="1"/>
  <c r="BN9" i="1"/>
  <c r="BG57" i="1"/>
  <c r="BH53" i="1"/>
  <c r="BH46" i="1"/>
  <c r="BG33" i="1"/>
  <c r="BJ29" i="1"/>
  <c r="BJ9" i="1"/>
  <c r="BE30" i="1"/>
  <c r="BL9" i="1"/>
  <c r="BF24" i="1"/>
  <c r="BJ21" i="1"/>
  <c r="BI36" i="1"/>
  <c r="BH20" i="1"/>
  <c r="BI6" i="1"/>
  <c r="BE46" i="1"/>
  <c r="BJ57" i="1"/>
  <c r="O19" i="2"/>
  <c r="O6" i="2"/>
  <c r="O20" i="2"/>
  <c r="O12" i="2"/>
  <c r="O11" i="2"/>
  <c r="O7" i="2"/>
  <c r="O8" i="2"/>
  <c r="O10" i="2"/>
  <c r="O14" i="2"/>
  <c r="O13" i="2"/>
  <c r="O16" i="2"/>
  <c r="O17" i="2"/>
  <c r="BI39" i="5"/>
  <c r="BK22" i="5"/>
  <c r="BL36" i="5"/>
  <c r="BO9" i="5"/>
  <c r="BI6" i="5"/>
  <c r="BI47" i="5"/>
  <c r="BM6" i="5"/>
  <c r="BJ49" i="5"/>
  <c r="BF19" i="5"/>
  <c r="BN50" i="5"/>
  <c r="BK32" i="5"/>
  <c r="BH48" i="5"/>
  <c r="BO7" i="5"/>
  <c r="BN52" i="5"/>
  <c r="BN31" i="5"/>
  <c r="BP13" i="5"/>
  <c r="BN33" i="5"/>
  <c r="BL21" i="5"/>
  <c r="BP51" i="5"/>
  <c r="BP6" i="5"/>
  <c r="BL26" i="5"/>
  <c r="BM33" i="5"/>
  <c r="BL15" i="5"/>
  <c r="BG52" i="5"/>
  <c r="BI33" i="5"/>
  <c r="BF44" i="5"/>
  <c r="BN18" i="5"/>
  <c r="BK54" i="5"/>
  <c r="BP48" i="5"/>
  <c r="BG28" i="5"/>
  <c r="BL16" i="5"/>
  <c r="BE26" i="5"/>
  <c r="BK20" i="5"/>
  <c r="BH52" i="5"/>
  <c r="BK50" i="5"/>
  <c r="BN19" i="5"/>
  <c r="BG35" i="5"/>
  <c r="BH32" i="5"/>
  <c r="BM45" i="5"/>
  <c r="BO56" i="5"/>
  <c r="BK36" i="5"/>
  <c r="BI55" i="5"/>
  <c r="BP39" i="5"/>
  <c r="BO31" i="5"/>
  <c r="BN37" i="5"/>
  <c r="BJ32" i="5"/>
  <c r="BM50" i="5"/>
  <c r="BM48" i="5"/>
  <c r="BI5" i="5"/>
  <c r="BO22" i="5"/>
  <c r="BO26" i="5"/>
  <c r="BL56" i="5"/>
  <c r="BM7" i="5"/>
  <c r="BN25" i="5"/>
  <c r="BH23" i="5"/>
  <c r="BO4" i="5"/>
  <c r="BG56" i="5"/>
  <c r="BP58" i="5"/>
  <c r="BJ23" i="5"/>
  <c r="BM31" i="5"/>
  <c r="BK15" i="5"/>
  <c r="BN29" i="5"/>
  <c r="BN57" i="5"/>
  <c r="BK9" i="5"/>
  <c r="BP35" i="5"/>
  <c r="BM4" i="5"/>
  <c r="BM36" i="5"/>
  <c r="BO5" i="5"/>
  <c r="BL25" i="5"/>
  <c r="BK53" i="5"/>
  <c r="BM29" i="12"/>
  <c r="BI45" i="12"/>
  <c r="BN31" i="12"/>
  <c r="BG50" i="12"/>
  <c r="BM33" i="12"/>
  <c r="BO38" i="12"/>
  <c r="BG40" i="12"/>
  <c r="BE16" i="12"/>
  <c r="BM6" i="12"/>
  <c r="BM34" i="12"/>
  <c r="BK8" i="12"/>
  <c r="BM52" i="12"/>
  <c r="BO21" i="12"/>
  <c r="BL55" i="12"/>
  <c r="BI31" i="12"/>
  <c r="BM55" i="12"/>
  <c r="BP28" i="12"/>
  <c r="BH8" i="12"/>
  <c r="BM38" i="12"/>
  <c r="BK16" i="12"/>
  <c r="BP32" i="12"/>
  <c r="BK12" i="12"/>
  <c r="BN36" i="12"/>
  <c r="BE46" i="12"/>
  <c r="BN56" i="12"/>
  <c r="BK36" i="12"/>
  <c r="BH17" i="12"/>
  <c r="BP25" i="12"/>
  <c r="BL54" i="12"/>
  <c r="BK31" i="12"/>
  <c r="BM16" i="12"/>
  <c r="BH50" i="12"/>
  <c r="BP22" i="12"/>
  <c r="BO25" i="12"/>
  <c r="BP21" i="12"/>
  <c r="BH38" i="12"/>
  <c r="BL26" i="12"/>
  <c r="BK3" i="12"/>
  <c r="BG39" i="12"/>
  <c r="BL14" i="12"/>
  <c r="BM40" i="12"/>
  <c r="BP58" i="12"/>
  <c r="BE35" i="12"/>
  <c r="BM3" i="12"/>
  <c r="BK25" i="12"/>
  <c r="BH30" i="12"/>
  <c r="BK32" i="12"/>
  <c r="BN27" i="12"/>
  <c r="BO39" i="12"/>
  <c r="BL18" i="12"/>
  <c r="BJ17" i="12"/>
  <c r="BL3" i="12"/>
  <c r="BF19" i="12"/>
  <c r="BG27" i="12"/>
  <c r="BH36" i="12"/>
  <c r="BM37" i="12"/>
  <c r="BK22" i="12"/>
  <c r="BK26" i="12"/>
  <c r="BP36" i="12"/>
  <c r="BJ53" i="12"/>
  <c r="BK9" i="12"/>
  <c r="BH32" i="12"/>
  <c r="BG28" i="12"/>
  <c r="BE37" i="12"/>
  <c r="BN20" i="12"/>
  <c r="BH56" i="12"/>
  <c r="BM26" i="12"/>
  <c r="BK40" i="12"/>
  <c r="BL31" i="12"/>
  <c r="BG43" i="12"/>
  <c r="BO51" i="12"/>
  <c r="BM23" i="12"/>
  <c r="BP33" i="12"/>
  <c r="BJ39" i="12"/>
  <c r="BG14" i="12"/>
  <c r="BJ35" i="12"/>
  <c r="BM50" i="12"/>
  <c r="BM28" i="12"/>
  <c r="BG47" i="12"/>
  <c r="BN16" i="12"/>
  <c r="BG8" i="12"/>
  <c r="BM43" i="12"/>
  <c r="BG33" i="12"/>
  <c r="BH45" i="12"/>
  <c r="BE2" i="12"/>
  <c r="BI22" i="12"/>
  <c r="BL30" i="12"/>
  <c r="BO14" i="12"/>
  <c r="BI46" i="12"/>
  <c r="BP8" i="12"/>
  <c r="BO29" i="12"/>
  <c r="BI30" i="12"/>
  <c r="BL28" i="12"/>
  <c r="BE25" i="12"/>
  <c r="BI17" i="12"/>
  <c r="BJ30" i="12"/>
  <c r="BP18" i="12"/>
  <c r="BN44" i="12"/>
  <c r="BI24" i="12"/>
  <c r="BP16" i="12"/>
  <c r="BL45" i="12"/>
  <c r="BK20" i="12"/>
  <c r="BP44" i="12"/>
  <c r="BI4" i="12"/>
  <c r="BN46" i="12"/>
  <c r="BP48" i="12"/>
  <c r="BE44" i="12"/>
  <c r="BN23" i="12"/>
  <c r="BI50" i="12"/>
  <c r="BG46" i="12"/>
  <c r="BP57" i="12"/>
  <c r="BN25" i="12"/>
  <c r="BE52" i="12"/>
  <c r="BP37" i="12"/>
  <c r="BI52" i="12"/>
  <c r="BL48" i="12"/>
  <c r="BO32" i="12"/>
  <c r="BH35" i="12"/>
  <c r="BO30" i="12"/>
  <c r="BK55" i="12"/>
  <c r="BG49" i="12"/>
  <c r="BK24" i="12"/>
  <c r="BE43" i="12"/>
  <c r="BN15" i="12"/>
  <c r="BP9" i="12"/>
  <c r="BL29" i="12"/>
  <c r="BP26" i="12"/>
  <c r="BL46" i="12"/>
  <c r="BI36" i="12"/>
  <c r="BE8" i="12"/>
  <c r="BM39" i="12"/>
  <c r="BL19" i="12"/>
  <c r="BE40" i="12"/>
  <c r="BI41" i="12"/>
  <c r="BP15" i="12"/>
  <c r="BI39" i="12"/>
  <c r="BP49" i="12"/>
  <c r="BO22" i="12"/>
  <c r="BK53" i="12"/>
  <c r="BL13" i="12"/>
  <c r="BL57" i="12"/>
  <c r="BH21" i="12"/>
  <c r="BN7" i="12"/>
  <c r="BJ57" i="12"/>
  <c r="BO34" i="12"/>
  <c r="BK58" i="12"/>
  <c r="BH12" i="12"/>
  <c r="BG44" i="12"/>
  <c r="BL16" i="12"/>
  <c r="BN35" i="12"/>
  <c r="BH29" i="12"/>
  <c r="BH24" i="12"/>
  <c r="BL25" i="12"/>
  <c r="BE6" i="12"/>
  <c r="BJ41" i="12"/>
  <c r="BK37" i="12"/>
  <c r="BG31" i="12"/>
  <c r="BO17" i="12"/>
  <c r="BI32" i="12"/>
  <c r="BE34" i="12"/>
  <c r="BH53" i="12"/>
  <c r="BI9" i="12"/>
  <c r="BO19" i="12"/>
  <c r="BN17" i="12"/>
  <c r="BN54" i="12"/>
  <c r="BH6" i="12"/>
  <c r="BE31" i="12"/>
  <c r="BO56" i="12"/>
  <c r="BK47" i="12"/>
  <c r="BP3" i="12"/>
  <c r="BK23" i="12"/>
  <c r="BO23" i="12"/>
  <c r="BN41" i="12"/>
  <c r="BI15" i="12"/>
  <c r="BO3" i="12"/>
  <c r="BO33" i="12"/>
  <c r="BM20" i="12"/>
  <c r="BM2" i="12"/>
  <c r="BI8" i="12"/>
  <c r="BH18" i="12"/>
  <c r="BO27" i="12"/>
  <c r="BG6" i="12"/>
  <c r="BP46" i="12"/>
  <c r="BG18" i="12"/>
  <c r="BP20" i="12"/>
  <c r="BK29" i="12"/>
  <c r="BK39" i="12"/>
  <c r="BM17" i="12"/>
  <c r="BO41" i="12"/>
  <c r="BH15" i="12"/>
  <c r="BO2" i="12"/>
  <c r="BP2" i="12"/>
  <c r="BJ2" i="12"/>
  <c r="BG10" i="1"/>
  <c r="BF10" i="1"/>
  <c r="BJ10" i="1"/>
  <c r="BI10" i="1"/>
  <c r="BH10" i="1"/>
  <c r="N7" i="2"/>
  <c r="N8" i="2"/>
  <c r="N10" i="2"/>
  <c r="N16" i="2"/>
  <c r="N11" i="2"/>
  <c r="N12" i="2"/>
  <c r="N13" i="2"/>
  <c r="N14" i="2"/>
  <c r="N17" i="2"/>
  <c r="N19" i="2"/>
  <c r="N20" i="2"/>
  <c r="N6" i="2"/>
  <c r="M8" i="2"/>
  <c r="M10" i="2"/>
  <c r="M11" i="2"/>
  <c r="M12" i="2"/>
  <c r="M13" i="2"/>
  <c r="M14" i="2"/>
  <c r="M19" i="2"/>
  <c r="M7" i="2"/>
  <c r="M16" i="2"/>
  <c r="M17" i="2"/>
  <c r="M20" i="2"/>
  <c r="I39" i="10"/>
  <c r="W8" i="10" s="1"/>
  <c r="Z8" i="10" s="1"/>
  <c r="Z11" i="10" s="1"/>
  <c r="AA11" i="10" s="1"/>
  <c r="K17" i="2"/>
  <c r="K19" i="2"/>
  <c r="K20" i="2"/>
  <c r="K7" i="2"/>
  <c r="K6" i="2"/>
  <c r="K8" i="2"/>
  <c r="K10" i="2"/>
  <c r="K11" i="2"/>
  <c r="K12" i="2"/>
  <c r="K13" i="2"/>
  <c r="K14" i="2"/>
  <c r="K16" i="2"/>
  <c r="N48" i="2"/>
  <c r="AA9" i="2"/>
  <c r="J48" i="2"/>
  <c r="J47" i="2"/>
  <c r="I45" i="2"/>
  <c r="J45" i="2"/>
  <c r="BQ10" i="5" l="1"/>
  <c r="BI7" i="12"/>
  <c r="BM36" i="12"/>
  <c r="BG7" i="12"/>
  <c r="BM8" i="12"/>
  <c r="BE58" i="12"/>
  <c r="BK49" i="12"/>
  <c r="BE9" i="12"/>
  <c r="BK48" i="12"/>
  <c r="BK43" i="12"/>
  <c r="BM22" i="12"/>
  <c r="BN6" i="12"/>
  <c r="BP30" i="12"/>
  <c r="BG4" i="12"/>
  <c r="BJ44" i="12"/>
  <c r="BJ20" i="12"/>
  <c r="BJ6" i="12"/>
  <c r="BI47" i="12"/>
  <c r="BJ38" i="12"/>
  <c r="BI3" i="12"/>
  <c r="BN19" i="12"/>
  <c r="BI40" i="12"/>
  <c r="BH31" i="12"/>
  <c r="BE14" i="12"/>
  <c r="BE18" i="12"/>
  <c r="BI20" i="12"/>
  <c r="BP56" i="12"/>
  <c r="BM24" i="12"/>
  <c r="BL43" i="12"/>
  <c r="BO44" i="12"/>
  <c r="BI54" i="12"/>
  <c r="BN4" i="12"/>
  <c r="BH44" i="12"/>
  <c r="BM47" i="12"/>
  <c r="BF37" i="5"/>
  <c r="BH43" i="5"/>
  <c r="BN24" i="5"/>
  <c r="BE28" i="5"/>
  <c r="BP52" i="5"/>
  <c r="BH54" i="5"/>
  <c r="BJ43" i="5"/>
  <c r="BE3" i="5"/>
  <c r="BI24" i="5"/>
  <c r="BH40" i="5"/>
  <c r="BL43" i="5"/>
  <c r="BN36" i="5"/>
  <c r="BO46" i="5"/>
  <c r="BO34" i="5"/>
  <c r="BJ31" i="5"/>
  <c r="BF55" i="5"/>
  <c r="BI9" i="5"/>
  <c r="BK6" i="5"/>
  <c r="BL9" i="5"/>
  <c r="BJ39" i="5"/>
  <c r="BE57" i="5"/>
  <c r="BK8" i="5"/>
  <c r="BO54" i="5"/>
  <c r="BG24" i="5"/>
  <c r="BL46" i="5"/>
  <c r="BK29" i="5"/>
  <c r="BK5" i="5"/>
  <c r="BM41" i="5"/>
  <c r="BK4" i="5"/>
  <c r="BK7" i="5"/>
  <c r="BF24" i="5"/>
  <c r="BK17" i="5"/>
  <c r="BK12" i="5"/>
  <c r="BI16" i="5"/>
  <c r="BM52" i="5"/>
  <c r="BM13" i="5"/>
  <c r="BE55" i="5"/>
  <c r="BK55" i="5"/>
  <c r="BL55" i="5"/>
  <c r="BN45" i="5"/>
  <c r="BP46" i="5"/>
  <c r="BN51" i="5"/>
  <c r="BL34" i="5"/>
  <c r="BK39" i="5"/>
  <c r="BL42" i="5"/>
  <c r="BI34" i="5"/>
  <c r="BM34" i="5"/>
  <c r="BP56" i="5"/>
  <c r="BH42" i="5"/>
  <c r="BJ52" i="5"/>
  <c r="BO3" i="5"/>
  <c r="BM22" i="5"/>
  <c r="BO55" i="5"/>
  <c r="BO33" i="5"/>
  <c r="BM27" i="5"/>
  <c r="BL4" i="5"/>
  <c r="BL47" i="5"/>
  <c r="BM17" i="5"/>
  <c r="BP7" i="5"/>
  <c r="BL49" i="5"/>
  <c r="BM32" i="5"/>
  <c r="BP23" i="5"/>
  <c r="BO47" i="5"/>
  <c r="BH27" i="5"/>
  <c r="BK49" i="5"/>
  <c r="BJ33" i="5"/>
  <c r="BF3" i="5"/>
  <c r="BO50" i="5"/>
  <c r="BI51" i="5"/>
  <c r="BO44" i="5"/>
  <c r="BJ47" i="5"/>
  <c r="BI46" i="5"/>
  <c r="BG5" i="5"/>
  <c r="BH19" i="12"/>
  <c r="BM4" i="12"/>
  <c r="BJ15" i="12"/>
  <c r="BJ13" i="12"/>
  <c r="BJ48" i="12"/>
  <c r="BH40" i="12"/>
  <c r="BK54" i="12"/>
  <c r="BJ52" i="12"/>
  <c r="BL41" i="12"/>
  <c r="BL23" i="12"/>
  <c r="BP14" i="12"/>
  <c r="BL52" i="12"/>
  <c r="BH22" i="12"/>
  <c r="BO26" i="12"/>
  <c r="BG52" i="12"/>
  <c r="BP51" i="12"/>
  <c r="BN42" i="12"/>
  <c r="BN57" i="12"/>
  <c r="BM51" i="12"/>
  <c r="BN18" i="12"/>
  <c r="BE17" i="12"/>
  <c r="BN51" i="12"/>
  <c r="BN58" i="12"/>
  <c r="BO35" i="12"/>
  <c r="BK52" i="12"/>
  <c r="BL36" i="12"/>
  <c r="BL53" i="12"/>
  <c r="BL7" i="12"/>
  <c r="BH54" i="12"/>
  <c r="BI42" i="12"/>
  <c r="BG2" i="12"/>
  <c r="BH14" i="12"/>
  <c r="BN14" i="12"/>
  <c r="BP47" i="12"/>
  <c r="BL40" i="12"/>
  <c r="BO58" i="5"/>
  <c r="BN7" i="5"/>
  <c r="BP40" i="5"/>
  <c r="BI18" i="5"/>
  <c r="BM3" i="5"/>
  <c r="BM16" i="5"/>
  <c r="BL2" i="5"/>
  <c r="BF26" i="5"/>
  <c r="BN53" i="5"/>
  <c r="BN23" i="5"/>
  <c r="BN3" i="5"/>
  <c r="BH41" i="5"/>
  <c r="BK13" i="5"/>
  <c r="BM47" i="5"/>
  <c r="BO12" i="5"/>
  <c r="BL30" i="5"/>
  <c r="BF16" i="5"/>
  <c r="BI8" i="5"/>
  <c r="BK41" i="5"/>
  <c r="BL13" i="5"/>
  <c r="BK50" i="12"/>
  <c r="BP53" i="12"/>
  <c r="BL4" i="12"/>
  <c r="BH47" i="12"/>
  <c r="BG9" i="12"/>
  <c r="BH13" i="12"/>
  <c r="BJ18" i="12"/>
  <c r="BP50" i="12"/>
  <c r="BO18" i="12"/>
  <c r="BK15" i="12"/>
  <c r="BM21" i="12"/>
  <c r="BE3" i="12"/>
  <c r="BN22" i="12"/>
  <c r="BN24" i="12"/>
  <c r="BI28" i="12"/>
  <c r="BL6" i="12"/>
  <c r="BO48" i="5"/>
  <c r="BG27" i="5"/>
  <c r="BJ5" i="5"/>
  <c r="BO41" i="5"/>
  <c r="BG17" i="5"/>
  <c r="BM25" i="5"/>
  <c r="BO17" i="5"/>
  <c r="BM15" i="5"/>
  <c r="BL53" i="5"/>
  <c r="BP19" i="5"/>
  <c r="BM12" i="5"/>
  <c r="BP53" i="5"/>
  <c r="BN22" i="5"/>
  <c r="BL31" i="5"/>
  <c r="BG13" i="5"/>
  <c r="BP49" i="5"/>
  <c r="BK40" i="5"/>
  <c r="BH3" i="5"/>
  <c r="BP2" i="5"/>
  <c r="BK3" i="5"/>
  <c r="BG50" i="5"/>
  <c r="BN55" i="5"/>
  <c r="BP18" i="5"/>
  <c r="BI36" i="5"/>
  <c r="BL8" i="5"/>
  <c r="BK18" i="5"/>
  <c r="BG6" i="5"/>
  <c r="BO21" i="5"/>
  <c r="BI48" i="12"/>
  <c r="BN39" i="12"/>
  <c r="BI14" i="12"/>
  <c r="BK56" i="12"/>
  <c r="BK19" i="12"/>
  <c r="BO47" i="12"/>
  <c r="BK41" i="12"/>
  <c r="BL8" i="12"/>
  <c r="BI6" i="12"/>
  <c r="BE42" i="12"/>
  <c r="BJ29" i="12"/>
  <c r="BO45" i="12"/>
  <c r="BF40" i="12"/>
  <c r="BO7" i="12"/>
  <c r="BO2" i="5"/>
  <c r="BN2" i="12"/>
  <c r="BE4" i="12"/>
  <c r="BO54" i="12"/>
  <c r="BG29" i="12"/>
  <c r="BG13" i="12"/>
  <c r="BM31" i="12"/>
  <c r="BE13" i="12"/>
  <c r="BP6" i="12"/>
  <c r="BL42" i="12"/>
  <c r="BJ22" i="12"/>
  <c r="BG54" i="12"/>
  <c r="BH37" i="12"/>
  <c r="BO24" i="12"/>
  <c r="BK13" i="12"/>
  <c r="BO42" i="12"/>
  <c r="BG53" i="12"/>
  <c r="BM44" i="12"/>
  <c r="BM35" i="12"/>
  <c r="BN38" i="12"/>
  <c r="BG51" i="12"/>
  <c r="BO15" i="12"/>
  <c r="BN3" i="12"/>
  <c r="BE15" i="12"/>
  <c r="BJ12" i="12"/>
  <c r="BN8" i="12"/>
  <c r="BO40" i="12"/>
  <c r="BM15" i="12"/>
  <c r="BO37" i="12"/>
  <c r="BL15" i="12"/>
  <c r="BL51" i="12"/>
  <c r="BE20" i="12"/>
  <c r="BO52" i="12"/>
  <c r="BN13" i="12"/>
  <c r="BJ14" i="12"/>
  <c r="BO4" i="12"/>
  <c r="BL50" i="12"/>
  <c r="BI37" i="12"/>
  <c r="BI45" i="5"/>
  <c r="BN58" i="5"/>
  <c r="BF42" i="5"/>
  <c r="BP4" i="5"/>
  <c r="BO20" i="5"/>
  <c r="BF50" i="5"/>
  <c r="BI32" i="5"/>
  <c r="BH8" i="5"/>
  <c r="BK44" i="5"/>
  <c r="BK56" i="5"/>
  <c r="BN4" i="5"/>
  <c r="BM19" i="5"/>
  <c r="BG36" i="5"/>
  <c r="BK38" i="5"/>
  <c r="BN8" i="5"/>
  <c r="BJ13" i="5"/>
  <c r="BJ34" i="5"/>
  <c r="BE23" i="5"/>
  <c r="BP22" i="5"/>
  <c r="BI5" i="12"/>
  <c r="BF38" i="12"/>
  <c r="BK45" i="12"/>
  <c r="BG58" i="12"/>
  <c r="BN53" i="12"/>
  <c r="BL44" i="12"/>
  <c r="BJ34" i="12"/>
  <c r="BI58" i="12"/>
  <c r="BN45" i="12"/>
  <c r="BP12" i="12"/>
  <c r="BO53" i="12"/>
  <c r="BL47" i="12"/>
  <c r="BO13" i="12"/>
  <c r="BO6" i="12"/>
  <c r="BL2" i="12"/>
  <c r="BI51" i="12"/>
  <c r="BP17" i="12"/>
  <c r="BM14" i="12"/>
  <c r="BL22" i="12"/>
  <c r="BK51" i="12"/>
  <c r="BH4" i="12"/>
  <c r="BJ9" i="12"/>
  <c r="BM13" i="12"/>
  <c r="BK5" i="12"/>
  <c r="BL27" i="12"/>
  <c r="BL12" i="12"/>
  <c r="BO57" i="12"/>
  <c r="BI29" i="12"/>
  <c r="BM7" i="12"/>
  <c r="BP39" i="12"/>
  <c r="BI18" i="12"/>
  <c r="BO43" i="12"/>
  <c r="BK14" i="12"/>
  <c r="BM32" i="12"/>
  <c r="BP13" i="12"/>
  <c r="BN21" i="12"/>
  <c r="BP4" i="12"/>
  <c r="BH57" i="12"/>
  <c r="BO46" i="12"/>
  <c r="BM9" i="12"/>
  <c r="BI49" i="12"/>
  <c r="BP55" i="12"/>
  <c r="BJ45" i="12"/>
  <c r="BH46" i="12"/>
  <c r="BN47" i="12"/>
  <c r="BG15" i="12"/>
  <c r="BJ7" i="12"/>
  <c r="BM45" i="12"/>
  <c r="BG41" i="12"/>
  <c r="BL33" i="12"/>
  <c r="BM18" i="12"/>
  <c r="BL45" i="5"/>
  <c r="BE6" i="5"/>
  <c r="BO45" i="5"/>
  <c r="BP44" i="5"/>
  <c r="BN34" i="5"/>
  <c r="BN38" i="5"/>
  <c r="BE16" i="5"/>
  <c r="BK33" i="5"/>
  <c r="BP5" i="5"/>
  <c r="BN39" i="5"/>
  <c r="BN13" i="5"/>
  <c r="BP33" i="5"/>
  <c r="BO19" i="5"/>
  <c r="BE46" i="5"/>
  <c r="BK14" i="5"/>
  <c r="BF5" i="5"/>
  <c r="BP16" i="5"/>
  <c r="BP21" i="5"/>
  <c r="BH44" i="5"/>
  <c r="BG20" i="5"/>
  <c r="BM57" i="12"/>
  <c r="BG3" i="12"/>
  <c r="BG36" i="12"/>
  <c r="BO49" i="12"/>
  <c r="BI53" i="12"/>
  <c r="BO9" i="12"/>
  <c r="BK6" i="12"/>
  <c r="BI38" i="12"/>
  <c r="BM5" i="12"/>
  <c r="BH41" i="12"/>
  <c r="BE50" i="12"/>
  <c r="BG22" i="12"/>
  <c r="BL56" i="12"/>
  <c r="BO12" i="12"/>
  <c r="BM42" i="12"/>
  <c r="BP34" i="12"/>
  <c r="BN49" i="12"/>
  <c r="BG5" i="12"/>
  <c r="BL17" i="12"/>
  <c r="BJ23" i="12"/>
  <c r="BP5" i="12"/>
  <c r="BE51" i="12"/>
  <c r="BO50" i="12"/>
  <c r="BE45" i="12"/>
  <c r="BN50" i="12"/>
  <c r="BL37" i="12"/>
  <c r="BK7" i="12"/>
  <c r="BK17" i="12"/>
  <c r="BM48" i="12"/>
  <c r="BN28" i="12"/>
  <c r="BK4" i="12"/>
  <c r="BN52" i="12"/>
  <c r="BP29" i="12"/>
  <c r="BE39" i="12"/>
  <c r="BP45" i="12"/>
  <c r="BE47" i="12"/>
  <c r="BO28" i="12"/>
  <c r="BH9" i="12"/>
  <c r="BN49" i="5"/>
  <c r="BO35" i="5"/>
  <c r="BM42" i="5"/>
  <c r="BL28" i="5"/>
  <c r="BO13" i="5"/>
  <c r="BL38" i="5"/>
  <c r="BG42" i="5"/>
  <c r="BF22" i="5"/>
  <c r="BP14" i="5"/>
  <c r="BM43" i="5"/>
  <c r="BO25" i="5"/>
  <c r="BM9" i="5"/>
  <c r="BI57" i="5"/>
  <c r="BP28" i="5"/>
  <c r="BH21" i="5"/>
  <c r="BH56" i="5"/>
  <c r="BM8" i="5"/>
  <c r="BL44" i="5"/>
  <c r="BN26" i="5"/>
  <c r="BO37" i="5"/>
  <c r="BL50" i="5"/>
  <c r="BK2" i="12"/>
  <c r="BK33" i="12"/>
  <c r="BM27" i="12"/>
  <c r="BP23" i="12"/>
  <c r="BN12" i="12"/>
  <c r="BH42" i="12"/>
  <c r="BN43" i="12"/>
  <c r="BE53" i="12"/>
  <c r="BM54" i="12"/>
  <c r="BL34" i="12"/>
  <c r="BL39" i="12"/>
  <c r="BP24" i="12"/>
  <c r="BO31" i="12"/>
  <c r="BP27" i="12"/>
  <c r="BN32" i="12"/>
  <c r="BM41" i="12"/>
  <c r="BE7" i="12"/>
  <c r="BK57" i="12"/>
  <c r="BG38" i="12"/>
  <c r="BL20" i="12"/>
  <c r="BG21" i="12"/>
  <c r="BH2" i="12"/>
  <c r="BH7" i="12"/>
  <c r="BK38" i="12"/>
  <c r="BL58" i="12"/>
  <c r="BN5" i="12"/>
  <c r="BO58" i="12"/>
  <c r="BL38" i="12"/>
  <c r="BG23" i="12"/>
  <c r="BN40" i="12"/>
  <c r="BJ3" i="12"/>
  <c r="BM19" i="12"/>
  <c r="BJ28" i="12"/>
  <c r="BK30" i="12"/>
  <c r="BK27" i="12"/>
  <c r="BL9" i="12"/>
  <c r="BN26" i="12"/>
  <c r="BK18" i="12"/>
  <c r="BK21" i="5"/>
  <c r="BK19" i="5"/>
  <c r="BL6" i="5"/>
  <c r="BK35" i="5"/>
  <c r="BO51" i="5"/>
  <c r="BK42" i="5"/>
  <c r="BL48" i="5"/>
  <c r="BF56" i="5"/>
  <c r="BE34" i="5"/>
  <c r="BE24" i="5"/>
  <c r="BF31" i="5"/>
  <c r="BO32" i="5"/>
  <c r="BK26" i="5"/>
  <c r="BK34" i="5"/>
  <c r="BM24" i="5"/>
  <c r="BL12" i="5"/>
  <c r="BI28" i="5"/>
  <c r="BP26" i="5"/>
  <c r="BE7" i="5"/>
  <c r="BK2" i="5"/>
  <c r="BK27" i="5"/>
  <c r="BG20" i="12"/>
  <c r="BE33" i="12"/>
  <c r="BP35" i="12"/>
  <c r="BE21" i="12"/>
  <c r="BN55" i="12"/>
  <c r="BO5" i="12"/>
  <c r="BP19" i="12"/>
  <c r="BN29" i="12"/>
  <c r="BE5" i="12"/>
  <c r="BP41" i="12"/>
  <c r="BH23" i="12"/>
  <c r="BM12" i="12"/>
  <c r="BJ40" i="12"/>
  <c r="BK35" i="12"/>
  <c r="BG35" i="12"/>
  <c r="BK42" i="12"/>
  <c r="BE38" i="12"/>
  <c r="BO48" i="12"/>
  <c r="BO20" i="12"/>
  <c r="BK44" i="12"/>
  <c r="BM49" i="12"/>
  <c r="BH25" i="12"/>
  <c r="BN48" i="12"/>
  <c r="BE12" i="12"/>
  <c r="BK21" i="12"/>
  <c r="BP52" i="12"/>
  <c r="BG30" i="12"/>
  <c r="BP7" i="12"/>
  <c r="BN30" i="12"/>
  <c r="BH52" i="12"/>
  <c r="BM46" i="12"/>
  <c r="BK28" i="12"/>
  <c r="BH20" i="12"/>
  <c r="BI2" i="12"/>
  <c r="BN9" i="12"/>
  <c r="BE23" i="12"/>
  <c r="BM53" i="12"/>
  <c r="BI30" i="5"/>
  <c r="BE5" i="5"/>
  <c r="BK16" i="5"/>
  <c r="BN46" i="5"/>
  <c r="BK46" i="5"/>
  <c r="BL54" i="5"/>
  <c r="BN12" i="5"/>
  <c r="BL33" i="5"/>
  <c r="BN47" i="5"/>
  <c r="BH6" i="5"/>
  <c r="BO14" i="5"/>
  <c r="BF9" i="5"/>
  <c r="BP43" i="5"/>
  <c r="BI53" i="5"/>
  <c r="BG14" i="5"/>
  <c r="BP29" i="5"/>
  <c r="BL7" i="5"/>
  <c r="BP47" i="5"/>
  <c r="BO27" i="5"/>
  <c r="BJ17" i="5"/>
  <c r="BG12" i="5"/>
  <c r="BN48" i="5"/>
  <c r="BE49" i="12"/>
  <c r="BM25" i="12"/>
  <c r="BI23" i="12"/>
  <c r="BP42" i="12"/>
  <c r="BJ36" i="12"/>
  <c r="BK46" i="12"/>
  <c r="BH5" i="12"/>
  <c r="BP54" i="12"/>
  <c r="BM58" i="12"/>
  <c r="BK34" i="12"/>
  <c r="BO16" i="12"/>
  <c r="BL24" i="12"/>
  <c r="BI13" i="12"/>
  <c r="BJ8" i="12"/>
  <c r="BO8" i="12"/>
  <c r="BL5" i="12"/>
  <c r="BL32" i="12"/>
  <c r="BH51" i="12"/>
  <c r="BL35" i="12"/>
  <c r="BN37" i="12"/>
  <c r="BH39" i="12"/>
  <c r="BJ47" i="12"/>
  <c r="BP43" i="12"/>
  <c r="BO36" i="12"/>
  <c r="BH33" i="12"/>
  <c r="BM56" i="12"/>
  <c r="BJ32" i="12"/>
  <c r="BP38" i="12"/>
  <c r="BL21" i="12"/>
  <c r="BL49" i="12"/>
  <c r="BN34" i="12"/>
  <c r="BP40" i="12"/>
  <c r="BE30" i="12"/>
  <c r="BO55" i="12"/>
  <c r="BH3" i="12"/>
  <c r="BN33" i="12"/>
  <c r="BP31" i="12"/>
  <c r="BN21" i="5"/>
  <c r="BG23" i="5"/>
  <c r="BF33" i="5"/>
  <c r="BI21" i="5"/>
  <c r="BJ35" i="5"/>
  <c r="BH26" i="5"/>
  <c r="BO29" i="5"/>
  <c r="BG54" i="5"/>
  <c r="BP15" i="5"/>
  <c r="BO36" i="5"/>
  <c r="BM26" i="5"/>
  <c r="BK48" i="5"/>
  <c r="BP42" i="5"/>
  <c r="BN28" i="5"/>
  <c r="BM18" i="5"/>
  <c r="BF45" i="5"/>
  <c r="BL41" i="5"/>
  <c r="BM28" i="5"/>
  <c r="BI2" i="7"/>
  <c r="BP50" i="7"/>
  <c r="BE15" i="7"/>
  <c r="BG17" i="7"/>
  <c r="BL5" i="7"/>
  <c r="BI9" i="7"/>
  <c r="BM44" i="7"/>
  <c r="BJ17" i="7"/>
  <c r="BM54" i="1"/>
  <c r="BL30" i="1"/>
  <c r="BP26" i="1"/>
  <c r="BL23" i="1"/>
  <c r="BP44" i="1"/>
  <c r="BK57" i="1"/>
  <c r="BL5" i="1"/>
  <c r="BL39" i="1"/>
  <c r="BO24" i="1"/>
  <c r="BN50" i="1"/>
  <c r="BO49" i="1"/>
  <c r="BK18" i="1"/>
  <c r="BM5" i="1"/>
  <c r="BO58" i="1"/>
  <c r="BK47" i="1"/>
  <c r="BK25" i="1"/>
  <c r="BK20" i="1"/>
  <c r="BN39" i="1"/>
  <c r="BL8" i="1"/>
  <c r="BN20" i="1"/>
  <c r="BI47" i="7"/>
  <c r="BM42" i="7"/>
  <c r="BN55" i="7"/>
  <c r="BN20" i="7"/>
  <c r="BP53" i="7"/>
  <c r="BO9" i="7"/>
  <c r="BG5" i="7"/>
  <c r="BH32" i="7"/>
  <c r="BN48" i="7"/>
  <c r="BJ48" i="7"/>
  <c r="BN34" i="7"/>
  <c r="BL56" i="7"/>
  <c r="BN32" i="7"/>
  <c r="BP46" i="7"/>
  <c r="BH19" i="7"/>
  <c r="BM17" i="7"/>
  <c r="BI21" i="7"/>
  <c r="BH31" i="7"/>
  <c r="BP48" i="7"/>
  <c r="BP25" i="7"/>
  <c r="BL17" i="7"/>
  <c r="BM8" i="7"/>
  <c r="BI51" i="7"/>
  <c r="BF34" i="7"/>
  <c r="BK51" i="7"/>
  <c r="BL43" i="7"/>
  <c r="BO47" i="7"/>
  <c r="BH9" i="7"/>
  <c r="BI39" i="7"/>
  <c r="BL4" i="7"/>
  <c r="BJ26" i="7"/>
  <c r="BE20" i="7"/>
  <c r="BL48" i="7"/>
  <c r="BO27" i="7"/>
  <c r="BJ48" i="1"/>
  <c r="BG52" i="1"/>
  <c r="BH29" i="1"/>
  <c r="BJ32" i="1"/>
  <c r="BO28" i="1"/>
  <c r="BO47" i="1"/>
  <c r="BN53" i="1"/>
  <c r="BM19" i="1"/>
  <c r="BO39" i="1"/>
  <c r="BO14" i="1"/>
  <c r="BM48" i="1"/>
  <c r="BM8" i="1"/>
  <c r="BM22" i="1"/>
  <c r="BN13" i="1"/>
  <c r="BP31" i="1"/>
  <c r="BN29" i="1"/>
  <c r="BL38" i="1"/>
  <c r="BP58" i="1"/>
  <c r="BP49" i="1"/>
  <c r="BK53" i="1"/>
  <c r="BM31" i="1"/>
  <c r="BM53" i="1"/>
  <c r="BP46" i="1"/>
  <c r="BP13" i="1"/>
  <c r="BP15" i="7"/>
  <c r="BM13" i="7"/>
  <c r="BJ24" i="7"/>
  <c r="BI26" i="7"/>
  <c r="BK6" i="7"/>
  <c r="BE44" i="7"/>
  <c r="BK49" i="7"/>
  <c r="BI40" i="7"/>
  <c r="BI27" i="7"/>
  <c r="BO57" i="7"/>
  <c r="BM35" i="7"/>
  <c r="BG51" i="7"/>
  <c r="BI15" i="7"/>
  <c r="BO12" i="7"/>
  <c r="BF41" i="7"/>
  <c r="BG42" i="7"/>
  <c r="BP51" i="7"/>
  <c r="BI24" i="7"/>
  <c r="BN8" i="7"/>
  <c r="BN57" i="7"/>
  <c r="BH49" i="7"/>
  <c r="BI13" i="7"/>
  <c r="BE28" i="7"/>
  <c r="BL31" i="7"/>
  <c r="BK57" i="7"/>
  <c r="BN30" i="7"/>
  <c r="BJ55" i="7"/>
  <c r="BF13" i="7"/>
  <c r="BK58" i="7"/>
  <c r="BO58" i="7"/>
  <c r="BN52" i="7"/>
  <c r="BO46" i="7"/>
  <c r="BO26" i="7"/>
  <c r="BP19" i="7"/>
  <c r="BP14" i="1"/>
  <c r="BP18" i="1"/>
  <c r="BO16" i="1"/>
  <c r="BN26" i="1"/>
  <c r="BM39" i="1"/>
  <c r="BM4" i="7"/>
  <c r="BG23" i="7"/>
  <c r="BL2" i="7"/>
  <c r="BO33" i="7"/>
  <c r="BM46" i="7"/>
  <c r="BK9" i="7"/>
  <c r="BF16" i="7"/>
  <c r="BE56" i="7"/>
  <c r="BO54" i="7"/>
  <c r="BJ46" i="7"/>
  <c r="BJ6" i="7"/>
  <c r="BN7" i="7"/>
  <c r="BO4" i="7"/>
  <c r="BK27" i="7"/>
  <c r="BP45" i="7"/>
  <c r="BJ21" i="7"/>
  <c r="BE7" i="7"/>
  <c r="BH52" i="7"/>
  <c r="BH4" i="7"/>
  <c r="BE2" i="7"/>
  <c r="BF23" i="7"/>
  <c r="BM57" i="7"/>
  <c r="BJ2" i="7"/>
  <c r="BK44" i="7"/>
  <c r="BP16" i="7"/>
  <c r="BM43" i="7"/>
  <c r="BL45" i="7"/>
  <c r="BL41" i="7"/>
  <c r="BL8" i="7"/>
  <c r="BO53" i="7"/>
  <c r="BP41" i="7"/>
  <c r="BJ34" i="7"/>
  <c r="BF49" i="7"/>
  <c r="BJ49" i="7"/>
  <c r="BK3" i="1"/>
  <c r="BK39" i="1"/>
  <c r="BK44" i="1"/>
  <c r="BN33" i="1"/>
  <c r="BH27" i="7"/>
  <c r="BN58" i="7"/>
  <c r="BO29" i="7"/>
  <c r="BF36" i="7"/>
  <c r="BO49" i="7"/>
  <c r="BF21" i="7"/>
  <c r="BI30" i="7"/>
  <c r="BO21" i="7"/>
  <c r="BP17" i="7"/>
  <c r="BK16" i="7"/>
  <c r="BK15" i="7"/>
  <c r="BG50" i="7"/>
  <c r="BP39" i="7"/>
  <c r="BN51" i="7"/>
  <c r="BM48" i="7"/>
  <c r="BN49" i="7"/>
  <c r="BM25" i="7"/>
  <c r="BK39" i="7"/>
  <c r="BG39" i="7"/>
  <c r="BK41" i="7"/>
  <c r="BK52" i="7"/>
  <c r="BF50" i="7"/>
  <c r="BF14" i="7"/>
  <c r="BO40" i="7"/>
  <c r="BM9" i="7"/>
  <c r="BK42" i="7"/>
  <c r="BN47" i="7"/>
  <c r="BE57" i="7"/>
  <c r="BO36" i="7"/>
  <c r="BG18" i="7"/>
  <c r="BM39" i="7"/>
  <c r="BI8" i="7"/>
  <c r="BL47" i="7"/>
  <c r="BN16" i="7"/>
  <c r="BO53" i="1"/>
  <c r="BK55" i="1"/>
  <c r="BJ8" i="7"/>
  <c r="BN46" i="7"/>
  <c r="BM51" i="7"/>
  <c r="BE37" i="7"/>
  <c r="BI19" i="7"/>
  <c r="BG47" i="7"/>
  <c r="BO15" i="7"/>
  <c r="BO22" i="7"/>
  <c r="BM54" i="7"/>
  <c r="BK43" i="7"/>
  <c r="BH42" i="7"/>
  <c r="BJ42" i="7"/>
  <c r="BN28" i="7"/>
  <c r="BM30" i="7"/>
  <c r="BG40" i="7"/>
  <c r="BL37" i="7"/>
  <c r="BP35" i="7"/>
  <c r="BN45" i="7"/>
  <c r="BJ23" i="7"/>
  <c r="BP47" i="7"/>
  <c r="BL9" i="7"/>
  <c r="BH33" i="7"/>
  <c r="BG57" i="7"/>
  <c r="BK20" i="7"/>
  <c r="BN50" i="7"/>
  <c r="BN14" i="7"/>
  <c r="BF35" i="7"/>
  <c r="BK40" i="7"/>
  <c r="BE46" i="7"/>
  <c r="BM29" i="7"/>
  <c r="BN6" i="7"/>
  <c r="BI53" i="7"/>
  <c r="BH30" i="7"/>
  <c r="BH56" i="7"/>
  <c r="BG8" i="7"/>
  <c r="BO8" i="7"/>
  <c r="BH24" i="7"/>
  <c r="BL20" i="7"/>
  <c r="BE49" i="7"/>
  <c r="BO31" i="7"/>
  <c r="BK23" i="7"/>
  <c r="BO39" i="7"/>
  <c r="BP3" i="7"/>
  <c r="BI38" i="7"/>
  <c r="BH53" i="7"/>
  <c r="BN12" i="7"/>
  <c r="BJ22" i="7"/>
  <c r="BE43" i="7"/>
  <c r="BM40" i="7"/>
  <c r="BK18" i="7"/>
  <c r="BP20" i="7"/>
  <c r="BI5" i="7"/>
  <c r="BH26" i="7"/>
  <c r="BK5" i="7"/>
  <c r="BF47" i="7"/>
  <c r="BM55" i="7"/>
  <c r="BL24" i="7"/>
  <c r="BJ33" i="7"/>
  <c r="BG16" i="7"/>
  <c r="BG20" i="7"/>
  <c r="BF55" i="7"/>
  <c r="BJ29" i="7"/>
  <c r="BI36" i="7"/>
  <c r="BH55" i="7"/>
  <c r="BL46" i="7"/>
  <c r="BH7" i="7"/>
  <c r="BE13" i="7"/>
  <c r="BN35" i="7"/>
  <c r="BJ56" i="7"/>
  <c r="BH37" i="7"/>
  <c r="BJ2" i="1"/>
  <c r="BL6" i="1"/>
  <c r="BO57" i="1"/>
  <c r="BL47" i="1"/>
  <c r="BN47" i="1"/>
  <c r="BL20" i="1"/>
  <c r="BP51" i="1"/>
  <c r="BN49" i="1"/>
  <c r="BK13" i="1"/>
  <c r="BN3" i="1"/>
  <c r="BN54" i="1"/>
  <c r="BK31" i="1"/>
  <c r="BK7" i="1"/>
  <c r="BM27" i="1"/>
  <c r="BN23" i="1"/>
  <c r="BM47" i="1"/>
  <c r="BK29" i="1"/>
  <c r="BP50" i="1"/>
  <c r="BP22" i="1"/>
  <c r="BN44" i="1"/>
  <c r="BK52" i="1"/>
  <c r="BM42" i="1"/>
  <c r="BK8" i="1"/>
  <c r="BP29" i="1"/>
  <c r="BO55" i="1"/>
  <c r="BM24" i="1"/>
  <c r="BL54" i="1"/>
  <c r="BO3" i="1"/>
  <c r="BN28" i="1"/>
  <c r="BN41" i="1"/>
  <c r="BM58" i="1"/>
  <c r="BL43" i="1"/>
  <c r="BL17" i="1"/>
  <c r="BK22" i="1"/>
  <c r="BN56" i="1"/>
  <c r="BP19" i="1"/>
  <c r="BM46" i="1"/>
  <c r="BP41" i="1"/>
  <c r="BP39" i="1"/>
  <c r="BK28" i="1"/>
  <c r="BO5" i="1"/>
  <c r="E5" i="4"/>
  <c r="BG3" i="1"/>
  <c r="BF3" i="1"/>
  <c r="BJ22" i="1"/>
  <c r="BI38" i="1"/>
  <c r="BI40" i="1"/>
  <c r="BG48" i="1"/>
  <c r="BH30" i="1"/>
  <c r="BE8" i="1"/>
  <c r="BG41" i="1"/>
  <c r="BJ4" i="1"/>
  <c r="BH43" i="1"/>
  <c r="BG17" i="1"/>
  <c r="BM39" i="5"/>
  <c r="BM46" i="5"/>
  <c r="BO15" i="5"/>
  <c r="BL27" i="5"/>
  <c r="BK51" i="5"/>
  <c r="BM2" i="5"/>
  <c r="BN41" i="5"/>
  <c r="BN2" i="5"/>
  <c r="BF54" i="5"/>
  <c r="BO23" i="5"/>
  <c r="BM44" i="5"/>
  <c r="BM54" i="5"/>
  <c r="BL52" i="7"/>
  <c r="BO37" i="7"/>
  <c r="BF38" i="7"/>
  <c r="BN53" i="7"/>
  <c r="BP27" i="7"/>
  <c r="BP57" i="7"/>
  <c r="BL18" i="7"/>
  <c r="BL6" i="7"/>
  <c r="BH43" i="7"/>
  <c r="BK22" i="7"/>
  <c r="BL14" i="7"/>
  <c r="BI46" i="7"/>
  <c r="BL32" i="7"/>
  <c r="BO45" i="7"/>
  <c r="BO30" i="7"/>
  <c r="BI12" i="7"/>
  <c r="BG46" i="7"/>
  <c r="BH20" i="7"/>
  <c r="BG54" i="7"/>
  <c r="BP49" i="7"/>
  <c r="BM38" i="7"/>
  <c r="BF51" i="7"/>
  <c r="BJ57" i="7"/>
  <c r="BK53" i="7"/>
  <c r="BL22" i="7"/>
  <c r="BO35" i="7"/>
  <c r="BF15" i="7"/>
  <c r="BH48" i="7"/>
  <c r="BE12" i="7"/>
  <c r="BJ54" i="7"/>
  <c r="BP36" i="7"/>
  <c r="BG49" i="7"/>
  <c r="BN39" i="7"/>
  <c r="BP14" i="7"/>
  <c r="BJ41" i="7"/>
  <c r="BO7" i="7"/>
  <c r="BG21" i="7"/>
  <c r="BF27" i="7"/>
  <c r="BO25" i="7"/>
  <c r="BL7" i="7"/>
  <c r="BP54" i="7"/>
  <c r="BI34" i="7"/>
  <c r="BF19" i="7"/>
  <c r="BM23" i="7"/>
  <c r="BO38" i="7"/>
  <c r="BN44" i="7"/>
  <c r="BP44" i="7"/>
  <c r="BG24" i="7"/>
  <c r="BN43" i="7"/>
  <c r="BK48" i="7"/>
  <c r="BK26" i="7"/>
  <c r="BK17" i="7"/>
  <c r="BH12" i="7"/>
  <c r="BK3" i="7"/>
  <c r="BI4" i="7"/>
  <c r="BM45" i="7"/>
  <c r="BL55" i="7"/>
  <c r="BE18" i="7"/>
  <c r="BF12" i="7"/>
  <c r="BF53" i="7"/>
  <c r="BJ43" i="7"/>
  <c r="BM36" i="7"/>
  <c r="BM31" i="7"/>
  <c r="BF29" i="7"/>
  <c r="BK24" i="7"/>
  <c r="BP42" i="7"/>
  <c r="BG22" i="7"/>
  <c r="BE33" i="7"/>
  <c r="BO42" i="7"/>
  <c r="BJ50" i="7"/>
  <c r="BE9" i="7"/>
  <c r="BK46" i="7"/>
  <c r="E25" i="2"/>
  <c r="BE48" i="12" s="1"/>
  <c r="B23" i="2"/>
  <c r="E22" i="2"/>
  <c r="BG17" i="12" s="1"/>
  <c r="E23" i="2"/>
  <c r="BH49" i="12" s="1"/>
  <c r="D23" i="2"/>
  <c r="BJ16" i="7" s="1"/>
  <c r="O47" i="2"/>
  <c r="L47" i="2"/>
  <c r="BM55" i="5"/>
  <c r="BF47" i="5"/>
  <c r="BM35" i="5"/>
  <c r="BJ14" i="5"/>
  <c r="BJ7" i="5"/>
  <c r="BE44" i="5"/>
  <c r="BO24" i="5"/>
  <c r="BP34" i="5"/>
  <c r="BN27" i="5"/>
  <c r="BM37" i="5"/>
  <c r="BG48" i="5"/>
  <c r="BL3" i="5"/>
  <c r="BN44" i="5"/>
  <c r="BP38" i="5"/>
  <c r="BL5" i="5"/>
  <c r="BP55" i="5"/>
  <c r="BH28" i="5"/>
  <c r="BH5" i="5"/>
  <c r="BH39" i="5"/>
  <c r="B25" i="2"/>
  <c r="BG32" i="1" s="1"/>
  <c r="C25" i="2"/>
  <c r="BI29" i="5" s="1"/>
  <c r="D26" i="2"/>
  <c r="BI41" i="7" s="1"/>
  <c r="L48" i="2"/>
  <c r="D22" i="2"/>
  <c r="BH6" i="7" s="1"/>
  <c r="B24" i="2"/>
  <c r="BG39" i="1" s="1"/>
  <c r="B27" i="2"/>
  <c r="BI25" i="1" s="1"/>
  <c r="C23" i="2"/>
  <c r="BE17" i="5" s="1"/>
  <c r="C22" i="2"/>
  <c r="BJ29" i="5" s="1"/>
  <c r="D25" i="2"/>
  <c r="BF56" i="7" s="1"/>
  <c r="C28" i="2"/>
  <c r="BG44" i="5" s="1"/>
  <c r="BJ12" i="5"/>
  <c r="BP25" i="5"/>
  <c r="BI52" i="5"/>
  <c r="BM20" i="5"/>
  <c r="BI20" i="5"/>
  <c r="BO8" i="5"/>
  <c r="BL57" i="5"/>
  <c r="BG7" i="5"/>
  <c r="BH18" i="5"/>
  <c r="BP3" i="5"/>
  <c r="BF17" i="5"/>
  <c r="BJ27" i="5"/>
  <c r="BL37" i="5"/>
  <c r="BF21" i="5"/>
  <c r="BN5" i="5"/>
  <c r="BJ36" i="5"/>
  <c r="BO30" i="5"/>
  <c r="BL18" i="5"/>
  <c r="BG22" i="5"/>
  <c r="BP32" i="5"/>
  <c r="BO53" i="5"/>
  <c r="BL51" i="5"/>
  <c r="BO38" i="5"/>
  <c r="BK28" i="5"/>
  <c r="BN14" i="5"/>
  <c r="BO42" i="5"/>
  <c r="BK57" i="5"/>
  <c r="BM56" i="5"/>
  <c r="BO49" i="5"/>
  <c r="BG34" i="5"/>
  <c r="BH47" i="5"/>
  <c r="BP27" i="5"/>
  <c r="BP8" i="5"/>
  <c r="BI49" i="5"/>
  <c r="BM53" i="5"/>
  <c r="C26" i="2"/>
  <c r="BF49" i="5" s="1"/>
  <c r="B28" i="2"/>
  <c r="B22" i="2"/>
  <c r="BI42" i="1" s="1"/>
  <c r="E26" i="2"/>
  <c r="BE54" i="12" s="1"/>
  <c r="E27" i="2"/>
  <c r="BJ27" i="12" s="1"/>
  <c r="E21" i="2"/>
  <c r="BE41" i="12" s="1"/>
  <c r="D24" i="2"/>
  <c r="BO43" i="5"/>
  <c r="BL24" i="5"/>
  <c r="BP36" i="5"/>
  <c r="BK25" i="5"/>
  <c r="BM23" i="5"/>
  <c r="BP31" i="5"/>
  <c r="BN35" i="5"/>
  <c r="BL23" i="5"/>
  <c r="BL39" i="5"/>
  <c r="BG33" i="5"/>
  <c r="BI43" i="5"/>
  <c r="BN30" i="5"/>
  <c r="BP57" i="5"/>
  <c r="BL58" i="5"/>
  <c r="BG47" i="5"/>
  <c r="BM58" i="5"/>
  <c r="BL14" i="5"/>
  <c r="BL52" i="5"/>
  <c r="BO28" i="5"/>
  <c r="BO52" i="5"/>
  <c r="BP9" i="5"/>
  <c r="BL32" i="5"/>
  <c r="BM29" i="5"/>
  <c r="BK43" i="5"/>
  <c r="BN17" i="5"/>
  <c r="BI25" i="5"/>
  <c r="BO57" i="5"/>
  <c r="BP37" i="5"/>
  <c r="BP50" i="5"/>
  <c r="BI22" i="5"/>
  <c r="BI31" i="5"/>
  <c r="BG8" i="5"/>
  <c r="BM38" i="5"/>
  <c r="BK31" i="5"/>
  <c r="BN20" i="5"/>
  <c r="O48" i="2"/>
  <c r="B26" i="2"/>
  <c r="BI2" i="1" s="1"/>
  <c r="D27" i="2"/>
  <c r="BI6" i="7" s="1"/>
  <c r="BH51" i="7"/>
  <c r="BO18" i="7"/>
  <c r="BN23" i="7"/>
  <c r="BP33" i="7"/>
  <c r="BN54" i="7"/>
  <c r="BM21" i="7"/>
  <c r="BE3" i="7"/>
  <c r="BI20" i="7"/>
  <c r="BG7" i="7"/>
  <c r="BP23" i="7"/>
  <c r="BH34" i="7"/>
  <c r="BI35" i="7"/>
  <c r="BL12" i="7"/>
  <c r="BN31" i="7"/>
  <c r="BE36" i="7"/>
  <c r="BL29" i="7"/>
  <c r="BN24" i="7"/>
  <c r="BN4" i="7"/>
  <c r="BM58" i="7"/>
  <c r="BP6" i="7"/>
  <c r="BP37" i="7"/>
  <c r="BO52" i="7"/>
  <c r="BK45" i="7"/>
  <c r="N45" i="2"/>
  <c r="M45" i="2"/>
  <c r="E28" i="2"/>
  <c r="BF2" i="12" s="1"/>
  <c r="E24" i="2"/>
  <c r="BI35" i="12" s="1"/>
  <c r="D21" i="2"/>
  <c r="BI7" i="7" s="1"/>
  <c r="C21" i="2"/>
  <c r="BF40" i="5" s="1"/>
  <c r="M38" i="2"/>
  <c r="C24" i="2"/>
  <c r="BI48" i="5" s="1"/>
  <c r="BP30" i="5"/>
  <c r="BI26" i="5"/>
  <c r="BL20" i="5"/>
  <c r="BK52" i="5"/>
  <c r="BP12" i="5"/>
  <c r="BF53" i="5"/>
  <c r="BJ15" i="5"/>
  <c r="BI40" i="5"/>
  <c r="BM40" i="5"/>
  <c r="BO16" i="5"/>
  <c r="BP20" i="5"/>
  <c r="BK23" i="5"/>
  <c r="BG40" i="5"/>
  <c r="BO40" i="5"/>
  <c r="BG9" i="5"/>
  <c r="BH36" i="5"/>
  <c r="BP24" i="5"/>
  <c r="BG37" i="5"/>
  <c r="BK45" i="5"/>
  <c r="BN32" i="5"/>
  <c r="BN16" i="5"/>
  <c r="BE14" i="5"/>
  <c r="BL22" i="5"/>
  <c r="BL17" i="5"/>
  <c r="BL35" i="5"/>
  <c r="BN6" i="5"/>
  <c r="BI19" i="5"/>
  <c r="BP17" i="5"/>
  <c r="BH46" i="5"/>
  <c r="BE13" i="5"/>
  <c r="BE56" i="5"/>
  <c r="BO6" i="5"/>
  <c r="BK47" i="5"/>
  <c r="BG15" i="5"/>
  <c r="BI3" i="5"/>
  <c r="C27" i="2"/>
  <c r="BH24" i="5" s="1"/>
  <c r="BI50" i="7"/>
  <c r="B21" i="2"/>
  <c r="BJ38" i="1" s="1"/>
  <c r="BE19" i="5"/>
  <c r="BP45" i="5"/>
  <c r="BP41" i="5"/>
  <c r="BL19" i="5"/>
  <c r="BM57" i="5"/>
  <c r="BN9" i="5"/>
  <c r="BN40" i="5"/>
  <c r="BN43" i="5"/>
  <c r="BM5" i="5"/>
  <c r="BL29" i="5"/>
  <c r="BP54" i="5"/>
  <c r="BE18" i="5"/>
  <c r="BM21" i="5"/>
  <c r="BK24" i="5"/>
  <c r="BN15" i="5"/>
  <c r="BN56" i="5"/>
  <c r="BM49" i="5"/>
  <c r="BF30" i="5"/>
  <c r="BO18" i="5"/>
  <c r="BH53" i="5"/>
  <c r="BK30" i="5"/>
  <c r="BF8" i="5"/>
  <c r="BK37" i="5"/>
  <c r="BF6" i="5"/>
  <c r="BM30" i="5"/>
  <c r="BN42" i="5"/>
  <c r="BF39" i="5"/>
  <c r="BK58" i="5"/>
  <c r="BE31" i="5"/>
  <c r="BM51" i="5"/>
  <c r="BL40" i="5"/>
  <c r="BG46" i="5"/>
  <c r="BM14" i="5"/>
  <c r="BN54" i="5"/>
  <c r="D28" i="2"/>
  <c r="BE14" i="7" s="1"/>
  <c r="L45" i="2"/>
  <c r="R46" i="2"/>
  <c r="P46" i="2"/>
  <c r="O46" i="2"/>
  <c r="BE25" i="5"/>
  <c r="N46" i="2"/>
  <c r="BF20" i="1"/>
  <c r="BE43" i="1"/>
  <c r="BH50" i="1"/>
  <c r="BH40" i="1"/>
  <c r="BE39" i="7"/>
  <c r="BI56" i="7"/>
  <c r="BE24" i="7"/>
  <c r="BG12" i="7"/>
  <c r="BH57" i="7"/>
  <c r="BI3" i="7"/>
  <c r="BF4" i="7"/>
  <c r="BH22" i="7"/>
  <c r="BE45" i="7"/>
  <c r="BI32" i="7"/>
  <c r="BH16" i="7"/>
  <c r="BJ15" i="7"/>
  <c r="BJ35" i="7"/>
  <c r="BI17" i="7"/>
  <c r="BG13" i="7"/>
  <c r="BJ51" i="7"/>
  <c r="BJ14" i="7"/>
  <c r="BG35" i="7"/>
  <c r="BG34" i="7"/>
  <c r="BG14" i="7"/>
  <c r="BJ30" i="7"/>
  <c r="K31" i="2"/>
  <c r="N5" i="4"/>
  <c r="O5" i="4"/>
  <c r="BG6" i="1"/>
  <c r="BG9" i="1"/>
  <c r="BE6" i="1"/>
  <c r="BF44" i="1"/>
  <c r="BI24" i="1"/>
  <c r="BG12" i="1"/>
  <c r="BF51" i="1"/>
  <c r="BF12" i="1"/>
  <c r="BF27" i="1"/>
  <c r="BE29" i="1"/>
  <c r="BG30" i="7"/>
  <c r="BF31" i="7"/>
  <c r="BI22" i="7"/>
  <c r="BH6" i="1"/>
  <c r="BE16" i="1"/>
  <c r="BH49" i="1"/>
  <c r="BI32" i="1"/>
  <c r="BF49" i="1"/>
  <c r="S5" i="4"/>
  <c r="BH4" i="1"/>
  <c r="BF21" i="1"/>
  <c r="R5" i="4"/>
  <c r="BG42" i="12"/>
  <c r="BF35" i="12"/>
  <c r="BJ30" i="5"/>
  <c r="BE21" i="5"/>
  <c r="BE36" i="5"/>
  <c r="BH51" i="5"/>
  <c r="BJ9" i="5"/>
  <c r="BF4" i="5"/>
  <c r="BG29" i="5"/>
  <c r="BE30" i="7"/>
  <c r="BH35" i="7"/>
  <c r="BE5" i="7"/>
  <c r="BF9" i="7"/>
  <c r="BJ58" i="7"/>
  <c r="BJ13" i="7"/>
  <c r="BG3" i="7"/>
  <c r="BF57" i="12"/>
  <c r="BF34" i="12"/>
  <c r="BF56" i="12"/>
  <c r="BJ58" i="12"/>
  <c r="BI56" i="12"/>
  <c r="BF12" i="12"/>
  <c r="BJ24" i="12"/>
  <c r="BF8" i="12"/>
  <c r="BG57" i="12"/>
  <c r="BF45" i="12"/>
  <c r="BG48" i="12"/>
  <c r="BF51" i="12"/>
  <c r="BG49" i="5"/>
  <c r="BF54" i="7"/>
  <c r="BE38" i="7"/>
  <c r="BJ12" i="7"/>
  <c r="BF2" i="7"/>
  <c r="BE8" i="7"/>
  <c r="BE55" i="7"/>
  <c r="BJ36" i="7"/>
  <c r="BJ4" i="5"/>
  <c r="BF35" i="5"/>
  <c r="BH35" i="5"/>
  <c r="BE12" i="5"/>
  <c r="BJ6" i="5"/>
  <c r="BG39" i="5"/>
  <c r="BE53" i="5"/>
  <c r="BE35" i="5"/>
  <c r="BE15" i="5"/>
  <c r="BJ37" i="5"/>
  <c r="BE33" i="5"/>
  <c r="BH58" i="5"/>
  <c r="BF48" i="5"/>
  <c r="BE37" i="5"/>
  <c r="BJ53" i="5"/>
  <c r="BJ8" i="5"/>
  <c r="BI27" i="5"/>
  <c r="BG58" i="5"/>
  <c r="BG25" i="5"/>
  <c r="BE38" i="5"/>
  <c r="BJ57" i="5"/>
  <c r="BJ26" i="5"/>
  <c r="BJ58" i="5"/>
  <c r="BG18" i="5"/>
  <c r="BF58" i="5"/>
  <c r="BI23" i="5"/>
  <c r="BJ16" i="5"/>
  <c r="BH17" i="5"/>
  <c r="BG19" i="5"/>
  <c r="BF7" i="5"/>
  <c r="BE30" i="5"/>
  <c r="BG57" i="5"/>
  <c r="BJ2" i="5"/>
  <c r="BJ55" i="5"/>
  <c r="BH55" i="5"/>
  <c r="BE49" i="5"/>
  <c r="BF34" i="5"/>
  <c r="BE51" i="5"/>
  <c r="BE52" i="5"/>
  <c r="BI44" i="5"/>
  <c r="BJ38" i="5"/>
  <c r="BJ54" i="5"/>
  <c r="BH20" i="5"/>
  <c r="BE8" i="5"/>
  <c r="BG2" i="5"/>
  <c r="BE48" i="5"/>
  <c r="BI35" i="5"/>
  <c r="BI37" i="5"/>
  <c r="BG32" i="5"/>
  <c r="BH22" i="5"/>
  <c r="BH37" i="5"/>
  <c r="BF46" i="5"/>
  <c r="BE45" i="5"/>
  <c r="BJ51" i="5"/>
  <c r="BI38" i="5"/>
  <c r="BJ18" i="5"/>
  <c r="BI17" i="5"/>
  <c r="BH7" i="5"/>
  <c r="BF18" i="5"/>
  <c r="BG43" i="5"/>
  <c r="BI13" i="5"/>
  <c r="BF14" i="5"/>
  <c r="BJ22" i="5"/>
  <c r="BF39" i="12"/>
  <c r="BE50" i="5"/>
  <c r="BE41" i="5"/>
  <c r="BH33" i="5"/>
  <c r="BH19" i="5"/>
  <c r="BJ28" i="5"/>
  <c r="BJ50" i="5"/>
  <c r="BJ24" i="5"/>
  <c r="T5" i="4"/>
  <c r="BJ16" i="1"/>
  <c r="BF14" i="1"/>
  <c r="BF53" i="1"/>
  <c r="BF39" i="1"/>
  <c r="BI16" i="1"/>
  <c r="BH58" i="1"/>
  <c r="BH54" i="1"/>
  <c r="BI17" i="1"/>
  <c r="BI35" i="1"/>
  <c r="BH16" i="1"/>
  <c r="BH35" i="1"/>
  <c r="BI19" i="1"/>
  <c r="BE41" i="1"/>
  <c r="BF45" i="1"/>
  <c r="BH22" i="1"/>
  <c r="BI12" i="1"/>
  <c r="BJ55" i="1"/>
  <c r="BI31" i="1"/>
  <c r="BH25" i="1"/>
  <c r="BF19" i="1"/>
  <c r="BH12" i="1"/>
  <c r="BF41" i="1"/>
  <c r="BH47" i="1"/>
  <c r="BI27" i="1"/>
  <c r="BJ14" i="1"/>
  <c r="BF37" i="1"/>
  <c r="BI34" i="1"/>
  <c r="BG28" i="1"/>
  <c r="BI15" i="1"/>
  <c r="BE22" i="1"/>
  <c r="BI37" i="1"/>
  <c r="BI30" i="1"/>
  <c r="BG31" i="1"/>
  <c r="BI58" i="1"/>
  <c r="BG18" i="1"/>
  <c r="BH55" i="1"/>
  <c r="BE28" i="1"/>
  <c r="BH14" i="1"/>
  <c r="BE14" i="1"/>
  <c r="BI57" i="1"/>
  <c r="BH3" i="1"/>
  <c r="U5" i="4"/>
  <c r="BI26" i="1"/>
  <c r="BI14" i="1"/>
  <c r="BF4" i="1"/>
  <c r="BG42" i="1"/>
  <c r="BF42" i="1"/>
  <c r="BI50" i="1"/>
  <c r="BH27" i="1"/>
  <c r="BI21" i="1"/>
  <c r="BE23" i="1"/>
  <c r="BH7" i="1"/>
  <c r="BF55" i="1"/>
  <c r="BF50" i="1"/>
  <c r="BH17" i="1"/>
  <c r="BI57" i="12"/>
  <c r="BG19" i="12"/>
  <c r="BI27" i="12"/>
  <c r="BE19" i="12"/>
  <c r="BE27" i="12"/>
  <c r="BI19" i="12"/>
  <c r="BJ5" i="12"/>
  <c r="Q46" i="2"/>
  <c r="BI49" i="1"/>
  <c r="BH45" i="1"/>
  <c r="BF47" i="1"/>
  <c r="BI7" i="1"/>
  <c r="BE58" i="1"/>
  <c r="BG24" i="1"/>
  <c r="BF28" i="1"/>
  <c r="BI23" i="1"/>
  <c r="BH2" i="1"/>
  <c r="BJ5" i="7"/>
  <c r="BI54" i="7"/>
  <c r="BE35" i="7"/>
  <c r="M46" i="2"/>
  <c r="BJ31" i="12"/>
  <c r="BI43" i="12"/>
  <c r="BI18" i="7"/>
  <c r="BG56" i="7"/>
  <c r="BG2" i="7"/>
  <c r="BF5" i="7"/>
  <c r="BI14" i="7"/>
  <c r="BJ37" i="7"/>
  <c r="BJ39" i="7"/>
  <c r="BF29" i="5"/>
  <c r="BG38" i="5"/>
  <c r="BF15" i="5"/>
  <c r="BJ44" i="5"/>
  <c r="BF28" i="5"/>
  <c r="BH13" i="5"/>
  <c r="BJ21" i="5"/>
  <c r="BG55" i="5"/>
  <c r="BG4" i="5"/>
  <c r="BH9" i="5"/>
  <c r="M48" i="2"/>
  <c r="BH17" i="7"/>
  <c r="BF30" i="7"/>
  <c r="BF45" i="7"/>
  <c r="BF32" i="7"/>
  <c r="BI58" i="7"/>
  <c r="BF6" i="7"/>
  <c r="BH18" i="7"/>
  <c r="BI56" i="5"/>
  <c r="K5" i="4"/>
  <c r="J5" i="4"/>
  <c r="BH52" i="1"/>
  <c r="BE49" i="1"/>
  <c r="BI4" i="1"/>
  <c r="BF40" i="1"/>
  <c r="BI52" i="1"/>
  <c r="BI45" i="1"/>
  <c r="BJ18" i="1"/>
  <c r="BJ12" i="1"/>
  <c r="BG7" i="1"/>
  <c r="BE38" i="1"/>
  <c r="BE25" i="1"/>
  <c r="BI53" i="1"/>
  <c r="BF29" i="1"/>
  <c r="BJ52" i="1"/>
  <c r="M31" i="2"/>
  <c r="K47" i="2"/>
  <c r="K48" i="2"/>
  <c r="K45" i="2"/>
  <c r="M47" i="2"/>
  <c r="N31" i="2"/>
  <c r="N47" i="2"/>
  <c r="M37" i="2"/>
  <c r="L31" i="2"/>
  <c r="I47" i="2"/>
  <c r="I48" i="2"/>
  <c r="J31" i="2"/>
  <c r="O35" i="2"/>
  <c r="O45" i="2"/>
  <c r="O31" i="2"/>
  <c r="I46" i="2"/>
  <c r="K46" i="2"/>
  <c r="J36" i="2"/>
  <c r="J46" i="2"/>
  <c r="L46" i="2"/>
  <c r="P47" i="2"/>
  <c r="R31" i="2"/>
  <c r="R45" i="2"/>
  <c r="P45" i="2"/>
  <c r="P31" i="2"/>
  <c r="Q48" i="2"/>
  <c r="R48" i="2"/>
  <c r="Q31" i="2"/>
  <c r="Q45" i="2"/>
  <c r="R47" i="2"/>
  <c r="Q47" i="2"/>
  <c r="P48" i="2"/>
  <c r="BH5" i="1" l="1"/>
  <c r="BH21" i="1"/>
  <c r="BF23" i="1"/>
  <c r="BF43" i="1"/>
  <c r="BE15" i="1"/>
  <c r="BQ24" i="5"/>
  <c r="BQ55" i="5"/>
  <c r="BI55" i="12"/>
  <c r="BG14" i="1"/>
  <c r="BE35" i="1"/>
  <c r="G5" i="4"/>
  <c r="BJ40" i="5"/>
  <c r="BE32" i="12"/>
  <c r="BG49" i="1"/>
  <c r="BQ28" i="5"/>
  <c r="BI14" i="5"/>
  <c r="BQ14" i="5" s="1"/>
  <c r="BJ37" i="12"/>
  <c r="BJ41" i="5"/>
  <c r="BF7" i="1"/>
  <c r="BF16" i="1"/>
  <c r="F5" i="4"/>
  <c r="BG45" i="5"/>
  <c r="BH14" i="5"/>
  <c r="BF31" i="1"/>
  <c r="BF20" i="5"/>
  <c r="BE36" i="1"/>
  <c r="BI12" i="12"/>
  <c r="BJ43" i="1"/>
  <c r="BG36" i="1"/>
  <c r="BE16" i="7"/>
  <c r="BJ42" i="12"/>
  <c r="BF36" i="12"/>
  <c r="BH5" i="7"/>
  <c r="BG26" i="5"/>
  <c r="BQ26" i="5" s="1"/>
  <c r="BJ6" i="1"/>
  <c r="BJ35" i="1"/>
  <c r="BF38" i="5"/>
  <c r="BH42" i="1"/>
  <c r="BF17" i="1"/>
  <c r="BQ6" i="5"/>
  <c r="BF9" i="1"/>
  <c r="BG20" i="1"/>
  <c r="BF6" i="1"/>
  <c r="BF42" i="12"/>
  <c r="BE27" i="5"/>
  <c r="BI34" i="12"/>
  <c r="BF36" i="1"/>
  <c r="BF28" i="7"/>
  <c r="BF56" i="1"/>
  <c r="BJ7" i="1"/>
  <c r="BF23" i="5"/>
  <c r="BQ23" i="5" s="1"/>
  <c r="BI39" i="1"/>
  <c r="BJ47" i="1"/>
  <c r="BJ23" i="1"/>
  <c r="BG27" i="1"/>
  <c r="BG53" i="5"/>
  <c r="BJ43" i="12"/>
  <c r="BI48" i="1"/>
  <c r="BI16" i="7"/>
  <c r="BI25" i="12"/>
  <c r="BJ50" i="12"/>
  <c r="BG15" i="1"/>
  <c r="BQ5" i="5"/>
  <c r="BF52" i="1"/>
  <c r="BE52" i="1"/>
  <c r="BJ39" i="1"/>
  <c r="BE9" i="5"/>
  <c r="BQ9" i="5" s="1"/>
  <c r="BH28" i="1"/>
  <c r="BI20" i="1"/>
  <c r="BH57" i="5"/>
  <c r="L5" i="4"/>
  <c r="BI41" i="1"/>
  <c r="BH39" i="1"/>
  <c r="BF31" i="12"/>
  <c r="BH25" i="5"/>
  <c r="BF26" i="1"/>
  <c r="M5" i="4"/>
  <c r="P5" i="4"/>
  <c r="BJ41" i="1"/>
  <c r="BE26" i="12"/>
  <c r="BF52" i="12"/>
  <c r="BF32" i="5"/>
  <c r="BE40" i="1"/>
  <c r="BJ56" i="5"/>
  <c r="BQ17" i="5"/>
  <c r="BH15" i="5"/>
  <c r="Q5" i="4"/>
  <c r="I5" i="4"/>
  <c r="BF58" i="12"/>
  <c r="BF55" i="12"/>
  <c r="BG56" i="12"/>
  <c r="BI16" i="12"/>
  <c r="BF5" i="1"/>
  <c r="BJ42" i="5"/>
  <c r="BG21" i="5"/>
  <c r="BQ21" i="5" s="1"/>
  <c r="BI54" i="5"/>
  <c r="BE32" i="7"/>
  <c r="BI51" i="1"/>
  <c r="H5" i="4"/>
  <c r="BI33" i="12"/>
  <c r="BE25" i="7"/>
  <c r="BG24" i="12"/>
  <c r="BJ46" i="12"/>
  <c r="BF18" i="1"/>
  <c r="BJ27" i="7"/>
  <c r="BG15" i="7"/>
  <c r="BG5" i="1"/>
  <c r="BF51" i="5"/>
  <c r="BJ48" i="5"/>
  <c r="BF7" i="7"/>
  <c r="BG43" i="1"/>
  <c r="BQ35" i="5"/>
  <c r="BG25" i="12"/>
  <c r="BF5" i="12"/>
  <c r="BG45" i="12"/>
  <c r="BG31" i="7"/>
  <c r="BE31" i="7"/>
  <c r="BI55" i="1"/>
  <c r="BE32" i="1"/>
  <c r="BQ8" i="5"/>
  <c r="BI45" i="7"/>
  <c r="BG3" i="5"/>
  <c r="BF13" i="12"/>
  <c r="BE55" i="12"/>
  <c r="BE22" i="12"/>
  <c r="BG32" i="12"/>
  <c r="BF3" i="12"/>
  <c r="BF46" i="12"/>
  <c r="BF43" i="5"/>
  <c r="BH19" i="1"/>
  <c r="BE6" i="7"/>
  <c r="BI29" i="7"/>
  <c r="BH16" i="5"/>
  <c r="BH2" i="5"/>
  <c r="BF36" i="5"/>
  <c r="BQ36" i="5" s="1"/>
  <c r="BH30" i="5"/>
  <c r="BE39" i="5"/>
  <c r="BQ39" i="5" s="1"/>
  <c r="BF41" i="5"/>
  <c r="BJ45" i="5"/>
  <c r="BI2" i="5"/>
  <c r="BG55" i="12"/>
  <c r="BF26" i="12"/>
  <c r="BE24" i="12"/>
  <c r="BG34" i="12"/>
  <c r="BF21" i="12"/>
  <c r="BJ56" i="12"/>
  <c r="BJ18" i="7"/>
  <c r="BF3" i="7"/>
  <c r="BG28" i="7"/>
  <c r="BH29" i="5"/>
  <c r="K16" i="17"/>
  <c r="BQ44" i="5"/>
  <c r="BI15" i="5"/>
  <c r="BJ25" i="5"/>
  <c r="BF57" i="1"/>
  <c r="BF42" i="7"/>
  <c r="BG58" i="7"/>
  <c r="BH49" i="5"/>
  <c r="BQ49" i="5" s="1"/>
  <c r="BE54" i="5"/>
  <c r="BE2" i="5"/>
  <c r="BF13" i="5"/>
  <c r="BQ13" i="5" s="1"/>
  <c r="BE40" i="5"/>
  <c r="BI7" i="5"/>
  <c r="BQ7" i="5" s="1"/>
  <c r="BF27" i="5"/>
  <c r="BE28" i="12"/>
  <c r="BI21" i="12"/>
  <c r="BF7" i="12"/>
  <c r="BF14" i="12"/>
  <c r="BI26" i="12"/>
  <c r="BF33" i="12"/>
  <c r="BF16" i="12"/>
  <c r="BJ49" i="1"/>
  <c r="BG43" i="7"/>
  <c r="BH8" i="7"/>
  <c r="BF8" i="7"/>
  <c r="K18" i="17"/>
  <c r="BG16" i="5"/>
  <c r="BJ16" i="12"/>
  <c r="BQ33" i="5"/>
  <c r="BF47" i="12"/>
  <c r="BF25" i="5"/>
  <c r="BE47" i="7"/>
  <c r="BJ46" i="5"/>
  <c r="BQ46" i="5" s="1"/>
  <c r="BE42" i="5"/>
  <c r="BQ56" i="5"/>
  <c r="BI23" i="7"/>
  <c r="BJ26" i="12"/>
  <c r="BF9" i="12"/>
  <c r="BF54" i="12"/>
  <c r="BF53" i="12"/>
  <c r="BF22" i="12"/>
  <c r="BG29" i="7"/>
  <c r="BF28" i="12"/>
  <c r="BF25" i="12"/>
  <c r="BJ20" i="5"/>
  <c r="BJ49" i="12"/>
  <c r="BF32" i="1"/>
  <c r="BE42" i="7"/>
  <c r="BH2" i="7"/>
  <c r="BF18" i="12"/>
  <c r="BE57" i="12"/>
  <c r="BF4" i="12"/>
  <c r="BF37" i="12"/>
  <c r="BE56" i="12"/>
  <c r="BG16" i="12"/>
  <c r="BF49" i="12"/>
  <c r="BJ25" i="7"/>
  <c r="BH38" i="5"/>
  <c r="BI42" i="5"/>
  <c r="BJ19" i="12"/>
  <c r="BF35" i="1"/>
  <c r="BF24" i="7"/>
  <c r="BH54" i="7"/>
  <c r="BH12" i="5"/>
  <c r="BE22" i="5"/>
  <c r="BQ22" i="5" s="1"/>
  <c r="BH50" i="5"/>
  <c r="BI12" i="5"/>
  <c r="BE20" i="5"/>
  <c r="BG41" i="5"/>
  <c r="BG51" i="5"/>
  <c r="BH31" i="5"/>
  <c r="BF27" i="12"/>
  <c r="BF43" i="12"/>
  <c r="BG12" i="12"/>
  <c r="BF29" i="12"/>
  <c r="BJ25" i="12"/>
  <c r="BF17" i="12"/>
  <c r="BH58" i="12"/>
  <c r="BH28" i="12"/>
  <c r="BE23" i="7"/>
  <c r="BE4" i="5"/>
  <c r="BG44" i="7"/>
  <c r="BQ37" i="5"/>
  <c r="BJ4" i="12"/>
  <c r="BH8" i="1"/>
  <c r="BH16" i="12"/>
  <c r="K26" i="17"/>
  <c r="BF52" i="5"/>
  <c r="BQ52" i="5" s="1"/>
  <c r="BE34" i="7"/>
  <c r="BE43" i="5"/>
  <c r="BF20" i="12"/>
  <c r="BE41" i="7"/>
  <c r="BF2" i="5"/>
  <c r="BF6" i="12"/>
  <c r="BQ53" i="5"/>
  <c r="BQ18" i="5"/>
  <c r="BG46" i="1"/>
  <c r="BG37" i="12"/>
  <c r="BI41" i="5"/>
  <c r="BG23" i="1"/>
  <c r="BE54" i="7"/>
  <c r="BF30" i="12"/>
  <c r="BF15" i="12"/>
  <c r="BJ51" i="12"/>
  <c r="BG26" i="12"/>
  <c r="BJ44" i="7"/>
  <c r="BQ48" i="5"/>
  <c r="BJ21" i="12"/>
  <c r="BE36" i="12"/>
  <c r="BE29" i="12"/>
  <c r="BF32" i="12"/>
  <c r="BI44" i="12"/>
  <c r="BF23" i="12"/>
  <c r="BI4" i="5"/>
  <c r="BI58" i="5"/>
  <c r="BH24" i="1"/>
  <c r="BJ33" i="12"/>
  <c r="BF39" i="7"/>
  <c r="BH34" i="5"/>
  <c r="BQ34" i="5" s="1"/>
  <c r="BG30" i="5"/>
  <c r="BQ30" i="5" s="1"/>
  <c r="BE47" i="5"/>
  <c r="BQ47" i="5" s="1"/>
  <c r="BF57" i="5"/>
  <c r="BQ57" i="5" s="1"/>
  <c r="BE58" i="5"/>
  <c r="BH45" i="5"/>
  <c r="BQ45" i="5" s="1"/>
  <c r="BF12" i="5"/>
  <c r="BQ12" i="5" s="1"/>
  <c r="BJ55" i="12"/>
  <c r="BH55" i="12"/>
  <c r="BH26" i="12"/>
  <c r="BF24" i="12"/>
  <c r="BH27" i="12"/>
  <c r="BF48" i="12"/>
  <c r="BH43" i="12"/>
  <c r="BE29" i="5"/>
  <c r="BQ29" i="5" s="1"/>
  <c r="BI3" i="1"/>
  <c r="BI50" i="5"/>
  <c r="BQ50" i="5" s="1"/>
  <c r="BH4" i="5"/>
  <c r="BJ19" i="5"/>
  <c r="BQ19" i="5" s="1"/>
  <c r="BE32" i="5"/>
  <c r="BJ3" i="5"/>
  <c r="BG31" i="5"/>
  <c r="BQ31" i="5" s="1"/>
  <c r="BJ54" i="12"/>
  <c r="BH34" i="12"/>
  <c r="BF50" i="12"/>
  <c r="BF44" i="12"/>
  <c r="BF41" i="12"/>
  <c r="BH48" i="12"/>
  <c r="BI37" i="7"/>
  <c r="BJ37" i="1"/>
  <c r="I39" i="2"/>
  <c r="W8" i="2" s="1"/>
  <c r="Z8" i="2" s="1"/>
  <c r="Z11" i="2" s="1"/>
  <c r="AA11" i="2" s="1"/>
  <c r="BQ27" i="5" l="1"/>
  <c r="BQ20" i="5"/>
  <c r="BQ16" i="5"/>
  <c r="BQ15" i="5"/>
  <c r="K24" i="17"/>
  <c r="BQ51" i="5"/>
  <c r="BQ41" i="5"/>
  <c r="BQ40" i="5"/>
  <c r="BQ54" i="5"/>
  <c r="BQ42" i="5"/>
  <c r="BQ32" i="5"/>
  <c r="BQ38" i="5"/>
  <c r="BQ25" i="5"/>
  <c r="BQ2" i="5"/>
  <c r="K27" i="17"/>
  <c r="BQ43" i="5"/>
  <c r="K13" i="17"/>
  <c r="K22" i="17"/>
  <c r="BQ4" i="5"/>
  <c r="BQ3" i="5"/>
  <c r="BQ58" i="5"/>
  <c r="K15" i="17"/>
  <c r="AF4" i="35"/>
  <c r="AR4" i="35" s="1"/>
  <c r="BD4" i="35" s="1" a="1"/>
  <c r="AD4" i="35"/>
  <c r="AP4" i="35" s="1"/>
  <c r="BB4" i="35" s="1" a="1"/>
  <c r="A4" i="35"/>
  <c r="AM4" i="35"/>
  <c r="AY4" i="35" s="1"/>
  <c r="BK4" i="35" s="1" a="1"/>
  <c r="AL4" i="35"/>
  <c r="AX4" i="35" s="1"/>
  <c r="BJ4" i="35" s="1" a="1"/>
  <c r="AJ4" i="35" l="1"/>
  <c r="AV4" i="35" s="1"/>
  <c r="BH4" i="35" s="1" a="1"/>
  <c r="AB4" i="35"/>
  <c r="AN4" i="35" s="1"/>
  <c r="AZ4" i="35" s="1" a="1"/>
  <c r="AK4" i="35"/>
  <c r="AW4" i="35" s="1"/>
  <c r="BI4" i="35" s="1" a="1"/>
  <c r="AC4" i="35"/>
  <c r="AO4" i="35" s="1"/>
  <c r="BA4" i="35" s="1" a="1"/>
  <c r="AE4" i="35"/>
  <c r="AQ4" i="35" s="1"/>
  <c r="BC4" i="35" s="1" a="1"/>
  <c r="AG4" i="35"/>
  <c r="AS4" i="35" s="1"/>
  <c r="BE4" i="35" s="1" a="1"/>
  <c r="AH4" i="35"/>
  <c r="AT4" i="35" s="1"/>
  <c r="BF4" i="35" s="1" a="1"/>
  <c r="AI4" i="35"/>
  <c r="AU4" i="35" s="1"/>
  <c r="BG4" i="35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<sst xmlns="http://schemas.openxmlformats.org/spreadsheetml/2006/main" count="2810" uniqueCount="427">
  <si>
    <t>Incentive base</t>
  </si>
  <si>
    <t>Money</t>
  </si>
  <si>
    <t>Simulation</t>
  </si>
  <si>
    <t>Depot</t>
  </si>
  <si>
    <t>Now</t>
  </si>
  <si>
    <t>New</t>
  </si>
  <si>
    <t>Incentive $</t>
  </si>
  <si>
    <t>GOAL</t>
  </si>
  <si>
    <t>Total</t>
  </si>
  <si>
    <t>Area Manger</t>
  </si>
  <si>
    <t xml:space="preserve">Real </t>
  </si>
  <si>
    <t>Sales (1-2-3-4)</t>
  </si>
  <si>
    <t>Depocho</t>
  </si>
  <si>
    <t>G1(CORE)</t>
  </si>
  <si>
    <t>AJINOMOTO</t>
  </si>
  <si>
    <t>D.Depocho</t>
  </si>
  <si>
    <t>ROSDEE</t>
  </si>
  <si>
    <t>New Metod</t>
  </si>
  <si>
    <t>Sales 1</t>
  </si>
  <si>
    <t>CV</t>
  </si>
  <si>
    <t>BIRDY</t>
  </si>
  <si>
    <t>Sales 2</t>
  </si>
  <si>
    <t>Driver</t>
  </si>
  <si>
    <t>Sales3</t>
  </si>
  <si>
    <t>CVFV</t>
  </si>
  <si>
    <t>G2(GD)</t>
  </si>
  <si>
    <t>AJI-PLUS</t>
  </si>
  <si>
    <t>Sales 4</t>
  </si>
  <si>
    <t>WSF</t>
  </si>
  <si>
    <t>ROSDEE CUBE</t>
  </si>
  <si>
    <t>Average</t>
  </si>
  <si>
    <t>WH</t>
  </si>
  <si>
    <t>ROSDEE MENU</t>
  </si>
  <si>
    <t>ROSDEE NOODLE</t>
  </si>
  <si>
    <t>G3(BB)</t>
  </si>
  <si>
    <t>YUMYUM</t>
  </si>
  <si>
    <t>Cascade concept</t>
  </si>
  <si>
    <t>POWDER COFFEE</t>
  </si>
  <si>
    <t>Salesman</t>
  </si>
  <si>
    <t>Incentive</t>
  </si>
  <si>
    <t>AJI Plus</t>
  </si>
  <si>
    <t>Others</t>
  </si>
  <si>
    <t>Takumi-Aji</t>
  </si>
  <si>
    <t>ROSDEE MENU KKR</t>
  </si>
  <si>
    <t>All Depot Salesman</t>
  </si>
  <si>
    <t>incentive</t>
  </si>
  <si>
    <t>All Area depot result</t>
  </si>
  <si>
    <t>Area Manager</t>
  </si>
  <si>
    <t>All Area manager Result</t>
  </si>
  <si>
    <t>Division manager</t>
  </si>
  <si>
    <t>Incetive</t>
  </si>
  <si>
    <t>TOTAL</t>
  </si>
  <si>
    <t>EXTRA</t>
  </si>
  <si>
    <t>Special KPI</t>
  </si>
  <si>
    <t>G1</t>
  </si>
  <si>
    <t>G2</t>
  </si>
  <si>
    <t>G3</t>
  </si>
  <si>
    <t>Ot</t>
  </si>
  <si>
    <t>Extreme</t>
  </si>
  <si>
    <t>&lt;80%</t>
  </si>
  <si>
    <t>80% to &lt;90%</t>
  </si>
  <si>
    <t>90% to &lt;95%</t>
  </si>
  <si>
    <t>95% to &lt;100%</t>
  </si>
  <si>
    <t>100% to &lt;105%</t>
  </si>
  <si>
    <t>105% to &lt;110%</t>
  </si>
  <si>
    <t>110% to &lt;115%</t>
  </si>
  <si>
    <t>115% to &lt; 120%</t>
  </si>
  <si>
    <t>120% to &lt;130%</t>
  </si>
  <si>
    <t>&gt;130%</t>
  </si>
  <si>
    <t>Option1</t>
  </si>
  <si>
    <t>&gt;100% to &lt;=105%</t>
  </si>
  <si>
    <t>&gt;105% to &lt;=110%</t>
  </si>
  <si>
    <t>&gt;110% to &lt;=115%</t>
  </si>
  <si>
    <t>&gt;115% to &lt; =120%</t>
  </si>
  <si>
    <t>&gt;120% to &gt; 130%</t>
  </si>
  <si>
    <t>G4</t>
  </si>
  <si>
    <t>RDQ</t>
  </si>
  <si>
    <t>RDM</t>
  </si>
  <si>
    <t>RDNS</t>
  </si>
  <si>
    <t>Row Labels</t>
  </si>
  <si>
    <t>MR.X</t>
  </si>
  <si>
    <t>Sale Incentive Guide</t>
  </si>
  <si>
    <t>Annually</t>
  </si>
  <si>
    <t>Step No.</t>
  </si>
  <si>
    <t>Sheet</t>
  </si>
  <si>
    <t>Step detail</t>
  </si>
  <si>
    <t>M_Month</t>
  </si>
  <si>
    <t>Set the Sales Incentive payment cycle to once per year.</t>
  </si>
  <si>
    <t>Monthly</t>
  </si>
  <si>
    <t>Period</t>
  </si>
  <si>
    <t>Define the Sales Incentive period.</t>
  </si>
  <si>
    <t>Actual</t>
  </si>
  <si>
    <t>Download data from BI and copy it into the Actual sheet.</t>
  </si>
  <si>
    <t>AST_Base</t>
  </si>
  <si>
    <t>Update the data in the AST Base sheet and copy the formulas in the yellow-highlighted columns.</t>
  </si>
  <si>
    <t>HR Rep</t>
  </si>
  <si>
    <t>Download Personal Employment (Main &amp; Active)_AST report from HCM, Update the data in the HR Rep and copy the formulas in the yellow-highlighted columns.</t>
  </si>
  <si>
    <t>For HR</t>
  </si>
  <si>
    <t>Enter the employee ID, then copy all formulas except the Employee ID and Payment Method columns.</t>
  </si>
  <si>
    <t>As needed</t>
  </si>
  <si>
    <t>T_SectAbove</t>
  </si>
  <si>
    <t>Adjust the compensation rate based on position level.</t>
  </si>
  <si>
    <t>Table</t>
  </si>
  <si>
    <t>Adjust the compensation rate based on Job Function.</t>
  </si>
  <si>
    <t>Target &amp; Cal</t>
  </si>
  <si>
    <t>Adjust sales targets based on business conditions.</t>
  </si>
  <si>
    <t>Shortage</t>
  </si>
  <si>
    <t>Adjust shortages by product and month.</t>
  </si>
  <si>
    <t>Fix Rate</t>
  </si>
  <si>
    <t>Adjust fixed rate based on employee.</t>
  </si>
  <si>
    <t>***Please ensure that sales and employee data align with the Sales Incentive period for that month.</t>
  </si>
  <si>
    <t>Recheck Job Function</t>
  </si>
  <si>
    <t>sales incentive ของเดือน</t>
  </si>
  <si>
    <t>รอบการจ่าย Incentive (Variable)</t>
  </si>
  <si>
    <t>รอบการจ่าย Incentive (Fixed)</t>
  </si>
  <si>
    <t>Default column</t>
  </si>
  <si>
    <t>Product</t>
  </si>
  <si>
    <t>Position Level</t>
  </si>
  <si>
    <t>Compensation rate</t>
  </si>
  <si>
    <t>Division Manager</t>
  </si>
  <si>
    <t>Department Manager</t>
  </si>
  <si>
    <t>Section Manager</t>
  </si>
  <si>
    <t>Associate Director</t>
  </si>
  <si>
    <t>เดือน</t>
  </si>
  <si>
    <t>ปี</t>
  </si>
  <si>
    <t>Area</t>
  </si>
  <si>
    <t>Salesman Code</t>
  </si>
  <si>
    <t>รหัสพนักงาน (พนักงานขาย)</t>
  </si>
  <si>
    <t>ชื่อ - นามสกุล (พนักงานขาย)</t>
  </si>
  <si>
    <t>รหัสพนักงาน (พนักงานผู้ช่วยขาย)</t>
  </si>
  <si>
    <t>ชื่อ - นามสกุล (พนักงานผู้ช่วยขาย)</t>
  </si>
  <si>
    <t>สถานะพนักงาน (พนักงานผู้ช่วยขาย)</t>
  </si>
  <si>
    <t>ทีม</t>
  </si>
  <si>
    <t>ทะเบียนรถ</t>
  </si>
  <si>
    <t>ประเภทรถยนต์</t>
  </si>
  <si>
    <t>หมายเหตุ</t>
  </si>
  <si>
    <t>ตรวจสอบ</t>
  </si>
  <si>
    <t>DirectSupCode</t>
  </si>
  <si>
    <t>DeptMgrCode</t>
  </si>
  <si>
    <t>DivMgrCode</t>
  </si>
  <si>
    <t>December</t>
  </si>
  <si>
    <t>Sales</t>
  </si>
  <si>
    <t>Standard</t>
  </si>
  <si>
    <t>Money and Goal</t>
  </si>
  <si>
    <t>Team</t>
  </si>
  <si>
    <t>Direct Sup.</t>
  </si>
  <si>
    <t>Target</t>
  </si>
  <si>
    <t>Percent  (Actual vs Target)</t>
  </si>
  <si>
    <t>Percent (Round) (Actual vs Target)</t>
  </si>
  <si>
    <t>Apr_T</t>
  </si>
  <si>
    <t>May_T</t>
  </si>
  <si>
    <t>Jun_T</t>
  </si>
  <si>
    <t>Jul_T</t>
  </si>
  <si>
    <t>Aug_T</t>
  </si>
  <si>
    <t>Sep_T</t>
  </si>
  <si>
    <t>Oct_T</t>
  </si>
  <si>
    <t>Nov_T</t>
  </si>
  <si>
    <t>Dec_T</t>
  </si>
  <si>
    <t>Jan_T</t>
  </si>
  <si>
    <t>Feb_T</t>
  </si>
  <si>
    <t>Mar_T</t>
  </si>
  <si>
    <t>Apr_A</t>
  </si>
  <si>
    <t>May_A</t>
  </si>
  <si>
    <t>Jun_A</t>
  </si>
  <si>
    <t>Jul_A</t>
  </si>
  <si>
    <t>Aug_A</t>
  </si>
  <si>
    <t>Sep_A</t>
  </si>
  <si>
    <t>Oct_A</t>
  </si>
  <si>
    <t>Nov_A</t>
  </si>
  <si>
    <t>Dec_A</t>
  </si>
  <si>
    <t>Jan_A</t>
  </si>
  <si>
    <t>Feb_A</t>
  </si>
  <si>
    <t>Mar_A</t>
  </si>
  <si>
    <t>Apr_P</t>
  </si>
  <si>
    <t>May_P</t>
  </si>
  <si>
    <t>Jun_P</t>
  </si>
  <si>
    <t>Jul_P</t>
  </si>
  <si>
    <t>Aug_P</t>
  </si>
  <si>
    <t>Sep_P</t>
  </si>
  <si>
    <t>Oct_P</t>
  </si>
  <si>
    <t>Nov_P</t>
  </si>
  <si>
    <t>Dec_P</t>
  </si>
  <si>
    <t>Jan_P</t>
  </si>
  <si>
    <t>Feb_P</t>
  </si>
  <si>
    <t>Mar_P</t>
  </si>
  <si>
    <t>Apr_I</t>
  </si>
  <si>
    <t>May_I</t>
  </si>
  <si>
    <t>Jun_I</t>
  </si>
  <si>
    <t>Jul_I</t>
  </si>
  <si>
    <t>Aug_I</t>
  </si>
  <si>
    <t>Sep_I</t>
  </si>
  <si>
    <t>Oct_I</t>
  </si>
  <si>
    <t>Nov_I</t>
  </si>
  <si>
    <t>Dec_I</t>
  </si>
  <si>
    <t>Jan_I</t>
  </si>
  <si>
    <t>Feb_I</t>
  </si>
  <si>
    <t>Mar_I</t>
  </si>
  <si>
    <t>Emp Code</t>
  </si>
  <si>
    <t>User/Employee ID</t>
  </si>
  <si>
    <t>Full Name Alt1 (Auto)</t>
  </si>
  <si>
    <t>Full Name (Auto)</t>
  </si>
  <si>
    <t>Date of Birth</t>
  </si>
  <si>
    <t>Age (YY.MM.DD) (Auto)</t>
  </si>
  <si>
    <t>Employment Details Hire Date/Concurrent Date</t>
  </si>
  <si>
    <t>Company Company Name</t>
  </si>
  <si>
    <t>Location Location Name</t>
  </si>
  <si>
    <t>Division Name</t>
  </si>
  <si>
    <t>Department Department Name</t>
  </si>
  <si>
    <t>Section Section Name</t>
  </si>
  <si>
    <t>Job Title</t>
  </si>
  <si>
    <t>Position Name (TH)</t>
  </si>
  <si>
    <t>Company E-mail (Personnel)  Email Information Company Email</t>
  </si>
  <si>
    <t>Company E-mail (Center)  Email Information Company Email</t>
  </si>
  <si>
    <t>Job Grade</t>
  </si>
  <si>
    <t>Cost Centre</t>
  </si>
  <si>
    <t>Employment Details Service Year</t>
  </si>
  <si>
    <t>Employment Details Time in Job Grade</t>
  </si>
  <si>
    <t>Employment Details Retirement Date</t>
  </si>
  <si>
    <t>*Direct Superior</t>
  </si>
  <si>
    <t>Department Head of Department</t>
  </si>
  <si>
    <t>Head of Division</t>
  </si>
  <si>
    <t>Last Name</t>
  </si>
  <si>
    <t>First Name</t>
  </si>
  <si>
    <t>MergeName</t>
  </si>
  <si>
    <t>EmpCode</t>
  </si>
  <si>
    <t>Direct Sup</t>
  </si>
  <si>
    <t>Phuket</t>
  </si>
  <si>
    <t>Staff</t>
  </si>
  <si>
    <t>Bangpoo</t>
  </si>
  <si>
    <t>Tak</t>
  </si>
  <si>
    <t>Surin</t>
  </si>
  <si>
    <t>Roi-et</t>
  </si>
  <si>
    <t>Nonthaburi</t>
  </si>
  <si>
    <t>Phrae</t>
  </si>
  <si>
    <t>Lopburi</t>
  </si>
  <si>
    <t>Thonburi</t>
  </si>
  <si>
    <t>Lampang</t>
  </si>
  <si>
    <t>Rayong</t>
  </si>
  <si>
    <t>Suphanburi</t>
  </si>
  <si>
    <t>Chachoengsao</t>
  </si>
  <si>
    <t>Trang</t>
  </si>
  <si>
    <t>Korat</t>
  </si>
  <si>
    <t>Chonburi</t>
  </si>
  <si>
    <t>066048</t>
  </si>
  <si>
    <t>Merge</t>
  </si>
  <si>
    <t>Salesman BI</t>
  </si>
  <si>
    <t>Product Group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</si>
  <si>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</si>
  <si>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</si>
  <si>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</si>
  <si>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</si>
  <si>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</si>
  <si>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</si>
  <si>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</si>
  <si>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</si>
  <si>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January</t>
  </si>
  <si>
    <t>February</t>
  </si>
  <si>
    <t>March</t>
  </si>
  <si>
    <t>1190064722</t>
  </si>
  <si>
    <t>1190064716</t>
  </si>
  <si>
    <t>1190064712</t>
  </si>
  <si>
    <t>SalesCode_BI</t>
  </si>
  <si>
    <t>SalesmanCode</t>
  </si>
  <si>
    <t>Job Function</t>
  </si>
  <si>
    <t>Monthly Sales compensation</t>
  </si>
  <si>
    <t>รอบการจ่าย Incentive</t>
  </si>
  <si>
    <t>รูปแบบการจ่าย</t>
  </si>
  <si>
    <t>Fix rate</t>
  </si>
  <si>
    <t>Section</t>
  </si>
  <si>
    <t>Dept Mgr</t>
  </si>
  <si>
    <t>AD</t>
  </si>
  <si>
    <t>MT AD</t>
  </si>
  <si>
    <t>Variable</t>
  </si>
  <si>
    <t>MT Department Manager</t>
  </si>
  <si>
    <t>MT Section Manager (Cash &amp; Carry)</t>
  </si>
  <si>
    <t>MT Section Manager (All sections excluded Cash &amp; Carry)</t>
  </si>
  <si>
    <t>MT Supervisor (Cash &amp; Carry)</t>
  </si>
  <si>
    <t>MT Supervisor (All sections excluded Cash &amp; Carry)</t>
  </si>
  <si>
    <t>MT Staff</t>
  </si>
  <si>
    <t>Fix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</si>
  <si>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</si>
  <si>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</si>
  <si>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</si>
  <si>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</si>
  <si>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</si>
  <si>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</si>
  <si>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</si>
  <si>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</si>
  <si>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</si>
  <si>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</si>
  <si>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</si>
  <si>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ตารางอัตราเงินค่าตอบแทนการขายในอัตราคงที่(Fixed Rate) ตามลักษณะงานด้านล่าง</t>
  </si>
  <si>
    <t>Fixed Monthly Sales compensation</t>
  </si>
  <si>
    <t>TT Senior Cash Van Sales</t>
  </si>
  <si>
    <t>TT Senior Cash Van Food Vender</t>
  </si>
  <si>
    <t>TT Cash Van Sales</t>
  </si>
  <si>
    <t>TT Cash Van Food Vender</t>
  </si>
  <si>
    <t>Shop Front</t>
  </si>
  <si>
    <t>Sales Assistant</t>
  </si>
  <si>
    <t>นายวิโรจน์ แซ่ฉั่ว</t>
  </si>
  <si>
    <t>นายประเสริฐ สุขีธรรม</t>
  </si>
  <si>
    <t>นายธนาพัทธ์ จงเทพสกุลชัย</t>
  </si>
  <si>
    <t>นายเสริมโชค อยู่อุดมสุข</t>
  </si>
  <si>
    <t>นายพณิชพงศ์ แจ้งธีรภูสิทธิ์</t>
  </si>
  <si>
    <t>Pattanakarn</t>
  </si>
  <si>
    <t>นายพูลทวี เกษรบัว</t>
  </si>
  <si>
    <t>นายประวิทย์ ธารีบุญ</t>
  </si>
  <si>
    <t>Ramindra</t>
  </si>
  <si>
    <t>นายสุพัชธณคุณ ชลมงคล</t>
  </si>
  <si>
    <t>Pathumthani</t>
  </si>
  <si>
    <t>นายเธียรกวิน ใจผ่อง</t>
  </si>
  <si>
    <t>นายมานพ สุขเจริญ</t>
  </si>
  <si>
    <t>นายธนรัตน์ บัวสอด</t>
  </si>
  <si>
    <t>Chiangmai</t>
  </si>
  <si>
    <t>นายอนุวัฒน์ บุญจง</t>
  </si>
  <si>
    <t>นายชาตรี ขุนทอง</t>
  </si>
  <si>
    <t>Chiangrai</t>
  </si>
  <si>
    <t>นายพงษ์ศักดิ์ เวียงนาค</t>
  </si>
  <si>
    <t>นายฐิติพงศ์ ก๋าเมืองลือ</t>
  </si>
  <si>
    <t>นายยุทธพร แผงไม้</t>
  </si>
  <si>
    <t>P.Sanulok</t>
  </si>
  <si>
    <t>นายไกรสร อิ่มเพ็ง</t>
  </si>
  <si>
    <t>นายพิเชษฐ เพชรสันทัด</t>
  </si>
  <si>
    <t>N.Sawan</t>
  </si>
  <si>
    <t>นายวีรยุทธ ตันพงษ์</t>
  </si>
  <si>
    <t>นายสิงหา แสนโดด</t>
  </si>
  <si>
    <t>Kampeng.P</t>
  </si>
  <si>
    <t>นายสมฤกษ นิลสนธิ์</t>
  </si>
  <si>
    <t>นายสิทธิชัย ใจเย็น</t>
  </si>
  <si>
    <t>นายสุรวรรณ ทวีสิน</t>
  </si>
  <si>
    <t>นายทนงศักดิ์ เวชมณีศรี</t>
  </si>
  <si>
    <t>Chantaburi</t>
  </si>
  <si>
    <t>นายจิรศักดิ์ งามสม</t>
  </si>
  <si>
    <t>นายสุนทร ม่วงกุน</t>
  </si>
  <si>
    <t>นายธนพันธ์ นิยมทัศน์</t>
  </si>
  <si>
    <t>Ratchaburi</t>
  </si>
  <si>
    <t>นายปัญญา ธนาโภคาสิน</t>
  </si>
  <si>
    <t>นายเอกศักดิ์ แซ่ลิ้ม</t>
  </si>
  <si>
    <t>Huahin</t>
  </si>
  <si>
    <t>นายนิกร กิจเถกิง</t>
  </si>
  <si>
    <t>นายดานุกาญจน์ ตั้งพัฒนารุ่งเรือง</t>
  </si>
  <si>
    <t>นายอำนาจ แตงสี</t>
  </si>
  <si>
    <t>นายเมธา กันทสัง</t>
  </si>
  <si>
    <t>Nakornpathom</t>
  </si>
  <si>
    <t>นายสุชล ลีลากิจทรัพย์</t>
  </si>
  <si>
    <t>นายอดิเรก ศรีนุกูล</t>
  </si>
  <si>
    <t>นายไพฑูรย์ ไกรลาศ</t>
  </si>
  <si>
    <t>Sa Kaeo</t>
  </si>
  <si>
    <t>นายมารุต ปราสัย</t>
  </si>
  <si>
    <t>นายเกิดศักดิ์ คำศรี</t>
  </si>
  <si>
    <t>นายอัครวินท์ เปลื้องทุกข์</t>
  </si>
  <si>
    <t>Ubolratchathani</t>
  </si>
  <si>
    <t>นายกสิณวัชรฒ์ วงศ์กุลโชติ</t>
  </si>
  <si>
    <t>นายสุริยันต์ จันทร์คำพา</t>
  </si>
  <si>
    <t>นายเดชา ปะโพธิ์ชะกัง</t>
  </si>
  <si>
    <t>นายมานพ ประจวบสุข</t>
  </si>
  <si>
    <t>นายภูริต มาตย์วิเศษ</t>
  </si>
  <si>
    <t>นายวุฒิพงษ์ วงศ์วณิชชากร</t>
  </si>
  <si>
    <t>Khonkaen</t>
  </si>
  <si>
    <t>นายวิฑูรย์ ระวันประโคน</t>
  </si>
  <si>
    <t>นายทรงเกียรติ กล้าหาญ</t>
  </si>
  <si>
    <t>Udonthani</t>
  </si>
  <si>
    <t>นายภัทรพล สงฆ์เจริญ</t>
  </si>
  <si>
    <t>นายจิตติพงศ์ สุระสา</t>
  </si>
  <si>
    <t>S.Nakon</t>
  </si>
  <si>
    <t>นายธนาวัฒน์ กงลีมา</t>
  </si>
  <si>
    <t>นายสามารถ กิจกรองกาญ</t>
  </si>
  <si>
    <t>Chumphae</t>
  </si>
  <si>
    <t>นายจักรภัทร เซ่งสวัสดิ์</t>
  </si>
  <si>
    <t>Hat-yai</t>
  </si>
  <si>
    <t>นายอวิรุทธ์ บัวหลวง</t>
  </si>
  <si>
    <t>นายภาคภูมิ รักท้วม</t>
  </si>
  <si>
    <t>Suratthani</t>
  </si>
  <si>
    <t>นายพรชัย แซ่อือ</t>
  </si>
  <si>
    <t>N.Thamarat</t>
  </si>
  <si>
    <t>นายมนตรี วัชรมานะกุล</t>
  </si>
  <si>
    <t>นายสมพงษ์ คงบุตร</t>
  </si>
  <si>
    <t>Sales Office</t>
  </si>
  <si>
    <t>222222</t>
  </si>
  <si>
    <t>222223</t>
  </si>
  <si>
    <t>222234</t>
  </si>
  <si>
    <t>222235</t>
  </si>
  <si>
    <t>222236</t>
  </si>
  <si>
    <t>222237</t>
  </si>
  <si>
    <t>222238</t>
  </si>
  <si>
    <t>222208</t>
  </si>
  <si>
    <t>222204</t>
  </si>
  <si>
    <t>222229</t>
  </si>
  <si>
    <t>5490000707</t>
  </si>
  <si>
    <t>5490000701</t>
  </si>
  <si>
    <t>5490000721</t>
  </si>
  <si>
    <t>5490000719</t>
  </si>
  <si>
    <t>5490000725</t>
  </si>
  <si>
    <t>5490000702</t>
  </si>
  <si>
    <t>5490000708</t>
  </si>
  <si>
    <t>5490000704</t>
  </si>
  <si>
    <t>5490000717</t>
  </si>
  <si>
    <t>5490000703</t>
  </si>
  <si>
    <t>5490000709</t>
  </si>
  <si>
    <t>5490000713</t>
  </si>
  <si>
    <t>5490000710</t>
  </si>
  <si>
    <t>5490000720</t>
  </si>
  <si>
    <t>5490000714</t>
  </si>
  <si>
    <t>5490000705</t>
  </si>
  <si>
    <t>5490000711</t>
  </si>
  <si>
    <t>AJ</t>
  </si>
  <si>
    <t>RD</t>
  </si>
  <si>
    <t>BD</t>
  </si>
  <si>
    <t>AJP</t>
  </si>
  <si>
    <t>RDC</t>
  </si>
  <si>
    <t>RM</t>
  </si>
  <si>
    <t>ND</t>
  </si>
  <si>
    <t>YY</t>
  </si>
  <si>
    <t>PDC</t>
  </si>
  <si>
    <t>TKM</t>
  </si>
  <si>
    <t>RKR</t>
  </si>
  <si>
    <t>AMV</t>
  </si>
  <si>
    <t>AJA</t>
  </si>
  <si>
    <t>FP</t>
  </si>
  <si>
    <t>QM</t>
  </si>
  <si>
    <t>LPD</t>
  </si>
  <si>
    <t>SWEET</t>
  </si>
  <si>
    <t>STICK</t>
  </si>
  <si>
    <t>HDSH</t>
  </si>
  <si>
    <t>LQSS</t>
  </si>
  <si>
    <t>SBU</t>
  </si>
  <si>
    <t>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</si>
</sst>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฿&quot;* #,##0.00_-;\-&quot;฿&quot;* #,##0.00_-;_-&quot;฿&quot;* &quot;-&quot;??_-;_-@_-"/>
    <numFmt numFmtId="165" formatCode="_-* #,##0.00_-;\-* #,##0.00_-;_-* &quot;-&quot;??_-;_-@_-"/>
    <numFmt numFmtId="166" formatCode="_-[$฿-41E]* #,##0.00_-;\-[$฿-41E]* #,##0.00_-;_-[$฿-41E]* &quot;-&quot;??_-;_-@_-"/>
    <numFmt numFmtId="167" formatCode="B1mmm\-yy"/>
    <numFmt numFmtId="168" formatCode="_-&quot;฿&quot;* #,##0_-;\-&quot;฿&quot;* #,##0_-;_-&quot;฿&quot;* &quot;-&quot;??_-;_-@_-"/>
    <numFmt numFmtId="169" formatCode="0.0%"/>
    <numFmt numFmtId="170" formatCode="0.000%"/>
    <numFmt numFmtId="171" formatCode="[$-1010809]dd/mm/yyyy"/>
    <numFmt numFmtId="172" formatCode="_-* #,##0_-;\-* #,##0_-;_-* &quot;-&quot;??_-;_-@_-"/>
  </numFmts>
  <fonts count="43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8"/>
      <color rgb="FF000000"/>
      <name val="Arial"/>
      <family val="2"/>
    </font>
    <font>
      <sz val="12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22"/>
      <scheme val="minor"/>
    </font>
    <font>
      <sz val="8"/>
      <color theme="1"/>
      <name val="Aptos Narrow"/>
      <family val="2"/>
      <charset val="222"/>
      <scheme val="minor"/>
    </font>
    <font>
      <sz val="8"/>
      <color theme="1"/>
      <name val="Aptos Display"/>
      <family val="2"/>
      <scheme val="major"/>
    </font>
    <font>
      <b/>
      <sz val="8"/>
      <color rgb="FF000000"/>
      <name val="Aptos Display"/>
      <family val="2"/>
      <scheme val="major"/>
    </font>
    <font>
      <sz val="8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sz val="8"/>
      <color rgb="FFFF0000"/>
      <name val="Aptos Display"/>
      <family val="2"/>
      <scheme val="major"/>
    </font>
    <font>
      <b/>
      <sz val="8"/>
      <color rgb="FFFF0000"/>
      <name val="Aptos Display"/>
      <family val="2"/>
      <scheme val="major"/>
    </font>
    <font>
      <b/>
      <sz val="8"/>
      <name val="Aptos Display"/>
      <family val="2"/>
      <scheme val="major"/>
    </font>
    <font>
      <b/>
      <sz val="9"/>
      <color rgb="FF000000"/>
      <name val="Trebuchet MS"/>
      <family val="2"/>
    </font>
    <font>
      <sz val="9"/>
      <color rgb="FF000000"/>
      <name val="Trebuchet MS"/>
      <family val="2"/>
    </font>
    <font>
      <sz val="8"/>
      <color indexed="8"/>
      <name val="Aptos Display"/>
      <family val="2"/>
      <scheme val="maj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0070C0"/>
      <name val="Aptos Display"/>
      <family val="2"/>
      <scheme val="major"/>
    </font>
    <font>
      <sz val="8"/>
      <color rgb="FF0070C0"/>
      <name val="Aptos Display"/>
      <family val="2"/>
      <scheme val="major"/>
    </font>
    <font>
      <b/>
      <sz val="10"/>
      <color theme="1"/>
      <name val="Aptos Narrow"/>
      <family val="2"/>
      <scheme val="minor"/>
    </font>
    <font>
      <b/>
      <sz val="9.5"/>
      <color rgb="FFFF0000"/>
      <name val="Aptos Narrow"/>
      <family val="2"/>
      <scheme val="minor"/>
    </font>
    <font>
      <sz val="8"/>
      <color rgb="FFFFFF00"/>
      <name val="Aptos Narrow"/>
      <family val="2"/>
      <charset val="222"/>
      <scheme val="minor"/>
    </font>
    <font>
      <sz val="8"/>
      <color theme="5" tint="0.79998168889431442"/>
      <name val="Aptos Narrow"/>
      <family val="2"/>
      <charset val="222"/>
      <scheme val="minor"/>
    </font>
    <font>
      <sz val="8"/>
      <color theme="2" tint="-0.249977111117893"/>
      <name val="Aptos Narrow"/>
      <family val="2"/>
      <charset val="222"/>
      <scheme val="minor"/>
    </font>
    <font>
      <sz val="8"/>
      <color theme="4" tint="0.79998168889431442"/>
      <name val="Aptos Narrow"/>
      <family val="2"/>
      <charset val="222"/>
      <scheme val="minor"/>
    </font>
    <font>
      <sz val="8"/>
      <color theme="6" tint="0.59999389629810485"/>
      <name val="Aptos Narrow"/>
      <family val="2"/>
      <charset val="222"/>
      <scheme val="minor"/>
    </font>
    <font>
      <b/>
      <sz val="8"/>
      <color theme="7" tint="-0.249977111117893"/>
      <name val="Aptos Display"/>
      <family val="2"/>
      <scheme val="major"/>
    </font>
    <font>
      <sz val="8"/>
      <color theme="7" tint="-0.249977111117893"/>
      <name val="Aptos Display"/>
      <family val="2"/>
      <scheme val="major"/>
    </font>
    <font>
      <sz val="8"/>
      <name val="Aptos Narrow"/>
      <family val="2"/>
      <scheme val="minor"/>
    </font>
    <font>
      <b/>
      <sz val="8"/>
      <color rgb="FF0000FF"/>
      <name val="Aptos Narrow"/>
      <family val="2"/>
      <scheme val="minor"/>
    </font>
    <font>
      <sz val="8"/>
      <color rgb="FF00B05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FF0000"/>
      <name val="Aptos Narrow"/>
      <family val="2"/>
      <charset val="22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CB"/>
        <bgColor rgb="FFFFC0CB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B71F4"/>
        <bgColor indexed="64"/>
      </patternFill>
    </fill>
    <fill>
      <patternFill patternType="solid">
        <fgColor rgb="FFF7C5F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rgb="FFB2B2B2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67">
    <xf numFmtId="0" fontId="0" fillId="0" borderId="0" xfId="0"/>
    <xf numFmtId="3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1" xfId="0" applyFont="1" applyFill="1" applyBorder="1"/>
    <xf numFmtId="166" fontId="2" fillId="2" borderId="2" xfId="0" applyNumberFormat="1" applyFont="1" applyFill="1" applyBorder="1"/>
    <xf numFmtId="166" fontId="2" fillId="2" borderId="3" xfId="0" applyNumberFormat="1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2" borderId="4" xfId="0" applyFont="1" applyFill="1" applyBorder="1"/>
    <xf numFmtId="9" fontId="2" fillId="2" borderId="0" xfId="2" applyFont="1" applyFill="1" applyBorder="1"/>
    <xf numFmtId="9" fontId="2" fillId="2" borderId="5" xfId="2" applyFont="1" applyFill="1" applyBorder="1"/>
    <xf numFmtId="0" fontId="3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3" borderId="8" xfId="0" applyFont="1" applyFill="1" applyBorder="1"/>
    <xf numFmtId="166" fontId="2" fillId="3" borderId="9" xfId="0" applyNumberFormat="1" applyFont="1" applyFill="1" applyBorder="1"/>
    <xf numFmtId="0" fontId="2" fillId="2" borderId="8" xfId="0" applyFont="1" applyFill="1" applyBorder="1"/>
    <xf numFmtId="9" fontId="4" fillId="2" borderId="10" xfId="2" applyFont="1" applyFill="1" applyBorder="1"/>
    <xf numFmtId="9" fontId="4" fillId="2" borderId="11" xfId="2" applyFont="1" applyFill="1" applyBorder="1"/>
    <xf numFmtId="0" fontId="2" fillId="4" borderId="4" xfId="0" applyFont="1" applyFill="1" applyBorder="1"/>
    <xf numFmtId="0" fontId="2" fillId="4" borderId="0" xfId="0" applyFont="1" applyFill="1"/>
    <xf numFmtId="167" fontId="2" fillId="4" borderId="0" xfId="0" applyNumberFormat="1" applyFont="1" applyFill="1"/>
    <xf numFmtId="0" fontId="2" fillId="4" borderId="5" xfId="0" applyFont="1" applyFill="1" applyBorder="1"/>
    <xf numFmtId="168" fontId="2" fillId="0" borderId="0" xfId="1" applyNumberFormat="1" applyFont="1"/>
    <xf numFmtId="164" fontId="2" fillId="4" borderId="0" xfId="1" applyFont="1" applyFill="1" applyBorder="1"/>
    <xf numFmtId="168" fontId="2" fillId="4" borderId="0" xfId="1" applyNumberFormat="1" applyFont="1" applyFill="1"/>
    <xf numFmtId="0" fontId="2" fillId="0" borderId="8" xfId="0" applyFont="1" applyBorder="1"/>
    <xf numFmtId="164" fontId="2" fillId="4" borderId="0" xfId="0" applyNumberFormat="1" applyFont="1" applyFill="1"/>
    <xf numFmtId="0" fontId="2" fillId="2" borderId="12" xfId="0" applyFont="1" applyFill="1" applyBorder="1" applyAlignment="1">
      <alignment vertical="center"/>
    </xf>
    <xf numFmtId="0" fontId="2" fillId="7" borderId="0" xfId="0" applyFont="1" applyFill="1"/>
    <xf numFmtId="168" fontId="2" fillId="7" borderId="0" xfId="1" applyNumberFormat="1" applyFont="1" applyFill="1"/>
    <xf numFmtId="0" fontId="2" fillId="4" borderId="8" xfId="0" applyFont="1" applyFill="1" applyBorder="1"/>
    <xf numFmtId="0" fontId="2" fillId="4" borderId="9" xfId="0" applyFont="1" applyFill="1" applyBorder="1"/>
    <xf numFmtId="164" fontId="2" fillId="4" borderId="9" xfId="0" applyNumberFormat="1" applyFont="1" applyFill="1" applyBorder="1"/>
    <xf numFmtId="169" fontId="2" fillId="4" borderId="13" xfId="2" applyNumberFormat="1" applyFont="1" applyFill="1" applyBorder="1"/>
    <xf numFmtId="0" fontId="2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9" fontId="2" fillId="0" borderId="0" xfId="0" applyNumberFormat="1" applyFont="1"/>
    <xf numFmtId="3" fontId="2" fillId="0" borderId="0" xfId="0" applyNumberFormat="1" applyFont="1"/>
    <xf numFmtId="0" fontId="2" fillId="0" borderId="9" xfId="0" applyFont="1" applyBorder="1"/>
    <xf numFmtId="166" fontId="2" fillId="0" borderId="9" xfId="0" applyNumberFormat="1" applyFont="1" applyBorder="1"/>
    <xf numFmtId="0" fontId="2" fillId="0" borderId="13" xfId="0" applyFont="1" applyBorder="1"/>
    <xf numFmtId="0" fontId="2" fillId="2" borderId="6" xfId="0" applyFont="1" applyFill="1" applyBorder="1"/>
    <xf numFmtId="0" fontId="2" fillId="2" borderId="17" xfId="0" applyFont="1" applyFill="1" applyBorder="1"/>
    <xf numFmtId="0" fontId="2" fillId="2" borderId="7" xfId="0" applyFont="1" applyFill="1" applyBorder="1"/>
    <xf numFmtId="0" fontId="2" fillId="0" borderId="14" xfId="0" applyFont="1" applyBorder="1"/>
    <xf numFmtId="166" fontId="2" fillId="0" borderId="14" xfId="0" applyNumberFormat="1" applyFont="1" applyBorder="1"/>
    <xf numFmtId="0" fontId="2" fillId="0" borderId="18" xfId="0" applyFont="1" applyBorder="1"/>
    <xf numFmtId="0" fontId="3" fillId="3" borderId="6" xfId="0" applyFont="1" applyFill="1" applyBorder="1"/>
    <xf numFmtId="164" fontId="3" fillId="3" borderId="7" xfId="1" applyFont="1" applyFill="1" applyBorder="1"/>
    <xf numFmtId="0" fontId="6" fillId="0" borderId="14" xfId="0" applyFont="1" applyBorder="1" applyAlignment="1">
      <alignment horizontal="center"/>
    </xf>
    <xf numFmtId="4" fontId="6" fillId="0" borderId="14" xfId="0" applyNumberFormat="1" applyFont="1" applyBorder="1" applyAlignment="1">
      <alignment horizontal="center"/>
    </xf>
    <xf numFmtId="9" fontId="2" fillId="9" borderId="0" xfId="0" applyNumberFormat="1" applyFont="1" applyFill="1"/>
    <xf numFmtId="4" fontId="2" fillId="0" borderId="0" xfId="0" applyNumberFormat="1" applyFont="1"/>
    <xf numFmtId="9" fontId="2" fillId="0" borderId="0" xfId="2" applyFont="1" applyFill="1" applyBorder="1"/>
    <xf numFmtId="9" fontId="2" fillId="10" borderId="0" xfId="2" applyFont="1" applyFill="1" applyBorder="1"/>
    <xf numFmtId="0" fontId="7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9" fontId="6" fillId="6" borderId="14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" fontId="8" fillId="0" borderId="14" xfId="0" applyNumberFormat="1" applyFont="1" applyBorder="1" applyAlignment="1">
      <alignment horizontal="center"/>
    </xf>
    <xf numFmtId="4" fontId="6" fillId="6" borderId="14" xfId="0" applyNumberFormat="1" applyFont="1" applyFill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5" fillId="5" borderId="19" xfId="0" applyFont="1" applyFill="1" applyBorder="1" applyAlignment="1">
      <alignment vertical="top" wrapText="1" readingOrder="1"/>
    </xf>
    <xf numFmtId="166" fontId="2" fillId="6" borderId="20" xfId="0" applyNumberFormat="1" applyFont="1" applyFill="1" applyBorder="1"/>
    <xf numFmtId="0" fontId="5" fillId="5" borderId="21" xfId="0" applyFont="1" applyFill="1" applyBorder="1" applyAlignment="1">
      <alignment vertical="top" wrapText="1" readingOrder="1"/>
    </xf>
    <xf numFmtId="166" fontId="2" fillId="6" borderId="12" xfId="0" applyNumberFormat="1" applyFont="1" applyFill="1" applyBorder="1"/>
    <xf numFmtId="166" fontId="2" fillId="0" borderId="12" xfId="0" applyNumberFormat="1" applyFont="1" applyBorder="1"/>
    <xf numFmtId="166" fontId="2" fillId="6" borderId="20" xfId="0" applyNumberFormat="1" applyFont="1" applyFill="1" applyBorder="1" applyAlignment="1">
      <alignment vertical="center"/>
    </xf>
    <xf numFmtId="166" fontId="2" fillId="6" borderId="12" xfId="0" applyNumberFormat="1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6" borderId="12" xfId="0" applyFont="1" applyFill="1" applyBorder="1" applyAlignment="1">
      <alignment vertical="center"/>
    </xf>
    <xf numFmtId="0" fontId="2" fillId="6" borderId="16" xfId="0" applyFont="1" applyFill="1" applyBorder="1" applyAlignment="1">
      <alignment vertical="center"/>
    </xf>
    <xf numFmtId="166" fontId="2" fillId="0" borderId="12" xfId="0" applyNumberFormat="1" applyFont="1" applyBorder="1" applyAlignment="1">
      <alignment vertical="center"/>
    </xf>
    <xf numFmtId="169" fontId="9" fillId="6" borderId="1" xfId="0" applyNumberFormat="1" applyFont="1" applyFill="1" applyBorder="1"/>
    <xf numFmtId="169" fontId="2" fillId="6" borderId="4" xfId="0" applyNumberFormat="1" applyFont="1" applyFill="1" applyBorder="1"/>
    <xf numFmtId="169" fontId="2" fillId="6" borderId="8" xfId="0" applyNumberFormat="1" applyFont="1" applyFill="1" applyBorder="1"/>
    <xf numFmtId="0" fontId="2" fillId="6" borderId="8" xfId="0" applyFont="1" applyFill="1" applyBorder="1"/>
    <xf numFmtId="9" fontId="2" fillId="6" borderId="1" xfId="2" applyFont="1" applyFill="1" applyBorder="1"/>
    <xf numFmtId="9" fontId="2" fillId="6" borderId="4" xfId="2" applyFont="1" applyFill="1" applyBorder="1"/>
    <xf numFmtId="9" fontId="2" fillId="6" borderId="8" xfId="2" applyFont="1" applyFill="1" applyBorder="1"/>
    <xf numFmtId="0" fontId="5" fillId="5" borderId="22" xfId="0" applyFont="1" applyFill="1" applyBorder="1" applyAlignment="1">
      <alignment vertical="top" wrapText="1" readingOrder="1"/>
    </xf>
    <xf numFmtId="166" fontId="2" fillId="0" borderId="5" xfId="0" applyNumberFormat="1" applyFont="1" applyBorder="1"/>
    <xf numFmtId="0" fontId="2" fillId="0" borderId="5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2" borderId="0" xfId="0" applyFont="1" applyFill="1"/>
    <xf numFmtId="9" fontId="2" fillId="2" borderId="0" xfId="0" applyNumberFormat="1" applyFont="1" applyFill="1"/>
    <xf numFmtId="166" fontId="2" fillId="0" borderId="3" xfId="0" applyNumberFormat="1" applyFont="1" applyBorder="1"/>
    <xf numFmtId="10" fontId="0" fillId="0" borderId="0" xfId="2" applyNumberFormat="1" applyFont="1"/>
    <xf numFmtId="3" fontId="0" fillId="8" borderId="0" xfId="0" applyNumberFormat="1" applyFill="1"/>
    <xf numFmtId="10" fontId="0" fillId="8" borderId="0" xfId="2" applyNumberFormat="1" applyFont="1" applyFill="1"/>
    <xf numFmtId="3" fontId="2" fillId="12" borderId="14" xfId="0" applyNumberFormat="1" applyFont="1" applyFill="1" applyBorder="1" applyAlignment="1">
      <alignment horizontal="center"/>
    </xf>
    <xf numFmtId="3" fontId="2" fillId="12" borderId="14" xfId="0" applyNumberFormat="1" applyFont="1" applyFill="1" applyBorder="1"/>
    <xf numFmtId="3" fontId="2" fillId="12" borderId="14" xfId="0" applyNumberFormat="1" applyFont="1" applyFill="1" applyBorder="1" applyAlignment="1">
      <alignment horizontal="right"/>
    </xf>
    <xf numFmtId="170" fontId="2" fillId="8" borderId="15" xfId="2" applyNumberFormat="1" applyFont="1" applyFill="1" applyBorder="1" applyAlignment="1">
      <alignment horizontal="right"/>
    </xf>
    <xf numFmtId="3" fontId="0" fillId="0" borderId="0" xfId="0" applyNumberFormat="1" applyAlignment="1">
      <alignment horizontal="center"/>
    </xf>
    <xf numFmtId="10" fontId="0" fillId="6" borderId="0" xfId="2" applyNumberFormat="1" applyFont="1" applyFill="1" applyAlignment="1">
      <alignment horizontal="center"/>
    </xf>
    <xf numFmtId="9" fontId="0" fillId="6" borderId="0" xfId="0" applyNumberFormat="1" applyFill="1" applyAlignment="1">
      <alignment horizontal="center"/>
    </xf>
    <xf numFmtId="10" fontId="0" fillId="6" borderId="0" xfId="0" applyNumberFormat="1" applyFill="1" applyAlignment="1">
      <alignment horizontal="center"/>
    </xf>
    <xf numFmtId="0" fontId="11" fillId="0" borderId="0" xfId="0" applyFont="1" applyAlignment="1">
      <alignment horizontal="center"/>
    </xf>
    <xf numFmtId="10" fontId="0" fillId="0" borderId="0" xfId="2" applyNumberFormat="1" applyFont="1" applyFill="1"/>
    <xf numFmtId="0" fontId="2" fillId="12" borderId="14" xfId="0" applyFont="1" applyFill="1" applyBorder="1" applyAlignment="1">
      <alignment horizontal="center"/>
    </xf>
    <xf numFmtId="3" fontId="0" fillId="11" borderId="0" xfId="0" applyNumberFormat="1" applyFill="1"/>
    <xf numFmtId="0" fontId="0" fillId="12" borderId="0" xfId="0" applyFill="1"/>
    <xf numFmtId="0" fontId="0" fillId="10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3" fontId="0" fillId="10" borderId="0" xfId="0" applyNumberFormat="1" applyFill="1"/>
    <xf numFmtId="0" fontId="0" fillId="11" borderId="0" xfId="0" applyFill="1"/>
    <xf numFmtId="3" fontId="0" fillId="14" borderId="0" xfId="0" applyNumberFormat="1" applyFill="1"/>
    <xf numFmtId="3" fontId="0" fillId="15" borderId="0" xfId="0" applyNumberFormat="1" applyFill="1"/>
    <xf numFmtId="10" fontId="0" fillId="16" borderId="0" xfId="2" applyNumberFormat="1" applyFont="1" applyFill="1"/>
    <xf numFmtId="3" fontId="12" fillId="6" borderId="0" xfId="0" applyNumberFormat="1" applyFont="1" applyFill="1"/>
    <xf numFmtId="10" fontId="0" fillId="6" borderId="0" xfId="2" applyNumberFormat="1" applyFont="1" applyFill="1"/>
    <xf numFmtId="9" fontId="7" fillId="2" borderId="0" xfId="0" applyNumberFormat="1" applyFont="1" applyFill="1"/>
    <xf numFmtId="166" fontId="7" fillId="3" borderId="9" xfId="0" applyNumberFormat="1" applyFont="1" applyFill="1" applyBorder="1"/>
    <xf numFmtId="0" fontId="13" fillId="0" borderId="0" xfId="0" applyFont="1"/>
    <xf numFmtId="165" fontId="13" fillId="0" borderId="0" xfId="3" applyFont="1"/>
    <xf numFmtId="0" fontId="13" fillId="0" borderId="0" xfId="0" applyFont="1" applyAlignment="1">
      <alignment horizontal="center"/>
    </xf>
    <xf numFmtId="165" fontId="13" fillId="6" borderId="0" xfId="3" applyFont="1" applyFill="1" applyAlignment="1">
      <alignment horizontal="center"/>
    </xf>
    <xf numFmtId="165" fontId="13" fillId="10" borderId="0" xfId="3" applyFont="1" applyFill="1" applyAlignment="1">
      <alignment horizontal="center"/>
    </xf>
    <xf numFmtId="165" fontId="13" fillId="17" borderId="0" xfId="3" applyFont="1" applyFill="1" applyAlignment="1">
      <alignment horizontal="center"/>
    </xf>
    <xf numFmtId="10" fontId="13" fillId="0" borderId="0" xfId="0" applyNumberFormat="1" applyFont="1"/>
    <xf numFmtId="0" fontId="14" fillId="0" borderId="0" xfId="0" applyFont="1"/>
    <xf numFmtId="165" fontId="13" fillId="18" borderId="0" xfId="3" applyFont="1" applyFill="1" applyAlignment="1">
      <alignment horizontal="center"/>
    </xf>
    <xf numFmtId="0" fontId="13" fillId="0" borderId="0" xfId="0" quotePrefix="1" applyFont="1" applyAlignment="1">
      <alignment wrapText="1"/>
    </xf>
    <xf numFmtId="0" fontId="16" fillId="0" borderId="0" xfId="0" applyFont="1" applyAlignment="1">
      <alignment horizontal="center" vertical="center"/>
    </xf>
    <xf numFmtId="49" fontId="16" fillId="8" borderId="0" xfId="0" quotePrefix="1" applyNumberFormat="1" applyFont="1" applyFill="1" applyAlignment="1">
      <alignment horizontal="center"/>
    </xf>
    <xf numFmtId="49" fontId="16" fillId="8" borderId="0" xfId="0" applyNumberFormat="1" applyFont="1" applyFill="1" applyAlignment="1">
      <alignment horizontal="center"/>
    </xf>
    <xf numFmtId="49" fontId="16" fillId="8" borderId="0" xfId="0" applyNumberFormat="1" applyFont="1" applyFill="1" applyAlignment="1">
      <alignment horizontal="center" vertical="center"/>
    </xf>
    <xf numFmtId="0" fontId="14" fillId="8" borderId="0" xfId="0" applyFont="1" applyFill="1"/>
    <xf numFmtId="0" fontId="17" fillId="0" borderId="0" xfId="0" applyFont="1" applyAlignment="1">
      <alignment horizontal="center"/>
    </xf>
    <xf numFmtId="49" fontId="13" fillId="0" borderId="0" xfId="3" applyNumberFormat="1" applyFont="1" applyFill="1" applyAlignment="1">
      <alignment horizontal="center"/>
    </xf>
    <xf numFmtId="165" fontId="13" fillId="24" borderId="0" xfId="3" applyFont="1" applyFill="1" applyAlignment="1">
      <alignment horizontal="center"/>
    </xf>
    <xf numFmtId="1" fontId="16" fillId="0" borderId="26" xfId="0" applyNumberFormat="1" applyFont="1" applyBorder="1" applyAlignment="1">
      <alignment horizontal="center"/>
    </xf>
    <xf numFmtId="1" fontId="16" fillId="0" borderId="26" xfId="0" applyNumberFormat="1" applyFont="1" applyBorder="1" applyAlignment="1">
      <alignment horizontal="center" vertical="center"/>
    </xf>
    <xf numFmtId="1" fontId="16" fillId="0" borderId="27" xfId="0" applyNumberFormat="1" applyFont="1" applyBorder="1" applyAlignment="1">
      <alignment horizontal="center"/>
    </xf>
    <xf numFmtId="1" fontId="16" fillId="0" borderId="27" xfId="0" applyNumberFormat="1" applyFont="1" applyBorder="1" applyAlignment="1">
      <alignment horizontal="center" vertical="center"/>
    </xf>
    <xf numFmtId="0" fontId="15" fillId="6" borderId="28" xfId="0" applyFont="1" applyFill="1" applyBorder="1" applyAlignment="1">
      <alignment horizontal="left"/>
    </xf>
    <xf numFmtId="0" fontId="22" fillId="0" borderId="24" xfId="0" applyFont="1" applyBorder="1" applyAlignment="1">
      <alignment horizontal="left"/>
    </xf>
    <xf numFmtId="171" fontId="22" fillId="0" borderId="24" xfId="0" applyNumberFormat="1" applyFont="1" applyBorder="1" applyAlignment="1">
      <alignment horizontal="left"/>
    </xf>
    <xf numFmtId="0" fontId="22" fillId="0" borderId="24" xfId="0" applyFont="1" applyBorder="1"/>
    <xf numFmtId="0" fontId="23" fillId="25" borderId="0" xfId="0" applyFont="1" applyFill="1"/>
    <xf numFmtId="0" fontId="22" fillId="19" borderId="24" xfId="0" applyFont="1" applyFill="1" applyBorder="1" applyAlignment="1">
      <alignment horizontal="left"/>
    </xf>
    <xf numFmtId="171" fontId="22" fillId="19" borderId="24" xfId="0" applyNumberFormat="1" applyFont="1" applyFill="1" applyBorder="1" applyAlignment="1">
      <alignment horizontal="left"/>
    </xf>
    <xf numFmtId="0" fontId="22" fillId="19" borderId="24" xfId="0" applyFont="1" applyFill="1" applyBorder="1"/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165" fontId="14" fillId="23" borderId="0" xfId="3" applyFont="1" applyFill="1" applyAlignment="1">
      <alignment horizontal="center"/>
    </xf>
    <xf numFmtId="165" fontId="14" fillId="0" borderId="0" xfId="3" applyFont="1"/>
    <xf numFmtId="10" fontId="26" fillId="7" borderId="0" xfId="2" applyNumberFormat="1" applyFont="1" applyFill="1" applyAlignment="1">
      <alignment horizontal="center"/>
    </xf>
    <xf numFmtId="165" fontId="26" fillId="7" borderId="0" xfId="3" applyFont="1" applyFill="1" applyAlignment="1">
      <alignment horizontal="center"/>
    </xf>
    <xf numFmtId="0" fontId="26" fillId="7" borderId="0" xfId="0" applyFont="1" applyFill="1" applyAlignment="1">
      <alignment horizontal="center"/>
    </xf>
    <xf numFmtId="165" fontId="27" fillId="7" borderId="0" xfId="3" applyFont="1" applyFill="1"/>
    <xf numFmtId="10" fontId="27" fillId="7" borderId="0" xfId="2" applyNumberFormat="1" applyFont="1" applyFill="1"/>
    <xf numFmtId="0" fontId="27" fillId="7" borderId="0" xfId="0" applyFont="1" applyFill="1"/>
    <xf numFmtId="1" fontId="16" fillId="21" borderId="0" xfId="0" applyNumberFormat="1" applyFont="1" applyFill="1" applyAlignment="1">
      <alignment horizontal="center"/>
    </xf>
    <xf numFmtId="0" fontId="15" fillId="8" borderId="14" xfId="0" applyFont="1" applyFill="1" applyBorder="1" applyAlignment="1">
      <alignment horizontal="left"/>
    </xf>
    <xf numFmtId="0" fontId="17" fillId="22" borderId="14" xfId="0" applyFont="1" applyFill="1" applyBorder="1" applyAlignment="1">
      <alignment horizontal="center"/>
    </xf>
    <xf numFmtId="165" fontId="17" fillId="20" borderId="14" xfId="3" applyFont="1" applyFill="1" applyBorder="1" applyAlignment="1">
      <alignment horizontal="center"/>
    </xf>
    <xf numFmtId="0" fontId="17" fillId="26" borderId="14" xfId="0" applyFont="1" applyFill="1" applyBorder="1" applyAlignment="1">
      <alignment horizontal="center"/>
    </xf>
    <xf numFmtId="49" fontId="13" fillId="27" borderId="0" xfId="3" applyNumberFormat="1" applyFont="1" applyFill="1" applyAlignment="1">
      <alignment horizontal="center"/>
    </xf>
    <xf numFmtId="17" fontId="14" fillId="27" borderId="0" xfId="0" quotePrefix="1" applyNumberFormat="1" applyFont="1" applyFill="1" applyAlignment="1">
      <alignment horizontal="center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49" fontId="17" fillId="0" borderId="0" xfId="0" applyNumberFormat="1" applyFont="1" applyAlignment="1">
      <alignment horizontal="center"/>
    </xf>
    <xf numFmtId="49" fontId="14" fillId="0" borderId="0" xfId="0" quotePrefix="1" applyNumberFormat="1" applyFont="1" applyAlignment="1">
      <alignment horizontal="center"/>
    </xf>
    <xf numFmtId="49" fontId="0" fillId="0" borderId="0" xfId="0" applyNumberFormat="1"/>
    <xf numFmtId="0" fontId="25" fillId="18" borderId="0" xfId="0" applyFont="1" applyFill="1" applyAlignment="1">
      <alignment horizontal="left" vertical="center"/>
    </xf>
    <xf numFmtId="0" fontId="24" fillId="18" borderId="0" xfId="0" applyFont="1" applyFill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wrapText="1"/>
    </xf>
    <xf numFmtId="165" fontId="13" fillId="27" borderId="0" xfId="3" applyFont="1" applyFill="1" applyAlignment="1">
      <alignment horizontal="center"/>
    </xf>
    <xf numFmtId="9" fontId="13" fillId="0" borderId="0" xfId="2" quotePrefix="1" applyFont="1" applyAlignment="1">
      <alignment wrapText="1"/>
    </xf>
    <xf numFmtId="0" fontId="28" fillId="0" borderId="0" xfId="0" applyFont="1" applyAlignment="1">
      <alignment horizontal="left" vertical="center"/>
    </xf>
    <xf numFmtId="0" fontId="13" fillId="27" borderId="0" xfId="0" applyFont="1" applyFill="1"/>
    <xf numFmtId="3" fontId="13" fillId="6" borderId="0" xfId="0" applyNumberFormat="1" applyFont="1" applyFill="1" applyAlignment="1">
      <alignment horizontal="center" vertical="center"/>
    </xf>
    <xf numFmtId="0" fontId="24" fillId="6" borderId="0" xfId="0" applyFont="1" applyFill="1"/>
    <xf numFmtId="0" fontId="29" fillId="0" borderId="0" xfId="0" applyFont="1"/>
    <xf numFmtId="0" fontId="25" fillId="21" borderId="0" xfId="0" applyFont="1" applyFill="1" applyAlignment="1">
      <alignment horizontal="center"/>
    </xf>
    <xf numFmtId="0" fontId="17" fillId="28" borderId="14" xfId="0" applyFont="1" applyFill="1" applyBorder="1" applyAlignment="1">
      <alignment horizontal="center"/>
    </xf>
    <xf numFmtId="0" fontId="14" fillId="29" borderId="0" xfId="0" applyFont="1" applyFill="1" applyAlignment="1">
      <alignment horizontal="center"/>
    </xf>
    <xf numFmtId="0" fontId="19" fillId="22" borderId="14" xfId="0" applyFont="1" applyFill="1" applyBorder="1" applyAlignment="1">
      <alignment horizontal="center"/>
    </xf>
    <xf numFmtId="0" fontId="18" fillId="21" borderId="0" xfId="0" applyFont="1" applyFill="1"/>
    <xf numFmtId="10" fontId="18" fillId="0" borderId="0" xfId="2" applyNumberFormat="1" applyFont="1"/>
    <xf numFmtId="0" fontId="18" fillId="0" borderId="0" xfId="0" applyFont="1"/>
    <xf numFmtId="172" fontId="30" fillId="6" borderId="0" xfId="3" applyNumberFormat="1" applyFont="1" applyFill="1" applyAlignment="1">
      <alignment horizontal="center"/>
    </xf>
    <xf numFmtId="172" fontId="31" fillId="18" borderId="0" xfId="3" applyNumberFormat="1" applyFont="1" applyFill="1" applyAlignment="1">
      <alignment horizontal="center"/>
    </xf>
    <xf numFmtId="172" fontId="32" fillId="27" borderId="0" xfId="3" applyNumberFormat="1" applyFont="1" applyFill="1" applyAlignment="1">
      <alignment horizontal="center"/>
    </xf>
    <xf numFmtId="172" fontId="33" fillId="17" borderId="0" xfId="3" applyNumberFormat="1" applyFont="1" applyFill="1" applyAlignment="1">
      <alignment horizontal="center"/>
    </xf>
    <xf numFmtId="172" fontId="34" fillId="10" borderId="0" xfId="3" applyNumberFormat="1" applyFont="1" applyFill="1" applyAlignment="1">
      <alignment horizontal="center"/>
    </xf>
    <xf numFmtId="165" fontId="24" fillId="6" borderId="0" xfId="3" applyFont="1" applyFill="1" applyAlignment="1">
      <alignment horizontal="center"/>
    </xf>
    <xf numFmtId="0" fontId="35" fillId="7" borderId="0" xfId="0" applyFont="1" applyFill="1" applyAlignment="1">
      <alignment horizontal="center"/>
    </xf>
    <xf numFmtId="0" fontId="36" fillId="7" borderId="0" xfId="0" applyFont="1" applyFill="1" applyAlignment="1">
      <alignment horizontal="center"/>
    </xf>
    <xf numFmtId="166" fontId="2" fillId="9" borderId="2" xfId="0" applyNumberFormat="1" applyFont="1" applyFill="1" applyBorder="1"/>
    <xf numFmtId="0" fontId="2" fillId="9" borderId="2" xfId="0" applyFont="1" applyFill="1" applyBorder="1"/>
    <xf numFmtId="0" fontId="0" fillId="6" borderId="0" xfId="0" applyFill="1"/>
    <xf numFmtId="0" fontId="15" fillId="8" borderId="14" xfId="0" applyFont="1" applyFill="1" applyBorder="1" applyAlignment="1">
      <alignment horizontal="center"/>
    </xf>
    <xf numFmtId="0" fontId="0" fillId="6" borderId="29" xfId="0" applyFill="1" applyBorder="1"/>
    <xf numFmtId="0" fontId="0" fillId="6" borderId="30" xfId="0" applyFill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11" xfId="0" applyBorder="1"/>
    <xf numFmtId="3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14" xfId="0" applyFont="1" applyBorder="1" applyAlignment="1">
      <alignment horizontal="center" vertical="center"/>
    </xf>
    <xf numFmtId="9" fontId="38" fillId="2" borderId="14" xfId="2" applyFont="1" applyFill="1" applyBorder="1" applyAlignment="1">
      <alignment horizontal="center"/>
    </xf>
    <xf numFmtId="169" fontId="24" fillId="0" borderId="14" xfId="0" applyNumberFormat="1" applyFont="1" applyBorder="1"/>
    <xf numFmtId="169" fontId="37" fillId="0" borderId="14" xfId="0" applyNumberFormat="1" applyFont="1" applyBorder="1"/>
    <xf numFmtId="9" fontId="37" fillId="0" borderId="14" xfId="2" applyFont="1" applyFill="1" applyBorder="1"/>
    <xf numFmtId="9" fontId="24" fillId="0" borderId="14" xfId="2" applyFont="1" applyBorder="1" applyAlignment="1">
      <alignment horizontal="center"/>
    </xf>
    <xf numFmtId="9" fontId="39" fillId="0" borderId="14" xfId="2" applyFont="1" applyBorder="1" applyAlignment="1">
      <alignment horizontal="center"/>
    </xf>
    <xf numFmtId="0" fontId="24" fillId="0" borderId="14" xfId="0" applyFont="1" applyBorder="1"/>
    <xf numFmtId="165" fontId="24" fillId="30" borderId="14" xfId="3" applyFont="1" applyFill="1" applyBorder="1" applyAlignment="1">
      <alignment horizontal="center"/>
    </xf>
    <xf numFmtId="165" fontId="13" fillId="30" borderId="14" xfId="3" applyFont="1" applyFill="1" applyBorder="1"/>
    <xf numFmtId="169" fontId="2" fillId="6" borderId="1" xfId="2" applyNumberFormat="1" applyFont="1" applyFill="1" applyBorder="1"/>
    <xf numFmtId="169" fontId="2" fillId="6" borderId="4" xfId="2" applyNumberFormat="1" applyFont="1" applyFill="1" applyBorder="1"/>
    <xf numFmtId="169" fontId="2" fillId="6" borderId="8" xfId="2" applyNumberFormat="1" applyFont="1" applyFill="1" applyBorder="1"/>
    <xf numFmtId="0" fontId="13" fillId="30" borderId="0" xfId="0" quotePrefix="1" applyFont="1" applyFill="1"/>
    <xf numFmtId="0" fontId="13" fillId="6" borderId="0" xfId="0" applyFont="1" applyFill="1" applyAlignment="1">
      <alignment horizontal="center"/>
    </xf>
    <xf numFmtId="0" fontId="13" fillId="6" borderId="0" xfId="0" applyFont="1" applyFill="1"/>
    <xf numFmtId="165" fontId="13" fillId="6" borderId="0" xfId="3" applyFont="1" applyFill="1"/>
    <xf numFmtId="10" fontId="13" fillId="6" borderId="0" xfId="0" applyNumberFormat="1" applyFont="1" applyFill="1"/>
    <xf numFmtId="9" fontId="13" fillId="6" borderId="0" xfId="2" quotePrefix="1" applyFont="1" applyFill="1" applyAlignment="1">
      <alignment wrapText="1"/>
    </xf>
    <xf numFmtId="0" fontId="13" fillId="6" borderId="0" xfId="0" quotePrefix="1" applyFont="1" applyFill="1" applyAlignment="1">
      <alignment wrapText="1"/>
    </xf>
    <xf numFmtId="0" fontId="13" fillId="31" borderId="0" xfId="0" applyFont="1" applyFill="1"/>
    <xf numFmtId="0" fontId="13" fillId="31" borderId="0" xfId="0" applyFont="1" applyFill="1" applyAlignment="1">
      <alignment horizontal="center"/>
    </xf>
    <xf numFmtId="10" fontId="13" fillId="24" borderId="0" xfId="3" applyNumberFormat="1" applyFont="1" applyFill="1" applyAlignment="1">
      <alignment horizontal="center"/>
    </xf>
    <xf numFmtId="10" fontId="13" fillId="24" borderId="0" xfId="0" applyNumberFormat="1" applyFont="1" applyFill="1" applyAlignment="1">
      <alignment horizontal="center"/>
    </xf>
    <xf numFmtId="9" fontId="13" fillId="24" borderId="0" xfId="2" applyFont="1" applyFill="1" applyAlignment="1">
      <alignment horizontal="center"/>
    </xf>
    <xf numFmtId="9" fontId="13" fillId="0" borderId="0" xfId="2" applyFont="1"/>
    <xf numFmtId="1" fontId="13" fillId="0" borderId="0" xfId="2" quotePrefix="1" applyNumberFormat="1" applyFont="1" applyAlignment="1">
      <alignment wrapText="1"/>
    </xf>
    <xf numFmtId="0" fontId="20" fillId="20" borderId="25" xfId="0" applyFont="1" applyFill="1" applyBorder="1" applyAlignment="1">
      <alignment horizontal="center" vertical="center"/>
    </xf>
    <xf numFmtId="0" fontId="20" fillId="20" borderId="25" xfId="0" applyFont="1" applyFill="1" applyBorder="1" applyAlignment="1">
      <alignment vertical="center"/>
    </xf>
    <xf numFmtId="0" fontId="20" fillId="6" borderId="25" xfId="0" applyFont="1" applyFill="1" applyBorder="1" applyAlignment="1">
      <alignment horizontal="center" vertical="center"/>
    </xf>
    <xf numFmtId="49" fontId="16" fillId="0" borderId="27" xfId="0" quotePrefix="1" applyNumberFormat="1" applyFont="1" applyBorder="1" applyAlignment="1">
      <alignment horizontal="center"/>
    </xf>
    <xf numFmtId="0" fontId="22" fillId="19" borderId="27" xfId="0" applyFont="1" applyFill="1" applyBorder="1" applyAlignment="1">
      <alignment horizontal="left"/>
    </xf>
    <xf numFmtId="0" fontId="16" fillId="0" borderId="27" xfId="0" applyFont="1" applyBorder="1" applyAlignment="1">
      <alignment horizontal="left" vertical="center"/>
    </xf>
    <xf numFmtId="0" fontId="16" fillId="0" borderId="27" xfId="0" applyFont="1" applyBorder="1" applyAlignment="1">
      <alignment horizontal="center" vertical="center"/>
    </xf>
    <xf numFmtId="1" fontId="16" fillId="8" borderId="27" xfId="0" applyNumberFormat="1" applyFont="1" applyFill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27" xfId="0" applyFont="1" applyBorder="1" applyAlignment="1">
      <alignment horizontal="left"/>
    </xf>
    <xf numFmtId="0" fontId="13" fillId="30" borderId="27" xfId="0" applyFont="1" applyFill="1" applyBorder="1" applyAlignment="1">
      <alignment horizontal="center"/>
    </xf>
    <xf numFmtId="0" fontId="22" fillId="19" borderId="27" xfId="0" applyFont="1" applyFill="1" applyBorder="1" applyAlignment="1">
      <alignment horizontal="center"/>
    </xf>
    <xf numFmtId="0" fontId="16" fillId="0" borderId="27" xfId="0" applyFont="1" applyBorder="1" applyAlignment="1">
      <alignment horizontal="left"/>
    </xf>
    <xf numFmtId="0" fontId="13" fillId="30" borderId="27" xfId="0" quotePrefix="1" applyFont="1" applyFill="1" applyBorder="1" applyAlignment="1">
      <alignment horizontal="center"/>
    </xf>
    <xf numFmtId="0" fontId="14" fillId="0" borderId="27" xfId="0" applyFont="1" applyBorder="1"/>
    <xf numFmtId="0" fontId="13" fillId="30" borderId="26" xfId="0" quotePrefix="1" applyFont="1" applyFill="1" applyBorder="1" applyAlignment="1">
      <alignment horizontal="center"/>
    </xf>
    <xf numFmtId="0" fontId="22" fillId="19" borderId="26" xfId="0" applyFont="1" applyFill="1" applyBorder="1" applyAlignment="1">
      <alignment horizontal="center"/>
    </xf>
    <xf numFmtId="0" fontId="22" fillId="0" borderId="26" xfId="0" applyFont="1" applyBorder="1" applyAlignment="1">
      <alignment horizontal="left"/>
    </xf>
    <xf numFmtId="0" fontId="14" fillId="0" borderId="26" xfId="0" applyFont="1" applyBorder="1"/>
    <xf numFmtId="0" fontId="16" fillId="0" borderId="26" xfId="0" applyFont="1" applyBorder="1" applyAlignment="1">
      <alignment horizontal="left" vertical="center"/>
    </xf>
    <xf numFmtId="0" fontId="16" fillId="0" borderId="26" xfId="0" applyFont="1" applyBorder="1" applyAlignment="1">
      <alignment horizontal="center" vertical="center"/>
    </xf>
    <xf numFmtId="1" fontId="16" fillId="8" borderId="26" xfId="0" applyNumberFormat="1" applyFont="1" applyFill="1" applyBorder="1" applyAlignment="1">
      <alignment horizontal="center"/>
    </xf>
    <xf numFmtId="4" fontId="24" fillId="0" borderId="0" xfId="0" applyNumberFormat="1" applyFont="1"/>
    <xf numFmtId="49" fontId="14" fillId="8" borderId="0" xfId="0" applyNumberFormat="1" applyFont="1" applyFill="1" applyAlignment="1">
      <alignment horizontal="center"/>
    </xf>
    <xf numFmtId="49" fontId="1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1" fontId="16" fillId="6" borderId="0" xfId="0" applyNumberFormat="1" applyFont="1" applyFill="1" applyAlignment="1">
      <alignment horizontal="center"/>
    </xf>
    <xf numFmtId="0" fontId="14" fillId="6" borderId="0" xfId="0" applyFont="1" applyFill="1"/>
    <xf numFmtId="0" fontId="0" fillId="0" borderId="0" xfId="0" applyAlignment="1">
      <alignment horizontal="center" vertical="center"/>
    </xf>
    <xf numFmtId="165" fontId="24" fillId="6" borderId="14" xfId="3" applyFont="1" applyFill="1" applyBorder="1" applyAlignment="1">
      <alignment horizontal="center"/>
    </xf>
    <xf numFmtId="165" fontId="13" fillId="6" borderId="14" xfId="3" applyFont="1" applyFill="1" applyBorder="1"/>
    <xf numFmtId="0" fontId="24" fillId="9" borderId="0" xfId="0" applyFont="1" applyFill="1"/>
    <xf numFmtId="0" fontId="13" fillId="9" borderId="0" xfId="0" applyFont="1" applyFill="1"/>
    <xf numFmtId="0" fontId="13" fillId="9" borderId="0" xfId="0" quotePrefix="1" applyFont="1" applyFill="1" applyAlignment="1">
      <alignment wrapText="1"/>
    </xf>
    <xf numFmtId="49" fontId="14" fillId="9" borderId="0" xfId="0" applyNumberFormat="1" applyFont="1" applyFill="1" applyAlignment="1">
      <alignment horizontal="center"/>
    </xf>
    <xf numFmtId="1" fontId="16" fillId="9" borderId="0" xfId="0" applyNumberFormat="1" applyFont="1" applyFill="1" applyAlignment="1">
      <alignment horizontal="center"/>
    </xf>
    <xf numFmtId="0" fontId="14" fillId="9" borderId="0" xfId="0" applyFont="1" applyFill="1"/>
    <xf numFmtId="0" fontId="18" fillId="9" borderId="0" xfId="0" applyFont="1" applyFill="1"/>
    <xf numFmtId="165" fontId="14" fillId="9" borderId="0" xfId="3" applyFont="1" applyFill="1" applyAlignment="1">
      <alignment horizontal="center"/>
    </xf>
    <xf numFmtId="49" fontId="13" fillId="9" borderId="0" xfId="3" applyNumberFormat="1" applyFont="1" applyFill="1" applyAlignment="1">
      <alignment horizontal="center"/>
    </xf>
    <xf numFmtId="17" fontId="14" fillId="9" borderId="0" xfId="0" quotePrefix="1" applyNumberFormat="1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36" fillId="9" borderId="0" xfId="0" applyFont="1" applyFill="1" applyAlignment="1">
      <alignment horizontal="center"/>
    </xf>
    <xf numFmtId="165" fontId="27" fillId="9" borderId="0" xfId="3" applyFont="1" applyFill="1"/>
    <xf numFmtId="169" fontId="37" fillId="0" borderId="14" xfId="2" applyNumberFormat="1" applyFont="1" applyFill="1" applyBorder="1"/>
    <xf numFmtId="49" fontId="16" fillId="6" borderId="0" xfId="0" quotePrefix="1" applyNumberFormat="1" applyFont="1" applyFill="1" applyAlignment="1">
      <alignment horizontal="center"/>
    </xf>
    <xf numFmtId="1" fontId="13" fillId="9" borderId="0" xfId="2" quotePrefix="1" applyNumberFormat="1" applyFont="1" applyFill="1" applyAlignment="1">
      <alignment wrapText="1"/>
    </xf>
    <xf numFmtId="1" fontId="24" fillId="0" borderId="0" xfId="0" applyNumberFormat="1" applyFont="1"/>
    <xf numFmtId="167" fontId="13" fillId="6" borderId="0" xfId="3" applyNumberFormat="1" applyFont="1" applyFill="1" applyAlignment="1">
      <alignment horizontal="center"/>
    </xf>
    <xf numFmtId="0" fontId="13" fillId="8" borderId="0" xfId="0" applyFont="1" applyFill="1"/>
    <xf numFmtId="165" fontId="13" fillId="8" borderId="0" xfId="3" applyFont="1" applyFill="1"/>
    <xf numFmtId="10" fontId="13" fillId="8" borderId="0" xfId="0" applyNumberFormat="1" applyFont="1" applyFill="1"/>
    <xf numFmtId="9" fontId="13" fillId="8" borderId="0" xfId="2" quotePrefix="1" applyFont="1" applyFill="1" applyAlignment="1">
      <alignment wrapText="1"/>
    </xf>
    <xf numFmtId="0" fontId="13" fillId="8" borderId="0" xfId="0" quotePrefix="1" applyFont="1" applyFill="1" applyAlignment="1">
      <alignment wrapText="1"/>
    </xf>
    <xf numFmtId="1" fontId="13" fillId="8" borderId="0" xfId="2" quotePrefix="1" applyNumberFormat="1" applyFont="1" applyFill="1" applyAlignment="1">
      <alignment wrapText="1"/>
    </xf>
    <xf numFmtId="165" fontId="13" fillId="0" borderId="0" xfId="0" applyNumberFormat="1" applyFont="1"/>
    <xf numFmtId="169" fontId="24" fillId="8" borderId="14" xfId="0" applyNumberFormat="1" applyFont="1" applyFill="1" applyBorder="1"/>
    <xf numFmtId="169" fontId="37" fillId="8" borderId="14" xfId="0" applyNumberFormat="1" applyFont="1" applyFill="1" applyBorder="1"/>
    <xf numFmtId="9" fontId="37" fillId="8" borderId="14" xfId="2" applyFont="1" applyFill="1" applyBorder="1"/>
    <xf numFmtId="165" fontId="40" fillId="30" borderId="14" xfId="3" applyFont="1" applyFill="1" applyBorder="1" applyAlignment="1">
      <alignment horizontal="center"/>
    </xf>
    <xf numFmtId="165" fontId="40" fillId="30" borderId="14" xfId="3" applyFont="1" applyFill="1" applyBorder="1"/>
    <xf numFmtId="169" fontId="40" fillId="0" borderId="14" xfId="0" applyNumberFormat="1" applyFont="1" applyBorder="1"/>
    <xf numFmtId="9" fontId="40" fillId="0" borderId="14" xfId="2" applyFont="1" applyFill="1" applyBorder="1"/>
    <xf numFmtId="0" fontId="41" fillId="0" borderId="0" xfId="0" applyFont="1"/>
    <xf numFmtId="165" fontId="13" fillId="9" borderId="0" xfId="3" applyFont="1" applyFill="1"/>
    <xf numFmtId="10" fontId="13" fillId="9" borderId="0" xfId="0" applyNumberFormat="1" applyFont="1" applyFill="1"/>
    <xf numFmtId="9" fontId="13" fillId="9" borderId="0" xfId="2" quotePrefix="1" applyFont="1" applyFill="1" applyAlignment="1">
      <alignment wrapText="1"/>
    </xf>
    <xf numFmtId="1" fontId="13" fillId="6" borderId="0" xfId="2" quotePrefix="1" applyNumberFormat="1" applyFont="1" applyFill="1" applyAlignment="1">
      <alignment wrapText="1"/>
    </xf>
    <xf numFmtId="0" fontId="42" fillId="6" borderId="0" xfId="0" quotePrefix="1" applyFont="1" applyFill="1" applyAlignment="1">
      <alignment wrapText="1"/>
    </xf>
    <xf numFmtId="9" fontId="13" fillId="0" borderId="0" xfId="2" quotePrefix="1" applyFont="1" applyFill="1" applyAlignment="1">
      <alignment wrapText="1"/>
    </xf>
    <xf numFmtId="1" fontId="13" fillId="0" borderId="0" xfId="2" quotePrefix="1" applyNumberFormat="1" applyFont="1" applyFill="1" applyAlignment="1">
      <alignment wrapText="1"/>
    </xf>
    <xf numFmtId="10" fontId="13" fillId="4" borderId="0" xfId="0" applyNumberFormat="1" applyFont="1" applyFill="1"/>
    <xf numFmtId="9" fontId="13" fillId="4" borderId="0" xfId="2" quotePrefix="1" applyFont="1" applyFill="1" applyAlignment="1">
      <alignment wrapText="1"/>
    </xf>
    <xf numFmtId="0" fontId="13" fillId="4" borderId="0" xfId="0" quotePrefix="1" applyFont="1" applyFill="1" applyAlignment="1">
      <alignment wrapText="1"/>
    </xf>
    <xf numFmtId="0" fontId="13" fillId="4" borderId="0" xfId="0" applyFont="1" applyFill="1"/>
    <xf numFmtId="1" fontId="13" fillId="4" borderId="0" xfId="2" quotePrefix="1" applyNumberFormat="1" applyFont="1" applyFill="1" applyAlignment="1">
      <alignment wrapText="1"/>
    </xf>
    <xf numFmtId="0" fontId="13" fillId="8" borderId="0" xfId="0" applyFont="1" applyFill="1" applyAlignment="1">
      <alignment horizontal="center"/>
    </xf>
    <xf numFmtId="165" fontId="13" fillId="20" borderId="0" xfId="3" applyFont="1" applyFill="1"/>
    <xf numFmtId="165" fontId="13" fillId="16" borderId="0" xfId="3" applyFont="1" applyFill="1"/>
    <xf numFmtId="0" fontId="20" fillId="9" borderId="25" xfId="0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center"/>
    </xf>
    <xf numFmtId="9" fontId="37" fillId="9" borderId="14" xfId="2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21" fillId="9" borderId="23" xfId="0" applyFont="1" applyFill="1" applyBorder="1" applyAlignment="1">
      <alignment horizontal="left"/>
    </xf>
    <xf numFmtId="0" fontId="15" fillId="9" borderId="28" xfId="0" applyFont="1" applyFill="1" applyBorder="1" applyAlignment="1">
      <alignment horizontal="left"/>
    </xf>
    <xf numFmtId="0" fontId="22" fillId="6" borderId="24" xfId="0" applyFont="1" applyFill="1" applyBorder="1" applyAlignment="1">
      <alignment horizontal="left"/>
    </xf>
    <xf numFmtId="171" fontId="22" fillId="6" borderId="24" xfId="0" applyNumberFormat="1" applyFont="1" applyFill="1" applyBorder="1" applyAlignment="1">
      <alignment horizontal="left"/>
    </xf>
    <xf numFmtId="0" fontId="22" fillId="6" borderId="24" xfId="0" applyFont="1" applyFill="1" applyBorder="1"/>
    <xf numFmtId="0" fontId="23" fillId="6" borderId="0" xfId="0" applyFont="1" applyFill="1"/>
    <xf numFmtId="0" fontId="15" fillId="9" borderId="14" xfId="0" applyFont="1" applyFill="1" applyBorder="1" applyAlignment="1">
      <alignment horizontal="left"/>
    </xf>
    <xf numFmtId="0" fontId="17" fillId="9" borderId="14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25" fillId="6" borderId="14" xfId="0" applyFont="1" applyFill="1" applyBorder="1" applyAlignment="1">
      <alignment horizontal="center"/>
    </xf>
    <xf numFmtId="0" fontId="13" fillId="30" borderId="14" xfId="0" quotePrefix="1" applyFont="1" applyFill="1" applyBorder="1"/>
    <xf numFmtId="0" fontId="13" fillId="30" borderId="14" xfId="0" quotePrefix="1" applyFont="1" applyFill="1" applyBorder="1" applyAlignment="1">
      <alignment horizontal="center" vertical="center"/>
    </xf>
    <xf numFmtId="0" fontId="13" fillId="9" borderId="14" xfId="0" quotePrefix="1" applyFont="1" applyFill="1" applyBorder="1"/>
    <xf numFmtId="0" fontId="13" fillId="9" borderId="14" xfId="0" quotePrefix="1" applyFont="1" applyFill="1" applyBorder="1" applyAlignment="1">
      <alignment horizontal="center" vertical="center"/>
    </xf>
    <xf numFmtId="0" fontId="13" fillId="30" borderId="0" xfId="0" applyFont="1" applyFill="1" applyAlignment="1">
      <alignment horizontal="center"/>
    </xf>
    <xf numFmtId="0" fontId="13" fillId="30" borderId="0" xfId="0" quotePrefix="1" applyFont="1" applyFill="1" applyAlignment="1">
      <alignment horizontal="center"/>
    </xf>
    <xf numFmtId="0" fontId="40" fillId="30" borderId="0" xfId="0" quotePrefix="1" applyFont="1" applyFill="1" applyAlignment="1">
      <alignment horizontal="center"/>
    </xf>
    <xf numFmtId="0" fontId="13" fillId="6" borderId="0" xfId="0" quotePrefix="1" applyFont="1" applyFill="1" applyAlignment="1">
      <alignment horizontal="center"/>
    </xf>
    <xf numFmtId="0" fontId="24" fillId="6" borderId="14" xfId="0" applyFont="1" applyFill="1" applyBorder="1" applyAlignment="1">
      <alignment horizontal="center" vertical="center"/>
    </xf>
    <xf numFmtId="9" fontId="37" fillId="6" borderId="14" xfId="2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24" fillId="6" borderId="14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 vertical="center"/>
    </xf>
    <xf numFmtId="0" fontId="24" fillId="6" borderId="14" xfId="0" applyFont="1" applyFill="1" applyBorder="1"/>
    <xf numFmtId="0" fontId="24" fillId="6" borderId="0" xfId="0" applyFont="1" applyFill="1" applyAlignment="1">
      <alignment horizontal="center"/>
    </xf>
    <xf numFmtId="165" fontId="25" fillId="21" borderId="14" xfId="3" applyFont="1" applyFill="1" applyBorder="1" applyAlignment="1">
      <alignment horizontal="center"/>
    </xf>
    <xf numFmtId="4" fontId="24" fillId="0" borderId="14" xfId="0" applyNumberFormat="1" applyFont="1" applyBorder="1"/>
    <xf numFmtId="0" fontId="24" fillId="0" borderId="14" xfId="0" applyFont="1" applyBorder="1" applyAlignment="1">
      <alignment horizontal="center"/>
    </xf>
    <xf numFmtId="0" fontId="24" fillId="0" borderId="18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165" fontId="13" fillId="6" borderId="0" xfId="3" applyFont="1" applyFill="1" applyAlignment="1">
      <alignment horizontal="center"/>
    </xf>
    <xf numFmtId="165" fontId="13" fillId="10" borderId="0" xfId="3" applyFont="1" applyFill="1" applyAlignment="1">
      <alignment horizontal="center"/>
    </xf>
    <xf numFmtId="165" fontId="13" fillId="17" borderId="0" xfId="3" applyFont="1" applyFill="1" applyAlignment="1">
      <alignment horizontal="center"/>
    </xf>
    <xf numFmtId="165" fontId="13" fillId="18" borderId="0" xfId="3" applyFont="1" applyFill="1" applyAlignment="1">
      <alignment horizontal="center"/>
    </xf>
    <xf numFmtId="165" fontId="13" fillId="27" borderId="0" xfId="3" applyFont="1" applyFill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0000FF"/>
      <color rgb="FFF7C5F1"/>
      <color rgb="FFFF9900"/>
      <color rgb="FFFB71F4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137583</xdr:colOff>
      <xdr:row>7</xdr:row>
      <xdr:rowOff>148167</xdr:rowOff>
    </xdr:from>
    <xdr:to>
      <xdr:col>21</xdr:col>
      <xdr:colOff>56478</xdr:colOff>
      <xdr:row>12</xdr:row>
      <xdr:rowOff>827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C3C872-5702-530A-5954-50EBFBF9A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3500" y="1407584"/>
          <a:ext cx="10809145" cy="7437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hanyaruk_vejanuntan\Downloads\New%20Sales%20Incentive%20Scheme%20All%20Product_New%20formula_MT%20(1).xlsx" TargetMode="External"/><Relationship Id="rId1" Type="http://schemas.openxmlformats.org/officeDocument/2006/relationships/externalLinkPath" Target="file:///D:\thanyaruk_vejanuntan\Downloads\New%20Sales%20Incentive%20Scheme%20All%20Product_New%20formula_M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 WS"/>
      <sheetName val=" WS SF"/>
      <sheetName val="WS WH"/>
      <sheetName val="Test"/>
      <sheetName val="SF WH"/>
      <sheetName val="Guide"/>
      <sheetName val="M_Month"/>
      <sheetName val="Product"/>
      <sheetName val="T_SectAbove"/>
      <sheetName val="Period"/>
      <sheetName val="ASTBase"/>
      <sheetName val="2) หลักการคำนวน Table"/>
      <sheetName val="3)Target &amp; Cal_Staff"/>
      <sheetName val="3)Target &amp; Cal_Sect"/>
      <sheetName val="3)Target &amp; Cal_Dept"/>
      <sheetName val="3)Target &amp; Cal_AD"/>
      <sheetName val="HR Rep"/>
      <sheetName val="Delete Af BI"/>
      <sheetName val="Actual"/>
      <sheetName val="Mapping"/>
      <sheetName val="1) For HR"/>
      <sheetName val="1) For HR (FIX)"/>
      <sheetName val="Sheet2"/>
      <sheetName val="Sheet3"/>
      <sheetName val="Sheet1"/>
      <sheetName val="Shortage"/>
      <sheetName val="Fix rate"/>
      <sheetName val="ค่าตอบแทนการขายในอัตราคงที่"/>
      <sheetName val="Aji Plus"/>
      <sheetName val="Actual_Aji Plus"/>
      <sheetName val="RDQ"/>
      <sheetName val="Actual_RDQ"/>
      <sheetName val="RDM"/>
      <sheetName val="Actual_RDM"/>
      <sheetName val="RDNS"/>
      <sheetName val="Actual_RDNS"/>
      <sheetName val="Sales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C3">
            <v>0.9</v>
          </cell>
          <cell r="D3">
            <v>0.95</v>
          </cell>
          <cell r="E3">
            <v>1</v>
          </cell>
          <cell r="F3">
            <v>1.03</v>
          </cell>
          <cell r="G3">
            <v>1.06</v>
          </cell>
          <cell r="H3">
            <v>1.1000000000000001</v>
          </cell>
          <cell r="I3">
            <v>1.1499999999999999</v>
          </cell>
          <cell r="J3">
            <v>1.2</v>
          </cell>
          <cell r="K3">
            <v>20</v>
          </cell>
          <cell r="L3" t="str">
            <v>AJINOMOTO</v>
          </cell>
          <cell r="M3" t="str">
            <v>ROSDEE</v>
          </cell>
          <cell r="N3" t="str">
            <v>BIRDY</v>
          </cell>
          <cell r="O3" t="str">
            <v>AJI-PLUS</v>
          </cell>
          <cell r="P3" t="str">
            <v>ROSDEE CUBE</v>
          </cell>
          <cell r="Q3" t="str">
            <v>ROSDEE MENU</v>
          </cell>
          <cell r="R3" t="str">
            <v>ROSDEE NOODLE</v>
          </cell>
          <cell r="S3" t="str">
            <v>YUMYUM</v>
          </cell>
          <cell r="T3" t="str">
            <v>POWDER COFFEE</v>
          </cell>
          <cell r="U3" t="str">
            <v>Takumi-Aji</v>
          </cell>
          <cell r="V3" t="str">
            <v>ROSDEE MENU KKR</v>
          </cell>
          <cell r="W3" t="str">
            <v>AMINO VITAL</v>
          </cell>
          <cell r="X3" t="str">
            <v>AJINOMOTO AMINO</v>
          </cell>
          <cell r="Y3" t="str">
            <v>FROZEN PRODUCTS</v>
          </cell>
          <cell r="Z3" t="str">
            <v>QUICK MEAL</v>
          </cell>
        </row>
        <row r="4">
          <cell r="A4" t="str">
            <v>1190064718</v>
          </cell>
          <cell r="C4">
            <v>3600</v>
          </cell>
          <cell r="D4">
            <v>3800</v>
          </cell>
          <cell r="E4">
            <v>4000</v>
          </cell>
          <cell r="F4">
            <v>4120</v>
          </cell>
          <cell r="G4">
            <v>4320</v>
          </cell>
          <cell r="H4">
            <v>4400</v>
          </cell>
          <cell r="I4">
            <v>4600</v>
          </cell>
          <cell r="J4">
            <v>4800</v>
          </cell>
          <cell r="K4">
            <v>5200</v>
          </cell>
          <cell r="L4">
            <v>3.3333333333333326E-2</v>
          </cell>
          <cell r="M4">
            <v>5.5555555555555552E-2</v>
          </cell>
          <cell r="N4">
            <v>0.1111111111111111</v>
          </cell>
          <cell r="O4">
            <v>5.5555555555555552E-2</v>
          </cell>
          <cell r="P4">
            <v>0.1111111111111111</v>
          </cell>
          <cell r="Q4">
            <v>0.1111111111111111</v>
          </cell>
          <cell r="S4">
            <v>0.1111111111111111</v>
          </cell>
          <cell r="T4">
            <v>0.16666666666666663</v>
          </cell>
          <cell r="U4">
            <v>4.4444444444444439E-2</v>
          </cell>
          <cell r="V4">
            <v>4.4444444444444439E-2</v>
          </cell>
          <cell r="W4">
            <v>2.222222222222222E-2</v>
          </cell>
          <cell r="X4">
            <v>1.111111111111111E-2</v>
          </cell>
          <cell r="Y4">
            <v>0.1111111111111111</v>
          </cell>
          <cell r="Z4">
            <v>1.111111111111111E-2</v>
          </cell>
        </row>
        <row r="5">
          <cell r="A5" t="str">
            <v>1190064706</v>
          </cell>
          <cell r="C5">
            <v>3600</v>
          </cell>
          <cell r="D5">
            <v>3800</v>
          </cell>
          <cell r="E5">
            <v>4000</v>
          </cell>
          <cell r="F5">
            <v>4120</v>
          </cell>
          <cell r="G5">
            <v>4320</v>
          </cell>
          <cell r="H5">
            <v>4400</v>
          </cell>
          <cell r="I5">
            <v>4600</v>
          </cell>
          <cell r="J5">
            <v>4800</v>
          </cell>
          <cell r="K5">
            <v>5200</v>
          </cell>
          <cell r="L5">
            <v>3.03030303030303E-2</v>
          </cell>
          <cell r="M5">
            <v>5.0505050505050504E-2</v>
          </cell>
          <cell r="N5">
            <v>0.10101010101010101</v>
          </cell>
          <cell r="O5">
            <v>5.0505050505050504E-2</v>
          </cell>
          <cell r="P5">
            <v>0.10101010101010101</v>
          </cell>
          <cell r="Q5">
            <v>0.10101010101010101</v>
          </cell>
          <cell r="R5">
            <v>0.10101010101010101</v>
          </cell>
          <cell r="S5">
            <v>0.10101010101010101</v>
          </cell>
          <cell r="T5">
            <v>0.15151515151515149</v>
          </cell>
          <cell r="U5">
            <v>4.0404040404040401E-2</v>
          </cell>
          <cell r="V5">
            <v>4.0404040404040401E-2</v>
          </cell>
          <cell r="W5">
            <v>2.02020202020202E-2</v>
          </cell>
          <cell r="Y5">
            <v>0.10101010101010101</v>
          </cell>
          <cell r="Z5">
            <v>0.01</v>
          </cell>
        </row>
        <row r="6">
          <cell r="A6" t="str">
            <v>1190064707</v>
          </cell>
          <cell r="C6">
            <v>4500</v>
          </cell>
          <cell r="D6">
            <v>4750</v>
          </cell>
          <cell r="E6">
            <v>5000</v>
          </cell>
          <cell r="F6">
            <v>5150</v>
          </cell>
          <cell r="G6">
            <v>5400</v>
          </cell>
          <cell r="H6">
            <v>5500</v>
          </cell>
          <cell r="I6">
            <v>5750</v>
          </cell>
          <cell r="J6">
            <v>6000</v>
          </cell>
          <cell r="K6">
            <v>6500</v>
          </cell>
          <cell r="L6">
            <v>3.4883720930232558E-2</v>
          </cell>
          <cell r="M6">
            <v>5.8139534883720936E-2</v>
          </cell>
          <cell r="N6">
            <v>0.11627906976744187</v>
          </cell>
          <cell r="O6">
            <v>5.8139534883720936E-2</v>
          </cell>
          <cell r="P6">
            <v>0.11627906976744187</v>
          </cell>
          <cell r="Q6">
            <v>0.11627906976744187</v>
          </cell>
          <cell r="R6">
            <v>0.11627906976744187</v>
          </cell>
          <cell r="S6">
            <v>0.11627906976744187</v>
          </cell>
          <cell r="T6">
            <v>0.1744186046511628</v>
          </cell>
          <cell r="U6">
            <v>4.6511627906976744E-2</v>
          </cell>
          <cell r="V6">
            <v>4.6511627906976744E-2</v>
          </cell>
        </row>
        <row r="7">
          <cell r="A7" t="str">
            <v>1190064701</v>
          </cell>
          <cell r="C7">
            <v>4500</v>
          </cell>
          <cell r="D7">
            <v>4750</v>
          </cell>
          <cell r="E7">
            <v>5000</v>
          </cell>
          <cell r="F7">
            <v>5150</v>
          </cell>
          <cell r="G7">
            <v>5400</v>
          </cell>
          <cell r="H7">
            <v>5500</v>
          </cell>
          <cell r="I7">
            <v>5750</v>
          </cell>
          <cell r="J7">
            <v>6000</v>
          </cell>
          <cell r="K7">
            <v>6500</v>
          </cell>
          <cell r="L7">
            <v>3.0927835051546389E-2</v>
          </cell>
          <cell r="M7">
            <v>5.1546391752577317E-2</v>
          </cell>
          <cell r="N7">
            <v>0.10309278350515463</v>
          </cell>
          <cell r="O7">
            <v>5.1546391752577317E-2</v>
          </cell>
          <cell r="P7">
            <v>0.10309278350515463</v>
          </cell>
          <cell r="Q7">
            <v>0.10309278350515463</v>
          </cell>
          <cell r="R7">
            <v>0.10309278350515463</v>
          </cell>
          <cell r="S7">
            <v>0.10309278350515463</v>
          </cell>
          <cell r="T7">
            <v>0.15463917525773194</v>
          </cell>
          <cell r="U7">
            <v>4.1237113402061855E-2</v>
          </cell>
          <cell r="V7">
            <v>4.1237113402061855E-2</v>
          </cell>
          <cell r="Y7">
            <v>0.10309278350515463</v>
          </cell>
          <cell r="Z7">
            <v>1.0309278350515464E-2</v>
          </cell>
        </row>
        <row r="8">
          <cell r="A8" t="str">
            <v>1190064721</v>
          </cell>
          <cell r="C8">
            <v>4500</v>
          </cell>
          <cell r="D8">
            <v>4750</v>
          </cell>
          <cell r="E8">
            <v>5000</v>
          </cell>
          <cell r="F8">
            <v>5150</v>
          </cell>
          <cell r="G8">
            <v>5400</v>
          </cell>
          <cell r="H8">
            <v>5500</v>
          </cell>
          <cell r="I8">
            <v>5750</v>
          </cell>
          <cell r="J8">
            <v>6000</v>
          </cell>
          <cell r="K8">
            <v>6500</v>
          </cell>
          <cell r="L8">
            <v>3.3333333333333326E-2</v>
          </cell>
          <cell r="M8">
            <v>5.5555555555555552E-2</v>
          </cell>
          <cell r="N8">
            <v>0.1111111111111111</v>
          </cell>
          <cell r="O8">
            <v>5.5555555555555552E-2</v>
          </cell>
          <cell r="P8">
            <v>0.1111111111111111</v>
          </cell>
          <cell r="Q8">
            <v>0.1111111111111111</v>
          </cell>
          <cell r="S8">
            <v>0.1111111111111111</v>
          </cell>
          <cell r="T8">
            <v>0.16666666666666663</v>
          </cell>
          <cell r="U8">
            <v>4.4444444444444439E-2</v>
          </cell>
          <cell r="V8">
            <v>4.4444444444444439E-2</v>
          </cell>
          <cell r="W8">
            <v>2.222222222222222E-2</v>
          </cell>
          <cell r="X8">
            <v>1.111111111111111E-2</v>
          </cell>
          <cell r="Y8">
            <v>0.1111111111111111</v>
          </cell>
          <cell r="Z8">
            <v>1.111111111111111E-2</v>
          </cell>
        </row>
        <row r="9">
          <cell r="A9" t="str">
            <v>1190064719</v>
          </cell>
          <cell r="C9">
            <v>4500</v>
          </cell>
          <cell r="D9">
            <v>4750</v>
          </cell>
          <cell r="E9">
            <v>5000</v>
          </cell>
          <cell r="F9">
            <v>5150</v>
          </cell>
          <cell r="G9">
            <v>5400</v>
          </cell>
          <cell r="H9">
            <v>5500</v>
          </cell>
          <cell r="I9">
            <v>5750</v>
          </cell>
          <cell r="J9">
            <v>6000</v>
          </cell>
          <cell r="K9">
            <v>6500</v>
          </cell>
          <cell r="L9">
            <v>3.4883720930232558E-2</v>
          </cell>
          <cell r="M9">
            <v>5.8139534883720936E-2</v>
          </cell>
          <cell r="N9">
            <v>0.11627906976744187</v>
          </cell>
          <cell r="O9">
            <v>5.8139534883720936E-2</v>
          </cell>
          <cell r="P9">
            <v>0.11627906976744187</v>
          </cell>
          <cell r="Q9">
            <v>0.11627906976744187</v>
          </cell>
          <cell r="R9">
            <v>0.11627906976744187</v>
          </cell>
          <cell r="S9">
            <v>0.11627906976744187</v>
          </cell>
          <cell r="T9">
            <v>0.1744186046511628</v>
          </cell>
          <cell r="U9">
            <v>4.6511627906976744E-2</v>
          </cell>
          <cell r="V9">
            <v>4.6511627906976744E-2</v>
          </cell>
        </row>
        <row r="10">
          <cell r="A10" t="str">
            <v>078508</v>
          </cell>
          <cell r="C10">
            <v>4500</v>
          </cell>
          <cell r="D10">
            <v>4750</v>
          </cell>
          <cell r="E10">
            <v>5000</v>
          </cell>
          <cell r="F10">
            <v>5150</v>
          </cell>
          <cell r="G10">
            <v>5400</v>
          </cell>
          <cell r="H10">
            <v>5500</v>
          </cell>
          <cell r="I10">
            <v>5750</v>
          </cell>
          <cell r="J10">
            <v>6000</v>
          </cell>
          <cell r="K10">
            <v>6500</v>
          </cell>
          <cell r="L10">
            <v>0.03</v>
          </cell>
          <cell r="M10">
            <v>0.05</v>
          </cell>
          <cell r="N10">
            <v>0.1</v>
          </cell>
          <cell r="O10">
            <v>0.05</v>
          </cell>
          <cell r="P10">
            <v>0.1</v>
          </cell>
          <cell r="Q10">
            <v>0.1</v>
          </cell>
          <cell r="R10">
            <v>0.1</v>
          </cell>
          <cell r="S10">
            <v>0.1</v>
          </cell>
          <cell r="T10">
            <v>0.15</v>
          </cell>
          <cell r="U10">
            <v>0.04</v>
          </cell>
          <cell r="V10">
            <v>0.04</v>
          </cell>
          <cell r="W10">
            <v>0.02</v>
          </cell>
          <cell r="X10">
            <v>0.01</v>
          </cell>
          <cell r="Y10">
            <v>0.1</v>
          </cell>
          <cell r="Z10">
            <v>0.01</v>
          </cell>
        </row>
        <row r="11">
          <cell r="A11" t="str">
            <v>1190064725</v>
          </cell>
          <cell r="C11">
            <v>3600</v>
          </cell>
          <cell r="D11">
            <v>3800</v>
          </cell>
          <cell r="E11">
            <v>4000</v>
          </cell>
          <cell r="F11">
            <v>4120</v>
          </cell>
          <cell r="G11">
            <v>4320</v>
          </cell>
          <cell r="H11">
            <v>4400</v>
          </cell>
          <cell r="I11">
            <v>4600</v>
          </cell>
          <cell r="J11">
            <v>4800</v>
          </cell>
          <cell r="K11">
            <v>5200</v>
          </cell>
          <cell r="L11">
            <v>5.6179775280898875E-2</v>
          </cell>
          <cell r="M11">
            <v>5.6179775280898875E-2</v>
          </cell>
          <cell r="N11">
            <v>0.1685393258426966</v>
          </cell>
          <cell r="O11">
            <v>5.6179775280898875E-2</v>
          </cell>
          <cell r="P11">
            <v>0.11235955056179775</v>
          </cell>
          <cell r="Q11">
            <v>0.11235955056179775</v>
          </cell>
          <cell r="S11">
            <v>0.15730337078651685</v>
          </cell>
          <cell r="T11">
            <v>0.1685393258426966</v>
          </cell>
          <cell r="U11">
            <v>5.6179775280898875E-2</v>
          </cell>
          <cell r="V11">
            <v>5.6179775280898875E-2</v>
          </cell>
        </row>
        <row r="12">
          <cell r="A12" t="str">
            <v>1190064702</v>
          </cell>
          <cell r="C12">
            <v>3600</v>
          </cell>
          <cell r="D12">
            <v>3800</v>
          </cell>
          <cell r="E12">
            <v>4000</v>
          </cell>
          <cell r="F12">
            <v>4120</v>
          </cell>
          <cell r="G12">
            <v>4320</v>
          </cell>
          <cell r="H12">
            <v>4400</v>
          </cell>
          <cell r="I12">
            <v>4600</v>
          </cell>
          <cell r="J12">
            <v>4800</v>
          </cell>
          <cell r="K12">
            <v>5200</v>
          </cell>
          <cell r="S12">
            <v>0.92307692307692302</v>
          </cell>
          <cell r="X12">
            <v>7.6923076923076927E-2</v>
          </cell>
        </row>
        <row r="13">
          <cell r="A13" t="str">
            <v>1190064708</v>
          </cell>
          <cell r="C13">
            <v>3600</v>
          </cell>
          <cell r="D13">
            <v>3800</v>
          </cell>
          <cell r="E13">
            <v>4000</v>
          </cell>
          <cell r="F13">
            <v>4120</v>
          </cell>
          <cell r="G13">
            <v>4320</v>
          </cell>
          <cell r="H13">
            <v>4400</v>
          </cell>
          <cell r="I13">
            <v>4600</v>
          </cell>
          <cell r="J13">
            <v>4800</v>
          </cell>
          <cell r="K13">
            <v>5200</v>
          </cell>
          <cell r="N13">
            <v>0.5</v>
          </cell>
          <cell r="T13">
            <v>0.5</v>
          </cell>
        </row>
        <row r="14">
          <cell r="A14" t="str">
            <v>1190064704</v>
          </cell>
          <cell r="C14">
            <v>4500</v>
          </cell>
          <cell r="D14">
            <v>4750</v>
          </cell>
          <cell r="E14">
            <v>5000</v>
          </cell>
          <cell r="F14">
            <v>5150</v>
          </cell>
          <cell r="G14">
            <v>5400</v>
          </cell>
          <cell r="H14">
            <v>5500</v>
          </cell>
          <cell r="I14">
            <v>5750</v>
          </cell>
          <cell r="J14">
            <v>6000</v>
          </cell>
          <cell r="K14">
            <v>6500</v>
          </cell>
          <cell r="L14">
            <v>5.3571428571428575E-2</v>
          </cell>
          <cell r="M14">
            <v>8.9285714285714302E-2</v>
          </cell>
          <cell r="O14">
            <v>8.9285714285714302E-2</v>
          </cell>
          <cell r="P14">
            <v>0.19642857142857145</v>
          </cell>
          <cell r="Q14">
            <v>0.2142857142857143</v>
          </cell>
          <cell r="R14">
            <v>0.1785714285714286</v>
          </cell>
          <cell r="U14">
            <v>8.9285714285714302E-2</v>
          </cell>
          <cell r="V14">
            <v>8.9285714285714302E-2</v>
          </cell>
        </row>
        <row r="15">
          <cell r="A15" t="str">
            <v>077659</v>
          </cell>
          <cell r="C15">
            <v>4500</v>
          </cell>
          <cell r="D15">
            <v>4750</v>
          </cell>
          <cell r="E15">
            <v>5000</v>
          </cell>
          <cell r="F15">
            <v>5150</v>
          </cell>
          <cell r="G15">
            <v>5400</v>
          </cell>
          <cell r="H15">
            <v>5500</v>
          </cell>
          <cell r="I15">
            <v>5750</v>
          </cell>
          <cell r="J15">
            <v>6000</v>
          </cell>
          <cell r="K15">
            <v>6500</v>
          </cell>
          <cell r="L15">
            <v>3.03030303030303E-2</v>
          </cell>
          <cell r="M15">
            <v>5.0505050505050504E-2</v>
          </cell>
          <cell r="N15">
            <v>0.15151515151515149</v>
          </cell>
          <cell r="O15">
            <v>5.0505050505050504E-2</v>
          </cell>
          <cell r="P15">
            <v>0.1111111111111111</v>
          </cell>
          <cell r="Q15">
            <v>0.1212121212121212</v>
          </cell>
          <cell r="R15">
            <v>0.10101010101010101</v>
          </cell>
          <cell r="S15">
            <v>0.1212121212121212</v>
          </cell>
          <cell r="T15">
            <v>0.15151515151515149</v>
          </cell>
          <cell r="U15">
            <v>5.0505050505050504E-2</v>
          </cell>
          <cell r="V15">
            <v>5.0505050505050504E-2</v>
          </cell>
          <cell r="X15">
            <v>1.01010101010101E-2</v>
          </cell>
        </row>
        <row r="16">
          <cell r="A16" t="str">
            <v>1190064713</v>
          </cell>
          <cell r="C16">
            <v>4500</v>
          </cell>
          <cell r="D16">
            <v>4750</v>
          </cell>
          <cell r="E16">
            <v>5000</v>
          </cell>
          <cell r="F16">
            <v>5150</v>
          </cell>
          <cell r="G16">
            <v>5400</v>
          </cell>
          <cell r="H16">
            <v>5500</v>
          </cell>
          <cell r="I16">
            <v>5750</v>
          </cell>
          <cell r="J16">
            <v>6000</v>
          </cell>
          <cell r="K16">
            <v>6500</v>
          </cell>
          <cell r="N16">
            <v>0.26666666666666666</v>
          </cell>
          <cell r="S16">
            <v>0.22222222222222227</v>
          </cell>
          <cell r="T16">
            <v>0.26666666666666666</v>
          </cell>
          <cell r="Y16">
            <v>0.22222222222222227</v>
          </cell>
          <cell r="Z16">
            <v>2.2222222222222227E-2</v>
          </cell>
        </row>
        <row r="17">
          <cell r="A17" t="str">
            <v>1190064709</v>
          </cell>
          <cell r="C17">
            <v>4500</v>
          </cell>
          <cell r="D17">
            <v>4750</v>
          </cell>
          <cell r="E17">
            <v>5000</v>
          </cell>
          <cell r="F17">
            <v>5150</v>
          </cell>
          <cell r="G17">
            <v>5400</v>
          </cell>
          <cell r="H17">
            <v>5500</v>
          </cell>
          <cell r="I17">
            <v>5750</v>
          </cell>
          <cell r="J17">
            <v>6000</v>
          </cell>
          <cell r="K17">
            <v>6500</v>
          </cell>
          <cell r="L17">
            <v>5.5555555555555559E-2</v>
          </cell>
          <cell r="M17">
            <v>9.2592592592592615E-2</v>
          </cell>
          <cell r="O17">
            <v>9.2592592592592615E-2</v>
          </cell>
          <cell r="P17">
            <v>0.18518518518518523</v>
          </cell>
          <cell r="Q17">
            <v>0.20370370370370372</v>
          </cell>
          <cell r="R17">
            <v>0.18518518518518523</v>
          </cell>
          <cell r="U17">
            <v>7.4074074074074084E-2</v>
          </cell>
          <cell r="V17">
            <v>7.4074074074074084E-2</v>
          </cell>
          <cell r="W17">
            <v>3.7037037037037042E-2</v>
          </cell>
        </row>
        <row r="18">
          <cell r="A18" t="str">
            <v>1190064703</v>
          </cell>
          <cell r="C18">
            <v>4500</v>
          </cell>
          <cell r="D18">
            <v>4750</v>
          </cell>
          <cell r="E18">
            <v>5000</v>
          </cell>
          <cell r="F18">
            <v>5150</v>
          </cell>
          <cell r="G18">
            <v>5400</v>
          </cell>
          <cell r="H18">
            <v>5500</v>
          </cell>
          <cell r="I18">
            <v>5750</v>
          </cell>
          <cell r="J18">
            <v>6000</v>
          </cell>
          <cell r="K18">
            <v>6500</v>
          </cell>
          <cell r="N18">
            <v>0.35294117647058826</v>
          </cell>
          <cell r="S18">
            <v>0.29411764705882359</v>
          </cell>
          <cell r="T18">
            <v>0.35294117647058826</v>
          </cell>
        </row>
        <row r="19">
          <cell r="A19" t="str">
            <v>1190064717</v>
          </cell>
          <cell r="C19">
            <v>4500</v>
          </cell>
          <cell r="D19">
            <v>4750</v>
          </cell>
          <cell r="E19">
            <v>5000</v>
          </cell>
          <cell r="F19">
            <v>5150</v>
          </cell>
          <cell r="G19">
            <v>5400</v>
          </cell>
          <cell r="H19">
            <v>5500</v>
          </cell>
          <cell r="I19">
            <v>5750</v>
          </cell>
          <cell r="J19">
            <v>6000</v>
          </cell>
          <cell r="K19">
            <v>6500</v>
          </cell>
          <cell r="L19">
            <v>5.7692307692307689E-2</v>
          </cell>
          <cell r="M19">
            <v>9.6153846153846159E-2</v>
          </cell>
          <cell r="O19">
            <v>9.6153846153846159E-2</v>
          </cell>
          <cell r="P19">
            <v>0.19230769230769232</v>
          </cell>
          <cell r="Q19">
            <v>0.21153846153846154</v>
          </cell>
          <cell r="R19">
            <v>0.19230769230769232</v>
          </cell>
          <cell r="U19">
            <v>7.6923076923076927E-2</v>
          </cell>
          <cell r="V19">
            <v>7.6923076923076927E-2</v>
          </cell>
        </row>
        <row r="20">
          <cell r="A20" t="str">
            <v>102041</v>
          </cell>
          <cell r="C20">
            <v>4500</v>
          </cell>
          <cell r="D20">
            <v>4750</v>
          </cell>
          <cell r="E20">
            <v>5000</v>
          </cell>
          <cell r="F20">
            <v>5150</v>
          </cell>
          <cell r="G20">
            <v>5400</v>
          </cell>
          <cell r="H20">
            <v>5500</v>
          </cell>
          <cell r="I20">
            <v>5750</v>
          </cell>
          <cell r="J20">
            <v>6000</v>
          </cell>
          <cell r="K20">
            <v>6500</v>
          </cell>
          <cell r="L20">
            <v>3.03030303030303E-2</v>
          </cell>
          <cell r="M20">
            <v>5.0505050505050504E-2</v>
          </cell>
          <cell r="N20">
            <v>0.1212121212121212</v>
          </cell>
          <cell r="O20">
            <v>5.0505050505050504E-2</v>
          </cell>
          <cell r="P20">
            <v>0.10101010101010101</v>
          </cell>
          <cell r="Q20">
            <v>0.1111111111111111</v>
          </cell>
          <cell r="R20">
            <v>0.10101010101010101</v>
          </cell>
          <cell r="S20">
            <v>0.10101010101010101</v>
          </cell>
          <cell r="T20">
            <v>0.1212121212121212</v>
          </cell>
          <cell r="U20">
            <v>4.0404040404040401E-2</v>
          </cell>
          <cell r="V20">
            <v>4.0404040404040401E-2</v>
          </cell>
          <cell r="W20">
            <v>2.02020202020202E-2</v>
          </cell>
          <cell r="Y20">
            <v>0.10101010101010101</v>
          </cell>
          <cell r="Z20">
            <v>1.01010101010101E-2</v>
          </cell>
        </row>
        <row r="21">
          <cell r="A21" t="str">
            <v>1190064710</v>
          </cell>
          <cell r="C21">
            <v>4500</v>
          </cell>
          <cell r="D21">
            <v>4750</v>
          </cell>
          <cell r="E21">
            <v>5000</v>
          </cell>
          <cell r="F21">
            <v>5150</v>
          </cell>
          <cell r="G21">
            <v>5400</v>
          </cell>
          <cell r="H21">
            <v>5500</v>
          </cell>
          <cell r="I21">
            <v>5750</v>
          </cell>
          <cell r="J21">
            <v>6000</v>
          </cell>
          <cell r="K21">
            <v>6500</v>
          </cell>
          <cell r="W21">
            <v>0.7</v>
          </cell>
          <cell r="X21">
            <v>0.3</v>
          </cell>
        </row>
        <row r="22">
          <cell r="A22" t="str">
            <v>102046</v>
          </cell>
          <cell r="C22">
            <v>4500</v>
          </cell>
          <cell r="D22">
            <v>4750</v>
          </cell>
          <cell r="E22">
            <v>5000</v>
          </cell>
          <cell r="F22">
            <v>5150</v>
          </cell>
          <cell r="G22">
            <v>5400</v>
          </cell>
          <cell r="H22">
            <v>5500</v>
          </cell>
          <cell r="I22">
            <v>5750</v>
          </cell>
          <cell r="J22">
            <v>6000</v>
          </cell>
          <cell r="K22">
            <v>6500</v>
          </cell>
          <cell r="W22">
            <v>0.7</v>
          </cell>
          <cell r="X22">
            <v>0.3</v>
          </cell>
        </row>
        <row r="23">
          <cell r="A23" t="str">
            <v>1190064720</v>
          </cell>
          <cell r="C23">
            <v>4950</v>
          </cell>
          <cell r="D23">
            <v>5225</v>
          </cell>
          <cell r="E23">
            <v>5500</v>
          </cell>
          <cell r="F23">
            <v>5665</v>
          </cell>
          <cell r="G23">
            <v>5940</v>
          </cell>
          <cell r="H23">
            <v>6050.0000000000009</v>
          </cell>
          <cell r="I23">
            <v>6324.9999999999991</v>
          </cell>
          <cell r="J23">
            <v>6600</v>
          </cell>
          <cell r="K23">
            <v>7150</v>
          </cell>
          <cell r="L23">
            <v>3.1578947368421047E-2</v>
          </cell>
          <cell r="M23">
            <v>3.1578947368421047E-2</v>
          </cell>
          <cell r="N23">
            <v>0.15789473684210525</v>
          </cell>
          <cell r="O23">
            <v>5.2631578947368418E-2</v>
          </cell>
          <cell r="P23">
            <v>0.11578947368421053</v>
          </cell>
          <cell r="Q23">
            <v>0.10526315789473684</v>
          </cell>
          <cell r="R23">
            <v>0.12631578947368419</v>
          </cell>
          <cell r="S23">
            <v>0.12631578947368419</v>
          </cell>
          <cell r="T23">
            <v>0.15789473684210525</v>
          </cell>
          <cell r="U23">
            <v>5.2631578947368418E-2</v>
          </cell>
          <cell r="V23">
            <v>4.2105263157894736E-2</v>
          </cell>
        </row>
        <row r="24">
          <cell r="A24" t="str">
            <v>1190064714</v>
          </cell>
          <cell r="C24">
            <v>4950</v>
          </cell>
          <cell r="D24">
            <v>5225</v>
          </cell>
          <cell r="E24">
            <v>5500</v>
          </cell>
          <cell r="F24">
            <v>5665</v>
          </cell>
          <cell r="G24">
            <v>5940</v>
          </cell>
          <cell r="H24">
            <v>6050.0000000000009</v>
          </cell>
          <cell r="I24">
            <v>6324.9999999999991</v>
          </cell>
          <cell r="J24">
            <v>6600</v>
          </cell>
          <cell r="K24">
            <v>7150</v>
          </cell>
          <cell r="N24">
            <v>0.4285714285714286</v>
          </cell>
          <cell r="T24">
            <v>0.4285714285714286</v>
          </cell>
          <cell r="U24">
            <v>0.14285714285714288</v>
          </cell>
        </row>
        <row r="25">
          <cell r="A25" t="str">
            <v>1190064705</v>
          </cell>
          <cell r="C25">
            <v>4950</v>
          </cell>
          <cell r="D25">
            <v>5225</v>
          </cell>
          <cell r="E25">
            <v>5500</v>
          </cell>
          <cell r="F25">
            <v>5665</v>
          </cell>
          <cell r="G25">
            <v>5940</v>
          </cell>
          <cell r="H25">
            <v>6050.0000000000009</v>
          </cell>
          <cell r="I25">
            <v>6324.9999999999991</v>
          </cell>
          <cell r="J25">
            <v>6600</v>
          </cell>
          <cell r="K25">
            <v>7150</v>
          </cell>
          <cell r="M25">
            <v>8.3333333333333329E-2</v>
          </cell>
          <cell r="P25">
            <v>0.30555555555555558</v>
          </cell>
          <cell r="Q25">
            <v>0.27777777777777779</v>
          </cell>
          <cell r="R25">
            <v>0.33333333333333331</v>
          </cell>
        </row>
        <row r="26">
          <cell r="A26" t="str">
            <v>1190064711</v>
          </cell>
          <cell r="C26">
            <v>4950</v>
          </cell>
          <cell r="D26">
            <v>5225</v>
          </cell>
          <cell r="E26">
            <v>5500</v>
          </cell>
          <cell r="F26">
            <v>5665</v>
          </cell>
          <cell r="G26">
            <v>5940</v>
          </cell>
          <cell r="H26">
            <v>6050.0000000000009</v>
          </cell>
          <cell r="I26">
            <v>6324.9999999999991</v>
          </cell>
          <cell r="J26">
            <v>6600</v>
          </cell>
          <cell r="K26">
            <v>7150</v>
          </cell>
          <cell r="L26">
            <v>0.12499999999999999</v>
          </cell>
          <cell r="O26">
            <v>0.20833333333333331</v>
          </cell>
          <cell r="S26">
            <v>0.49999999999999994</v>
          </cell>
          <cell r="V26">
            <v>0.16666666666666666</v>
          </cell>
        </row>
        <row r="27">
          <cell r="A27" t="str">
            <v>065131</v>
          </cell>
          <cell r="C27">
            <v>5400</v>
          </cell>
          <cell r="D27">
            <v>5700</v>
          </cell>
          <cell r="E27">
            <v>6000</v>
          </cell>
          <cell r="F27">
            <v>6180</v>
          </cell>
          <cell r="G27">
            <v>6480</v>
          </cell>
          <cell r="H27">
            <v>6600.0000000000009</v>
          </cell>
          <cell r="I27">
            <v>6899.9999999999991</v>
          </cell>
          <cell r="J27">
            <v>7200</v>
          </cell>
          <cell r="K27">
            <v>7800</v>
          </cell>
          <cell r="L27">
            <v>3.1578947368421047E-2</v>
          </cell>
          <cell r="M27">
            <v>3.1578947368421047E-2</v>
          </cell>
          <cell r="N27">
            <v>0.15789473684210525</v>
          </cell>
          <cell r="O27">
            <v>5.2631578947368418E-2</v>
          </cell>
          <cell r="P27">
            <v>0.11578947368421053</v>
          </cell>
          <cell r="Q27">
            <v>0.10526315789473684</v>
          </cell>
          <cell r="R27">
            <v>0.12631578947368419</v>
          </cell>
          <cell r="S27">
            <v>0.12631578947368419</v>
          </cell>
          <cell r="T27">
            <v>0.15789473684210525</v>
          </cell>
          <cell r="U27">
            <v>5.2631578947368418E-2</v>
          </cell>
          <cell r="V27">
            <v>4.2105263157894736E-2</v>
          </cell>
        </row>
        <row r="28">
          <cell r="A28" t="str">
            <v>076441</v>
          </cell>
          <cell r="C28">
            <v>5400</v>
          </cell>
          <cell r="D28">
            <v>5700</v>
          </cell>
          <cell r="E28">
            <v>6000</v>
          </cell>
          <cell r="F28">
            <v>6180</v>
          </cell>
          <cell r="G28">
            <v>6480</v>
          </cell>
          <cell r="H28">
            <v>6600.0000000000009</v>
          </cell>
          <cell r="I28">
            <v>6899.9999999999991</v>
          </cell>
          <cell r="J28">
            <v>7200</v>
          </cell>
          <cell r="K28">
            <v>7800</v>
          </cell>
          <cell r="L28">
            <v>0.1719</v>
          </cell>
          <cell r="M28">
            <v>0.12570000000000001</v>
          </cell>
          <cell r="N28">
            <v>0.3654</v>
          </cell>
          <cell r="O28">
            <v>2.0299999999999999E-2</v>
          </cell>
          <cell r="P28">
            <v>1.3299999999999999E-2</v>
          </cell>
          <cell r="Q28">
            <v>2.0400000000000001E-2</v>
          </cell>
          <cell r="R28">
            <v>3.0999999999999999E-3</v>
          </cell>
          <cell r="S28">
            <v>0.20080000000000001</v>
          </cell>
          <cell r="T28">
            <v>5.6000000000000001E-2</v>
          </cell>
          <cell r="U28">
            <v>1.2E-2</v>
          </cell>
          <cell r="V28">
            <v>5.1999999999999998E-3</v>
          </cell>
          <cell r="W28">
            <v>3.3000000000000004E-3</v>
          </cell>
          <cell r="X28">
            <v>1E-4</v>
          </cell>
          <cell r="Y28">
            <v>2.3999999999999998E-3</v>
          </cell>
          <cell r="Z28">
            <v>1E-4</v>
          </cell>
        </row>
        <row r="29">
          <cell r="A29" t="str">
            <v>066446</v>
          </cell>
          <cell r="C29">
            <v>5400</v>
          </cell>
          <cell r="D29">
            <v>5700</v>
          </cell>
          <cell r="E29">
            <v>6000</v>
          </cell>
          <cell r="F29">
            <v>6180</v>
          </cell>
          <cell r="G29">
            <v>6480</v>
          </cell>
          <cell r="H29">
            <v>6600.0000000000009</v>
          </cell>
          <cell r="I29">
            <v>6899.9999999999991</v>
          </cell>
          <cell r="J29">
            <v>7200</v>
          </cell>
          <cell r="K29">
            <v>7800</v>
          </cell>
          <cell r="L29">
            <v>0.21112111211121112</v>
          </cell>
          <cell r="M29">
            <v>0.28692869286928691</v>
          </cell>
          <cell r="N29">
            <v>0.20632063206320633</v>
          </cell>
          <cell r="O29">
            <v>2.1702170217021702E-2</v>
          </cell>
          <cell r="P29">
            <v>9.0009000900089994E-3</v>
          </cell>
          <cell r="Q29">
            <v>2.7002700270027002E-2</v>
          </cell>
          <cell r="R29">
            <v>3.8003800380038005E-3</v>
          </cell>
          <cell r="S29">
            <v>0.13521352135213519</v>
          </cell>
          <cell r="T29">
            <v>7.9707970797079697E-2</v>
          </cell>
          <cell r="U29">
            <v>1.4501450145014501E-2</v>
          </cell>
          <cell r="V29">
            <v>4.1004100410041008E-3</v>
          </cell>
          <cell r="W29">
            <v>1.0001000100010001E-4</v>
          </cell>
          <cell r="Y29">
            <v>4.0004000400040005E-4</v>
          </cell>
          <cell r="Z29">
            <v>1.0001000100010001E-4</v>
          </cell>
        </row>
        <row r="30">
          <cell r="A30" t="str">
            <v>101755</v>
          </cell>
          <cell r="C30">
            <v>5400</v>
          </cell>
          <cell r="D30">
            <v>5700</v>
          </cell>
          <cell r="E30">
            <v>6000</v>
          </cell>
          <cell r="F30">
            <v>6180</v>
          </cell>
          <cell r="G30">
            <v>6480</v>
          </cell>
          <cell r="H30">
            <v>6600.0000000000009</v>
          </cell>
          <cell r="I30">
            <v>6899.9999999999991</v>
          </cell>
          <cell r="J30">
            <v>7200</v>
          </cell>
          <cell r="K30">
            <v>7800</v>
          </cell>
          <cell r="L30">
            <v>0.03</v>
          </cell>
          <cell r="M30">
            <v>0.03</v>
          </cell>
          <cell r="N30">
            <v>0.1</v>
          </cell>
          <cell r="O30">
            <v>0.05</v>
          </cell>
          <cell r="P30">
            <v>0.1</v>
          </cell>
          <cell r="Q30">
            <v>0.1</v>
          </cell>
          <cell r="R30">
            <v>0.1</v>
          </cell>
          <cell r="S30">
            <v>0.08</v>
          </cell>
          <cell r="T30">
            <v>7.0000000000000007E-2</v>
          </cell>
          <cell r="U30">
            <v>0.03</v>
          </cell>
          <cell r="V30">
            <v>0.03</v>
          </cell>
          <cell r="W30">
            <v>0.09</v>
          </cell>
          <cell r="X30">
            <v>0.08</v>
          </cell>
          <cell r="Y30">
            <v>0.1</v>
          </cell>
          <cell r="Z30">
            <v>0.01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DEA0-F838-44DD-AC94-35C51BE42DB9}">
  <sheetPr codeName="Sheet1">
    <tabColor theme="4"/>
  </sheetPr>
  <dimension ref="A1:AA48"/>
  <sheetViews>
    <sheetView showGridLines="0" topLeftCell="E1" zoomScale="70" zoomScaleNormal="70" workbookViewId="0">
      <selection activeCell="J3" sqref="J3:R3"/>
    </sheetView>
  </sheetViews>
  <sheetFormatPr defaultColWidth="8.59765625" defaultRowHeight="14.4" x14ac:dyDescent="0.3"/>
  <cols>
    <col min="1" max="1" width="13" style="2" customWidth="1"/>
    <col min="2" max="2" width="11.3984375" style="2" customWidth="1"/>
    <col min="3" max="3" width="9.8984375" style="2" customWidth="1"/>
    <col min="4" max="4" width="9.59765625" style="2" bestFit="1" customWidth="1"/>
    <col min="5" max="5" width="10.8984375" style="2" bestFit="1" customWidth="1"/>
    <col min="6" max="6" width="4.3984375" style="2" customWidth="1"/>
    <col min="7" max="7" width="9.3984375" style="2" bestFit="1" customWidth="1"/>
    <col min="8" max="8" width="9.59765625" style="2" bestFit="1" customWidth="1"/>
    <col min="9" max="9" width="18.59765625" style="2" customWidth="1"/>
    <col min="10" max="10" width="12.09765625" style="2" customWidth="1"/>
    <col min="11" max="12" width="11.59765625" style="2" customWidth="1"/>
    <col min="13" max="13" width="12" style="2" customWidth="1"/>
    <col min="14" max="14" width="12.8984375" style="2" customWidth="1"/>
    <col min="15" max="15" width="15.09765625" style="2" customWidth="1"/>
    <col min="16" max="16" width="14.5" style="2" customWidth="1"/>
    <col min="17" max="17" width="13" style="2" customWidth="1"/>
    <col min="18" max="18" width="15.09765625" style="2" customWidth="1"/>
    <col min="19" max="20" width="8.59765625" style="2"/>
    <col min="21" max="21" width="15.8984375" style="2" bestFit="1" customWidth="1"/>
    <col min="22" max="22" width="12.09765625" style="2" bestFit="1" customWidth="1"/>
    <col min="23" max="24" width="9.59765625" style="2" bestFit="1" customWidth="1"/>
    <col min="25" max="26" width="10.5" style="2" bestFit="1" customWidth="1"/>
    <col min="27" max="16384" width="8.59765625" style="2"/>
  </cols>
  <sheetData>
    <row r="1" spans="3:27" ht="15" thickBot="1" x14ac:dyDescent="0.35">
      <c r="G1" s="3"/>
      <c r="H1" s="4"/>
      <c r="I1" s="4"/>
      <c r="J1" s="207">
        <f>$H$4+($H$4*J3)</f>
        <v>3600</v>
      </c>
      <c r="K1" s="207">
        <f>$H$4+($H$4*K3)</f>
        <v>3800</v>
      </c>
      <c r="L1" s="4"/>
      <c r="M1" s="4"/>
      <c r="N1" s="4"/>
      <c r="O1" s="4"/>
      <c r="P1" s="4"/>
      <c r="Q1" s="4"/>
      <c r="R1" s="4"/>
      <c r="S1" s="5"/>
    </row>
    <row r="2" spans="3:27" ht="15" thickBot="1" x14ac:dyDescent="0.35">
      <c r="G2" s="6"/>
      <c r="I2" s="7"/>
      <c r="J2" s="8">
        <v>4000</v>
      </c>
      <c r="K2" s="8">
        <v>4000</v>
      </c>
      <c r="L2" s="8">
        <f t="shared" ref="L2:Q2" si="0">$H$4+($H$4*L3)</f>
        <v>4000</v>
      </c>
      <c r="M2" s="8">
        <f t="shared" si="0"/>
        <v>4120</v>
      </c>
      <c r="N2" s="8">
        <f t="shared" si="0"/>
        <v>4320</v>
      </c>
      <c r="O2" s="8">
        <f t="shared" si="0"/>
        <v>4400</v>
      </c>
      <c r="P2" s="8">
        <f t="shared" si="0"/>
        <v>4600</v>
      </c>
      <c r="Q2" s="8">
        <f t="shared" si="0"/>
        <v>4800</v>
      </c>
      <c r="R2" s="9">
        <f>$H$4+($H$4*R3)</f>
        <v>5200</v>
      </c>
      <c r="S2" s="10"/>
    </row>
    <row r="3" spans="3:27" ht="15" thickBot="1" x14ac:dyDescent="0.35">
      <c r="D3" s="11" t="s">
        <v>0</v>
      </c>
      <c r="E3" s="12"/>
      <c r="G3" s="13"/>
      <c r="H3" s="14"/>
      <c r="I3" s="15" t="s">
        <v>1</v>
      </c>
      <c r="J3" s="95">
        <v>-0.1</v>
      </c>
      <c r="K3" s="95">
        <v>-0.05</v>
      </c>
      <c r="L3" s="95">
        <v>0</v>
      </c>
      <c r="M3" s="124">
        <v>0.03</v>
      </c>
      <c r="N3" s="124">
        <v>0.08</v>
      </c>
      <c r="O3" s="95">
        <v>0.1</v>
      </c>
      <c r="P3" s="16">
        <v>0.15</v>
      </c>
      <c r="Q3" s="16">
        <v>0.2</v>
      </c>
      <c r="R3" s="17">
        <v>0.3</v>
      </c>
      <c r="S3" s="10"/>
      <c r="U3" s="18" t="s">
        <v>2</v>
      </c>
      <c r="V3" s="19"/>
      <c r="W3" s="19"/>
      <c r="X3" s="19"/>
      <c r="Y3" s="19"/>
      <c r="Z3" s="19"/>
      <c r="AA3" s="20"/>
    </row>
    <row r="4" spans="3:27" ht="15" thickBot="1" x14ac:dyDescent="0.35">
      <c r="C4" s="2" t="s">
        <v>3</v>
      </c>
      <c r="D4" s="11" t="s">
        <v>4</v>
      </c>
      <c r="E4" s="12" t="s">
        <v>5</v>
      </c>
      <c r="G4" s="21" t="s">
        <v>6</v>
      </c>
      <c r="H4" s="22">
        <v>4000</v>
      </c>
      <c r="I4" s="23" t="s">
        <v>7</v>
      </c>
      <c r="J4" s="24">
        <v>0.9</v>
      </c>
      <c r="K4" s="24">
        <v>0.95</v>
      </c>
      <c r="L4" s="24">
        <v>1</v>
      </c>
      <c r="M4" s="24">
        <v>1.03</v>
      </c>
      <c r="N4" s="24">
        <v>1.06</v>
      </c>
      <c r="O4" s="24">
        <v>1.1000000000000001</v>
      </c>
      <c r="P4" s="24">
        <v>1.1499999999999999</v>
      </c>
      <c r="Q4" s="24">
        <v>1.2</v>
      </c>
      <c r="R4" s="25">
        <v>1.3</v>
      </c>
      <c r="S4" s="10"/>
      <c r="U4" s="26"/>
      <c r="V4" s="27"/>
      <c r="W4" s="28">
        <v>45566</v>
      </c>
      <c r="X4" s="28">
        <v>45597</v>
      </c>
      <c r="Y4" s="28">
        <v>45627</v>
      </c>
      <c r="Z4" s="27" t="s">
        <v>8</v>
      </c>
      <c r="AA4" s="29"/>
    </row>
    <row r="5" spans="3:27" ht="15" thickBot="1" x14ac:dyDescent="0.35">
      <c r="C5" s="2" t="s">
        <v>9</v>
      </c>
      <c r="D5" s="30">
        <v>5000</v>
      </c>
      <c r="E5" s="30">
        <v>5000</v>
      </c>
      <c r="F5" s="30"/>
      <c r="G5" s="6"/>
      <c r="M5" s="94"/>
      <c r="S5" s="10"/>
      <c r="U5" s="26" t="s">
        <v>10</v>
      </c>
      <c r="V5" s="27" t="s">
        <v>11</v>
      </c>
      <c r="W5" s="31">
        <v>5000</v>
      </c>
      <c r="X5" s="31">
        <v>5000</v>
      </c>
      <c r="Y5" s="31">
        <v>5000</v>
      </c>
      <c r="Z5" s="31">
        <f>SUM(W5:Y5)</f>
        <v>15000</v>
      </c>
      <c r="AA5" s="29"/>
    </row>
    <row r="6" spans="3:27" x14ac:dyDescent="0.3">
      <c r="C6" s="27" t="s">
        <v>12</v>
      </c>
      <c r="D6" s="32">
        <v>4000</v>
      </c>
      <c r="E6" s="30">
        <v>4000</v>
      </c>
      <c r="F6" s="30"/>
      <c r="G6" s="6" t="s">
        <v>13</v>
      </c>
      <c r="H6" s="83">
        <v>0.05</v>
      </c>
      <c r="I6" s="72" t="s">
        <v>14</v>
      </c>
      <c r="J6" s="73">
        <f>H6*$J$2</f>
        <v>200</v>
      </c>
      <c r="K6" s="73">
        <f>H6*$K$2</f>
        <v>200</v>
      </c>
      <c r="L6" s="96">
        <f>H6*$L$2</f>
        <v>200</v>
      </c>
      <c r="M6" s="77">
        <f>H6*$M$2</f>
        <v>206</v>
      </c>
      <c r="N6" s="73">
        <f>H6*$N$2</f>
        <v>216</v>
      </c>
      <c r="O6" s="73">
        <f>H6*$O$2</f>
        <v>220</v>
      </c>
      <c r="P6" s="73">
        <f>H6*$P$2</f>
        <v>230</v>
      </c>
      <c r="Q6" s="73">
        <f>H6*$Q$2</f>
        <v>240</v>
      </c>
      <c r="R6" s="73">
        <f>H6*$R$2</f>
        <v>260</v>
      </c>
      <c r="S6" s="10"/>
      <c r="U6" s="26"/>
      <c r="V6" s="27"/>
      <c r="W6" s="31"/>
      <c r="X6" s="31"/>
      <c r="Y6" s="31"/>
      <c r="Z6" s="31"/>
      <c r="AA6" s="29"/>
    </row>
    <row r="7" spans="3:27" x14ac:dyDescent="0.3">
      <c r="C7" s="27" t="s">
        <v>15</v>
      </c>
      <c r="D7" s="32">
        <v>4000</v>
      </c>
      <c r="E7" s="30">
        <v>4000</v>
      </c>
      <c r="F7" s="30"/>
      <c r="G7" s="6"/>
      <c r="H7" s="84">
        <v>0.1</v>
      </c>
      <c r="I7" s="74" t="s">
        <v>16</v>
      </c>
      <c r="J7" s="75">
        <f t="shared" ref="J7:J20" si="1">H7*$J$2</f>
        <v>400</v>
      </c>
      <c r="K7" s="75">
        <f t="shared" ref="K7:K20" si="2">H7*$K$2</f>
        <v>400</v>
      </c>
      <c r="L7" s="91">
        <f t="shared" ref="L7:L20" si="3">H7*$L$2</f>
        <v>400</v>
      </c>
      <c r="M7" s="78">
        <f t="shared" ref="M7:M20" si="4">H7*$M$2</f>
        <v>412</v>
      </c>
      <c r="N7" s="75">
        <f t="shared" ref="N7:N20" si="5">H7*$N$2</f>
        <v>432</v>
      </c>
      <c r="O7" s="75">
        <f t="shared" ref="O7:O20" si="6">H7*$O$2</f>
        <v>440</v>
      </c>
      <c r="P7" s="75">
        <f t="shared" ref="P7:P20" si="7">H7*$P$2</f>
        <v>460</v>
      </c>
      <c r="Q7" s="75">
        <f t="shared" ref="Q7:Q20" si="8">H7*$Q$2</f>
        <v>480</v>
      </c>
      <c r="R7" s="75">
        <f t="shared" ref="R7:R20" si="9">H7*$R$2</f>
        <v>520</v>
      </c>
      <c r="S7" s="10"/>
      <c r="U7" s="26" t="s">
        <v>17</v>
      </c>
      <c r="V7" s="27" t="s">
        <v>18</v>
      </c>
      <c r="W7" s="31">
        <v>6000</v>
      </c>
      <c r="X7" s="31">
        <v>5000</v>
      </c>
      <c r="Y7" s="31">
        <v>4500</v>
      </c>
      <c r="Z7" s="31">
        <f>SUM(W7:Y7)</f>
        <v>15500</v>
      </c>
      <c r="AA7" s="29"/>
    </row>
    <row r="8" spans="3:27" ht="15" thickBot="1" x14ac:dyDescent="0.35">
      <c r="C8" s="27" t="s">
        <v>19</v>
      </c>
      <c r="D8" s="32">
        <v>2500</v>
      </c>
      <c r="E8" s="30">
        <v>2500</v>
      </c>
      <c r="F8" s="30"/>
      <c r="G8" s="6"/>
      <c r="H8" s="85">
        <v>0.2</v>
      </c>
      <c r="I8" s="74" t="s">
        <v>20</v>
      </c>
      <c r="J8" s="75">
        <f t="shared" si="1"/>
        <v>800</v>
      </c>
      <c r="K8" s="75">
        <f t="shared" si="2"/>
        <v>800</v>
      </c>
      <c r="L8" s="91">
        <f t="shared" si="3"/>
        <v>800</v>
      </c>
      <c r="M8" s="78">
        <f t="shared" si="4"/>
        <v>824</v>
      </c>
      <c r="N8" s="75">
        <f t="shared" si="5"/>
        <v>864</v>
      </c>
      <c r="O8" s="75">
        <f t="shared" si="6"/>
        <v>880</v>
      </c>
      <c r="P8" s="75">
        <f t="shared" si="7"/>
        <v>920</v>
      </c>
      <c r="Q8" s="75">
        <f t="shared" si="8"/>
        <v>960</v>
      </c>
      <c r="R8" s="75">
        <f t="shared" si="9"/>
        <v>1040</v>
      </c>
      <c r="S8" s="10"/>
      <c r="U8" s="26"/>
      <c r="V8" s="27" t="s">
        <v>21</v>
      </c>
      <c r="W8" s="31">
        <f>I39</f>
        <v>1244</v>
      </c>
      <c r="X8" s="31">
        <v>5200</v>
      </c>
      <c r="Y8" s="31">
        <v>5000</v>
      </c>
      <c r="Z8" s="34">
        <f>SUM(W8:Y8)</f>
        <v>11444</v>
      </c>
      <c r="AA8" s="29"/>
    </row>
    <row r="9" spans="3:27" ht="15" thickBot="1" x14ac:dyDescent="0.35">
      <c r="C9" s="27" t="s">
        <v>22</v>
      </c>
      <c r="D9" s="32">
        <v>1200</v>
      </c>
      <c r="E9" s="30">
        <v>1200</v>
      </c>
      <c r="F9" s="30"/>
      <c r="G9" s="6"/>
      <c r="J9" s="76"/>
      <c r="K9" s="76"/>
      <c r="L9" s="91"/>
      <c r="M9" s="82"/>
      <c r="N9" s="76"/>
      <c r="O9" s="76"/>
      <c r="P9" s="76"/>
      <c r="Q9" s="76"/>
      <c r="R9" s="76"/>
      <c r="S9" s="10"/>
      <c r="U9" s="26"/>
      <c r="V9" s="34" t="s">
        <v>23</v>
      </c>
      <c r="W9" s="31">
        <v>5000</v>
      </c>
      <c r="X9" s="31">
        <v>4900</v>
      </c>
      <c r="Y9" s="31">
        <v>6500</v>
      </c>
      <c r="Z9" s="34">
        <f t="shared" ref="Z9:Z10" si="10">SUM(W9:Y9)</f>
        <v>16400</v>
      </c>
      <c r="AA9" s="29">
        <f>Z9/Z5</f>
        <v>1.0933333333333333</v>
      </c>
    </row>
    <row r="10" spans="3:27" x14ac:dyDescent="0.3">
      <c r="C10" s="36" t="s">
        <v>24</v>
      </c>
      <c r="D10" s="37"/>
      <c r="E10" s="30">
        <v>2500</v>
      </c>
      <c r="F10" s="30"/>
      <c r="G10" s="6" t="s">
        <v>25</v>
      </c>
      <c r="H10" s="87">
        <v>0.05</v>
      </c>
      <c r="I10" s="72" t="s">
        <v>26</v>
      </c>
      <c r="J10" s="75">
        <f t="shared" si="1"/>
        <v>200</v>
      </c>
      <c r="K10" s="75">
        <f t="shared" si="2"/>
        <v>200</v>
      </c>
      <c r="L10" s="91">
        <f t="shared" si="3"/>
        <v>200</v>
      </c>
      <c r="M10" s="78">
        <f t="shared" si="4"/>
        <v>206</v>
      </c>
      <c r="N10" s="75">
        <f t="shared" si="5"/>
        <v>216</v>
      </c>
      <c r="O10" s="75">
        <f t="shared" si="6"/>
        <v>220</v>
      </c>
      <c r="P10" s="75">
        <f t="shared" si="7"/>
        <v>230</v>
      </c>
      <c r="Q10" s="75">
        <f t="shared" si="8"/>
        <v>240</v>
      </c>
      <c r="R10" s="75">
        <f t="shared" si="9"/>
        <v>260</v>
      </c>
      <c r="S10" s="10"/>
      <c r="U10" s="26"/>
      <c r="V10" s="27" t="s">
        <v>27</v>
      </c>
      <c r="W10" s="31">
        <v>4800</v>
      </c>
      <c r="X10" s="31">
        <v>4000</v>
      </c>
      <c r="Y10" s="31">
        <v>5000</v>
      </c>
      <c r="Z10" s="34">
        <f t="shared" si="10"/>
        <v>13800</v>
      </c>
      <c r="AA10" s="29"/>
    </row>
    <row r="11" spans="3:27" ht="15" thickBot="1" x14ac:dyDescent="0.35">
      <c r="C11" s="36" t="s">
        <v>28</v>
      </c>
      <c r="D11" s="37"/>
      <c r="E11" s="37">
        <v>3500</v>
      </c>
      <c r="F11" s="37"/>
      <c r="G11" s="6"/>
      <c r="H11" s="88">
        <v>0.1</v>
      </c>
      <c r="I11" s="74" t="s">
        <v>29</v>
      </c>
      <c r="J11" s="75">
        <f t="shared" si="1"/>
        <v>400</v>
      </c>
      <c r="K11" s="75">
        <f t="shared" si="2"/>
        <v>400</v>
      </c>
      <c r="L11" s="91">
        <f t="shared" si="3"/>
        <v>400</v>
      </c>
      <c r="M11" s="78">
        <f t="shared" si="4"/>
        <v>412</v>
      </c>
      <c r="N11" s="75">
        <f t="shared" si="5"/>
        <v>432</v>
      </c>
      <c r="O11" s="75">
        <f t="shared" si="6"/>
        <v>440</v>
      </c>
      <c r="P11" s="75">
        <f t="shared" si="7"/>
        <v>460</v>
      </c>
      <c r="Q11" s="75">
        <f t="shared" si="8"/>
        <v>480</v>
      </c>
      <c r="R11" s="75">
        <f t="shared" si="9"/>
        <v>520</v>
      </c>
      <c r="S11" s="10"/>
      <c r="U11" s="38"/>
      <c r="V11" s="39"/>
      <c r="W11" s="39"/>
      <c r="X11" s="39"/>
      <c r="Y11" s="39" t="s">
        <v>30</v>
      </c>
      <c r="Z11" s="40">
        <f>MEDIAN(Z7:Z10)</f>
        <v>14650</v>
      </c>
      <c r="AA11" s="41">
        <f>Z11/Z5-1</f>
        <v>-2.3333333333333317E-2</v>
      </c>
    </row>
    <row r="12" spans="3:27" x14ac:dyDescent="0.3">
      <c r="C12" s="36" t="s">
        <v>31</v>
      </c>
      <c r="D12" s="37"/>
      <c r="E12" s="37">
        <v>3500</v>
      </c>
      <c r="F12" s="37"/>
      <c r="G12" s="6"/>
      <c r="H12" s="88">
        <v>0.05</v>
      </c>
      <c r="I12" s="74" t="s">
        <v>32</v>
      </c>
      <c r="J12" s="75">
        <f t="shared" si="1"/>
        <v>200</v>
      </c>
      <c r="K12" s="75">
        <f t="shared" si="2"/>
        <v>200</v>
      </c>
      <c r="L12" s="91">
        <f t="shared" si="3"/>
        <v>200</v>
      </c>
      <c r="M12" s="78">
        <f t="shared" si="4"/>
        <v>206</v>
      </c>
      <c r="N12" s="75">
        <f t="shared" si="5"/>
        <v>216</v>
      </c>
      <c r="O12" s="75">
        <f t="shared" si="6"/>
        <v>220</v>
      </c>
      <c r="P12" s="75">
        <f t="shared" si="7"/>
        <v>230</v>
      </c>
      <c r="Q12" s="75">
        <f t="shared" si="8"/>
        <v>240</v>
      </c>
      <c r="R12" s="75">
        <f t="shared" si="9"/>
        <v>260</v>
      </c>
      <c r="S12" s="10"/>
    </row>
    <row r="13" spans="3:27" x14ac:dyDescent="0.3">
      <c r="G13" s="6"/>
      <c r="H13" s="88">
        <v>0.1</v>
      </c>
      <c r="I13" s="74" t="s">
        <v>33</v>
      </c>
      <c r="J13" s="75">
        <f t="shared" si="1"/>
        <v>400</v>
      </c>
      <c r="K13" s="75">
        <f t="shared" si="2"/>
        <v>400</v>
      </c>
      <c r="L13" s="91">
        <f t="shared" si="3"/>
        <v>400</v>
      </c>
      <c r="M13" s="78">
        <f t="shared" si="4"/>
        <v>412</v>
      </c>
      <c r="N13" s="75">
        <f t="shared" si="5"/>
        <v>432</v>
      </c>
      <c r="O13" s="75">
        <f t="shared" si="6"/>
        <v>440</v>
      </c>
      <c r="P13" s="75">
        <f t="shared" si="7"/>
        <v>460</v>
      </c>
      <c r="Q13" s="75">
        <f t="shared" si="8"/>
        <v>480</v>
      </c>
      <c r="R13" s="75">
        <f t="shared" si="9"/>
        <v>520</v>
      </c>
      <c r="S13" s="10"/>
    </row>
    <row r="14" spans="3:27" ht="15" thickBot="1" x14ac:dyDescent="0.35">
      <c r="G14" s="6"/>
      <c r="H14" s="86"/>
      <c r="I14" s="90"/>
      <c r="J14" s="75">
        <f t="shared" si="1"/>
        <v>0</v>
      </c>
      <c r="K14" s="75">
        <f t="shared" si="2"/>
        <v>0</v>
      </c>
      <c r="L14" s="91">
        <f t="shared" si="3"/>
        <v>0</v>
      </c>
      <c r="M14" s="78">
        <f t="shared" si="4"/>
        <v>0</v>
      </c>
      <c r="N14" s="75">
        <f t="shared" si="5"/>
        <v>0</v>
      </c>
      <c r="O14" s="75">
        <f t="shared" si="6"/>
        <v>0</v>
      </c>
      <c r="P14" s="75">
        <f t="shared" si="7"/>
        <v>0</v>
      </c>
      <c r="Q14" s="75">
        <f t="shared" si="8"/>
        <v>0</v>
      </c>
      <c r="R14" s="75">
        <f t="shared" si="9"/>
        <v>0</v>
      </c>
      <c r="S14" s="10"/>
    </row>
    <row r="15" spans="3:27" ht="15" thickBot="1" x14ac:dyDescent="0.35">
      <c r="C15" s="36"/>
      <c r="D15" s="36"/>
      <c r="G15" s="6"/>
      <c r="J15" s="76"/>
      <c r="K15" s="76"/>
      <c r="L15" s="91"/>
      <c r="M15" s="82"/>
      <c r="N15" s="76"/>
      <c r="O15" s="76"/>
      <c r="P15" s="76"/>
      <c r="Q15" s="76"/>
      <c r="R15" s="76"/>
      <c r="S15" s="10"/>
    </row>
    <row r="16" spans="3:27" x14ac:dyDescent="0.3">
      <c r="G16" s="6" t="s">
        <v>34</v>
      </c>
      <c r="H16" s="87">
        <v>0.15</v>
      </c>
      <c r="I16" s="72" t="s">
        <v>35</v>
      </c>
      <c r="J16" s="75">
        <f t="shared" si="1"/>
        <v>600</v>
      </c>
      <c r="K16" s="75">
        <f t="shared" si="2"/>
        <v>600</v>
      </c>
      <c r="L16" s="91">
        <f t="shared" si="3"/>
        <v>600</v>
      </c>
      <c r="M16" s="78">
        <f t="shared" si="4"/>
        <v>618</v>
      </c>
      <c r="N16" s="75">
        <f t="shared" si="5"/>
        <v>648</v>
      </c>
      <c r="O16" s="75">
        <f t="shared" si="6"/>
        <v>660</v>
      </c>
      <c r="P16" s="75">
        <f t="shared" si="7"/>
        <v>690</v>
      </c>
      <c r="Q16" s="75">
        <f t="shared" si="8"/>
        <v>720</v>
      </c>
      <c r="R16" s="75">
        <f t="shared" si="9"/>
        <v>780</v>
      </c>
      <c r="S16" s="10"/>
      <c r="U16" s="2" t="s">
        <v>36</v>
      </c>
    </row>
    <row r="17" spans="1:23" ht="15" thickBot="1" x14ac:dyDescent="0.35">
      <c r="G17" s="6"/>
      <c r="H17" s="89">
        <v>0.1</v>
      </c>
      <c r="I17" s="90" t="s">
        <v>37</v>
      </c>
      <c r="J17" s="75">
        <f t="shared" si="1"/>
        <v>400</v>
      </c>
      <c r="K17" s="75">
        <f t="shared" si="2"/>
        <v>400</v>
      </c>
      <c r="L17" s="91">
        <f t="shared" si="3"/>
        <v>400</v>
      </c>
      <c r="M17" s="78">
        <f t="shared" si="4"/>
        <v>412</v>
      </c>
      <c r="N17" s="75">
        <f t="shared" si="5"/>
        <v>432</v>
      </c>
      <c r="O17" s="75">
        <f t="shared" si="6"/>
        <v>440</v>
      </c>
      <c r="P17" s="75">
        <f t="shared" si="7"/>
        <v>460</v>
      </c>
      <c r="Q17" s="75">
        <f t="shared" si="8"/>
        <v>480</v>
      </c>
      <c r="R17" s="75">
        <f t="shared" si="9"/>
        <v>520</v>
      </c>
      <c r="S17" s="10"/>
    </row>
    <row r="18" spans="1:23" ht="15" thickBot="1" x14ac:dyDescent="0.35">
      <c r="B18" s="42"/>
      <c r="C18" s="42"/>
      <c r="D18" s="42"/>
      <c r="E18" s="42"/>
      <c r="F18" s="42"/>
      <c r="G18" s="6"/>
      <c r="J18" s="76"/>
      <c r="K18" s="76"/>
      <c r="L18" s="91"/>
      <c r="M18" s="82"/>
      <c r="N18" s="76"/>
      <c r="O18" s="76"/>
      <c r="P18" s="76"/>
      <c r="Q18" s="76"/>
      <c r="R18" s="76"/>
      <c r="S18" s="10"/>
      <c r="U18" s="2" t="s">
        <v>38</v>
      </c>
      <c r="V18" s="2" t="s">
        <v>39</v>
      </c>
    </row>
    <row r="19" spans="1:23" x14ac:dyDescent="0.3">
      <c r="B19" s="100" t="s">
        <v>14</v>
      </c>
      <c r="C19" s="110" t="s">
        <v>16</v>
      </c>
      <c r="D19" s="100" t="s">
        <v>20</v>
      </c>
      <c r="E19" s="100" t="s">
        <v>40</v>
      </c>
      <c r="F19" s="47"/>
      <c r="G19" s="6" t="s">
        <v>41</v>
      </c>
      <c r="H19" s="87">
        <v>0.05</v>
      </c>
      <c r="I19" s="72" t="s">
        <v>42</v>
      </c>
      <c r="J19" s="75">
        <f t="shared" si="1"/>
        <v>200</v>
      </c>
      <c r="K19" s="75">
        <f t="shared" si="2"/>
        <v>200</v>
      </c>
      <c r="L19" s="91">
        <f t="shared" si="3"/>
        <v>200</v>
      </c>
      <c r="M19" s="78">
        <f t="shared" si="4"/>
        <v>206</v>
      </c>
      <c r="N19" s="75">
        <f t="shared" si="5"/>
        <v>216</v>
      </c>
      <c r="O19" s="75">
        <f t="shared" si="6"/>
        <v>220</v>
      </c>
      <c r="P19" s="75">
        <f t="shared" si="7"/>
        <v>230</v>
      </c>
      <c r="Q19" s="75">
        <f t="shared" si="8"/>
        <v>240</v>
      </c>
      <c r="R19" s="75">
        <f t="shared" si="9"/>
        <v>260</v>
      </c>
      <c r="S19" s="10"/>
    </row>
    <row r="20" spans="1:23" x14ac:dyDescent="0.3">
      <c r="A20" s="103">
        <v>0</v>
      </c>
      <c r="B20" s="101">
        <f>J10</f>
        <v>200</v>
      </c>
      <c r="C20" s="101">
        <f>J11</f>
        <v>400</v>
      </c>
      <c r="D20" s="101">
        <f>J12</f>
        <v>200</v>
      </c>
      <c r="E20" s="101">
        <f>J13</f>
        <v>400</v>
      </c>
      <c r="F20" s="47"/>
      <c r="G20" s="6"/>
      <c r="H20" s="88">
        <v>0.05</v>
      </c>
      <c r="I20" s="74" t="s">
        <v>43</v>
      </c>
      <c r="J20" s="75">
        <f t="shared" si="1"/>
        <v>200</v>
      </c>
      <c r="K20" s="75">
        <f t="shared" si="2"/>
        <v>200</v>
      </c>
      <c r="L20" s="91">
        <f t="shared" si="3"/>
        <v>200</v>
      </c>
      <c r="M20" s="78">
        <f t="shared" si="4"/>
        <v>206</v>
      </c>
      <c r="N20" s="75">
        <f t="shared" si="5"/>
        <v>216</v>
      </c>
      <c r="O20" s="75">
        <f t="shared" si="6"/>
        <v>220</v>
      </c>
      <c r="P20" s="75">
        <f t="shared" si="7"/>
        <v>230</v>
      </c>
      <c r="Q20" s="75">
        <f t="shared" si="8"/>
        <v>240</v>
      </c>
      <c r="R20" s="75">
        <f t="shared" si="9"/>
        <v>260</v>
      </c>
      <c r="S20" s="10"/>
      <c r="U20" s="2" t="s">
        <v>44</v>
      </c>
      <c r="V20" s="2" t="s">
        <v>12</v>
      </c>
      <c r="W20" s="2" t="s">
        <v>45</v>
      </c>
    </row>
    <row r="21" spans="1:23" x14ac:dyDescent="0.3">
      <c r="A21" s="103">
        <v>0.90000999999999998</v>
      </c>
      <c r="B21" s="101">
        <f>K10</f>
        <v>200</v>
      </c>
      <c r="C21" s="101">
        <f>K11</f>
        <v>400</v>
      </c>
      <c r="D21" s="101">
        <f>K12</f>
        <v>200</v>
      </c>
      <c r="E21" s="101">
        <f>K13</f>
        <v>400</v>
      </c>
      <c r="F21" s="47"/>
      <c r="G21" s="6"/>
      <c r="H21" s="6"/>
      <c r="I21" s="74"/>
      <c r="J21" s="80"/>
      <c r="K21" s="80"/>
      <c r="L21" s="92"/>
      <c r="M21" s="35"/>
      <c r="N21" s="80"/>
      <c r="O21" s="80"/>
      <c r="P21" s="80"/>
      <c r="Q21" s="80"/>
      <c r="R21" s="80"/>
      <c r="S21" s="10"/>
    </row>
    <row r="22" spans="1:23" x14ac:dyDescent="0.3">
      <c r="A22" s="103">
        <v>0.95001000000000002</v>
      </c>
      <c r="B22" s="101">
        <f>L10</f>
        <v>200</v>
      </c>
      <c r="C22" s="101">
        <f>L11</f>
        <v>400</v>
      </c>
      <c r="D22" s="101">
        <f>L12</f>
        <v>200</v>
      </c>
      <c r="E22" s="101">
        <f>L13</f>
        <v>400</v>
      </c>
      <c r="G22" s="6"/>
      <c r="H22" s="6"/>
      <c r="I22" s="74"/>
      <c r="J22" s="80"/>
      <c r="K22" s="80"/>
      <c r="L22" s="92"/>
      <c r="M22" s="35"/>
      <c r="N22" s="80"/>
      <c r="O22" s="80"/>
      <c r="P22" s="80"/>
      <c r="Q22" s="80"/>
      <c r="R22" s="80"/>
      <c r="S22" s="10"/>
      <c r="U22" s="2" t="s">
        <v>46</v>
      </c>
      <c r="V22" s="2" t="s">
        <v>47</v>
      </c>
      <c r="W22" s="2" t="s">
        <v>39</v>
      </c>
    </row>
    <row r="23" spans="1:23" x14ac:dyDescent="0.3">
      <c r="A23" s="103">
        <v>1.0000100000000001</v>
      </c>
      <c r="B23" s="101">
        <f>M10</f>
        <v>206</v>
      </c>
      <c r="C23" s="101">
        <f>M11</f>
        <v>412</v>
      </c>
      <c r="D23" s="101">
        <f>M12</f>
        <v>206</v>
      </c>
      <c r="E23" s="101">
        <f>M13</f>
        <v>412</v>
      </c>
      <c r="G23" s="6"/>
      <c r="H23" s="6"/>
      <c r="I23" s="74"/>
      <c r="J23" s="80"/>
      <c r="K23" s="80"/>
      <c r="L23" s="92"/>
      <c r="M23" s="35"/>
      <c r="N23" s="80"/>
      <c r="O23" s="80"/>
      <c r="P23" s="80"/>
      <c r="Q23" s="80"/>
      <c r="R23" s="80"/>
      <c r="S23" s="10"/>
    </row>
    <row r="24" spans="1:23" x14ac:dyDescent="0.3">
      <c r="A24" s="103">
        <v>1.0300100000000001</v>
      </c>
      <c r="B24" s="102">
        <f>N10</f>
        <v>216</v>
      </c>
      <c r="C24" s="102">
        <f>N11</f>
        <v>432</v>
      </c>
      <c r="D24" s="102">
        <f>N12</f>
        <v>216</v>
      </c>
      <c r="E24" s="102">
        <f>N13</f>
        <v>432</v>
      </c>
      <c r="G24" s="6"/>
      <c r="H24" s="6"/>
      <c r="I24" s="74"/>
      <c r="J24" s="80"/>
      <c r="K24" s="80"/>
      <c r="L24" s="92"/>
      <c r="M24" s="35"/>
      <c r="N24" s="80"/>
      <c r="O24" s="80"/>
      <c r="P24" s="80"/>
      <c r="Q24" s="80"/>
      <c r="R24" s="80"/>
      <c r="S24" s="10"/>
      <c r="U24" s="2" t="s">
        <v>48</v>
      </c>
      <c r="V24" s="2" t="s">
        <v>49</v>
      </c>
      <c r="W24" s="2" t="s">
        <v>50</v>
      </c>
    </row>
    <row r="25" spans="1:23" x14ac:dyDescent="0.3">
      <c r="A25" s="103">
        <f>106.001%</f>
        <v>1.0600100000000001</v>
      </c>
      <c r="B25" s="101">
        <f>O10</f>
        <v>220</v>
      </c>
      <c r="C25" s="101">
        <f>O11</f>
        <v>440</v>
      </c>
      <c r="D25" s="101">
        <f>O12</f>
        <v>220</v>
      </c>
      <c r="E25" s="101">
        <f>O13</f>
        <v>440</v>
      </c>
      <c r="F25" s="47"/>
      <c r="G25" s="6"/>
      <c r="H25" s="6"/>
      <c r="I25" s="74"/>
      <c r="J25" s="80"/>
      <c r="K25" s="80"/>
      <c r="L25" s="92"/>
      <c r="M25" s="35"/>
      <c r="N25" s="80"/>
      <c r="O25" s="80"/>
      <c r="P25" s="80"/>
      <c r="Q25" s="80"/>
      <c r="R25" s="80"/>
      <c r="S25" s="10"/>
    </row>
    <row r="26" spans="1:23" x14ac:dyDescent="0.3">
      <c r="A26" s="103">
        <f>110.001%</f>
        <v>1.1000100000000002</v>
      </c>
      <c r="B26" s="101">
        <f>P10</f>
        <v>230</v>
      </c>
      <c r="C26" s="101">
        <f>P11</f>
        <v>460</v>
      </c>
      <c r="D26" s="101">
        <f>P12</f>
        <v>230</v>
      </c>
      <c r="E26" s="101">
        <f>P13</f>
        <v>460</v>
      </c>
      <c r="F26" s="47"/>
      <c r="G26" s="6"/>
      <c r="H26" s="6"/>
      <c r="I26" s="74"/>
      <c r="J26" s="80"/>
      <c r="K26" s="80"/>
      <c r="L26" s="92"/>
      <c r="M26" s="35"/>
      <c r="N26" s="80"/>
      <c r="O26" s="80"/>
      <c r="P26" s="80"/>
      <c r="Q26" s="80"/>
      <c r="R26" s="80"/>
      <c r="S26" s="10"/>
    </row>
    <row r="27" spans="1:23" x14ac:dyDescent="0.3">
      <c r="A27" s="103">
        <f>115.001%</f>
        <v>1.15001</v>
      </c>
      <c r="B27" s="101">
        <f>Q10</f>
        <v>240</v>
      </c>
      <c r="C27" s="101">
        <f>Q11</f>
        <v>480</v>
      </c>
      <c r="D27" s="101">
        <f>Q12</f>
        <v>240</v>
      </c>
      <c r="E27" s="101">
        <f>Q13</f>
        <v>480</v>
      </c>
      <c r="F27" s="47"/>
      <c r="G27" s="6"/>
      <c r="H27" s="6"/>
      <c r="I27" s="74"/>
      <c r="J27" s="80"/>
      <c r="K27" s="80"/>
      <c r="L27" s="92"/>
      <c r="M27" s="35"/>
      <c r="N27" s="80"/>
      <c r="O27" s="80"/>
      <c r="P27" s="80"/>
      <c r="Q27" s="80"/>
      <c r="R27" s="80"/>
      <c r="S27" s="10"/>
    </row>
    <row r="28" spans="1:23" x14ac:dyDescent="0.3">
      <c r="A28" s="103">
        <f>120.001%</f>
        <v>1.20001</v>
      </c>
      <c r="B28" s="101">
        <f>R10</f>
        <v>260</v>
      </c>
      <c r="C28" s="101">
        <f>R11</f>
        <v>520</v>
      </c>
      <c r="D28" s="101">
        <f>R12</f>
        <v>260</v>
      </c>
      <c r="E28" s="101">
        <f>R13</f>
        <v>520</v>
      </c>
      <c r="G28" s="6"/>
      <c r="H28" s="6"/>
      <c r="I28" s="74"/>
      <c r="J28" s="80"/>
      <c r="K28" s="80"/>
      <c r="L28" s="92"/>
      <c r="M28" s="35"/>
      <c r="N28" s="80"/>
      <c r="O28" s="80"/>
      <c r="P28" s="80"/>
      <c r="Q28" s="80"/>
      <c r="R28" s="80"/>
      <c r="S28" s="10"/>
    </row>
    <row r="29" spans="1:23" ht="15" thickBot="1" x14ac:dyDescent="0.35">
      <c r="G29" s="6"/>
      <c r="H29" s="33"/>
      <c r="I29" s="90"/>
      <c r="J29" s="81"/>
      <c r="K29" s="81"/>
      <c r="L29" s="93"/>
      <c r="M29" s="79"/>
      <c r="N29" s="81"/>
      <c r="O29" s="81"/>
      <c r="P29" s="81"/>
      <c r="Q29" s="81"/>
      <c r="R29" s="81"/>
      <c r="S29" s="10"/>
    </row>
    <row r="30" spans="1:23" x14ac:dyDescent="0.3">
      <c r="A30" s="44"/>
      <c r="B30" s="45"/>
      <c r="C30" s="45"/>
      <c r="D30" s="45"/>
      <c r="E30" s="45"/>
      <c r="G30" s="6"/>
      <c r="H30" s="46">
        <f>SUM(H6:H29)</f>
        <v>1</v>
      </c>
      <c r="S30" s="10"/>
    </row>
    <row r="31" spans="1:23" ht="15" thickBot="1" x14ac:dyDescent="0.35">
      <c r="B31" s="47"/>
      <c r="C31" s="47"/>
      <c r="D31" s="47"/>
      <c r="E31" s="47"/>
      <c r="F31" s="47"/>
      <c r="G31" s="33"/>
      <c r="H31" s="48"/>
      <c r="I31" s="48" t="s">
        <v>51</v>
      </c>
      <c r="J31" s="49">
        <f t="shared" ref="J31:R31" si="11">SUM(J6:J29)</f>
        <v>4000</v>
      </c>
      <c r="K31" s="49">
        <f t="shared" si="11"/>
        <v>4000</v>
      </c>
      <c r="L31" s="49">
        <f t="shared" si="11"/>
        <v>4000</v>
      </c>
      <c r="M31" s="49">
        <f t="shared" si="11"/>
        <v>4120</v>
      </c>
      <c r="N31" s="49">
        <f t="shared" si="11"/>
        <v>4320</v>
      </c>
      <c r="O31" s="49">
        <f t="shared" si="11"/>
        <v>4400</v>
      </c>
      <c r="P31" s="49">
        <f t="shared" si="11"/>
        <v>4600</v>
      </c>
      <c r="Q31" s="49">
        <f t="shared" si="11"/>
        <v>4800</v>
      </c>
      <c r="R31" s="49">
        <f t="shared" si="11"/>
        <v>5200</v>
      </c>
      <c r="S31" s="50"/>
    </row>
    <row r="32" spans="1:23" ht="15" thickBot="1" x14ac:dyDescent="0.35">
      <c r="B32" s="47"/>
      <c r="C32" s="47"/>
      <c r="D32" s="47"/>
      <c r="E32" s="47"/>
      <c r="F32" s="47"/>
    </row>
    <row r="33" spans="2:23" ht="15" thickBot="1" x14ac:dyDescent="0.35">
      <c r="B33" s="47"/>
      <c r="C33" s="47"/>
      <c r="D33" s="47"/>
      <c r="E33" s="47"/>
      <c r="F33" s="47"/>
      <c r="G33" s="51" t="s">
        <v>52</v>
      </c>
      <c r="H33" s="52" t="s">
        <v>53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3"/>
    </row>
    <row r="34" spans="2:23" x14ac:dyDescent="0.3">
      <c r="B34" s="47"/>
      <c r="C34" s="47"/>
      <c r="D34" s="47"/>
      <c r="E34" s="47"/>
      <c r="F34" s="47"/>
    </row>
    <row r="35" spans="2:23" x14ac:dyDescent="0.3">
      <c r="H35" s="54" t="s">
        <v>54</v>
      </c>
      <c r="I35" s="54"/>
      <c r="J35" s="55"/>
      <c r="K35" s="54"/>
      <c r="L35" s="54"/>
      <c r="M35" s="54"/>
      <c r="N35" s="54"/>
      <c r="O35" s="55">
        <f>O6</f>
        <v>220</v>
      </c>
      <c r="P35" s="54"/>
      <c r="Q35" s="54"/>
      <c r="R35" s="54"/>
      <c r="S35" s="54"/>
    </row>
    <row r="36" spans="2:23" x14ac:dyDescent="0.3">
      <c r="H36" s="54" t="s">
        <v>55</v>
      </c>
      <c r="I36" s="54"/>
      <c r="J36" s="55">
        <f>J10</f>
        <v>200</v>
      </c>
      <c r="K36" s="54"/>
      <c r="L36" s="54"/>
      <c r="M36" s="54"/>
      <c r="N36" s="54"/>
      <c r="O36" s="54"/>
      <c r="P36" s="54"/>
      <c r="Q36" s="54"/>
      <c r="R36" s="54"/>
      <c r="S36" s="54"/>
      <c r="W36" s="54"/>
    </row>
    <row r="37" spans="2:23" x14ac:dyDescent="0.3">
      <c r="H37" s="54" t="s">
        <v>56</v>
      </c>
      <c r="I37" s="54"/>
      <c r="J37" s="54"/>
      <c r="K37" s="54"/>
      <c r="L37" s="54"/>
      <c r="M37" s="55">
        <f>M16</f>
        <v>618</v>
      </c>
      <c r="N37" s="54"/>
      <c r="O37" s="54"/>
      <c r="P37" s="54"/>
      <c r="Q37" s="54"/>
      <c r="R37" s="54"/>
      <c r="S37" s="54"/>
    </row>
    <row r="38" spans="2:23" ht="15" thickBot="1" x14ac:dyDescent="0.35">
      <c r="H38" s="56" t="s">
        <v>57</v>
      </c>
      <c r="I38" s="56"/>
      <c r="J38" s="54"/>
      <c r="K38" s="54"/>
      <c r="L38" s="54"/>
      <c r="M38" s="55">
        <f>M19</f>
        <v>206</v>
      </c>
      <c r="N38" s="54"/>
      <c r="O38" s="54"/>
      <c r="P38" s="54"/>
      <c r="Q38" s="54"/>
      <c r="R38" s="54"/>
      <c r="S38" s="54"/>
    </row>
    <row r="39" spans="2:23" ht="15" thickBot="1" x14ac:dyDescent="0.35">
      <c r="H39" s="57" t="s">
        <v>51</v>
      </c>
      <c r="I39" s="58">
        <f>SUM(I35:R38)</f>
        <v>1244</v>
      </c>
    </row>
    <row r="41" spans="2:23" ht="23.25" hidden="1" customHeight="1" x14ac:dyDescent="0.3">
      <c r="H41" s="2" t="s">
        <v>58</v>
      </c>
      <c r="I41" s="43" t="s">
        <v>59</v>
      </c>
      <c r="J41" s="59" t="s">
        <v>60</v>
      </c>
      <c r="K41" s="59" t="s">
        <v>61</v>
      </c>
      <c r="L41" s="59" t="s">
        <v>62</v>
      </c>
      <c r="M41" s="59" t="s">
        <v>63</v>
      </c>
      <c r="N41" s="59" t="s">
        <v>64</v>
      </c>
      <c r="O41" s="59" t="s">
        <v>65</v>
      </c>
      <c r="P41" s="59" t="s">
        <v>66</v>
      </c>
      <c r="Q41" s="59" t="s">
        <v>67</v>
      </c>
      <c r="R41" s="59" t="s">
        <v>68</v>
      </c>
    </row>
    <row r="42" spans="2:23" ht="21.6" hidden="1" customHeight="1" x14ac:dyDescent="0.3">
      <c r="I42" s="43">
        <v>0</v>
      </c>
      <c r="J42" s="60">
        <v>1200</v>
      </c>
      <c r="K42" s="60">
        <v>1350</v>
      </c>
      <c r="L42" s="60">
        <f>1425</f>
        <v>1425</v>
      </c>
      <c r="M42" s="60">
        <v>1500</v>
      </c>
      <c r="N42" s="60">
        <v>1575</v>
      </c>
      <c r="O42" s="60">
        <v>1725</v>
      </c>
      <c r="P42" s="60">
        <v>1875</v>
      </c>
      <c r="Q42" s="60">
        <v>1950</v>
      </c>
      <c r="R42" s="60">
        <v>2100</v>
      </c>
      <c r="S42" s="47"/>
    </row>
    <row r="43" spans="2:23" ht="18.45" customHeight="1" x14ac:dyDescent="0.3">
      <c r="H43" s="2" t="s">
        <v>1</v>
      </c>
      <c r="J43" s="61">
        <v>-0.2</v>
      </c>
      <c r="K43" s="46">
        <v>-0.1</v>
      </c>
      <c r="L43" s="46">
        <v>-0.05</v>
      </c>
      <c r="M43" s="62"/>
      <c r="N43" s="46">
        <v>0.05</v>
      </c>
      <c r="O43" s="46">
        <v>0.15</v>
      </c>
      <c r="P43" s="63">
        <v>0.25</v>
      </c>
      <c r="Q43" s="63">
        <v>0.3</v>
      </c>
      <c r="R43" s="64">
        <v>0.4</v>
      </c>
    </row>
    <row r="44" spans="2:23" ht="15.6" x14ac:dyDescent="0.3">
      <c r="H44" s="2" t="s">
        <v>69</v>
      </c>
      <c r="I44" s="65" t="s">
        <v>59</v>
      </c>
      <c r="J44" s="66" t="s">
        <v>60</v>
      </c>
      <c r="K44" s="59" t="s">
        <v>61</v>
      </c>
      <c r="L44" s="59" t="s">
        <v>62</v>
      </c>
      <c r="M44" s="67">
        <v>1</v>
      </c>
      <c r="N44" s="59" t="s">
        <v>70</v>
      </c>
      <c r="O44" s="59" t="s">
        <v>71</v>
      </c>
      <c r="P44" s="59" t="s">
        <v>72</v>
      </c>
      <c r="Q44" s="59" t="s">
        <v>73</v>
      </c>
      <c r="R44" s="66" t="s">
        <v>74</v>
      </c>
      <c r="S44" s="68"/>
    </row>
    <row r="45" spans="2:23" ht="15.6" x14ac:dyDescent="0.3">
      <c r="H45" s="2" t="s">
        <v>54</v>
      </c>
      <c r="I45" s="69">
        <f>J6</f>
        <v>200</v>
      </c>
      <c r="J45" s="69">
        <f t="shared" ref="J45:R45" si="12">J6</f>
        <v>200</v>
      </c>
      <c r="K45" s="60">
        <f t="shared" si="12"/>
        <v>200</v>
      </c>
      <c r="L45" s="60">
        <f t="shared" si="12"/>
        <v>200</v>
      </c>
      <c r="M45" s="70">
        <f t="shared" si="12"/>
        <v>206</v>
      </c>
      <c r="N45" s="60">
        <f t="shared" si="12"/>
        <v>216</v>
      </c>
      <c r="O45" s="60">
        <f t="shared" si="12"/>
        <v>220</v>
      </c>
      <c r="P45" s="60">
        <f t="shared" si="12"/>
        <v>230</v>
      </c>
      <c r="Q45" s="60">
        <f t="shared" si="12"/>
        <v>240</v>
      </c>
      <c r="R45" s="69">
        <f t="shared" si="12"/>
        <v>260</v>
      </c>
      <c r="S45" s="71"/>
    </row>
    <row r="46" spans="2:23" ht="15.6" x14ac:dyDescent="0.3">
      <c r="H46" s="2" t="s">
        <v>55</v>
      </c>
      <c r="I46" s="69">
        <f>J10</f>
        <v>200</v>
      </c>
      <c r="J46" s="69">
        <f t="shared" ref="J46:R46" si="13">J10</f>
        <v>200</v>
      </c>
      <c r="K46" s="60">
        <f t="shared" si="13"/>
        <v>200</v>
      </c>
      <c r="L46" s="60">
        <f t="shared" si="13"/>
        <v>200</v>
      </c>
      <c r="M46" s="70">
        <f t="shared" si="13"/>
        <v>206</v>
      </c>
      <c r="N46" s="60">
        <f t="shared" si="13"/>
        <v>216</v>
      </c>
      <c r="O46" s="60">
        <f t="shared" si="13"/>
        <v>220</v>
      </c>
      <c r="P46" s="60">
        <f t="shared" si="13"/>
        <v>230</v>
      </c>
      <c r="Q46" s="60">
        <f t="shared" si="13"/>
        <v>240</v>
      </c>
      <c r="R46" s="69">
        <f t="shared" si="13"/>
        <v>260</v>
      </c>
    </row>
    <row r="47" spans="2:23" ht="15.6" x14ac:dyDescent="0.3">
      <c r="H47" s="2" t="s">
        <v>56</v>
      </c>
      <c r="I47" s="69">
        <f>J16</f>
        <v>600</v>
      </c>
      <c r="J47" s="69">
        <f>J16</f>
        <v>600</v>
      </c>
      <c r="K47" s="60">
        <f>K16</f>
        <v>600</v>
      </c>
      <c r="L47" s="60">
        <f t="shared" ref="L47:R47" si="14">L16</f>
        <v>600</v>
      </c>
      <c r="M47" s="70">
        <f t="shared" si="14"/>
        <v>618</v>
      </c>
      <c r="N47" s="60">
        <f t="shared" si="14"/>
        <v>648</v>
      </c>
      <c r="O47" s="60">
        <f t="shared" si="14"/>
        <v>660</v>
      </c>
      <c r="P47" s="60">
        <f t="shared" si="14"/>
        <v>690</v>
      </c>
      <c r="Q47" s="60">
        <f t="shared" si="14"/>
        <v>720</v>
      </c>
      <c r="R47" s="69">
        <f t="shared" si="14"/>
        <v>780</v>
      </c>
    </row>
    <row r="48" spans="2:23" ht="15.6" x14ac:dyDescent="0.3">
      <c r="H48" s="2" t="s">
        <v>75</v>
      </c>
      <c r="I48" s="69">
        <f>J19</f>
        <v>200</v>
      </c>
      <c r="J48" s="69">
        <f>J19</f>
        <v>200</v>
      </c>
      <c r="K48" s="60">
        <f>K19</f>
        <v>200</v>
      </c>
      <c r="L48" s="60">
        <f t="shared" ref="L48:R48" si="15">L19</f>
        <v>200</v>
      </c>
      <c r="M48" s="70">
        <f t="shared" si="15"/>
        <v>206</v>
      </c>
      <c r="N48" s="60">
        <f t="shared" si="15"/>
        <v>216</v>
      </c>
      <c r="O48" s="60">
        <f t="shared" si="15"/>
        <v>220</v>
      </c>
      <c r="P48" s="60">
        <f t="shared" si="15"/>
        <v>230</v>
      </c>
      <c r="Q48" s="60">
        <f t="shared" si="15"/>
        <v>240</v>
      </c>
      <c r="R48" s="69">
        <f t="shared" si="15"/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289A-F64F-4B30-8285-2626A90E3B4C}">
  <sheetPr codeName="Sheet4">
    <tabColor theme="4"/>
  </sheetPr>
  <dimension ref="A1:AA48"/>
  <sheetViews>
    <sheetView showGridLines="0" zoomScale="60" zoomScaleNormal="60" workbookViewId="0">
      <selection activeCell="J3" sqref="J3:R3"/>
    </sheetView>
  </sheetViews>
  <sheetFormatPr defaultColWidth="8.59765625" defaultRowHeight="14.4" x14ac:dyDescent="0.3"/>
  <cols>
    <col min="1" max="1" width="13" style="2" customWidth="1"/>
    <col min="2" max="2" width="11.3984375" style="2" customWidth="1"/>
    <col min="3" max="3" width="9.8984375" style="2" customWidth="1"/>
    <col min="4" max="4" width="9.59765625" style="2" bestFit="1" customWidth="1"/>
    <col min="5" max="5" width="10.8984375" style="2" bestFit="1" customWidth="1"/>
    <col min="6" max="6" width="3.59765625" style="2" customWidth="1"/>
    <col min="7" max="7" width="9.3984375" style="2" bestFit="1" customWidth="1"/>
    <col min="8" max="8" width="9.59765625" style="2" bestFit="1" customWidth="1"/>
    <col min="9" max="9" width="18.59765625" style="2" customWidth="1"/>
    <col min="10" max="10" width="12.09765625" style="2" customWidth="1"/>
    <col min="11" max="12" width="11.59765625" style="2" customWidth="1"/>
    <col min="13" max="13" width="12" style="2" customWidth="1"/>
    <col min="14" max="14" width="12.8984375" style="2" customWidth="1"/>
    <col min="15" max="15" width="15.09765625" style="2" customWidth="1"/>
    <col min="16" max="16" width="14.5" style="2" customWidth="1"/>
    <col min="17" max="17" width="13" style="2" customWidth="1"/>
    <col min="18" max="18" width="15.09765625" style="2" customWidth="1"/>
    <col min="19" max="20" width="8.59765625" style="2"/>
    <col min="21" max="21" width="15.8984375" style="2" bestFit="1" customWidth="1"/>
    <col min="22" max="22" width="12.09765625" style="2" bestFit="1" customWidth="1"/>
    <col min="23" max="24" width="9.59765625" style="2" bestFit="1" customWidth="1"/>
    <col min="25" max="26" width="10.5" style="2" bestFit="1" customWidth="1"/>
    <col min="27" max="16384" width="8.59765625" style="2"/>
  </cols>
  <sheetData>
    <row r="1" spans="3:27" ht="15" thickBot="1" x14ac:dyDescent="0.35">
      <c r="G1" s="3"/>
      <c r="H1" s="4"/>
      <c r="I1" s="4"/>
      <c r="J1" s="208">
        <f>$H$4+($H$4*J3)</f>
        <v>3150</v>
      </c>
      <c r="K1" s="208">
        <f>$H$4+($H$4*K3)</f>
        <v>3325</v>
      </c>
      <c r="L1" s="4"/>
      <c r="M1" s="4"/>
      <c r="N1" s="4"/>
      <c r="O1" s="4"/>
      <c r="P1" s="4"/>
      <c r="Q1" s="4"/>
      <c r="R1" s="4"/>
      <c r="S1" s="5"/>
    </row>
    <row r="2" spans="3:27" ht="15" thickBot="1" x14ac:dyDescent="0.35">
      <c r="G2" s="6"/>
      <c r="I2" s="7"/>
      <c r="J2" s="8">
        <v>3500</v>
      </c>
      <c r="K2" s="8">
        <v>3500</v>
      </c>
      <c r="L2" s="8">
        <f t="shared" ref="L2:Q2" si="0">$H$4+($H$4*L3)</f>
        <v>3500</v>
      </c>
      <c r="M2" s="8">
        <f t="shared" si="0"/>
        <v>3605</v>
      </c>
      <c r="N2" s="8">
        <f t="shared" si="0"/>
        <v>3780</v>
      </c>
      <c r="O2" s="8">
        <f t="shared" si="0"/>
        <v>3850</v>
      </c>
      <c r="P2" s="8">
        <f t="shared" si="0"/>
        <v>4025</v>
      </c>
      <c r="Q2" s="8">
        <f t="shared" si="0"/>
        <v>4200</v>
      </c>
      <c r="R2" s="9">
        <f>$H$4+($H$4*R3)</f>
        <v>4550</v>
      </c>
      <c r="S2" s="10"/>
    </row>
    <row r="3" spans="3:27" ht="15" thickBot="1" x14ac:dyDescent="0.35">
      <c r="D3" s="11" t="s">
        <v>0</v>
      </c>
      <c r="E3" s="12"/>
      <c r="G3" s="13"/>
      <c r="H3" s="14"/>
      <c r="I3" s="15" t="s">
        <v>1</v>
      </c>
      <c r="J3" s="95">
        <v>-0.1</v>
      </c>
      <c r="K3" s="95">
        <v>-0.05</v>
      </c>
      <c r="L3" s="95">
        <v>0</v>
      </c>
      <c r="M3" s="124">
        <v>0.03</v>
      </c>
      <c r="N3" s="124">
        <v>0.08</v>
      </c>
      <c r="O3" s="95">
        <v>0.1</v>
      </c>
      <c r="P3" s="16">
        <v>0.15</v>
      </c>
      <c r="Q3" s="16">
        <v>0.2</v>
      </c>
      <c r="R3" s="17">
        <v>0.3</v>
      </c>
      <c r="S3" s="10"/>
      <c r="U3" s="18" t="s">
        <v>2</v>
      </c>
      <c r="V3" s="19"/>
      <c r="W3" s="19"/>
      <c r="X3" s="19"/>
      <c r="Y3" s="19"/>
      <c r="Z3" s="19"/>
      <c r="AA3" s="20"/>
    </row>
    <row r="4" spans="3:27" ht="15" thickBot="1" x14ac:dyDescent="0.35">
      <c r="C4" s="2" t="s">
        <v>3</v>
      </c>
      <c r="D4" s="11" t="s">
        <v>4</v>
      </c>
      <c r="E4" s="12" t="s">
        <v>5</v>
      </c>
      <c r="G4" s="21" t="s">
        <v>6</v>
      </c>
      <c r="H4" s="125">
        <v>3500</v>
      </c>
      <c r="I4" s="23" t="s">
        <v>7</v>
      </c>
      <c r="J4" s="24">
        <v>0.9</v>
      </c>
      <c r="K4" s="24">
        <v>0.95</v>
      </c>
      <c r="L4" s="24">
        <v>1</v>
      </c>
      <c r="M4" s="24">
        <v>1.03</v>
      </c>
      <c r="N4" s="24">
        <v>1.06</v>
      </c>
      <c r="O4" s="24">
        <v>1.1000000000000001</v>
      </c>
      <c r="P4" s="24">
        <v>1.1499999999999999</v>
      </c>
      <c r="Q4" s="24">
        <v>1.2</v>
      </c>
      <c r="R4" s="25">
        <v>1.3</v>
      </c>
      <c r="S4" s="10"/>
      <c r="U4" s="26"/>
      <c r="V4" s="27"/>
      <c r="W4" s="28">
        <v>45566</v>
      </c>
      <c r="X4" s="28">
        <v>45597</v>
      </c>
      <c r="Y4" s="28">
        <v>45627</v>
      </c>
      <c r="Z4" s="27" t="s">
        <v>8</v>
      </c>
      <c r="AA4" s="29"/>
    </row>
    <row r="5" spans="3:27" ht="15" thickBot="1" x14ac:dyDescent="0.35">
      <c r="C5" s="2" t="s">
        <v>9</v>
      </c>
      <c r="D5" s="30">
        <v>5000</v>
      </c>
      <c r="E5" s="30">
        <v>5000</v>
      </c>
      <c r="G5" s="6"/>
      <c r="M5" s="94"/>
      <c r="S5" s="10"/>
      <c r="U5" s="26" t="s">
        <v>10</v>
      </c>
      <c r="V5" s="27" t="s">
        <v>11</v>
      </c>
      <c r="W5" s="31">
        <v>5000</v>
      </c>
      <c r="X5" s="31">
        <v>5000</v>
      </c>
      <c r="Y5" s="31">
        <v>5000</v>
      </c>
      <c r="Z5" s="31">
        <f>SUM(W5:Y5)</f>
        <v>15000</v>
      </c>
      <c r="AA5" s="29"/>
    </row>
    <row r="6" spans="3:27" x14ac:dyDescent="0.3">
      <c r="C6" s="27" t="s">
        <v>12</v>
      </c>
      <c r="D6" s="32">
        <v>4000</v>
      </c>
      <c r="E6" s="30">
        <v>4000</v>
      </c>
      <c r="G6" s="6" t="s">
        <v>13</v>
      </c>
      <c r="H6" s="83">
        <v>0.05</v>
      </c>
      <c r="I6" s="72" t="s">
        <v>14</v>
      </c>
      <c r="J6" s="73">
        <f>H6*$J$2</f>
        <v>175</v>
      </c>
      <c r="K6" s="73">
        <f>H6*$K$2</f>
        <v>175</v>
      </c>
      <c r="L6" s="96">
        <f>H6*$L$2</f>
        <v>175</v>
      </c>
      <c r="M6" s="77">
        <f>H6*$M$2</f>
        <v>180.25</v>
      </c>
      <c r="N6" s="73">
        <f>H6*$N$2</f>
        <v>189</v>
      </c>
      <c r="O6" s="73">
        <f>H6*$O$2</f>
        <v>192.5</v>
      </c>
      <c r="P6" s="73">
        <f>H6*$P$2</f>
        <v>201.25</v>
      </c>
      <c r="Q6" s="73">
        <f>H6*$Q$2</f>
        <v>210</v>
      </c>
      <c r="R6" s="73">
        <f>H6*$R$2</f>
        <v>227.5</v>
      </c>
      <c r="S6" s="10"/>
      <c r="U6" s="26"/>
      <c r="V6" s="27"/>
      <c r="W6" s="31"/>
      <c r="X6" s="31"/>
      <c r="Y6" s="31"/>
      <c r="Z6" s="31"/>
      <c r="AA6" s="29"/>
    </row>
    <row r="7" spans="3:27" x14ac:dyDescent="0.3">
      <c r="C7" s="27" t="s">
        <v>15</v>
      </c>
      <c r="D7" s="32">
        <v>4000</v>
      </c>
      <c r="E7" s="30">
        <v>4000</v>
      </c>
      <c r="G7" s="6"/>
      <c r="H7" s="84">
        <v>0.1</v>
      </c>
      <c r="I7" s="74" t="s">
        <v>16</v>
      </c>
      <c r="J7" s="75">
        <f t="shared" ref="J7:J20" si="1">H7*$J$2</f>
        <v>350</v>
      </c>
      <c r="K7" s="75">
        <f t="shared" ref="K7:K20" si="2">H7*$K$2</f>
        <v>350</v>
      </c>
      <c r="L7" s="91">
        <f t="shared" ref="L7:L20" si="3">H7*$L$2</f>
        <v>350</v>
      </c>
      <c r="M7" s="78">
        <f t="shared" ref="M7:M20" si="4">H7*$M$2</f>
        <v>360.5</v>
      </c>
      <c r="N7" s="75">
        <f t="shared" ref="N7:N20" si="5">H7*$N$2</f>
        <v>378</v>
      </c>
      <c r="O7" s="75">
        <f t="shared" ref="O7:O20" si="6">H7*$O$2</f>
        <v>385</v>
      </c>
      <c r="P7" s="75">
        <f t="shared" ref="P7:P20" si="7">H7*$P$2</f>
        <v>402.5</v>
      </c>
      <c r="Q7" s="75">
        <f t="shared" ref="Q7:Q20" si="8">H7*$Q$2</f>
        <v>420</v>
      </c>
      <c r="R7" s="75">
        <f t="shared" ref="R7:R20" si="9">H7*$R$2</f>
        <v>455</v>
      </c>
      <c r="S7" s="10"/>
      <c r="U7" s="26" t="s">
        <v>17</v>
      </c>
      <c r="V7" s="27" t="s">
        <v>18</v>
      </c>
      <c r="W7" s="31">
        <v>6000</v>
      </c>
      <c r="X7" s="31">
        <v>5000</v>
      </c>
      <c r="Y7" s="31">
        <v>4500</v>
      </c>
      <c r="Z7" s="31">
        <f>SUM(W7:Y7)</f>
        <v>15500</v>
      </c>
      <c r="AA7" s="29"/>
    </row>
    <row r="8" spans="3:27" ht="15" thickBot="1" x14ac:dyDescent="0.35">
      <c r="C8" s="27" t="s">
        <v>19</v>
      </c>
      <c r="D8" s="32">
        <v>2500</v>
      </c>
      <c r="E8" s="30">
        <v>2500</v>
      </c>
      <c r="G8" s="6"/>
      <c r="H8" s="85">
        <v>0.1</v>
      </c>
      <c r="I8" s="74" t="s">
        <v>20</v>
      </c>
      <c r="J8" s="75">
        <f t="shared" si="1"/>
        <v>350</v>
      </c>
      <c r="K8" s="75">
        <f t="shared" si="2"/>
        <v>350</v>
      </c>
      <c r="L8" s="91">
        <f t="shared" si="3"/>
        <v>350</v>
      </c>
      <c r="M8" s="78">
        <f t="shared" si="4"/>
        <v>360.5</v>
      </c>
      <c r="N8" s="75">
        <f t="shared" si="5"/>
        <v>378</v>
      </c>
      <c r="O8" s="75">
        <f t="shared" si="6"/>
        <v>385</v>
      </c>
      <c r="P8" s="75">
        <f t="shared" si="7"/>
        <v>402.5</v>
      </c>
      <c r="Q8" s="75">
        <f t="shared" si="8"/>
        <v>420</v>
      </c>
      <c r="R8" s="75">
        <f t="shared" si="9"/>
        <v>455</v>
      </c>
      <c r="S8" s="10"/>
      <c r="U8" s="26"/>
      <c r="V8" s="27" t="s">
        <v>21</v>
      </c>
      <c r="W8" s="31">
        <f>I39</f>
        <v>1088.5</v>
      </c>
      <c r="X8" s="31">
        <v>5200</v>
      </c>
      <c r="Y8" s="31">
        <v>5000</v>
      </c>
      <c r="Z8" s="34">
        <f>SUM(W8:Y8)</f>
        <v>11288.5</v>
      </c>
      <c r="AA8" s="29"/>
    </row>
    <row r="9" spans="3:27" ht="15" thickBot="1" x14ac:dyDescent="0.35">
      <c r="C9" s="27" t="s">
        <v>22</v>
      </c>
      <c r="D9" s="32">
        <v>1200</v>
      </c>
      <c r="E9" s="30">
        <v>1200</v>
      </c>
      <c r="G9" s="6"/>
      <c r="J9" s="76"/>
      <c r="K9" s="76"/>
      <c r="L9" s="91"/>
      <c r="M9" s="82"/>
      <c r="N9" s="76"/>
      <c r="O9" s="76"/>
      <c r="P9" s="76"/>
      <c r="Q9" s="76"/>
      <c r="R9" s="76"/>
      <c r="S9" s="10"/>
      <c r="U9" s="26"/>
      <c r="V9" s="34" t="s">
        <v>23</v>
      </c>
      <c r="W9" s="31">
        <v>5000</v>
      </c>
      <c r="X9" s="31">
        <v>4900</v>
      </c>
      <c r="Y9" s="31">
        <v>6500</v>
      </c>
      <c r="Z9" s="34">
        <f t="shared" ref="Z9:Z10" si="10">SUM(W9:Y9)</f>
        <v>16400</v>
      </c>
      <c r="AA9" s="29">
        <f>Z9/Z5</f>
        <v>1.0933333333333333</v>
      </c>
    </row>
    <row r="10" spans="3:27" x14ac:dyDescent="0.3">
      <c r="C10" s="36" t="s">
        <v>24</v>
      </c>
      <c r="D10" s="37"/>
      <c r="E10" s="30">
        <v>2500</v>
      </c>
      <c r="G10" s="6" t="s">
        <v>25</v>
      </c>
      <c r="H10" s="87">
        <v>0.05</v>
      </c>
      <c r="I10" s="72" t="s">
        <v>26</v>
      </c>
      <c r="J10" s="75">
        <f t="shared" si="1"/>
        <v>175</v>
      </c>
      <c r="K10" s="75">
        <f t="shared" si="2"/>
        <v>175</v>
      </c>
      <c r="L10" s="91">
        <f t="shared" si="3"/>
        <v>175</v>
      </c>
      <c r="M10" s="78">
        <f t="shared" si="4"/>
        <v>180.25</v>
      </c>
      <c r="N10" s="75">
        <f t="shared" si="5"/>
        <v>189</v>
      </c>
      <c r="O10" s="75">
        <f t="shared" si="6"/>
        <v>192.5</v>
      </c>
      <c r="P10" s="75">
        <f t="shared" si="7"/>
        <v>201.25</v>
      </c>
      <c r="Q10" s="75">
        <f t="shared" si="8"/>
        <v>210</v>
      </c>
      <c r="R10" s="75">
        <f t="shared" si="9"/>
        <v>227.5</v>
      </c>
      <c r="S10" s="10"/>
      <c r="U10" s="26"/>
      <c r="V10" s="27" t="s">
        <v>27</v>
      </c>
      <c r="W10" s="31">
        <v>4800</v>
      </c>
      <c r="X10" s="31">
        <v>4000</v>
      </c>
      <c r="Y10" s="31">
        <v>5000</v>
      </c>
      <c r="Z10" s="34">
        <f t="shared" si="10"/>
        <v>13800</v>
      </c>
      <c r="AA10" s="29"/>
    </row>
    <row r="11" spans="3:27" ht="15" thickBot="1" x14ac:dyDescent="0.35">
      <c r="C11" s="36" t="s">
        <v>28</v>
      </c>
      <c r="D11" s="37"/>
      <c r="E11" s="37">
        <v>3500</v>
      </c>
      <c r="F11" s="27"/>
      <c r="G11" s="6"/>
      <c r="H11" s="88">
        <v>0.1</v>
      </c>
      <c r="I11" s="74" t="s">
        <v>29</v>
      </c>
      <c r="J11" s="75">
        <f t="shared" si="1"/>
        <v>350</v>
      </c>
      <c r="K11" s="75">
        <f t="shared" si="2"/>
        <v>350</v>
      </c>
      <c r="L11" s="91">
        <f t="shared" si="3"/>
        <v>350</v>
      </c>
      <c r="M11" s="78">
        <f t="shared" si="4"/>
        <v>360.5</v>
      </c>
      <c r="N11" s="75">
        <f t="shared" si="5"/>
        <v>378</v>
      </c>
      <c r="O11" s="75">
        <f t="shared" si="6"/>
        <v>385</v>
      </c>
      <c r="P11" s="75">
        <f t="shared" si="7"/>
        <v>402.5</v>
      </c>
      <c r="Q11" s="75">
        <f t="shared" si="8"/>
        <v>420</v>
      </c>
      <c r="R11" s="75">
        <f t="shared" si="9"/>
        <v>455</v>
      </c>
      <c r="S11" s="10"/>
      <c r="U11" s="38"/>
      <c r="V11" s="39"/>
      <c r="W11" s="39"/>
      <c r="X11" s="39"/>
      <c r="Y11" s="39" t="s">
        <v>30</v>
      </c>
      <c r="Z11" s="40">
        <f>MEDIAN(Z7:Z10)</f>
        <v>14650</v>
      </c>
      <c r="AA11" s="41">
        <f>Z11/Z5-1</f>
        <v>-2.3333333333333317E-2</v>
      </c>
    </row>
    <row r="12" spans="3:27" x14ac:dyDescent="0.3">
      <c r="C12" s="36" t="s">
        <v>31</v>
      </c>
      <c r="D12" s="37"/>
      <c r="E12" s="37">
        <v>3500</v>
      </c>
      <c r="F12" s="27"/>
      <c r="G12" s="6"/>
      <c r="H12" s="88">
        <v>0.1</v>
      </c>
      <c r="I12" s="74" t="s">
        <v>32</v>
      </c>
      <c r="J12" s="75">
        <f t="shared" si="1"/>
        <v>350</v>
      </c>
      <c r="K12" s="75">
        <f t="shared" si="2"/>
        <v>350</v>
      </c>
      <c r="L12" s="91">
        <f t="shared" si="3"/>
        <v>350</v>
      </c>
      <c r="M12" s="78">
        <f t="shared" si="4"/>
        <v>360.5</v>
      </c>
      <c r="N12" s="75">
        <f t="shared" si="5"/>
        <v>378</v>
      </c>
      <c r="O12" s="75">
        <f t="shared" si="6"/>
        <v>385</v>
      </c>
      <c r="P12" s="75">
        <f t="shared" si="7"/>
        <v>402.5</v>
      </c>
      <c r="Q12" s="75">
        <f t="shared" si="8"/>
        <v>420</v>
      </c>
      <c r="R12" s="75">
        <f t="shared" si="9"/>
        <v>455</v>
      </c>
      <c r="S12" s="10"/>
    </row>
    <row r="13" spans="3:27" x14ac:dyDescent="0.3">
      <c r="G13" s="6"/>
      <c r="H13" s="88">
        <v>0.1</v>
      </c>
      <c r="I13" s="74" t="s">
        <v>33</v>
      </c>
      <c r="J13" s="75">
        <f t="shared" si="1"/>
        <v>350</v>
      </c>
      <c r="K13" s="75">
        <f t="shared" si="2"/>
        <v>350</v>
      </c>
      <c r="L13" s="91">
        <f t="shared" si="3"/>
        <v>350</v>
      </c>
      <c r="M13" s="78">
        <f t="shared" si="4"/>
        <v>360.5</v>
      </c>
      <c r="N13" s="75">
        <f t="shared" si="5"/>
        <v>378</v>
      </c>
      <c r="O13" s="75">
        <f t="shared" si="6"/>
        <v>385</v>
      </c>
      <c r="P13" s="75">
        <f t="shared" si="7"/>
        <v>402.5</v>
      </c>
      <c r="Q13" s="75">
        <f t="shared" si="8"/>
        <v>420</v>
      </c>
      <c r="R13" s="75">
        <f t="shared" si="9"/>
        <v>455</v>
      </c>
      <c r="S13" s="10"/>
    </row>
    <row r="14" spans="3:27" ht="15" thickBot="1" x14ac:dyDescent="0.35">
      <c r="G14" s="6"/>
      <c r="H14" s="86"/>
      <c r="I14" s="90"/>
      <c r="J14" s="75">
        <f t="shared" si="1"/>
        <v>0</v>
      </c>
      <c r="K14" s="75">
        <f t="shared" si="2"/>
        <v>0</v>
      </c>
      <c r="L14" s="91">
        <f t="shared" si="3"/>
        <v>0</v>
      </c>
      <c r="M14" s="78">
        <f t="shared" si="4"/>
        <v>0</v>
      </c>
      <c r="N14" s="75">
        <f t="shared" si="5"/>
        <v>0</v>
      </c>
      <c r="O14" s="75">
        <f t="shared" si="6"/>
        <v>0</v>
      </c>
      <c r="P14" s="75">
        <f t="shared" si="7"/>
        <v>0</v>
      </c>
      <c r="Q14" s="75">
        <f t="shared" si="8"/>
        <v>0</v>
      </c>
      <c r="R14" s="75">
        <f t="shared" si="9"/>
        <v>0</v>
      </c>
      <c r="S14" s="10"/>
    </row>
    <row r="15" spans="3:27" ht="15" thickBot="1" x14ac:dyDescent="0.35">
      <c r="C15" s="36"/>
      <c r="D15" s="36"/>
      <c r="G15" s="6"/>
      <c r="J15" s="76"/>
      <c r="K15" s="76"/>
      <c r="L15" s="91"/>
      <c r="M15" s="82"/>
      <c r="N15" s="76"/>
      <c r="O15" s="76"/>
      <c r="P15" s="76"/>
      <c r="Q15" s="76"/>
      <c r="R15" s="76"/>
      <c r="S15" s="10"/>
    </row>
    <row r="16" spans="3:27" x14ac:dyDescent="0.3">
      <c r="G16" s="6" t="s">
        <v>34</v>
      </c>
      <c r="H16" s="87">
        <v>0.15</v>
      </c>
      <c r="I16" s="72" t="s">
        <v>35</v>
      </c>
      <c r="J16" s="75">
        <f t="shared" si="1"/>
        <v>525</v>
      </c>
      <c r="K16" s="75">
        <f t="shared" si="2"/>
        <v>525</v>
      </c>
      <c r="L16" s="91">
        <f t="shared" si="3"/>
        <v>525</v>
      </c>
      <c r="M16" s="78">
        <f t="shared" si="4"/>
        <v>540.75</v>
      </c>
      <c r="N16" s="75">
        <f t="shared" si="5"/>
        <v>567</v>
      </c>
      <c r="O16" s="75">
        <f t="shared" si="6"/>
        <v>577.5</v>
      </c>
      <c r="P16" s="75">
        <f t="shared" si="7"/>
        <v>603.75</v>
      </c>
      <c r="Q16" s="75">
        <f t="shared" si="8"/>
        <v>630</v>
      </c>
      <c r="R16" s="75">
        <f t="shared" si="9"/>
        <v>682.5</v>
      </c>
      <c r="S16" s="10"/>
      <c r="U16" s="2" t="s">
        <v>36</v>
      </c>
    </row>
    <row r="17" spans="1:23" ht="15" thickBot="1" x14ac:dyDescent="0.35">
      <c r="G17" s="6"/>
      <c r="H17" s="89">
        <v>0.15</v>
      </c>
      <c r="I17" s="90" t="s">
        <v>37</v>
      </c>
      <c r="J17" s="75">
        <f t="shared" si="1"/>
        <v>525</v>
      </c>
      <c r="K17" s="75">
        <f t="shared" si="2"/>
        <v>525</v>
      </c>
      <c r="L17" s="91">
        <f t="shared" si="3"/>
        <v>525</v>
      </c>
      <c r="M17" s="78">
        <f t="shared" si="4"/>
        <v>540.75</v>
      </c>
      <c r="N17" s="75">
        <f t="shared" si="5"/>
        <v>567</v>
      </c>
      <c r="O17" s="75">
        <f t="shared" si="6"/>
        <v>577.5</v>
      </c>
      <c r="P17" s="75">
        <f t="shared" si="7"/>
        <v>603.75</v>
      </c>
      <c r="Q17" s="75">
        <f t="shared" si="8"/>
        <v>630</v>
      </c>
      <c r="R17" s="75">
        <f t="shared" si="9"/>
        <v>682.5</v>
      </c>
      <c r="S17" s="10"/>
    </row>
    <row r="18" spans="1:23" ht="15" thickBot="1" x14ac:dyDescent="0.35">
      <c r="B18" s="42"/>
      <c r="C18" s="42"/>
      <c r="D18" s="42"/>
      <c r="E18" s="42"/>
      <c r="G18" s="6"/>
      <c r="J18" s="76"/>
      <c r="K18" s="76"/>
      <c r="L18" s="91"/>
      <c r="M18" s="82"/>
      <c r="N18" s="76"/>
      <c r="O18" s="76"/>
      <c r="P18" s="76"/>
      <c r="Q18" s="76"/>
      <c r="R18" s="76"/>
      <c r="S18" s="10"/>
      <c r="U18" s="2" t="s">
        <v>38</v>
      </c>
      <c r="V18" s="2" t="s">
        <v>39</v>
      </c>
    </row>
    <row r="19" spans="1:23" x14ac:dyDescent="0.3">
      <c r="B19" s="100" t="s">
        <v>40</v>
      </c>
      <c r="C19" s="110" t="s">
        <v>76</v>
      </c>
      <c r="D19" s="100" t="s">
        <v>77</v>
      </c>
      <c r="E19" s="100" t="s">
        <v>78</v>
      </c>
      <c r="G19" s="6" t="s">
        <v>41</v>
      </c>
      <c r="H19" s="87">
        <v>0.05</v>
      </c>
      <c r="I19" s="72" t="s">
        <v>42</v>
      </c>
      <c r="J19" s="75">
        <f t="shared" si="1"/>
        <v>175</v>
      </c>
      <c r="K19" s="75">
        <f t="shared" si="2"/>
        <v>175</v>
      </c>
      <c r="L19" s="91">
        <f t="shared" si="3"/>
        <v>175</v>
      </c>
      <c r="M19" s="78">
        <f t="shared" si="4"/>
        <v>180.25</v>
      </c>
      <c r="N19" s="75">
        <f t="shared" si="5"/>
        <v>189</v>
      </c>
      <c r="O19" s="75">
        <f t="shared" si="6"/>
        <v>192.5</v>
      </c>
      <c r="P19" s="75">
        <f t="shared" si="7"/>
        <v>201.25</v>
      </c>
      <c r="Q19" s="75">
        <f t="shared" si="8"/>
        <v>210</v>
      </c>
      <c r="R19" s="75">
        <f t="shared" si="9"/>
        <v>227.5</v>
      </c>
      <c r="S19" s="10"/>
    </row>
    <row r="20" spans="1:23" x14ac:dyDescent="0.3">
      <c r="A20" s="103">
        <v>0</v>
      </c>
      <c r="B20" s="101">
        <f>J10</f>
        <v>175</v>
      </c>
      <c r="C20" s="101">
        <f>J11</f>
        <v>350</v>
      </c>
      <c r="D20" s="101">
        <f>J12</f>
        <v>350</v>
      </c>
      <c r="E20" s="101">
        <f>J13</f>
        <v>350</v>
      </c>
      <c r="G20" s="6"/>
      <c r="H20" s="88">
        <v>0.05</v>
      </c>
      <c r="I20" s="74" t="s">
        <v>43</v>
      </c>
      <c r="J20" s="75">
        <f t="shared" si="1"/>
        <v>175</v>
      </c>
      <c r="K20" s="75">
        <f t="shared" si="2"/>
        <v>175</v>
      </c>
      <c r="L20" s="91">
        <f t="shared" si="3"/>
        <v>175</v>
      </c>
      <c r="M20" s="78">
        <f t="shared" si="4"/>
        <v>180.25</v>
      </c>
      <c r="N20" s="75">
        <f t="shared" si="5"/>
        <v>189</v>
      </c>
      <c r="O20" s="75">
        <f t="shared" si="6"/>
        <v>192.5</v>
      </c>
      <c r="P20" s="75">
        <f t="shared" si="7"/>
        <v>201.25</v>
      </c>
      <c r="Q20" s="75">
        <f t="shared" si="8"/>
        <v>210</v>
      </c>
      <c r="R20" s="75">
        <f t="shared" si="9"/>
        <v>227.5</v>
      </c>
      <c r="S20" s="10"/>
      <c r="U20" s="2" t="s">
        <v>44</v>
      </c>
      <c r="V20" s="2" t="s">
        <v>12</v>
      </c>
      <c r="W20" s="2" t="s">
        <v>45</v>
      </c>
    </row>
    <row r="21" spans="1:23" x14ac:dyDescent="0.3">
      <c r="A21" s="103">
        <v>0.90000999999999998</v>
      </c>
      <c r="B21" s="101">
        <f>K10</f>
        <v>175</v>
      </c>
      <c r="C21" s="101">
        <f>K11</f>
        <v>350</v>
      </c>
      <c r="D21" s="101">
        <f>K12</f>
        <v>350</v>
      </c>
      <c r="E21" s="101">
        <f>K13</f>
        <v>350</v>
      </c>
      <c r="G21" s="6"/>
      <c r="H21" s="6"/>
      <c r="I21" s="74"/>
      <c r="J21" s="80"/>
      <c r="K21" s="80"/>
      <c r="L21" s="92"/>
      <c r="M21" s="35"/>
      <c r="N21" s="80"/>
      <c r="O21" s="80"/>
      <c r="P21" s="80"/>
      <c r="Q21" s="80"/>
      <c r="R21" s="80"/>
      <c r="S21" s="10"/>
    </row>
    <row r="22" spans="1:23" x14ac:dyDescent="0.3">
      <c r="A22" s="103">
        <v>0.95001000000000002</v>
      </c>
      <c r="B22" s="101">
        <f>L10</f>
        <v>175</v>
      </c>
      <c r="C22" s="101">
        <f>L11</f>
        <v>350</v>
      </c>
      <c r="D22" s="101">
        <f>L12</f>
        <v>350</v>
      </c>
      <c r="E22" s="101">
        <f>L13</f>
        <v>350</v>
      </c>
      <c r="G22" s="6"/>
      <c r="H22" s="6"/>
      <c r="I22" s="74"/>
      <c r="J22" s="80"/>
      <c r="K22" s="80"/>
      <c r="L22" s="92"/>
      <c r="M22" s="35"/>
      <c r="N22" s="80"/>
      <c r="O22" s="80"/>
      <c r="P22" s="80"/>
      <c r="Q22" s="80"/>
      <c r="R22" s="80"/>
      <c r="S22" s="10"/>
      <c r="U22" s="2" t="s">
        <v>46</v>
      </c>
      <c r="V22" s="2" t="s">
        <v>47</v>
      </c>
      <c r="W22" s="2" t="s">
        <v>39</v>
      </c>
    </row>
    <row r="23" spans="1:23" x14ac:dyDescent="0.3">
      <c r="A23" s="103">
        <v>1.0000100000000001</v>
      </c>
      <c r="B23" s="101">
        <f>M10</f>
        <v>180.25</v>
      </c>
      <c r="C23" s="101">
        <f>M11</f>
        <v>360.5</v>
      </c>
      <c r="D23" s="101">
        <f>M12</f>
        <v>360.5</v>
      </c>
      <c r="E23" s="101">
        <f>M13</f>
        <v>360.5</v>
      </c>
      <c r="G23" s="6"/>
      <c r="H23" s="6"/>
      <c r="I23" s="74"/>
      <c r="J23" s="80"/>
      <c r="K23" s="80"/>
      <c r="L23" s="92"/>
      <c r="M23" s="35"/>
      <c r="N23" s="80"/>
      <c r="O23" s="80"/>
      <c r="P23" s="80"/>
      <c r="Q23" s="80"/>
      <c r="R23" s="80"/>
      <c r="S23" s="10"/>
    </row>
    <row r="24" spans="1:23" x14ac:dyDescent="0.3">
      <c r="A24" s="103">
        <v>1.0300100000000001</v>
      </c>
      <c r="B24" s="102">
        <f>N10</f>
        <v>189</v>
      </c>
      <c r="C24" s="102">
        <f>N11</f>
        <v>378</v>
      </c>
      <c r="D24" s="102">
        <f>N12</f>
        <v>378</v>
      </c>
      <c r="E24" s="102">
        <f>N13</f>
        <v>378</v>
      </c>
      <c r="G24" s="6"/>
      <c r="H24" s="6"/>
      <c r="I24" s="74"/>
      <c r="J24" s="80"/>
      <c r="K24" s="80"/>
      <c r="L24" s="92"/>
      <c r="M24" s="35"/>
      <c r="N24" s="80"/>
      <c r="O24" s="80"/>
      <c r="P24" s="80"/>
      <c r="Q24" s="80"/>
      <c r="R24" s="80"/>
      <c r="S24" s="10"/>
      <c r="U24" s="2" t="s">
        <v>48</v>
      </c>
      <c r="V24" s="2" t="s">
        <v>49</v>
      </c>
      <c r="W24" s="2" t="s">
        <v>50</v>
      </c>
    </row>
    <row r="25" spans="1:23" x14ac:dyDescent="0.3">
      <c r="A25" s="103">
        <f>106.001%</f>
        <v>1.0600100000000001</v>
      </c>
      <c r="B25" s="101">
        <f>O10</f>
        <v>192.5</v>
      </c>
      <c r="C25" s="101">
        <f>O11</f>
        <v>385</v>
      </c>
      <c r="D25" s="101">
        <f>O12</f>
        <v>385</v>
      </c>
      <c r="E25" s="101">
        <f>O13</f>
        <v>385</v>
      </c>
      <c r="G25" s="6"/>
      <c r="H25" s="6"/>
      <c r="I25" s="74"/>
      <c r="J25" s="80"/>
      <c r="K25" s="80"/>
      <c r="L25" s="92"/>
      <c r="M25" s="35"/>
      <c r="N25" s="80"/>
      <c r="O25" s="80"/>
      <c r="P25" s="80"/>
      <c r="Q25" s="80"/>
      <c r="R25" s="80"/>
      <c r="S25" s="10"/>
    </row>
    <row r="26" spans="1:23" x14ac:dyDescent="0.3">
      <c r="A26" s="103">
        <f>110.001%</f>
        <v>1.1000100000000002</v>
      </c>
      <c r="B26" s="101">
        <f>P10</f>
        <v>201.25</v>
      </c>
      <c r="C26" s="101">
        <f>P11</f>
        <v>402.5</v>
      </c>
      <c r="D26" s="101">
        <f>P12</f>
        <v>402.5</v>
      </c>
      <c r="E26" s="101">
        <f>P13</f>
        <v>402.5</v>
      </c>
      <c r="G26" s="6"/>
      <c r="H26" s="6"/>
      <c r="I26" s="74"/>
      <c r="J26" s="80"/>
      <c r="K26" s="80"/>
      <c r="L26" s="92"/>
      <c r="M26" s="35"/>
      <c r="N26" s="80"/>
      <c r="O26" s="80"/>
      <c r="P26" s="80"/>
      <c r="Q26" s="80"/>
      <c r="R26" s="80"/>
      <c r="S26" s="10"/>
    </row>
    <row r="27" spans="1:23" x14ac:dyDescent="0.3">
      <c r="A27" s="103">
        <f>115.001%</f>
        <v>1.15001</v>
      </c>
      <c r="B27" s="101">
        <f>Q10</f>
        <v>210</v>
      </c>
      <c r="C27" s="101">
        <f>Q11</f>
        <v>420</v>
      </c>
      <c r="D27" s="101">
        <f>Q12</f>
        <v>420</v>
      </c>
      <c r="E27" s="101">
        <f>Q13</f>
        <v>420</v>
      </c>
      <c r="G27" s="6"/>
      <c r="H27" s="6"/>
      <c r="I27" s="74"/>
      <c r="J27" s="80"/>
      <c r="K27" s="80"/>
      <c r="L27" s="92"/>
      <c r="M27" s="35"/>
      <c r="N27" s="80"/>
      <c r="O27" s="80"/>
      <c r="P27" s="80"/>
      <c r="Q27" s="80"/>
      <c r="R27" s="80"/>
      <c r="S27" s="10"/>
    </row>
    <row r="28" spans="1:23" x14ac:dyDescent="0.3">
      <c r="A28" s="103">
        <f>120.001%</f>
        <v>1.20001</v>
      </c>
      <c r="B28" s="101">
        <f>R10</f>
        <v>227.5</v>
      </c>
      <c r="C28" s="101">
        <f>R11</f>
        <v>455</v>
      </c>
      <c r="D28" s="101">
        <f>R12</f>
        <v>455</v>
      </c>
      <c r="E28" s="101">
        <f>R13</f>
        <v>455</v>
      </c>
      <c r="G28" s="6"/>
      <c r="H28" s="6"/>
      <c r="I28" s="74"/>
      <c r="J28" s="80"/>
      <c r="K28" s="80"/>
      <c r="L28" s="92"/>
      <c r="M28" s="35"/>
      <c r="N28" s="80"/>
      <c r="O28" s="80"/>
      <c r="P28" s="80"/>
      <c r="Q28" s="80"/>
      <c r="R28" s="80"/>
      <c r="S28" s="10"/>
    </row>
    <row r="29" spans="1:23" ht="15" thickBot="1" x14ac:dyDescent="0.35">
      <c r="G29" s="6"/>
      <c r="H29" s="33"/>
      <c r="I29" s="90"/>
      <c r="J29" s="81"/>
      <c r="K29" s="81"/>
      <c r="L29" s="93"/>
      <c r="M29" s="79"/>
      <c r="N29" s="81"/>
      <c r="O29" s="81"/>
      <c r="P29" s="81"/>
      <c r="Q29" s="81"/>
      <c r="R29" s="81"/>
      <c r="S29" s="10"/>
    </row>
    <row r="30" spans="1:23" x14ac:dyDescent="0.3">
      <c r="A30" s="44"/>
      <c r="B30" s="45"/>
      <c r="C30" s="45"/>
      <c r="D30" s="45"/>
      <c r="E30" s="45"/>
      <c r="G30" s="6"/>
      <c r="H30" s="46">
        <f>SUM(H6:H29)</f>
        <v>1</v>
      </c>
      <c r="S30" s="10"/>
    </row>
    <row r="31" spans="1:23" ht="15" thickBot="1" x14ac:dyDescent="0.35">
      <c r="B31" s="47"/>
      <c r="C31" s="47"/>
      <c r="D31" s="47"/>
      <c r="E31" s="47"/>
      <c r="G31" s="33"/>
      <c r="H31" s="48"/>
      <c r="I31" s="48" t="s">
        <v>51</v>
      </c>
      <c r="J31" s="49">
        <f t="shared" ref="J31:R31" si="11">SUM(J6:J29)</f>
        <v>3500</v>
      </c>
      <c r="K31" s="49">
        <f t="shared" si="11"/>
        <v>3500</v>
      </c>
      <c r="L31" s="49">
        <f t="shared" si="11"/>
        <v>3500</v>
      </c>
      <c r="M31" s="49">
        <f t="shared" si="11"/>
        <v>3605</v>
      </c>
      <c r="N31" s="49">
        <f t="shared" si="11"/>
        <v>3780</v>
      </c>
      <c r="O31" s="49">
        <f t="shared" si="11"/>
        <v>3850</v>
      </c>
      <c r="P31" s="49">
        <f t="shared" si="11"/>
        <v>4025</v>
      </c>
      <c r="Q31" s="49">
        <f t="shared" si="11"/>
        <v>4200</v>
      </c>
      <c r="R31" s="49">
        <f t="shared" si="11"/>
        <v>4550</v>
      </c>
      <c r="S31" s="50"/>
    </row>
    <row r="32" spans="1:23" ht="15" thickBot="1" x14ac:dyDescent="0.35">
      <c r="B32" s="47"/>
      <c r="C32" s="47"/>
      <c r="D32" s="47"/>
      <c r="E32" s="47"/>
    </row>
    <row r="33" spans="2:23" ht="15" thickBot="1" x14ac:dyDescent="0.35">
      <c r="B33" s="47"/>
      <c r="C33" s="47"/>
      <c r="D33" s="47"/>
      <c r="E33" s="47"/>
      <c r="G33" s="51" t="s">
        <v>52</v>
      </c>
      <c r="H33" s="52" t="s">
        <v>53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3"/>
    </row>
    <row r="34" spans="2:23" x14ac:dyDescent="0.3">
      <c r="B34" s="47"/>
      <c r="C34" s="47"/>
      <c r="D34" s="47"/>
      <c r="E34" s="47"/>
    </row>
    <row r="35" spans="2:23" x14ac:dyDescent="0.3">
      <c r="H35" s="54" t="s">
        <v>54</v>
      </c>
      <c r="I35" s="54"/>
      <c r="J35" s="55"/>
      <c r="K35" s="54"/>
      <c r="L35" s="54"/>
      <c r="M35" s="54"/>
      <c r="N35" s="54"/>
      <c r="O35" s="55">
        <f>O6</f>
        <v>192.5</v>
      </c>
      <c r="P35" s="54"/>
      <c r="Q35" s="54"/>
      <c r="R35" s="54"/>
      <c r="S35" s="54"/>
    </row>
    <row r="36" spans="2:23" x14ac:dyDescent="0.3">
      <c r="H36" s="54" t="s">
        <v>55</v>
      </c>
      <c r="I36" s="54"/>
      <c r="J36" s="55">
        <f>J10</f>
        <v>175</v>
      </c>
      <c r="K36" s="54"/>
      <c r="L36" s="54"/>
      <c r="M36" s="54"/>
      <c r="N36" s="54"/>
      <c r="O36" s="54"/>
      <c r="P36" s="54"/>
      <c r="Q36" s="54"/>
      <c r="R36" s="54"/>
      <c r="S36" s="54"/>
      <c r="W36" s="54"/>
    </row>
    <row r="37" spans="2:23" x14ac:dyDescent="0.3">
      <c r="H37" s="54" t="s">
        <v>56</v>
      </c>
      <c r="I37" s="54"/>
      <c r="J37" s="54"/>
      <c r="K37" s="54"/>
      <c r="L37" s="54"/>
      <c r="M37" s="55">
        <f>M16</f>
        <v>540.75</v>
      </c>
      <c r="N37" s="54"/>
      <c r="O37" s="54"/>
      <c r="P37" s="54"/>
      <c r="Q37" s="54"/>
      <c r="R37" s="54"/>
      <c r="S37" s="54"/>
    </row>
    <row r="38" spans="2:23" ht="15" thickBot="1" x14ac:dyDescent="0.35">
      <c r="H38" s="56" t="s">
        <v>57</v>
      </c>
      <c r="I38" s="56"/>
      <c r="J38" s="54"/>
      <c r="K38" s="54"/>
      <c r="L38" s="54"/>
      <c r="M38" s="55">
        <f>M19</f>
        <v>180.25</v>
      </c>
      <c r="N38" s="54"/>
      <c r="O38" s="54"/>
      <c r="P38" s="54"/>
      <c r="Q38" s="54"/>
      <c r="R38" s="54"/>
      <c r="S38" s="54"/>
    </row>
    <row r="39" spans="2:23" ht="15" thickBot="1" x14ac:dyDescent="0.35">
      <c r="H39" s="57" t="s">
        <v>51</v>
      </c>
      <c r="I39" s="58">
        <f>SUM(I35:R38)</f>
        <v>1088.5</v>
      </c>
    </row>
    <row r="41" spans="2:23" ht="23.25" hidden="1" customHeight="1" x14ac:dyDescent="0.3">
      <c r="H41" s="2" t="s">
        <v>58</v>
      </c>
      <c r="I41" s="43" t="s">
        <v>59</v>
      </c>
      <c r="J41" s="59" t="s">
        <v>60</v>
      </c>
      <c r="K41" s="59" t="s">
        <v>61</v>
      </c>
      <c r="L41" s="59" t="s">
        <v>62</v>
      </c>
      <c r="M41" s="59" t="s">
        <v>63</v>
      </c>
      <c r="N41" s="59" t="s">
        <v>64</v>
      </c>
      <c r="O41" s="59" t="s">
        <v>65</v>
      </c>
      <c r="P41" s="59" t="s">
        <v>66</v>
      </c>
      <c r="Q41" s="59" t="s">
        <v>67</v>
      </c>
      <c r="R41" s="59" t="s">
        <v>68</v>
      </c>
    </row>
    <row r="42" spans="2:23" ht="21.6" hidden="1" customHeight="1" x14ac:dyDescent="0.3">
      <c r="I42" s="43">
        <v>0</v>
      </c>
      <c r="J42" s="60">
        <v>1200</v>
      </c>
      <c r="K42" s="60">
        <v>1350</v>
      </c>
      <c r="L42" s="60">
        <f>1425</f>
        <v>1425</v>
      </c>
      <c r="M42" s="60">
        <v>1500</v>
      </c>
      <c r="N42" s="60">
        <v>1575</v>
      </c>
      <c r="O42" s="60">
        <v>1725</v>
      </c>
      <c r="P42" s="60">
        <v>1875</v>
      </c>
      <c r="Q42" s="60">
        <v>1950</v>
      </c>
      <c r="R42" s="60">
        <v>2100</v>
      </c>
      <c r="S42" s="47"/>
    </row>
    <row r="43" spans="2:23" ht="18.45" customHeight="1" x14ac:dyDescent="0.3">
      <c r="H43" s="2" t="s">
        <v>1</v>
      </c>
      <c r="J43" s="61">
        <v>-0.2</v>
      </c>
      <c r="K43" s="46">
        <v>-0.1</v>
      </c>
      <c r="L43" s="46">
        <v>-0.05</v>
      </c>
      <c r="M43" s="62"/>
      <c r="N43" s="46">
        <v>0.05</v>
      </c>
      <c r="O43" s="46">
        <v>0.15</v>
      </c>
      <c r="P43" s="63">
        <v>0.25</v>
      </c>
      <c r="Q43" s="63">
        <v>0.3</v>
      </c>
      <c r="R43" s="64">
        <v>0.4</v>
      </c>
    </row>
    <row r="44" spans="2:23" ht="15.6" x14ac:dyDescent="0.3">
      <c r="H44" s="2" t="s">
        <v>69</v>
      </c>
      <c r="I44" s="65" t="s">
        <v>59</v>
      </c>
      <c r="J44" s="66" t="s">
        <v>60</v>
      </c>
      <c r="K44" s="59" t="s">
        <v>61</v>
      </c>
      <c r="L44" s="59" t="s">
        <v>62</v>
      </c>
      <c r="M44" s="67">
        <v>1</v>
      </c>
      <c r="N44" s="59" t="s">
        <v>70</v>
      </c>
      <c r="O44" s="59" t="s">
        <v>71</v>
      </c>
      <c r="P44" s="59" t="s">
        <v>72</v>
      </c>
      <c r="Q44" s="59" t="s">
        <v>73</v>
      </c>
      <c r="R44" s="66" t="s">
        <v>74</v>
      </c>
      <c r="S44" s="68"/>
    </row>
    <row r="45" spans="2:23" ht="15.6" x14ac:dyDescent="0.3">
      <c r="H45" s="2" t="s">
        <v>54</v>
      </c>
      <c r="I45" s="69">
        <f>J6</f>
        <v>175</v>
      </c>
      <c r="J45" s="69">
        <f t="shared" ref="J45:R45" si="12">J6</f>
        <v>175</v>
      </c>
      <c r="K45" s="60">
        <f t="shared" si="12"/>
        <v>175</v>
      </c>
      <c r="L45" s="60">
        <f t="shared" si="12"/>
        <v>175</v>
      </c>
      <c r="M45" s="70">
        <f t="shared" si="12"/>
        <v>180.25</v>
      </c>
      <c r="N45" s="60">
        <f t="shared" si="12"/>
        <v>189</v>
      </c>
      <c r="O45" s="60">
        <f t="shared" si="12"/>
        <v>192.5</v>
      </c>
      <c r="P45" s="60">
        <f t="shared" si="12"/>
        <v>201.25</v>
      </c>
      <c r="Q45" s="60">
        <f t="shared" si="12"/>
        <v>210</v>
      </c>
      <c r="R45" s="69">
        <f t="shared" si="12"/>
        <v>227.5</v>
      </c>
      <c r="S45" s="71"/>
    </row>
    <row r="46" spans="2:23" ht="15.6" x14ac:dyDescent="0.3">
      <c r="H46" s="2" t="s">
        <v>55</v>
      </c>
      <c r="I46" s="69">
        <f>J10</f>
        <v>175</v>
      </c>
      <c r="J46" s="69">
        <f t="shared" ref="J46:R46" si="13">J10</f>
        <v>175</v>
      </c>
      <c r="K46" s="60">
        <f t="shared" si="13"/>
        <v>175</v>
      </c>
      <c r="L46" s="60">
        <f t="shared" si="13"/>
        <v>175</v>
      </c>
      <c r="M46" s="70">
        <f t="shared" si="13"/>
        <v>180.25</v>
      </c>
      <c r="N46" s="60">
        <f t="shared" si="13"/>
        <v>189</v>
      </c>
      <c r="O46" s="60">
        <f t="shared" si="13"/>
        <v>192.5</v>
      </c>
      <c r="P46" s="60">
        <f t="shared" si="13"/>
        <v>201.25</v>
      </c>
      <c r="Q46" s="60">
        <f t="shared" si="13"/>
        <v>210</v>
      </c>
      <c r="R46" s="69">
        <f t="shared" si="13"/>
        <v>227.5</v>
      </c>
    </row>
    <row r="47" spans="2:23" ht="15.6" x14ac:dyDescent="0.3">
      <c r="H47" s="2" t="s">
        <v>56</v>
      </c>
      <c r="I47" s="69">
        <f>J16</f>
        <v>525</v>
      </c>
      <c r="J47" s="69">
        <f>J16</f>
        <v>525</v>
      </c>
      <c r="K47" s="60">
        <f>K16</f>
        <v>525</v>
      </c>
      <c r="L47" s="60">
        <f t="shared" ref="L47:R47" si="14">L16</f>
        <v>525</v>
      </c>
      <c r="M47" s="70">
        <f t="shared" si="14"/>
        <v>540.75</v>
      </c>
      <c r="N47" s="60">
        <f t="shared" si="14"/>
        <v>567</v>
      </c>
      <c r="O47" s="60">
        <f t="shared" si="14"/>
        <v>577.5</v>
      </c>
      <c r="P47" s="60">
        <f t="shared" si="14"/>
        <v>603.75</v>
      </c>
      <c r="Q47" s="60">
        <f t="shared" si="14"/>
        <v>630</v>
      </c>
      <c r="R47" s="69">
        <f t="shared" si="14"/>
        <v>682.5</v>
      </c>
    </row>
    <row r="48" spans="2:23" ht="15.6" x14ac:dyDescent="0.3">
      <c r="H48" s="2" t="s">
        <v>75</v>
      </c>
      <c r="I48" s="69">
        <f>J19</f>
        <v>175</v>
      </c>
      <c r="J48" s="69">
        <f>J19</f>
        <v>175</v>
      </c>
      <c r="K48" s="60">
        <f>K19</f>
        <v>175</v>
      </c>
      <c r="L48" s="60">
        <f t="shared" ref="L48:R48" si="15">L19</f>
        <v>175</v>
      </c>
      <c r="M48" s="70">
        <f t="shared" si="15"/>
        <v>180.25</v>
      </c>
      <c r="N48" s="60">
        <f t="shared" si="15"/>
        <v>189</v>
      </c>
      <c r="O48" s="60">
        <f t="shared" si="15"/>
        <v>192.5</v>
      </c>
      <c r="P48" s="60">
        <f t="shared" si="15"/>
        <v>201.25</v>
      </c>
      <c r="Q48" s="60">
        <f t="shared" si="15"/>
        <v>210</v>
      </c>
      <c r="R48" s="69">
        <f t="shared" si="15"/>
        <v>227.5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634B-9099-4756-8489-665F3E8BF51E}">
  <sheetPr codeName="Sheet5">
    <tabColor theme="4"/>
  </sheetPr>
  <dimension ref="A1:AA48"/>
  <sheetViews>
    <sheetView showGridLines="0" topLeftCell="C1" zoomScale="60" zoomScaleNormal="60" workbookViewId="0">
      <selection activeCell="J3" sqref="J3:R3"/>
    </sheetView>
  </sheetViews>
  <sheetFormatPr defaultColWidth="8.59765625" defaultRowHeight="14.4" x14ac:dyDescent="0.3"/>
  <cols>
    <col min="1" max="1" width="13" style="2" customWidth="1"/>
    <col min="2" max="2" width="11.3984375" style="2" customWidth="1"/>
    <col min="3" max="3" width="9.8984375" style="2" customWidth="1"/>
    <col min="4" max="4" width="9.59765625" style="2" bestFit="1" customWidth="1"/>
    <col min="5" max="5" width="10.8984375" style="2" bestFit="1" customWidth="1"/>
    <col min="6" max="6" width="3.59765625" style="2" customWidth="1"/>
    <col min="7" max="7" width="9.3984375" style="2" bestFit="1" customWidth="1"/>
    <col min="8" max="8" width="9.59765625" style="2" bestFit="1" customWidth="1"/>
    <col min="9" max="9" width="18.59765625" style="2" customWidth="1"/>
    <col min="10" max="10" width="12.09765625" style="2" customWidth="1"/>
    <col min="11" max="12" width="11.59765625" style="2" customWidth="1"/>
    <col min="13" max="13" width="12" style="2" customWidth="1"/>
    <col min="14" max="14" width="12.8984375" style="2" customWidth="1"/>
    <col min="15" max="15" width="15.09765625" style="2" customWidth="1"/>
    <col min="16" max="16" width="14.5" style="2" customWidth="1"/>
    <col min="17" max="17" width="13" style="2" customWidth="1"/>
    <col min="18" max="18" width="15.09765625" style="2" customWidth="1"/>
    <col min="19" max="20" width="8.59765625" style="2"/>
    <col min="21" max="21" width="15.8984375" style="2" bestFit="1" customWidth="1"/>
    <col min="22" max="22" width="12.09765625" style="2" bestFit="1" customWidth="1"/>
    <col min="23" max="24" width="9.59765625" style="2" bestFit="1" customWidth="1"/>
    <col min="25" max="26" width="10.5" style="2" bestFit="1" customWidth="1"/>
    <col min="27" max="16384" width="8.59765625" style="2"/>
  </cols>
  <sheetData>
    <row r="1" spans="3:27" ht="15" thickBot="1" x14ac:dyDescent="0.35">
      <c r="G1" s="3"/>
      <c r="H1" s="4"/>
      <c r="I1" s="4"/>
      <c r="J1" s="208">
        <f>$H$4+($H$4*J3)</f>
        <v>3150</v>
      </c>
      <c r="K1" s="208">
        <f>$H$4+($H$4*K3)</f>
        <v>3325</v>
      </c>
      <c r="L1" s="4"/>
      <c r="M1" s="4"/>
      <c r="N1" s="4"/>
      <c r="O1" s="4"/>
      <c r="P1" s="4"/>
      <c r="Q1" s="4"/>
      <c r="R1" s="4"/>
      <c r="S1" s="5"/>
    </row>
    <row r="2" spans="3:27" ht="15" thickBot="1" x14ac:dyDescent="0.35">
      <c r="G2" s="6"/>
      <c r="I2" s="7"/>
      <c r="J2" s="8">
        <v>3500</v>
      </c>
      <c r="K2" s="8">
        <v>3500</v>
      </c>
      <c r="L2" s="8">
        <f t="shared" ref="L2:Q2" si="0">$H$4+($H$4*L3)</f>
        <v>3500</v>
      </c>
      <c r="M2" s="8">
        <f t="shared" si="0"/>
        <v>3605</v>
      </c>
      <c r="N2" s="8">
        <f t="shared" si="0"/>
        <v>3780</v>
      </c>
      <c r="O2" s="8">
        <f t="shared" si="0"/>
        <v>3850</v>
      </c>
      <c r="P2" s="8">
        <f t="shared" si="0"/>
        <v>4025</v>
      </c>
      <c r="Q2" s="8">
        <f t="shared" si="0"/>
        <v>4200</v>
      </c>
      <c r="R2" s="9">
        <f>$H$4+($H$4*R3)</f>
        <v>4550</v>
      </c>
      <c r="S2" s="10"/>
    </row>
    <row r="3" spans="3:27" ht="15" thickBot="1" x14ac:dyDescent="0.35">
      <c r="D3" s="11" t="s">
        <v>0</v>
      </c>
      <c r="E3" s="12"/>
      <c r="G3" s="13"/>
      <c r="H3" s="14"/>
      <c r="I3" s="15" t="s">
        <v>1</v>
      </c>
      <c r="J3" s="95">
        <v>-0.1</v>
      </c>
      <c r="K3" s="95">
        <v>-0.05</v>
      </c>
      <c r="L3" s="95">
        <v>0</v>
      </c>
      <c r="M3" s="124">
        <v>0.03</v>
      </c>
      <c r="N3" s="124">
        <v>0.08</v>
      </c>
      <c r="O3" s="95">
        <v>0.1</v>
      </c>
      <c r="P3" s="16">
        <v>0.15</v>
      </c>
      <c r="Q3" s="16">
        <v>0.2</v>
      </c>
      <c r="R3" s="17">
        <v>0.3</v>
      </c>
      <c r="S3" s="10"/>
      <c r="U3" s="18" t="s">
        <v>2</v>
      </c>
      <c r="V3" s="19"/>
      <c r="W3" s="19"/>
      <c r="X3" s="19"/>
      <c r="Y3" s="19"/>
      <c r="Z3" s="19"/>
      <c r="AA3" s="20"/>
    </row>
    <row r="4" spans="3:27" ht="15" thickBot="1" x14ac:dyDescent="0.35">
      <c r="C4" s="2" t="s">
        <v>3</v>
      </c>
      <c r="D4" s="11" t="s">
        <v>4</v>
      </c>
      <c r="E4" s="12" t="s">
        <v>5</v>
      </c>
      <c r="G4" s="21" t="s">
        <v>6</v>
      </c>
      <c r="H4" s="125">
        <v>3500</v>
      </c>
      <c r="I4" s="23" t="s">
        <v>7</v>
      </c>
      <c r="J4" s="24">
        <v>0.9</v>
      </c>
      <c r="K4" s="24">
        <v>0.95</v>
      </c>
      <c r="L4" s="24">
        <v>1</v>
      </c>
      <c r="M4" s="24">
        <v>1.03</v>
      </c>
      <c r="N4" s="24">
        <v>1.06</v>
      </c>
      <c r="O4" s="24">
        <v>1.1000000000000001</v>
      </c>
      <c r="P4" s="24">
        <v>1.1499999999999999</v>
      </c>
      <c r="Q4" s="24">
        <v>1.2</v>
      </c>
      <c r="R4" s="25">
        <v>1.3</v>
      </c>
      <c r="S4" s="10"/>
      <c r="U4" s="26"/>
      <c r="V4" s="27"/>
      <c r="W4" s="28">
        <v>45566</v>
      </c>
      <c r="X4" s="28">
        <v>45597</v>
      </c>
      <c r="Y4" s="28">
        <v>45627</v>
      </c>
      <c r="Z4" s="27" t="s">
        <v>8</v>
      </c>
      <c r="AA4" s="29"/>
    </row>
    <row r="5" spans="3:27" ht="15" thickBot="1" x14ac:dyDescent="0.35">
      <c r="C5" s="2" t="s">
        <v>9</v>
      </c>
      <c r="D5" s="30">
        <v>5000</v>
      </c>
      <c r="E5" s="30">
        <v>5000</v>
      </c>
      <c r="G5" s="6"/>
      <c r="M5" s="94"/>
      <c r="S5" s="10"/>
      <c r="U5" s="26" t="s">
        <v>10</v>
      </c>
      <c r="V5" s="27" t="s">
        <v>11</v>
      </c>
      <c r="W5" s="31">
        <v>5000</v>
      </c>
      <c r="X5" s="31">
        <v>5000</v>
      </c>
      <c r="Y5" s="31">
        <v>5000</v>
      </c>
      <c r="Z5" s="31">
        <f>SUM(W5:Y5)</f>
        <v>15000</v>
      </c>
      <c r="AA5" s="29"/>
    </row>
    <row r="6" spans="3:27" x14ac:dyDescent="0.3">
      <c r="C6" s="27" t="s">
        <v>12</v>
      </c>
      <c r="D6" s="32">
        <v>4000</v>
      </c>
      <c r="E6" s="30">
        <v>4000</v>
      </c>
      <c r="G6" s="6" t="s">
        <v>13</v>
      </c>
      <c r="H6" s="83">
        <v>0.1</v>
      </c>
      <c r="I6" s="72" t="s">
        <v>14</v>
      </c>
      <c r="J6" s="73">
        <f>H6*$J$2</f>
        <v>350</v>
      </c>
      <c r="K6" s="73">
        <f>H6*$K$2</f>
        <v>350</v>
      </c>
      <c r="L6" s="96">
        <f>H6*$L$2</f>
        <v>350</v>
      </c>
      <c r="M6" s="77">
        <f>H6*$M$2</f>
        <v>360.5</v>
      </c>
      <c r="N6" s="73">
        <f>H6*$N$2</f>
        <v>378</v>
      </c>
      <c r="O6" s="73">
        <f>H6*$O$2</f>
        <v>385</v>
      </c>
      <c r="P6" s="73">
        <f>H6*$P$2</f>
        <v>402.5</v>
      </c>
      <c r="Q6" s="73">
        <f>H6*$Q$2</f>
        <v>420</v>
      </c>
      <c r="R6" s="73">
        <f>H6*$R$2</f>
        <v>455</v>
      </c>
      <c r="S6" s="10"/>
      <c r="U6" s="26"/>
      <c r="V6" s="27"/>
      <c r="W6" s="31"/>
      <c r="X6" s="31"/>
      <c r="Y6" s="31"/>
      <c r="Z6" s="31"/>
      <c r="AA6" s="29"/>
    </row>
    <row r="7" spans="3:27" x14ac:dyDescent="0.3">
      <c r="C7" s="27" t="s">
        <v>15</v>
      </c>
      <c r="D7" s="32">
        <v>4000</v>
      </c>
      <c r="E7" s="30">
        <v>4000</v>
      </c>
      <c r="G7" s="6"/>
      <c r="H7" s="84">
        <v>0.15</v>
      </c>
      <c r="I7" s="74" t="s">
        <v>16</v>
      </c>
      <c r="J7" s="75">
        <f t="shared" ref="J7:J20" si="1">H7*$J$2</f>
        <v>525</v>
      </c>
      <c r="K7" s="75">
        <f t="shared" ref="K7:K20" si="2">H7*$K$2</f>
        <v>525</v>
      </c>
      <c r="L7" s="91">
        <f t="shared" ref="L7:L20" si="3">H7*$L$2</f>
        <v>525</v>
      </c>
      <c r="M7" s="78">
        <f t="shared" ref="M7:M20" si="4">H7*$M$2</f>
        <v>540.75</v>
      </c>
      <c r="N7" s="75">
        <f t="shared" ref="N7:N20" si="5">H7*$N$2</f>
        <v>567</v>
      </c>
      <c r="O7" s="75">
        <f t="shared" ref="O7:O20" si="6">H7*$O$2</f>
        <v>577.5</v>
      </c>
      <c r="P7" s="75">
        <f t="shared" ref="P7:P20" si="7">H7*$P$2</f>
        <v>603.75</v>
      </c>
      <c r="Q7" s="75">
        <f t="shared" ref="Q7:Q20" si="8">H7*$Q$2</f>
        <v>630</v>
      </c>
      <c r="R7" s="75">
        <f t="shared" ref="R7:R20" si="9">H7*$R$2</f>
        <v>682.5</v>
      </c>
      <c r="S7" s="10"/>
      <c r="U7" s="26" t="s">
        <v>17</v>
      </c>
      <c r="V7" s="27" t="s">
        <v>18</v>
      </c>
      <c r="W7" s="31">
        <v>6000</v>
      </c>
      <c r="X7" s="31">
        <v>5000</v>
      </c>
      <c r="Y7" s="31">
        <v>4500</v>
      </c>
      <c r="Z7" s="31">
        <f>SUM(W7:Y7)</f>
        <v>15500</v>
      </c>
      <c r="AA7" s="29"/>
    </row>
    <row r="8" spans="3:27" ht="15" thickBot="1" x14ac:dyDescent="0.35">
      <c r="C8" s="27" t="s">
        <v>19</v>
      </c>
      <c r="D8" s="32">
        <v>2500</v>
      </c>
      <c r="E8" s="30">
        <v>2500</v>
      </c>
      <c r="G8" s="6"/>
      <c r="H8" s="85">
        <v>0.25</v>
      </c>
      <c r="I8" s="74" t="s">
        <v>20</v>
      </c>
      <c r="J8" s="75">
        <f t="shared" si="1"/>
        <v>875</v>
      </c>
      <c r="K8" s="75">
        <f t="shared" si="2"/>
        <v>875</v>
      </c>
      <c r="L8" s="91">
        <f t="shared" si="3"/>
        <v>875</v>
      </c>
      <c r="M8" s="78">
        <f t="shared" si="4"/>
        <v>901.25</v>
      </c>
      <c r="N8" s="75">
        <f t="shared" si="5"/>
        <v>945</v>
      </c>
      <c r="O8" s="75">
        <f t="shared" si="6"/>
        <v>962.5</v>
      </c>
      <c r="P8" s="75">
        <f t="shared" si="7"/>
        <v>1006.25</v>
      </c>
      <c r="Q8" s="75">
        <f t="shared" si="8"/>
        <v>1050</v>
      </c>
      <c r="R8" s="75">
        <f t="shared" si="9"/>
        <v>1137.5</v>
      </c>
      <c r="S8" s="10"/>
      <c r="U8" s="26"/>
      <c r="V8" s="27" t="s">
        <v>21</v>
      </c>
      <c r="W8" s="31">
        <f>I39</f>
        <v>1100.75</v>
      </c>
      <c r="X8" s="31">
        <v>5200</v>
      </c>
      <c r="Y8" s="31">
        <v>5000</v>
      </c>
      <c r="Z8" s="34">
        <f>SUM(W8:Y8)</f>
        <v>11300.75</v>
      </c>
      <c r="AA8" s="29"/>
    </row>
    <row r="9" spans="3:27" ht="15" thickBot="1" x14ac:dyDescent="0.35">
      <c r="C9" s="27" t="s">
        <v>22</v>
      </c>
      <c r="D9" s="32">
        <v>1200</v>
      </c>
      <c r="E9" s="30">
        <v>1200</v>
      </c>
      <c r="G9" s="6"/>
      <c r="J9" s="76"/>
      <c r="K9" s="76"/>
      <c r="L9" s="91"/>
      <c r="M9" s="82"/>
      <c r="N9" s="76"/>
      <c r="O9" s="76"/>
      <c r="P9" s="76"/>
      <c r="Q9" s="76"/>
      <c r="R9" s="76"/>
      <c r="S9" s="10"/>
      <c r="U9" s="26"/>
      <c r="V9" s="34" t="s">
        <v>23</v>
      </c>
      <c r="W9" s="31">
        <v>5000</v>
      </c>
      <c r="X9" s="31">
        <v>4900</v>
      </c>
      <c r="Y9" s="31">
        <v>6500</v>
      </c>
      <c r="Z9" s="34">
        <f t="shared" ref="Z9:Z10" si="10">SUM(W9:Y9)</f>
        <v>16400</v>
      </c>
      <c r="AA9" s="29">
        <f>Z9/Z5</f>
        <v>1.0933333333333333</v>
      </c>
    </row>
    <row r="10" spans="3:27" x14ac:dyDescent="0.3">
      <c r="C10" s="36" t="s">
        <v>24</v>
      </c>
      <c r="D10" s="37"/>
      <c r="E10" s="30">
        <v>2500</v>
      </c>
      <c r="G10" s="6" t="s">
        <v>25</v>
      </c>
      <c r="H10" s="87">
        <v>0.05</v>
      </c>
      <c r="I10" s="72" t="s">
        <v>26</v>
      </c>
      <c r="J10" s="75">
        <f t="shared" si="1"/>
        <v>175</v>
      </c>
      <c r="K10" s="75">
        <f t="shared" si="2"/>
        <v>175</v>
      </c>
      <c r="L10" s="91">
        <f t="shared" si="3"/>
        <v>175</v>
      </c>
      <c r="M10" s="78">
        <f t="shared" si="4"/>
        <v>180.25</v>
      </c>
      <c r="N10" s="75">
        <f t="shared" si="5"/>
        <v>189</v>
      </c>
      <c r="O10" s="75">
        <f t="shared" si="6"/>
        <v>192.5</v>
      </c>
      <c r="P10" s="75">
        <f t="shared" si="7"/>
        <v>201.25</v>
      </c>
      <c r="Q10" s="75">
        <f t="shared" si="8"/>
        <v>210</v>
      </c>
      <c r="R10" s="75">
        <f t="shared" si="9"/>
        <v>227.5</v>
      </c>
      <c r="S10" s="10"/>
      <c r="U10" s="26"/>
      <c r="V10" s="27" t="s">
        <v>27</v>
      </c>
      <c r="W10" s="31">
        <v>4800</v>
      </c>
      <c r="X10" s="31">
        <v>4000</v>
      </c>
      <c r="Y10" s="31">
        <v>5000</v>
      </c>
      <c r="Z10" s="34">
        <f t="shared" si="10"/>
        <v>13800</v>
      </c>
      <c r="AA10" s="29"/>
    </row>
    <row r="11" spans="3:27" ht="15" thickBot="1" x14ac:dyDescent="0.35">
      <c r="C11" s="36" t="s">
        <v>28</v>
      </c>
      <c r="D11" s="37"/>
      <c r="E11" s="37">
        <v>3500</v>
      </c>
      <c r="F11" s="27"/>
      <c r="G11" s="6"/>
      <c r="H11" s="88">
        <v>0.05</v>
      </c>
      <c r="I11" s="74" t="s">
        <v>29</v>
      </c>
      <c r="J11" s="75">
        <f t="shared" si="1"/>
        <v>175</v>
      </c>
      <c r="K11" s="75">
        <f t="shared" si="2"/>
        <v>175</v>
      </c>
      <c r="L11" s="91">
        <f t="shared" si="3"/>
        <v>175</v>
      </c>
      <c r="M11" s="78">
        <f t="shared" si="4"/>
        <v>180.25</v>
      </c>
      <c r="N11" s="75">
        <f t="shared" si="5"/>
        <v>189</v>
      </c>
      <c r="O11" s="75">
        <f t="shared" si="6"/>
        <v>192.5</v>
      </c>
      <c r="P11" s="75">
        <f t="shared" si="7"/>
        <v>201.25</v>
      </c>
      <c r="Q11" s="75">
        <f t="shared" si="8"/>
        <v>210</v>
      </c>
      <c r="R11" s="75">
        <f t="shared" si="9"/>
        <v>227.5</v>
      </c>
      <c r="S11" s="10"/>
      <c r="U11" s="38"/>
      <c r="V11" s="39"/>
      <c r="W11" s="39"/>
      <c r="X11" s="39"/>
      <c r="Y11" s="39" t="s">
        <v>30</v>
      </c>
      <c r="Z11" s="40">
        <f>MEDIAN(Z7:Z10)</f>
        <v>14650</v>
      </c>
      <c r="AA11" s="41">
        <f>Z11/Z5-1</f>
        <v>-2.3333333333333317E-2</v>
      </c>
    </row>
    <row r="12" spans="3:27" x14ac:dyDescent="0.3">
      <c r="C12" s="36" t="s">
        <v>31</v>
      </c>
      <c r="D12" s="37"/>
      <c r="E12" s="37">
        <v>3500</v>
      </c>
      <c r="F12" s="27"/>
      <c r="G12" s="6"/>
      <c r="H12" s="88">
        <v>0.05</v>
      </c>
      <c r="I12" s="74" t="s">
        <v>32</v>
      </c>
      <c r="J12" s="75">
        <f t="shared" si="1"/>
        <v>175</v>
      </c>
      <c r="K12" s="75">
        <f t="shared" si="2"/>
        <v>175</v>
      </c>
      <c r="L12" s="91">
        <f t="shared" si="3"/>
        <v>175</v>
      </c>
      <c r="M12" s="78">
        <f t="shared" si="4"/>
        <v>180.25</v>
      </c>
      <c r="N12" s="75">
        <f t="shared" si="5"/>
        <v>189</v>
      </c>
      <c r="O12" s="75">
        <f t="shared" si="6"/>
        <v>192.5</v>
      </c>
      <c r="P12" s="75">
        <f t="shared" si="7"/>
        <v>201.25</v>
      </c>
      <c r="Q12" s="75">
        <f t="shared" si="8"/>
        <v>210</v>
      </c>
      <c r="R12" s="75">
        <f t="shared" si="9"/>
        <v>227.5</v>
      </c>
      <c r="S12" s="10"/>
    </row>
    <row r="13" spans="3:27" x14ac:dyDescent="0.3">
      <c r="G13" s="6"/>
      <c r="H13" s="88">
        <v>0.05</v>
      </c>
      <c r="I13" s="74" t="s">
        <v>33</v>
      </c>
      <c r="J13" s="75">
        <f t="shared" si="1"/>
        <v>175</v>
      </c>
      <c r="K13" s="75">
        <f t="shared" si="2"/>
        <v>175</v>
      </c>
      <c r="L13" s="91">
        <f t="shared" si="3"/>
        <v>175</v>
      </c>
      <c r="M13" s="78">
        <f t="shared" si="4"/>
        <v>180.25</v>
      </c>
      <c r="N13" s="75">
        <f t="shared" si="5"/>
        <v>189</v>
      </c>
      <c r="O13" s="75">
        <f t="shared" si="6"/>
        <v>192.5</v>
      </c>
      <c r="P13" s="75">
        <f t="shared" si="7"/>
        <v>201.25</v>
      </c>
      <c r="Q13" s="75">
        <f t="shared" si="8"/>
        <v>210</v>
      </c>
      <c r="R13" s="75">
        <f t="shared" si="9"/>
        <v>227.5</v>
      </c>
      <c r="S13" s="10"/>
    </row>
    <row r="14" spans="3:27" ht="15" thickBot="1" x14ac:dyDescent="0.35">
      <c r="G14" s="6"/>
      <c r="H14" s="86"/>
      <c r="I14" s="90"/>
      <c r="J14" s="75">
        <f t="shared" si="1"/>
        <v>0</v>
      </c>
      <c r="K14" s="75">
        <f t="shared" si="2"/>
        <v>0</v>
      </c>
      <c r="L14" s="91">
        <f t="shared" si="3"/>
        <v>0</v>
      </c>
      <c r="M14" s="78">
        <f t="shared" si="4"/>
        <v>0</v>
      </c>
      <c r="N14" s="75">
        <f t="shared" si="5"/>
        <v>0</v>
      </c>
      <c r="O14" s="75">
        <f t="shared" si="6"/>
        <v>0</v>
      </c>
      <c r="P14" s="75">
        <f t="shared" si="7"/>
        <v>0</v>
      </c>
      <c r="Q14" s="75">
        <f t="shared" si="8"/>
        <v>0</v>
      </c>
      <c r="R14" s="75">
        <f t="shared" si="9"/>
        <v>0</v>
      </c>
      <c r="S14" s="10"/>
    </row>
    <row r="15" spans="3:27" ht="15" thickBot="1" x14ac:dyDescent="0.35">
      <c r="C15" s="36"/>
      <c r="D15" s="36"/>
      <c r="G15" s="6"/>
      <c r="J15" s="76"/>
      <c r="K15" s="76"/>
      <c r="L15" s="91"/>
      <c r="M15" s="82"/>
      <c r="N15" s="76"/>
      <c r="O15" s="76"/>
      <c r="P15" s="76"/>
      <c r="Q15" s="76"/>
      <c r="R15" s="76"/>
      <c r="S15" s="10"/>
    </row>
    <row r="16" spans="3:27" x14ac:dyDescent="0.3">
      <c r="G16" s="6" t="s">
        <v>34</v>
      </c>
      <c r="H16" s="87">
        <v>0.1</v>
      </c>
      <c r="I16" s="72" t="s">
        <v>35</v>
      </c>
      <c r="J16" s="75">
        <f t="shared" si="1"/>
        <v>350</v>
      </c>
      <c r="K16" s="75">
        <f t="shared" si="2"/>
        <v>350</v>
      </c>
      <c r="L16" s="91">
        <f t="shared" si="3"/>
        <v>350</v>
      </c>
      <c r="M16" s="78">
        <f t="shared" si="4"/>
        <v>360.5</v>
      </c>
      <c r="N16" s="75">
        <f t="shared" si="5"/>
        <v>378</v>
      </c>
      <c r="O16" s="75">
        <f t="shared" si="6"/>
        <v>385</v>
      </c>
      <c r="P16" s="75">
        <f t="shared" si="7"/>
        <v>402.5</v>
      </c>
      <c r="Q16" s="75">
        <f t="shared" si="8"/>
        <v>420</v>
      </c>
      <c r="R16" s="75">
        <f t="shared" si="9"/>
        <v>455</v>
      </c>
      <c r="S16" s="10"/>
      <c r="U16" s="2" t="s">
        <v>36</v>
      </c>
    </row>
    <row r="17" spans="1:23" ht="15" thickBot="1" x14ac:dyDescent="0.35">
      <c r="G17" s="6"/>
      <c r="H17" s="89">
        <v>0.1</v>
      </c>
      <c r="I17" s="90" t="s">
        <v>37</v>
      </c>
      <c r="J17" s="75">
        <f t="shared" si="1"/>
        <v>350</v>
      </c>
      <c r="K17" s="75">
        <f t="shared" si="2"/>
        <v>350</v>
      </c>
      <c r="L17" s="91">
        <f t="shared" si="3"/>
        <v>350</v>
      </c>
      <c r="M17" s="78">
        <f t="shared" si="4"/>
        <v>360.5</v>
      </c>
      <c r="N17" s="75">
        <f t="shared" si="5"/>
        <v>378</v>
      </c>
      <c r="O17" s="75">
        <f t="shared" si="6"/>
        <v>385</v>
      </c>
      <c r="P17" s="75">
        <f t="shared" si="7"/>
        <v>402.5</v>
      </c>
      <c r="Q17" s="75">
        <f t="shared" si="8"/>
        <v>420</v>
      </c>
      <c r="R17" s="75">
        <f t="shared" si="9"/>
        <v>455</v>
      </c>
      <c r="S17" s="10"/>
    </row>
    <row r="18" spans="1:23" ht="15" thickBot="1" x14ac:dyDescent="0.35">
      <c r="B18" s="42"/>
      <c r="C18" s="42"/>
      <c r="D18" s="42"/>
      <c r="E18" s="42"/>
      <c r="G18" s="6"/>
      <c r="J18" s="76"/>
      <c r="K18" s="76"/>
      <c r="L18" s="91"/>
      <c r="M18" s="82"/>
      <c r="N18" s="76"/>
      <c r="O18" s="76"/>
      <c r="P18" s="76"/>
      <c r="Q18" s="76"/>
      <c r="R18" s="76"/>
      <c r="S18" s="10"/>
      <c r="U18" s="2" t="s">
        <v>38</v>
      </c>
      <c r="V18" s="2" t="s">
        <v>39</v>
      </c>
    </row>
    <row r="19" spans="1:23" x14ac:dyDescent="0.3">
      <c r="B19" s="100" t="s">
        <v>40</v>
      </c>
      <c r="C19" s="110" t="s">
        <v>76</v>
      </c>
      <c r="D19" s="100" t="s">
        <v>77</v>
      </c>
      <c r="E19" s="100" t="s">
        <v>78</v>
      </c>
      <c r="G19" s="6" t="s">
        <v>41</v>
      </c>
      <c r="H19" s="87">
        <v>0.05</v>
      </c>
      <c r="I19" s="72" t="s">
        <v>42</v>
      </c>
      <c r="J19" s="75">
        <f t="shared" si="1"/>
        <v>175</v>
      </c>
      <c r="K19" s="75">
        <f t="shared" si="2"/>
        <v>175</v>
      </c>
      <c r="L19" s="91">
        <f t="shared" si="3"/>
        <v>175</v>
      </c>
      <c r="M19" s="78">
        <f t="shared" si="4"/>
        <v>180.25</v>
      </c>
      <c r="N19" s="75">
        <f t="shared" si="5"/>
        <v>189</v>
      </c>
      <c r="O19" s="75">
        <f t="shared" si="6"/>
        <v>192.5</v>
      </c>
      <c r="P19" s="75">
        <f t="shared" si="7"/>
        <v>201.25</v>
      </c>
      <c r="Q19" s="75">
        <f t="shared" si="8"/>
        <v>210</v>
      </c>
      <c r="R19" s="75">
        <f t="shared" si="9"/>
        <v>227.5</v>
      </c>
      <c r="S19" s="10"/>
    </row>
    <row r="20" spans="1:23" x14ac:dyDescent="0.3">
      <c r="A20" s="103">
        <v>0</v>
      </c>
      <c r="B20" s="101">
        <f>J10</f>
        <v>175</v>
      </c>
      <c r="C20" s="101">
        <f>J11</f>
        <v>175</v>
      </c>
      <c r="D20" s="101">
        <f>J12</f>
        <v>175</v>
      </c>
      <c r="E20" s="101">
        <f>J13</f>
        <v>175</v>
      </c>
      <c r="G20" s="6"/>
      <c r="H20" s="88">
        <v>0.05</v>
      </c>
      <c r="I20" s="74" t="s">
        <v>43</v>
      </c>
      <c r="J20" s="75">
        <f t="shared" si="1"/>
        <v>175</v>
      </c>
      <c r="K20" s="75">
        <f t="shared" si="2"/>
        <v>175</v>
      </c>
      <c r="L20" s="91">
        <f t="shared" si="3"/>
        <v>175</v>
      </c>
      <c r="M20" s="78">
        <f t="shared" si="4"/>
        <v>180.25</v>
      </c>
      <c r="N20" s="75">
        <f t="shared" si="5"/>
        <v>189</v>
      </c>
      <c r="O20" s="75">
        <f t="shared" si="6"/>
        <v>192.5</v>
      </c>
      <c r="P20" s="75">
        <f t="shared" si="7"/>
        <v>201.25</v>
      </c>
      <c r="Q20" s="75">
        <f t="shared" si="8"/>
        <v>210</v>
      </c>
      <c r="R20" s="75">
        <f t="shared" si="9"/>
        <v>227.5</v>
      </c>
      <c r="S20" s="10"/>
      <c r="U20" s="2" t="s">
        <v>44</v>
      </c>
      <c r="V20" s="2" t="s">
        <v>12</v>
      </c>
      <c r="W20" s="2" t="s">
        <v>45</v>
      </c>
    </row>
    <row r="21" spans="1:23" x14ac:dyDescent="0.3">
      <c r="A21" s="103">
        <v>0.90000999999999998</v>
      </c>
      <c r="B21" s="101">
        <f>K10</f>
        <v>175</v>
      </c>
      <c r="C21" s="101">
        <f>K11</f>
        <v>175</v>
      </c>
      <c r="D21" s="101">
        <f>K12</f>
        <v>175</v>
      </c>
      <c r="E21" s="101">
        <f>K13</f>
        <v>175</v>
      </c>
      <c r="G21" s="6"/>
      <c r="H21" s="6"/>
      <c r="I21" s="74"/>
      <c r="J21" s="80"/>
      <c r="K21" s="80"/>
      <c r="L21" s="92"/>
      <c r="M21" s="35"/>
      <c r="N21" s="80"/>
      <c r="O21" s="80"/>
      <c r="P21" s="80"/>
      <c r="Q21" s="80"/>
      <c r="R21" s="80"/>
      <c r="S21" s="10"/>
    </row>
    <row r="22" spans="1:23" x14ac:dyDescent="0.3">
      <c r="A22" s="103">
        <v>0.95001000000000002</v>
      </c>
      <c r="B22" s="101">
        <f>L10</f>
        <v>175</v>
      </c>
      <c r="C22" s="101">
        <f>L11</f>
        <v>175</v>
      </c>
      <c r="D22" s="101">
        <f>L12</f>
        <v>175</v>
      </c>
      <c r="E22" s="101">
        <f>L13</f>
        <v>175</v>
      </c>
      <c r="G22" s="6"/>
      <c r="H22" s="6"/>
      <c r="I22" s="74"/>
      <c r="J22" s="80"/>
      <c r="K22" s="80"/>
      <c r="L22" s="92"/>
      <c r="M22" s="35"/>
      <c r="N22" s="80"/>
      <c r="O22" s="80"/>
      <c r="P22" s="80"/>
      <c r="Q22" s="80"/>
      <c r="R22" s="80"/>
      <c r="S22" s="10"/>
      <c r="U22" s="2" t="s">
        <v>46</v>
      </c>
      <c r="V22" s="2" t="s">
        <v>47</v>
      </c>
      <c r="W22" s="2" t="s">
        <v>39</v>
      </c>
    </row>
    <row r="23" spans="1:23" x14ac:dyDescent="0.3">
      <c r="A23" s="103">
        <v>1.0000100000000001</v>
      </c>
      <c r="B23" s="101">
        <f>M10</f>
        <v>180.25</v>
      </c>
      <c r="C23" s="101">
        <f>M11</f>
        <v>180.25</v>
      </c>
      <c r="D23" s="101">
        <f>M12</f>
        <v>180.25</v>
      </c>
      <c r="E23" s="101">
        <f>M13</f>
        <v>180.25</v>
      </c>
      <c r="G23" s="6"/>
      <c r="H23" s="6"/>
      <c r="I23" s="74"/>
      <c r="J23" s="80"/>
      <c r="K23" s="80"/>
      <c r="L23" s="92"/>
      <c r="M23" s="35"/>
      <c r="N23" s="80"/>
      <c r="O23" s="80"/>
      <c r="P23" s="80"/>
      <c r="Q23" s="80"/>
      <c r="R23" s="80"/>
      <c r="S23" s="10"/>
    </row>
    <row r="24" spans="1:23" x14ac:dyDescent="0.3">
      <c r="A24" s="103">
        <v>1.0300100000000001</v>
      </c>
      <c r="B24" s="102">
        <f>N10</f>
        <v>189</v>
      </c>
      <c r="C24" s="102">
        <f>N11</f>
        <v>189</v>
      </c>
      <c r="D24" s="102">
        <f>N12</f>
        <v>189</v>
      </c>
      <c r="E24" s="102">
        <f>N13</f>
        <v>189</v>
      </c>
      <c r="G24" s="6"/>
      <c r="H24" s="6"/>
      <c r="I24" s="74"/>
      <c r="J24" s="80"/>
      <c r="K24" s="80"/>
      <c r="L24" s="92"/>
      <c r="M24" s="35"/>
      <c r="N24" s="80"/>
      <c r="O24" s="80"/>
      <c r="P24" s="80"/>
      <c r="Q24" s="80"/>
      <c r="R24" s="80"/>
      <c r="S24" s="10"/>
      <c r="U24" s="2" t="s">
        <v>48</v>
      </c>
      <c r="V24" s="2" t="s">
        <v>49</v>
      </c>
      <c r="W24" s="2" t="s">
        <v>50</v>
      </c>
    </row>
    <row r="25" spans="1:23" x14ac:dyDescent="0.3">
      <c r="A25" s="103">
        <f>106.001%</f>
        <v>1.0600100000000001</v>
      </c>
      <c r="B25" s="101">
        <f>O10</f>
        <v>192.5</v>
      </c>
      <c r="C25" s="101">
        <f>O11</f>
        <v>192.5</v>
      </c>
      <c r="D25" s="101">
        <f>O12</f>
        <v>192.5</v>
      </c>
      <c r="E25" s="101">
        <f>O13</f>
        <v>192.5</v>
      </c>
      <c r="G25" s="6"/>
      <c r="H25" s="6"/>
      <c r="I25" s="74"/>
      <c r="J25" s="80"/>
      <c r="K25" s="80"/>
      <c r="L25" s="92"/>
      <c r="M25" s="35"/>
      <c r="N25" s="80"/>
      <c r="O25" s="80"/>
      <c r="P25" s="80"/>
      <c r="Q25" s="80"/>
      <c r="R25" s="80"/>
      <c r="S25" s="10"/>
    </row>
    <row r="26" spans="1:23" x14ac:dyDescent="0.3">
      <c r="A26" s="103">
        <f>110.001%</f>
        <v>1.1000100000000002</v>
      </c>
      <c r="B26" s="101">
        <f>P10</f>
        <v>201.25</v>
      </c>
      <c r="C26" s="101">
        <f>P11</f>
        <v>201.25</v>
      </c>
      <c r="D26" s="101">
        <f>P12</f>
        <v>201.25</v>
      </c>
      <c r="E26" s="101">
        <f>P13</f>
        <v>201.25</v>
      </c>
      <c r="G26" s="6"/>
      <c r="H26" s="6"/>
      <c r="I26" s="74"/>
      <c r="J26" s="80"/>
      <c r="K26" s="80"/>
      <c r="L26" s="92"/>
      <c r="M26" s="35"/>
      <c r="N26" s="80"/>
      <c r="O26" s="80"/>
      <c r="P26" s="80"/>
      <c r="Q26" s="80"/>
      <c r="R26" s="80"/>
      <c r="S26" s="10"/>
    </row>
    <row r="27" spans="1:23" x14ac:dyDescent="0.3">
      <c r="A27" s="103">
        <f>115.001%</f>
        <v>1.15001</v>
      </c>
      <c r="B27" s="101">
        <f>Q10</f>
        <v>210</v>
      </c>
      <c r="C27" s="101">
        <f>Q11</f>
        <v>210</v>
      </c>
      <c r="D27" s="101">
        <f>Q12</f>
        <v>210</v>
      </c>
      <c r="E27" s="101">
        <f>Q13</f>
        <v>210</v>
      </c>
      <c r="G27" s="6"/>
      <c r="H27" s="6"/>
      <c r="I27" s="74"/>
      <c r="J27" s="80"/>
      <c r="K27" s="80"/>
      <c r="L27" s="92"/>
      <c r="M27" s="35"/>
      <c r="N27" s="80"/>
      <c r="O27" s="80"/>
      <c r="P27" s="80"/>
      <c r="Q27" s="80"/>
      <c r="R27" s="80"/>
      <c r="S27" s="10"/>
    </row>
    <row r="28" spans="1:23" x14ac:dyDescent="0.3">
      <c r="A28" s="103">
        <f>120.001%</f>
        <v>1.20001</v>
      </c>
      <c r="B28" s="101">
        <f>R10</f>
        <v>227.5</v>
      </c>
      <c r="C28" s="101">
        <f>R11</f>
        <v>227.5</v>
      </c>
      <c r="D28" s="101">
        <f>R12</f>
        <v>227.5</v>
      </c>
      <c r="E28" s="101">
        <f>R13</f>
        <v>227.5</v>
      </c>
      <c r="G28" s="6"/>
      <c r="H28" s="6"/>
      <c r="I28" s="74"/>
      <c r="J28" s="80"/>
      <c r="K28" s="80"/>
      <c r="L28" s="92"/>
      <c r="M28" s="35"/>
      <c r="N28" s="80"/>
      <c r="O28" s="80"/>
      <c r="P28" s="80"/>
      <c r="Q28" s="80"/>
      <c r="R28" s="80"/>
      <c r="S28" s="10"/>
    </row>
    <row r="29" spans="1:23" ht="15" thickBot="1" x14ac:dyDescent="0.35">
      <c r="G29" s="6"/>
      <c r="H29" s="33"/>
      <c r="I29" s="90"/>
      <c r="J29" s="81"/>
      <c r="K29" s="81"/>
      <c r="L29" s="93"/>
      <c r="M29" s="79"/>
      <c r="N29" s="81"/>
      <c r="O29" s="81"/>
      <c r="P29" s="81"/>
      <c r="Q29" s="81"/>
      <c r="R29" s="81"/>
      <c r="S29" s="10"/>
    </row>
    <row r="30" spans="1:23" x14ac:dyDescent="0.3">
      <c r="A30" s="44"/>
      <c r="B30" s="45"/>
      <c r="C30" s="45"/>
      <c r="D30" s="45"/>
      <c r="E30" s="45"/>
      <c r="G30" s="6"/>
      <c r="H30" s="46">
        <f>SUM(H6:H29)</f>
        <v>1.0000000000000002</v>
      </c>
      <c r="S30" s="10"/>
    </row>
    <row r="31" spans="1:23" ht="15" thickBot="1" x14ac:dyDescent="0.35">
      <c r="B31" s="47"/>
      <c r="C31" s="47"/>
      <c r="D31" s="47"/>
      <c r="E31" s="47"/>
      <c r="G31" s="33"/>
      <c r="H31" s="48"/>
      <c r="I31" s="48" t="s">
        <v>51</v>
      </c>
      <c r="J31" s="49">
        <f t="shared" ref="J31:R31" si="11">SUM(J6:J29)</f>
        <v>3500</v>
      </c>
      <c r="K31" s="49">
        <f t="shared" si="11"/>
        <v>3500</v>
      </c>
      <c r="L31" s="49">
        <f t="shared" si="11"/>
        <v>3500</v>
      </c>
      <c r="M31" s="49">
        <f t="shared" si="11"/>
        <v>3605</v>
      </c>
      <c r="N31" s="49">
        <f t="shared" si="11"/>
        <v>3780</v>
      </c>
      <c r="O31" s="49">
        <f t="shared" si="11"/>
        <v>3850</v>
      </c>
      <c r="P31" s="49">
        <f t="shared" si="11"/>
        <v>4025</v>
      </c>
      <c r="Q31" s="49">
        <f t="shared" si="11"/>
        <v>4200</v>
      </c>
      <c r="R31" s="49">
        <f t="shared" si="11"/>
        <v>4550</v>
      </c>
      <c r="S31" s="50"/>
    </row>
    <row r="32" spans="1:23" ht="15" thickBot="1" x14ac:dyDescent="0.35">
      <c r="B32" s="47"/>
      <c r="C32" s="47"/>
      <c r="D32" s="47"/>
      <c r="E32" s="47"/>
    </row>
    <row r="33" spans="2:23" ht="15" thickBot="1" x14ac:dyDescent="0.35">
      <c r="B33" s="47"/>
      <c r="C33" s="47"/>
      <c r="D33" s="47"/>
      <c r="E33" s="47"/>
      <c r="G33" s="51" t="s">
        <v>52</v>
      </c>
      <c r="H33" s="52" t="s">
        <v>53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3"/>
    </row>
    <row r="34" spans="2:23" x14ac:dyDescent="0.3">
      <c r="B34" s="47"/>
      <c r="C34" s="47"/>
      <c r="D34" s="47"/>
      <c r="E34" s="47"/>
    </row>
    <row r="35" spans="2:23" x14ac:dyDescent="0.3">
      <c r="H35" s="54" t="s">
        <v>54</v>
      </c>
      <c r="I35" s="54"/>
      <c r="J35" s="55"/>
      <c r="K35" s="54"/>
      <c r="L35" s="54"/>
      <c r="M35" s="54"/>
      <c r="N35" s="54"/>
      <c r="O35" s="55">
        <f>O6</f>
        <v>385</v>
      </c>
      <c r="P35" s="54"/>
      <c r="Q35" s="54"/>
      <c r="R35" s="54"/>
      <c r="S35" s="54"/>
    </row>
    <row r="36" spans="2:23" x14ac:dyDescent="0.3">
      <c r="H36" s="54" t="s">
        <v>55</v>
      </c>
      <c r="I36" s="54"/>
      <c r="J36" s="55">
        <f>J10</f>
        <v>175</v>
      </c>
      <c r="K36" s="54"/>
      <c r="L36" s="54"/>
      <c r="M36" s="54"/>
      <c r="N36" s="54"/>
      <c r="O36" s="54"/>
      <c r="P36" s="54"/>
      <c r="Q36" s="54"/>
      <c r="R36" s="54"/>
      <c r="S36" s="54"/>
      <c r="W36" s="54"/>
    </row>
    <row r="37" spans="2:23" x14ac:dyDescent="0.3">
      <c r="H37" s="54" t="s">
        <v>56</v>
      </c>
      <c r="I37" s="54"/>
      <c r="J37" s="54"/>
      <c r="K37" s="54"/>
      <c r="L37" s="54"/>
      <c r="M37" s="55">
        <f>M16</f>
        <v>360.5</v>
      </c>
      <c r="N37" s="54"/>
      <c r="O37" s="54"/>
      <c r="P37" s="54"/>
      <c r="Q37" s="54"/>
      <c r="R37" s="54"/>
      <c r="S37" s="54"/>
    </row>
    <row r="38" spans="2:23" ht="15" thickBot="1" x14ac:dyDescent="0.35">
      <c r="H38" s="56" t="s">
        <v>57</v>
      </c>
      <c r="I38" s="56"/>
      <c r="J38" s="54"/>
      <c r="K38" s="54"/>
      <c r="L38" s="54"/>
      <c r="M38" s="55">
        <f>M19</f>
        <v>180.25</v>
      </c>
      <c r="N38" s="54"/>
      <c r="O38" s="54"/>
      <c r="P38" s="54"/>
      <c r="Q38" s="54"/>
      <c r="R38" s="54"/>
      <c r="S38" s="54"/>
    </row>
    <row r="39" spans="2:23" ht="15" thickBot="1" x14ac:dyDescent="0.35">
      <c r="H39" s="57" t="s">
        <v>51</v>
      </c>
      <c r="I39" s="58">
        <f>SUM(I35:R38)</f>
        <v>1100.75</v>
      </c>
    </row>
    <row r="41" spans="2:23" ht="23.25" hidden="1" customHeight="1" x14ac:dyDescent="0.3">
      <c r="H41" s="2" t="s">
        <v>58</v>
      </c>
      <c r="I41" s="43" t="s">
        <v>59</v>
      </c>
      <c r="J41" s="59" t="s">
        <v>60</v>
      </c>
      <c r="K41" s="59" t="s">
        <v>61</v>
      </c>
      <c r="L41" s="59" t="s">
        <v>62</v>
      </c>
      <c r="M41" s="59" t="s">
        <v>63</v>
      </c>
      <c r="N41" s="59" t="s">
        <v>64</v>
      </c>
      <c r="O41" s="59" t="s">
        <v>65</v>
      </c>
      <c r="P41" s="59" t="s">
        <v>66</v>
      </c>
      <c r="Q41" s="59" t="s">
        <v>67</v>
      </c>
      <c r="R41" s="59" t="s">
        <v>68</v>
      </c>
    </row>
    <row r="42" spans="2:23" ht="21.6" hidden="1" customHeight="1" x14ac:dyDescent="0.3">
      <c r="I42" s="43">
        <v>0</v>
      </c>
      <c r="J42" s="60">
        <v>1200</v>
      </c>
      <c r="K42" s="60">
        <v>1350</v>
      </c>
      <c r="L42" s="60">
        <f>1425</f>
        <v>1425</v>
      </c>
      <c r="M42" s="60">
        <v>1500</v>
      </c>
      <c r="N42" s="60">
        <v>1575</v>
      </c>
      <c r="O42" s="60">
        <v>1725</v>
      </c>
      <c r="P42" s="60">
        <v>1875</v>
      </c>
      <c r="Q42" s="60">
        <v>1950</v>
      </c>
      <c r="R42" s="60">
        <v>2100</v>
      </c>
      <c r="S42" s="47"/>
    </row>
    <row r="43" spans="2:23" ht="18.45" customHeight="1" x14ac:dyDescent="0.3">
      <c r="H43" s="2" t="s">
        <v>1</v>
      </c>
      <c r="J43" s="61">
        <v>-0.2</v>
      </c>
      <c r="K43" s="46">
        <v>-0.1</v>
      </c>
      <c r="L43" s="46">
        <v>-0.05</v>
      </c>
      <c r="M43" s="62"/>
      <c r="N43" s="46">
        <v>0.05</v>
      </c>
      <c r="O43" s="46">
        <v>0.15</v>
      </c>
      <c r="P43" s="63">
        <v>0.25</v>
      </c>
      <c r="Q43" s="63">
        <v>0.3</v>
      </c>
      <c r="R43" s="64">
        <v>0.4</v>
      </c>
    </row>
    <row r="44" spans="2:23" ht="15.6" x14ac:dyDescent="0.3">
      <c r="H44" s="2" t="s">
        <v>69</v>
      </c>
      <c r="I44" s="65" t="s">
        <v>59</v>
      </c>
      <c r="J44" s="66" t="s">
        <v>60</v>
      </c>
      <c r="K44" s="59" t="s">
        <v>61</v>
      </c>
      <c r="L44" s="59" t="s">
        <v>62</v>
      </c>
      <c r="M44" s="67">
        <v>1</v>
      </c>
      <c r="N44" s="59" t="s">
        <v>70</v>
      </c>
      <c r="O44" s="59" t="s">
        <v>71</v>
      </c>
      <c r="P44" s="59" t="s">
        <v>72</v>
      </c>
      <c r="Q44" s="59" t="s">
        <v>73</v>
      </c>
      <c r="R44" s="66" t="s">
        <v>74</v>
      </c>
      <c r="S44" s="68"/>
    </row>
    <row r="45" spans="2:23" ht="15.6" x14ac:dyDescent="0.3">
      <c r="H45" s="2" t="s">
        <v>54</v>
      </c>
      <c r="I45" s="69">
        <f>J6</f>
        <v>350</v>
      </c>
      <c r="J45" s="69">
        <f t="shared" ref="J45:R45" si="12">J6</f>
        <v>350</v>
      </c>
      <c r="K45" s="60">
        <f t="shared" si="12"/>
        <v>350</v>
      </c>
      <c r="L45" s="60">
        <f t="shared" si="12"/>
        <v>350</v>
      </c>
      <c r="M45" s="70">
        <f t="shared" si="12"/>
        <v>360.5</v>
      </c>
      <c r="N45" s="60">
        <f t="shared" si="12"/>
        <v>378</v>
      </c>
      <c r="O45" s="60">
        <f t="shared" si="12"/>
        <v>385</v>
      </c>
      <c r="P45" s="60">
        <f t="shared" si="12"/>
        <v>402.5</v>
      </c>
      <c r="Q45" s="60">
        <f t="shared" si="12"/>
        <v>420</v>
      </c>
      <c r="R45" s="69">
        <f t="shared" si="12"/>
        <v>455</v>
      </c>
      <c r="S45" s="71"/>
    </row>
    <row r="46" spans="2:23" ht="15.6" x14ac:dyDescent="0.3">
      <c r="H46" s="2" t="s">
        <v>55</v>
      </c>
      <c r="I46" s="69">
        <f>J10</f>
        <v>175</v>
      </c>
      <c r="J46" s="69">
        <f t="shared" ref="J46:R46" si="13">J10</f>
        <v>175</v>
      </c>
      <c r="K46" s="60">
        <f t="shared" si="13"/>
        <v>175</v>
      </c>
      <c r="L46" s="60">
        <f t="shared" si="13"/>
        <v>175</v>
      </c>
      <c r="M46" s="70">
        <f t="shared" si="13"/>
        <v>180.25</v>
      </c>
      <c r="N46" s="60">
        <f t="shared" si="13"/>
        <v>189</v>
      </c>
      <c r="O46" s="60">
        <f t="shared" si="13"/>
        <v>192.5</v>
      </c>
      <c r="P46" s="60">
        <f t="shared" si="13"/>
        <v>201.25</v>
      </c>
      <c r="Q46" s="60">
        <f t="shared" si="13"/>
        <v>210</v>
      </c>
      <c r="R46" s="69">
        <f t="shared" si="13"/>
        <v>227.5</v>
      </c>
    </row>
    <row r="47" spans="2:23" ht="15.6" x14ac:dyDescent="0.3">
      <c r="H47" s="2" t="s">
        <v>56</v>
      </c>
      <c r="I47" s="69">
        <f>J16</f>
        <v>350</v>
      </c>
      <c r="J47" s="69">
        <f>J16</f>
        <v>350</v>
      </c>
      <c r="K47" s="60">
        <f>K16</f>
        <v>350</v>
      </c>
      <c r="L47" s="60">
        <f t="shared" ref="L47:R47" si="14">L16</f>
        <v>350</v>
      </c>
      <c r="M47" s="70">
        <f t="shared" si="14"/>
        <v>360.5</v>
      </c>
      <c r="N47" s="60">
        <f t="shared" si="14"/>
        <v>378</v>
      </c>
      <c r="O47" s="60">
        <f t="shared" si="14"/>
        <v>385</v>
      </c>
      <c r="P47" s="60">
        <f t="shared" si="14"/>
        <v>402.5</v>
      </c>
      <c r="Q47" s="60">
        <f t="shared" si="14"/>
        <v>420</v>
      </c>
      <c r="R47" s="69">
        <f t="shared" si="14"/>
        <v>455</v>
      </c>
    </row>
    <row r="48" spans="2:23" ht="15.6" x14ac:dyDescent="0.3">
      <c r="H48" s="2" t="s">
        <v>75</v>
      </c>
      <c r="I48" s="69">
        <f>J19</f>
        <v>175</v>
      </c>
      <c r="J48" s="69">
        <f>J19</f>
        <v>175</v>
      </c>
      <c r="K48" s="60">
        <f>K19</f>
        <v>175</v>
      </c>
      <c r="L48" s="60">
        <f t="shared" ref="L48:R48" si="15">L19</f>
        <v>175</v>
      </c>
      <c r="M48" s="70">
        <f t="shared" si="15"/>
        <v>180.25</v>
      </c>
      <c r="N48" s="60">
        <f t="shared" si="15"/>
        <v>189</v>
      </c>
      <c r="O48" s="60">
        <f t="shared" si="15"/>
        <v>192.5</v>
      </c>
      <c r="P48" s="60">
        <f t="shared" si="15"/>
        <v>201.25</v>
      </c>
      <c r="Q48" s="60">
        <f t="shared" si="15"/>
        <v>210</v>
      </c>
      <c r="R48" s="69">
        <f t="shared" si="15"/>
        <v>227.5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0773-5559-47D9-8097-D887CE4E2769}">
  <sheetPr codeName="Sheet6">
    <tabColor rgb="FFFF0000"/>
  </sheetPr>
  <dimension ref="A1:W5"/>
  <sheetViews>
    <sheetView topLeftCell="C1" zoomScale="60" zoomScaleNormal="60" workbookViewId="0">
      <pane xSplit="2" ySplit="6" topLeftCell="E7" activePane="bottomRight" state="frozen"/>
      <selection pane="topRight" activeCell="L22" sqref="L22"/>
      <selection pane="bottomLeft" activeCell="L22" sqref="L22"/>
      <selection pane="bottomRight" activeCell="L22" sqref="L22"/>
    </sheetView>
  </sheetViews>
  <sheetFormatPr defaultRowHeight="16.8" x14ac:dyDescent="0.4"/>
  <cols>
    <col min="1" max="1" width="13.5" customWidth="1"/>
    <col min="2" max="2" width="7.59765625" customWidth="1"/>
    <col min="3" max="3" width="9.09765625" customWidth="1"/>
    <col min="4" max="4" width="9.8984375" customWidth="1"/>
    <col min="14" max="14" width="8.3984375" customWidth="1"/>
    <col min="15" max="15" width="10.5" customWidth="1"/>
    <col min="16" max="16" width="9.3984375" customWidth="1"/>
    <col min="17" max="17" width="8.3984375" customWidth="1"/>
    <col min="18" max="18" width="10.09765625" customWidth="1"/>
    <col min="19" max="19" width="9.59765625" customWidth="1"/>
  </cols>
  <sheetData>
    <row r="1" spans="1:23" x14ac:dyDescent="0.4">
      <c r="A1" t="s">
        <v>79</v>
      </c>
      <c r="E1" s="108">
        <v>1</v>
      </c>
      <c r="F1" s="108">
        <v>2</v>
      </c>
      <c r="G1" s="108">
        <v>3</v>
      </c>
      <c r="H1" s="108">
        <v>4</v>
      </c>
      <c r="I1" s="108">
        <v>5</v>
      </c>
      <c r="J1" s="108">
        <v>6</v>
      </c>
      <c r="K1" s="108">
        <v>7</v>
      </c>
      <c r="L1" s="108">
        <v>8</v>
      </c>
      <c r="M1" s="108">
        <v>9</v>
      </c>
      <c r="N1" s="108">
        <v>10</v>
      </c>
      <c r="O1" s="108">
        <v>11</v>
      </c>
      <c r="P1" s="108">
        <v>12</v>
      </c>
      <c r="Q1" s="108">
        <v>13</v>
      </c>
      <c r="R1" s="108">
        <v>14</v>
      </c>
      <c r="S1" s="108">
        <v>15</v>
      </c>
      <c r="T1" s="108">
        <v>16</v>
      </c>
      <c r="U1" s="108">
        <v>17</v>
      </c>
      <c r="V1" s="108">
        <v>18</v>
      </c>
      <c r="W1" s="108">
        <v>19</v>
      </c>
    </row>
    <row r="2" spans="1:23" x14ac:dyDescent="0.4">
      <c r="A2">
        <v>1190011201</v>
      </c>
      <c r="B2">
        <v>76001</v>
      </c>
      <c r="C2" t="s">
        <v>80</v>
      </c>
      <c r="D2" t="e">
        <f>VLOOKUP(A2,'Actual_Aji Plus'!#REF!,2,0)</f>
        <v>#REF!</v>
      </c>
      <c r="E2" s="105">
        <v>0.9</v>
      </c>
      <c r="F2" s="105">
        <v>0.90010000000000001</v>
      </c>
      <c r="G2" s="105">
        <v>0.95</v>
      </c>
      <c r="H2" s="105">
        <v>0.95009999999999994</v>
      </c>
      <c r="I2" s="105">
        <v>1</v>
      </c>
      <c r="J2" s="105">
        <v>1.0001</v>
      </c>
      <c r="K2" s="105">
        <v>1.03</v>
      </c>
      <c r="L2" s="105">
        <v>1.0301</v>
      </c>
      <c r="M2" s="105">
        <v>1.06</v>
      </c>
      <c r="N2" s="105">
        <v>1.0601</v>
      </c>
      <c r="O2" s="105">
        <v>1.1000000000000001</v>
      </c>
      <c r="P2" s="105">
        <v>1.1001000000000001</v>
      </c>
      <c r="Q2" s="105">
        <v>1.1499999999999999</v>
      </c>
      <c r="R2" s="105">
        <v>1.1500999999999999</v>
      </c>
      <c r="S2" s="106">
        <v>1.2</v>
      </c>
      <c r="T2" s="107">
        <v>1.2000999999999999</v>
      </c>
      <c r="U2" s="106">
        <v>1.7</v>
      </c>
      <c r="V2" s="106">
        <v>0.8</v>
      </c>
      <c r="W2" s="106">
        <v>0.55000000000000004</v>
      </c>
    </row>
    <row r="4" spans="1:23" x14ac:dyDescent="0.4">
      <c r="E4" s="108">
        <v>1</v>
      </c>
      <c r="F4" s="108">
        <v>2</v>
      </c>
      <c r="G4" s="108">
        <v>3</v>
      </c>
      <c r="H4" s="108">
        <v>4</v>
      </c>
      <c r="I4" s="108">
        <v>5</v>
      </c>
      <c r="J4" s="108">
        <v>6</v>
      </c>
      <c r="K4" s="108">
        <v>7</v>
      </c>
      <c r="L4" s="108">
        <v>8</v>
      </c>
      <c r="M4" s="108">
        <v>9</v>
      </c>
      <c r="N4" s="108">
        <v>10</v>
      </c>
      <c r="O4" s="108">
        <v>11</v>
      </c>
      <c r="P4" s="108">
        <v>12</v>
      </c>
      <c r="Q4" s="108">
        <v>13</v>
      </c>
      <c r="R4" s="108">
        <v>14</v>
      </c>
      <c r="S4" s="108">
        <v>15</v>
      </c>
      <c r="T4" s="108">
        <v>16</v>
      </c>
      <c r="U4" s="108">
        <v>17</v>
      </c>
      <c r="V4" s="108">
        <v>18</v>
      </c>
      <c r="W4" s="108">
        <v>19</v>
      </c>
    </row>
    <row r="5" spans="1:23" x14ac:dyDescent="0.4">
      <c r="E5" s="104">
        <f>IFERROR(VLOOKUP(E2,'Top WS'!$A$19:$B$28,2),0)</f>
        <v>200</v>
      </c>
      <c r="F5" s="104">
        <f>IFERROR(VLOOKUP(F2,'Top WS'!$A$19:$B$28,2),0)</f>
        <v>200</v>
      </c>
      <c r="G5" s="104">
        <f>IFERROR(VLOOKUP(G2,'Top WS'!$A$19:$B$28,2),0)</f>
        <v>200</v>
      </c>
      <c r="H5" s="104">
        <f>IFERROR(VLOOKUP(H2,'Top WS'!$A$19:$B$28,2),0)</f>
        <v>200</v>
      </c>
      <c r="I5" s="104">
        <f>IFERROR(VLOOKUP(I2,'Top WS'!$A$19:$B$28,2),0)</f>
        <v>200</v>
      </c>
      <c r="J5" s="104">
        <f>IFERROR(VLOOKUP(J2,'Top WS'!$A$19:$B$28,2),0)</f>
        <v>206</v>
      </c>
      <c r="K5" s="104">
        <f>IFERROR(VLOOKUP(K2,'Top WS'!$A$19:$B$28,2),0)</f>
        <v>206</v>
      </c>
      <c r="L5" s="104">
        <f>IFERROR(VLOOKUP(L2,'Top WS'!$A$19:$B$28,2),0)</f>
        <v>216</v>
      </c>
      <c r="M5" s="104">
        <f>IFERROR(VLOOKUP(M2,'Top WS'!$A$19:$B$28,2),0)</f>
        <v>216</v>
      </c>
      <c r="N5" s="104">
        <f>IFERROR(VLOOKUP(N2,'Top WS'!$A$19:$B$28,2),0)</f>
        <v>220</v>
      </c>
      <c r="O5" s="104">
        <f>IFERROR(VLOOKUP(O2,'Top WS'!$A$19:$B$28,2),0)</f>
        <v>220</v>
      </c>
      <c r="P5" s="104">
        <f>IFERROR(VLOOKUP(P2,'Top WS'!$A$19:$B$28,2),0)</f>
        <v>230</v>
      </c>
      <c r="Q5" s="104">
        <f>IFERROR(VLOOKUP(Q2,'Top WS'!$A$19:$B$28,2),0)</f>
        <v>230</v>
      </c>
      <c r="R5" s="104">
        <f>IFERROR(VLOOKUP(R2,'Top WS'!$A$19:$B$28,2),0)</f>
        <v>240</v>
      </c>
      <c r="S5" s="104">
        <f>IFERROR(VLOOKUP(S2,'Top WS'!$A$19:$B$28,2),0)</f>
        <v>240</v>
      </c>
      <c r="T5" s="104">
        <f>IFERROR(VLOOKUP(T2,'Top WS'!$A$19:$B$28,2),0)</f>
        <v>260</v>
      </c>
      <c r="U5" s="104">
        <f>IFERROR(VLOOKUP(U2,'Top WS'!$A$19:$B$28,2),0)</f>
        <v>260</v>
      </c>
      <c r="V5" s="104">
        <f>IFERROR(VLOOKUP(V2,'Top WS'!$A$19:$B$28,2),0)</f>
        <v>200</v>
      </c>
      <c r="W5" s="104">
        <f>IFERROR(VLOOKUP(W2,'Top WS'!$A$19:$B$28,2),0)</f>
        <v>200</v>
      </c>
    </row>
  </sheetData>
  <phoneticPr fontId="1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4B21-6FC6-4F93-988E-B7CDCEAA541B}">
  <sheetPr codeName="Sheet7">
    <tabColor theme="4"/>
  </sheetPr>
  <dimension ref="A1:AA48"/>
  <sheetViews>
    <sheetView showGridLines="0" zoomScale="60" zoomScaleNormal="60" workbookViewId="0">
      <selection activeCell="J3" sqref="J3:R3"/>
    </sheetView>
  </sheetViews>
  <sheetFormatPr defaultColWidth="8.59765625" defaultRowHeight="14.4" x14ac:dyDescent="0.3"/>
  <cols>
    <col min="1" max="1" width="13" style="2" customWidth="1"/>
    <col min="2" max="2" width="11.3984375" style="2" customWidth="1"/>
    <col min="3" max="3" width="9.8984375" style="2" customWidth="1"/>
    <col min="4" max="4" width="9.59765625" style="2" bestFit="1" customWidth="1"/>
    <col min="5" max="5" width="10.8984375" style="2" bestFit="1" customWidth="1"/>
    <col min="6" max="6" width="3.59765625" style="2" customWidth="1"/>
    <col min="7" max="7" width="9.3984375" style="2" bestFit="1" customWidth="1"/>
    <col min="8" max="8" width="9.59765625" style="2" bestFit="1" customWidth="1"/>
    <col min="9" max="9" width="18.59765625" style="2" customWidth="1"/>
    <col min="10" max="10" width="12.09765625" style="2" customWidth="1"/>
    <col min="11" max="12" width="11.59765625" style="2" customWidth="1"/>
    <col min="13" max="13" width="12" style="2" customWidth="1"/>
    <col min="14" max="14" width="12.8984375" style="2" customWidth="1"/>
    <col min="15" max="15" width="15.09765625" style="2" customWidth="1"/>
    <col min="16" max="16" width="14.5" style="2" customWidth="1"/>
    <col min="17" max="17" width="13" style="2" customWidth="1"/>
    <col min="18" max="18" width="15.09765625" style="2" customWidth="1"/>
    <col min="19" max="20" width="8.59765625" style="2"/>
    <col min="21" max="21" width="15.8984375" style="2" bestFit="1" customWidth="1"/>
    <col min="22" max="22" width="12.09765625" style="2" bestFit="1" customWidth="1"/>
    <col min="23" max="24" width="9.59765625" style="2" bestFit="1" customWidth="1"/>
    <col min="25" max="26" width="10.5" style="2" bestFit="1" customWidth="1"/>
    <col min="27" max="16384" width="8.59765625" style="2"/>
  </cols>
  <sheetData>
    <row r="1" spans="3:27" ht="15" thickBot="1" x14ac:dyDescent="0.35">
      <c r="G1" s="3"/>
      <c r="H1" s="4"/>
      <c r="I1" s="4"/>
      <c r="J1" s="207">
        <f>$H$4+($H$4*J3)</f>
        <v>3150</v>
      </c>
      <c r="K1" s="207">
        <f>$H$4+($H$4*K3)</f>
        <v>3325</v>
      </c>
      <c r="L1" s="4"/>
      <c r="M1" s="4"/>
      <c r="N1" s="4"/>
      <c r="O1" s="4"/>
      <c r="P1" s="4"/>
      <c r="Q1" s="4"/>
      <c r="R1" s="4"/>
      <c r="S1" s="5"/>
    </row>
    <row r="2" spans="3:27" ht="15" thickBot="1" x14ac:dyDescent="0.35">
      <c r="G2" s="6"/>
      <c r="I2" s="7"/>
      <c r="J2" s="8">
        <v>3500</v>
      </c>
      <c r="K2" s="8">
        <v>3500</v>
      </c>
      <c r="L2" s="8">
        <f t="shared" ref="L2:Q2" si="0">$H$4+($H$4*L3)</f>
        <v>3500</v>
      </c>
      <c r="M2" s="8">
        <f t="shared" si="0"/>
        <v>3605</v>
      </c>
      <c r="N2" s="8">
        <f t="shared" si="0"/>
        <v>3780</v>
      </c>
      <c r="O2" s="8">
        <f t="shared" si="0"/>
        <v>3850</v>
      </c>
      <c r="P2" s="8">
        <f t="shared" si="0"/>
        <v>4025</v>
      </c>
      <c r="Q2" s="8">
        <f t="shared" si="0"/>
        <v>4200</v>
      </c>
      <c r="R2" s="9">
        <f>$H$4+($H$4*R3)</f>
        <v>4550</v>
      </c>
      <c r="S2" s="10"/>
    </row>
    <row r="3" spans="3:27" ht="15" thickBot="1" x14ac:dyDescent="0.35">
      <c r="D3" s="11" t="s">
        <v>0</v>
      </c>
      <c r="E3" s="12"/>
      <c r="G3" s="13"/>
      <c r="H3" s="14"/>
      <c r="I3" s="15" t="s">
        <v>1</v>
      </c>
      <c r="J3" s="95">
        <v>-0.1</v>
      </c>
      <c r="K3" s="95">
        <v>-0.05</v>
      </c>
      <c r="L3" s="95">
        <v>0</v>
      </c>
      <c r="M3" s="124">
        <v>0.03</v>
      </c>
      <c r="N3" s="124">
        <v>0.08</v>
      </c>
      <c r="O3" s="95">
        <v>0.1</v>
      </c>
      <c r="P3" s="16">
        <v>0.15</v>
      </c>
      <c r="Q3" s="16">
        <v>0.2</v>
      </c>
      <c r="R3" s="17">
        <v>0.3</v>
      </c>
      <c r="S3" s="10"/>
      <c r="U3" s="18" t="s">
        <v>2</v>
      </c>
      <c r="V3" s="19"/>
      <c r="W3" s="19"/>
      <c r="X3" s="19"/>
      <c r="Y3" s="19"/>
      <c r="Z3" s="19"/>
      <c r="AA3" s="20"/>
    </row>
    <row r="4" spans="3:27" ht="15" thickBot="1" x14ac:dyDescent="0.35">
      <c r="C4" s="2" t="s">
        <v>3</v>
      </c>
      <c r="D4" s="11" t="s">
        <v>4</v>
      </c>
      <c r="E4" s="12" t="s">
        <v>5</v>
      </c>
      <c r="G4" s="21" t="s">
        <v>6</v>
      </c>
      <c r="H4" s="125">
        <v>3500</v>
      </c>
      <c r="I4" s="23" t="s">
        <v>7</v>
      </c>
      <c r="J4" s="24">
        <v>0.9</v>
      </c>
      <c r="K4" s="24">
        <v>0.95</v>
      </c>
      <c r="L4" s="24">
        <v>1</v>
      </c>
      <c r="M4" s="24">
        <v>1.03</v>
      </c>
      <c r="N4" s="24">
        <v>1.06</v>
      </c>
      <c r="O4" s="24">
        <v>1.1000000000000001</v>
      </c>
      <c r="P4" s="24">
        <v>1.1499999999999999</v>
      </c>
      <c r="Q4" s="24">
        <v>1.2</v>
      </c>
      <c r="R4" s="25">
        <v>1.3</v>
      </c>
      <c r="S4" s="10"/>
      <c r="U4" s="26"/>
      <c r="V4" s="27"/>
      <c r="W4" s="28">
        <v>45566</v>
      </c>
      <c r="X4" s="28">
        <v>45597</v>
      </c>
      <c r="Y4" s="28">
        <v>45627</v>
      </c>
      <c r="Z4" s="27" t="s">
        <v>8</v>
      </c>
      <c r="AA4" s="29"/>
    </row>
    <row r="5" spans="3:27" ht="15" thickBot="1" x14ac:dyDescent="0.35">
      <c r="C5" s="2" t="s">
        <v>9</v>
      </c>
      <c r="D5" s="30">
        <v>5000</v>
      </c>
      <c r="E5" s="30">
        <v>5000</v>
      </c>
      <c r="G5" s="6"/>
      <c r="M5" s="94"/>
      <c r="S5" s="10"/>
      <c r="U5" s="26" t="s">
        <v>10</v>
      </c>
      <c r="V5" s="27" t="s">
        <v>11</v>
      </c>
      <c r="W5" s="31">
        <v>5000</v>
      </c>
      <c r="X5" s="31">
        <v>5000</v>
      </c>
      <c r="Y5" s="31">
        <v>5000</v>
      </c>
      <c r="Z5" s="31">
        <f>SUM(W5:Y5)</f>
        <v>15000</v>
      </c>
      <c r="AA5" s="29"/>
    </row>
    <row r="6" spans="3:27" x14ac:dyDescent="0.3">
      <c r="C6" s="27" t="s">
        <v>12</v>
      </c>
      <c r="D6" s="32">
        <v>4000</v>
      </c>
      <c r="E6" s="30">
        <v>4000</v>
      </c>
      <c r="G6" s="6" t="s">
        <v>13</v>
      </c>
      <c r="H6" s="83">
        <v>0.08</v>
      </c>
      <c r="I6" s="72" t="s">
        <v>14</v>
      </c>
      <c r="J6" s="73">
        <f>H6*$J$2</f>
        <v>280</v>
      </c>
      <c r="K6" s="73">
        <f>H6*$K$2</f>
        <v>280</v>
      </c>
      <c r="L6" s="96">
        <f>H6*$L$2</f>
        <v>280</v>
      </c>
      <c r="M6" s="77">
        <f>H6*$M$2</f>
        <v>288.40000000000003</v>
      </c>
      <c r="N6" s="73">
        <f>H6*$N$2</f>
        <v>302.40000000000003</v>
      </c>
      <c r="O6" s="73">
        <f>H6*$O$2</f>
        <v>308</v>
      </c>
      <c r="P6" s="73">
        <f>H6*$P$2</f>
        <v>322</v>
      </c>
      <c r="Q6" s="73">
        <f>H6*$Q$2</f>
        <v>336</v>
      </c>
      <c r="R6" s="73">
        <f>H6*$R$2</f>
        <v>364</v>
      </c>
      <c r="S6" s="10"/>
      <c r="U6" s="26"/>
      <c r="V6" s="27"/>
      <c r="W6" s="31"/>
      <c r="X6" s="31"/>
      <c r="Y6" s="31"/>
      <c r="Z6" s="31"/>
      <c r="AA6" s="29"/>
    </row>
    <row r="7" spans="3:27" x14ac:dyDescent="0.3">
      <c r="C7" s="27" t="s">
        <v>15</v>
      </c>
      <c r="D7" s="32">
        <v>4000</v>
      </c>
      <c r="E7" s="30">
        <v>4000</v>
      </c>
      <c r="G7" s="6"/>
      <c r="H7" s="84">
        <v>0.13</v>
      </c>
      <c r="I7" s="74" t="s">
        <v>16</v>
      </c>
      <c r="J7" s="75">
        <f t="shared" ref="J7:J20" si="1">H7*$J$2</f>
        <v>455</v>
      </c>
      <c r="K7" s="75">
        <f t="shared" ref="K7:K20" si="2">H7*$K$2</f>
        <v>455</v>
      </c>
      <c r="L7" s="91">
        <f t="shared" ref="L7:L20" si="3">H7*$L$2</f>
        <v>455</v>
      </c>
      <c r="M7" s="78">
        <f t="shared" ref="M7:M20" si="4">H7*$M$2</f>
        <v>468.65000000000003</v>
      </c>
      <c r="N7" s="75">
        <f t="shared" ref="N7:N20" si="5">H7*$N$2</f>
        <v>491.40000000000003</v>
      </c>
      <c r="O7" s="75">
        <f t="shared" ref="O7:O20" si="6">H7*$O$2</f>
        <v>500.5</v>
      </c>
      <c r="P7" s="75">
        <f t="shared" ref="P7:P20" si="7">H7*$P$2</f>
        <v>523.25</v>
      </c>
      <c r="Q7" s="75">
        <f t="shared" ref="Q7:Q20" si="8">H7*$Q$2</f>
        <v>546</v>
      </c>
      <c r="R7" s="75">
        <f t="shared" ref="R7:R20" si="9">H7*$R$2</f>
        <v>591.5</v>
      </c>
      <c r="S7" s="10"/>
      <c r="U7" s="26" t="s">
        <v>17</v>
      </c>
      <c r="V7" s="27" t="s">
        <v>18</v>
      </c>
      <c r="W7" s="31">
        <v>6000</v>
      </c>
      <c r="X7" s="31">
        <v>5000</v>
      </c>
      <c r="Y7" s="31">
        <v>4500</v>
      </c>
      <c r="Z7" s="31">
        <f>SUM(W7:Y7)</f>
        <v>15500</v>
      </c>
      <c r="AA7" s="29"/>
    </row>
    <row r="8" spans="3:27" ht="15" thickBot="1" x14ac:dyDescent="0.35">
      <c r="C8" s="27" t="s">
        <v>19</v>
      </c>
      <c r="D8" s="32">
        <v>2500</v>
      </c>
      <c r="E8" s="30">
        <v>2500</v>
      </c>
      <c r="G8" s="6"/>
      <c r="H8" s="85">
        <v>0.18</v>
      </c>
      <c r="I8" s="74" t="s">
        <v>20</v>
      </c>
      <c r="J8" s="75">
        <f t="shared" si="1"/>
        <v>630</v>
      </c>
      <c r="K8" s="75">
        <f t="shared" si="2"/>
        <v>630</v>
      </c>
      <c r="L8" s="91">
        <f t="shared" si="3"/>
        <v>630</v>
      </c>
      <c r="M8" s="78">
        <f t="shared" si="4"/>
        <v>648.9</v>
      </c>
      <c r="N8" s="75">
        <f t="shared" si="5"/>
        <v>680.4</v>
      </c>
      <c r="O8" s="75">
        <f t="shared" si="6"/>
        <v>693</v>
      </c>
      <c r="P8" s="75">
        <f t="shared" si="7"/>
        <v>724.5</v>
      </c>
      <c r="Q8" s="75">
        <f t="shared" si="8"/>
        <v>756</v>
      </c>
      <c r="R8" s="75">
        <f t="shared" si="9"/>
        <v>819</v>
      </c>
      <c r="S8" s="10"/>
      <c r="U8" s="26"/>
      <c r="V8" s="27" t="s">
        <v>21</v>
      </c>
      <c r="W8" s="31">
        <f>I39</f>
        <v>1131.9000000000001</v>
      </c>
      <c r="X8" s="31">
        <v>5200</v>
      </c>
      <c r="Y8" s="31">
        <v>5000</v>
      </c>
      <c r="Z8" s="34">
        <f>SUM(W8:Y8)</f>
        <v>11331.9</v>
      </c>
      <c r="AA8" s="29"/>
    </row>
    <row r="9" spans="3:27" ht="15" thickBot="1" x14ac:dyDescent="0.35">
      <c r="C9" s="27" t="s">
        <v>22</v>
      </c>
      <c r="D9" s="32">
        <v>1200</v>
      </c>
      <c r="E9" s="30">
        <v>1200</v>
      </c>
      <c r="G9" s="6"/>
      <c r="J9" s="76"/>
      <c r="K9" s="76"/>
      <c r="L9" s="91"/>
      <c r="M9" s="82"/>
      <c r="N9" s="76"/>
      <c r="O9" s="76"/>
      <c r="P9" s="76"/>
      <c r="Q9" s="76"/>
      <c r="R9" s="76"/>
      <c r="S9" s="10"/>
      <c r="U9" s="26"/>
      <c r="V9" s="34" t="s">
        <v>23</v>
      </c>
      <c r="W9" s="31">
        <v>5000</v>
      </c>
      <c r="X9" s="31">
        <v>4900</v>
      </c>
      <c r="Y9" s="31">
        <v>6500</v>
      </c>
      <c r="Z9" s="34">
        <f t="shared" ref="Z9:Z10" si="10">SUM(W9:Y9)</f>
        <v>16400</v>
      </c>
      <c r="AA9" s="29">
        <f>Z9/Z5</f>
        <v>1.0933333333333333</v>
      </c>
    </row>
    <row r="10" spans="3:27" x14ac:dyDescent="0.3">
      <c r="C10" s="36" t="s">
        <v>24</v>
      </c>
      <c r="D10" s="37"/>
      <c r="E10" s="30">
        <v>2500</v>
      </c>
      <c r="G10" s="6" t="s">
        <v>25</v>
      </c>
      <c r="H10" s="87">
        <v>0.05</v>
      </c>
      <c r="I10" s="72" t="s">
        <v>26</v>
      </c>
      <c r="J10" s="75">
        <f t="shared" si="1"/>
        <v>175</v>
      </c>
      <c r="K10" s="75">
        <f t="shared" si="2"/>
        <v>175</v>
      </c>
      <c r="L10" s="91">
        <f t="shared" si="3"/>
        <v>175</v>
      </c>
      <c r="M10" s="78">
        <f t="shared" si="4"/>
        <v>180.25</v>
      </c>
      <c r="N10" s="75">
        <f t="shared" si="5"/>
        <v>189</v>
      </c>
      <c r="O10" s="75">
        <f t="shared" si="6"/>
        <v>192.5</v>
      </c>
      <c r="P10" s="75">
        <f t="shared" si="7"/>
        <v>201.25</v>
      </c>
      <c r="Q10" s="75">
        <f t="shared" si="8"/>
        <v>210</v>
      </c>
      <c r="R10" s="75">
        <f t="shared" si="9"/>
        <v>227.5</v>
      </c>
      <c r="S10" s="10"/>
      <c r="U10" s="26"/>
      <c r="V10" s="27" t="s">
        <v>27</v>
      </c>
      <c r="W10" s="31">
        <v>4800</v>
      </c>
      <c r="X10" s="31">
        <v>4000</v>
      </c>
      <c r="Y10" s="31">
        <v>5000</v>
      </c>
      <c r="Z10" s="34">
        <f t="shared" si="10"/>
        <v>13800</v>
      </c>
      <c r="AA10" s="29"/>
    </row>
    <row r="11" spans="3:27" ht="15" thickBot="1" x14ac:dyDescent="0.35">
      <c r="C11" s="36" t="s">
        <v>28</v>
      </c>
      <c r="D11" s="37"/>
      <c r="E11" s="37">
        <v>3500</v>
      </c>
      <c r="F11" s="27"/>
      <c r="G11" s="6"/>
      <c r="H11" s="88">
        <v>0.06</v>
      </c>
      <c r="I11" s="74" t="s">
        <v>29</v>
      </c>
      <c r="J11" s="75">
        <f t="shared" si="1"/>
        <v>210</v>
      </c>
      <c r="K11" s="75">
        <f t="shared" si="2"/>
        <v>210</v>
      </c>
      <c r="L11" s="91">
        <f t="shared" si="3"/>
        <v>210</v>
      </c>
      <c r="M11" s="78">
        <f t="shared" si="4"/>
        <v>216.29999999999998</v>
      </c>
      <c r="N11" s="75">
        <f t="shared" si="5"/>
        <v>226.79999999999998</v>
      </c>
      <c r="O11" s="75">
        <f t="shared" si="6"/>
        <v>231</v>
      </c>
      <c r="P11" s="75">
        <f t="shared" si="7"/>
        <v>241.5</v>
      </c>
      <c r="Q11" s="75">
        <f t="shared" si="8"/>
        <v>252</v>
      </c>
      <c r="R11" s="75">
        <f t="shared" si="9"/>
        <v>273</v>
      </c>
      <c r="S11" s="10"/>
      <c r="U11" s="38"/>
      <c r="V11" s="39"/>
      <c r="W11" s="39"/>
      <c r="X11" s="39"/>
      <c r="Y11" s="39" t="s">
        <v>30</v>
      </c>
      <c r="Z11" s="40">
        <f>MEDIAN(Z7:Z10)</f>
        <v>14650</v>
      </c>
      <c r="AA11" s="41">
        <f>Z11/Z5-1</f>
        <v>-2.3333333333333317E-2</v>
      </c>
    </row>
    <row r="12" spans="3:27" x14ac:dyDescent="0.3">
      <c r="C12" s="36" t="s">
        <v>31</v>
      </c>
      <c r="D12" s="37"/>
      <c r="E12" s="37">
        <v>3500</v>
      </c>
      <c r="F12" s="27"/>
      <c r="G12" s="6"/>
      <c r="H12" s="88">
        <v>7.0000000000000007E-2</v>
      </c>
      <c r="I12" s="74" t="s">
        <v>32</v>
      </c>
      <c r="J12" s="75">
        <f t="shared" si="1"/>
        <v>245.00000000000003</v>
      </c>
      <c r="K12" s="75">
        <f t="shared" si="2"/>
        <v>245.00000000000003</v>
      </c>
      <c r="L12" s="91">
        <f t="shared" si="3"/>
        <v>245.00000000000003</v>
      </c>
      <c r="M12" s="78">
        <f t="shared" si="4"/>
        <v>252.35000000000002</v>
      </c>
      <c r="N12" s="75">
        <f t="shared" si="5"/>
        <v>264.60000000000002</v>
      </c>
      <c r="O12" s="75">
        <f t="shared" si="6"/>
        <v>269.5</v>
      </c>
      <c r="P12" s="75">
        <f t="shared" si="7"/>
        <v>281.75</v>
      </c>
      <c r="Q12" s="75">
        <f t="shared" si="8"/>
        <v>294</v>
      </c>
      <c r="R12" s="75">
        <f t="shared" si="9"/>
        <v>318.50000000000006</v>
      </c>
      <c r="S12" s="10"/>
    </row>
    <row r="13" spans="3:27" x14ac:dyDescent="0.3">
      <c r="G13" s="6"/>
      <c r="H13" s="88">
        <v>7.0000000000000007E-2</v>
      </c>
      <c r="I13" s="74" t="s">
        <v>33</v>
      </c>
      <c r="J13" s="75">
        <f t="shared" si="1"/>
        <v>245.00000000000003</v>
      </c>
      <c r="K13" s="75">
        <f t="shared" si="2"/>
        <v>245.00000000000003</v>
      </c>
      <c r="L13" s="91">
        <f t="shared" si="3"/>
        <v>245.00000000000003</v>
      </c>
      <c r="M13" s="78">
        <f t="shared" si="4"/>
        <v>252.35000000000002</v>
      </c>
      <c r="N13" s="75">
        <f t="shared" si="5"/>
        <v>264.60000000000002</v>
      </c>
      <c r="O13" s="75">
        <f t="shared" si="6"/>
        <v>269.5</v>
      </c>
      <c r="P13" s="75">
        <f t="shared" si="7"/>
        <v>281.75</v>
      </c>
      <c r="Q13" s="75">
        <f t="shared" si="8"/>
        <v>294</v>
      </c>
      <c r="R13" s="75">
        <f t="shared" si="9"/>
        <v>318.50000000000006</v>
      </c>
      <c r="S13" s="10"/>
    </row>
    <row r="14" spans="3:27" ht="15" thickBot="1" x14ac:dyDescent="0.35">
      <c r="G14" s="6"/>
      <c r="H14" s="86"/>
      <c r="I14" s="90"/>
      <c r="J14" s="75">
        <f t="shared" si="1"/>
        <v>0</v>
      </c>
      <c r="K14" s="75">
        <f t="shared" si="2"/>
        <v>0</v>
      </c>
      <c r="L14" s="91">
        <f t="shared" si="3"/>
        <v>0</v>
      </c>
      <c r="M14" s="78">
        <f t="shared" si="4"/>
        <v>0</v>
      </c>
      <c r="N14" s="75">
        <f t="shared" si="5"/>
        <v>0</v>
      </c>
      <c r="O14" s="75">
        <f t="shared" si="6"/>
        <v>0</v>
      </c>
      <c r="P14" s="75">
        <f t="shared" si="7"/>
        <v>0</v>
      </c>
      <c r="Q14" s="75">
        <f t="shared" si="8"/>
        <v>0</v>
      </c>
      <c r="R14" s="75">
        <f t="shared" si="9"/>
        <v>0</v>
      </c>
      <c r="S14" s="10"/>
    </row>
    <row r="15" spans="3:27" ht="15" thickBot="1" x14ac:dyDescent="0.35">
      <c r="C15" s="36"/>
      <c r="D15" s="36"/>
      <c r="G15" s="6"/>
      <c r="J15" s="76"/>
      <c r="K15" s="76"/>
      <c r="L15" s="91"/>
      <c r="M15" s="82"/>
      <c r="N15" s="76"/>
      <c r="O15" s="76"/>
      <c r="P15" s="76"/>
      <c r="Q15" s="76"/>
      <c r="R15" s="76"/>
      <c r="S15" s="10"/>
    </row>
    <row r="16" spans="3:27" x14ac:dyDescent="0.3">
      <c r="G16" s="6" t="s">
        <v>34</v>
      </c>
      <c r="H16" s="87">
        <v>0.13</v>
      </c>
      <c r="I16" s="72" t="s">
        <v>35</v>
      </c>
      <c r="J16" s="75">
        <f t="shared" si="1"/>
        <v>455</v>
      </c>
      <c r="K16" s="75">
        <f t="shared" si="2"/>
        <v>455</v>
      </c>
      <c r="L16" s="91">
        <f t="shared" si="3"/>
        <v>455</v>
      </c>
      <c r="M16" s="78">
        <f t="shared" si="4"/>
        <v>468.65000000000003</v>
      </c>
      <c r="N16" s="75">
        <f t="shared" si="5"/>
        <v>491.40000000000003</v>
      </c>
      <c r="O16" s="75">
        <f t="shared" si="6"/>
        <v>500.5</v>
      </c>
      <c r="P16" s="75">
        <f t="shared" si="7"/>
        <v>523.25</v>
      </c>
      <c r="Q16" s="75">
        <f t="shared" si="8"/>
        <v>546</v>
      </c>
      <c r="R16" s="75">
        <f t="shared" si="9"/>
        <v>591.5</v>
      </c>
      <c r="S16" s="10"/>
      <c r="U16" s="2" t="s">
        <v>36</v>
      </c>
    </row>
    <row r="17" spans="1:23" ht="15" thickBot="1" x14ac:dyDescent="0.35">
      <c r="G17" s="6"/>
      <c r="H17" s="89">
        <v>0.13</v>
      </c>
      <c r="I17" s="90" t="s">
        <v>37</v>
      </c>
      <c r="J17" s="75">
        <f t="shared" si="1"/>
        <v>455</v>
      </c>
      <c r="K17" s="75">
        <f t="shared" si="2"/>
        <v>455</v>
      </c>
      <c r="L17" s="91">
        <f t="shared" si="3"/>
        <v>455</v>
      </c>
      <c r="M17" s="78">
        <f t="shared" si="4"/>
        <v>468.65000000000003</v>
      </c>
      <c r="N17" s="75">
        <f t="shared" si="5"/>
        <v>491.40000000000003</v>
      </c>
      <c r="O17" s="75">
        <f t="shared" si="6"/>
        <v>500.5</v>
      </c>
      <c r="P17" s="75">
        <f t="shared" si="7"/>
        <v>523.25</v>
      </c>
      <c r="Q17" s="75">
        <f t="shared" si="8"/>
        <v>546</v>
      </c>
      <c r="R17" s="75">
        <f t="shared" si="9"/>
        <v>591.5</v>
      </c>
      <c r="S17" s="10"/>
    </row>
    <row r="18" spans="1:23" ht="15" thickBot="1" x14ac:dyDescent="0.35">
      <c r="B18" s="42"/>
      <c r="C18" s="42"/>
      <c r="D18" s="42"/>
      <c r="E18" s="42"/>
      <c r="G18" s="6"/>
      <c r="J18" s="76"/>
      <c r="K18" s="76"/>
      <c r="L18" s="91"/>
      <c r="M18" s="82"/>
      <c r="N18" s="76"/>
      <c r="O18" s="76"/>
      <c r="P18" s="76"/>
      <c r="Q18" s="76"/>
      <c r="R18" s="76"/>
      <c r="S18" s="10"/>
      <c r="U18" s="2" t="s">
        <v>38</v>
      </c>
      <c r="V18" s="2" t="s">
        <v>39</v>
      </c>
    </row>
    <row r="19" spans="1:23" x14ac:dyDescent="0.3">
      <c r="B19" s="100" t="s">
        <v>40</v>
      </c>
      <c r="C19" s="110" t="s">
        <v>76</v>
      </c>
      <c r="D19" s="100" t="s">
        <v>77</v>
      </c>
      <c r="E19" s="100" t="s">
        <v>78</v>
      </c>
      <c r="G19" s="6" t="s">
        <v>41</v>
      </c>
      <c r="H19" s="87">
        <v>0.05</v>
      </c>
      <c r="I19" s="72" t="s">
        <v>42</v>
      </c>
      <c r="J19" s="75">
        <f t="shared" si="1"/>
        <v>175</v>
      </c>
      <c r="K19" s="75">
        <f t="shared" si="2"/>
        <v>175</v>
      </c>
      <c r="L19" s="91">
        <f t="shared" si="3"/>
        <v>175</v>
      </c>
      <c r="M19" s="78">
        <f t="shared" si="4"/>
        <v>180.25</v>
      </c>
      <c r="N19" s="75">
        <f t="shared" si="5"/>
        <v>189</v>
      </c>
      <c r="O19" s="75">
        <f t="shared" si="6"/>
        <v>192.5</v>
      </c>
      <c r="P19" s="75">
        <f t="shared" si="7"/>
        <v>201.25</v>
      </c>
      <c r="Q19" s="75">
        <f t="shared" si="8"/>
        <v>210</v>
      </c>
      <c r="R19" s="75">
        <f t="shared" si="9"/>
        <v>227.5</v>
      </c>
      <c r="S19" s="10"/>
    </row>
    <row r="20" spans="1:23" x14ac:dyDescent="0.3">
      <c r="A20" s="103">
        <v>0</v>
      </c>
      <c r="B20" s="101">
        <f>J10</f>
        <v>175</v>
      </c>
      <c r="C20" s="101">
        <f>J11</f>
        <v>210</v>
      </c>
      <c r="D20" s="101">
        <f>J12</f>
        <v>245.00000000000003</v>
      </c>
      <c r="E20" s="101">
        <f>J13</f>
        <v>245.00000000000003</v>
      </c>
      <c r="G20" s="6"/>
      <c r="H20" s="88">
        <v>0.05</v>
      </c>
      <c r="I20" s="74" t="s">
        <v>43</v>
      </c>
      <c r="J20" s="75">
        <f t="shared" si="1"/>
        <v>175</v>
      </c>
      <c r="K20" s="75">
        <f t="shared" si="2"/>
        <v>175</v>
      </c>
      <c r="L20" s="91">
        <f t="shared" si="3"/>
        <v>175</v>
      </c>
      <c r="M20" s="78">
        <f t="shared" si="4"/>
        <v>180.25</v>
      </c>
      <c r="N20" s="75">
        <f t="shared" si="5"/>
        <v>189</v>
      </c>
      <c r="O20" s="75">
        <f t="shared" si="6"/>
        <v>192.5</v>
      </c>
      <c r="P20" s="75">
        <f t="shared" si="7"/>
        <v>201.25</v>
      </c>
      <c r="Q20" s="75">
        <f t="shared" si="8"/>
        <v>210</v>
      </c>
      <c r="R20" s="75">
        <f t="shared" si="9"/>
        <v>227.5</v>
      </c>
      <c r="S20" s="10"/>
      <c r="U20" s="2" t="s">
        <v>44</v>
      </c>
      <c r="V20" s="2" t="s">
        <v>12</v>
      </c>
      <c r="W20" s="2" t="s">
        <v>45</v>
      </c>
    </row>
    <row r="21" spans="1:23" x14ac:dyDescent="0.3">
      <c r="A21" s="103">
        <v>0.90000999999999998</v>
      </c>
      <c r="B21" s="101">
        <f>K10</f>
        <v>175</v>
      </c>
      <c r="C21" s="101">
        <f>K11</f>
        <v>210</v>
      </c>
      <c r="D21" s="101">
        <f>K12</f>
        <v>245.00000000000003</v>
      </c>
      <c r="E21" s="101">
        <f>K13</f>
        <v>245.00000000000003</v>
      </c>
      <c r="G21" s="6"/>
      <c r="H21" s="6"/>
      <c r="I21" s="74"/>
      <c r="J21" s="80"/>
      <c r="K21" s="80"/>
      <c r="L21" s="92"/>
      <c r="M21" s="35"/>
      <c r="N21" s="80"/>
      <c r="O21" s="80"/>
      <c r="P21" s="80"/>
      <c r="Q21" s="80"/>
      <c r="R21" s="80"/>
      <c r="S21" s="10"/>
    </row>
    <row r="22" spans="1:23" x14ac:dyDescent="0.3">
      <c r="A22" s="103">
        <v>0.95001000000000002</v>
      </c>
      <c r="B22" s="101">
        <f>L10</f>
        <v>175</v>
      </c>
      <c r="C22" s="101">
        <f>L11</f>
        <v>210</v>
      </c>
      <c r="D22" s="101">
        <f>L12</f>
        <v>245.00000000000003</v>
      </c>
      <c r="E22" s="101">
        <f>L13</f>
        <v>245.00000000000003</v>
      </c>
      <c r="G22" s="6"/>
      <c r="H22" s="6"/>
      <c r="I22" s="74"/>
      <c r="J22" s="80"/>
      <c r="K22" s="80"/>
      <c r="L22" s="92"/>
      <c r="M22" s="35"/>
      <c r="N22" s="80"/>
      <c r="O22" s="80"/>
      <c r="P22" s="80"/>
      <c r="Q22" s="80"/>
      <c r="R22" s="80"/>
      <c r="S22" s="10"/>
      <c r="U22" s="2" t="s">
        <v>46</v>
      </c>
      <c r="V22" s="2" t="s">
        <v>47</v>
      </c>
      <c r="W22" s="2" t="s">
        <v>39</v>
      </c>
    </row>
    <row r="23" spans="1:23" x14ac:dyDescent="0.3">
      <c r="A23" s="103">
        <v>1.0000100000000001</v>
      </c>
      <c r="B23" s="101">
        <f>M10</f>
        <v>180.25</v>
      </c>
      <c r="C23" s="101">
        <f>M11</f>
        <v>216.29999999999998</v>
      </c>
      <c r="D23" s="101">
        <f>M12</f>
        <v>252.35000000000002</v>
      </c>
      <c r="E23" s="101">
        <f>M13</f>
        <v>252.35000000000002</v>
      </c>
      <c r="G23" s="6"/>
      <c r="H23" s="6"/>
      <c r="I23" s="74"/>
      <c r="J23" s="80"/>
      <c r="K23" s="80"/>
      <c r="L23" s="92"/>
      <c r="M23" s="35"/>
      <c r="N23" s="80"/>
      <c r="O23" s="80"/>
      <c r="P23" s="80"/>
      <c r="Q23" s="80"/>
      <c r="R23" s="80"/>
      <c r="S23" s="10"/>
    </row>
    <row r="24" spans="1:23" x14ac:dyDescent="0.3">
      <c r="A24" s="103">
        <v>1.0300100000000001</v>
      </c>
      <c r="B24" s="102">
        <f>N10</f>
        <v>189</v>
      </c>
      <c r="C24" s="102">
        <f>N11</f>
        <v>226.79999999999998</v>
      </c>
      <c r="D24" s="102">
        <f>N12</f>
        <v>264.60000000000002</v>
      </c>
      <c r="E24" s="102">
        <f>N13</f>
        <v>264.60000000000002</v>
      </c>
      <c r="G24" s="6"/>
      <c r="H24" s="6"/>
      <c r="I24" s="74"/>
      <c r="J24" s="80"/>
      <c r="K24" s="80"/>
      <c r="L24" s="92"/>
      <c r="M24" s="35"/>
      <c r="N24" s="80"/>
      <c r="O24" s="80"/>
      <c r="P24" s="80"/>
      <c r="Q24" s="80"/>
      <c r="R24" s="80"/>
      <c r="S24" s="10"/>
      <c r="U24" s="2" t="s">
        <v>48</v>
      </c>
      <c r="V24" s="2" t="s">
        <v>49</v>
      </c>
      <c r="W24" s="2" t="s">
        <v>50</v>
      </c>
    </row>
    <row r="25" spans="1:23" x14ac:dyDescent="0.3">
      <c r="A25" s="103">
        <f>106.001%</f>
        <v>1.0600100000000001</v>
      </c>
      <c r="B25" s="101">
        <f>O10</f>
        <v>192.5</v>
      </c>
      <c r="C25" s="101">
        <f>O11</f>
        <v>231</v>
      </c>
      <c r="D25" s="101">
        <f>O12</f>
        <v>269.5</v>
      </c>
      <c r="E25" s="101">
        <f>O13</f>
        <v>269.5</v>
      </c>
      <c r="G25" s="6"/>
      <c r="H25" s="6"/>
      <c r="I25" s="74"/>
      <c r="J25" s="80"/>
      <c r="K25" s="80"/>
      <c r="L25" s="92"/>
      <c r="M25" s="35"/>
      <c r="N25" s="80"/>
      <c r="O25" s="80"/>
      <c r="P25" s="80"/>
      <c r="Q25" s="80"/>
      <c r="R25" s="80"/>
      <c r="S25" s="10"/>
    </row>
    <row r="26" spans="1:23" x14ac:dyDescent="0.3">
      <c r="A26" s="103">
        <f>110.001%</f>
        <v>1.1000100000000002</v>
      </c>
      <c r="B26" s="101">
        <f>P10</f>
        <v>201.25</v>
      </c>
      <c r="C26" s="101">
        <f>P11</f>
        <v>241.5</v>
      </c>
      <c r="D26" s="101">
        <f>P12</f>
        <v>281.75</v>
      </c>
      <c r="E26" s="101">
        <f>P13</f>
        <v>281.75</v>
      </c>
      <c r="G26" s="6"/>
      <c r="H26" s="6"/>
      <c r="I26" s="74"/>
      <c r="J26" s="80"/>
      <c r="K26" s="80"/>
      <c r="L26" s="92"/>
      <c r="M26" s="35"/>
      <c r="N26" s="80"/>
      <c r="O26" s="80"/>
      <c r="P26" s="80"/>
      <c r="Q26" s="80"/>
      <c r="R26" s="80"/>
      <c r="S26" s="10"/>
    </row>
    <row r="27" spans="1:23" x14ac:dyDescent="0.3">
      <c r="A27" s="103">
        <f>115.001%</f>
        <v>1.15001</v>
      </c>
      <c r="B27" s="101">
        <f>Q10</f>
        <v>210</v>
      </c>
      <c r="C27" s="101">
        <f>Q11</f>
        <v>252</v>
      </c>
      <c r="D27" s="101">
        <f>Q12</f>
        <v>294</v>
      </c>
      <c r="E27" s="101">
        <f>Q13</f>
        <v>294</v>
      </c>
      <c r="G27" s="6"/>
      <c r="H27" s="6"/>
      <c r="I27" s="74"/>
      <c r="J27" s="80"/>
      <c r="K27" s="80"/>
      <c r="L27" s="92"/>
      <c r="M27" s="35"/>
      <c r="N27" s="80"/>
      <c r="O27" s="80"/>
      <c r="P27" s="80"/>
      <c r="Q27" s="80"/>
      <c r="R27" s="80"/>
      <c r="S27" s="10"/>
    </row>
    <row r="28" spans="1:23" x14ac:dyDescent="0.3">
      <c r="A28" s="103">
        <f>120.001%</f>
        <v>1.20001</v>
      </c>
      <c r="B28" s="101">
        <f>R10</f>
        <v>227.5</v>
      </c>
      <c r="C28" s="101">
        <f>R11</f>
        <v>273</v>
      </c>
      <c r="D28" s="101">
        <f>R12</f>
        <v>318.50000000000006</v>
      </c>
      <c r="E28" s="101">
        <f>R13</f>
        <v>318.50000000000006</v>
      </c>
      <c r="G28" s="6"/>
      <c r="H28" s="6"/>
      <c r="I28" s="74"/>
      <c r="J28" s="80"/>
      <c r="K28" s="80"/>
      <c r="L28" s="92"/>
      <c r="M28" s="35"/>
      <c r="N28" s="80"/>
      <c r="O28" s="80"/>
      <c r="P28" s="80"/>
      <c r="Q28" s="80"/>
      <c r="R28" s="80"/>
      <c r="S28" s="10"/>
    </row>
    <row r="29" spans="1:23" ht="15" thickBot="1" x14ac:dyDescent="0.35">
      <c r="G29" s="6"/>
      <c r="H29" s="33"/>
      <c r="I29" s="90"/>
      <c r="J29" s="81"/>
      <c r="K29" s="81"/>
      <c r="L29" s="93"/>
      <c r="M29" s="79"/>
      <c r="N29" s="81"/>
      <c r="O29" s="81"/>
      <c r="P29" s="81"/>
      <c r="Q29" s="81"/>
      <c r="R29" s="81"/>
      <c r="S29" s="10"/>
    </row>
    <row r="30" spans="1:23" x14ac:dyDescent="0.3">
      <c r="A30" s="44"/>
      <c r="B30" s="45"/>
      <c r="C30" s="45"/>
      <c r="D30" s="45"/>
      <c r="E30" s="45"/>
      <c r="G30" s="6"/>
      <c r="H30" s="46">
        <f>SUM(H6:H29)</f>
        <v>1.0000000000000002</v>
      </c>
      <c r="S30" s="10"/>
    </row>
    <row r="31" spans="1:23" ht="15" thickBot="1" x14ac:dyDescent="0.35">
      <c r="B31" s="47"/>
      <c r="C31" s="47"/>
      <c r="D31" s="47"/>
      <c r="E31" s="47"/>
      <c r="G31" s="33"/>
      <c r="H31" s="48"/>
      <c r="I31" s="48" t="s">
        <v>51</v>
      </c>
      <c r="J31" s="49">
        <f t="shared" ref="J31:R31" si="11">SUM(J6:J29)</f>
        <v>3500</v>
      </c>
      <c r="K31" s="49">
        <f t="shared" si="11"/>
        <v>3500</v>
      </c>
      <c r="L31" s="49">
        <f t="shared" si="11"/>
        <v>3500</v>
      </c>
      <c r="M31" s="49">
        <f t="shared" si="11"/>
        <v>3605</v>
      </c>
      <c r="N31" s="49">
        <f t="shared" si="11"/>
        <v>3780</v>
      </c>
      <c r="O31" s="49">
        <f t="shared" si="11"/>
        <v>3850</v>
      </c>
      <c r="P31" s="49">
        <f t="shared" si="11"/>
        <v>4025</v>
      </c>
      <c r="Q31" s="49">
        <f t="shared" si="11"/>
        <v>4200</v>
      </c>
      <c r="R31" s="49">
        <f t="shared" si="11"/>
        <v>4550</v>
      </c>
      <c r="S31" s="50"/>
    </row>
    <row r="32" spans="1:23" ht="15" thickBot="1" x14ac:dyDescent="0.35">
      <c r="B32" s="47"/>
      <c r="C32" s="47"/>
      <c r="D32" s="47"/>
      <c r="E32" s="47"/>
    </row>
    <row r="33" spans="2:23" ht="15" thickBot="1" x14ac:dyDescent="0.35">
      <c r="B33" s="47"/>
      <c r="C33" s="47"/>
      <c r="D33" s="47"/>
      <c r="E33" s="47"/>
      <c r="G33" s="51" t="s">
        <v>52</v>
      </c>
      <c r="H33" s="52" t="s">
        <v>53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3"/>
    </row>
    <row r="34" spans="2:23" x14ac:dyDescent="0.3">
      <c r="B34" s="47"/>
      <c r="C34" s="47"/>
      <c r="D34" s="47"/>
      <c r="E34" s="47"/>
    </row>
    <row r="35" spans="2:23" x14ac:dyDescent="0.3">
      <c r="H35" s="54" t="s">
        <v>54</v>
      </c>
      <c r="I35" s="54"/>
      <c r="J35" s="55"/>
      <c r="K35" s="54"/>
      <c r="L35" s="54"/>
      <c r="M35" s="54"/>
      <c r="N35" s="54"/>
      <c r="O35" s="55">
        <f>O6</f>
        <v>308</v>
      </c>
      <c r="P35" s="54"/>
      <c r="Q35" s="54"/>
      <c r="R35" s="54"/>
      <c r="S35" s="54"/>
    </row>
    <row r="36" spans="2:23" x14ac:dyDescent="0.3">
      <c r="H36" s="54" t="s">
        <v>55</v>
      </c>
      <c r="I36" s="54"/>
      <c r="J36" s="55">
        <f>J10</f>
        <v>175</v>
      </c>
      <c r="K36" s="54"/>
      <c r="L36" s="54"/>
      <c r="M36" s="54"/>
      <c r="N36" s="54"/>
      <c r="O36" s="54"/>
      <c r="P36" s="54"/>
      <c r="Q36" s="54"/>
      <c r="R36" s="54"/>
      <c r="S36" s="54"/>
      <c r="W36" s="54"/>
    </row>
    <row r="37" spans="2:23" x14ac:dyDescent="0.3">
      <c r="H37" s="54" t="s">
        <v>56</v>
      </c>
      <c r="I37" s="54"/>
      <c r="J37" s="54"/>
      <c r="K37" s="54"/>
      <c r="L37" s="54"/>
      <c r="M37" s="55">
        <f>M16</f>
        <v>468.65000000000003</v>
      </c>
      <c r="N37" s="54"/>
      <c r="O37" s="54"/>
      <c r="P37" s="54"/>
      <c r="Q37" s="54"/>
      <c r="R37" s="54"/>
      <c r="S37" s="54"/>
    </row>
    <row r="38" spans="2:23" ht="15" thickBot="1" x14ac:dyDescent="0.35">
      <c r="H38" s="56" t="s">
        <v>57</v>
      </c>
      <c r="I38" s="56"/>
      <c r="J38" s="54"/>
      <c r="K38" s="54"/>
      <c r="L38" s="54"/>
      <c r="M38" s="55">
        <f>M19</f>
        <v>180.25</v>
      </c>
      <c r="N38" s="54"/>
      <c r="O38" s="54"/>
      <c r="P38" s="54"/>
      <c r="Q38" s="54"/>
      <c r="R38" s="54"/>
      <c r="S38" s="54"/>
    </row>
    <row r="39" spans="2:23" ht="15" thickBot="1" x14ac:dyDescent="0.35">
      <c r="H39" s="57" t="s">
        <v>51</v>
      </c>
      <c r="I39" s="58">
        <f>SUM(I35:R38)</f>
        <v>1131.9000000000001</v>
      </c>
    </row>
    <row r="41" spans="2:23" ht="23.25" hidden="1" customHeight="1" x14ac:dyDescent="0.3">
      <c r="H41" s="2" t="s">
        <v>58</v>
      </c>
      <c r="I41" s="43" t="s">
        <v>59</v>
      </c>
      <c r="J41" s="59" t="s">
        <v>60</v>
      </c>
      <c r="K41" s="59" t="s">
        <v>61</v>
      </c>
      <c r="L41" s="59" t="s">
        <v>62</v>
      </c>
      <c r="M41" s="59" t="s">
        <v>63</v>
      </c>
      <c r="N41" s="59" t="s">
        <v>64</v>
      </c>
      <c r="O41" s="59" t="s">
        <v>65</v>
      </c>
      <c r="P41" s="59" t="s">
        <v>66</v>
      </c>
      <c r="Q41" s="59" t="s">
        <v>67</v>
      </c>
      <c r="R41" s="59" t="s">
        <v>68</v>
      </c>
    </row>
    <row r="42" spans="2:23" ht="21.6" hidden="1" customHeight="1" x14ac:dyDescent="0.3">
      <c r="I42" s="43">
        <v>0</v>
      </c>
      <c r="J42" s="60">
        <v>1200</v>
      </c>
      <c r="K42" s="60">
        <v>1350</v>
      </c>
      <c r="L42" s="60">
        <f>1425</f>
        <v>1425</v>
      </c>
      <c r="M42" s="60">
        <v>1500</v>
      </c>
      <c r="N42" s="60">
        <v>1575</v>
      </c>
      <c r="O42" s="60">
        <v>1725</v>
      </c>
      <c r="P42" s="60">
        <v>1875</v>
      </c>
      <c r="Q42" s="60">
        <v>1950</v>
      </c>
      <c r="R42" s="60">
        <v>2100</v>
      </c>
      <c r="S42" s="47"/>
    </row>
    <row r="43" spans="2:23" ht="18.45" customHeight="1" x14ac:dyDescent="0.3">
      <c r="H43" s="2" t="s">
        <v>1</v>
      </c>
      <c r="J43" s="61">
        <v>-0.2</v>
      </c>
      <c r="K43" s="46">
        <v>-0.1</v>
      </c>
      <c r="L43" s="46">
        <v>-0.05</v>
      </c>
      <c r="M43" s="62"/>
      <c r="N43" s="46">
        <v>0.05</v>
      </c>
      <c r="O43" s="46">
        <v>0.15</v>
      </c>
      <c r="P43" s="63">
        <v>0.25</v>
      </c>
      <c r="Q43" s="63">
        <v>0.3</v>
      </c>
      <c r="R43" s="64">
        <v>0.4</v>
      </c>
    </row>
    <row r="44" spans="2:23" ht="15.6" x14ac:dyDescent="0.3">
      <c r="H44" s="2" t="s">
        <v>69</v>
      </c>
      <c r="I44" s="65" t="s">
        <v>59</v>
      </c>
      <c r="J44" s="66" t="s">
        <v>60</v>
      </c>
      <c r="K44" s="59" t="s">
        <v>61</v>
      </c>
      <c r="L44" s="59" t="s">
        <v>62</v>
      </c>
      <c r="M44" s="67">
        <v>1</v>
      </c>
      <c r="N44" s="59" t="s">
        <v>70</v>
      </c>
      <c r="O44" s="59" t="s">
        <v>71</v>
      </c>
      <c r="P44" s="59" t="s">
        <v>72</v>
      </c>
      <c r="Q44" s="59" t="s">
        <v>73</v>
      </c>
      <c r="R44" s="66" t="s">
        <v>74</v>
      </c>
      <c r="S44" s="68"/>
    </row>
    <row r="45" spans="2:23" ht="15.6" x14ac:dyDescent="0.3">
      <c r="H45" s="2" t="s">
        <v>54</v>
      </c>
      <c r="I45" s="69">
        <f>J6</f>
        <v>280</v>
      </c>
      <c r="J45" s="69">
        <f t="shared" ref="J45:R45" si="12">J6</f>
        <v>280</v>
      </c>
      <c r="K45" s="60">
        <f t="shared" si="12"/>
        <v>280</v>
      </c>
      <c r="L45" s="60">
        <f t="shared" si="12"/>
        <v>280</v>
      </c>
      <c r="M45" s="70">
        <f t="shared" si="12"/>
        <v>288.40000000000003</v>
      </c>
      <c r="N45" s="60">
        <f t="shared" si="12"/>
        <v>302.40000000000003</v>
      </c>
      <c r="O45" s="60">
        <f t="shared" si="12"/>
        <v>308</v>
      </c>
      <c r="P45" s="60">
        <f t="shared" si="12"/>
        <v>322</v>
      </c>
      <c r="Q45" s="60">
        <f t="shared" si="12"/>
        <v>336</v>
      </c>
      <c r="R45" s="69">
        <f t="shared" si="12"/>
        <v>364</v>
      </c>
      <c r="S45" s="71"/>
    </row>
    <row r="46" spans="2:23" ht="15.6" x14ac:dyDescent="0.3">
      <c r="H46" s="2" t="s">
        <v>55</v>
      </c>
      <c r="I46" s="69">
        <f>J10</f>
        <v>175</v>
      </c>
      <c r="J46" s="69">
        <f t="shared" ref="J46:R46" si="13">J10</f>
        <v>175</v>
      </c>
      <c r="K46" s="60">
        <f t="shared" si="13"/>
        <v>175</v>
      </c>
      <c r="L46" s="60">
        <f t="shared" si="13"/>
        <v>175</v>
      </c>
      <c r="M46" s="70">
        <f t="shared" si="13"/>
        <v>180.25</v>
      </c>
      <c r="N46" s="60">
        <f t="shared" si="13"/>
        <v>189</v>
      </c>
      <c r="O46" s="60">
        <f t="shared" si="13"/>
        <v>192.5</v>
      </c>
      <c r="P46" s="60">
        <f t="shared" si="13"/>
        <v>201.25</v>
      </c>
      <c r="Q46" s="60">
        <f t="shared" si="13"/>
        <v>210</v>
      </c>
      <c r="R46" s="69">
        <f t="shared" si="13"/>
        <v>227.5</v>
      </c>
    </row>
    <row r="47" spans="2:23" ht="15.6" x14ac:dyDescent="0.3">
      <c r="H47" s="2" t="s">
        <v>56</v>
      </c>
      <c r="I47" s="69">
        <f>J16</f>
        <v>455</v>
      </c>
      <c r="J47" s="69">
        <f>J16</f>
        <v>455</v>
      </c>
      <c r="K47" s="60">
        <f>K16</f>
        <v>455</v>
      </c>
      <c r="L47" s="60">
        <f t="shared" ref="L47:R47" si="14">L16</f>
        <v>455</v>
      </c>
      <c r="M47" s="70">
        <f t="shared" si="14"/>
        <v>468.65000000000003</v>
      </c>
      <c r="N47" s="60">
        <f t="shared" si="14"/>
        <v>491.40000000000003</v>
      </c>
      <c r="O47" s="60">
        <f t="shared" si="14"/>
        <v>500.5</v>
      </c>
      <c r="P47" s="60">
        <f t="shared" si="14"/>
        <v>523.25</v>
      </c>
      <c r="Q47" s="60">
        <f t="shared" si="14"/>
        <v>546</v>
      </c>
      <c r="R47" s="69">
        <f t="shared" si="14"/>
        <v>591.5</v>
      </c>
    </row>
    <row r="48" spans="2:23" ht="15.6" x14ac:dyDescent="0.3">
      <c r="H48" s="2" t="s">
        <v>75</v>
      </c>
      <c r="I48" s="69">
        <f>J19</f>
        <v>175</v>
      </c>
      <c r="J48" s="69">
        <f>J19</f>
        <v>175</v>
      </c>
      <c r="K48" s="60">
        <f>K19</f>
        <v>175</v>
      </c>
      <c r="L48" s="60">
        <f t="shared" ref="L48:R48" si="15">L19</f>
        <v>175</v>
      </c>
      <c r="M48" s="70">
        <f t="shared" si="15"/>
        <v>180.25</v>
      </c>
      <c r="N48" s="60">
        <f t="shared" si="15"/>
        <v>189</v>
      </c>
      <c r="O48" s="60">
        <f t="shared" si="15"/>
        <v>192.5</v>
      </c>
      <c r="P48" s="60">
        <f t="shared" si="15"/>
        <v>201.25</v>
      </c>
      <c r="Q48" s="60">
        <f t="shared" si="15"/>
        <v>210</v>
      </c>
      <c r="R48" s="69">
        <f t="shared" si="15"/>
        <v>227.5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7D7F-4E39-4278-9620-7E0AE358C054}">
  <sheetPr codeName="Sheet8">
    <tabColor rgb="FF7030A0"/>
  </sheetPr>
  <dimension ref="A1:C25"/>
  <sheetViews>
    <sheetView topLeftCell="A3" zoomScale="200" zoomScaleNormal="200" workbookViewId="0">
      <selection activeCell="B19" sqref="B19"/>
    </sheetView>
  </sheetViews>
  <sheetFormatPr defaultColWidth="9.09765625" defaultRowHeight="10.8" x14ac:dyDescent="0.25"/>
  <cols>
    <col min="1" max="1" width="6.59765625" style="156" customWidth="1"/>
    <col min="2" max="2" width="11.09765625" style="156" customWidth="1"/>
    <col min="3" max="3" width="63" style="156" bestFit="1" customWidth="1"/>
    <col min="4" max="16384" width="9.09765625" style="156"/>
  </cols>
  <sheetData>
    <row r="1" spans="1:3" ht="16.95" customHeight="1" x14ac:dyDescent="0.25">
      <c r="A1" s="187" t="s">
        <v>81</v>
      </c>
      <c r="B1" s="176"/>
    </row>
    <row r="2" spans="1:3" ht="10.199999999999999" customHeight="1" x14ac:dyDescent="0.25">
      <c r="A2" s="176"/>
      <c r="B2" s="176"/>
    </row>
    <row r="3" spans="1:3" x14ac:dyDescent="0.25">
      <c r="A3" s="181" t="s">
        <v>82</v>
      </c>
      <c r="B3" s="181"/>
      <c r="C3" s="182"/>
    </row>
    <row r="4" spans="1:3" x14ac:dyDescent="0.25">
      <c r="A4" s="158" t="s">
        <v>83</v>
      </c>
      <c r="B4" s="158" t="s">
        <v>84</v>
      </c>
      <c r="C4" s="158" t="s">
        <v>85</v>
      </c>
    </row>
    <row r="5" spans="1:3" x14ac:dyDescent="0.25">
      <c r="A5" s="177">
        <v>1</v>
      </c>
      <c r="B5" s="156" t="s">
        <v>86</v>
      </c>
      <c r="C5" s="156" t="s">
        <v>87</v>
      </c>
    </row>
    <row r="7" spans="1:3" x14ac:dyDescent="0.25">
      <c r="A7" s="181" t="s">
        <v>88</v>
      </c>
      <c r="B7" s="182"/>
      <c r="C7" s="182"/>
    </row>
    <row r="8" spans="1:3" x14ac:dyDescent="0.25">
      <c r="A8" s="158" t="s">
        <v>83</v>
      </c>
      <c r="B8" s="158" t="s">
        <v>84</v>
      </c>
      <c r="C8" s="158" t="s">
        <v>85</v>
      </c>
    </row>
    <row r="9" spans="1:3" x14ac:dyDescent="0.25">
      <c r="A9" s="177">
        <v>1</v>
      </c>
      <c r="B9" s="156" t="s">
        <v>89</v>
      </c>
      <c r="C9" s="156" t="s">
        <v>90</v>
      </c>
    </row>
    <row r="10" spans="1:3" x14ac:dyDescent="0.25">
      <c r="A10" s="177">
        <v>2</v>
      </c>
      <c r="B10" s="156" t="s">
        <v>91</v>
      </c>
      <c r="C10" s="156" t="s">
        <v>92</v>
      </c>
    </row>
    <row r="11" spans="1:3" x14ac:dyDescent="0.25">
      <c r="A11" s="177">
        <v>3</v>
      </c>
      <c r="B11" s="156" t="s">
        <v>93</v>
      </c>
      <c r="C11" s="156" t="s">
        <v>94</v>
      </c>
    </row>
    <row r="12" spans="1:3" ht="21.6" x14ac:dyDescent="0.25">
      <c r="A12" s="177">
        <v>4</v>
      </c>
      <c r="B12" s="156" t="s">
        <v>95</v>
      </c>
      <c r="C12" s="184" t="s">
        <v>96</v>
      </c>
    </row>
    <row r="13" spans="1:3" x14ac:dyDescent="0.25">
      <c r="A13" s="177">
        <v>5</v>
      </c>
      <c r="B13" s="156" t="s">
        <v>97</v>
      </c>
      <c r="C13" s="156" t="s">
        <v>98</v>
      </c>
    </row>
    <row r="14" spans="1:3" x14ac:dyDescent="0.25">
      <c r="A14" s="177"/>
    </row>
    <row r="15" spans="1:3" x14ac:dyDescent="0.25">
      <c r="A15" s="181" t="s">
        <v>99</v>
      </c>
      <c r="B15" s="182"/>
      <c r="C15" s="182"/>
    </row>
    <row r="16" spans="1:3" x14ac:dyDescent="0.25">
      <c r="A16" s="158" t="s">
        <v>83</v>
      </c>
      <c r="B16" s="158" t="s">
        <v>84</v>
      </c>
      <c r="C16" s="158" t="s">
        <v>85</v>
      </c>
    </row>
    <row r="17" spans="1:3" x14ac:dyDescent="0.25">
      <c r="A17" s="177">
        <v>1</v>
      </c>
      <c r="B17" s="156" t="s">
        <v>100</v>
      </c>
      <c r="C17" s="156" t="s">
        <v>101</v>
      </c>
    </row>
    <row r="18" spans="1:3" x14ac:dyDescent="0.25">
      <c r="A18" s="183">
        <v>2</v>
      </c>
      <c r="B18" s="156" t="s">
        <v>102</v>
      </c>
      <c r="C18" s="156" t="s">
        <v>103</v>
      </c>
    </row>
    <row r="19" spans="1:3" x14ac:dyDescent="0.25">
      <c r="A19" s="177">
        <v>3</v>
      </c>
      <c r="B19" s="156" t="s">
        <v>104</v>
      </c>
      <c r="C19" s="156" t="s">
        <v>105</v>
      </c>
    </row>
    <row r="20" spans="1:3" x14ac:dyDescent="0.25">
      <c r="A20" s="177">
        <v>4</v>
      </c>
      <c r="B20" s="156" t="s">
        <v>106</v>
      </c>
      <c r="C20" s="156" t="s">
        <v>107</v>
      </c>
    </row>
    <row r="21" spans="1:3" x14ac:dyDescent="0.25">
      <c r="A21" s="177">
        <v>5</v>
      </c>
      <c r="B21" s="156" t="s">
        <v>108</v>
      </c>
      <c r="C21" s="156" t="s">
        <v>109</v>
      </c>
    </row>
    <row r="23" spans="1:3" ht="12.6" x14ac:dyDescent="0.25">
      <c r="A23" s="191" t="s">
        <v>110</v>
      </c>
    </row>
    <row r="25" spans="1:3" x14ac:dyDescent="0.25">
      <c r="A25" s="156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7E6F-F429-4490-A254-59C42B901807}">
  <sheetPr codeName="Sheet9">
    <tabColor rgb="FF7030A0"/>
  </sheetPr>
  <dimension ref="A1:D22"/>
  <sheetViews>
    <sheetView zoomScale="130" zoomScaleNormal="130" workbookViewId="0">
      <selection activeCell="C27" sqref="C27"/>
    </sheetView>
  </sheetViews>
  <sheetFormatPr defaultRowHeight="16.8" x14ac:dyDescent="0.4"/>
  <cols>
    <col min="1" max="1" width="17" style="180" bestFit="1" customWidth="1"/>
    <col min="2" max="2" width="22.3984375" style="180" bestFit="1" customWidth="1"/>
    <col min="3" max="3" width="20.3984375" style="180" bestFit="1" customWidth="1"/>
    <col min="4" max="4" width="11" style="156" bestFit="1" customWidth="1"/>
  </cols>
  <sheetData>
    <row r="1" spans="1:4" x14ac:dyDescent="0.4">
      <c r="A1" s="178" t="s">
        <v>112</v>
      </c>
      <c r="B1" s="178" t="s">
        <v>113</v>
      </c>
      <c r="C1" s="178" t="s">
        <v>114</v>
      </c>
      <c r="D1" s="141" t="s">
        <v>115</v>
      </c>
    </row>
    <row r="2" spans="1:4" x14ac:dyDescent="0.4">
      <c r="A2" s="294">
        <v>46113</v>
      </c>
      <c r="B2" s="294">
        <v>46174</v>
      </c>
      <c r="C2" s="294">
        <v>46143</v>
      </c>
      <c r="D2" s="190">
        <v>1</v>
      </c>
    </row>
    <row r="3" spans="1:4" x14ac:dyDescent="0.4">
      <c r="A3" s="294">
        <v>46143</v>
      </c>
      <c r="B3" s="294">
        <v>46204</v>
      </c>
      <c r="C3" s="294">
        <v>46174</v>
      </c>
      <c r="D3" s="190">
        <v>2</v>
      </c>
    </row>
    <row r="4" spans="1:4" x14ac:dyDescent="0.4">
      <c r="A4" s="294">
        <v>46174</v>
      </c>
      <c r="B4" s="294">
        <v>46235</v>
      </c>
      <c r="C4" s="294">
        <v>46204</v>
      </c>
      <c r="D4" s="190">
        <v>3</v>
      </c>
    </row>
    <row r="5" spans="1:4" x14ac:dyDescent="0.4">
      <c r="A5" s="294">
        <v>46204</v>
      </c>
      <c r="B5" s="294">
        <v>46266</v>
      </c>
      <c r="C5" s="294">
        <v>46235</v>
      </c>
      <c r="D5" s="190">
        <v>4</v>
      </c>
    </row>
    <row r="6" spans="1:4" x14ac:dyDescent="0.4">
      <c r="A6" s="294">
        <v>46235</v>
      </c>
      <c r="B6" s="294">
        <v>46296</v>
      </c>
      <c r="C6" s="294">
        <v>46266</v>
      </c>
      <c r="D6" s="190">
        <v>5</v>
      </c>
    </row>
    <row r="7" spans="1:4" x14ac:dyDescent="0.4">
      <c r="A7" s="294">
        <v>46266</v>
      </c>
      <c r="B7" s="294">
        <v>46327</v>
      </c>
      <c r="C7" s="294">
        <v>46296</v>
      </c>
      <c r="D7" s="190">
        <v>6</v>
      </c>
    </row>
    <row r="8" spans="1:4" x14ac:dyDescent="0.4">
      <c r="A8" s="294">
        <v>46296</v>
      </c>
      <c r="B8" s="294">
        <v>46357</v>
      </c>
      <c r="C8" s="294">
        <v>46327</v>
      </c>
      <c r="D8" s="190">
        <v>7</v>
      </c>
    </row>
    <row r="9" spans="1:4" x14ac:dyDescent="0.4">
      <c r="A9" s="294">
        <v>46327</v>
      </c>
      <c r="B9" s="294">
        <v>46388</v>
      </c>
      <c r="C9" s="294">
        <v>46357</v>
      </c>
      <c r="D9" s="190">
        <v>8</v>
      </c>
    </row>
    <row r="10" spans="1:4" x14ac:dyDescent="0.4">
      <c r="A10" s="294">
        <v>46357</v>
      </c>
      <c r="B10" s="294">
        <v>46419</v>
      </c>
      <c r="C10" s="294">
        <v>46388</v>
      </c>
      <c r="D10" s="190">
        <v>9</v>
      </c>
    </row>
    <row r="11" spans="1:4" x14ac:dyDescent="0.4">
      <c r="A11" s="294">
        <v>46388</v>
      </c>
      <c r="B11" s="294">
        <v>46447</v>
      </c>
      <c r="C11" s="294">
        <v>46419</v>
      </c>
      <c r="D11" s="190">
        <v>10</v>
      </c>
    </row>
    <row r="12" spans="1:4" x14ac:dyDescent="0.4">
      <c r="A12" s="294">
        <v>46419</v>
      </c>
      <c r="B12" s="294">
        <v>46478</v>
      </c>
      <c r="C12" s="294">
        <v>46447</v>
      </c>
      <c r="D12" s="190">
        <v>11</v>
      </c>
    </row>
    <row r="13" spans="1:4" x14ac:dyDescent="0.4">
      <c r="A13" s="294">
        <v>46447</v>
      </c>
      <c r="B13" s="294">
        <v>46508</v>
      </c>
      <c r="C13" s="294">
        <v>46478</v>
      </c>
      <c r="D13" s="190">
        <v>12</v>
      </c>
    </row>
    <row r="14" spans="1:4" x14ac:dyDescent="0.4">
      <c r="A14" s="179"/>
      <c r="B14" s="179"/>
      <c r="C14" s="179"/>
    </row>
    <row r="15" spans="1:4" x14ac:dyDescent="0.4">
      <c r="A15" s="179"/>
      <c r="B15" s="179"/>
      <c r="C15" s="179"/>
    </row>
    <row r="16" spans="1:4" x14ac:dyDescent="0.4">
      <c r="A16" s="142"/>
      <c r="B16" s="142"/>
      <c r="C16" s="142"/>
    </row>
    <row r="17" spans="1:3" x14ac:dyDescent="0.4">
      <c r="A17" s="142"/>
      <c r="B17" s="142"/>
      <c r="C17" s="142"/>
    </row>
    <row r="18" spans="1:3" x14ac:dyDescent="0.4">
      <c r="A18" s="142"/>
      <c r="B18" s="142"/>
      <c r="C18" s="142"/>
    </row>
    <row r="19" spans="1:3" x14ac:dyDescent="0.4">
      <c r="A19" s="142"/>
      <c r="B19" s="142"/>
      <c r="C19" s="142"/>
    </row>
    <row r="20" spans="1:3" x14ac:dyDescent="0.4">
      <c r="A20" s="142"/>
      <c r="B20" s="142"/>
      <c r="C20" s="142"/>
    </row>
    <row r="21" spans="1:3" x14ac:dyDescent="0.4">
      <c r="A21" s="142"/>
      <c r="B21" s="142"/>
      <c r="C21" s="142"/>
    </row>
    <row r="22" spans="1:3" x14ac:dyDescent="0.4">
      <c r="A22" s="142"/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C0FD-BC37-4119-9DFC-F2797ACB7B7A}">
  <sheetPr codeName="Sheet10"/>
  <dimension ref="A1:A12"/>
  <sheetViews>
    <sheetView workbookViewId="0"/>
  </sheetViews>
  <sheetFormatPr defaultRowHeight="16.8" x14ac:dyDescent="0.4"/>
  <sheetData>
    <row r="1" spans="1:1" x14ac:dyDescent="0.4">
      <c r="A1" s="192" t="s">
        <v>116</v>
      </c>
    </row>
    <row r="2" spans="1:1" x14ac:dyDescent="0.4">
      <c r="A2" s="126" t="s">
        <v>14</v>
      </c>
    </row>
    <row r="3" spans="1:1" x14ac:dyDescent="0.4">
      <c r="A3" s="126" t="s">
        <v>16</v>
      </c>
    </row>
    <row r="4" spans="1:1" x14ac:dyDescent="0.4">
      <c r="A4" s="126" t="s">
        <v>20</v>
      </c>
    </row>
    <row r="5" spans="1:1" x14ac:dyDescent="0.4">
      <c r="A5" s="126" t="s">
        <v>35</v>
      </c>
    </row>
    <row r="6" spans="1:1" x14ac:dyDescent="0.4">
      <c r="A6" s="126" t="s">
        <v>37</v>
      </c>
    </row>
    <row r="7" spans="1:1" x14ac:dyDescent="0.4">
      <c r="A7" s="126" t="s">
        <v>26</v>
      </c>
    </row>
    <row r="8" spans="1:1" x14ac:dyDescent="0.4">
      <c r="A8" s="126" t="s">
        <v>32</v>
      </c>
    </row>
    <row r="9" spans="1:1" x14ac:dyDescent="0.4">
      <c r="A9" s="126" t="s">
        <v>42</v>
      </c>
    </row>
    <row r="10" spans="1:1" x14ac:dyDescent="0.4">
      <c r="A10" s="126" t="s">
        <v>29</v>
      </c>
    </row>
    <row r="11" spans="1:1" x14ac:dyDescent="0.4">
      <c r="A11" s="126" t="s">
        <v>43</v>
      </c>
    </row>
    <row r="12" spans="1:1" x14ac:dyDescent="0.4">
      <c r="A12" s="126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3321-5ED2-4651-B718-EC853234C243}">
  <sheetPr codeName="Sheet13">
    <tabColor rgb="FF7030A0"/>
  </sheetPr>
  <dimension ref="A1:D2"/>
  <sheetViews>
    <sheetView zoomScale="130" zoomScaleNormal="130" workbookViewId="0">
      <selection activeCell="C31" sqref="C31"/>
    </sheetView>
  </sheetViews>
  <sheetFormatPr defaultRowHeight="16.8" x14ac:dyDescent="0.4"/>
  <cols>
    <col min="1" max="1" width="17" bestFit="1" customWidth="1"/>
    <col min="2" max="2" width="21" bestFit="1" customWidth="1"/>
    <col min="3" max="3" width="19.09765625" bestFit="1" customWidth="1"/>
    <col min="4" max="4" width="12.09765625" bestFit="1" customWidth="1"/>
  </cols>
  <sheetData>
    <row r="1" spans="1:4" x14ac:dyDescent="0.4">
      <c r="A1" s="178" t="s">
        <v>112</v>
      </c>
      <c r="B1" s="178" t="s">
        <v>113</v>
      </c>
      <c r="C1" s="178" t="s">
        <v>114</v>
      </c>
      <c r="D1" s="141" t="s">
        <v>115</v>
      </c>
    </row>
    <row r="2" spans="1:4" x14ac:dyDescent="0.4">
      <c r="A2" s="294">
        <v>46113</v>
      </c>
      <c r="B2" s="175">
        <f>VLOOKUP(A2,M_Month!A:B,2,FALSE)</f>
        <v>46174</v>
      </c>
      <c r="C2" s="175">
        <f>VLOOKUP(A2,M_Month!A:D,3,FALSE)</f>
        <v>46143</v>
      </c>
      <c r="D2" s="188">
        <f>VLOOKUP(A2,M_Month!A:E,4,FALSE)</f>
        <v>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35E334-93F4-4D90-8C80-DC916A693BD7}">
          <x14:formula1>
            <xm:f>M_Month!$A$2:$A$21</xm:f>
          </x14:formula1>
          <xm:sqref>A2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F24F-CBA5-4988-B2ED-BB4E7D70DF9D}">
  <sheetPr codeName="Sheet11">
    <tabColor rgb="FF7030A0"/>
  </sheetPr>
  <dimension ref="A1:B5"/>
  <sheetViews>
    <sheetView zoomScale="190" zoomScaleNormal="190" workbookViewId="0">
      <selection activeCell="G15" sqref="G15"/>
    </sheetView>
  </sheetViews>
  <sheetFormatPr defaultColWidth="9.09765625" defaultRowHeight="11.4" x14ac:dyDescent="0.25"/>
  <cols>
    <col min="1" max="1" width="14.69921875" style="126" bestFit="1" customWidth="1"/>
    <col min="2" max="2" width="16.5" style="159" bestFit="1" customWidth="1"/>
    <col min="3" max="16384" width="9.09765625" style="126"/>
  </cols>
  <sheetData>
    <row r="1" spans="1:2" x14ac:dyDescent="0.25">
      <c r="A1" s="157" t="s">
        <v>117</v>
      </c>
      <c r="B1" s="158" t="s">
        <v>118</v>
      </c>
    </row>
    <row r="2" spans="1:2" x14ac:dyDescent="0.25">
      <c r="A2" s="126" t="s">
        <v>119</v>
      </c>
      <c r="B2" s="189">
        <v>5000</v>
      </c>
    </row>
    <row r="3" spans="1:2" x14ac:dyDescent="0.25">
      <c r="A3" s="126" t="s">
        <v>120</v>
      </c>
      <c r="B3" s="189">
        <v>5000</v>
      </c>
    </row>
    <row r="4" spans="1:2" x14ac:dyDescent="0.25">
      <c r="A4" s="126" t="s">
        <v>121</v>
      </c>
      <c r="B4" s="189">
        <v>4000</v>
      </c>
    </row>
    <row r="5" spans="1:2" x14ac:dyDescent="0.25">
      <c r="A5" s="126" t="s">
        <v>122</v>
      </c>
      <c r="B5" s="217">
        <v>6000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FA08-D66A-40FF-8E5C-7901B05D88E1}">
  <sheetPr codeName="Sheet16">
    <tabColor rgb="FF7030A0"/>
  </sheetPr>
  <dimension ref="A1:S28"/>
  <sheetViews>
    <sheetView zoomScaleNormal="100" workbookViewId="0">
      <selection activeCell="F84" sqref="F84"/>
    </sheetView>
  </sheetViews>
  <sheetFormatPr defaultColWidth="11.59765625" defaultRowHeight="10.8" x14ac:dyDescent="0.25"/>
  <cols>
    <col min="1" max="4" width="11.59765625" style="133"/>
    <col min="5" max="5" width="11.59765625" style="160"/>
    <col min="6" max="6" width="22.19921875" style="160" bestFit="1" customWidth="1"/>
    <col min="7" max="7" width="23.8984375" style="133" hidden="1" customWidth="1"/>
    <col min="8" max="8" width="24" style="133" hidden="1" customWidth="1"/>
    <col min="9" max="9" width="26.19921875" style="133" hidden="1" customWidth="1"/>
    <col min="10" max="10" width="11.59765625" style="133" hidden="1" customWidth="1"/>
    <col min="11" max="11" width="16.09765625" style="133" hidden="1" customWidth="1"/>
    <col min="12" max="14" width="11.59765625" style="133" hidden="1" customWidth="1"/>
    <col min="15" max="15" width="0" style="133" hidden="1" customWidth="1"/>
    <col min="16" max="16" width="14.09765625" style="133" bestFit="1" customWidth="1"/>
    <col min="17" max="17" width="14" style="133" bestFit="1" customWidth="1"/>
    <col min="18" max="18" width="13.09765625" style="133" bestFit="1" customWidth="1"/>
    <col min="19" max="19" width="12.09765625" style="133" bestFit="1" customWidth="1"/>
    <col min="20" max="16384" width="11.59765625" style="133"/>
  </cols>
  <sheetData>
    <row r="1" spans="1:19" s="136" customFormat="1" ht="35.700000000000003" customHeight="1" x14ac:dyDescent="0.4">
      <c r="A1" s="246" t="s">
        <v>123</v>
      </c>
      <c r="B1" s="246" t="s">
        <v>124</v>
      </c>
      <c r="C1" s="246" t="s">
        <v>125</v>
      </c>
      <c r="D1" s="246" t="s">
        <v>3</v>
      </c>
      <c r="E1" s="325" t="s">
        <v>126</v>
      </c>
      <c r="F1" s="325" t="s">
        <v>127</v>
      </c>
      <c r="G1" s="325" t="s">
        <v>128</v>
      </c>
      <c r="H1" s="247" t="s">
        <v>129</v>
      </c>
      <c r="I1" s="246" t="s">
        <v>130</v>
      </c>
      <c r="J1" s="246" t="s">
        <v>131</v>
      </c>
      <c r="K1" s="246" t="s">
        <v>132</v>
      </c>
      <c r="L1" s="246" t="s">
        <v>133</v>
      </c>
      <c r="M1" s="246" t="s">
        <v>134</v>
      </c>
      <c r="N1" s="246" t="s">
        <v>135</v>
      </c>
      <c r="O1" s="246" t="s">
        <v>136</v>
      </c>
      <c r="P1" s="248" t="s">
        <v>126</v>
      </c>
      <c r="Q1" s="248" t="s">
        <v>137</v>
      </c>
      <c r="R1" s="248" t="s">
        <v>138</v>
      </c>
      <c r="S1" s="248" t="s">
        <v>139</v>
      </c>
    </row>
    <row r="2" spans="1:19" s="136" customFormat="1" ht="20.7" customHeight="1" x14ac:dyDescent="0.3">
      <c r="A2" s="146" t="s">
        <v>140</v>
      </c>
      <c r="B2" s="146">
        <v>2025</v>
      </c>
      <c r="C2" s="147"/>
      <c r="D2" s="147"/>
      <c r="E2" s="146"/>
      <c r="F2" s="249" t="s">
        <v>378</v>
      </c>
      <c r="G2" s="250"/>
      <c r="H2" s="249"/>
      <c r="I2" s="251"/>
      <c r="J2" s="252"/>
      <c r="K2" s="251"/>
      <c r="L2" s="251"/>
      <c r="M2" s="252"/>
      <c r="N2" s="252"/>
      <c r="O2" s="252"/>
      <c r="P2" s="253">
        <v>0</v>
      </c>
      <c r="Q2" s="253" t="e">
        <v>#N/A</v>
      </c>
      <c r="R2" s="253">
        <v>0</v>
      </c>
      <c r="S2" s="253">
        <v>0</v>
      </c>
    </row>
    <row r="3" spans="1:19" s="136" customFormat="1" ht="20.7" customHeight="1" x14ac:dyDescent="0.3">
      <c r="A3" s="146" t="s">
        <v>140</v>
      </c>
      <c r="B3" s="146">
        <v>2025</v>
      </c>
      <c r="C3" s="147"/>
      <c r="D3" s="147"/>
      <c r="E3" s="146"/>
      <c r="F3" s="254">
        <v>222223</v>
      </c>
      <c r="G3" s="255"/>
      <c r="H3" s="249"/>
      <c r="I3" s="251"/>
      <c r="J3" s="252"/>
      <c r="K3" s="251"/>
      <c r="L3" s="251"/>
      <c r="M3" s="252"/>
      <c r="N3" s="252"/>
      <c r="O3" s="252"/>
      <c r="P3" s="253">
        <v>0</v>
      </c>
      <c r="Q3" s="253">
        <v>222222</v>
      </c>
      <c r="R3" s="253">
        <v>222223</v>
      </c>
      <c r="S3" s="253">
        <v>0</v>
      </c>
    </row>
    <row r="4" spans="1:19" s="136" customFormat="1" ht="25.5" customHeight="1" x14ac:dyDescent="0.3">
      <c r="A4" s="146" t="s">
        <v>140</v>
      </c>
      <c r="B4" s="146">
        <v>2025</v>
      </c>
      <c r="C4" s="147"/>
      <c r="D4" s="147"/>
      <c r="E4" s="146"/>
      <c r="F4" s="254">
        <v>222234</v>
      </c>
      <c r="G4" s="255"/>
      <c r="H4" s="249"/>
      <c r="I4" s="251"/>
      <c r="J4" s="252"/>
      <c r="K4" s="251"/>
      <c r="L4" s="251"/>
      <c r="M4" s="252"/>
      <c r="N4" s="252"/>
      <c r="O4" s="252"/>
      <c r="P4" s="253">
        <v>0</v>
      </c>
      <c r="Q4" s="253">
        <v>222222</v>
      </c>
      <c r="R4" s="253">
        <v>222234</v>
      </c>
      <c r="S4" s="253">
        <v>0</v>
      </c>
    </row>
    <row r="5" spans="1:19" s="136" customFormat="1" ht="20.7" customHeight="1" x14ac:dyDescent="0.3">
      <c r="A5" s="146" t="s">
        <v>140</v>
      </c>
      <c r="B5" s="146">
        <v>2025</v>
      </c>
      <c r="C5" s="147"/>
      <c r="D5" s="147"/>
      <c r="E5" s="146"/>
      <c r="F5" s="254">
        <v>222235</v>
      </c>
      <c r="G5" s="255"/>
      <c r="H5" s="249"/>
      <c r="I5" s="251"/>
      <c r="J5" s="252"/>
      <c r="K5" s="251"/>
      <c r="L5" s="251"/>
      <c r="M5" s="252"/>
      <c r="N5" s="252"/>
      <c r="O5" s="252"/>
      <c r="P5" s="253">
        <v>0</v>
      </c>
      <c r="Q5" s="253">
        <v>222223</v>
      </c>
      <c r="R5" s="253">
        <v>222223</v>
      </c>
      <c r="S5" s="253">
        <v>0</v>
      </c>
    </row>
    <row r="6" spans="1:19" s="136" customFormat="1" ht="20.7" customHeight="1" x14ac:dyDescent="0.3">
      <c r="A6" s="146" t="s">
        <v>140</v>
      </c>
      <c r="B6" s="146">
        <v>2025</v>
      </c>
      <c r="C6" s="147"/>
      <c r="D6" s="147"/>
      <c r="E6" s="146"/>
      <c r="F6" s="254">
        <v>222236</v>
      </c>
      <c r="G6" s="255"/>
      <c r="H6" s="249"/>
      <c r="I6" s="251"/>
      <c r="J6" s="252"/>
      <c r="K6" s="251"/>
      <c r="L6" s="251"/>
      <c r="M6" s="252"/>
      <c r="N6" s="252"/>
      <c r="O6" s="252"/>
      <c r="P6" s="253">
        <v>0</v>
      </c>
      <c r="Q6" s="253">
        <v>222234</v>
      </c>
      <c r="R6" s="253">
        <v>222234</v>
      </c>
      <c r="S6" s="253">
        <v>0</v>
      </c>
    </row>
    <row r="7" spans="1:19" s="136" customFormat="1" ht="20.7" customHeight="1" x14ac:dyDescent="0.3">
      <c r="A7" s="146" t="s">
        <v>140</v>
      </c>
      <c r="B7" s="146">
        <v>2025</v>
      </c>
      <c r="C7" s="147"/>
      <c r="D7" s="147"/>
      <c r="E7" s="146"/>
      <c r="F7" s="254">
        <v>222237</v>
      </c>
      <c r="G7" s="255"/>
      <c r="H7" s="249"/>
      <c r="I7" s="251"/>
      <c r="J7" s="252"/>
      <c r="K7" s="251"/>
      <c r="L7" s="251"/>
      <c r="M7" s="252"/>
      <c r="N7" s="252"/>
      <c r="O7" s="252"/>
      <c r="P7" s="253">
        <v>0</v>
      </c>
      <c r="Q7" s="253">
        <v>222223</v>
      </c>
      <c r="R7" s="253">
        <v>222223</v>
      </c>
      <c r="S7" s="253">
        <v>0</v>
      </c>
    </row>
    <row r="8" spans="1:19" s="136" customFormat="1" ht="20.7" customHeight="1" x14ac:dyDescent="0.3">
      <c r="A8" s="146" t="s">
        <v>140</v>
      </c>
      <c r="B8" s="146">
        <v>2025</v>
      </c>
      <c r="C8" s="147"/>
      <c r="D8" s="147"/>
      <c r="E8" s="146"/>
      <c r="F8" s="254">
        <v>222238</v>
      </c>
      <c r="G8" s="255"/>
      <c r="H8" s="249"/>
      <c r="I8" s="251"/>
      <c r="J8" s="252"/>
      <c r="K8" s="251"/>
      <c r="L8" s="251"/>
      <c r="M8" s="252"/>
      <c r="N8" s="252"/>
      <c r="O8" s="252"/>
      <c r="P8" s="253">
        <v>0</v>
      </c>
      <c r="Q8" s="253">
        <v>222234</v>
      </c>
      <c r="R8" s="253">
        <v>222234</v>
      </c>
      <c r="S8" s="253">
        <v>0</v>
      </c>
    </row>
    <row r="9" spans="1:19" s="136" customFormat="1" ht="20.7" customHeight="1" x14ac:dyDescent="0.3">
      <c r="A9" s="146" t="s">
        <v>140</v>
      </c>
      <c r="B9" s="146">
        <v>2025</v>
      </c>
      <c r="C9" s="147"/>
      <c r="D9" s="147"/>
      <c r="E9" s="146"/>
      <c r="F9" s="254">
        <v>222208</v>
      </c>
      <c r="G9" s="255"/>
      <c r="H9" s="249"/>
      <c r="I9" s="251"/>
      <c r="J9" s="252"/>
      <c r="K9" s="251"/>
      <c r="L9" s="251"/>
      <c r="M9" s="252"/>
      <c r="N9" s="252"/>
      <c r="O9" s="252"/>
      <c r="P9" s="253">
        <v>0</v>
      </c>
      <c r="Q9" s="253">
        <v>222234</v>
      </c>
      <c r="R9" s="253">
        <v>222234</v>
      </c>
      <c r="S9" s="253">
        <v>0</v>
      </c>
    </row>
    <row r="10" spans="1:19" s="136" customFormat="1" ht="20.7" customHeight="1" x14ac:dyDescent="0.3">
      <c r="A10" s="146" t="s">
        <v>140</v>
      </c>
      <c r="B10" s="146">
        <v>2025</v>
      </c>
      <c r="C10" s="147"/>
      <c r="D10" s="147"/>
      <c r="E10" s="256">
        <v>5490000718</v>
      </c>
      <c r="F10" s="257">
        <v>222209</v>
      </c>
      <c r="G10" s="258"/>
      <c r="H10" s="249"/>
      <c r="I10" s="251"/>
      <c r="J10" s="252"/>
      <c r="K10" s="251"/>
      <c r="L10" s="251"/>
      <c r="M10" s="252"/>
      <c r="N10" s="252"/>
      <c r="O10" s="252"/>
      <c r="P10" s="253">
        <v>5490000718</v>
      </c>
      <c r="Q10" s="253">
        <v>222208</v>
      </c>
      <c r="R10" s="253">
        <v>222234</v>
      </c>
      <c r="S10" s="253">
        <v>0</v>
      </c>
    </row>
    <row r="11" spans="1:19" s="136" customFormat="1" ht="20.7" customHeight="1" x14ac:dyDescent="0.3">
      <c r="A11" s="146" t="s">
        <v>140</v>
      </c>
      <c r="B11" s="146">
        <v>2025</v>
      </c>
      <c r="C11" s="146"/>
      <c r="D11" s="147"/>
      <c r="E11" s="256">
        <v>5490000706</v>
      </c>
      <c r="F11" s="257">
        <v>222210</v>
      </c>
      <c r="G11" s="258"/>
      <c r="H11" s="249"/>
      <c r="I11" s="251"/>
      <c r="J11" s="252"/>
      <c r="K11" s="251"/>
      <c r="L11" s="251"/>
      <c r="M11" s="252"/>
      <c r="N11" s="252"/>
      <c r="O11" s="252"/>
      <c r="P11" s="253">
        <v>5490000706</v>
      </c>
      <c r="Q11" s="253">
        <v>222208</v>
      </c>
      <c r="R11" s="253">
        <v>222234</v>
      </c>
      <c r="S11" s="253">
        <v>0</v>
      </c>
    </row>
    <row r="12" spans="1:19" s="136" customFormat="1" ht="20.7" customHeight="1" x14ac:dyDescent="0.3">
      <c r="A12" s="146" t="s">
        <v>140</v>
      </c>
      <c r="B12" s="146">
        <v>2025</v>
      </c>
      <c r="C12" s="146"/>
      <c r="D12" s="147"/>
      <c r="E12" s="259" t="s">
        <v>388</v>
      </c>
      <c r="F12" s="257">
        <v>222211</v>
      </c>
      <c r="G12" s="258"/>
      <c r="H12" s="249"/>
      <c r="I12" s="251"/>
      <c r="J12" s="252"/>
      <c r="K12" s="251"/>
      <c r="L12" s="251"/>
      <c r="M12" s="252"/>
      <c r="N12" s="252"/>
      <c r="O12" s="252"/>
      <c r="P12" s="253">
        <v>5490000707</v>
      </c>
      <c r="Q12" s="253">
        <v>222208</v>
      </c>
      <c r="R12" s="253">
        <v>222234</v>
      </c>
      <c r="S12" s="253">
        <v>0</v>
      </c>
    </row>
    <row r="13" spans="1:19" s="136" customFormat="1" ht="20.7" customHeight="1" x14ac:dyDescent="0.3">
      <c r="A13" s="146" t="s">
        <v>140</v>
      </c>
      <c r="B13" s="146">
        <v>2025</v>
      </c>
      <c r="C13" s="146"/>
      <c r="D13" s="147"/>
      <c r="E13" s="259" t="s">
        <v>389</v>
      </c>
      <c r="F13" s="257">
        <v>222212</v>
      </c>
      <c r="G13" s="258"/>
      <c r="H13" s="249"/>
      <c r="I13" s="251"/>
      <c r="J13" s="252"/>
      <c r="K13" s="251"/>
      <c r="L13" s="251"/>
      <c r="M13" s="252"/>
      <c r="N13" s="252"/>
      <c r="O13" s="252"/>
      <c r="P13" s="253">
        <v>5490000701</v>
      </c>
      <c r="Q13" s="253">
        <v>222208</v>
      </c>
      <c r="R13" s="253">
        <v>222234</v>
      </c>
      <c r="S13" s="253">
        <v>0</v>
      </c>
    </row>
    <row r="14" spans="1:19" s="136" customFormat="1" ht="20.7" customHeight="1" x14ac:dyDescent="0.3">
      <c r="A14" s="146" t="s">
        <v>140</v>
      </c>
      <c r="B14" s="146">
        <v>2025</v>
      </c>
      <c r="C14" s="146"/>
      <c r="D14" s="147"/>
      <c r="E14" s="259" t="s">
        <v>390</v>
      </c>
      <c r="F14" s="254">
        <v>222218</v>
      </c>
      <c r="G14" s="258"/>
      <c r="H14" s="249"/>
      <c r="I14" s="251"/>
      <c r="J14" s="252"/>
      <c r="K14" s="251"/>
      <c r="L14" s="251"/>
      <c r="M14" s="252"/>
      <c r="N14" s="252"/>
      <c r="O14" s="252"/>
      <c r="P14" s="253">
        <v>5490000721</v>
      </c>
      <c r="Q14" s="253">
        <v>222208</v>
      </c>
      <c r="R14" s="253">
        <v>222234</v>
      </c>
      <c r="S14" s="253">
        <v>0</v>
      </c>
    </row>
    <row r="15" spans="1:19" s="136" customFormat="1" ht="20.7" customHeight="1" x14ac:dyDescent="0.3">
      <c r="A15" s="146" t="s">
        <v>140</v>
      </c>
      <c r="B15" s="146">
        <v>2025</v>
      </c>
      <c r="C15" s="146"/>
      <c r="D15" s="147"/>
      <c r="E15" s="259" t="s">
        <v>391</v>
      </c>
      <c r="F15" s="257">
        <v>222219</v>
      </c>
      <c r="G15" s="258"/>
      <c r="H15" s="249"/>
      <c r="I15" s="251"/>
      <c r="J15" s="252"/>
      <c r="K15" s="251"/>
      <c r="L15" s="251"/>
      <c r="M15" s="252"/>
      <c r="N15" s="252"/>
      <c r="O15" s="252"/>
      <c r="P15" s="253">
        <v>5490000719</v>
      </c>
      <c r="Q15" s="253">
        <v>222208</v>
      </c>
      <c r="R15" s="253">
        <v>222234</v>
      </c>
      <c r="S15" s="253">
        <v>0</v>
      </c>
    </row>
    <row r="16" spans="1:19" ht="13.2" x14ac:dyDescent="0.3">
      <c r="A16" s="146" t="s">
        <v>140</v>
      </c>
      <c r="B16" s="146">
        <v>2025</v>
      </c>
      <c r="C16" s="146"/>
      <c r="D16" s="147"/>
      <c r="E16" s="259" t="s">
        <v>392</v>
      </c>
      <c r="F16" s="257">
        <v>222220</v>
      </c>
      <c r="G16" s="250"/>
      <c r="H16" s="260"/>
      <c r="I16" s="251"/>
      <c r="J16" s="252"/>
      <c r="K16" s="251"/>
      <c r="L16" s="251"/>
      <c r="M16" s="252"/>
      <c r="N16" s="252"/>
      <c r="O16" s="252"/>
      <c r="P16" s="253">
        <v>5490000725</v>
      </c>
      <c r="Q16" s="253">
        <v>222238</v>
      </c>
      <c r="R16" s="253">
        <v>222234</v>
      </c>
      <c r="S16" s="253">
        <v>0</v>
      </c>
    </row>
    <row r="17" spans="1:19" ht="13.2" x14ac:dyDescent="0.3">
      <c r="A17" s="146" t="s">
        <v>140</v>
      </c>
      <c r="B17" s="146">
        <v>2025</v>
      </c>
      <c r="C17" s="146"/>
      <c r="D17" s="147"/>
      <c r="E17" s="259" t="s">
        <v>393</v>
      </c>
      <c r="F17" s="257">
        <v>222201</v>
      </c>
      <c r="G17" s="250"/>
      <c r="H17" s="260"/>
      <c r="I17" s="251"/>
      <c r="J17" s="252"/>
      <c r="K17" s="251"/>
      <c r="L17" s="251"/>
      <c r="M17" s="252"/>
      <c r="N17" s="252"/>
      <c r="O17" s="252"/>
      <c r="P17" s="253">
        <v>5490000702</v>
      </c>
      <c r="Q17" s="253">
        <v>222238</v>
      </c>
      <c r="R17" s="253">
        <v>222234</v>
      </c>
      <c r="S17" s="253">
        <v>0</v>
      </c>
    </row>
    <row r="18" spans="1:19" ht="13.2" x14ac:dyDescent="0.3">
      <c r="A18" s="146" t="s">
        <v>140</v>
      </c>
      <c r="B18" s="146">
        <v>2025</v>
      </c>
      <c r="C18" s="146"/>
      <c r="D18" s="147"/>
      <c r="E18" s="259" t="s">
        <v>394</v>
      </c>
      <c r="F18" s="254">
        <v>222202</v>
      </c>
      <c r="G18" s="255"/>
      <c r="H18" s="260"/>
      <c r="I18" s="251"/>
      <c r="J18" s="252"/>
      <c r="K18" s="251"/>
      <c r="L18" s="251"/>
      <c r="M18" s="252"/>
      <c r="N18" s="252"/>
      <c r="O18" s="252"/>
      <c r="P18" s="253">
        <v>5490000708</v>
      </c>
      <c r="Q18" s="253">
        <v>222238</v>
      </c>
      <c r="R18" s="253">
        <v>222234</v>
      </c>
      <c r="S18" s="253">
        <v>0</v>
      </c>
    </row>
    <row r="19" spans="1:19" ht="13.2" x14ac:dyDescent="0.3">
      <c r="A19" s="146" t="s">
        <v>140</v>
      </c>
      <c r="B19" s="146">
        <v>2025</v>
      </c>
      <c r="C19" s="146"/>
      <c r="D19" s="147"/>
      <c r="E19" s="259" t="s">
        <v>395</v>
      </c>
      <c r="F19" s="254">
        <v>222203</v>
      </c>
      <c r="G19" s="255"/>
      <c r="H19" s="260"/>
      <c r="I19" s="251"/>
      <c r="J19" s="252"/>
      <c r="K19" s="251"/>
      <c r="L19" s="251"/>
      <c r="M19" s="252"/>
      <c r="N19" s="252"/>
      <c r="O19" s="252"/>
      <c r="P19" s="253">
        <v>5490000704</v>
      </c>
      <c r="Q19" s="253">
        <v>222238</v>
      </c>
      <c r="R19" s="253">
        <v>222234</v>
      </c>
      <c r="S19" s="253">
        <v>0</v>
      </c>
    </row>
    <row r="20" spans="1:19" ht="13.2" x14ac:dyDescent="0.3">
      <c r="A20" s="146" t="s">
        <v>140</v>
      </c>
      <c r="B20" s="146">
        <v>2025</v>
      </c>
      <c r="C20" s="146"/>
      <c r="D20" s="147"/>
      <c r="E20" s="259" t="s">
        <v>396</v>
      </c>
      <c r="F20" s="257">
        <v>222204</v>
      </c>
      <c r="G20" s="250"/>
      <c r="H20" s="260"/>
      <c r="I20" s="251"/>
      <c r="J20" s="252"/>
      <c r="K20" s="251"/>
      <c r="L20" s="251"/>
      <c r="M20" s="252"/>
      <c r="N20" s="252"/>
      <c r="O20" s="252"/>
      <c r="P20" s="253">
        <v>5490000717</v>
      </c>
      <c r="Q20" s="253">
        <v>222237</v>
      </c>
      <c r="R20" s="253">
        <v>222223</v>
      </c>
      <c r="S20" s="253">
        <v>0</v>
      </c>
    </row>
    <row r="21" spans="1:19" ht="13.2" x14ac:dyDescent="0.3">
      <c r="A21" s="146" t="s">
        <v>140</v>
      </c>
      <c r="B21" s="146">
        <v>2025</v>
      </c>
      <c r="C21" s="146"/>
      <c r="D21" s="147"/>
      <c r="E21" s="259" t="s">
        <v>397</v>
      </c>
      <c r="F21" s="254">
        <v>222205</v>
      </c>
      <c r="G21" s="255"/>
      <c r="H21" s="260"/>
      <c r="I21" s="251"/>
      <c r="J21" s="252"/>
      <c r="K21" s="251"/>
      <c r="L21" s="251"/>
      <c r="M21" s="252"/>
      <c r="N21" s="252"/>
      <c r="O21" s="252"/>
      <c r="P21" s="253">
        <v>5490000703</v>
      </c>
      <c r="Q21" s="253">
        <v>222237</v>
      </c>
      <c r="R21" s="253">
        <v>222223</v>
      </c>
      <c r="S21" s="253">
        <v>0</v>
      </c>
    </row>
    <row r="22" spans="1:19" ht="13.2" x14ac:dyDescent="0.3">
      <c r="A22" s="146" t="s">
        <v>140</v>
      </c>
      <c r="B22" s="146">
        <v>2025</v>
      </c>
      <c r="C22" s="146"/>
      <c r="D22" s="147"/>
      <c r="E22" s="259" t="s">
        <v>398</v>
      </c>
      <c r="F22" s="257">
        <v>222206</v>
      </c>
      <c r="G22" s="250"/>
      <c r="H22" s="260"/>
      <c r="I22" s="251"/>
      <c r="J22" s="252"/>
      <c r="K22" s="251"/>
      <c r="L22" s="251"/>
      <c r="M22" s="252"/>
      <c r="N22" s="252"/>
      <c r="O22" s="252"/>
      <c r="P22" s="253">
        <v>5490000709</v>
      </c>
      <c r="Q22" s="253">
        <v>222237</v>
      </c>
      <c r="R22" s="253">
        <v>222223</v>
      </c>
      <c r="S22" s="253">
        <v>0</v>
      </c>
    </row>
    <row r="23" spans="1:19" ht="13.2" x14ac:dyDescent="0.3">
      <c r="A23" s="146" t="s">
        <v>140</v>
      </c>
      <c r="B23" s="146">
        <v>2025</v>
      </c>
      <c r="C23" s="146"/>
      <c r="D23" s="147"/>
      <c r="E23" s="259" t="s">
        <v>399</v>
      </c>
      <c r="F23" s="257">
        <v>222213</v>
      </c>
      <c r="G23" s="250"/>
      <c r="H23" s="260"/>
      <c r="I23" s="251"/>
      <c r="J23" s="252"/>
      <c r="K23" s="251"/>
      <c r="L23" s="251"/>
      <c r="M23" s="252"/>
      <c r="N23" s="252"/>
      <c r="O23" s="252"/>
      <c r="P23" s="253">
        <v>5490000713</v>
      </c>
      <c r="Q23" s="253">
        <v>222237</v>
      </c>
      <c r="R23" s="253">
        <v>222223</v>
      </c>
      <c r="S23" s="253">
        <v>0</v>
      </c>
    </row>
    <row r="24" spans="1:19" ht="13.2" x14ac:dyDescent="0.3">
      <c r="A24" s="146" t="s">
        <v>140</v>
      </c>
      <c r="B24" s="146">
        <v>2025</v>
      </c>
      <c r="C24" s="146"/>
      <c r="D24" s="147"/>
      <c r="E24" s="259" t="s">
        <v>400</v>
      </c>
      <c r="F24" s="257">
        <v>222214</v>
      </c>
      <c r="G24" s="250"/>
      <c r="H24" s="260"/>
      <c r="I24" s="251"/>
      <c r="J24" s="252"/>
      <c r="K24" s="251"/>
      <c r="L24" s="251"/>
      <c r="M24" s="252"/>
      <c r="N24" s="252"/>
      <c r="O24" s="252"/>
      <c r="P24" s="253">
        <v>5490000710</v>
      </c>
      <c r="Q24" s="253">
        <v>222236</v>
      </c>
      <c r="R24" s="253">
        <v>222234</v>
      </c>
      <c r="S24" s="253">
        <v>0</v>
      </c>
    </row>
    <row r="25" spans="1:19" ht="13.2" x14ac:dyDescent="0.3">
      <c r="A25" s="146" t="s">
        <v>140</v>
      </c>
      <c r="B25" s="146">
        <v>2025</v>
      </c>
      <c r="C25" s="146"/>
      <c r="D25" s="147"/>
      <c r="E25" s="259" t="s">
        <v>401</v>
      </c>
      <c r="F25" s="254">
        <v>222215</v>
      </c>
      <c r="G25" s="255"/>
      <c r="H25" s="260"/>
      <c r="I25" s="251"/>
      <c r="J25" s="252"/>
      <c r="K25" s="251"/>
      <c r="L25" s="251"/>
      <c r="M25" s="252"/>
      <c r="N25" s="252"/>
      <c r="O25" s="252"/>
      <c r="P25" s="253">
        <v>5490000720</v>
      </c>
      <c r="Q25" s="253">
        <v>222235</v>
      </c>
      <c r="R25" s="253">
        <v>222223</v>
      </c>
      <c r="S25" s="253">
        <v>0</v>
      </c>
    </row>
    <row r="26" spans="1:19" ht="13.2" x14ac:dyDescent="0.3">
      <c r="A26" s="146" t="s">
        <v>140</v>
      </c>
      <c r="B26" s="146">
        <v>2025</v>
      </c>
      <c r="C26" s="146"/>
      <c r="D26" s="147"/>
      <c r="E26" s="259" t="s">
        <v>402</v>
      </c>
      <c r="F26" s="257">
        <v>222216</v>
      </c>
      <c r="G26" s="250"/>
      <c r="H26" s="260"/>
      <c r="I26" s="251"/>
      <c r="J26" s="252"/>
      <c r="K26" s="251"/>
      <c r="L26" s="251"/>
      <c r="M26" s="252"/>
      <c r="N26" s="252"/>
      <c r="O26" s="252"/>
      <c r="P26" s="253">
        <v>5490000714</v>
      </c>
      <c r="Q26" s="253">
        <v>222235</v>
      </c>
      <c r="R26" s="253">
        <v>222223</v>
      </c>
      <c r="S26" s="253">
        <v>0</v>
      </c>
    </row>
    <row r="27" spans="1:19" ht="13.2" x14ac:dyDescent="0.3">
      <c r="A27" s="146" t="s">
        <v>140</v>
      </c>
      <c r="B27" s="146">
        <v>2025</v>
      </c>
      <c r="C27" s="146"/>
      <c r="D27" s="147"/>
      <c r="E27" s="259" t="s">
        <v>403</v>
      </c>
      <c r="F27" s="257">
        <v>222207</v>
      </c>
      <c r="G27" s="255"/>
      <c r="H27" s="260"/>
      <c r="I27" s="251"/>
      <c r="J27" s="252"/>
      <c r="K27" s="251"/>
      <c r="L27" s="251"/>
      <c r="M27" s="252"/>
      <c r="N27" s="252"/>
      <c r="O27" s="252"/>
      <c r="P27" s="253">
        <v>5490000705</v>
      </c>
      <c r="Q27" s="253">
        <v>222235</v>
      </c>
      <c r="R27" s="253">
        <v>222223</v>
      </c>
      <c r="S27" s="253">
        <v>0</v>
      </c>
    </row>
    <row r="28" spans="1:19" ht="13.8" thickBot="1" x14ac:dyDescent="0.35">
      <c r="A28" s="144" t="s">
        <v>140</v>
      </c>
      <c r="B28" s="144">
        <v>2025</v>
      </c>
      <c r="C28" s="144"/>
      <c r="D28" s="145"/>
      <c r="E28" s="261" t="s">
        <v>404</v>
      </c>
      <c r="F28" s="262">
        <v>222229</v>
      </c>
      <c r="G28" s="263"/>
      <c r="H28" s="264"/>
      <c r="I28" s="265"/>
      <c r="J28" s="266"/>
      <c r="K28" s="265"/>
      <c r="L28" s="265"/>
      <c r="M28" s="266"/>
      <c r="N28" s="266"/>
      <c r="O28" s="266"/>
      <c r="P28" s="267">
        <v>5490000711</v>
      </c>
      <c r="Q28" s="267">
        <v>222235</v>
      </c>
      <c r="R28" s="267">
        <v>222223</v>
      </c>
      <c r="S28" s="267">
        <v>0</v>
      </c>
    </row>
  </sheetData>
  <autoFilter ref="A1:S15" xr:uid="{4448FA08-D66A-40FF-8E5C-7901B05D88E1}"/>
  <phoneticPr fontId="10" type="noConversion"/>
  <conditionalFormatting sqref="O2:O28">
    <cfRule type="containsText" dxfId="1" priority="1" operator="containsText" text="ยังไม่ตรวจสอบ">
      <formula>NOT(ISERROR(SEARCH("ยังไม่ตรวจสอบ",O2)))</formula>
    </cfRule>
    <cfRule type="containsText" dxfId="0" priority="2" operator="containsText" text="ตรวจสอบแล้ว">
      <formula>NOT(ISERROR(SEARCH("ตรวจสอบแล้ว",O2)))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93C8-8631-4154-BDA0-B7253E55B980}">
  <sheetPr codeName="Sheet15">
    <tabColor rgb="FF7030A0"/>
  </sheetPr>
  <dimension ref="A1:P222"/>
  <sheetViews>
    <sheetView zoomScale="120" zoomScaleNormal="120" workbookViewId="0">
      <selection activeCell="B84" sqref="B84"/>
    </sheetView>
  </sheetViews>
  <sheetFormatPr defaultColWidth="9.09765625" defaultRowHeight="10.8" x14ac:dyDescent="0.25"/>
  <cols>
    <col min="1" max="1" width="15.59765625" style="356" customWidth="1"/>
    <col min="2" max="2" width="20.59765625" style="190" bestFit="1" customWidth="1"/>
    <col min="3" max="3" width="13.5" style="356" bestFit="1" customWidth="1"/>
    <col min="4" max="4" width="18.09765625" style="190" customWidth="1"/>
    <col min="5" max="14" width="11.5" style="156" bestFit="1" customWidth="1"/>
    <col min="15" max="16384" width="9.09765625" style="156"/>
  </cols>
  <sheetData>
    <row r="1" spans="1:16" x14ac:dyDescent="0.25">
      <c r="A1" s="341" t="s">
        <v>126</v>
      </c>
      <c r="B1" s="341" t="s">
        <v>244</v>
      </c>
      <c r="C1" s="341" t="s">
        <v>245</v>
      </c>
      <c r="D1" s="341" t="s">
        <v>246</v>
      </c>
      <c r="E1" s="357" t="s">
        <v>247</v>
      </c>
      <c r="F1" s="357" t="s">
        <v>248</v>
      </c>
      <c r="G1" s="357" t="s">
        <v>249</v>
      </c>
      <c r="H1" s="357" t="s">
        <v>250</v>
      </c>
      <c r="I1" s="357" t="s">
        <v>251</v>
      </c>
      <c r="J1" s="357" t="s">
        <v>252</v>
      </c>
      <c r="K1" s="357" t="s">
        <v>253</v>
      </c>
      <c r="L1" s="357" t="s">
        <v>254</v>
      </c>
      <c r="M1" s="357" t="s">
        <v>140</v>
      </c>
      <c r="N1" s="357" t="s">
        <v>255</v>
      </c>
      <c r="O1" s="357" t="s">
        <v>256</v>
      </c>
      <c r="P1" s="357" t="s">
        <v>257</v>
      </c>
    </row>
    <row r="2" spans="1:16" x14ac:dyDescent="0.25">
      <c r="A2" s="353">
        <f>_xlfn.IFNA(VLOOKUP(B2,Mapping!C:D,2,FALSE),C2)</f>
        <v>5490000725</v>
      </c>
      <c r="B2" s="355" t="str">
        <f>C2&amp;D2</f>
        <v>5490000725BD</v>
      </c>
      <c r="C2" s="341">
        <v>5490000725</v>
      </c>
      <c r="D2" s="355" t="s">
        <v>407</v>
      </c>
      <c r="E2" s="358"/>
      <c r="F2" s="358"/>
      <c r="G2" s="358"/>
      <c r="H2" s="358"/>
      <c r="I2" s="358"/>
      <c r="J2" s="358"/>
      <c r="K2" s="358"/>
      <c r="L2" s="358"/>
      <c r="M2" s="358"/>
      <c r="N2" s="358">
        <v>54158.999999460262</v>
      </c>
      <c r="O2" s="226">
        <v>72859.99999927546</v>
      </c>
      <c r="P2" s="226">
        <v>77300.999999231455</v>
      </c>
    </row>
    <row r="3" spans="1:16" x14ac:dyDescent="0.25">
      <c r="A3" s="353">
        <f>_xlfn.IFNA(VLOOKUP(B3,Mapping!C:D,2,FALSE),C3)</f>
        <v>5490000725</v>
      </c>
      <c r="B3" s="355" t="str">
        <f t="shared" ref="B3:B66" si="0">C3&amp;D3</f>
        <v>5490000725YY</v>
      </c>
      <c r="C3" s="341">
        <v>5490000725</v>
      </c>
      <c r="D3" s="355" t="s">
        <v>412</v>
      </c>
      <c r="E3" s="358"/>
      <c r="F3" s="358"/>
      <c r="G3" s="358"/>
      <c r="H3" s="358"/>
      <c r="I3" s="358"/>
      <c r="J3" s="358"/>
      <c r="K3" s="358"/>
      <c r="L3" s="358"/>
      <c r="M3" s="358"/>
      <c r="N3" s="358">
        <v>4682.9999999266156</v>
      </c>
      <c r="O3" s="226">
        <v>5154.9999999125776</v>
      </c>
      <c r="P3" s="226">
        <v>3891.9999999313573</v>
      </c>
    </row>
    <row r="4" spans="1:16" x14ac:dyDescent="0.25">
      <c r="A4" s="353">
        <f>_xlfn.IFNA(VLOOKUP(B4,Mapping!C:D,2,FALSE),C4)</f>
        <v>5490000725</v>
      </c>
      <c r="B4" s="355" t="str">
        <f t="shared" si="0"/>
        <v>5490000725AJ</v>
      </c>
      <c r="C4" s="341">
        <v>5490000725</v>
      </c>
      <c r="D4" s="355" t="s">
        <v>405</v>
      </c>
      <c r="E4" s="358"/>
      <c r="F4" s="358"/>
      <c r="G4" s="358"/>
      <c r="H4" s="358"/>
      <c r="I4" s="358"/>
      <c r="J4" s="358"/>
      <c r="K4" s="358"/>
      <c r="L4" s="358"/>
      <c r="M4" s="358"/>
      <c r="N4" s="358">
        <v>3291.2000000000003</v>
      </c>
      <c r="O4" s="226">
        <v>3803</v>
      </c>
      <c r="P4" s="226">
        <v>3996.4</v>
      </c>
    </row>
    <row r="5" spans="1:16" x14ac:dyDescent="0.25">
      <c r="A5" s="353">
        <f>_xlfn.IFNA(VLOOKUP(B5,Mapping!C:D,2,FALSE),C5)</f>
        <v>5490000725</v>
      </c>
      <c r="B5" s="355" t="str">
        <f t="shared" si="0"/>
        <v>5490000725RD</v>
      </c>
      <c r="C5" s="341">
        <v>5490000725</v>
      </c>
      <c r="D5" s="355" t="s">
        <v>406</v>
      </c>
      <c r="E5" s="358"/>
      <c r="F5" s="358"/>
      <c r="G5" s="358"/>
      <c r="H5" s="358"/>
      <c r="I5" s="358"/>
      <c r="J5" s="358"/>
      <c r="K5" s="358"/>
      <c r="L5" s="358"/>
      <c r="M5" s="358"/>
      <c r="N5" s="358">
        <v>1525.26</v>
      </c>
      <c r="O5" s="226">
        <v>1817.3599999999997</v>
      </c>
      <c r="P5" s="226">
        <v>2096.1</v>
      </c>
    </row>
    <row r="6" spans="1:16" x14ac:dyDescent="0.25">
      <c r="A6" s="353">
        <f>_xlfn.IFNA(VLOOKUP(B6,Mapping!C:D,2,FALSE),C6)</f>
        <v>5490000725</v>
      </c>
      <c r="B6" s="355" t="str">
        <f t="shared" si="0"/>
        <v>5490000725PDC</v>
      </c>
      <c r="C6" s="341">
        <v>5490000725</v>
      </c>
      <c r="D6" s="355" t="s">
        <v>413</v>
      </c>
      <c r="E6" s="358"/>
      <c r="F6" s="358"/>
      <c r="G6" s="358"/>
      <c r="H6" s="358"/>
      <c r="I6" s="358"/>
      <c r="J6" s="358"/>
      <c r="K6" s="358"/>
      <c r="L6" s="358"/>
      <c r="M6" s="358"/>
      <c r="N6" s="358">
        <v>702.84959999999978</v>
      </c>
      <c r="O6" s="226">
        <v>857.46060000000011</v>
      </c>
      <c r="P6" s="226">
        <v>722.99040000000025</v>
      </c>
    </row>
    <row r="7" spans="1:16" x14ac:dyDescent="0.25">
      <c r="A7" s="353">
        <f>_xlfn.IFNA(VLOOKUP(B7,Mapping!C:D,2,FALSE),C7)</f>
        <v>5490000725</v>
      </c>
      <c r="B7" s="355" t="str">
        <f t="shared" si="0"/>
        <v>5490000725AJP</v>
      </c>
      <c r="C7" s="341">
        <v>5490000725</v>
      </c>
      <c r="D7" s="355" t="s">
        <v>408</v>
      </c>
      <c r="E7" s="358"/>
      <c r="F7" s="358"/>
      <c r="G7" s="358"/>
      <c r="H7" s="358"/>
      <c r="I7" s="358"/>
      <c r="J7" s="358"/>
      <c r="K7" s="358"/>
      <c r="L7" s="358"/>
      <c r="M7" s="358"/>
      <c r="N7" s="358">
        <v>493.9199999999999</v>
      </c>
      <c r="O7" s="226">
        <v>503.99999999999989</v>
      </c>
      <c r="P7" s="226">
        <v>362.87999999999994</v>
      </c>
    </row>
    <row r="8" spans="1:16" x14ac:dyDescent="0.25">
      <c r="A8" s="353">
        <f>_xlfn.IFNA(VLOOKUP(B8,Mapping!C:D,2,FALSE),C8)</f>
        <v>5490000725</v>
      </c>
      <c r="B8" s="355" t="str">
        <f t="shared" si="0"/>
        <v>5490000725RDC</v>
      </c>
      <c r="C8" s="341">
        <v>5490000725</v>
      </c>
      <c r="D8" s="355" t="s">
        <v>409</v>
      </c>
      <c r="E8" s="358"/>
      <c r="F8" s="358"/>
      <c r="G8" s="358"/>
      <c r="H8" s="358"/>
      <c r="I8" s="358"/>
      <c r="J8" s="358"/>
      <c r="K8" s="358"/>
      <c r="L8" s="358"/>
      <c r="M8" s="358"/>
      <c r="N8" s="358">
        <v>702.71999999999991</v>
      </c>
      <c r="O8" s="226">
        <v>178.56</v>
      </c>
      <c r="P8" s="226">
        <v>126.72</v>
      </c>
    </row>
    <row r="9" spans="1:16" x14ac:dyDescent="0.25">
      <c r="A9" s="353">
        <f>_xlfn.IFNA(VLOOKUP(B9,Mapping!C:D,2,FALSE),C9)</f>
        <v>5490000725</v>
      </c>
      <c r="B9" s="355" t="str">
        <f t="shared" si="0"/>
        <v>5490000725TKM</v>
      </c>
      <c r="C9" s="341">
        <v>5490000725</v>
      </c>
      <c r="D9" s="355" t="s">
        <v>414</v>
      </c>
      <c r="E9" s="358"/>
      <c r="F9" s="358"/>
      <c r="G9" s="358"/>
      <c r="H9" s="358"/>
      <c r="I9" s="358"/>
      <c r="J9" s="358"/>
      <c r="K9" s="358"/>
      <c r="L9" s="358"/>
      <c r="M9" s="358"/>
      <c r="N9" s="358">
        <v>136.80000000000001</v>
      </c>
      <c r="O9" s="226">
        <v>232.8</v>
      </c>
      <c r="P9" s="226">
        <v>141.60000000000002</v>
      </c>
    </row>
    <row r="10" spans="1:16" x14ac:dyDescent="0.25">
      <c r="A10" s="353">
        <f>_xlfn.IFNA(VLOOKUP(B10,Mapping!C:D,2,FALSE),C10)</f>
        <v>5490000725</v>
      </c>
      <c r="B10" s="355" t="str">
        <f t="shared" si="0"/>
        <v>5490000725RM</v>
      </c>
      <c r="C10" s="341">
        <v>5490000725</v>
      </c>
      <c r="D10" s="355" t="s">
        <v>410</v>
      </c>
      <c r="E10" s="358"/>
      <c r="F10" s="358"/>
      <c r="G10" s="358"/>
      <c r="H10" s="358"/>
      <c r="I10" s="358"/>
      <c r="J10" s="358"/>
      <c r="K10" s="358"/>
      <c r="L10" s="358"/>
      <c r="M10" s="358"/>
      <c r="N10" s="358">
        <v>62</v>
      </c>
      <c r="O10" s="226">
        <v>128.19999999999999</v>
      </c>
      <c r="P10" s="226">
        <v>64.8</v>
      </c>
    </row>
    <row r="11" spans="1:16" x14ac:dyDescent="0.25">
      <c r="A11" s="353">
        <f>_xlfn.IFNA(VLOOKUP(B11,Mapping!C:D,2,FALSE),C11)</f>
        <v>5490000725</v>
      </c>
      <c r="B11" s="355" t="str">
        <f t="shared" si="0"/>
        <v>5490000725RKR</v>
      </c>
      <c r="C11" s="341">
        <v>5490000725</v>
      </c>
      <c r="D11" s="355" t="s">
        <v>415</v>
      </c>
      <c r="E11" s="358"/>
      <c r="F11" s="358"/>
      <c r="G11" s="358"/>
      <c r="H11" s="358"/>
      <c r="I11" s="358"/>
      <c r="J11" s="358"/>
      <c r="K11" s="358"/>
      <c r="L11" s="358"/>
      <c r="M11" s="358"/>
      <c r="N11" s="358">
        <v>25.199999999999996</v>
      </c>
      <c r="O11" s="226">
        <v>14.399999999999999</v>
      </c>
      <c r="P11" s="226">
        <v>14.399999999999999</v>
      </c>
    </row>
    <row r="12" spans="1:16" x14ac:dyDescent="0.25">
      <c r="A12" s="353">
        <f>_xlfn.IFNA(VLOOKUP(B12,Mapping!C:D,2,FALSE),C12)</f>
        <v>5490000725</v>
      </c>
      <c r="B12" s="355" t="str">
        <f t="shared" si="0"/>
        <v>5490000725QM</v>
      </c>
      <c r="C12" s="341">
        <v>5490000725</v>
      </c>
      <c r="D12" s="355" t="s">
        <v>419</v>
      </c>
      <c r="E12" s="358"/>
      <c r="F12" s="358"/>
      <c r="G12" s="358"/>
      <c r="H12" s="358"/>
      <c r="I12" s="358"/>
      <c r="J12" s="358"/>
      <c r="K12" s="358"/>
      <c r="L12" s="358"/>
      <c r="M12" s="358"/>
      <c r="N12" s="358">
        <v>16</v>
      </c>
      <c r="O12" s="226">
        <v>13</v>
      </c>
      <c r="P12" s="226">
        <v>8</v>
      </c>
    </row>
    <row r="13" spans="1:16" x14ac:dyDescent="0.25">
      <c r="A13" s="353" t="str">
        <f>_xlfn.IFNA(VLOOKUP(B13,Mapping!C:D,2,FALSE),C13)</f>
        <v>1190064722</v>
      </c>
      <c r="B13" s="355" t="str">
        <f t="shared" si="0"/>
        <v>1190064722RD</v>
      </c>
      <c r="C13" s="341" t="s">
        <v>258</v>
      </c>
      <c r="D13" s="355" t="s">
        <v>406</v>
      </c>
      <c r="E13" s="358">
        <v>532387.36000000068</v>
      </c>
      <c r="F13" s="358">
        <v>455190.7</v>
      </c>
      <c r="G13" s="358">
        <v>464090.39999999991</v>
      </c>
      <c r="H13" s="358">
        <v>449158.0999999998</v>
      </c>
      <c r="I13" s="358">
        <v>30232</v>
      </c>
      <c r="J13" s="358"/>
      <c r="K13" s="358"/>
      <c r="L13" s="358"/>
      <c r="M13" s="358"/>
      <c r="N13" s="358"/>
      <c r="O13" s="226"/>
      <c r="P13" s="226"/>
    </row>
    <row r="14" spans="1:16" x14ac:dyDescent="0.25">
      <c r="A14" s="353" t="str">
        <f>_xlfn.IFNA(VLOOKUP(B14,Mapping!C:D,2,FALSE),C14)</f>
        <v>1190064722</v>
      </c>
      <c r="B14" s="355" t="str">
        <f t="shared" si="0"/>
        <v>1190064722AJ</v>
      </c>
      <c r="C14" s="341" t="s">
        <v>258</v>
      </c>
      <c r="D14" s="355" t="s">
        <v>405</v>
      </c>
      <c r="E14" s="358">
        <v>379972.1</v>
      </c>
      <c r="F14" s="358">
        <v>305303.09999999998</v>
      </c>
      <c r="G14" s="358">
        <v>237457.59999999998</v>
      </c>
      <c r="H14" s="358">
        <v>302376.09999999998</v>
      </c>
      <c r="I14" s="358">
        <v>7856</v>
      </c>
      <c r="J14" s="358"/>
      <c r="K14" s="358"/>
      <c r="L14" s="358"/>
      <c r="M14" s="358"/>
      <c r="N14" s="358"/>
      <c r="O14" s="226"/>
      <c r="P14" s="226"/>
    </row>
    <row r="15" spans="1:16" x14ac:dyDescent="0.25">
      <c r="A15" s="353" t="str">
        <f>_xlfn.IFNA(VLOOKUP(B15,Mapping!C:D,2,FALSE),C15)</f>
        <v>1190064722</v>
      </c>
      <c r="B15" s="355" t="str">
        <f t="shared" si="0"/>
        <v>1190064722YY</v>
      </c>
      <c r="C15" s="341" t="s">
        <v>258</v>
      </c>
      <c r="D15" s="355" t="s">
        <v>412</v>
      </c>
      <c r="E15" s="358">
        <v>234274.99999630844</v>
      </c>
      <c r="F15" s="358">
        <v>220341.99999682978</v>
      </c>
      <c r="G15" s="358">
        <v>211945.99999658953</v>
      </c>
      <c r="H15" s="358">
        <v>270052.99999642337</v>
      </c>
      <c r="I15" s="358">
        <v>9805.9999998337771</v>
      </c>
      <c r="J15" s="358"/>
      <c r="K15" s="358"/>
      <c r="L15" s="358"/>
      <c r="M15" s="358"/>
      <c r="N15" s="358"/>
      <c r="O15" s="226"/>
      <c r="P15" s="226"/>
    </row>
    <row r="16" spans="1:16" x14ac:dyDescent="0.25">
      <c r="A16" s="353" t="str">
        <f>_xlfn.IFNA(VLOOKUP(B16,Mapping!C:D,2,FALSE),C16)</f>
        <v>1190064722</v>
      </c>
      <c r="B16" s="355" t="str">
        <f t="shared" si="0"/>
        <v>1190064722BD</v>
      </c>
      <c r="C16" s="341" t="s">
        <v>258</v>
      </c>
      <c r="D16" s="355" t="s">
        <v>407</v>
      </c>
      <c r="E16" s="358">
        <v>102601.99999897571</v>
      </c>
      <c r="F16" s="358">
        <v>111638.9999988846</v>
      </c>
      <c r="G16" s="358">
        <v>156115.99999844056</v>
      </c>
      <c r="H16" s="358">
        <v>152243.99999848011</v>
      </c>
      <c r="I16" s="358">
        <v>755.99999999246415</v>
      </c>
      <c r="J16" s="358"/>
      <c r="K16" s="358"/>
      <c r="L16" s="358"/>
      <c r="M16" s="358"/>
      <c r="N16" s="358"/>
      <c r="O16" s="226"/>
      <c r="P16" s="226"/>
    </row>
    <row r="17" spans="1:16" x14ac:dyDescent="0.25">
      <c r="A17" s="353" t="str">
        <f>_xlfn.IFNA(VLOOKUP(B17,Mapping!C:D,2,FALSE),C17)</f>
        <v>1190064722</v>
      </c>
      <c r="B17" s="355" t="str">
        <f t="shared" si="0"/>
        <v>1190064722PDC</v>
      </c>
      <c r="C17" s="341" t="s">
        <v>258</v>
      </c>
      <c r="D17" s="355" t="s">
        <v>413</v>
      </c>
      <c r="E17" s="358">
        <v>63013.214399999983</v>
      </c>
      <c r="F17" s="358">
        <v>37471.602600000006</v>
      </c>
      <c r="G17" s="358">
        <v>34061.270999999993</v>
      </c>
      <c r="H17" s="358">
        <v>38720.304600000003</v>
      </c>
      <c r="I17" s="358">
        <v>4823.1647999999986</v>
      </c>
      <c r="J17" s="358"/>
      <c r="K17" s="358"/>
      <c r="L17" s="358"/>
      <c r="M17" s="358"/>
      <c r="N17" s="358"/>
      <c r="O17" s="226"/>
      <c r="P17" s="226"/>
    </row>
    <row r="18" spans="1:16" x14ac:dyDescent="0.25">
      <c r="A18" s="353" t="str">
        <f>_xlfn.IFNA(VLOOKUP(B18,Mapping!C:D,2,FALSE),C18)</f>
        <v>1190064722</v>
      </c>
      <c r="B18" s="355" t="str">
        <f t="shared" si="0"/>
        <v>1190064722TKM</v>
      </c>
      <c r="C18" s="341" t="s">
        <v>258</v>
      </c>
      <c r="D18" s="355" t="s">
        <v>414</v>
      </c>
      <c r="E18" s="358">
        <v>35876.400000000023</v>
      </c>
      <c r="F18" s="358">
        <v>30743.999999999982</v>
      </c>
      <c r="G18" s="358">
        <v>28983.599999999977</v>
      </c>
      <c r="H18" s="358">
        <v>51828.000000000044</v>
      </c>
      <c r="I18" s="358">
        <v>2808</v>
      </c>
      <c r="J18" s="358"/>
      <c r="K18" s="358"/>
      <c r="L18" s="358"/>
      <c r="M18" s="358"/>
      <c r="N18" s="358"/>
      <c r="O18" s="226"/>
      <c r="P18" s="226"/>
    </row>
    <row r="19" spans="1:16" x14ac:dyDescent="0.25">
      <c r="A19" s="353" t="str">
        <f>_xlfn.IFNA(VLOOKUP(B19,Mapping!C:D,2,FALSE),C19)</f>
        <v>1190064722</v>
      </c>
      <c r="B19" s="355" t="str">
        <f t="shared" si="0"/>
        <v>1190064722RM</v>
      </c>
      <c r="C19" s="341" t="s">
        <v>258</v>
      </c>
      <c r="D19" s="355" t="s">
        <v>410</v>
      </c>
      <c r="E19" s="358">
        <v>32320.899999999969</v>
      </c>
      <c r="F19" s="358">
        <v>27392.099999999969</v>
      </c>
      <c r="G19" s="358">
        <v>24362.399999999987</v>
      </c>
      <c r="H19" s="358">
        <v>29863.899999999994</v>
      </c>
      <c r="I19" s="358">
        <v>1166.5000000000002</v>
      </c>
      <c r="J19" s="358"/>
      <c r="K19" s="358"/>
      <c r="L19" s="358"/>
      <c r="M19" s="358"/>
      <c r="N19" s="358"/>
      <c r="O19" s="226"/>
      <c r="P19" s="226"/>
    </row>
    <row r="20" spans="1:16" x14ac:dyDescent="0.25">
      <c r="A20" s="353" t="str">
        <f>_xlfn.IFNA(VLOOKUP(B20,Mapping!C:D,2,FALSE),C20)</f>
        <v>1190064722</v>
      </c>
      <c r="B20" s="355" t="str">
        <f t="shared" si="0"/>
        <v>1190064722RDC</v>
      </c>
      <c r="C20" s="341" t="s">
        <v>258</v>
      </c>
      <c r="D20" s="355" t="s">
        <v>409</v>
      </c>
      <c r="E20" s="358">
        <v>22019.040000000001</v>
      </c>
      <c r="F20" s="358">
        <v>19909.440000000024</v>
      </c>
      <c r="G20" s="358">
        <v>15828.192000000006</v>
      </c>
      <c r="H20" s="358">
        <v>16240.032000000028</v>
      </c>
      <c r="I20" s="358">
        <v>1908.864</v>
      </c>
      <c r="J20" s="358"/>
      <c r="K20" s="358"/>
      <c r="L20" s="358"/>
      <c r="M20" s="358"/>
      <c r="N20" s="358"/>
      <c r="O20" s="226"/>
      <c r="P20" s="226"/>
    </row>
    <row r="21" spans="1:16" x14ac:dyDescent="0.25">
      <c r="A21" s="353" t="str">
        <f>_xlfn.IFNA(VLOOKUP(B21,Mapping!C:D,2,FALSE),C21)</f>
        <v>1190064722</v>
      </c>
      <c r="B21" s="355" t="str">
        <f t="shared" si="0"/>
        <v>1190064722AJP</v>
      </c>
      <c r="C21" s="341" t="s">
        <v>258</v>
      </c>
      <c r="D21" s="355" t="s">
        <v>408</v>
      </c>
      <c r="E21" s="358">
        <v>15906.239999999991</v>
      </c>
      <c r="F21" s="358">
        <v>12176.639999999998</v>
      </c>
      <c r="G21" s="358">
        <v>10120.319999999987</v>
      </c>
      <c r="H21" s="358">
        <v>12952.799999999979</v>
      </c>
      <c r="I21" s="358">
        <v>715.68</v>
      </c>
      <c r="J21" s="358"/>
      <c r="K21" s="358"/>
      <c r="L21" s="358"/>
      <c r="M21" s="358"/>
      <c r="N21" s="358"/>
      <c r="O21" s="226"/>
      <c r="P21" s="226"/>
    </row>
    <row r="22" spans="1:16" x14ac:dyDescent="0.25">
      <c r="A22" s="353" t="str">
        <f>_xlfn.IFNA(VLOOKUP(B22,Mapping!C:D,2,FALSE),C22)</f>
        <v>1190064722</v>
      </c>
      <c r="B22" s="355" t="str">
        <f t="shared" si="0"/>
        <v>1190064722RKR</v>
      </c>
      <c r="C22" s="341" t="s">
        <v>258</v>
      </c>
      <c r="D22" s="355" t="s">
        <v>415</v>
      </c>
      <c r="E22" s="358">
        <v>16165.199999999992</v>
      </c>
      <c r="F22" s="358">
        <v>10859.399999999991</v>
      </c>
      <c r="G22" s="358">
        <v>11651.399999999998</v>
      </c>
      <c r="H22" s="358">
        <v>4128</v>
      </c>
      <c r="I22" s="358"/>
      <c r="J22" s="358"/>
      <c r="K22" s="358"/>
      <c r="L22" s="358"/>
      <c r="M22" s="358"/>
      <c r="N22" s="358"/>
      <c r="O22" s="226"/>
      <c r="P22" s="226"/>
    </row>
    <row r="23" spans="1:16" x14ac:dyDescent="0.25">
      <c r="A23" s="353" t="str">
        <f>_xlfn.IFNA(VLOOKUP(B23,Mapping!C:D,2,FALSE),C23)</f>
        <v>1190064722</v>
      </c>
      <c r="B23" s="355" t="str">
        <f t="shared" si="0"/>
        <v>1190064722ND</v>
      </c>
      <c r="C23" s="341" t="s">
        <v>258</v>
      </c>
      <c r="D23" s="355" t="s">
        <v>411</v>
      </c>
      <c r="E23" s="358">
        <v>2351.7200000000012</v>
      </c>
      <c r="F23" s="358">
        <v>2305.7400000000025</v>
      </c>
      <c r="G23" s="358">
        <v>2917.5600000000027</v>
      </c>
      <c r="H23" s="358">
        <v>2132.6600000000003</v>
      </c>
      <c r="I23" s="358">
        <v>196.02</v>
      </c>
      <c r="J23" s="358"/>
      <c r="K23" s="358"/>
      <c r="L23" s="358"/>
      <c r="M23" s="358"/>
      <c r="N23" s="358"/>
      <c r="O23" s="226"/>
      <c r="P23" s="226"/>
    </row>
    <row r="24" spans="1:16" x14ac:dyDescent="0.25">
      <c r="A24" s="353" t="str">
        <f>_xlfn.IFNA(VLOOKUP(B24,Mapping!C:D,2,FALSE),C24)</f>
        <v>1190064722</v>
      </c>
      <c r="B24" s="355" t="str">
        <f t="shared" si="0"/>
        <v>1190064722FP</v>
      </c>
      <c r="C24" s="341" t="s">
        <v>258</v>
      </c>
      <c r="D24" s="355" t="s">
        <v>418</v>
      </c>
      <c r="E24" s="358">
        <v>4234.4640000000072</v>
      </c>
      <c r="F24" s="358">
        <v>1310.9279999999994</v>
      </c>
      <c r="G24" s="358">
        <v>955.84799999999939</v>
      </c>
      <c r="H24" s="358">
        <v>1381.0559999999991</v>
      </c>
      <c r="I24" s="358">
        <v>131.25599999999997</v>
      </c>
      <c r="J24" s="358">
        <v>-14.568</v>
      </c>
      <c r="K24" s="358"/>
      <c r="L24" s="358"/>
      <c r="M24" s="358"/>
      <c r="N24" s="358"/>
      <c r="O24" s="226"/>
      <c r="P24" s="226"/>
    </row>
    <row r="25" spans="1:16" x14ac:dyDescent="0.25">
      <c r="A25" s="353" t="str">
        <f>_xlfn.IFNA(VLOOKUP(B25,Mapping!C:D,2,FALSE),C25)</f>
        <v>1190064722</v>
      </c>
      <c r="B25" s="355" t="str">
        <f t="shared" si="0"/>
        <v>1190064722AMV</v>
      </c>
      <c r="C25" s="341" t="s">
        <v>258</v>
      </c>
      <c r="D25" s="355" t="s">
        <v>416</v>
      </c>
      <c r="E25" s="358">
        <v>6.9999999998880016</v>
      </c>
      <c r="F25" s="358">
        <v>6.9999999998880007</v>
      </c>
      <c r="G25" s="358">
        <v>10.999999999824002</v>
      </c>
      <c r="H25" s="358">
        <v>144.99999999767999</v>
      </c>
      <c r="I25" s="358"/>
      <c r="J25" s="358"/>
      <c r="K25" s="358"/>
      <c r="L25" s="358"/>
      <c r="M25" s="358"/>
      <c r="N25" s="358"/>
      <c r="O25" s="226"/>
      <c r="P25" s="226"/>
    </row>
    <row r="26" spans="1:16" x14ac:dyDescent="0.25">
      <c r="A26" s="353" t="str">
        <f>_xlfn.IFNA(VLOOKUP(B26,Mapping!C:D,2,FALSE),C26)</f>
        <v>1190064722</v>
      </c>
      <c r="B26" s="355" t="str">
        <f t="shared" si="0"/>
        <v>1190064722LPD</v>
      </c>
      <c r="C26" s="341" t="s">
        <v>258</v>
      </c>
      <c r="D26" s="355" t="s">
        <v>420</v>
      </c>
      <c r="E26" s="358"/>
      <c r="F26" s="358"/>
      <c r="G26" s="358">
        <v>12</v>
      </c>
      <c r="H26" s="358">
        <v>12</v>
      </c>
      <c r="I26" s="358">
        <v>12</v>
      </c>
      <c r="J26" s="358"/>
      <c r="K26" s="358"/>
      <c r="L26" s="358"/>
      <c r="M26" s="358"/>
      <c r="N26" s="358"/>
      <c r="O26" s="226"/>
      <c r="P26" s="226"/>
    </row>
    <row r="27" spans="1:16" x14ac:dyDescent="0.25">
      <c r="A27" s="353" t="str">
        <f>_xlfn.IFNA(VLOOKUP(B27,Mapping!C:D,2,FALSE),C27)</f>
        <v>1190064722</v>
      </c>
      <c r="B27" s="355" t="str">
        <f t="shared" si="0"/>
        <v>1190064722AJA</v>
      </c>
      <c r="C27" s="341" t="s">
        <v>258</v>
      </c>
      <c r="D27" s="355" t="s">
        <v>417</v>
      </c>
      <c r="E27" s="358"/>
      <c r="F27" s="358">
        <v>0.99999999999000011</v>
      </c>
      <c r="G27" s="358">
        <v>3.9999999999600004</v>
      </c>
      <c r="H27" s="358">
        <v>28</v>
      </c>
      <c r="I27" s="358"/>
      <c r="J27" s="358"/>
      <c r="K27" s="358"/>
      <c r="L27" s="358"/>
      <c r="M27" s="358"/>
      <c r="N27" s="358">
        <v>-18.100000000000001</v>
      </c>
      <c r="O27" s="226">
        <v>-0.2</v>
      </c>
      <c r="P27" s="226"/>
    </row>
    <row r="28" spans="1:16" x14ac:dyDescent="0.25">
      <c r="A28" s="353">
        <f>_xlfn.IFNA(VLOOKUP(B28,Mapping!C:D,2,FALSE),C28)</f>
        <v>5490000721</v>
      </c>
      <c r="B28" s="355" t="str">
        <f t="shared" si="0"/>
        <v>5490000721AJ</v>
      </c>
      <c r="C28" s="341">
        <v>5490000721</v>
      </c>
      <c r="D28" s="355" t="s">
        <v>405</v>
      </c>
      <c r="E28" s="358">
        <v>373.20000000000005</v>
      </c>
      <c r="F28" s="358">
        <v>1183.6560000000002</v>
      </c>
      <c r="G28" s="358">
        <v>547.6</v>
      </c>
      <c r="H28" s="358">
        <v>1214.4000000000001</v>
      </c>
      <c r="I28" s="358">
        <v>1178.7</v>
      </c>
      <c r="J28" s="358">
        <v>682.8</v>
      </c>
      <c r="K28" s="358">
        <v>1117.9000000000001</v>
      </c>
      <c r="L28" s="358">
        <v>2231.6000000000004</v>
      </c>
      <c r="M28" s="358">
        <v>2499.1999999999998</v>
      </c>
      <c r="N28" s="358">
        <v>729.59999999999991</v>
      </c>
      <c r="O28" s="226">
        <v>2481.6000000000004</v>
      </c>
      <c r="P28" s="226">
        <v>1599.2</v>
      </c>
    </row>
    <row r="29" spans="1:16" x14ac:dyDescent="0.25">
      <c r="A29" s="353">
        <f>_xlfn.IFNA(VLOOKUP(B29,Mapping!C:D,2,FALSE),C29)</f>
        <v>5490000721</v>
      </c>
      <c r="B29" s="355" t="str">
        <f t="shared" si="0"/>
        <v>5490000721RD</v>
      </c>
      <c r="C29" s="341">
        <v>5490000721</v>
      </c>
      <c r="D29" s="355" t="s">
        <v>406</v>
      </c>
      <c r="E29" s="358">
        <v>386.80000000000007</v>
      </c>
      <c r="F29" s="358">
        <v>642.89999999999986</v>
      </c>
      <c r="G29" s="358">
        <v>320.38000000000005</v>
      </c>
      <c r="H29" s="358">
        <v>541.53</v>
      </c>
      <c r="I29" s="358">
        <v>370.19999999999993</v>
      </c>
      <c r="J29" s="358">
        <v>495.50000000000006</v>
      </c>
      <c r="K29" s="358">
        <v>560.99999999999989</v>
      </c>
      <c r="L29" s="358">
        <v>1364.6650000000002</v>
      </c>
      <c r="M29" s="358">
        <v>1152.7999999999993</v>
      </c>
      <c r="N29" s="358">
        <v>219.2</v>
      </c>
      <c r="O29" s="226">
        <v>602</v>
      </c>
      <c r="P29" s="226">
        <v>672.8</v>
      </c>
    </row>
    <row r="30" spans="1:16" x14ac:dyDescent="0.25">
      <c r="A30" s="353">
        <f>_xlfn.IFNA(VLOOKUP(B30,Mapping!C:D,2,FALSE),C30)</f>
        <v>5490000721</v>
      </c>
      <c r="B30" s="355" t="str">
        <f t="shared" si="0"/>
        <v>5490000721FP</v>
      </c>
      <c r="C30" s="341">
        <v>5490000721</v>
      </c>
      <c r="D30" s="355" t="s">
        <v>418</v>
      </c>
      <c r="E30" s="358">
        <v>218.88</v>
      </c>
      <c r="F30" s="358">
        <v>817.45200000000011</v>
      </c>
      <c r="G30" s="358">
        <v>189.31199999999998</v>
      </c>
      <c r="H30" s="358">
        <v>386.60399999999993</v>
      </c>
      <c r="I30" s="358">
        <v>613.39800000000014</v>
      </c>
      <c r="J30" s="358">
        <v>540.25200000000018</v>
      </c>
      <c r="K30" s="358">
        <v>541.84800000000018</v>
      </c>
      <c r="L30" s="358">
        <v>570.18000000000018</v>
      </c>
      <c r="M30" s="358">
        <v>525.07200000000012</v>
      </c>
      <c r="N30" s="358">
        <v>199.77599999999998</v>
      </c>
      <c r="O30" s="226"/>
      <c r="P30" s="226"/>
    </row>
    <row r="31" spans="1:16" x14ac:dyDescent="0.25">
      <c r="A31" s="353">
        <f>_xlfn.IFNA(VLOOKUP(B31,Mapping!C:D,2,FALSE),C31)</f>
        <v>5490000721</v>
      </c>
      <c r="B31" s="355" t="str">
        <f t="shared" si="0"/>
        <v>5490000721BD</v>
      </c>
      <c r="C31" s="341">
        <v>5490000721</v>
      </c>
      <c r="D31" s="355" t="s">
        <v>407</v>
      </c>
      <c r="E31" s="358">
        <v>165.99999999839986</v>
      </c>
      <c r="F31" s="358">
        <v>150.81666666522995</v>
      </c>
      <c r="G31" s="358">
        <v>213.99999999792581</v>
      </c>
      <c r="H31" s="358">
        <v>199.99999999814386</v>
      </c>
      <c r="I31" s="358">
        <v>219.79999999790275</v>
      </c>
      <c r="J31" s="358">
        <v>172.999999998318</v>
      </c>
      <c r="K31" s="358">
        <v>296.49999999713958</v>
      </c>
      <c r="L31" s="358">
        <v>223.58333333116681</v>
      </c>
      <c r="M31" s="358">
        <v>281.99999999725765</v>
      </c>
      <c r="N31" s="358">
        <v>101.16666666569799</v>
      </c>
      <c r="O31" s="226">
        <v>267.83333333078673</v>
      </c>
      <c r="P31" s="226">
        <v>212.99999999797788</v>
      </c>
    </row>
    <row r="32" spans="1:16" x14ac:dyDescent="0.25">
      <c r="A32" s="353">
        <f>_xlfn.IFNA(VLOOKUP(B32,Mapping!C:D,2,FALSE),C32)</f>
        <v>5490000721</v>
      </c>
      <c r="B32" s="355" t="str">
        <f t="shared" si="0"/>
        <v>5490000721YY</v>
      </c>
      <c r="C32" s="341">
        <v>5490000721</v>
      </c>
      <c r="D32" s="355" t="s">
        <v>412</v>
      </c>
      <c r="E32" s="358">
        <v>151.99999999869607</v>
      </c>
      <c r="F32" s="358">
        <v>266.83333333073585</v>
      </c>
      <c r="G32" s="358">
        <v>154.94166666503509</v>
      </c>
      <c r="H32" s="358">
        <v>92.183333332418997</v>
      </c>
      <c r="I32" s="358">
        <v>309.05833333061503</v>
      </c>
      <c r="J32" s="358">
        <v>102.49999999884405</v>
      </c>
      <c r="K32" s="358">
        <v>248.61666666431512</v>
      </c>
      <c r="L32" s="358">
        <v>211.84444444207909</v>
      </c>
      <c r="M32" s="358">
        <v>346.05555555207258</v>
      </c>
      <c r="N32" s="358">
        <v>15.79166666645</v>
      </c>
      <c r="O32" s="226">
        <v>179.62222222058705</v>
      </c>
      <c r="P32" s="226">
        <v>175.56944444227003</v>
      </c>
    </row>
    <row r="33" spans="1:16" x14ac:dyDescent="0.25">
      <c r="A33" s="353">
        <f>_xlfn.IFNA(VLOOKUP(B33,Mapping!C:D,2,FALSE),C33)</f>
        <v>5490000721</v>
      </c>
      <c r="B33" s="355" t="str">
        <f t="shared" si="0"/>
        <v>5490000721TKM</v>
      </c>
      <c r="C33" s="341">
        <v>5490000721</v>
      </c>
      <c r="D33" s="355" t="s">
        <v>414</v>
      </c>
      <c r="E33" s="358">
        <v>85.2</v>
      </c>
      <c r="F33" s="358">
        <v>211.00000000000003</v>
      </c>
      <c r="G33" s="358">
        <v>152.60000000000002</v>
      </c>
      <c r="H33" s="358">
        <v>141.80000000000001</v>
      </c>
      <c r="I33" s="358">
        <v>207.10000000000005</v>
      </c>
      <c r="J33" s="358">
        <v>207.60000000000005</v>
      </c>
      <c r="K33" s="358">
        <v>252.20000000000007</v>
      </c>
      <c r="L33" s="358">
        <v>213.60000000000011</v>
      </c>
      <c r="M33" s="358">
        <v>205.40000000000012</v>
      </c>
      <c r="N33" s="358">
        <v>170.8</v>
      </c>
      <c r="O33" s="226">
        <v>89.800000000000011</v>
      </c>
      <c r="P33" s="226">
        <v>226.60000000000011</v>
      </c>
    </row>
    <row r="34" spans="1:16" x14ac:dyDescent="0.25">
      <c r="A34" s="353">
        <f>_xlfn.IFNA(VLOOKUP(B34,Mapping!C:D,2,FALSE),C34)</f>
        <v>5490000721</v>
      </c>
      <c r="B34" s="355" t="str">
        <f t="shared" si="0"/>
        <v>5490000721PDC</v>
      </c>
      <c r="C34" s="341">
        <v>5490000721</v>
      </c>
      <c r="D34" s="355" t="s">
        <v>413</v>
      </c>
      <c r="E34" s="358">
        <v>114.2598</v>
      </c>
      <c r="F34" s="358">
        <v>64.53</v>
      </c>
      <c r="G34" s="358">
        <v>75.474199999999996</v>
      </c>
      <c r="H34" s="358">
        <v>58.976999999999997</v>
      </c>
      <c r="I34" s="358">
        <v>122.3052</v>
      </c>
      <c r="J34" s="358">
        <v>81.84</v>
      </c>
      <c r="K34" s="358">
        <v>159.89259999999996</v>
      </c>
      <c r="L34" s="358">
        <v>168.80399999999995</v>
      </c>
      <c r="M34" s="358">
        <v>155.73719999999994</v>
      </c>
      <c r="N34" s="358">
        <v>84.382199999999997</v>
      </c>
      <c r="O34" s="226">
        <v>45.730699999999999</v>
      </c>
      <c r="P34" s="226">
        <v>119.60579999999999</v>
      </c>
    </row>
    <row r="35" spans="1:16" x14ac:dyDescent="0.25">
      <c r="A35" s="353">
        <f>_xlfn.IFNA(VLOOKUP(B35,Mapping!C:D,2,FALSE),C35)</f>
        <v>5490000721</v>
      </c>
      <c r="B35" s="355" t="str">
        <f t="shared" si="0"/>
        <v>5490000721RM</v>
      </c>
      <c r="C35" s="341">
        <v>5490000721</v>
      </c>
      <c r="D35" s="355" t="s">
        <v>410</v>
      </c>
      <c r="E35" s="358">
        <v>77.5</v>
      </c>
      <c r="F35" s="358">
        <v>88.740000000000009</v>
      </c>
      <c r="G35" s="358">
        <v>56.08</v>
      </c>
      <c r="H35" s="358">
        <v>56.5</v>
      </c>
      <c r="I35" s="358">
        <v>148.07999999999998</v>
      </c>
      <c r="J35" s="358">
        <v>107.6</v>
      </c>
      <c r="K35" s="358">
        <v>119.6</v>
      </c>
      <c r="L35" s="358">
        <v>45.730000000000004</v>
      </c>
      <c r="M35" s="358">
        <v>114</v>
      </c>
      <c r="N35" s="358">
        <v>35</v>
      </c>
      <c r="O35" s="226">
        <v>53.875</v>
      </c>
      <c r="P35" s="226">
        <v>51.3</v>
      </c>
    </row>
    <row r="36" spans="1:16" x14ac:dyDescent="0.25">
      <c r="A36" s="353">
        <f>_xlfn.IFNA(VLOOKUP(B36,Mapping!C:D,2,FALSE),C36)</f>
        <v>5490000721</v>
      </c>
      <c r="B36" s="355" t="str">
        <f t="shared" si="0"/>
        <v>5490000721RDC</v>
      </c>
      <c r="C36" s="341">
        <v>5490000721</v>
      </c>
      <c r="D36" s="355" t="s">
        <v>409</v>
      </c>
      <c r="E36" s="358">
        <v>31.68</v>
      </c>
      <c r="F36" s="358">
        <v>61.92</v>
      </c>
      <c r="G36" s="358">
        <v>20.16</v>
      </c>
      <c r="H36" s="358">
        <v>56.16</v>
      </c>
      <c r="I36" s="358">
        <v>25.200000000000003</v>
      </c>
      <c r="J36" s="358">
        <v>54.72</v>
      </c>
      <c r="K36" s="358">
        <v>47.519999999999996</v>
      </c>
      <c r="L36" s="358">
        <v>14.4</v>
      </c>
      <c r="M36" s="358">
        <v>51.84</v>
      </c>
      <c r="N36" s="358">
        <v>46.08</v>
      </c>
      <c r="O36" s="226">
        <v>43.2</v>
      </c>
      <c r="P36" s="226">
        <v>21.6</v>
      </c>
    </row>
    <row r="37" spans="1:16" x14ac:dyDescent="0.25">
      <c r="A37" s="353">
        <f>_xlfn.IFNA(VLOOKUP(B37,Mapping!C:D,2,FALSE),C37)</f>
        <v>5490000721</v>
      </c>
      <c r="B37" s="355" t="str">
        <f t="shared" si="0"/>
        <v>5490000721FP</v>
      </c>
      <c r="C37" s="341">
        <v>5490000721</v>
      </c>
      <c r="D37" s="355" t="s">
        <v>418</v>
      </c>
      <c r="E37" s="358"/>
      <c r="F37" s="358"/>
      <c r="G37" s="358"/>
      <c r="H37" s="358"/>
      <c r="I37" s="358"/>
      <c r="J37" s="358"/>
      <c r="K37" s="358"/>
      <c r="L37" s="358"/>
      <c r="M37" s="358"/>
      <c r="N37" s="358"/>
      <c r="O37" s="226">
        <v>316.12799999999987</v>
      </c>
      <c r="P37" s="226">
        <v>126.19199999999999</v>
      </c>
    </row>
    <row r="38" spans="1:16" x14ac:dyDescent="0.25">
      <c r="A38" s="353">
        <f>_xlfn.IFNA(VLOOKUP(B38,Mapping!C:D,2,FALSE),C38)</f>
        <v>5490000721</v>
      </c>
      <c r="B38" s="355" t="str">
        <f t="shared" si="0"/>
        <v>5490000721AMV</v>
      </c>
      <c r="C38" s="341">
        <v>5490000721</v>
      </c>
      <c r="D38" s="355" t="s">
        <v>416</v>
      </c>
      <c r="E38" s="358">
        <v>16.999999999728001</v>
      </c>
      <c r="F38" s="358">
        <v>9.99999999984</v>
      </c>
      <c r="G38" s="358">
        <v>44.99999999928</v>
      </c>
      <c r="H38" s="358"/>
      <c r="I38" s="358">
        <v>37.999999999391996</v>
      </c>
      <c r="J38" s="358">
        <v>40.999999999344006</v>
      </c>
      <c r="K38" s="358">
        <v>23.999999999616001</v>
      </c>
      <c r="L38" s="358">
        <v>39.999999999360007</v>
      </c>
      <c r="M38" s="358">
        <v>11.999999999808001</v>
      </c>
      <c r="N38" s="358">
        <v>3.9999999999360005</v>
      </c>
      <c r="O38" s="226">
        <v>13.99999999968</v>
      </c>
      <c r="P38" s="226">
        <v>32.999999999471996</v>
      </c>
    </row>
    <row r="39" spans="1:16" x14ac:dyDescent="0.25">
      <c r="A39" s="353">
        <f>_xlfn.IFNA(VLOOKUP(B39,Mapping!C:D,2,FALSE),C39)</f>
        <v>5490000721</v>
      </c>
      <c r="B39" s="355" t="str">
        <f t="shared" si="0"/>
        <v>5490000721RKR</v>
      </c>
      <c r="C39" s="341">
        <v>5490000721</v>
      </c>
      <c r="D39" s="355" t="s">
        <v>415</v>
      </c>
      <c r="E39" s="358">
        <v>5.3999999999999995</v>
      </c>
      <c r="F39" s="358">
        <v>4.59</v>
      </c>
      <c r="G39" s="358">
        <v>16.2</v>
      </c>
      <c r="H39" s="358">
        <v>5.3999999999999995</v>
      </c>
      <c r="I39" s="358">
        <v>10.799999999999999</v>
      </c>
      <c r="J39" s="358">
        <v>34.199999999999996</v>
      </c>
      <c r="K39" s="358">
        <v>26.999999999999996</v>
      </c>
      <c r="L39" s="358">
        <v>16.2</v>
      </c>
      <c r="M39" s="358">
        <v>28.799999999999997</v>
      </c>
      <c r="N39" s="358">
        <v>5.129999999999999</v>
      </c>
      <c r="O39" s="226">
        <v>23.4</v>
      </c>
      <c r="P39" s="226">
        <v>5.3999999999999995</v>
      </c>
    </row>
    <row r="40" spans="1:16" x14ac:dyDescent="0.25">
      <c r="A40" s="353">
        <f>_xlfn.IFNA(VLOOKUP(B40,Mapping!C:D,2,FALSE),C40)</f>
        <v>5490000721</v>
      </c>
      <c r="B40" s="355" t="str">
        <f t="shared" si="0"/>
        <v>5490000721AJP</v>
      </c>
      <c r="C40" s="341">
        <v>5490000721</v>
      </c>
      <c r="D40" s="355" t="s">
        <v>408</v>
      </c>
      <c r="E40" s="358">
        <v>10.08</v>
      </c>
      <c r="F40" s="358"/>
      <c r="G40" s="358">
        <v>10.08</v>
      </c>
      <c r="H40" s="358"/>
      <c r="I40" s="358">
        <v>20.16</v>
      </c>
      <c r="J40" s="358">
        <v>10.08</v>
      </c>
      <c r="K40" s="358">
        <v>20.16</v>
      </c>
      <c r="L40" s="358"/>
      <c r="M40" s="358">
        <v>30.240000000000002</v>
      </c>
      <c r="N40" s="358"/>
      <c r="O40" s="226"/>
      <c r="P40" s="226">
        <v>30.240000000000002</v>
      </c>
    </row>
    <row r="41" spans="1:16" x14ac:dyDescent="0.25">
      <c r="A41" s="353">
        <f>_xlfn.IFNA(VLOOKUP(B41,Mapping!C:D,2,FALSE),C41)</f>
        <v>5490000721</v>
      </c>
      <c r="B41" s="355" t="str">
        <f t="shared" si="0"/>
        <v>5490000721QM</v>
      </c>
      <c r="C41" s="341">
        <v>5490000721</v>
      </c>
      <c r="D41" s="355" t="s">
        <v>419</v>
      </c>
      <c r="E41" s="358"/>
      <c r="F41" s="358"/>
      <c r="G41" s="358"/>
      <c r="H41" s="358"/>
      <c r="I41" s="358">
        <v>14</v>
      </c>
      <c r="J41" s="358">
        <v>13</v>
      </c>
      <c r="K41" s="358">
        <v>23</v>
      </c>
      <c r="L41" s="358">
        <v>8</v>
      </c>
      <c r="M41" s="358">
        <v>15</v>
      </c>
      <c r="N41" s="358">
        <v>4</v>
      </c>
      <c r="O41" s="226">
        <v>10</v>
      </c>
      <c r="P41" s="226">
        <v>8</v>
      </c>
    </row>
    <row r="42" spans="1:16" x14ac:dyDescent="0.25">
      <c r="A42" s="353">
        <f>_xlfn.IFNA(VLOOKUP(B42,Mapping!C:D,2,FALSE),C42)</f>
        <v>5490000721</v>
      </c>
      <c r="B42" s="355" t="str">
        <f t="shared" si="0"/>
        <v>5490000721AJA</v>
      </c>
      <c r="C42" s="341">
        <v>5490000721</v>
      </c>
      <c r="D42" s="355" t="s">
        <v>417</v>
      </c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226">
        <v>2.9999999999360001</v>
      </c>
      <c r="P42" s="226"/>
    </row>
    <row r="43" spans="1:16" x14ac:dyDescent="0.25">
      <c r="A43" s="353">
        <f>_xlfn.IFNA(VLOOKUP(B43,Mapping!C:D,2,FALSE),C43)</f>
        <v>5490000721</v>
      </c>
      <c r="B43" s="355" t="str">
        <f t="shared" si="0"/>
        <v>5490000721SWEET</v>
      </c>
      <c r="C43" s="341">
        <v>5490000721</v>
      </c>
      <c r="D43" s="355" t="s">
        <v>421</v>
      </c>
      <c r="E43" s="358"/>
      <c r="F43" s="358"/>
      <c r="G43" s="358"/>
      <c r="H43" s="358">
        <v>-0.4</v>
      </c>
      <c r="I43" s="358"/>
      <c r="J43" s="358"/>
      <c r="K43" s="358"/>
      <c r="L43" s="358"/>
      <c r="M43" s="358"/>
      <c r="N43" s="358"/>
      <c r="O43" s="226"/>
      <c r="P43" s="226"/>
    </row>
    <row r="44" spans="1:16" x14ac:dyDescent="0.25">
      <c r="A44" s="353">
        <f>_xlfn.IFNA(VLOOKUP(B44,Mapping!C:D,2,FALSE),C44)</f>
        <v>5490000721</v>
      </c>
      <c r="B44" s="355" t="str">
        <f t="shared" si="0"/>
        <v>5490000721STICK</v>
      </c>
      <c r="C44" s="341">
        <v>5490000721</v>
      </c>
      <c r="D44" s="355" t="s">
        <v>422</v>
      </c>
      <c r="E44" s="358"/>
      <c r="F44" s="358">
        <v>-0.24</v>
      </c>
      <c r="G44" s="358"/>
      <c r="H44" s="358"/>
      <c r="I44" s="358">
        <v>-0.06</v>
      </c>
      <c r="J44" s="358"/>
      <c r="K44" s="358">
        <v>-0.28800000000000003</v>
      </c>
      <c r="L44" s="358"/>
      <c r="M44" s="358"/>
      <c r="N44" s="358">
        <v>-0.28800000000000003</v>
      </c>
      <c r="O44" s="226"/>
      <c r="P44" s="226"/>
    </row>
    <row r="45" spans="1:16" x14ac:dyDescent="0.25">
      <c r="A45" s="356">
        <f>_xlfn.IFNA(VLOOKUP(B45,Mapping!C:D,2,FALSE),C45)</f>
        <v>5490000720</v>
      </c>
      <c r="B45" s="190" t="str">
        <f t="shared" si="0"/>
        <v>5490000720RD</v>
      </c>
      <c r="C45" s="271">
        <v>5490000720</v>
      </c>
      <c r="D45" s="190" t="s">
        <v>406</v>
      </c>
      <c r="E45" s="268">
        <v>24742.500000000007</v>
      </c>
      <c r="F45" s="268">
        <v>15600.1</v>
      </c>
      <c r="G45" s="268">
        <v>175624.8</v>
      </c>
      <c r="H45" s="268">
        <v>47132.700000000004</v>
      </c>
      <c r="I45" s="268">
        <v>11655.4</v>
      </c>
      <c r="J45" s="268">
        <v>21063.599999999995</v>
      </c>
      <c r="K45" s="268">
        <v>23159.300000000007</v>
      </c>
      <c r="L45" s="268">
        <v>16213.900000000001</v>
      </c>
      <c r="M45" s="268">
        <v>31911.799999999992</v>
      </c>
      <c r="N45" s="268">
        <v>30826.199999999986</v>
      </c>
      <c r="O45" s="156">
        <v>23160.999999999996</v>
      </c>
      <c r="P45" s="156">
        <v>32116.599999999995</v>
      </c>
    </row>
    <row r="46" spans="1:16" x14ac:dyDescent="0.25">
      <c r="A46" s="356">
        <f>_xlfn.IFNA(VLOOKUP(B46,Mapping!C:D,2,FALSE),C46)</f>
        <v>5490000720</v>
      </c>
      <c r="B46" s="190" t="str">
        <f t="shared" si="0"/>
        <v>5490000720AJ</v>
      </c>
      <c r="C46" s="271">
        <v>5490000720</v>
      </c>
      <c r="D46" s="190" t="s">
        <v>405</v>
      </c>
      <c r="E46" s="268">
        <v>20763.099999999999</v>
      </c>
      <c r="F46" s="268">
        <v>21043.400000000005</v>
      </c>
      <c r="G46" s="268">
        <v>31462</v>
      </c>
      <c r="H46" s="268">
        <v>12542.2</v>
      </c>
      <c r="I46" s="268">
        <v>25783.3</v>
      </c>
      <c r="J46" s="268">
        <v>22771</v>
      </c>
      <c r="K46" s="268">
        <v>38293</v>
      </c>
      <c r="L46" s="268">
        <v>45497.200000000012</v>
      </c>
      <c r="M46" s="268">
        <v>33922.899999999994</v>
      </c>
      <c r="N46" s="268">
        <v>27893.599999999995</v>
      </c>
      <c r="O46" s="156">
        <v>45596.000000000007</v>
      </c>
      <c r="P46" s="156">
        <v>44298.999999999993</v>
      </c>
    </row>
    <row r="47" spans="1:16" x14ac:dyDescent="0.25">
      <c r="A47" s="356">
        <f>_xlfn.IFNA(VLOOKUP(B47,Mapping!C:D,2,FALSE),C47)</f>
        <v>5490000720</v>
      </c>
      <c r="B47" s="190" t="str">
        <f t="shared" si="0"/>
        <v>5490000720BD</v>
      </c>
      <c r="C47" s="271">
        <v>5490000720</v>
      </c>
      <c r="D47" s="190" t="s">
        <v>407</v>
      </c>
      <c r="E47" s="268">
        <v>34622.99999965421</v>
      </c>
      <c r="F47" s="268">
        <v>16903.999999831012</v>
      </c>
      <c r="G47" s="268">
        <v>14807.999999852198</v>
      </c>
      <c r="H47" s="268">
        <v>23692.999999763753</v>
      </c>
      <c r="I47" s="268">
        <v>7054.9999999295324</v>
      </c>
      <c r="J47" s="268">
        <v>17289.999999827331</v>
      </c>
      <c r="K47" s="268">
        <v>8022.9999999199244</v>
      </c>
      <c r="L47" s="268">
        <v>27272.999999727519</v>
      </c>
      <c r="M47" s="268">
        <v>22041.99999977979</v>
      </c>
      <c r="N47" s="268">
        <v>12044.999999879672</v>
      </c>
      <c r="O47" s="156">
        <v>15252.999999847587</v>
      </c>
      <c r="P47" s="156">
        <v>20633.999999794003</v>
      </c>
    </row>
    <row r="48" spans="1:16" x14ac:dyDescent="0.25">
      <c r="A48" s="356">
        <f>_xlfn.IFNA(VLOOKUP(B48,Mapping!C:D,2,FALSE),C48)</f>
        <v>5490000720</v>
      </c>
      <c r="B48" s="190" t="str">
        <f t="shared" si="0"/>
        <v>5490000720YY</v>
      </c>
      <c r="C48" s="271">
        <v>5490000720</v>
      </c>
      <c r="D48" s="190" t="s">
        <v>412</v>
      </c>
      <c r="E48" s="268">
        <v>10914.999999864984</v>
      </c>
      <c r="F48" s="268">
        <v>13285.999999841639</v>
      </c>
      <c r="G48" s="268">
        <v>7305.9999998937119</v>
      </c>
      <c r="H48" s="268">
        <v>18326.99999976164</v>
      </c>
      <c r="I48" s="268">
        <v>20179.999999765856</v>
      </c>
      <c r="J48" s="268">
        <v>3913.9999999432048</v>
      </c>
      <c r="K48" s="268">
        <v>7750.9999998949525</v>
      </c>
      <c r="L48" s="268">
        <v>20356.999999774293</v>
      </c>
      <c r="M48" s="268">
        <v>23682.999999684384</v>
      </c>
      <c r="N48" s="268">
        <v>14245.99999979643</v>
      </c>
      <c r="O48" s="156">
        <v>3985.9999999192642</v>
      </c>
      <c r="P48" s="156">
        <v>17028.999999788812</v>
      </c>
    </row>
    <row r="49" spans="1:16" x14ac:dyDescent="0.25">
      <c r="A49" s="356">
        <f>_xlfn.IFNA(VLOOKUP(B49,Mapping!C:D,2,FALSE),C49)</f>
        <v>5490000720</v>
      </c>
      <c r="B49" s="190" t="str">
        <f t="shared" si="0"/>
        <v>5490000720AJP</v>
      </c>
      <c r="C49" s="271">
        <v>5490000720</v>
      </c>
      <c r="D49" s="190" t="s">
        <v>408</v>
      </c>
      <c r="E49" s="268">
        <v>1743.8400000000004</v>
      </c>
      <c r="F49" s="268">
        <v>3094.5600000000004</v>
      </c>
      <c r="G49" s="268">
        <v>3870.7200000000025</v>
      </c>
      <c r="H49" s="268">
        <v>3709.4400000000005</v>
      </c>
      <c r="I49" s="268">
        <v>2338.559999999999</v>
      </c>
      <c r="J49" s="268">
        <v>2479.6800000000017</v>
      </c>
      <c r="K49" s="268">
        <v>4233.6000000000031</v>
      </c>
      <c r="L49" s="268">
        <v>4445.2800000000016</v>
      </c>
      <c r="M49" s="268">
        <v>5140.8000000000011</v>
      </c>
      <c r="N49" s="268">
        <v>2328.4800000000014</v>
      </c>
      <c r="O49" s="156">
        <v>4374.7200000000012</v>
      </c>
      <c r="P49" s="156">
        <v>6219.3600000000042</v>
      </c>
    </row>
    <row r="50" spans="1:16" x14ac:dyDescent="0.25">
      <c r="A50" s="356">
        <f>_xlfn.IFNA(VLOOKUP(B50,Mapping!C:D,2,FALSE),C50)</f>
        <v>5490000720</v>
      </c>
      <c r="B50" s="190" t="str">
        <f t="shared" si="0"/>
        <v>5490000720TKM</v>
      </c>
      <c r="C50" s="271">
        <v>5490000720</v>
      </c>
      <c r="D50" s="190" t="s">
        <v>414</v>
      </c>
      <c r="E50" s="268">
        <v>1219.2</v>
      </c>
      <c r="F50" s="268">
        <v>2089.1999999999998</v>
      </c>
      <c r="G50" s="268">
        <v>2428.8000000000002</v>
      </c>
      <c r="H50" s="268">
        <v>1905.6</v>
      </c>
      <c r="I50" s="268">
        <v>3651.6000000000013</v>
      </c>
      <c r="J50" s="268">
        <v>2514.0000000000009</v>
      </c>
      <c r="K50" s="268">
        <v>3355.2000000000007</v>
      </c>
      <c r="L50" s="268">
        <v>3836.4000000000015</v>
      </c>
      <c r="M50" s="268">
        <v>2574.0000000000014</v>
      </c>
      <c r="N50" s="268">
        <v>3891.6000000000008</v>
      </c>
      <c r="O50" s="156">
        <v>2512.7999999999997</v>
      </c>
      <c r="P50" s="156">
        <v>3927.6000000000013</v>
      </c>
    </row>
    <row r="51" spans="1:16" x14ac:dyDescent="0.25">
      <c r="A51" s="356">
        <f>_xlfn.IFNA(VLOOKUP(B51,Mapping!C:D,2,FALSE),C51)</f>
        <v>5490000720</v>
      </c>
      <c r="B51" s="190" t="str">
        <f t="shared" si="0"/>
        <v>5490000720PDC</v>
      </c>
      <c r="C51" s="271">
        <v>5490000720</v>
      </c>
      <c r="D51" s="190" t="s">
        <v>413</v>
      </c>
      <c r="E51" s="268">
        <v>6992.159400000005</v>
      </c>
      <c r="F51" s="268">
        <v>162.9864</v>
      </c>
      <c r="G51" s="268">
        <v>1052.7084</v>
      </c>
      <c r="H51" s="268">
        <v>1401.0317999999997</v>
      </c>
      <c r="I51" s="268">
        <v>1039.9086000000002</v>
      </c>
      <c r="J51" s="268">
        <v>1336.4801999999997</v>
      </c>
      <c r="K51" s="268">
        <v>1099.2617999999998</v>
      </c>
      <c r="L51" s="268">
        <v>2651.6375999999987</v>
      </c>
      <c r="M51" s="268">
        <v>2195.2079999999974</v>
      </c>
      <c r="N51" s="268">
        <v>1611.2285999999995</v>
      </c>
      <c r="O51" s="156">
        <v>1534.0067999999992</v>
      </c>
      <c r="P51" s="156">
        <v>2629.5353999999979</v>
      </c>
    </row>
    <row r="52" spans="1:16" x14ac:dyDescent="0.25">
      <c r="A52" s="356">
        <f>_xlfn.IFNA(VLOOKUP(B52,Mapping!C:D,2,FALSE),C52)</f>
        <v>5490000720</v>
      </c>
      <c r="B52" s="190" t="str">
        <f t="shared" si="0"/>
        <v>5490000720ND</v>
      </c>
      <c r="C52" s="271">
        <v>5490000720</v>
      </c>
      <c r="D52" s="190" t="s">
        <v>411</v>
      </c>
      <c r="E52" s="268">
        <v>380.76</v>
      </c>
      <c r="F52" s="268">
        <v>979.04</v>
      </c>
      <c r="G52" s="268">
        <v>1593.5000000000009</v>
      </c>
      <c r="H52" s="268">
        <v>594.9</v>
      </c>
      <c r="I52" s="268">
        <v>616.91999999999996</v>
      </c>
      <c r="J52" s="268">
        <v>1128.46</v>
      </c>
      <c r="K52" s="268">
        <v>981.6</v>
      </c>
      <c r="L52" s="268">
        <v>786.2</v>
      </c>
      <c r="M52" s="268">
        <v>678.06</v>
      </c>
      <c r="N52" s="268">
        <v>1149.8600000000001</v>
      </c>
      <c r="O52" s="156">
        <v>991.84</v>
      </c>
      <c r="P52" s="156">
        <v>1120.98</v>
      </c>
    </row>
    <row r="53" spans="1:16" x14ac:dyDescent="0.25">
      <c r="A53" s="356">
        <f>_xlfn.IFNA(VLOOKUP(B53,Mapping!C:D,2,FALSE),C53)</f>
        <v>5490000720</v>
      </c>
      <c r="B53" s="190" t="str">
        <f t="shared" si="0"/>
        <v>5490000720RM</v>
      </c>
      <c r="C53" s="271">
        <v>5490000720</v>
      </c>
      <c r="D53" s="190" t="s">
        <v>410</v>
      </c>
      <c r="E53" s="268">
        <v>567.79999999999995</v>
      </c>
      <c r="F53" s="268">
        <v>708.40000000000009</v>
      </c>
      <c r="G53" s="268">
        <v>1047.1999999999998</v>
      </c>
      <c r="H53" s="268">
        <v>303</v>
      </c>
      <c r="I53" s="268">
        <v>210.60000000000002</v>
      </c>
      <c r="J53" s="268">
        <v>751.8</v>
      </c>
      <c r="K53" s="268">
        <v>1350.8000000000002</v>
      </c>
      <c r="L53" s="268">
        <v>707.2</v>
      </c>
      <c r="M53" s="268">
        <v>1269.2</v>
      </c>
      <c r="N53" s="268">
        <v>768.8</v>
      </c>
      <c r="O53" s="156">
        <v>732.60000000000014</v>
      </c>
      <c r="P53" s="156">
        <v>896.2</v>
      </c>
    </row>
    <row r="54" spans="1:16" x14ac:dyDescent="0.25">
      <c r="A54" s="356">
        <f>_xlfn.IFNA(VLOOKUP(B54,Mapping!C:D,2,FALSE),C54)</f>
        <v>5490000720</v>
      </c>
      <c r="B54" s="190" t="str">
        <f t="shared" si="0"/>
        <v>5490000720RDC</v>
      </c>
      <c r="C54" s="271">
        <v>5490000720</v>
      </c>
      <c r="D54" s="190" t="s">
        <v>409</v>
      </c>
      <c r="E54" s="268">
        <v>184.89600000000004</v>
      </c>
      <c r="F54" s="268">
        <v>323.71200000000005</v>
      </c>
      <c r="G54" s="268">
        <v>326.59199999999987</v>
      </c>
      <c r="H54" s="268">
        <v>203.32799999999995</v>
      </c>
      <c r="I54" s="268">
        <v>261.50400000000002</v>
      </c>
      <c r="J54" s="268">
        <v>433.72799999999995</v>
      </c>
      <c r="K54" s="268">
        <v>202.7519999999999</v>
      </c>
      <c r="L54" s="268">
        <v>337.53600000000006</v>
      </c>
      <c r="M54" s="268">
        <v>639.93599999999969</v>
      </c>
      <c r="N54" s="268">
        <v>318.52800000000002</v>
      </c>
      <c r="O54" s="156">
        <v>230.97599999999997</v>
      </c>
      <c r="P54" s="156">
        <v>385.34400000000005</v>
      </c>
    </row>
    <row r="55" spans="1:16" x14ac:dyDescent="0.25">
      <c r="A55" s="356">
        <f>_xlfn.IFNA(VLOOKUP(B55,Mapping!C:D,2,FALSE),C55)</f>
        <v>5490000720</v>
      </c>
      <c r="B55" s="190" t="str">
        <f t="shared" si="0"/>
        <v>5490000720RKR</v>
      </c>
      <c r="C55" s="271">
        <v>5490000720</v>
      </c>
      <c r="D55" s="190" t="s">
        <v>415</v>
      </c>
      <c r="E55" s="268">
        <v>210.60000000000008</v>
      </c>
      <c r="F55" s="268">
        <v>151.20000000000002</v>
      </c>
      <c r="G55" s="268">
        <v>232.20000000000005</v>
      </c>
      <c r="H55" s="268">
        <v>48.599999999999994</v>
      </c>
      <c r="I55" s="268">
        <v>194.4</v>
      </c>
      <c r="J55" s="268">
        <v>156.6</v>
      </c>
      <c r="K55" s="268">
        <v>540.00000000000023</v>
      </c>
      <c r="L55" s="268">
        <v>345.60000000000019</v>
      </c>
      <c r="M55" s="268">
        <v>356.40000000000009</v>
      </c>
      <c r="N55" s="268">
        <v>97.199999999999989</v>
      </c>
      <c r="O55" s="156">
        <v>334.80000000000013</v>
      </c>
      <c r="P55" s="156">
        <v>162.00000000000003</v>
      </c>
    </row>
    <row r="56" spans="1:16" x14ac:dyDescent="0.25">
      <c r="A56" s="356">
        <f>_xlfn.IFNA(VLOOKUP(B56,Mapping!C:D,2,FALSE),C56)</f>
        <v>5490000720</v>
      </c>
      <c r="B56" s="190" t="str">
        <f t="shared" si="0"/>
        <v>5490000720HDSH</v>
      </c>
      <c r="C56" s="271">
        <v>5490000720</v>
      </c>
      <c r="D56" s="190" t="s">
        <v>423</v>
      </c>
      <c r="E56" s="268">
        <v>96</v>
      </c>
      <c r="F56" s="268">
        <v>204</v>
      </c>
      <c r="G56" s="268">
        <v>168</v>
      </c>
      <c r="H56" s="268">
        <v>252</v>
      </c>
      <c r="I56" s="268">
        <v>276</v>
      </c>
      <c r="J56" s="268">
        <v>144</v>
      </c>
      <c r="K56" s="268">
        <v>240</v>
      </c>
      <c r="L56" s="268">
        <v>252</v>
      </c>
      <c r="M56" s="268">
        <v>228</v>
      </c>
      <c r="N56" s="268">
        <v>240</v>
      </c>
      <c r="O56" s="156">
        <v>144</v>
      </c>
      <c r="P56" s="156">
        <v>312</v>
      </c>
    </row>
    <row r="57" spans="1:16" x14ac:dyDescent="0.25">
      <c r="A57" s="356">
        <f>_xlfn.IFNA(VLOOKUP(B57,Mapping!C:D,2,FALSE),C57)</f>
        <v>5490000720</v>
      </c>
      <c r="B57" s="190" t="str">
        <f t="shared" si="0"/>
        <v>5490000720LPD</v>
      </c>
      <c r="C57" s="271">
        <v>5490000720</v>
      </c>
      <c r="D57" s="190" t="s">
        <v>420</v>
      </c>
      <c r="E57" s="268">
        <v>108</v>
      </c>
      <c r="F57" s="268">
        <v>108</v>
      </c>
      <c r="G57" s="268">
        <v>156</v>
      </c>
      <c r="H57" s="268">
        <v>108</v>
      </c>
      <c r="I57" s="268">
        <v>96</v>
      </c>
      <c r="J57" s="268">
        <v>102</v>
      </c>
      <c r="K57" s="268">
        <v>126</v>
      </c>
      <c r="L57" s="268">
        <v>126</v>
      </c>
      <c r="M57" s="268">
        <v>96</v>
      </c>
      <c r="N57" s="268">
        <v>198</v>
      </c>
      <c r="O57" s="156">
        <v>150</v>
      </c>
      <c r="P57" s="156">
        <v>168</v>
      </c>
    </row>
    <row r="58" spans="1:16" x14ac:dyDescent="0.25">
      <c r="A58" s="356">
        <f>_xlfn.IFNA(VLOOKUP(B58,Mapping!C:D,2,FALSE),C58)</f>
        <v>5490000719</v>
      </c>
      <c r="B58" s="190" t="str">
        <f t="shared" si="0"/>
        <v>5490000719AJ</v>
      </c>
      <c r="C58" s="271">
        <v>5490000719</v>
      </c>
      <c r="D58" s="190" t="s">
        <v>405</v>
      </c>
      <c r="E58" s="268">
        <v>264672</v>
      </c>
      <c r="F58" s="268">
        <v>273057.2</v>
      </c>
      <c r="G58" s="268">
        <v>243160</v>
      </c>
      <c r="H58" s="268">
        <v>275276</v>
      </c>
      <c r="I58" s="268">
        <v>269772</v>
      </c>
      <c r="J58" s="268">
        <v>266682.40000000002</v>
      </c>
      <c r="K58" s="268">
        <v>324536</v>
      </c>
      <c r="L58" s="268">
        <v>385240</v>
      </c>
      <c r="M58" s="268">
        <v>246880</v>
      </c>
      <c r="N58" s="268">
        <v>220788</v>
      </c>
      <c r="O58" s="156">
        <v>292528</v>
      </c>
      <c r="P58" s="156">
        <v>341636</v>
      </c>
    </row>
    <row r="59" spans="1:16" x14ac:dyDescent="0.25">
      <c r="A59" s="356">
        <f>_xlfn.IFNA(VLOOKUP(B59,Mapping!C:D,2,FALSE),C59)</f>
        <v>5490000719</v>
      </c>
      <c r="B59" s="190" t="str">
        <f t="shared" si="0"/>
        <v>5490000719RD</v>
      </c>
      <c r="C59" s="271">
        <v>5490000719</v>
      </c>
      <c r="D59" s="190" t="s">
        <v>406</v>
      </c>
      <c r="E59" s="268">
        <v>156526.60000000003</v>
      </c>
      <c r="F59" s="268">
        <v>157634.20000000007</v>
      </c>
      <c r="G59" s="268">
        <v>156825.80000000002</v>
      </c>
      <c r="H59" s="268">
        <v>148699.20000000004</v>
      </c>
      <c r="I59" s="268">
        <v>153953.20000000004</v>
      </c>
      <c r="J59" s="268">
        <v>187839.30000000005</v>
      </c>
      <c r="K59" s="268">
        <v>214441.00000000012</v>
      </c>
      <c r="L59" s="268">
        <v>226150.10000000006</v>
      </c>
      <c r="M59" s="268">
        <v>175622.90000000005</v>
      </c>
      <c r="N59" s="268">
        <v>142213.50000000003</v>
      </c>
      <c r="O59" s="156">
        <v>163078.29999999999</v>
      </c>
      <c r="P59" s="156">
        <v>230817.70000000007</v>
      </c>
    </row>
    <row r="60" spans="1:16" x14ac:dyDescent="0.25">
      <c r="A60" s="356">
        <f>_xlfn.IFNA(VLOOKUP(B60,Mapping!C:D,2,FALSE),C60)</f>
        <v>5490000719</v>
      </c>
      <c r="B60" s="190" t="str">
        <f t="shared" si="0"/>
        <v>5490000719YY</v>
      </c>
      <c r="C60" s="271">
        <v>5490000719</v>
      </c>
      <c r="D60" s="190" t="s">
        <v>412</v>
      </c>
      <c r="E60" s="268">
        <v>98997.999998565487</v>
      </c>
      <c r="F60" s="268">
        <v>86022.999998856903</v>
      </c>
      <c r="G60" s="268">
        <v>83482.999998827072</v>
      </c>
      <c r="H60" s="268">
        <v>102390.83333183554</v>
      </c>
      <c r="I60" s="268">
        <v>112121.99999842244</v>
      </c>
      <c r="J60" s="268">
        <v>106561.99999846781</v>
      </c>
      <c r="K60" s="268">
        <v>142378.99999706598</v>
      </c>
      <c r="L60" s="268">
        <v>113710.99999841298</v>
      </c>
      <c r="M60" s="268">
        <v>127980.99999788674</v>
      </c>
      <c r="N60" s="268">
        <v>118966.99999842612</v>
      </c>
      <c r="O60" s="156">
        <v>95458.99999880002</v>
      </c>
      <c r="P60" s="156">
        <v>126984.99999832052</v>
      </c>
    </row>
    <row r="61" spans="1:16" x14ac:dyDescent="0.25">
      <c r="A61" s="356">
        <f>_xlfn.IFNA(VLOOKUP(B61,Mapping!C:D,2,FALSE),C61)</f>
        <v>5490000719</v>
      </c>
      <c r="B61" s="190" t="str">
        <f t="shared" si="0"/>
        <v>5490000719PDC</v>
      </c>
      <c r="C61" s="271">
        <v>5490000719</v>
      </c>
      <c r="D61" s="190" t="s">
        <v>413</v>
      </c>
      <c r="E61" s="268">
        <v>44012.719799999992</v>
      </c>
      <c r="F61" s="268">
        <v>14084.488799999999</v>
      </c>
      <c r="G61" s="268">
        <v>31742.68139999999</v>
      </c>
      <c r="H61" s="268">
        <v>37110.068999999989</v>
      </c>
      <c r="I61" s="268">
        <v>25825.899599999986</v>
      </c>
      <c r="J61" s="268">
        <v>40915.389599999973</v>
      </c>
      <c r="K61" s="268">
        <v>37627.636799999993</v>
      </c>
      <c r="L61" s="268">
        <v>74227.505999999994</v>
      </c>
      <c r="M61" s="268">
        <v>56243.531999999992</v>
      </c>
      <c r="N61" s="268">
        <v>17505.975599999994</v>
      </c>
      <c r="O61" s="156">
        <v>23221.329599999997</v>
      </c>
      <c r="P61" s="156">
        <v>58124.025599999972</v>
      </c>
    </row>
    <row r="62" spans="1:16" x14ac:dyDescent="0.25">
      <c r="A62" s="356">
        <f>_xlfn.IFNA(VLOOKUP(B62,Mapping!C:D,2,FALSE),C62)</f>
        <v>5490000719</v>
      </c>
      <c r="B62" s="190" t="str">
        <f t="shared" si="0"/>
        <v>5490000719BD</v>
      </c>
      <c r="C62" s="271">
        <v>5490000719</v>
      </c>
      <c r="D62" s="190" t="s">
        <v>407</v>
      </c>
      <c r="E62" s="268">
        <v>30044.999999703727</v>
      </c>
      <c r="F62" s="268">
        <v>30316.999999702261</v>
      </c>
      <c r="G62" s="268">
        <v>33848.999999664447</v>
      </c>
      <c r="H62" s="268">
        <v>32658.999999676791</v>
      </c>
      <c r="I62" s="268">
        <v>31017.999999698419</v>
      </c>
      <c r="J62" s="268">
        <v>32574.999999679963</v>
      </c>
      <c r="K62" s="268">
        <v>52065.999999483349</v>
      </c>
      <c r="L62" s="268">
        <v>32572.999999680917</v>
      </c>
      <c r="M62" s="268">
        <v>35797.999999661406</v>
      </c>
      <c r="N62" s="268">
        <v>40491.99999960453</v>
      </c>
      <c r="O62" s="156">
        <v>32694.999999692085</v>
      </c>
      <c r="P62" s="156">
        <v>48706.999999538195</v>
      </c>
    </row>
    <row r="63" spans="1:16" x14ac:dyDescent="0.25">
      <c r="A63" s="356">
        <f>_xlfn.IFNA(VLOOKUP(B63,Mapping!C:D,2,FALSE),C63)</f>
        <v>5490000719</v>
      </c>
      <c r="B63" s="190" t="str">
        <f t="shared" si="0"/>
        <v>5490000719AJP</v>
      </c>
      <c r="C63" s="271">
        <v>5490000719</v>
      </c>
      <c r="D63" s="190" t="s">
        <v>408</v>
      </c>
      <c r="E63" s="268">
        <v>15190.559999999998</v>
      </c>
      <c r="F63" s="268">
        <v>13668.48</v>
      </c>
      <c r="G63" s="268">
        <v>8648.6399999999976</v>
      </c>
      <c r="H63" s="268">
        <v>15109.920000000004</v>
      </c>
      <c r="I63" s="268">
        <v>17075.520000000004</v>
      </c>
      <c r="J63" s="268">
        <v>18446.400000000005</v>
      </c>
      <c r="K63" s="268">
        <v>22730.399999999998</v>
      </c>
      <c r="L63" s="268">
        <v>25189.919999999998</v>
      </c>
      <c r="M63" s="268">
        <v>15976.800000000001</v>
      </c>
      <c r="N63" s="268">
        <v>13487.039999999999</v>
      </c>
      <c r="O63" s="156">
        <v>17922.239999999998</v>
      </c>
      <c r="P63" s="156">
        <v>18678.240000000002</v>
      </c>
    </row>
    <row r="64" spans="1:16" x14ac:dyDescent="0.25">
      <c r="A64" s="356">
        <f>_xlfn.IFNA(VLOOKUP(B64,Mapping!C:D,2,FALSE),C64)</f>
        <v>5490000719</v>
      </c>
      <c r="B64" s="190" t="str">
        <f t="shared" si="0"/>
        <v>5490000719RM</v>
      </c>
      <c r="C64" s="271">
        <v>5490000719</v>
      </c>
      <c r="D64" s="190" t="s">
        <v>410</v>
      </c>
      <c r="E64" s="268">
        <v>7338.2</v>
      </c>
      <c r="F64" s="268">
        <v>6477.9999999999982</v>
      </c>
      <c r="G64" s="268">
        <v>7753.2000000000007</v>
      </c>
      <c r="H64" s="268">
        <v>8052</v>
      </c>
      <c r="I64" s="268">
        <v>7514.5999999999995</v>
      </c>
      <c r="J64" s="268">
        <v>8457.7999999999993</v>
      </c>
      <c r="K64" s="268">
        <v>8926.7999999999993</v>
      </c>
      <c r="L64" s="268">
        <v>9548</v>
      </c>
      <c r="M64" s="268">
        <v>8679.7999999999993</v>
      </c>
      <c r="N64" s="268">
        <v>8656.2000000000007</v>
      </c>
      <c r="O64" s="156">
        <v>8814.7999999999993</v>
      </c>
      <c r="P64" s="156">
        <v>9398.2000000000007</v>
      </c>
    </row>
    <row r="65" spans="1:16" x14ac:dyDescent="0.25">
      <c r="A65" s="356">
        <f>_xlfn.IFNA(VLOOKUP(B65,Mapping!C:D,2,FALSE),C65)</f>
        <v>5490000719</v>
      </c>
      <c r="B65" s="190" t="str">
        <f t="shared" si="0"/>
        <v>5490000719RDC</v>
      </c>
      <c r="C65" s="271">
        <v>5490000719</v>
      </c>
      <c r="D65" s="190" t="s">
        <v>409</v>
      </c>
      <c r="E65" s="268">
        <v>6992.6400000000012</v>
      </c>
      <c r="F65" s="268">
        <v>4440.96</v>
      </c>
      <c r="G65" s="268">
        <v>6744.9600000000055</v>
      </c>
      <c r="H65" s="268">
        <v>6969.6000000000095</v>
      </c>
      <c r="I65" s="268">
        <v>7395.84</v>
      </c>
      <c r="J65" s="268">
        <v>7781.7600000000011</v>
      </c>
      <c r="K65" s="268">
        <v>7787.5200000000041</v>
      </c>
      <c r="L65" s="268">
        <v>8369.2800000000025</v>
      </c>
      <c r="M65" s="268">
        <v>6537.6000000000031</v>
      </c>
      <c r="N65" s="268">
        <v>6935.0400000000018</v>
      </c>
      <c r="O65" s="156">
        <v>7597.4400000000014</v>
      </c>
      <c r="P65" s="156">
        <v>6808.3200000000033</v>
      </c>
    </row>
    <row r="66" spans="1:16" x14ac:dyDescent="0.25">
      <c r="A66" s="356">
        <f>_xlfn.IFNA(VLOOKUP(B66,Mapping!C:D,2,FALSE),C66)</f>
        <v>5490000719</v>
      </c>
      <c r="B66" s="190" t="str">
        <f t="shared" si="0"/>
        <v>5490000719TKM</v>
      </c>
      <c r="C66" s="271">
        <v>5490000719</v>
      </c>
      <c r="D66" s="190" t="s">
        <v>414</v>
      </c>
      <c r="E66" s="268">
        <v>6026.4000000000005</v>
      </c>
      <c r="F66" s="268">
        <v>5023.2000000000007</v>
      </c>
      <c r="G66" s="268">
        <v>5251.2000000000007</v>
      </c>
      <c r="H66" s="268">
        <v>5880.0000000000009</v>
      </c>
      <c r="I66" s="268">
        <v>5671.2000000000007</v>
      </c>
      <c r="J66" s="268">
        <v>5227.2000000000007</v>
      </c>
      <c r="K66" s="268">
        <v>6576</v>
      </c>
      <c r="L66" s="268">
        <v>6466.8</v>
      </c>
      <c r="M66" s="268">
        <v>8695.1999999999989</v>
      </c>
      <c r="N66" s="268">
        <v>8346</v>
      </c>
      <c r="O66" s="156">
        <v>6993.6</v>
      </c>
      <c r="P66" s="156">
        <v>7842</v>
      </c>
    </row>
    <row r="67" spans="1:16" x14ac:dyDescent="0.25">
      <c r="A67" s="356">
        <f>_xlfn.IFNA(VLOOKUP(B67,Mapping!C:D,2,FALSE),C67)</f>
        <v>5490000719</v>
      </c>
      <c r="B67" s="190" t="str">
        <f t="shared" ref="B67:B121" si="1">C67&amp;D67</f>
        <v>5490000719ND</v>
      </c>
      <c r="C67" s="271">
        <v>5490000719</v>
      </c>
      <c r="D67" s="190" t="s">
        <v>411</v>
      </c>
      <c r="E67" s="268">
        <v>3920.4</v>
      </c>
      <c r="F67" s="268">
        <v>1306.8000000000002</v>
      </c>
      <c r="G67" s="268">
        <v>1502.8200000000002</v>
      </c>
      <c r="H67" s="268">
        <v>4778.8200000000006</v>
      </c>
      <c r="I67" s="268">
        <v>3554.6399999999985</v>
      </c>
      <c r="J67" s="268">
        <v>4556.8799999999992</v>
      </c>
      <c r="K67" s="268">
        <v>3531.9600000000009</v>
      </c>
      <c r="L67" s="268">
        <v>4510.6200000000008</v>
      </c>
      <c r="M67" s="268">
        <v>3539.8800000000006</v>
      </c>
      <c r="N67" s="268">
        <v>5222.3400000000011</v>
      </c>
      <c r="O67" s="156">
        <v>3944.52</v>
      </c>
      <c r="P67" s="156">
        <v>4258.62</v>
      </c>
    </row>
    <row r="68" spans="1:16" x14ac:dyDescent="0.25">
      <c r="A68" s="356">
        <f>_xlfn.IFNA(VLOOKUP(B68,Mapping!C:D,2,FALSE),C68)</f>
        <v>5490000719</v>
      </c>
      <c r="B68" s="190" t="str">
        <f t="shared" si="1"/>
        <v>5490000719RKR</v>
      </c>
      <c r="C68" s="271">
        <v>5490000719</v>
      </c>
      <c r="D68" s="190" t="s">
        <v>415</v>
      </c>
      <c r="E68" s="268">
        <v>4033.8</v>
      </c>
      <c r="F68" s="268">
        <v>3780</v>
      </c>
      <c r="G68" s="268">
        <v>2802.6000000000004</v>
      </c>
      <c r="H68" s="268">
        <v>2683.8</v>
      </c>
      <c r="I68" s="268">
        <v>4455</v>
      </c>
      <c r="J68" s="268">
        <v>2219.4000000000005</v>
      </c>
      <c r="K68" s="268">
        <v>4617</v>
      </c>
      <c r="L68" s="268">
        <v>3942</v>
      </c>
      <c r="M68" s="268">
        <v>2673</v>
      </c>
      <c r="N68" s="268">
        <v>4249.8</v>
      </c>
      <c r="O68" s="156">
        <v>4525.2</v>
      </c>
      <c r="P68" s="156">
        <v>3564</v>
      </c>
    </row>
    <row r="69" spans="1:16" x14ac:dyDescent="0.25">
      <c r="A69" s="356">
        <f>_xlfn.IFNA(VLOOKUP(B69,Mapping!C:D,2,FALSE),C69)</f>
        <v>5490000719</v>
      </c>
      <c r="B69" s="190" t="str">
        <f t="shared" si="1"/>
        <v>5490000719SWEET</v>
      </c>
      <c r="C69" s="271">
        <v>5490000719</v>
      </c>
      <c r="D69" s="190" t="s">
        <v>421</v>
      </c>
      <c r="E69" s="268">
        <v>396</v>
      </c>
      <c r="F69" s="268"/>
      <c r="G69" s="268"/>
      <c r="H69" s="268"/>
      <c r="I69" s="268"/>
      <c r="J69" s="268"/>
      <c r="K69" s="268"/>
      <c r="L69" s="268"/>
      <c r="M69" s="268"/>
      <c r="N69" s="268"/>
    </row>
    <row r="70" spans="1:16" x14ac:dyDescent="0.25">
      <c r="A70" s="356">
        <f>_xlfn.IFNA(VLOOKUP(B70,Mapping!C:D,2,FALSE),C70)</f>
        <v>5490000718</v>
      </c>
      <c r="B70" s="190" t="str">
        <f t="shared" si="1"/>
        <v>5490000718YY</v>
      </c>
      <c r="C70" s="271">
        <v>5490000718</v>
      </c>
      <c r="D70" s="190" t="s">
        <v>412</v>
      </c>
      <c r="E70" s="268">
        <v>2082.9999999614161</v>
      </c>
      <c r="F70" s="268">
        <v>3775.9999999208162</v>
      </c>
      <c r="G70" s="268">
        <v>5597.9999998596932</v>
      </c>
      <c r="H70" s="268">
        <v>4647.9999998820331</v>
      </c>
      <c r="I70" s="268">
        <v>2562.9999999489</v>
      </c>
      <c r="J70" s="268">
        <v>4409.9999998886251</v>
      </c>
      <c r="K70" s="268">
        <v>5565.9999998635285</v>
      </c>
      <c r="L70" s="268">
        <v>3296.9999999172715</v>
      </c>
      <c r="M70" s="268">
        <v>4407.999999891922</v>
      </c>
      <c r="N70" s="268">
        <v>2620.9999999443116</v>
      </c>
      <c r="O70" s="156">
        <v>2137.9999999619999</v>
      </c>
      <c r="P70" s="293">
        <v>2883.9999999329284</v>
      </c>
    </row>
    <row r="71" spans="1:16" x14ac:dyDescent="0.25">
      <c r="A71" s="356">
        <f>_xlfn.IFNA(VLOOKUP(B71,Mapping!C:D,2,FALSE),C71)</f>
        <v>5490000718</v>
      </c>
      <c r="B71" s="190" t="str">
        <f t="shared" si="1"/>
        <v>5490000718AJ</v>
      </c>
      <c r="C71" s="271">
        <v>5490000718</v>
      </c>
      <c r="D71" s="190" t="s">
        <v>405</v>
      </c>
      <c r="E71" s="268">
        <v>1538.6</v>
      </c>
      <c r="F71" s="268">
        <v>1438.4</v>
      </c>
      <c r="G71" s="268">
        <v>1355</v>
      </c>
      <c r="H71" s="268">
        <v>1555.3</v>
      </c>
      <c r="I71" s="268">
        <v>1514</v>
      </c>
      <c r="J71" s="268">
        <v>1270.4000000000001</v>
      </c>
      <c r="K71" s="268">
        <v>1123.0999999999999</v>
      </c>
      <c r="L71" s="268">
        <v>1294.5999999999999</v>
      </c>
      <c r="M71" s="268">
        <v>1179.8</v>
      </c>
      <c r="N71" s="268">
        <v>3996</v>
      </c>
      <c r="O71" s="156">
        <v>2151.6</v>
      </c>
      <c r="P71" s="293">
        <v>2883.1</v>
      </c>
    </row>
    <row r="72" spans="1:16" x14ac:dyDescent="0.25">
      <c r="A72" s="356">
        <f>_xlfn.IFNA(VLOOKUP(B72,Mapping!C:D,2,FALSE),C72)</f>
        <v>5490000718</v>
      </c>
      <c r="B72" s="190" t="str">
        <f t="shared" si="1"/>
        <v>5490000718BD</v>
      </c>
      <c r="C72" s="271">
        <v>5490000718</v>
      </c>
      <c r="D72" s="190" t="s">
        <v>407</v>
      </c>
      <c r="E72" s="268">
        <v>1416.9999999861893</v>
      </c>
      <c r="F72" s="268">
        <v>2457.9999999760612</v>
      </c>
      <c r="G72" s="268">
        <v>1373.9999999864517</v>
      </c>
      <c r="H72" s="268">
        <v>2009.9999999801992</v>
      </c>
      <c r="I72" s="268">
        <v>2119.9999999791175</v>
      </c>
      <c r="J72" s="268">
        <v>1955.9999999805889</v>
      </c>
      <c r="K72" s="268">
        <v>2269.9999999778574</v>
      </c>
      <c r="L72" s="268">
        <v>1782.9999999825229</v>
      </c>
      <c r="M72" s="268">
        <v>2184.9999999784613</v>
      </c>
      <c r="N72" s="268">
        <v>1479.9999999854815</v>
      </c>
      <c r="O72" s="156">
        <v>391.99999999651203</v>
      </c>
      <c r="P72" s="293">
        <v>1203.9999999883316</v>
      </c>
    </row>
    <row r="73" spans="1:16" x14ac:dyDescent="0.25">
      <c r="A73" s="356">
        <f>_xlfn.IFNA(VLOOKUP(B73,Mapping!C:D,2,FALSE),C73)</f>
        <v>5490000718</v>
      </c>
      <c r="B73" s="190" t="str">
        <f t="shared" si="1"/>
        <v>5490000718RD</v>
      </c>
      <c r="C73" s="271">
        <v>5490000718</v>
      </c>
      <c r="D73" s="190" t="s">
        <v>406</v>
      </c>
      <c r="E73" s="268">
        <v>630.40000000000009</v>
      </c>
      <c r="F73" s="268">
        <v>1179.2</v>
      </c>
      <c r="G73" s="268">
        <v>963.20000000000016</v>
      </c>
      <c r="H73" s="268">
        <v>752.2</v>
      </c>
      <c r="I73" s="268">
        <v>1510.0999999999997</v>
      </c>
      <c r="J73" s="268">
        <v>849.6</v>
      </c>
      <c r="K73" s="268">
        <v>1098</v>
      </c>
      <c r="L73" s="268">
        <v>653.70000000000005</v>
      </c>
      <c r="M73" s="268">
        <v>1173.1000000000001</v>
      </c>
      <c r="N73" s="268">
        <v>1571.5</v>
      </c>
      <c r="O73" s="156">
        <v>1436.8</v>
      </c>
      <c r="P73" s="293">
        <v>2088.9</v>
      </c>
    </row>
    <row r="74" spans="1:16" x14ac:dyDescent="0.25">
      <c r="A74" s="356">
        <f>_xlfn.IFNA(VLOOKUP(B74,Mapping!C:D,2,FALSE),C74)</f>
        <v>5490000718</v>
      </c>
      <c r="B74" s="190" t="str">
        <f t="shared" si="1"/>
        <v>5490000718TKM</v>
      </c>
      <c r="C74" s="271">
        <v>5490000718</v>
      </c>
      <c r="D74" s="190" t="s">
        <v>414</v>
      </c>
      <c r="E74" s="268">
        <v>1142.4000000000001</v>
      </c>
      <c r="F74" s="268">
        <v>765.60000000000025</v>
      </c>
      <c r="G74" s="268">
        <v>1363.2000000000003</v>
      </c>
      <c r="H74" s="268">
        <v>542.4</v>
      </c>
      <c r="I74" s="268">
        <v>1291.1999999999998</v>
      </c>
      <c r="J74" s="268">
        <v>988.8</v>
      </c>
      <c r="K74" s="268">
        <v>1036.8000000000002</v>
      </c>
      <c r="L74" s="268">
        <v>604.80000000000007</v>
      </c>
      <c r="M74" s="268">
        <v>867.59999999999991</v>
      </c>
      <c r="N74" s="268">
        <v>561.59999999999991</v>
      </c>
      <c r="O74" s="156">
        <v>708</v>
      </c>
      <c r="P74" s="293">
        <v>1184.4000000000001</v>
      </c>
    </row>
    <row r="75" spans="1:16" x14ac:dyDescent="0.25">
      <c r="A75" s="356">
        <f>_xlfn.IFNA(VLOOKUP(B75,Mapping!C:D,2,FALSE),C75)</f>
        <v>5490000718</v>
      </c>
      <c r="B75" s="190" t="str">
        <f t="shared" si="1"/>
        <v>5490000718FP</v>
      </c>
      <c r="C75" s="271">
        <v>5490000718</v>
      </c>
      <c r="D75" s="190" t="s">
        <v>418</v>
      </c>
      <c r="E75" s="268">
        <v>442.32</v>
      </c>
      <c r="F75" s="268">
        <v>293.88</v>
      </c>
      <c r="G75" s="268">
        <v>10.199999999999999</v>
      </c>
      <c r="H75" s="268">
        <v>144</v>
      </c>
      <c r="I75" s="268">
        <v>3150.6</v>
      </c>
      <c r="J75" s="268"/>
      <c r="K75" s="268">
        <v>407.4</v>
      </c>
      <c r="L75" s="268">
        <v>108</v>
      </c>
      <c r="M75" s="268">
        <v>118.2</v>
      </c>
      <c r="N75" s="268">
        <v>10.199999999999999</v>
      </c>
      <c r="P75" s="293"/>
    </row>
    <row r="76" spans="1:16" x14ac:dyDescent="0.25">
      <c r="A76" s="356">
        <f>_xlfn.IFNA(VLOOKUP(B76,Mapping!C:D,2,FALSE),C76)</f>
        <v>5490000718</v>
      </c>
      <c r="B76" s="190" t="str">
        <f t="shared" si="1"/>
        <v>5490000718PDC</v>
      </c>
      <c r="C76" s="271">
        <v>5490000718</v>
      </c>
      <c r="D76" s="190" t="s">
        <v>413</v>
      </c>
      <c r="E76" s="268">
        <v>236.03580000000002</v>
      </c>
      <c r="F76" s="268">
        <v>337.08240000000001</v>
      </c>
      <c r="G76" s="268">
        <v>83.982600000000005</v>
      </c>
      <c r="H76" s="268">
        <v>241.98119999999992</v>
      </c>
      <c r="I76" s="268">
        <v>270.20700000000005</v>
      </c>
      <c r="J76" s="268">
        <v>94.787999999999997</v>
      </c>
      <c r="K76" s="268">
        <v>272.81879999999995</v>
      </c>
      <c r="L76" s="268">
        <v>271.40219999999999</v>
      </c>
      <c r="M76" s="268">
        <v>164.87639999999999</v>
      </c>
      <c r="N76" s="268">
        <v>183.20399999999998</v>
      </c>
      <c r="O76" s="156">
        <v>186.80759999999998</v>
      </c>
      <c r="P76" s="293">
        <v>176.92919999999998</v>
      </c>
    </row>
    <row r="77" spans="1:16" x14ac:dyDescent="0.25">
      <c r="A77" s="356">
        <f>_xlfn.IFNA(VLOOKUP(B77,Mapping!C:D,2,FALSE),C77)</f>
        <v>5490000718</v>
      </c>
      <c r="B77" s="190" t="str">
        <f t="shared" si="1"/>
        <v>5490000718RM</v>
      </c>
      <c r="C77" s="271">
        <v>5490000718</v>
      </c>
      <c r="D77" s="190" t="s">
        <v>410</v>
      </c>
      <c r="E77" s="268">
        <v>227.2</v>
      </c>
      <c r="F77" s="268">
        <v>163.5</v>
      </c>
      <c r="G77" s="268">
        <v>258.2</v>
      </c>
      <c r="H77" s="268">
        <v>147</v>
      </c>
      <c r="I77" s="268">
        <v>166</v>
      </c>
      <c r="J77" s="268">
        <v>204.6</v>
      </c>
      <c r="K77" s="268">
        <v>194.4</v>
      </c>
      <c r="L77" s="268">
        <v>174.7</v>
      </c>
      <c r="M77" s="268">
        <v>284</v>
      </c>
      <c r="N77" s="268">
        <v>85.6</v>
      </c>
      <c r="O77" s="156">
        <v>18</v>
      </c>
      <c r="P77" s="293">
        <v>482.29999999999995</v>
      </c>
    </row>
    <row r="78" spans="1:16" x14ac:dyDescent="0.25">
      <c r="A78" s="356">
        <f>_xlfn.IFNA(VLOOKUP(B78,Mapping!C:D,2,FALSE),C78)</f>
        <v>5490000718</v>
      </c>
      <c r="B78" s="190" t="str">
        <f t="shared" si="1"/>
        <v>5490000718RDC</v>
      </c>
      <c r="C78" s="271">
        <v>5490000718</v>
      </c>
      <c r="D78" s="190" t="s">
        <v>409</v>
      </c>
      <c r="E78" s="268">
        <v>84.960000000000008</v>
      </c>
      <c r="F78" s="268">
        <v>253.44</v>
      </c>
      <c r="G78" s="268">
        <v>211.67999999999998</v>
      </c>
      <c r="H78" s="268">
        <v>177.12</v>
      </c>
      <c r="I78" s="268">
        <v>216</v>
      </c>
      <c r="J78" s="268">
        <v>144</v>
      </c>
      <c r="K78" s="268">
        <v>325.43999999999994</v>
      </c>
      <c r="L78" s="268">
        <v>96.480000000000018</v>
      </c>
      <c r="M78" s="268">
        <v>190.08</v>
      </c>
      <c r="N78" s="268">
        <v>139.68</v>
      </c>
      <c r="O78" s="156">
        <v>34.56</v>
      </c>
      <c r="P78" s="293">
        <v>459.35999999999996</v>
      </c>
    </row>
    <row r="79" spans="1:16" x14ac:dyDescent="0.25">
      <c r="A79" s="356">
        <f>_xlfn.IFNA(VLOOKUP(B79,Mapping!C:D,2,FALSE),C79)</f>
        <v>5490000718</v>
      </c>
      <c r="B79" s="190" t="str">
        <f t="shared" si="1"/>
        <v>5490000718AJP</v>
      </c>
      <c r="C79" s="271">
        <v>5490000718</v>
      </c>
      <c r="D79" s="190" t="s">
        <v>408</v>
      </c>
      <c r="E79" s="268">
        <v>151.19999999999999</v>
      </c>
      <c r="F79" s="268">
        <v>171.36000000000004</v>
      </c>
      <c r="G79" s="268">
        <v>171.36</v>
      </c>
      <c r="H79" s="268">
        <v>80.64</v>
      </c>
      <c r="I79" s="268">
        <v>181.44000000000005</v>
      </c>
      <c r="J79" s="268">
        <v>120.96000000000001</v>
      </c>
      <c r="K79" s="268">
        <v>362.87999999999994</v>
      </c>
      <c r="L79" s="268"/>
      <c r="M79" s="268"/>
      <c r="N79" s="268">
        <v>70.56</v>
      </c>
      <c r="O79" s="156">
        <v>514.07999999999993</v>
      </c>
      <c r="P79" s="293">
        <v>20.16</v>
      </c>
    </row>
    <row r="80" spans="1:16" x14ac:dyDescent="0.25">
      <c r="A80" s="356">
        <f>_xlfn.IFNA(VLOOKUP(B80,Mapping!C:D,2,FALSE),C80)</f>
        <v>5490000718</v>
      </c>
      <c r="B80" s="190" t="str">
        <f t="shared" si="1"/>
        <v>5490000718RKR</v>
      </c>
      <c r="C80" s="271">
        <v>5490000718</v>
      </c>
      <c r="D80" s="190" t="s">
        <v>415</v>
      </c>
      <c r="E80" s="268">
        <v>122.4</v>
      </c>
      <c r="F80" s="268">
        <v>106.19999999999999</v>
      </c>
      <c r="G80" s="268">
        <v>91.800000000000011</v>
      </c>
      <c r="H80" s="268">
        <v>66.599999999999994</v>
      </c>
      <c r="I80" s="268">
        <v>124.19999999999999</v>
      </c>
      <c r="J80" s="268">
        <v>23.4</v>
      </c>
      <c r="K80" s="268">
        <v>277.2</v>
      </c>
      <c r="L80" s="268">
        <v>32.4</v>
      </c>
      <c r="M80" s="268">
        <v>136.79999999999998</v>
      </c>
      <c r="N80" s="268">
        <v>63</v>
      </c>
      <c r="O80" s="156">
        <v>71.999999999999986</v>
      </c>
      <c r="P80" s="293">
        <v>79.2</v>
      </c>
    </row>
    <row r="81" spans="1:16" x14ac:dyDescent="0.25">
      <c r="A81" s="356">
        <f>_xlfn.IFNA(VLOOKUP(B81,Mapping!C:D,2,FALSE),C81)</f>
        <v>5490000718</v>
      </c>
      <c r="B81" s="190" t="str">
        <f t="shared" si="1"/>
        <v>5490000718FP</v>
      </c>
      <c r="C81" s="271">
        <v>5490000718</v>
      </c>
      <c r="D81" s="190" t="s">
        <v>418</v>
      </c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156">
        <v>21.024000000000001</v>
      </c>
      <c r="P81" s="293">
        <v>348.79199999999997</v>
      </c>
    </row>
    <row r="82" spans="1:16" x14ac:dyDescent="0.25">
      <c r="A82" s="356">
        <f>_xlfn.IFNA(VLOOKUP(B82,Mapping!C:D,2,FALSE),C82)</f>
        <v>5490000718</v>
      </c>
      <c r="B82" s="190" t="str">
        <f t="shared" si="1"/>
        <v>5490000718AMV</v>
      </c>
      <c r="C82" s="271">
        <v>5490000718</v>
      </c>
      <c r="D82" s="190" t="s">
        <v>416</v>
      </c>
      <c r="E82" s="268">
        <v>19.99999999968</v>
      </c>
      <c r="F82" s="268">
        <v>6.9999999998880007</v>
      </c>
      <c r="G82" s="268">
        <v>11.999999999808001</v>
      </c>
      <c r="H82" s="268">
        <v>26.999999999568001</v>
      </c>
      <c r="I82" s="268">
        <v>6.9999999998880007</v>
      </c>
      <c r="J82" s="268">
        <v>20.999999999663999</v>
      </c>
      <c r="K82" s="268">
        <v>35.999999999423999</v>
      </c>
      <c r="L82" s="268">
        <v>9.99999999984</v>
      </c>
      <c r="M82" s="268">
        <v>37.999999999392003</v>
      </c>
      <c r="N82" s="268">
        <v>0.99999999998400013</v>
      </c>
      <c r="O82" s="156">
        <v>4.99999999992</v>
      </c>
      <c r="P82" s="293">
        <v>59.999999999040007</v>
      </c>
    </row>
    <row r="83" spans="1:16" x14ac:dyDescent="0.25">
      <c r="A83" s="356">
        <f>_xlfn.IFNA(VLOOKUP(B83,Mapping!C:D,2,FALSE),C83)</f>
        <v>5490000718</v>
      </c>
      <c r="B83" s="190" t="str">
        <f t="shared" si="1"/>
        <v>5490000718QM</v>
      </c>
      <c r="C83" s="271">
        <v>5490000718</v>
      </c>
      <c r="D83" s="190" t="s">
        <v>419</v>
      </c>
      <c r="E83" s="268"/>
      <c r="F83" s="268"/>
      <c r="G83" s="268"/>
      <c r="H83" s="268"/>
      <c r="I83" s="268"/>
      <c r="J83" s="268"/>
      <c r="K83" s="268"/>
      <c r="L83" s="268"/>
      <c r="M83" s="268"/>
      <c r="N83" s="268">
        <v>104</v>
      </c>
      <c r="O83" s="156">
        <v>50</v>
      </c>
      <c r="P83" s="293"/>
    </row>
    <row r="84" spans="1:16" x14ac:dyDescent="0.25">
      <c r="A84" s="356">
        <f>_xlfn.IFNA(VLOOKUP(B84,Mapping!C:D,2,FALSE),C84)</f>
        <v>5490000718</v>
      </c>
      <c r="B84" s="190" t="str">
        <f t="shared" si="1"/>
        <v>5490000718SWEET</v>
      </c>
      <c r="C84" s="271">
        <v>5490000718</v>
      </c>
      <c r="D84" s="190" t="s">
        <v>421</v>
      </c>
      <c r="E84" s="268">
        <v>12</v>
      </c>
      <c r="F84" s="268"/>
      <c r="G84" s="268"/>
      <c r="H84" s="268"/>
      <c r="I84" s="268"/>
      <c r="J84" s="268"/>
      <c r="K84" s="268"/>
      <c r="L84" s="268"/>
      <c r="M84" s="268"/>
      <c r="N84" s="268"/>
    </row>
    <row r="85" spans="1:16" x14ac:dyDescent="0.25">
      <c r="A85" s="356">
        <f>_xlfn.IFNA(VLOOKUP(B85,Mapping!C:D,2,FALSE),C85)</f>
        <v>5490000718</v>
      </c>
      <c r="B85" s="190" t="str">
        <f t="shared" si="1"/>
        <v>5490000718STICK</v>
      </c>
      <c r="C85" s="271">
        <v>5490000718</v>
      </c>
      <c r="D85" s="190" t="s">
        <v>422</v>
      </c>
      <c r="E85" s="268"/>
      <c r="F85" s="268">
        <v>9.36</v>
      </c>
      <c r="G85" s="268"/>
      <c r="H85" s="268"/>
      <c r="I85" s="268"/>
      <c r="J85" s="268"/>
      <c r="K85" s="268"/>
      <c r="L85" s="268"/>
      <c r="M85" s="268"/>
      <c r="N85" s="268"/>
    </row>
    <row r="86" spans="1:16" x14ac:dyDescent="0.25">
      <c r="A86" s="356">
        <f>_xlfn.IFNA(VLOOKUP(B86,Mapping!C:D,2,FALSE),C86)</f>
        <v>5490000717</v>
      </c>
      <c r="B86" s="190" t="str">
        <f t="shared" si="1"/>
        <v>5490000717AJ</v>
      </c>
      <c r="C86" s="271">
        <v>5490000717</v>
      </c>
      <c r="D86" s="190" t="s">
        <v>405</v>
      </c>
      <c r="E86" s="268">
        <v>209871.2</v>
      </c>
      <c r="F86" s="268">
        <v>102929.79999999999</v>
      </c>
      <c r="G86" s="268">
        <v>150764.1</v>
      </c>
      <c r="H86" s="268">
        <v>173563.1</v>
      </c>
      <c r="I86" s="268">
        <v>116599.29999999999</v>
      </c>
      <c r="J86" s="268">
        <v>135695</v>
      </c>
      <c r="K86" s="268">
        <v>200239.50000000003</v>
      </c>
      <c r="L86" s="268">
        <v>122404.90000000001</v>
      </c>
      <c r="M86" s="268">
        <v>165910.90000000002</v>
      </c>
      <c r="N86" s="268">
        <v>137059.79999999999</v>
      </c>
      <c r="O86" s="156">
        <v>91694.8</v>
      </c>
      <c r="P86" s="156">
        <v>239399.8</v>
      </c>
    </row>
    <row r="87" spans="1:16" x14ac:dyDescent="0.25">
      <c r="A87" s="356">
        <f>_xlfn.IFNA(VLOOKUP(B87,Mapping!C:D,2,FALSE),C87)</f>
        <v>5490000717</v>
      </c>
      <c r="B87" s="190" t="str">
        <f t="shared" si="1"/>
        <v>5490000717RD</v>
      </c>
      <c r="C87" s="271">
        <v>5490000717</v>
      </c>
      <c r="D87" s="190" t="s">
        <v>406</v>
      </c>
      <c r="E87" s="268">
        <v>180237.56000000003</v>
      </c>
      <c r="F87" s="268">
        <v>63610.619999999988</v>
      </c>
      <c r="G87" s="268">
        <v>105005.68000000004</v>
      </c>
      <c r="H87" s="268">
        <v>118706.57999999997</v>
      </c>
      <c r="I87" s="268">
        <v>98137.380000000019</v>
      </c>
      <c r="J87" s="268">
        <v>119604.91999999998</v>
      </c>
      <c r="K87" s="268">
        <v>97990.979999999981</v>
      </c>
      <c r="L87" s="268">
        <v>123270.72000000004</v>
      </c>
      <c r="M87" s="268">
        <v>158118.53999999998</v>
      </c>
      <c r="N87" s="268">
        <v>129151.71999999999</v>
      </c>
      <c r="O87" s="156">
        <v>80159.920000000013</v>
      </c>
      <c r="P87" s="156">
        <v>148168.28000000003</v>
      </c>
    </row>
    <row r="88" spans="1:16" x14ac:dyDescent="0.25">
      <c r="A88" s="356" t="str">
        <f>_xlfn.IFNA(VLOOKUP(B88,Mapping!C:D,2,FALSE),C88)</f>
        <v>5490000703</v>
      </c>
      <c r="B88" s="190" t="str">
        <f t="shared" si="1"/>
        <v>5490000717YY</v>
      </c>
      <c r="C88" s="271">
        <v>5490000717</v>
      </c>
      <c r="D88" s="190" t="s">
        <v>412</v>
      </c>
      <c r="E88" s="268">
        <v>128507.99999830886</v>
      </c>
      <c r="F88" s="268">
        <v>87536.99999858877</v>
      </c>
      <c r="G88" s="268">
        <v>90041.999998686821</v>
      </c>
      <c r="H88" s="268">
        <v>90681.999998773754</v>
      </c>
      <c r="I88" s="268">
        <v>77959.999998857136</v>
      </c>
      <c r="J88" s="268">
        <v>145942.99999817676</v>
      </c>
      <c r="K88" s="268">
        <v>124533.99999847672</v>
      </c>
      <c r="L88" s="268">
        <v>90102.999998724728</v>
      </c>
      <c r="M88" s="268">
        <v>110547.99999842915</v>
      </c>
      <c r="N88" s="268">
        <v>121357.99999811433</v>
      </c>
      <c r="O88" s="156">
        <v>88142.999998608342</v>
      </c>
      <c r="P88" s="156">
        <v>122332.99999819462</v>
      </c>
    </row>
    <row r="89" spans="1:16" x14ac:dyDescent="0.25">
      <c r="A89" s="356" t="str">
        <f>_xlfn.IFNA(VLOOKUP(B89,Mapping!C:D,2,FALSE),C89)</f>
        <v>5490000703</v>
      </c>
      <c r="B89" s="190" t="str">
        <f t="shared" si="1"/>
        <v>5490000717BD</v>
      </c>
      <c r="C89" s="271">
        <v>5490000717</v>
      </c>
      <c r="D89" s="190" t="s">
        <v>407</v>
      </c>
      <c r="E89" s="268">
        <v>55596.999999452186</v>
      </c>
      <c r="F89" s="268">
        <v>23080.999999772579</v>
      </c>
      <c r="G89" s="268">
        <v>23242.999999777683</v>
      </c>
      <c r="H89" s="268">
        <v>37392.99999962849</v>
      </c>
      <c r="I89" s="268">
        <v>42983.999999579661</v>
      </c>
      <c r="J89" s="268">
        <v>33341.999999672968</v>
      </c>
      <c r="K89" s="268">
        <v>54124.999999463435</v>
      </c>
      <c r="L89" s="268">
        <v>51739.999999513551</v>
      </c>
      <c r="M89" s="268">
        <v>54645.999999467851</v>
      </c>
      <c r="N89" s="268">
        <v>46290.999999550804</v>
      </c>
      <c r="O89" s="156">
        <v>18550.99999981745</v>
      </c>
      <c r="P89" s="156">
        <v>46268.99999954438</v>
      </c>
    </row>
    <row r="90" spans="1:16" x14ac:dyDescent="0.25">
      <c r="A90" s="356" t="str">
        <f>_xlfn.IFNA(VLOOKUP(B90,Mapping!C:D,2,FALSE),C90)</f>
        <v>5490000703</v>
      </c>
      <c r="B90" s="190" t="str">
        <f t="shared" si="1"/>
        <v>5490000717PDC</v>
      </c>
      <c r="C90" s="271">
        <v>5490000717</v>
      </c>
      <c r="D90" s="190" t="s">
        <v>413</v>
      </c>
      <c r="E90" s="268">
        <v>48870.723000000005</v>
      </c>
      <c r="F90" s="268">
        <v>23250.269399999994</v>
      </c>
      <c r="G90" s="268">
        <v>21047.891999999996</v>
      </c>
      <c r="H90" s="268">
        <v>39786.344400000009</v>
      </c>
      <c r="I90" s="268">
        <v>29118.31199999998</v>
      </c>
      <c r="J90" s="268">
        <v>34908.675600000031</v>
      </c>
      <c r="K90" s="268">
        <v>34973.792400000006</v>
      </c>
      <c r="L90" s="268">
        <v>56204.787000000018</v>
      </c>
      <c r="M90" s="268">
        <v>46399.067400000022</v>
      </c>
      <c r="N90" s="268">
        <v>47689.205400000013</v>
      </c>
      <c r="O90" s="156">
        <v>25511.432999999997</v>
      </c>
      <c r="P90" s="156">
        <v>34595.957400000007</v>
      </c>
    </row>
    <row r="91" spans="1:16" x14ac:dyDescent="0.25">
      <c r="A91" s="356">
        <f>_xlfn.IFNA(VLOOKUP(B91,Mapping!C:D,2,FALSE),C91)</f>
        <v>5490000717</v>
      </c>
      <c r="B91" s="190" t="str">
        <f t="shared" si="1"/>
        <v>5490000717RM</v>
      </c>
      <c r="C91" s="271">
        <v>5490000717</v>
      </c>
      <c r="D91" s="190" t="s">
        <v>410</v>
      </c>
      <c r="E91" s="268">
        <v>18084.499999999989</v>
      </c>
      <c r="F91" s="268">
        <v>11270.099999999997</v>
      </c>
      <c r="G91" s="268">
        <v>12770.100000000004</v>
      </c>
      <c r="H91" s="268">
        <v>14651.399999999992</v>
      </c>
      <c r="I91" s="268">
        <v>12186.699999999993</v>
      </c>
      <c r="J91" s="268">
        <v>13219.299999999992</v>
      </c>
      <c r="K91" s="268">
        <v>13329.299999999997</v>
      </c>
      <c r="L91" s="268">
        <v>15381.799999999992</v>
      </c>
      <c r="M91" s="268">
        <v>18951.099999999988</v>
      </c>
      <c r="N91" s="268">
        <v>14109.399999999996</v>
      </c>
      <c r="O91" s="156">
        <v>13722.400000000005</v>
      </c>
      <c r="P91" s="156">
        <v>18678.200000000012</v>
      </c>
    </row>
    <row r="92" spans="1:16" x14ac:dyDescent="0.25">
      <c r="A92" s="356">
        <f>_xlfn.IFNA(VLOOKUP(B92,Mapping!C:D,2,FALSE),C92)</f>
        <v>5490000717</v>
      </c>
      <c r="B92" s="190" t="str">
        <f t="shared" si="1"/>
        <v>5490000717TKM</v>
      </c>
      <c r="C92" s="271">
        <v>5490000717</v>
      </c>
      <c r="D92" s="190" t="s">
        <v>414</v>
      </c>
      <c r="E92" s="268">
        <v>13520.399999999998</v>
      </c>
      <c r="F92" s="268">
        <v>11105.999999999993</v>
      </c>
      <c r="G92" s="268">
        <v>15915.599999999984</v>
      </c>
      <c r="H92" s="268">
        <v>11281.199999999997</v>
      </c>
      <c r="I92" s="268">
        <v>14844.000000000002</v>
      </c>
      <c r="J92" s="268">
        <v>14519.999999999996</v>
      </c>
      <c r="K92" s="268">
        <v>11487.599999999993</v>
      </c>
      <c r="L92" s="268">
        <v>11629.199999999995</v>
      </c>
      <c r="M92" s="268">
        <v>12431.999999999996</v>
      </c>
      <c r="N92" s="268">
        <v>11974.79999999999</v>
      </c>
      <c r="O92" s="156">
        <v>11613.599999999997</v>
      </c>
      <c r="P92" s="156">
        <v>11867.999999999998</v>
      </c>
    </row>
    <row r="93" spans="1:16" x14ac:dyDescent="0.25">
      <c r="A93" s="356">
        <f>_xlfn.IFNA(VLOOKUP(B93,Mapping!C:D,2,FALSE),C93)</f>
        <v>5490000717</v>
      </c>
      <c r="B93" s="190" t="str">
        <f t="shared" si="1"/>
        <v>5490000717AJP</v>
      </c>
      <c r="C93" s="271">
        <v>5490000717</v>
      </c>
      <c r="D93" s="190" t="s">
        <v>408</v>
      </c>
      <c r="E93" s="268">
        <v>20660.16</v>
      </c>
      <c r="F93" s="268">
        <v>3265.9199999999996</v>
      </c>
      <c r="G93" s="268">
        <v>9907.44</v>
      </c>
      <c r="H93" s="268">
        <v>14072.159999999996</v>
      </c>
      <c r="I93" s="268">
        <v>7321.3199999999988</v>
      </c>
      <c r="J93" s="268">
        <v>9555.4799999999977</v>
      </c>
      <c r="K93" s="268">
        <v>11892.84</v>
      </c>
      <c r="L93" s="268">
        <v>11892.84</v>
      </c>
      <c r="M93" s="268">
        <v>11434.8</v>
      </c>
      <c r="N93" s="268">
        <v>12910.92</v>
      </c>
      <c r="O93" s="156">
        <v>10221.119999999999</v>
      </c>
      <c r="P93" s="156">
        <v>20698.68</v>
      </c>
    </row>
    <row r="94" spans="1:16" x14ac:dyDescent="0.25">
      <c r="A94" s="356">
        <f>_xlfn.IFNA(VLOOKUP(B94,Mapping!C:D,2,FALSE),C94)</f>
        <v>5490000717</v>
      </c>
      <c r="B94" s="190" t="str">
        <f t="shared" si="1"/>
        <v>5490000717RDC</v>
      </c>
      <c r="C94" s="271">
        <v>5490000717</v>
      </c>
      <c r="D94" s="190" t="s">
        <v>409</v>
      </c>
      <c r="E94" s="268">
        <v>8602.8480000000091</v>
      </c>
      <c r="F94" s="268">
        <v>5421.8880000000045</v>
      </c>
      <c r="G94" s="268">
        <v>6954.0480000000189</v>
      </c>
      <c r="H94" s="268">
        <v>7028.3520000000226</v>
      </c>
      <c r="I94" s="268">
        <v>6060.9600000000091</v>
      </c>
      <c r="J94" s="268">
        <v>6981.9840000000158</v>
      </c>
      <c r="K94" s="268">
        <v>5924.4480000000103</v>
      </c>
      <c r="L94" s="268">
        <v>5204.7360000000072</v>
      </c>
      <c r="M94" s="268">
        <v>7939.2960000000166</v>
      </c>
      <c r="N94" s="268">
        <v>6175.2960000000085</v>
      </c>
      <c r="O94" s="156">
        <v>6663.7440000000097</v>
      </c>
      <c r="P94" s="156">
        <v>8435.5200000000114</v>
      </c>
    </row>
    <row r="95" spans="1:16" x14ac:dyDescent="0.25">
      <c r="A95" s="356" t="str">
        <f>_xlfn.IFNA(VLOOKUP(B95,Mapping!C:D,2,FALSE),C95)</f>
        <v>5490000703</v>
      </c>
      <c r="B95" s="190" t="str">
        <f t="shared" si="1"/>
        <v>5490000717RKR</v>
      </c>
      <c r="C95" s="271">
        <v>5490000717</v>
      </c>
      <c r="D95" s="190" t="s">
        <v>415</v>
      </c>
      <c r="E95" s="268">
        <v>3562.2</v>
      </c>
      <c r="F95" s="268">
        <v>3544.2000000000016</v>
      </c>
      <c r="G95" s="268">
        <v>3878.9999999999991</v>
      </c>
      <c r="H95" s="268">
        <v>2691.0000000000018</v>
      </c>
      <c r="I95" s="268">
        <v>2880</v>
      </c>
      <c r="J95" s="268">
        <v>3970.8</v>
      </c>
      <c r="K95" s="268">
        <v>3506.400000000001</v>
      </c>
      <c r="L95" s="268">
        <v>2768.4000000000019</v>
      </c>
      <c r="M95" s="268">
        <v>3796.2000000000021</v>
      </c>
      <c r="N95" s="268">
        <v>2313.0000000000032</v>
      </c>
      <c r="O95" s="156">
        <v>4633.2000000000016</v>
      </c>
      <c r="P95" s="156">
        <v>3015.0000000000005</v>
      </c>
    </row>
    <row r="96" spans="1:16" x14ac:dyDescent="0.25">
      <c r="A96" s="356">
        <f>_xlfn.IFNA(VLOOKUP(B96,Mapping!C:D,2,FALSE),C96)</f>
        <v>5490000717</v>
      </c>
      <c r="B96" s="190" t="str">
        <f t="shared" si="1"/>
        <v>5490000717ND</v>
      </c>
      <c r="C96" s="271">
        <v>5490000717</v>
      </c>
      <c r="D96" s="190" t="s">
        <v>411</v>
      </c>
      <c r="E96" s="268">
        <v>534.59999999999991</v>
      </c>
      <c r="F96" s="268">
        <v>677.16</v>
      </c>
      <c r="G96" s="268">
        <v>677.1600000000002</v>
      </c>
      <c r="H96" s="268">
        <v>689.04</v>
      </c>
      <c r="I96" s="268">
        <v>748.44000000000028</v>
      </c>
      <c r="J96" s="268">
        <v>623.70000000000005</v>
      </c>
      <c r="K96" s="268">
        <v>564.29999999999995</v>
      </c>
      <c r="L96" s="268">
        <v>689.04000000000019</v>
      </c>
      <c r="M96" s="268">
        <v>5518.4400000000005</v>
      </c>
      <c r="N96" s="268">
        <v>3277.98</v>
      </c>
      <c r="O96" s="156">
        <v>2614.8599999999997</v>
      </c>
      <c r="P96" s="156">
        <v>4602.4199999999992</v>
      </c>
    </row>
    <row r="97" spans="1:16" x14ac:dyDescent="0.25">
      <c r="A97" s="356" t="str">
        <f>_xlfn.IFNA(VLOOKUP(B97,Mapping!C:D,2,FALSE),C97)</f>
        <v>1190064716</v>
      </c>
      <c r="B97" s="190" t="str">
        <f t="shared" si="1"/>
        <v>1190064716BD</v>
      </c>
      <c r="C97" s="271" t="s">
        <v>259</v>
      </c>
      <c r="D97" s="190" t="s">
        <v>407</v>
      </c>
      <c r="E97" s="268">
        <v>52537.999999476328</v>
      </c>
      <c r="F97" s="268">
        <v>21763.999999787997</v>
      </c>
      <c r="G97" s="268">
        <v>30825.999999693067</v>
      </c>
      <c r="H97" s="268">
        <v>45721.999999547035</v>
      </c>
      <c r="I97" s="268">
        <v>37311.999999638057</v>
      </c>
      <c r="J97" s="268">
        <v>24554.999999756848</v>
      </c>
      <c r="K97" s="268">
        <v>45292.999999549109</v>
      </c>
      <c r="L97" s="268">
        <v>37671.999999627646</v>
      </c>
      <c r="M97" s="268">
        <v>49396.999999510001</v>
      </c>
      <c r="N97" s="268">
        <v>877.99999999126817</v>
      </c>
    </row>
    <row r="98" spans="1:16" x14ac:dyDescent="0.25">
      <c r="A98" s="356" t="str">
        <f>_xlfn.IFNA(VLOOKUP(B98,Mapping!C:D,2,FALSE),C98)</f>
        <v>1190064716</v>
      </c>
      <c r="B98" s="190" t="str">
        <f t="shared" si="1"/>
        <v>1190064716YY</v>
      </c>
      <c r="C98" s="271" t="s">
        <v>259</v>
      </c>
      <c r="D98" s="190" t="s">
        <v>412</v>
      </c>
      <c r="E98" s="268">
        <v>7583.9999998554922</v>
      </c>
      <c r="F98" s="268">
        <v>7434.999999859373</v>
      </c>
      <c r="G98" s="268">
        <v>4819.9999999288921</v>
      </c>
      <c r="H98" s="268">
        <v>4093.9999999316442</v>
      </c>
      <c r="I98" s="268">
        <v>5867.9999998769499</v>
      </c>
      <c r="J98" s="268">
        <v>9180.9999998694675</v>
      </c>
      <c r="K98" s="268">
        <v>5224.9999999105712</v>
      </c>
      <c r="L98" s="268">
        <v>4540.9999999113752</v>
      </c>
      <c r="M98" s="268">
        <v>5586.999999893188</v>
      </c>
      <c r="N98" s="268"/>
    </row>
    <row r="99" spans="1:16" x14ac:dyDescent="0.25">
      <c r="A99" s="356" t="str">
        <f>_xlfn.IFNA(VLOOKUP(B99,Mapping!C:D,2,FALSE),C99)</f>
        <v>1190064716</v>
      </c>
      <c r="B99" s="190" t="str">
        <f t="shared" si="1"/>
        <v>1190064716AJ</v>
      </c>
      <c r="C99" s="271" t="s">
        <v>259</v>
      </c>
      <c r="D99" s="190" t="s">
        <v>405</v>
      </c>
      <c r="E99" s="268">
        <v>3694.2000000000003</v>
      </c>
      <c r="F99" s="268">
        <v>4687.6000000000004</v>
      </c>
      <c r="G99" s="268">
        <v>4089.4</v>
      </c>
      <c r="H99" s="268">
        <v>5517.4</v>
      </c>
      <c r="I99" s="268">
        <v>4061.4</v>
      </c>
      <c r="J99" s="268">
        <v>4282</v>
      </c>
      <c r="K99" s="268">
        <v>3910.7999999999997</v>
      </c>
      <c r="L99" s="268">
        <v>2844.6000000000004</v>
      </c>
      <c r="M99" s="268">
        <v>4357.2</v>
      </c>
      <c r="N99" s="268"/>
    </row>
    <row r="100" spans="1:16" x14ac:dyDescent="0.25">
      <c r="A100" s="356" t="str">
        <f>_xlfn.IFNA(VLOOKUP(B100,Mapping!C:D,2,FALSE),C100)</f>
        <v>1190064716</v>
      </c>
      <c r="B100" s="190" t="str">
        <f t="shared" si="1"/>
        <v>1190064716RD</v>
      </c>
      <c r="C100" s="271" t="s">
        <v>259</v>
      </c>
      <c r="D100" s="190" t="s">
        <v>406</v>
      </c>
      <c r="E100" s="268">
        <v>2169.8000000000002</v>
      </c>
      <c r="F100" s="268">
        <v>2418.4</v>
      </c>
      <c r="G100" s="268">
        <v>1587.56</v>
      </c>
      <c r="H100" s="268">
        <v>2107.1800000000003</v>
      </c>
      <c r="I100" s="268">
        <v>1908.1200000000003</v>
      </c>
      <c r="J100" s="268">
        <v>2584.3600000000006</v>
      </c>
      <c r="K100" s="268">
        <v>1802.1200000000003</v>
      </c>
      <c r="L100" s="268">
        <v>1561.5600000000002</v>
      </c>
      <c r="M100" s="268">
        <v>2665.92</v>
      </c>
      <c r="N100" s="268"/>
    </row>
    <row r="101" spans="1:16" x14ac:dyDescent="0.25">
      <c r="A101" s="356" t="str">
        <f>_xlfn.IFNA(VLOOKUP(B101,Mapping!C:D,2,FALSE),C101)</f>
        <v>1190064716</v>
      </c>
      <c r="B101" s="190" t="str">
        <f t="shared" si="1"/>
        <v>1190064716PDC</v>
      </c>
      <c r="C101" s="271" t="s">
        <v>259</v>
      </c>
      <c r="D101" s="190" t="s">
        <v>413</v>
      </c>
      <c r="E101" s="268">
        <v>1012.5222000000001</v>
      </c>
      <c r="F101" s="268">
        <v>1561.0062</v>
      </c>
      <c r="G101" s="268">
        <v>1185.8003999999999</v>
      </c>
      <c r="H101" s="268">
        <v>733.57199999999989</v>
      </c>
      <c r="I101" s="268">
        <v>1402.4010000000005</v>
      </c>
      <c r="J101" s="268">
        <v>1470.8267999999994</v>
      </c>
      <c r="K101" s="268">
        <v>866.74919999999986</v>
      </c>
      <c r="L101" s="268">
        <v>2920.1945999999994</v>
      </c>
      <c r="M101" s="268">
        <v>767.50739999999985</v>
      </c>
      <c r="N101" s="268"/>
    </row>
    <row r="102" spans="1:16" x14ac:dyDescent="0.25">
      <c r="A102" s="356" t="str">
        <f>_xlfn.IFNA(VLOOKUP(B102,Mapping!C:D,2,FALSE),C102)</f>
        <v>1190064716</v>
      </c>
      <c r="B102" s="190" t="str">
        <f t="shared" si="1"/>
        <v>1190064716AJP</v>
      </c>
      <c r="C102" s="271" t="s">
        <v>259</v>
      </c>
      <c r="D102" s="190" t="s">
        <v>408</v>
      </c>
      <c r="E102" s="268">
        <v>423.3599999999999</v>
      </c>
      <c r="F102" s="268">
        <v>544.31999999999994</v>
      </c>
      <c r="G102" s="268">
        <v>725.75999999999988</v>
      </c>
      <c r="H102" s="268">
        <v>1179.3600000000001</v>
      </c>
      <c r="I102" s="268">
        <v>655.19999999999993</v>
      </c>
      <c r="J102" s="268">
        <v>423.35999999999996</v>
      </c>
      <c r="K102" s="268">
        <v>503.99999999999989</v>
      </c>
      <c r="L102" s="268">
        <v>302.39999999999998</v>
      </c>
      <c r="M102" s="268">
        <v>433.43999999999994</v>
      </c>
      <c r="N102" s="268"/>
    </row>
    <row r="103" spans="1:16" x14ac:dyDescent="0.25">
      <c r="A103" s="356" t="str">
        <f>_xlfn.IFNA(VLOOKUP(B103,Mapping!C:D,2,FALSE),C103)</f>
        <v>1190064716</v>
      </c>
      <c r="B103" s="190" t="str">
        <f t="shared" si="1"/>
        <v>1190064716TKM</v>
      </c>
      <c r="C103" s="271" t="s">
        <v>259</v>
      </c>
      <c r="D103" s="190" t="s">
        <v>414</v>
      </c>
      <c r="E103" s="268">
        <v>182.40000000000003</v>
      </c>
      <c r="F103" s="268">
        <v>148.80000000000001</v>
      </c>
      <c r="G103" s="268">
        <v>228.00000000000003</v>
      </c>
      <c r="H103" s="268">
        <v>158.40000000000003</v>
      </c>
      <c r="I103" s="268">
        <v>196.8</v>
      </c>
      <c r="J103" s="268">
        <v>271.20000000000005</v>
      </c>
      <c r="K103" s="268">
        <v>151.20000000000002</v>
      </c>
      <c r="L103" s="268">
        <v>93.6</v>
      </c>
      <c r="M103" s="268">
        <v>237.60000000000002</v>
      </c>
      <c r="N103" s="268"/>
    </row>
    <row r="104" spans="1:16" x14ac:dyDescent="0.25">
      <c r="A104" s="356" t="str">
        <f>_xlfn.IFNA(VLOOKUP(B104,Mapping!C:D,2,FALSE),C104)</f>
        <v>1190064716</v>
      </c>
      <c r="B104" s="190" t="str">
        <f t="shared" si="1"/>
        <v>1190064716RDC</v>
      </c>
      <c r="C104" s="271" t="s">
        <v>259</v>
      </c>
      <c r="D104" s="190" t="s">
        <v>409</v>
      </c>
      <c r="E104" s="268">
        <v>205.05600000000001</v>
      </c>
      <c r="F104" s="268">
        <v>172.8</v>
      </c>
      <c r="G104" s="268">
        <v>134.78399999999999</v>
      </c>
      <c r="H104" s="268">
        <v>126.72</v>
      </c>
      <c r="I104" s="268">
        <v>142.84800000000001</v>
      </c>
      <c r="J104" s="268">
        <v>294.91200000000003</v>
      </c>
      <c r="K104" s="268">
        <v>119.80799999999999</v>
      </c>
      <c r="L104" s="268">
        <v>93.311999999999998</v>
      </c>
      <c r="M104" s="268">
        <v>162.43199999999996</v>
      </c>
      <c r="N104" s="268"/>
    </row>
    <row r="105" spans="1:16" x14ac:dyDescent="0.25">
      <c r="A105" s="356" t="str">
        <f>_xlfn.IFNA(VLOOKUP(B105,Mapping!C:D,2,FALSE),C105)</f>
        <v>1190064716</v>
      </c>
      <c r="B105" s="190" t="str">
        <f t="shared" si="1"/>
        <v>1190064716RM</v>
      </c>
      <c r="C105" s="271" t="s">
        <v>259</v>
      </c>
      <c r="D105" s="190" t="s">
        <v>410</v>
      </c>
      <c r="E105" s="268">
        <v>132.6</v>
      </c>
      <c r="F105" s="268">
        <v>473.8</v>
      </c>
      <c r="G105" s="268">
        <v>113.6</v>
      </c>
      <c r="H105" s="268">
        <v>73.8</v>
      </c>
      <c r="I105" s="268">
        <v>127.8</v>
      </c>
      <c r="J105" s="268">
        <v>187.6</v>
      </c>
      <c r="K105" s="268">
        <v>87.2</v>
      </c>
      <c r="L105" s="268">
        <v>75.8</v>
      </c>
      <c r="M105" s="268">
        <v>117.2</v>
      </c>
      <c r="N105" s="268"/>
    </row>
    <row r="106" spans="1:16" x14ac:dyDescent="0.25">
      <c r="A106" s="356" t="str">
        <f>_xlfn.IFNA(VLOOKUP(B106,Mapping!C:D,2,FALSE),C106)</f>
        <v>1190064716</v>
      </c>
      <c r="B106" s="190" t="str">
        <f t="shared" si="1"/>
        <v>1190064716RKR</v>
      </c>
      <c r="C106" s="271" t="s">
        <v>259</v>
      </c>
      <c r="D106" s="190" t="s">
        <v>415</v>
      </c>
      <c r="E106" s="268">
        <v>48.599999999999994</v>
      </c>
      <c r="F106" s="268">
        <v>73.8</v>
      </c>
      <c r="G106" s="268">
        <v>43.199999999999996</v>
      </c>
      <c r="H106" s="268">
        <v>61.199999999999989</v>
      </c>
      <c r="I106" s="268">
        <v>68.399999999999991</v>
      </c>
      <c r="J106" s="268">
        <v>43.199999999999996</v>
      </c>
      <c r="K106" s="268">
        <v>46.8</v>
      </c>
      <c r="L106" s="268">
        <v>61.199999999999989</v>
      </c>
      <c r="M106" s="268">
        <v>52.199999999999996</v>
      </c>
      <c r="N106" s="268"/>
    </row>
    <row r="107" spans="1:16" x14ac:dyDescent="0.25">
      <c r="A107" s="356" t="str">
        <f>_xlfn.IFNA(VLOOKUP(B107,Mapping!C:D,2,FALSE),C107)</f>
        <v>1190064716</v>
      </c>
      <c r="B107" s="190" t="str">
        <f t="shared" si="1"/>
        <v>1190064716QM</v>
      </c>
      <c r="C107" s="271" t="s">
        <v>259</v>
      </c>
      <c r="D107" s="190" t="s">
        <v>419</v>
      </c>
      <c r="E107" s="268"/>
      <c r="F107" s="268"/>
      <c r="G107" s="268"/>
      <c r="H107" s="268"/>
      <c r="I107" s="268">
        <v>170</v>
      </c>
      <c r="J107" s="268"/>
      <c r="K107" s="268">
        <v>23</v>
      </c>
      <c r="L107" s="268">
        <v>16</v>
      </c>
      <c r="M107" s="268">
        <v>20</v>
      </c>
      <c r="N107" s="268"/>
    </row>
    <row r="108" spans="1:16" x14ac:dyDescent="0.25">
      <c r="A108" s="356" t="str">
        <f>_xlfn.IFNA(VLOOKUP(B108,Mapping!C:D,2,FALSE),C108)</f>
        <v>1190064716</v>
      </c>
      <c r="B108" s="190" t="str">
        <f t="shared" si="1"/>
        <v>1190064716STICK</v>
      </c>
      <c r="C108" s="271" t="s">
        <v>259</v>
      </c>
      <c r="D108" s="190" t="s">
        <v>422</v>
      </c>
      <c r="E108" s="268"/>
      <c r="F108" s="268"/>
      <c r="G108" s="268"/>
      <c r="H108" s="268">
        <v>1.44</v>
      </c>
      <c r="I108" s="268"/>
      <c r="J108" s="268"/>
      <c r="K108" s="268"/>
      <c r="L108" s="268"/>
      <c r="M108" s="268"/>
      <c r="N108" s="268"/>
    </row>
    <row r="109" spans="1:16" x14ac:dyDescent="0.25">
      <c r="A109" s="356" t="str">
        <f>_xlfn.IFNA(VLOOKUP(B109,Mapping!C:D,2,FALSE),C109)</f>
        <v>5490000705</v>
      </c>
      <c r="B109" s="190" t="str">
        <f t="shared" si="1"/>
        <v>1190064712RD</v>
      </c>
      <c r="C109" s="271" t="s">
        <v>260</v>
      </c>
      <c r="D109" s="190" t="s">
        <v>406</v>
      </c>
      <c r="E109" s="268">
        <v>1444254.2000000065</v>
      </c>
      <c r="F109" s="268">
        <v>1467780.7</v>
      </c>
      <c r="G109" s="268">
        <v>1691290.7000000016</v>
      </c>
      <c r="H109" s="268">
        <v>1869665.9000000027</v>
      </c>
      <c r="I109" s="268">
        <v>1462692.6000000201</v>
      </c>
      <c r="J109" s="268">
        <v>1675708.9000000097</v>
      </c>
      <c r="K109" s="268">
        <v>900419.00000000314</v>
      </c>
      <c r="L109" s="268">
        <v>2116399.3000000035</v>
      </c>
      <c r="M109" s="268">
        <v>1648960.2000000179</v>
      </c>
      <c r="N109" s="268">
        <v>2229459.2999999984</v>
      </c>
      <c r="O109" s="156">
        <v>1333895.7000000025</v>
      </c>
      <c r="P109" s="156">
        <v>1351927.4000000029</v>
      </c>
    </row>
    <row r="110" spans="1:16" x14ac:dyDescent="0.25">
      <c r="A110" s="356" t="str">
        <f>_xlfn.IFNA(VLOOKUP(B110,Mapping!C:D,2,FALSE),C110)</f>
        <v>5490000711</v>
      </c>
      <c r="B110" s="190" t="str">
        <f t="shared" si="1"/>
        <v>1190064712AJ</v>
      </c>
      <c r="C110" s="271" t="s">
        <v>260</v>
      </c>
      <c r="D110" s="190" t="s">
        <v>405</v>
      </c>
      <c r="E110" s="268">
        <v>1236813.6000000008</v>
      </c>
      <c r="F110" s="268">
        <v>1252688.8000000033</v>
      </c>
      <c r="G110" s="268">
        <v>1629270.399999999</v>
      </c>
      <c r="H110" s="268">
        <v>1390727.9999999977</v>
      </c>
      <c r="I110" s="268">
        <v>1285443.2000000018</v>
      </c>
      <c r="J110" s="268">
        <v>1434184.0000000014</v>
      </c>
      <c r="K110" s="268">
        <v>1364165.6000000013</v>
      </c>
      <c r="L110" s="268">
        <v>1578297.6000000013</v>
      </c>
      <c r="M110" s="268">
        <v>1351439.9999999977</v>
      </c>
      <c r="N110" s="268">
        <v>1399042.799999997</v>
      </c>
      <c r="O110" s="156">
        <v>1332106.4000000004</v>
      </c>
      <c r="P110" s="156">
        <v>1310375.9999999995</v>
      </c>
    </row>
    <row r="111" spans="1:16" x14ac:dyDescent="0.25">
      <c r="A111" s="356" t="str">
        <f>_xlfn.IFNA(VLOOKUP(B111,Mapping!C:D,2,FALSE),C111)</f>
        <v>5490000711</v>
      </c>
      <c r="B111" s="190" t="str">
        <f t="shared" si="1"/>
        <v>1190064712YY</v>
      </c>
      <c r="C111" s="271" t="s">
        <v>260</v>
      </c>
      <c r="D111" s="190" t="s">
        <v>412</v>
      </c>
      <c r="E111" s="268">
        <v>432072.99999397446</v>
      </c>
      <c r="F111" s="268">
        <v>300104.9999951463</v>
      </c>
      <c r="G111" s="268">
        <v>399057.99999339541</v>
      </c>
      <c r="H111" s="268">
        <v>378834.99999393307</v>
      </c>
      <c r="I111" s="268">
        <v>481379.9999924674</v>
      </c>
      <c r="J111" s="268">
        <v>364684.9999942914</v>
      </c>
      <c r="K111" s="268">
        <v>359896.99999478721</v>
      </c>
      <c r="L111" s="268">
        <v>470485.99999248568</v>
      </c>
      <c r="M111" s="268">
        <v>388404.99999418965</v>
      </c>
      <c r="N111" s="268">
        <v>620701.99998964393</v>
      </c>
      <c r="O111" s="156">
        <v>297051.99999539036</v>
      </c>
      <c r="P111" s="156">
        <v>343487.99999557412</v>
      </c>
    </row>
    <row r="112" spans="1:16" x14ac:dyDescent="0.25">
      <c r="A112" s="356" t="str">
        <f>_xlfn.IFNA(VLOOKUP(B112,Mapping!C:D,2,FALSE),C112)</f>
        <v>5490000714</v>
      </c>
      <c r="B112" s="190" t="str">
        <f t="shared" si="1"/>
        <v>1190064712BD</v>
      </c>
      <c r="C112" s="271" t="s">
        <v>260</v>
      </c>
      <c r="D112" s="190" t="s">
        <v>407</v>
      </c>
      <c r="E112" s="268">
        <v>320764.99999679322</v>
      </c>
      <c r="F112" s="268">
        <v>275764.99999724404</v>
      </c>
      <c r="G112" s="268">
        <v>263158.99999736977</v>
      </c>
      <c r="H112" s="268">
        <v>338621.99999661418</v>
      </c>
      <c r="I112" s="268">
        <v>304051.99999695993</v>
      </c>
      <c r="J112" s="268">
        <v>354763.99999645393</v>
      </c>
      <c r="K112" s="268">
        <v>258179.99999741919</v>
      </c>
      <c r="L112" s="268">
        <v>343345.99999656714</v>
      </c>
      <c r="M112" s="268">
        <v>335070.99999665091</v>
      </c>
      <c r="N112" s="268">
        <v>369115.99999630917</v>
      </c>
      <c r="O112" s="156">
        <v>254018.99999746081</v>
      </c>
      <c r="P112" s="156">
        <v>257986.99999742184</v>
      </c>
    </row>
    <row r="113" spans="1:16" x14ac:dyDescent="0.25">
      <c r="A113" s="356" t="str">
        <f>_xlfn.IFNA(VLOOKUP(B113,Mapping!C:D,2,FALSE),C113)</f>
        <v>5490000714</v>
      </c>
      <c r="B113" s="190" t="str">
        <f t="shared" si="1"/>
        <v>1190064712PDC</v>
      </c>
      <c r="C113" s="271" t="s">
        <v>260</v>
      </c>
      <c r="D113" s="190" t="s">
        <v>413</v>
      </c>
      <c r="E113" s="268">
        <v>161692.65899999917</v>
      </c>
      <c r="F113" s="268">
        <v>84993.359400000219</v>
      </c>
      <c r="G113" s="268">
        <v>152833.02479999978</v>
      </c>
      <c r="H113" s="268">
        <v>364422.24359999906</v>
      </c>
      <c r="I113" s="268">
        <v>374302.17719999596</v>
      </c>
      <c r="J113" s="268">
        <v>168493.0445999981</v>
      </c>
      <c r="K113" s="268">
        <v>287950.4819999942</v>
      </c>
      <c r="L113" s="268">
        <v>351803.4407999987</v>
      </c>
      <c r="M113" s="268">
        <v>276848.36639999767</v>
      </c>
      <c r="N113" s="268">
        <v>211162.04999999914</v>
      </c>
      <c r="O113" s="156">
        <v>450222.8273999957</v>
      </c>
      <c r="P113" s="156">
        <v>175619.60279999915</v>
      </c>
    </row>
    <row r="114" spans="1:16" x14ac:dyDescent="0.25">
      <c r="A114" s="356" t="str">
        <f>_xlfn.IFNA(VLOOKUP(B114,Mapping!C:D,2,FALSE),C114)</f>
        <v>5490000711</v>
      </c>
      <c r="B114" s="190" t="str">
        <f t="shared" si="1"/>
        <v>1190064712AJP</v>
      </c>
      <c r="C114" s="271" t="s">
        <v>260</v>
      </c>
      <c r="D114" s="190" t="s">
        <v>408</v>
      </c>
      <c r="E114" s="268">
        <v>121171.6800000006</v>
      </c>
      <c r="F114" s="268">
        <v>121836.96000000054</v>
      </c>
      <c r="G114" s="268">
        <v>103430.88000000024</v>
      </c>
      <c r="H114" s="268">
        <v>129467.52000000022</v>
      </c>
      <c r="I114" s="268">
        <v>111807.36000000042</v>
      </c>
      <c r="J114" s="268">
        <v>108843.84000000048</v>
      </c>
      <c r="K114" s="268">
        <v>104227.20000000023</v>
      </c>
      <c r="L114" s="268">
        <v>168598.08000000025</v>
      </c>
      <c r="M114" s="268">
        <v>154627.20000000042</v>
      </c>
      <c r="N114" s="268">
        <v>147611.52000000069</v>
      </c>
      <c r="O114" s="156">
        <v>107301.60000000038</v>
      </c>
      <c r="P114" s="156">
        <v>93673.440000000162</v>
      </c>
    </row>
    <row r="115" spans="1:16" x14ac:dyDescent="0.25">
      <c r="A115" s="356" t="str">
        <f>_xlfn.IFNA(VLOOKUP(B115,Mapping!C:D,2,FALSE),C115)</f>
        <v>5490000714</v>
      </c>
      <c r="B115" s="190" t="str">
        <f t="shared" si="1"/>
        <v>1190064712TKM</v>
      </c>
      <c r="C115" s="271" t="s">
        <v>260</v>
      </c>
      <c r="D115" s="190" t="s">
        <v>414</v>
      </c>
      <c r="E115" s="268">
        <v>73818.000000000218</v>
      </c>
      <c r="F115" s="268">
        <v>61520.400000000074</v>
      </c>
      <c r="G115" s="268">
        <v>80462.400000000081</v>
      </c>
      <c r="H115" s="268">
        <v>68799.600000000311</v>
      </c>
      <c r="I115" s="268">
        <v>86104.800000000148</v>
      </c>
      <c r="J115" s="268">
        <v>79926.000000000044</v>
      </c>
      <c r="K115" s="268">
        <v>75939.600000000239</v>
      </c>
      <c r="L115" s="268">
        <v>87679.199999999968</v>
      </c>
      <c r="M115" s="268">
        <v>88993.199999999983</v>
      </c>
      <c r="N115" s="268">
        <v>98842.800000000192</v>
      </c>
      <c r="O115" s="156">
        <v>88203.599999999977</v>
      </c>
      <c r="P115" s="156">
        <v>69046.799999999886</v>
      </c>
    </row>
    <row r="116" spans="1:16" x14ac:dyDescent="0.25">
      <c r="A116" s="356" t="str">
        <f>_xlfn.IFNA(VLOOKUP(B116,Mapping!C:D,2,FALSE),C116)</f>
        <v>5490000705</v>
      </c>
      <c r="B116" s="190" t="str">
        <f t="shared" si="1"/>
        <v>1190064712RM</v>
      </c>
      <c r="C116" s="271" t="s">
        <v>260</v>
      </c>
      <c r="D116" s="190" t="s">
        <v>410</v>
      </c>
      <c r="E116" s="268">
        <v>105687.99999999946</v>
      </c>
      <c r="F116" s="268">
        <v>44631.800000000047</v>
      </c>
      <c r="G116" s="268">
        <v>31156.000000000076</v>
      </c>
      <c r="H116" s="268">
        <v>118194.79999999986</v>
      </c>
      <c r="I116" s="268">
        <v>28192.200000000015</v>
      </c>
      <c r="J116" s="268">
        <v>22029.200000000055</v>
      </c>
      <c r="K116" s="268">
        <v>35226.00000000008</v>
      </c>
      <c r="L116" s="268">
        <v>109927.19999999992</v>
      </c>
      <c r="M116" s="268">
        <v>95263.999999999913</v>
      </c>
      <c r="N116" s="268">
        <v>62822.200000000266</v>
      </c>
      <c r="O116" s="156">
        <v>25550.400000000067</v>
      </c>
      <c r="P116" s="156">
        <v>29051.200000000081</v>
      </c>
    </row>
    <row r="117" spans="1:16" x14ac:dyDescent="0.25">
      <c r="A117" s="356" t="str">
        <f>_xlfn.IFNA(VLOOKUP(B117,Mapping!C:D,2,FALSE),C117)</f>
        <v>5490000705</v>
      </c>
      <c r="B117" s="190" t="str">
        <f t="shared" si="1"/>
        <v>1190064712ND</v>
      </c>
      <c r="C117" s="271" t="s">
        <v>260</v>
      </c>
      <c r="D117" s="190" t="s">
        <v>411</v>
      </c>
      <c r="E117" s="268">
        <v>22494.439999999981</v>
      </c>
      <c r="F117" s="268">
        <v>34482.819999999963</v>
      </c>
      <c r="G117" s="268">
        <v>32464.11999999997</v>
      </c>
      <c r="H117" s="268">
        <v>37835.279999999919</v>
      </c>
      <c r="I117" s="268">
        <v>40678.119999999952</v>
      </c>
      <c r="J117" s="268">
        <v>35021.199999999968</v>
      </c>
      <c r="K117" s="268">
        <v>26213.059999999896</v>
      </c>
      <c r="L117" s="268">
        <v>76264.020000000062</v>
      </c>
      <c r="M117" s="268">
        <v>50821.459999999861</v>
      </c>
      <c r="N117" s="268">
        <v>61161.179999999731</v>
      </c>
      <c r="O117" s="156">
        <v>55009.639999999563</v>
      </c>
      <c r="P117" s="156">
        <v>29939.419999999882</v>
      </c>
    </row>
    <row r="118" spans="1:16" x14ac:dyDescent="0.25">
      <c r="A118" s="356" t="str">
        <f>_xlfn.IFNA(VLOOKUP(B118,Mapping!C:D,2,FALSE),C118)</f>
        <v>5490000711</v>
      </c>
      <c r="B118" s="190" t="str">
        <f t="shared" si="1"/>
        <v>1190064712RKR</v>
      </c>
      <c r="C118" s="271" t="s">
        <v>260</v>
      </c>
      <c r="D118" s="190" t="s">
        <v>415</v>
      </c>
      <c r="E118" s="268">
        <v>14169.599999999873</v>
      </c>
      <c r="F118" s="268">
        <v>23463.000000000022</v>
      </c>
      <c r="G118" s="268">
        <v>15946.19999999991</v>
      </c>
      <c r="H118" s="268">
        <v>9071.9999999999945</v>
      </c>
      <c r="I118" s="268">
        <v>22004.999999999964</v>
      </c>
      <c r="J118" s="268">
        <v>25790.399999999994</v>
      </c>
      <c r="K118" s="268">
        <v>22869.000000000131</v>
      </c>
      <c r="L118" s="268">
        <v>21708</v>
      </c>
      <c r="M118" s="268">
        <v>29424.600000000384</v>
      </c>
      <c r="N118" s="268">
        <v>9088.1999999999662</v>
      </c>
      <c r="O118" s="156">
        <v>8769.6000000000331</v>
      </c>
      <c r="P118" s="156">
        <v>19380.599999999995</v>
      </c>
    </row>
    <row r="119" spans="1:16" x14ac:dyDescent="0.25">
      <c r="A119" s="356" t="str">
        <f>_xlfn.IFNA(VLOOKUP(B119,Mapping!C:D,2,FALSE),C119)</f>
        <v>5490000705</v>
      </c>
      <c r="B119" s="190" t="str">
        <f t="shared" si="1"/>
        <v>1190064712RDC</v>
      </c>
      <c r="C119" s="271" t="s">
        <v>260</v>
      </c>
      <c r="D119" s="190" t="s">
        <v>409</v>
      </c>
      <c r="E119" s="268">
        <v>8922.2400000001253</v>
      </c>
      <c r="F119" s="268">
        <v>16447.680000000171</v>
      </c>
      <c r="G119" s="268">
        <v>16633.152000000009</v>
      </c>
      <c r="H119" s="268">
        <v>13301.568000000134</v>
      </c>
      <c r="I119" s="268">
        <v>16390.656000000072</v>
      </c>
      <c r="J119" s="268">
        <v>11257.920000000109</v>
      </c>
      <c r="K119" s="268">
        <v>10497.600000000088</v>
      </c>
      <c r="L119" s="268">
        <v>22030.848000000009</v>
      </c>
      <c r="M119" s="268">
        <v>23172.479999999607</v>
      </c>
      <c r="N119" s="268">
        <v>20127.167999999987</v>
      </c>
      <c r="O119" s="156">
        <v>15564.67200000007</v>
      </c>
      <c r="P119" s="156">
        <v>19373.184000000048</v>
      </c>
    </row>
    <row r="120" spans="1:16" x14ac:dyDescent="0.25">
      <c r="A120" s="356" t="str">
        <f>_xlfn.IFNA(VLOOKUP(B120,Mapping!C:D,2,FALSE),C120)</f>
        <v>1190064712</v>
      </c>
      <c r="B120" s="190" t="str">
        <f t="shared" si="1"/>
        <v>1190064712LPD</v>
      </c>
      <c r="C120" s="271" t="s">
        <v>260</v>
      </c>
      <c r="D120" s="190" t="s">
        <v>420</v>
      </c>
      <c r="E120" s="268">
        <v>4992</v>
      </c>
      <c r="F120" s="268">
        <v>2700</v>
      </c>
      <c r="G120" s="268">
        <v>3762</v>
      </c>
      <c r="H120" s="268">
        <v>5064</v>
      </c>
      <c r="I120" s="268">
        <v>6894</v>
      </c>
      <c r="J120" s="268">
        <v>4956</v>
      </c>
      <c r="K120" s="268">
        <v>5160</v>
      </c>
      <c r="L120" s="268">
        <v>8436</v>
      </c>
      <c r="M120" s="268">
        <v>10080</v>
      </c>
      <c r="N120" s="268">
        <v>3756</v>
      </c>
      <c r="O120" s="156">
        <v>6366</v>
      </c>
      <c r="P120" s="156">
        <v>5418</v>
      </c>
    </row>
    <row r="121" spans="1:16" x14ac:dyDescent="0.25">
      <c r="A121" s="356" t="str">
        <f>_xlfn.IFNA(VLOOKUP(B121,Mapping!C:D,2,FALSE),C121)</f>
        <v>1190064712</v>
      </c>
      <c r="B121" s="190" t="str">
        <f t="shared" si="1"/>
        <v>1190064712HDSH</v>
      </c>
      <c r="C121" s="271" t="s">
        <v>260</v>
      </c>
      <c r="D121" s="190" t="s">
        <v>423</v>
      </c>
      <c r="E121" s="268">
        <v>4836</v>
      </c>
      <c r="F121" s="268">
        <v>3156</v>
      </c>
      <c r="G121" s="268">
        <v>6468</v>
      </c>
      <c r="H121" s="268">
        <v>4020</v>
      </c>
      <c r="I121" s="268">
        <v>4704</v>
      </c>
      <c r="J121" s="268">
        <v>5736</v>
      </c>
      <c r="K121" s="268">
        <v>5736</v>
      </c>
      <c r="L121" s="268">
        <v>6180</v>
      </c>
      <c r="M121" s="268">
        <v>8940</v>
      </c>
      <c r="N121" s="268">
        <v>2700</v>
      </c>
      <c r="O121" s="156">
        <v>5820</v>
      </c>
      <c r="P121" s="156">
        <v>2952</v>
      </c>
    </row>
    <row r="122" spans="1:16" x14ac:dyDescent="0.25">
      <c r="A122" s="356" t="str">
        <f>_xlfn.IFNA(VLOOKUP(B122,Mapping!C:D,2,FALSE),C122)</f>
        <v>1190064712</v>
      </c>
      <c r="B122" s="190" t="str">
        <f t="shared" ref="B122:B143" si="2">C122&amp;D122</f>
        <v>1190064712LQSS</v>
      </c>
      <c r="C122" s="271" t="s">
        <v>260</v>
      </c>
      <c r="D122" s="190" t="s">
        <v>424</v>
      </c>
      <c r="E122" s="268">
        <v>1056</v>
      </c>
      <c r="F122" s="268">
        <v>1212</v>
      </c>
      <c r="G122" s="268">
        <v>1104</v>
      </c>
      <c r="H122" s="268">
        <v>1074</v>
      </c>
      <c r="I122" s="268">
        <v>1836</v>
      </c>
      <c r="J122" s="268">
        <v>1374</v>
      </c>
      <c r="K122" s="268">
        <v>1626</v>
      </c>
      <c r="L122" s="268">
        <v>1302</v>
      </c>
      <c r="M122" s="268">
        <v>2004</v>
      </c>
      <c r="N122" s="268">
        <v>1404</v>
      </c>
      <c r="O122" s="156">
        <v>1302</v>
      </c>
      <c r="P122" s="156">
        <v>1512</v>
      </c>
    </row>
    <row r="123" spans="1:16" x14ac:dyDescent="0.25">
      <c r="A123" s="356" t="str">
        <f>_xlfn.IFNA(VLOOKUP(B123,Mapping!C:D,2,FALSE),C123)</f>
        <v>1190064712</v>
      </c>
      <c r="B123" s="190" t="str">
        <f t="shared" si="2"/>
        <v>1190064712SBU</v>
      </c>
      <c r="C123" s="271" t="s">
        <v>260</v>
      </c>
      <c r="D123" s="190" t="s">
        <v>425</v>
      </c>
      <c r="E123" s="268">
        <v>680.3999999999993</v>
      </c>
      <c r="F123" s="268">
        <v>653.39999999999895</v>
      </c>
      <c r="G123" s="268">
        <v>912.59999999999832</v>
      </c>
      <c r="H123" s="268">
        <v>1106.9999999999984</v>
      </c>
      <c r="I123" s="268">
        <v>1150.1999999999998</v>
      </c>
      <c r="J123" s="268">
        <v>1058.399999999998</v>
      </c>
      <c r="K123" s="268">
        <v>1096.1999999999991</v>
      </c>
      <c r="L123" s="268">
        <v>1598.4000000000028</v>
      </c>
      <c r="M123" s="268">
        <v>1382.3999999999994</v>
      </c>
      <c r="N123" s="268">
        <v>1398.6000000000015</v>
      </c>
      <c r="O123" s="156">
        <v>1031.3999999999987</v>
      </c>
      <c r="P123" s="156">
        <v>842.3999999999993</v>
      </c>
    </row>
    <row r="124" spans="1:16" x14ac:dyDescent="0.25">
      <c r="A124" s="356">
        <f>_xlfn.IFNA(VLOOKUP(B124,Mapping!C:D,2,FALSE),C124)</f>
        <v>5490000710</v>
      </c>
      <c r="B124" s="190" t="str">
        <f t="shared" si="2"/>
        <v>5490000710AMV</v>
      </c>
      <c r="C124" s="271">
        <v>5490000710</v>
      </c>
      <c r="D124" s="190" t="s">
        <v>416</v>
      </c>
      <c r="E124" s="268">
        <v>402.99999999124799</v>
      </c>
      <c r="F124" s="268">
        <v>775.99999998633575</v>
      </c>
      <c r="G124" s="268">
        <v>1113.9999999810238</v>
      </c>
      <c r="H124" s="268">
        <v>1466.999999972928</v>
      </c>
      <c r="I124" s="268">
        <v>2306.9999999550719</v>
      </c>
      <c r="J124" s="268">
        <v>1719.9999999672962</v>
      </c>
      <c r="K124" s="268">
        <v>3424.9999999270563</v>
      </c>
      <c r="L124" s="268">
        <v>3960.9999999322081</v>
      </c>
      <c r="M124" s="268">
        <v>2695.9999999497122</v>
      </c>
      <c r="N124" s="268">
        <v>1839.9999999681609</v>
      </c>
      <c r="O124" s="156">
        <v>1458.9999999756478</v>
      </c>
      <c r="P124" s="156">
        <v>1504.9999999703978</v>
      </c>
    </row>
    <row r="125" spans="1:16" x14ac:dyDescent="0.25">
      <c r="A125" s="356">
        <f>_xlfn.IFNA(VLOOKUP(B125,Mapping!C:D,2,FALSE),C125)</f>
        <v>5490000710</v>
      </c>
      <c r="B125" s="190" t="str">
        <f t="shared" si="2"/>
        <v>5490000710AJA</v>
      </c>
      <c r="C125" s="271">
        <v>5490000710</v>
      </c>
      <c r="D125" s="190" t="s">
        <v>417</v>
      </c>
      <c r="E125" s="268"/>
      <c r="F125" s="268">
        <v>12.999999999479998</v>
      </c>
      <c r="G125" s="268">
        <v>10</v>
      </c>
      <c r="H125" s="268">
        <v>12.999999999627999</v>
      </c>
      <c r="I125" s="268">
        <v>48.999999998538001</v>
      </c>
      <c r="J125" s="268">
        <v>47.999999998259995</v>
      </c>
      <c r="K125" s="268">
        <v>46.999999998745984</v>
      </c>
      <c r="L125" s="268">
        <v>19.9999999996</v>
      </c>
      <c r="M125" s="268">
        <v>9.9999999995999982</v>
      </c>
      <c r="N125" s="268">
        <v>20.999999999399996</v>
      </c>
      <c r="O125" s="156">
        <v>17.999999999465999</v>
      </c>
      <c r="P125" s="156">
        <v>34.999999998599996</v>
      </c>
    </row>
    <row r="126" spans="1:16" x14ac:dyDescent="0.25">
      <c r="A126" s="356">
        <f>_xlfn.IFNA(VLOOKUP(B126,Mapping!C:D,2,FALSE),C126)</f>
        <v>5490000709</v>
      </c>
      <c r="B126" s="190" t="str">
        <f t="shared" si="2"/>
        <v>5490000709RD</v>
      </c>
      <c r="C126" s="271">
        <v>5490000709</v>
      </c>
      <c r="D126" s="190" t="s">
        <v>406</v>
      </c>
      <c r="E126" s="268"/>
      <c r="F126" s="268"/>
      <c r="G126" s="268"/>
      <c r="H126" s="268"/>
      <c r="I126" s="268">
        <v>431800.05999999982</v>
      </c>
      <c r="J126" s="268">
        <v>501328.63999999978</v>
      </c>
      <c r="K126" s="268">
        <v>582733.02000000025</v>
      </c>
      <c r="L126" s="268">
        <v>375123.77999999991</v>
      </c>
      <c r="M126" s="268">
        <v>392926.6999999996</v>
      </c>
      <c r="N126" s="268">
        <v>565465.89999999991</v>
      </c>
      <c r="O126" s="156">
        <v>388554.21999999986</v>
      </c>
      <c r="P126" s="156">
        <v>550965.78</v>
      </c>
    </row>
    <row r="127" spans="1:16" x14ac:dyDescent="0.25">
      <c r="A127" s="356">
        <f>_xlfn.IFNA(VLOOKUP(B127,Mapping!C:D,2,FALSE),C127)</f>
        <v>5490000709</v>
      </c>
      <c r="B127" s="190" t="str">
        <f t="shared" si="2"/>
        <v>5490000709AJ</v>
      </c>
      <c r="C127" s="271">
        <v>5490000709</v>
      </c>
      <c r="D127" s="190" t="s">
        <v>405</v>
      </c>
      <c r="E127" s="268"/>
      <c r="F127" s="268"/>
      <c r="G127" s="268"/>
      <c r="H127" s="268"/>
      <c r="I127" s="268">
        <v>298229.00000000006</v>
      </c>
      <c r="J127" s="268">
        <v>297832.09999999998</v>
      </c>
      <c r="K127" s="268">
        <v>527077</v>
      </c>
      <c r="L127" s="268">
        <v>317496.50000000006</v>
      </c>
      <c r="M127" s="268">
        <v>195801.5</v>
      </c>
      <c r="N127" s="268">
        <v>339777.70000000007</v>
      </c>
      <c r="O127" s="156">
        <v>274898.80000000005</v>
      </c>
      <c r="P127" s="156">
        <v>276569.09999999998</v>
      </c>
    </row>
    <row r="128" spans="1:16" x14ac:dyDescent="0.25">
      <c r="A128" s="356" t="str">
        <f>_xlfn.IFNA(VLOOKUP(B128,Mapping!C:D,2,FALSE),C128)</f>
        <v>5490000713</v>
      </c>
      <c r="B128" s="190" t="str">
        <f t="shared" si="2"/>
        <v>5490000709YY</v>
      </c>
      <c r="C128" s="271">
        <v>5490000709</v>
      </c>
      <c r="D128" s="190" t="s">
        <v>412</v>
      </c>
      <c r="E128" s="268"/>
      <c r="F128" s="268"/>
      <c r="G128" s="268"/>
      <c r="H128" s="268"/>
      <c r="I128" s="268">
        <v>209731.99999646406</v>
      </c>
      <c r="J128" s="268">
        <v>183357.99999717099</v>
      </c>
      <c r="K128" s="268">
        <v>273531.99999591371</v>
      </c>
      <c r="L128" s="268">
        <v>167734.99999778744</v>
      </c>
      <c r="M128" s="268">
        <v>208354.99999666802</v>
      </c>
      <c r="N128" s="268">
        <v>224765.99999647774</v>
      </c>
      <c r="O128" s="156">
        <v>154763.99999747178</v>
      </c>
      <c r="P128" s="156">
        <v>201322.99999702667</v>
      </c>
    </row>
    <row r="129" spans="1:16" x14ac:dyDescent="0.25">
      <c r="A129" s="356" t="str">
        <f>_xlfn.IFNA(VLOOKUP(B129,Mapping!C:D,2,FALSE),C129)</f>
        <v>5490000713</v>
      </c>
      <c r="B129" s="190" t="str">
        <f t="shared" si="2"/>
        <v>5490000709BD</v>
      </c>
      <c r="C129" s="271">
        <v>5490000709</v>
      </c>
      <c r="D129" s="190" t="s">
        <v>407</v>
      </c>
      <c r="E129" s="268"/>
      <c r="F129" s="268"/>
      <c r="G129" s="268"/>
      <c r="H129" s="268"/>
      <c r="I129" s="268">
        <v>143026.99999857144</v>
      </c>
      <c r="J129" s="268">
        <v>131150.99999871489</v>
      </c>
      <c r="K129" s="268">
        <v>147306.99999852816</v>
      </c>
      <c r="L129" s="268">
        <v>150275.99999850133</v>
      </c>
      <c r="M129" s="268">
        <v>164838.99999835683</v>
      </c>
      <c r="N129" s="268">
        <v>231767.99999769204</v>
      </c>
      <c r="O129" s="156">
        <v>111514.99999889388</v>
      </c>
      <c r="P129" s="156">
        <v>140640.99999860683</v>
      </c>
    </row>
    <row r="130" spans="1:16" x14ac:dyDescent="0.25">
      <c r="A130" s="356" t="str">
        <f>_xlfn.IFNA(VLOOKUP(B130,Mapping!C:D,2,FALSE),C130)</f>
        <v>5490000713</v>
      </c>
      <c r="B130" s="190" t="str">
        <f t="shared" si="2"/>
        <v>5490000709PDC</v>
      </c>
      <c r="C130" s="271">
        <v>5490000709</v>
      </c>
      <c r="D130" s="190" t="s">
        <v>413</v>
      </c>
      <c r="E130" s="268"/>
      <c r="F130" s="268"/>
      <c r="G130" s="268"/>
      <c r="H130" s="268"/>
      <c r="I130" s="268">
        <v>44923.82039999999</v>
      </c>
      <c r="J130" s="268">
        <v>43055.514599999988</v>
      </c>
      <c r="K130" s="268">
        <v>62539.539000000004</v>
      </c>
      <c r="L130" s="268">
        <v>56392.459199999968</v>
      </c>
      <c r="M130" s="268">
        <v>41492.971199999978</v>
      </c>
      <c r="N130" s="268">
        <v>63130.459199999968</v>
      </c>
      <c r="O130" s="156">
        <v>24692.686200000007</v>
      </c>
      <c r="P130" s="156">
        <v>37562.627400000012</v>
      </c>
    </row>
    <row r="131" spans="1:16" x14ac:dyDescent="0.25">
      <c r="A131" s="356">
        <f>_xlfn.IFNA(VLOOKUP(B131,Mapping!C:D,2,FALSE),C131)</f>
        <v>5490000709</v>
      </c>
      <c r="B131" s="190" t="str">
        <f t="shared" si="2"/>
        <v>5490000709TKM</v>
      </c>
      <c r="C131" s="271">
        <v>5490000709</v>
      </c>
      <c r="D131" s="190" t="s">
        <v>414</v>
      </c>
      <c r="E131" s="268"/>
      <c r="F131" s="268"/>
      <c r="G131" s="268"/>
      <c r="H131" s="268"/>
      <c r="I131" s="268">
        <v>32761.199999999975</v>
      </c>
      <c r="J131" s="268">
        <v>30681.600000000006</v>
      </c>
      <c r="K131" s="268">
        <v>43293.599999999999</v>
      </c>
      <c r="L131" s="268">
        <v>29081.999999999982</v>
      </c>
      <c r="M131" s="268">
        <v>20763.599999999991</v>
      </c>
      <c r="N131" s="268">
        <v>38935.200000000004</v>
      </c>
      <c r="O131" s="156">
        <v>20444.400000000001</v>
      </c>
      <c r="P131" s="156">
        <v>31352.399999999991</v>
      </c>
    </row>
    <row r="132" spans="1:16" x14ac:dyDescent="0.25">
      <c r="A132" s="356">
        <f>_xlfn.IFNA(VLOOKUP(B132,Mapping!C:D,2,FALSE),C132)</f>
        <v>5490000709</v>
      </c>
      <c r="B132" s="190" t="str">
        <f t="shared" si="2"/>
        <v>5490000709RM</v>
      </c>
      <c r="C132" s="271">
        <v>5490000709</v>
      </c>
      <c r="D132" s="190" t="s">
        <v>410</v>
      </c>
      <c r="E132" s="268"/>
      <c r="F132" s="268"/>
      <c r="G132" s="268"/>
      <c r="H132" s="268"/>
      <c r="I132" s="268">
        <v>25655.750000000004</v>
      </c>
      <c r="J132" s="268">
        <v>38334.950000000012</v>
      </c>
      <c r="K132" s="268">
        <v>23800.999999999982</v>
      </c>
      <c r="L132" s="268">
        <v>27070.600000000024</v>
      </c>
      <c r="M132" s="268">
        <v>18633.749999999982</v>
      </c>
      <c r="N132" s="268">
        <v>30346.199999999946</v>
      </c>
      <c r="O132" s="156">
        <v>18370.800000000003</v>
      </c>
      <c r="P132" s="156">
        <v>31242.899999999976</v>
      </c>
    </row>
    <row r="133" spans="1:16" x14ac:dyDescent="0.25">
      <c r="A133" s="356">
        <f>_xlfn.IFNA(VLOOKUP(B133,Mapping!C:D,2,FALSE),C133)</f>
        <v>5490000709</v>
      </c>
      <c r="B133" s="190" t="str">
        <f t="shared" si="2"/>
        <v>5490000709RDC</v>
      </c>
      <c r="C133" s="271">
        <v>5490000709</v>
      </c>
      <c r="D133" s="190" t="s">
        <v>409</v>
      </c>
      <c r="E133" s="268"/>
      <c r="F133" s="268"/>
      <c r="G133" s="268"/>
      <c r="H133" s="268"/>
      <c r="I133" s="268">
        <v>19737.216000000011</v>
      </c>
      <c r="J133" s="268">
        <v>24974.208000000024</v>
      </c>
      <c r="K133" s="268">
        <v>25770.23999999998</v>
      </c>
      <c r="L133" s="268">
        <v>9798.9120000000003</v>
      </c>
      <c r="M133" s="268">
        <v>14023.008000000013</v>
      </c>
      <c r="N133" s="268">
        <v>25962.336000000007</v>
      </c>
      <c r="O133" s="156">
        <v>15647.616000000013</v>
      </c>
      <c r="P133" s="156">
        <v>22690.944000000021</v>
      </c>
    </row>
    <row r="134" spans="1:16" x14ac:dyDescent="0.25">
      <c r="A134" s="356">
        <f>_xlfn.IFNA(VLOOKUP(B134,Mapping!C:D,2,FALSE),C134)</f>
        <v>5490000709</v>
      </c>
      <c r="B134" s="190" t="str">
        <f t="shared" si="2"/>
        <v>5490000709AJP</v>
      </c>
      <c r="C134" s="271">
        <v>5490000709</v>
      </c>
      <c r="D134" s="190" t="s">
        <v>408</v>
      </c>
      <c r="E134" s="268"/>
      <c r="F134" s="268"/>
      <c r="G134" s="268"/>
      <c r="H134" s="268"/>
      <c r="I134" s="268">
        <v>12065.760000000004</v>
      </c>
      <c r="J134" s="268">
        <v>15311.519999999999</v>
      </c>
      <c r="K134" s="268">
        <v>13537.439999999999</v>
      </c>
      <c r="L134" s="268">
        <v>33969.600000000006</v>
      </c>
      <c r="M134" s="268">
        <v>7197.1200000000017</v>
      </c>
      <c r="N134" s="268">
        <v>9938.8799999999992</v>
      </c>
      <c r="O134" s="156">
        <v>5120.6400000000003</v>
      </c>
      <c r="P134" s="156">
        <v>11037.599999999999</v>
      </c>
    </row>
    <row r="135" spans="1:16" x14ac:dyDescent="0.25">
      <c r="A135" s="356">
        <f>_xlfn.IFNA(VLOOKUP(B135,Mapping!C:D,2,FALSE),C135)</f>
        <v>5490000709</v>
      </c>
      <c r="B135" s="190" t="str">
        <f t="shared" si="2"/>
        <v>5490000709RKR</v>
      </c>
      <c r="C135" s="271">
        <v>5490000709</v>
      </c>
      <c r="D135" s="190" t="s">
        <v>415</v>
      </c>
      <c r="E135" s="268"/>
      <c r="F135" s="268"/>
      <c r="G135" s="268"/>
      <c r="H135" s="268"/>
      <c r="I135" s="268">
        <v>13273.199999999999</v>
      </c>
      <c r="J135" s="268">
        <v>11490.600000000004</v>
      </c>
      <c r="K135" s="268">
        <v>10584</v>
      </c>
      <c r="L135" s="268">
        <v>6589.7999999999993</v>
      </c>
      <c r="M135" s="268">
        <v>9760.2000000000007</v>
      </c>
      <c r="N135" s="268">
        <v>9498.6</v>
      </c>
      <c r="O135" s="156">
        <v>6403.2000000000016</v>
      </c>
      <c r="P135" s="156">
        <v>10334.400000000005</v>
      </c>
    </row>
    <row r="136" spans="1:16" x14ac:dyDescent="0.25">
      <c r="A136" s="356">
        <f>_xlfn.IFNA(VLOOKUP(B136,Mapping!C:D,2,FALSE),C136)</f>
        <v>5490000709</v>
      </c>
      <c r="B136" s="190" t="str">
        <f t="shared" si="2"/>
        <v>5490000709ND</v>
      </c>
      <c r="C136" s="271">
        <v>5490000709</v>
      </c>
      <c r="D136" s="190" t="s">
        <v>411</v>
      </c>
      <c r="E136" s="268"/>
      <c r="F136" s="268"/>
      <c r="G136" s="268"/>
      <c r="H136" s="268"/>
      <c r="I136" s="268">
        <v>6760.7400000000025</v>
      </c>
      <c r="J136" s="268">
        <v>3410.7199999999993</v>
      </c>
      <c r="K136" s="268">
        <v>3388.5800000000013</v>
      </c>
      <c r="L136" s="268">
        <v>3735.8600000000006</v>
      </c>
      <c r="M136" s="268">
        <v>4860.0800000000008</v>
      </c>
      <c r="N136" s="268">
        <v>7786.1800000000012</v>
      </c>
      <c r="O136" s="156">
        <v>3948.4399999999991</v>
      </c>
      <c r="P136" s="156">
        <v>5659.08</v>
      </c>
    </row>
    <row r="137" spans="1:16" x14ac:dyDescent="0.25">
      <c r="A137" s="356" t="str">
        <f>_xlfn.IFNA(VLOOKUP(B137,Mapping!C:D,2,FALSE),C137)</f>
        <v>5490000713</v>
      </c>
      <c r="B137" s="190" t="str">
        <f t="shared" si="2"/>
        <v>5490000709FP</v>
      </c>
      <c r="C137" s="271">
        <v>5490000709</v>
      </c>
      <c r="D137" s="190" t="s">
        <v>418</v>
      </c>
      <c r="E137" s="268"/>
      <c r="F137" s="268"/>
      <c r="G137" s="268"/>
      <c r="H137" s="268"/>
      <c r="I137" s="268">
        <v>1532.2079999999992</v>
      </c>
      <c r="J137" s="268">
        <v>3123.9360000000061</v>
      </c>
      <c r="K137" s="268">
        <v>584.18399999999974</v>
      </c>
      <c r="L137" s="268">
        <v>6124.5839999999971</v>
      </c>
      <c r="M137" s="268">
        <v>2083.5839999999989</v>
      </c>
      <c r="N137" s="268">
        <v>3367.5840000000026</v>
      </c>
      <c r="P137" s="156">
        <v>-46.847999999999999</v>
      </c>
    </row>
    <row r="138" spans="1:16" x14ac:dyDescent="0.25">
      <c r="A138" s="356">
        <f>_xlfn.IFNA(VLOOKUP(B138,Mapping!C:D,2,FALSE),C138)</f>
        <v>5490000709</v>
      </c>
      <c r="B138" s="190" t="str">
        <f t="shared" si="2"/>
        <v>5490000709LPD</v>
      </c>
      <c r="C138" s="271">
        <v>5490000709</v>
      </c>
      <c r="D138" s="190" t="s">
        <v>420</v>
      </c>
      <c r="E138" s="268"/>
      <c r="F138" s="268"/>
      <c r="G138" s="268"/>
      <c r="H138" s="268"/>
      <c r="I138" s="268">
        <v>252</v>
      </c>
      <c r="J138" s="268">
        <v>1110</v>
      </c>
      <c r="K138" s="268">
        <v>102</v>
      </c>
      <c r="L138" s="268">
        <v>408</v>
      </c>
      <c r="M138" s="268">
        <v>156</v>
      </c>
      <c r="N138" s="268">
        <v>480</v>
      </c>
      <c r="O138" s="156">
        <v>432</v>
      </c>
      <c r="P138" s="156">
        <v>522</v>
      </c>
    </row>
    <row r="139" spans="1:16" x14ac:dyDescent="0.25">
      <c r="A139" s="356">
        <f>_xlfn.IFNA(VLOOKUP(B139,Mapping!C:D,2,FALSE),C139)</f>
        <v>5490000709</v>
      </c>
      <c r="B139" s="190" t="str">
        <f t="shared" si="2"/>
        <v>5490000709QM</v>
      </c>
      <c r="C139" s="271">
        <v>5490000709</v>
      </c>
      <c r="D139" s="190" t="s">
        <v>419</v>
      </c>
      <c r="E139" s="268"/>
      <c r="F139" s="268"/>
      <c r="G139" s="268"/>
      <c r="H139" s="268"/>
      <c r="I139" s="268"/>
      <c r="J139" s="268"/>
      <c r="K139" s="268"/>
      <c r="L139" s="268">
        <v>462</v>
      </c>
      <c r="M139" s="268">
        <v>218</v>
      </c>
      <c r="N139" s="268">
        <v>1884</v>
      </c>
      <c r="P139" s="156">
        <v>136</v>
      </c>
    </row>
    <row r="140" spans="1:16" x14ac:dyDescent="0.25">
      <c r="A140" s="356" t="str">
        <f>_xlfn.IFNA(VLOOKUP(B140,Mapping!C:D,2,FALSE),C140)</f>
        <v>5490000713</v>
      </c>
      <c r="B140" s="190" t="str">
        <f t="shared" si="2"/>
        <v>5490000709FP</v>
      </c>
      <c r="C140" s="271">
        <v>5490000709</v>
      </c>
      <c r="D140" s="190" t="s">
        <v>418</v>
      </c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P140" s="156">
        <v>177.84</v>
      </c>
    </row>
    <row r="141" spans="1:16" x14ac:dyDescent="0.25">
      <c r="A141" s="356" t="str">
        <f>_xlfn.IFNA(VLOOKUP(B141,Mapping!C:D,2,FALSE),C141)</f>
        <v>5490000713</v>
      </c>
      <c r="B141" s="190" t="str">
        <f t="shared" si="2"/>
        <v>5490000709AJA</v>
      </c>
      <c r="C141" s="271">
        <v>5490000709</v>
      </c>
      <c r="D141" s="190" t="s">
        <v>417</v>
      </c>
      <c r="E141" s="268"/>
      <c r="F141" s="268"/>
      <c r="G141" s="268"/>
      <c r="H141" s="268"/>
      <c r="I141" s="268">
        <v>34.99999999776</v>
      </c>
      <c r="J141" s="268"/>
      <c r="K141" s="268"/>
      <c r="L141" s="268">
        <v>59.999999997887997</v>
      </c>
      <c r="M141" s="268">
        <v>-26.000000000010001</v>
      </c>
      <c r="N141" s="268">
        <v>3.99999999998</v>
      </c>
    </row>
    <row r="142" spans="1:16" x14ac:dyDescent="0.25">
      <c r="A142" s="356">
        <f>_xlfn.IFNA(VLOOKUP(B142,Mapping!C:D,2,FALSE),C142)</f>
        <v>5490000709</v>
      </c>
      <c r="B142" s="190" t="str">
        <f t="shared" si="2"/>
        <v>5490000709AMV</v>
      </c>
      <c r="C142" s="271">
        <v>5490000709</v>
      </c>
      <c r="D142" s="190" t="s">
        <v>416</v>
      </c>
      <c r="E142" s="268"/>
      <c r="F142" s="268"/>
      <c r="G142" s="268"/>
      <c r="H142" s="268"/>
      <c r="I142" s="268"/>
      <c r="J142" s="268"/>
      <c r="K142" s="268"/>
      <c r="L142" s="268"/>
      <c r="M142" s="268">
        <v>26.999999999568004</v>
      </c>
      <c r="N142" s="268">
        <v>38.999999999376001</v>
      </c>
    </row>
    <row r="143" spans="1:16" x14ac:dyDescent="0.25">
      <c r="A143" s="356">
        <f>_xlfn.IFNA(VLOOKUP(B143,Mapping!C:D,2,FALSE),C143)</f>
        <v>5490000708</v>
      </c>
      <c r="B143" s="190" t="str">
        <f t="shared" si="2"/>
        <v>5490000708AJ</v>
      </c>
      <c r="C143" s="271">
        <v>5490000708</v>
      </c>
      <c r="D143" s="190" t="s">
        <v>405</v>
      </c>
      <c r="E143" s="268">
        <v>12639.2</v>
      </c>
      <c r="F143" s="268">
        <v>12276.4</v>
      </c>
      <c r="G143" s="268">
        <v>26528</v>
      </c>
      <c r="H143" s="268">
        <v>30329</v>
      </c>
      <c r="I143" s="268">
        <v>64919.4</v>
      </c>
      <c r="J143" s="268">
        <v>64879.8</v>
      </c>
      <c r="K143" s="268">
        <v>42660</v>
      </c>
      <c r="L143" s="268">
        <v>2799.2</v>
      </c>
      <c r="M143" s="268"/>
      <c r="N143" s="268"/>
    </row>
    <row r="144" spans="1:16" x14ac:dyDescent="0.25">
      <c r="A144" s="356">
        <f>_xlfn.IFNA(VLOOKUP(B144,Mapping!C:D,2,FALSE),C144)</f>
        <v>5490000708</v>
      </c>
      <c r="B144" s="190" t="str">
        <f t="shared" ref="B144:B151" si="3">C144&amp;D144</f>
        <v>5490000708AJP</v>
      </c>
      <c r="C144" s="356">
        <v>5490000708</v>
      </c>
      <c r="D144" s="190" t="s">
        <v>408</v>
      </c>
      <c r="E144" s="156">
        <v>2197.4399999999996</v>
      </c>
      <c r="F144" s="156">
        <v>1854.4799999999998</v>
      </c>
      <c r="G144" s="156">
        <v>4094.8199999999997</v>
      </c>
      <c r="H144" s="156">
        <v>4739.9399999999996</v>
      </c>
      <c r="I144" s="156">
        <v>8716.14</v>
      </c>
      <c r="J144" s="156">
        <v>15741.659999999998</v>
      </c>
      <c r="K144" s="156">
        <v>18465.599999999999</v>
      </c>
      <c r="L144" s="156">
        <v>11815.62</v>
      </c>
      <c r="N144" s="156">
        <v>14592.3</v>
      </c>
      <c r="O144" s="156">
        <v>28145.160000000003</v>
      </c>
      <c r="P144" s="156">
        <v>2520.66</v>
      </c>
    </row>
    <row r="145" spans="1:16" x14ac:dyDescent="0.25">
      <c r="A145" s="356">
        <f>_xlfn.IFNA(VLOOKUP(B145,Mapping!C:D,2,FALSE),C145)</f>
        <v>5490000708</v>
      </c>
      <c r="B145" s="190" t="str">
        <f t="shared" si="3"/>
        <v>5490000708RD</v>
      </c>
      <c r="C145" s="356">
        <v>5490000708</v>
      </c>
      <c r="D145" s="190" t="s">
        <v>406</v>
      </c>
      <c r="E145" s="156">
        <v>860.88</v>
      </c>
      <c r="F145" s="156">
        <v>2795.2000000000003</v>
      </c>
      <c r="G145" s="156">
        <v>19224.34</v>
      </c>
      <c r="H145" s="156">
        <v>15687.56</v>
      </c>
      <c r="I145" s="156">
        <v>12198.700000000003</v>
      </c>
      <c r="J145" s="156">
        <v>31709.400000000009</v>
      </c>
      <c r="K145" s="156">
        <v>20373</v>
      </c>
      <c r="L145" s="156">
        <v>2936.1</v>
      </c>
      <c r="M145" s="156">
        <v>42.000000000000007</v>
      </c>
      <c r="N145" s="156">
        <v>112.00000000000001</v>
      </c>
      <c r="O145" s="156">
        <v>50.400000000000006</v>
      </c>
      <c r="P145" s="156">
        <v>33.6</v>
      </c>
    </row>
    <row r="146" spans="1:16" x14ac:dyDescent="0.25">
      <c r="A146" s="356">
        <f>_xlfn.IFNA(VLOOKUP(B146,Mapping!C:D,2,FALSE),C146)</f>
        <v>5490000708</v>
      </c>
      <c r="B146" s="190" t="str">
        <f t="shared" si="3"/>
        <v>5490000708YY</v>
      </c>
      <c r="C146" s="356">
        <v>5490000708</v>
      </c>
      <c r="D146" s="190" t="s">
        <v>412</v>
      </c>
      <c r="E146" s="156">
        <v>7459.9999998955054</v>
      </c>
      <c r="F146" s="156">
        <v>8078.9999998825679</v>
      </c>
      <c r="G146" s="156">
        <v>15384.999999734246</v>
      </c>
      <c r="H146" s="156">
        <v>11571.474999885941</v>
      </c>
      <c r="I146" s="156">
        <v>18169.999999823573</v>
      </c>
      <c r="J146" s="156">
        <v>15533.999999748034</v>
      </c>
      <c r="K146" s="156">
        <v>12199.999999742633</v>
      </c>
      <c r="L146" s="156">
        <v>854.99999998965632</v>
      </c>
      <c r="O146" s="277"/>
    </row>
    <row r="147" spans="1:16" x14ac:dyDescent="0.25">
      <c r="A147" s="356">
        <f>_xlfn.IFNA(VLOOKUP(B147,Mapping!C:D,2,FALSE),C147)</f>
        <v>5490000708</v>
      </c>
      <c r="B147" s="190" t="str">
        <f t="shared" si="3"/>
        <v>5490000708RM</v>
      </c>
      <c r="C147" s="356">
        <v>5490000708</v>
      </c>
      <c r="D147" s="190" t="s">
        <v>410</v>
      </c>
      <c r="E147" s="156">
        <v>935.6</v>
      </c>
      <c r="F147" s="156">
        <v>999.3</v>
      </c>
      <c r="G147" s="156">
        <v>1864.4999999999995</v>
      </c>
      <c r="H147" s="156">
        <v>1265.8600000000004</v>
      </c>
      <c r="I147" s="156">
        <v>1080.5</v>
      </c>
      <c r="J147" s="156">
        <v>2289.9999999999995</v>
      </c>
      <c r="K147" s="156">
        <v>1596.7</v>
      </c>
      <c r="L147" s="156">
        <v>1629.1</v>
      </c>
      <c r="M147" s="156">
        <v>1606.7</v>
      </c>
      <c r="N147" s="156">
        <v>1572.8</v>
      </c>
      <c r="O147" s="156">
        <v>2473.1999999999998</v>
      </c>
      <c r="P147" s="156">
        <v>996.7</v>
      </c>
    </row>
    <row r="148" spans="1:16" x14ac:dyDescent="0.25">
      <c r="A148" s="356">
        <f>_xlfn.IFNA(VLOOKUP(B148,Mapping!C:D,2,FALSE),C148)</f>
        <v>5490000708</v>
      </c>
      <c r="B148" s="190" t="str">
        <f t="shared" si="3"/>
        <v>5490000708TKM</v>
      </c>
      <c r="C148" s="356">
        <v>5490000708</v>
      </c>
      <c r="D148" s="190" t="s">
        <v>414</v>
      </c>
      <c r="E148" s="156">
        <v>631.19999999999993</v>
      </c>
      <c r="F148" s="156">
        <v>1681.1999999999998</v>
      </c>
      <c r="G148" s="156">
        <v>1963.1999999999996</v>
      </c>
      <c r="H148" s="156">
        <v>1153.6000000000001</v>
      </c>
      <c r="I148" s="156">
        <v>2819.9999999999995</v>
      </c>
      <c r="J148" s="156">
        <v>3747.6000000000004</v>
      </c>
      <c r="K148" s="156">
        <v>1811.9999999999998</v>
      </c>
      <c r="L148" s="156">
        <v>1773.6</v>
      </c>
    </row>
    <row r="149" spans="1:16" x14ac:dyDescent="0.25">
      <c r="A149" s="356">
        <f>_xlfn.IFNA(VLOOKUP(B149,Mapping!C:D,2,FALSE),C149)</f>
        <v>5490000708</v>
      </c>
      <c r="B149" s="190" t="str">
        <f t="shared" si="3"/>
        <v>5490000708AMV</v>
      </c>
      <c r="C149" s="356">
        <v>5490000708</v>
      </c>
      <c r="D149" s="190" t="s">
        <v>416</v>
      </c>
      <c r="E149" s="156">
        <v>194.99999998920001</v>
      </c>
      <c r="F149" s="156">
        <v>169.99999999728001</v>
      </c>
      <c r="G149" s="156">
        <v>615.99999998726423</v>
      </c>
      <c r="H149" s="156">
        <v>948.70833331498579</v>
      </c>
      <c r="I149" s="156">
        <v>265.99999999574402</v>
      </c>
      <c r="J149" s="156">
        <v>1183.9999999746719</v>
      </c>
      <c r="K149" s="156">
        <v>898.99999997851205</v>
      </c>
      <c r="L149" s="156">
        <v>1315.9999999769759</v>
      </c>
      <c r="M149" s="156">
        <v>1000.9999999835522</v>
      </c>
      <c r="N149" s="156">
        <v>575.99999998939211</v>
      </c>
      <c r="O149" s="156">
        <v>1405.9999999782481</v>
      </c>
      <c r="P149" s="156">
        <v>1246.9999999767758</v>
      </c>
    </row>
    <row r="150" spans="1:16" x14ac:dyDescent="0.25">
      <c r="A150" s="356">
        <f>_xlfn.IFNA(VLOOKUP(B150,Mapping!C:D,2,FALSE),C150)</f>
        <v>5490000708</v>
      </c>
      <c r="B150" s="190" t="str">
        <f t="shared" si="3"/>
        <v>5490000708ND</v>
      </c>
      <c r="C150" s="356">
        <v>5490000708</v>
      </c>
      <c r="D150" s="190" t="s">
        <v>411</v>
      </c>
      <c r="E150" s="156">
        <v>184.33999999999997</v>
      </c>
      <c r="F150" s="156">
        <v>95.14</v>
      </c>
      <c r="G150" s="156">
        <v>587.93999999999994</v>
      </c>
      <c r="H150" s="156">
        <v>494.53999999999996</v>
      </c>
      <c r="I150" s="156">
        <v>433.19999999999993</v>
      </c>
      <c r="J150" s="156">
        <v>618.46</v>
      </c>
      <c r="K150" s="156">
        <v>573.5</v>
      </c>
      <c r="L150" s="156">
        <v>607.4</v>
      </c>
      <c r="M150" s="156">
        <v>189</v>
      </c>
      <c r="N150" s="156">
        <v>462.3</v>
      </c>
      <c r="O150" s="156">
        <v>1066.3399999999999</v>
      </c>
      <c r="P150" s="156">
        <v>322.10000000000002</v>
      </c>
    </row>
    <row r="151" spans="1:16" x14ac:dyDescent="0.25">
      <c r="A151" s="356">
        <f>_xlfn.IFNA(VLOOKUP(B151,Mapping!C:D,2,FALSE),C151)</f>
        <v>5490000708</v>
      </c>
      <c r="B151" s="190" t="str">
        <f t="shared" si="3"/>
        <v>5490000708QM</v>
      </c>
      <c r="C151" s="356">
        <v>5490000708</v>
      </c>
      <c r="D151" s="190" t="s">
        <v>419</v>
      </c>
      <c r="F151" s="156">
        <v>70</v>
      </c>
      <c r="G151" s="156">
        <v>129</v>
      </c>
      <c r="H151" s="156">
        <v>741</v>
      </c>
      <c r="I151" s="156">
        <v>126</v>
      </c>
      <c r="J151" s="156">
        <v>186</v>
      </c>
      <c r="K151" s="156">
        <v>242</v>
      </c>
      <c r="L151" s="156">
        <v>460</v>
      </c>
      <c r="M151" s="156">
        <v>158</v>
      </c>
      <c r="N151" s="156">
        <v>117</v>
      </c>
      <c r="O151" s="156">
        <v>592</v>
      </c>
      <c r="P151" s="156">
        <v>766</v>
      </c>
    </row>
    <row r="152" spans="1:16" x14ac:dyDescent="0.25">
      <c r="A152" s="356">
        <f>_xlfn.IFNA(VLOOKUP(B152,Mapping!C:D,2,FALSE),C152)</f>
        <v>5490000708</v>
      </c>
      <c r="B152" s="190" t="str">
        <f t="shared" ref="B152:B154" si="4">C152&amp;D152</f>
        <v>5490000708RDC</v>
      </c>
      <c r="C152" s="356">
        <v>5490000708</v>
      </c>
      <c r="D152" s="190" t="s">
        <v>409</v>
      </c>
      <c r="E152" s="156">
        <v>234.14400000000001</v>
      </c>
      <c r="F152" s="156">
        <v>271.584</v>
      </c>
      <c r="G152" s="156">
        <v>656.35199999999963</v>
      </c>
      <c r="H152" s="156">
        <v>259.42399999999998</v>
      </c>
      <c r="I152" s="156">
        <v>229.82399999999998</v>
      </c>
      <c r="J152" s="156">
        <v>630.43199999999979</v>
      </c>
      <c r="K152" s="156">
        <v>366.62399999999991</v>
      </c>
      <c r="L152" s="156">
        <v>342.14399999999989</v>
      </c>
      <c r="N152" s="156">
        <v>78.335999999999999</v>
      </c>
    </row>
    <row r="153" spans="1:16" x14ac:dyDescent="0.25">
      <c r="A153" s="356">
        <f>_xlfn.IFNA(VLOOKUP(B153,Mapping!C:D,2,FALSE),C153)</f>
        <v>5490000708</v>
      </c>
      <c r="B153" s="190" t="str">
        <f t="shared" si="4"/>
        <v>5490000708AJA</v>
      </c>
      <c r="C153" s="356">
        <v>5490000708</v>
      </c>
      <c r="D153" s="190" t="s">
        <v>417</v>
      </c>
      <c r="E153" s="156">
        <v>38.999999999170001</v>
      </c>
      <c r="F153" s="156">
        <v>88.99999999789199</v>
      </c>
      <c r="G153" s="156">
        <v>189.99999999598796</v>
      </c>
      <c r="H153" s="156">
        <v>143.99999999545801</v>
      </c>
      <c r="I153" s="156">
        <v>23.999999999516</v>
      </c>
      <c r="J153" s="156">
        <v>290.99999998933009</v>
      </c>
      <c r="K153" s="156">
        <v>216.999999993362</v>
      </c>
      <c r="L153" s="156">
        <v>150.999999995548</v>
      </c>
      <c r="M153" s="156">
        <v>57.999999997663977</v>
      </c>
      <c r="N153" s="156">
        <v>45.999999998619991</v>
      </c>
      <c r="O153" s="156">
        <v>198.99999999315196</v>
      </c>
      <c r="P153" s="156">
        <v>217.99999999008799</v>
      </c>
    </row>
    <row r="154" spans="1:16" x14ac:dyDescent="0.25">
      <c r="A154" s="356">
        <f>_xlfn.IFNA(VLOOKUP(B154,Mapping!C:D,2,FALSE),C154)</f>
        <v>5490000708</v>
      </c>
      <c r="B154" s="190" t="str">
        <f t="shared" si="4"/>
        <v>5490000708LQSS</v>
      </c>
      <c r="C154" s="356">
        <v>5490000708</v>
      </c>
      <c r="D154" s="190" t="s">
        <v>424</v>
      </c>
      <c r="E154" s="156">
        <v>72</v>
      </c>
      <c r="F154" s="156">
        <v>120</v>
      </c>
      <c r="G154" s="156">
        <v>240</v>
      </c>
      <c r="H154" s="156">
        <v>84</v>
      </c>
      <c r="I154" s="156">
        <v>42</v>
      </c>
    </row>
    <row r="155" spans="1:16" x14ac:dyDescent="0.25">
      <c r="A155" s="356">
        <f>_xlfn.IFNA(VLOOKUP(B155,Mapping!C:D,2,FALSE),C155)</f>
        <v>5490000708</v>
      </c>
      <c r="B155" s="190" t="str">
        <f t="shared" ref="B155:B216" si="5">C155&amp;D155</f>
        <v>5490000708RKR</v>
      </c>
      <c r="C155" s="356">
        <v>5490000708</v>
      </c>
      <c r="D155" s="190" t="s">
        <v>415</v>
      </c>
      <c r="E155" s="156">
        <v>116.4</v>
      </c>
      <c r="F155" s="156">
        <v>125.4</v>
      </c>
      <c r="G155" s="156">
        <v>280.79999999999995</v>
      </c>
      <c r="H155" s="156">
        <v>-79.61</v>
      </c>
    </row>
    <row r="156" spans="1:16" x14ac:dyDescent="0.25">
      <c r="A156" s="356">
        <f>_xlfn.IFNA(VLOOKUP(B156,Mapping!C:D,2,FALSE),C156)</f>
        <v>5490000708</v>
      </c>
      <c r="B156" s="190" t="str">
        <f t="shared" si="5"/>
        <v>5490000708LPD</v>
      </c>
      <c r="C156" s="356">
        <v>5490000708</v>
      </c>
      <c r="D156" s="190" t="s">
        <v>420</v>
      </c>
      <c r="E156" s="156">
        <v>12</v>
      </c>
      <c r="F156" s="156">
        <v>30</v>
      </c>
      <c r="G156" s="156">
        <v>60</v>
      </c>
      <c r="H156" s="156">
        <v>24</v>
      </c>
      <c r="I156" s="156">
        <v>30</v>
      </c>
      <c r="J156" s="156">
        <v>18</v>
      </c>
      <c r="K156" s="156">
        <v>66</v>
      </c>
      <c r="L156" s="156">
        <v>30</v>
      </c>
      <c r="N156" s="156">
        <v>30</v>
      </c>
      <c r="O156" s="156">
        <v>30</v>
      </c>
    </row>
    <row r="157" spans="1:16" x14ac:dyDescent="0.25">
      <c r="A157" s="356">
        <f>_xlfn.IFNA(VLOOKUP(B157,Mapping!C:D,2,FALSE),C157)</f>
        <v>5490000708</v>
      </c>
      <c r="B157" s="190" t="str">
        <f t="shared" si="5"/>
        <v>5490000708HDSH</v>
      </c>
      <c r="C157" s="356">
        <v>5490000708</v>
      </c>
      <c r="D157" s="190" t="s">
        <v>423</v>
      </c>
      <c r="F157" s="156">
        <v>24</v>
      </c>
      <c r="G157" s="156">
        <v>60</v>
      </c>
      <c r="H157" s="156">
        <v>20</v>
      </c>
      <c r="I157" s="156">
        <v>24</v>
      </c>
    </row>
    <row r="158" spans="1:16" x14ac:dyDescent="0.25">
      <c r="A158" s="356">
        <f>_xlfn.IFNA(VLOOKUP(B158,Mapping!C:D,2,FALSE),C158)</f>
        <v>5490000708</v>
      </c>
      <c r="B158" s="190" t="str">
        <f t="shared" si="5"/>
        <v>5490000708SBU</v>
      </c>
      <c r="C158" s="356">
        <v>5490000708</v>
      </c>
      <c r="D158" s="190" t="s">
        <v>425</v>
      </c>
      <c r="E158" s="156">
        <v>5.4</v>
      </c>
      <c r="G158" s="156">
        <v>27.000000000000004</v>
      </c>
      <c r="H158" s="156">
        <v>27.000000000000004</v>
      </c>
      <c r="I158" s="156">
        <v>10.8</v>
      </c>
    </row>
    <row r="159" spans="1:16" x14ac:dyDescent="0.25">
      <c r="A159" s="356">
        <f>_xlfn.IFNA(VLOOKUP(B159,Mapping!C:D,2,FALSE),C159)</f>
        <v>5490000708</v>
      </c>
      <c r="B159" s="190" t="str">
        <f t="shared" si="5"/>
        <v>5490000708STICK</v>
      </c>
      <c r="C159" s="356">
        <v>5490000708</v>
      </c>
      <c r="D159" s="190" t="s">
        <v>422</v>
      </c>
      <c r="E159" s="156">
        <v>33.407999999999994</v>
      </c>
      <c r="H159" s="156">
        <v>-0.38400000000000001</v>
      </c>
    </row>
    <row r="160" spans="1:16" x14ac:dyDescent="0.25">
      <c r="A160" s="356">
        <f>_xlfn.IFNA(VLOOKUP(B160,Mapping!C:D,2,FALSE),C160)</f>
        <v>5490000708</v>
      </c>
      <c r="B160" s="190" t="str">
        <f t="shared" si="5"/>
        <v>5490000708SUP</v>
      </c>
      <c r="C160" s="356">
        <v>5490000708</v>
      </c>
      <c r="D160" s="190" t="s">
        <v>426</v>
      </c>
      <c r="G160" s="156">
        <v>100</v>
      </c>
      <c r="H160" s="156">
        <v>-524</v>
      </c>
    </row>
    <row r="161" spans="1:16" x14ac:dyDescent="0.25">
      <c r="A161" s="356">
        <f>_xlfn.IFNA(VLOOKUP(B161,Mapping!C:D,2,FALSE),C161)</f>
        <v>5490000707</v>
      </c>
      <c r="B161" s="190" t="str">
        <f t="shared" si="5"/>
        <v>5490000707AJ</v>
      </c>
      <c r="C161" s="356">
        <v>5490000707</v>
      </c>
      <c r="D161" s="190" t="s">
        <v>405</v>
      </c>
      <c r="E161" s="156">
        <v>79816</v>
      </c>
      <c r="F161" s="156">
        <v>74460</v>
      </c>
      <c r="G161" s="156">
        <v>50672</v>
      </c>
      <c r="H161" s="156">
        <v>78400</v>
      </c>
      <c r="I161" s="156">
        <v>101220</v>
      </c>
      <c r="J161" s="156">
        <v>75600</v>
      </c>
      <c r="K161" s="156">
        <v>94720</v>
      </c>
      <c r="L161" s="156">
        <v>177704</v>
      </c>
      <c r="M161" s="156">
        <v>69620</v>
      </c>
      <c r="N161" s="156">
        <v>36240</v>
      </c>
      <c r="O161" s="156">
        <v>49084</v>
      </c>
      <c r="P161" s="156">
        <v>80908</v>
      </c>
    </row>
    <row r="162" spans="1:16" x14ac:dyDescent="0.25">
      <c r="A162" s="356">
        <f>_xlfn.IFNA(VLOOKUP(B162,Mapping!C:D,2,FALSE),C162)</f>
        <v>5490000707</v>
      </c>
      <c r="B162" s="190" t="str">
        <f t="shared" si="5"/>
        <v>5490000707RD</v>
      </c>
      <c r="C162" s="356">
        <v>5490000707</v>
      </c>
      <c r="D162" s="190" t="s">
        <v>406</v>
      </c>
      <c r="E162" s="156">
        <v>39043</v>
      </c>
      <c r="F162" s="156">
        <v>67894</v>
      </c>
      <c r="G162" s="156">
        <v>37365</v>
      </c>
      <c r="H162" s="156">
        <v>67821</v>
      </c>
      <c r="I162" s="156">
        <v>70536</v>
      </c>
      <c r="J162" s="156">
        <v>66623</v>
      </c>
      <c r="K162" s="156">
        <v>73706</v>
      </c>
      <c r="L162" s="156">
        <v>135846.6</v>
      </c>
      <c r="M162" s="156">
        <v>74214</v>
      </c>
      <c r="N162" s="156">
        <v>30012</v>
      </c>
      <c r="O162" s="156">
        <v>48103</v>
      </c>
      <c r="P162" s="156">
        <v>83016.400000000009</v>
      </c>
    </row>
    <row r="163" spans="1:16" x14ac:dyDescent="0.25">
      <c r="A163" s="356">
        <f>_xlfn.IFNA(VLOOKUP(B163,Mapping!C:D,2,FALSE),C163)</f>
        <v>5490000707</v>
      </c>
      <c r="B163" s="190" t="str">
        <f t="shared" si="5"/>
        <v>5490000707ND</v>
      </c>
      <c r="C163" s="356">
        <v>5490000707</v>
      </c>
      <c r="D163" s="190" t="s">
        <v>411</v>
      </c>
      <c r="E163" s="156">
        <v>15334.2</v>
      </c>
      <c r="F163" s="156">
        <v>8793</v>
      </c>
      <c r="G163" s="156">
        <v>3315.6000000000004</v>
      </c>
      <c r="H163" s="156">
        <v>10220.4</v>
      </c>
      <c r="I163" s="156">
        <v>6048</v>
      </c>
      <c r="J163" s="156">
        <v>5036.3999999999996</v>
      </c>
      <c r="K163" s="156">
        <v>10549.800000000001</v>
      </c>
      <c r="L163" s="156">
        <v>24943.5</v>
      </c>
      <c r="M163" s="156">
        <v>6660</v>
      </c>
      <c r="N163" s="156">
        <v>3538.8</v>
      </c>
      <c r="O163" s="156">
        <v>15427.8</v>
      </c>
      <c r="P163" s="156">
        <v>16729.02</v>
      </c>
    </row>
    <row r="164" spans="1:16" x14ac:dyDescent="0.25">
      <c r="A164" s="356">
        <f>_xlfn.IFNA(VLOOKUP(B164,Mapping!C:D,2,FALSE),C164)</f>
        <v>5490000707</v>
      </c>
      <c r="B164" s="190" t="str">
        <f t="shared" si="5"/>
        <v>5490000707YY</v>
      </c>
      <c r="C164" s="356">
        <v>5490000707</v>
      </c>
      <c r="D164" s="190" t="s">
        <v>412</v>
      </c>
      <c r="E164" s="156">
        <v>12839.999999871608</v>
      </c>
      <c r="F164" s="156">
        <v>10319.999999896805</v>
      </c>
      <c r="G164" s="156">
        <v>6899.9999999310003</v>
      </c>
      <c r="H164" s="156">
        <v>8639.9999999136016</v>
      </c>
      <c r="I164" s="156">
        <v>9899.9999999010015</v>
      </c>
      <c r="J164" s="156">
        <v>5399.9999999460015</v>
      </c>
      <c r="K164" s="156">
        <v>9419.9999999058018</v>
      </c>
      <c r="L164" s="156">
        <v>10433.999999895588</v>
      </c>
      <c r="M164" s="156">
        <v>11256.999999887388</v>
      </c>
      <c r="N164" s="156">
        <v>4472.9999999550719</v>
      </c>
      <c r="O164" s="156">
        <v>6239.9999999376023</v>
      </c>
      <c r="P164" s="156">
        <v>22775.999999382289</v>
      </c>
    </row>
    <row r="165" spans="1:16" x14ac:dyDescent="0.25">
      <c r="A165" s="356">
        <f>_xlfn.IFNA(VLOOKUP(B165,Mapping!C:D,2,FALSE),C165)</f>
        <v>5490000707</v>
      </c>
      <c r="B165" s="190" t="str">
        <f t="shared" si="5"/>
        <v>5490000707AJP</v>
      </c>
      <c r="C165" s="356">
        <v>5490000707</v>
      </c>
      <c r="D165" s="190" t="s">
        <v>408</v>
      </c>
      <c r="E165" s="156">
        <v>7560</v>
      </c>
      <c r="F165" s="156">
        <v>8033.76</v>
      </c>
      <c r="G165" s="156">
        <v>3528</v>
      </c>
      <c r="H165" s="156">
        <v>8064</v>
      </c>
      <c r="I165" s="156">
        <v>8064</v>
      </c>
      <c r="J165" s="156">
        <v>8064</v>
      </c>
      <c r="K165" s="156">
        <v>9576</v>
      </c>
      <c r="L165" s="156">
        <v>19817.28</v>
      </c>
      <c r="M165" s="156">
        <v>11088</v>
      </c>
      <c r="N165" s="156">
        <v>4032</v>
      </c>
      <c r="O165" s="156">
        <v>2520</v>
      </c>
      <c r="P165" s="156">
        <v>9979.2000000000007</v>
      </c>
    </row>
    <row r="166" spans="1:16" x14ac:dyDescent="0.25">
      <c r="A166" s="356">
        <f>_xlfn.IFNA(VLOOKUP(B166,Mapping!C:D,2,FALSE),C166)</f>
        <v>5490000707</v>
      </c>
      <c r="B166" s="190" t="str">
        <f t="shared" si="5"/>
        <v>5490000707RM</v>
      </c>
      <c r="C166" s="356">
        <v>5490000707</v>
      </c>
      <c r="D166" s="190" t="s">
        <v>410</v>
      </c>
      <c r="E166" s="156">
        <v>4720</v>
      </c>
      <c r="F166" s="156">
        <v>6360</v>
      </c>
      <c r="G166" s="156">
        <v>3468</v>
      </c>
      <c r="H166" s="156">
        <v>5720</v>
      </c>
      <c r="I166" s="156">
        <v>6226</v>
      </c>
      <c r="J166" s="156">
        <v>5236</v>
      </c>
      <c r="K166" s="156">
        <v>7390</v>
      </c>
      <c r="L166" s="156">
        <v>16752</v>
      </c>
      <c r="M166" s="156">
        <v>5295.2</v>
      </c>
      <c r="N166" s="156">
        <v>6664</v>
      </c>
      <c r="O166" s="156">
        <v>5878</v>
      </c>
      <c r="P166" s="156">
        <v>5597.5999999999995</v>
      </c>
    </row>
    <row r="167" spans="1:16" x14ac:dyDescent="0.25">
      <c r="A167" s="356">
        <f>_xlfn.IFNA(VLOOKUP(B167,Mapping!C:D,2,FALSE),C167)</f>
        <v>5490000707</v>
      </c>
      <c r="B167" s="190" t="str">
        <f t="shared" si="5"/>
        <v>5490000707RKR</v>
      </c>
      <c r="C167" s="356">
        <v>5490000707</v>
      </c>
      <c r="D167" s="190" t="s">
        <v>415</v>
      </c>
      <c r="E167" s="156">
        <v>4020</v>
      </c>
      <c r="F167" s="156">
        <v>9276</v>
      </c>
      <c r="G167" s="156">
        <v>2406</v>
      </c>
      <c r="H167" s="156">
        <v>1984.8000000000002</v>
      </c>
      <c r="I167" s="156">
        <v>5148</v>
      </c>
      <c r="J167" s="156">
        <v>8700</v>
      </c>
      <c r="K167" s="156">
        <v>8022</v>
      </c>
      <c r="L167" s="156">
        <v>12150</v>
      </c>
      <c r="M167" s="156">
        <v>5790</v>
      </c>
      <c r="N167" s="156">
        <v>4044</v>
      </c>
      <c r="O167" s="156">
        <v>5640</v>
      </c>
      <c r="P167" s="156">
        <v>7506</v>
      </c>
    </row>
    <row r="168" spans="1:16" x14ac:dyDescent="0.25">
      <c r="A168" s="356">
        <f>_xlfn.IFNA(VLOOKUP(B168,Mapping!C:D,2,FALSE),C168)</f>
        <v>5490000707</v>
      </c>
      <c r="B168" s="190" t="str">
        <f t="shared" si="5"/>
        <v>5490000707RDC</v>
      </c>
      <c r="C168" s="356">
        <v>5490000707</v>
      </c>
      <c r="D168" s="190" t="s">
        <v>409</v>
      </c>
      <c r="E168" s="156">
        <v>2520</v>
      </c>
      <c r="F168" s="156">
        <v>2016</v>
      </c>
      <c r="G168" s="156">
        <v>1872</v>
      </c>
      <c r="H168" s="156">
        <v>5054.3999999999996</v>
      </c>
      <c r="I168" s="156">
        <v>6379.2</v>
      </c>
      <c r="J168" s="156">
        <v>4017.6</v>
      </c>
      <c r="K168" s="156">
        <v>7315.2</v>
      </c>
      <c r="L168" s="156">
        <v>10670.4</v>
      </c>
      <c r="M168" s="156">
        <v>5580</v>
      </c>
      <c r="N168" s="156">
        <v>7812</v>
      </c>
      <c r="O168" s="156">
        <v>7099.2</v>
      </c>
      <c r="P168" s="156">
        <v>10661.76</v>
      </c>
    </row>
    <row r="169" spans="1:16" x14ac:dyDescent="0.25">
      <c r="A169" s="356">
        <f>_xlfn.IFNA(VLOOKUP(B169,Mapping!C:D,2,FALSE),C169)</f>
        <v>5490000707</v>
      </c>
      <c r="B169" s="190" t="str">
        <f t="shared" si="5"/>
        <v>5490000707TKM</v>
      </c>
      <c r="C169" s="356">
        <v>5490000707</v>
      </c>
      <c r="D169" s="190" t="s">
        <v>414</v>
      </c>
      <c r="E169" s="156">
        <v>3247.2000000000007</v>
      </c>
      <c r="F169" s="156">
        <v>3537.6000000000004</v>
      </c>
      <c r="G169" s="156">
        <v>3566.4000000000015</v>
      </c>
      <c r="H169" s="156">
        <v>4773.6000000000004</v>
      </c>
      <c r="I169" s="156">
        <v>4992.0000000000009</v>
      </c>
      <c r="J169" s="156">
        <v>3199.2000000000012</v>
      </c>
      <c r="K169" s="156">
        <v>5767.2000000000025</v>
      </c>
      <c r="L169" s="156">
        <v>8702.3999999999978</v>
      </c>
      <c r="M169" s="156">
        <v>4140</v>
      </c>
      <c r="N169" s="156">
        <v>2524.8000000000006</v>
      </c>
      <c r="O169" s="156">
        <v>3984</v>
      </c>
      <c r="P169" s="156">
        <v>4252.8000000000011</v>
      </c>
    </row>
    <row r="170" spans="1:16" x14ac:dyDescent="0.25">
      <c r="A170" s="356">
        <f>_xlfn.IFNA(VLOOKUP(B170,Mapping!C:D,2,FALSE),C170)</f>
        <v>5490000707</v>
      </c>
      <c r="B170" s="190" t="str">
        <f t="shared" si="5"/>
        <v>5490000707PDC</v>
      </c>
      <c r="C170" s="356">
        <v>5490000707</v>
      </c>
      <c r="D170" s="190" t="s">
        <v>413</v>
      </c>
      <c r="E170" s="156">
        <v>2986.9560000000001</v>
      </c>
      <c r="F170" s="156">
        <v>218.7</v>
      </c>
      <c r="G170" s="156">
        <v>291.59999999999997</v>
      </c>
      <c r="H170" s="156">
        <v>1603.8</v>
      </c>
      <c r="I170" s="156">
        <v>1239.3</v>
      </c>
      <c r="J170" s="156">
        <v>1418.1479999999999</v>
      </c>
      <c r="K170" s="156">
        <v>2714.018399999999</v>
      </c>
      <c r="L170" s="156">
        <v>4155.7860000000001</v>
      </c>
      <c r="M170" s="156">
        <v>2043.6299999999997</v>
      </c>
      <c r="N170" s="156">
        <v>952.56</v>
      </c>
      <c r="O170" s="156">
        <v>2424.654</v>
      </c>
      <c r="P170" s="156">
        <v>2957.6987999999997</v>
      </c>
    </row>
    <row r="171" spans="1:16" x14ac:dyDescent="0.25">
      <c r="A171" s="356">
        <f>_xlfn.IFNA(VLOOKUP(B171,Mapping!C:D,2,FALSE),C171)</f>
        <v>5490000707</v>
      </c>
      <c r="B171" s="190" t="str">
        <f t="shared" si="5"/>
        <v>5490000707BD</v>
      </c>
      <c r="C171" s="356">
        <v>5490000707</v>
      </c>
      <c r="D171" s="190" t="s">
        <v>407</v>
      </c>
      <c r="E171" s="156">
        <v>2479.99999997532</v>
      </c>
      <c r="F171" s="156">
        <v>3621.9999999639113</v>
      </c>
      <c r="G171" s="156">
        <v>2637.9999999738484</v>
      </c>
      <c r="H171" s="156">
        <v>354.99999999648008</v>
      </c>
      <c r="I171" s="156">
        <v>242.99999999782804</v>
      </c>
      <c r="J171" s="156">
        <v>398.99999999630398</v>
      </c>
      <c r="K171" s="156">
        <v>1375.999999986816</v>
      </c>
      <c r="L171" s="156">
        <v>2475.9999999752758</v>
      </c>
      <c r="M171" s="156">
        <v>301.99999999729192</v>
      </c>
      <c r="N171" s="156">
        <v>897.99999999136787</v>
      </c>
      <c r="O171" s="156">
        <v>599.99999999400006</v>
      </c>
      <c r="P171" s="156">
        <v>2259.9999999774</v>
      </c>
    </row>
    <row r="172" spans="1:16" x14ac:dyDescent="0.25">
      <c r="A172" s="356">
        <f>_xlfn.IFNA(VLOOKUP(B172,Mapping!C:D,2,FALSE),C172)</f>
        <v>5490000707</v>
      </c>
      <c r="B172" s="190" t="str">
        <f t="shared" si="5"/>
        <v>5490000707FP</v>
      </c>
      <c r="C172" s="356">
        <v>5490000707</v>
      </c>
      <c r="D172" s="190" t="s">
        <v>418</v>
      </c>
      <c r="E172" s="156">
        <v>573.56399999999985</v>
      </c>
      <c r="F172" s="156">
        <v>1328.3399999999997</v>
      </c>
      <c r="G172" s="156">
        <v>648.75599999999986</v>
      </c>
      <c r="H172" s="156">
        <v>557.14799999999991</v>
      </c>
      <c r="I172" s="156">
        <v>1234.6079999999997</v>
      </c>
      <c r="J172" s="156">
        <v>2495.8919999999998</v>
      </c>
      <c r="K172" s="156">
        <v>1665.6839999999997</v>
      </c>
      <c r="L172" s="156">
        <v>4780.4040000000005</v>
      </c>
      <c r="M172" s="156">
        <v>774.24</v>
      </c>
      <c r="N172" s="156">
        <v>1480.5840000000001</v>
      </c>
    </row>
    <row r="173" spans="1:16" x14ac:dyDescent="0.25">
      <c r="A173" s="356">
        <f>_xlfn.IFNA(VLOOKUP(B173,Mapping!C:D,2,FALSE),C173)</f>
        <v>5490000707</v>
      </c>
      <c r="B173" s="190" t="str">
        <f t="shared" si="5"/>
        <v>5490000707LPD</v>
      </c>
      <c r="C173" s="356">
        <v>5490000707</v>
      </c>
      <c r="D173" s="190" t="s">
        <v>420</v>
      </c>
      <c r="E173" s="156">
        <v>900</v>
      </c>
      <c r="F173" s="156">
        <v>1800</v>
      </c>
      <c r="G173" s="156">
        <v>600</v>
      </c>
      <c r="H173" s="156">
        <v>900</v>
      </c>
      <c r="I173" s="156">
        <v>1080</v>
      </c>
      <c r="J173" s="156">
        <v>660</v>
      </c>
      <c r="K173" s="156">
        <v>1080</v>
      </c>
      <c r="L173" s="156">
        <v>2616</v>
      </c>
      <c r="M173" s="156">
        <v>1050</v>
      </c>
      <c r="N173" s="156">
        <v>480</v>
      </c>
      <c r="O173" s="156">
        <v>1560</v>
      </c>
      <c r="P173" s="156">
        <v>1860</v>
      </c>
    </row>
    <row r="174" spans="1:16" x14ac:dyDescent="0.25">
      <c r="A174" s="356">
        <f>_xlfn.IFNA(VLOOKUP(B174,Mapping!C:D,2,FALSE),C174)</f>
        <v>5490000707</v>
      </c>
      <c r="B174" s="190" t="str">
        <f t="shared" si="5"/>
        <v>5490000707AMV</v>
      </c>
      <c r="C174" s="356">
        <v>5490000707</v>
      </c>
      <c r="D174" s="190" t="s">
        <v>416</v>
      </c>
      <c r="E174" s="156">
        <v>4.99999999992</v>
      </c>
      <c r="F174" s="156">
        <v>19.999999999680004</v>
      </c>
      <c r="G174" s="156">
        <v>30.999999999503995</v>
      </c>
      <c r="H174" s="156">
        <v>16.999999999728001</v>
      </c>
      <c r="I174" s="156">
        <v>33.999999999455994</v>
      </c>
      <c r="J174" s="156">
        <v>19.999999999680004</v>
      </c>
      <c r="K174" s="156">
        <v>9.9999999998400018</v>
      </c>
      <c r="L174" s="156">
        <v>24.999999999215994</v>
      </c>
      <c r="M174" s="156">
        <v>47.999999998799993</v>
      </c>
      <c r="N174" s="156">
        <v>31.999999999199996</v>
      </c>
    </row>
    <row r="175" spans="1:16" x14ac:dyDescent="0.25">
      <c r="A175" s="356">
        <f>_xlfn.IFNA(VLOOKUP(B175,Mapping!C:D,2,FALSE),C175)</f>
        <v>5490000707</v>
      </c>
      <c r="B175" s="190" t="str">
        <f t="shared" si="5"/>
        <v>5490000707AJA</v>
      </c>
      <c r="C175" s="356">
        <v>5490000707</v>
      </c>
      <c r="D175" s="190" t="s">
        <v>417</v>
      </c>
      <c r="L175" s="156">
        <v>9.9999999995039985</v>
      </c>
      <c r="M175" s="156">
        <v>6.9999999996479998</v>
      </c>
      <c r="N175" s="156">
        <v>3.9999999997919997</v>
      </c>
    </row>
    <row r="176" spans="1:16" x14ac:dyDescent="0.25">
      <c r="A176" s="356">
        <f>_xlfn.IFNA(VLOOKUP(B176,Mapping!C:D,2,FALSE),C176)</f>
        <v>5490000706</v>
      </c>
      <c r="B176" s="190" t="str">
        <f t="shared" si="5"/>
        <v>5490000706AJ</v>
      </c>
      <c r="C176" s="356">
        <v>5490000706</v>
      </c>
      <c r="D176" s="190" t="s">
        <v>405</v>
      </c>
      <c r="E176" s="156">
        <v>83211.5</v>
      </c>
      <c r="F176" s="156">
        <v>93124.95</v>
      </c>
      <c r="G176" s="156">
        <v>98943</v>
      </c>
      <c r="H176" s="156">
        <v>87675</v>
      </c>
      <c r="I176" s="156">
        <v>99449.5</v>
      </c>
      <c r="J176" s="156">
        <v>98111.25</v>
      </c>
      <c r="K176" s="156">
        <v>97653.45</v>
      </c>
      <c r="L176" s="156">
        <v>97883.5</v>
      </c>
      <c r="M176" s="156">
        <v>101987.5</v>
      </c>
      <c r="N176" s="156">
        <v>151793.5</v>
      </c>
      <c r="O176" s="156">
        <v>94080</v>
      </c>
      <c r="P176" s="156">
        <v>116612.95</v>
      </c>
    </row>
    <row r="177" spans="1:16" x14ac:dyDescent="0.25">
      <c r="A177" s="356">
        <f>_xlfn.IFNA(VLOOKUP(B177,Mapping!C:D,2,FALSE),C177)</f>
        <v>5490000706</v>
      </c>
      <c r="B177" s="190" t="str">
        <f t="shared" si="5"/>
        <v>5490000706BD</v>
      </c>
      <c r="C177" s="356">
        <v>5490000706</v>
      </c>
      <c r="D177" s="190" t="s">
        <v>407</v>
      </c>
      <c r="E177" s="156">
        <v>3329.9666666336479</v>
      </c>
      <c r="F177" s="156">
        <v>4409.5999999561773</v>
      </c>
      <c r="G177" s="156">
        <v>6361.266666603643</v>
      </c>
      <c r="H177" s="156">
        <v>6348.9666666034282</v>
      </c>
      <c r="I177" s="156">
        <v>7979.9999999205884</v>
      </c>
      <c r="J177" s="156">
        <v>2750.9999999726265</v>
      </c>
      <c r="K177" s="156">
        <v>893.96666665809767</v>
      </c>
      <c r="L177" s="156">
        <v>1979.9999999804745</v>
      </c>
      <c r="M177" s="156">
        <v>2962.9666666375879</v>
      </c>
      <c r="N177" s="156">
        <v>4330.9999999570973</v>
      </c>
      <c r="O177" s="156">
        <v>3814.9999999626407</v>
      </c>
      <c r="P177" s="156">
        <v>3497.9333332987671</v>
      </c>
    </row>
    <row r="178" spans="1:16" x14ac:dyDescent="0.25">
      <c r="A178" s="356">
        <f>_xlfn.IFNA(VLOOKUP(B178,Mapping!C:D,2,FALSE),C178)</f>
        <v>5490000706</v>
      </c>
      <c r="B178" s="190" t="str">
        <f t="shared" si="5"/>
        <v>5490000706RD</v>
      </c>
      <c r="C178" s="356">
        <v>5490000706</v>
      </c>
      <c r="D178" s="190" t="s">
        <v>406</v>
      </c>
      <c r="E178" s="156">
        <v>2326.4399999999996</v>
      </c>
      <c r="F178" s="156">
        <v>2428.3899999999958</v>
      </c>
      <c r="G178" s="156">
        <v>1793.1399999999981</v>
      </c>
      <c r="H178" s="156">
        <v>2645.8800000000033</v>
      </c>
      <c r="I178" s="156">
        <v>2650.9399999999991</v>
      </c>
      <c r="J178" s="156">
        <v>2523.0700000000011</v>
      </c>
      <c r="K178" s="156">
        <v>2408.8199999999997</v>
      </c>
      <c r="L178" s="156">
        <v>2358.5800000000004</v>
      </c>
      <c r="M178" s="156">
        <v>2605.8400000000011</v>
      </c>
      <c r="N178" s="156">
        <v>2359.5800000000013</v>
      </c>
      <c r="O178" s="156">
        <v>2285.8899999999976</v>
      </c>
      <c r="P178" s="156">
        <v>2759.079999999999</v>
      </c>
    </row>
    <row r="179" spans="1:16" x14ac:dyDescent="0.25">
      <c r="A179" s="356">
        <f>_xlfn.IFNA(VLOOKUP(B179,Mapping!C:D,2,FALSE),C179)</f>
        <v>5490000706</v>
      </c>
      <c r="B179" s="190" t="str">
        <f t="shared" si="5"/>
        <v>5490000706YY</v>
      </c>
      <c r="C179" s="356">
        <v>5490000706</v>
      </c>
      <c r="D179" s="190" t="s">
        <v>412</v>
      </c>
      <c r="E179" s="156">
        <v>2607.9833332995267</v>
      </c>
      <c r="F179" s="156">
        <v>2447.5999999622418</v>
      </c>
      <c r="G179" s="156">
        <v>1527.2611110864671</v>
      </c>
      <c r="H179" s="156">
        <v>2647.1388888445999</v>
      </c>
      <c r="I179" s="156">
        <v>2854.5277777501929</v>
      </c>
      <c r="J179" s="156">
        <v>2461.8611110751317</v>
      </c>
      <c r="K179" s="156">
        <v>1673.2499999715342</v>
      </c>
      <c r="L179" s="156">
        <v>1682.9722221960558</v>
      </c>
      <c r="M179" s="156">
        <v>2598.1944444052247</v>
      </c>
      <c r="N179" s="156">
        <v>1215.7222222029743</v>
      </c>
      <c r="O179" s="156">
        <v>1845.4999999693084</v>
      </c>
      <c r="P179" s="156">
        <v>2844.8888888479873</v>
      </c>
    </row>
    <row r="180" spans="1:16" x14ac:dyDescent="0.25">
      <c r="A180" s="356">
        <f>_xlfn.IFNA(VLOOKUP(B180,Mapping!C:D,2,FALSE),C180)</f>
        <v>5490000706</v>
      </c>
      <c r="B180" s="190" t="str">
        <f t="shared" si="5"/>
        <v>5490000706TKM</v>
      </c>
      <c r="C180" s="356">
        <v>5490000706</v>
      </c>
      <c r="D180" s="190" t="s">
        <v>414</v>
      </c>
      <c r="E180" s="156">
        <v>1811.9999999999984</v>
      </c>
      <c r="F180" s="156">
        <v>1855.1999999999964</v>
      </c>
      <c r="G180" s="156">
        <v>1903.1999999999996</v>
      </c>
      <c r="H180" s="156">
        <v>2171.4999999999991</v>
      </c>
      <c r="I180" s="156">
        <v>2059.1999999999975</v>
      </c>
      <c r="J180" s="156">
        <v>2021.9999999999977</v>
      </c>
      <c r="K180" s="156">
        <v>1659.5999999999976</v>
      </c>
      <c r="L180" s="156">
        <v>1837.1999999999982</v>
      </c>
      <c r="M180" s="156">
        <v>1883.9999999999984</v>
      </c>
      <c r="N180" s="156">
        <v>1193.9999999999993</v>
      </c>
      <c r="O180" s="156">
        <v>1774.7999999999984</v>
      </c>
      <c r="P180" s="156">
        <v>2427.8000000000002</v>
      </c>
    </row>
    <row r="181" spans="1:16" x14ac:dyDescent="0.25">
      <c r="A181" s="356">
        <f>_xlfn.IFNA(VLOOKUP(B181,Mapping!C:D,2,FALSE),C181)</f>
        <v>5490000706</v>
      </c>
      <c r="B181" s="190" t="str">
        <f t="shared" si="5"/>
        <v>5490000706PDC</v>
      </c>
      <c r="C181" s="356">
        <v>5490000706</v>
      </c>
      <c r="D181" s="190" t="s">
        <v>413</v>
      </c>
      <c r="E181" s="156">
        <v>582.86339999999973</v>
      </c>
      <c r="F181" s="156">
        <v>663.29520000000014</v>
      </c>
      <c r="G181" s="156">
        <v>318.59219999999993</v>
      </c>
      <c r="H181" s="156">
        <v>567.46890000000008</v>
      </c>
      <c r="I181" s="156">
        <v>541.84230000000002</v>
      </c>
      <c r="J181" s="156">
        <v>580.8429000000001</v>
      </c>
      <c r="K181" s="156">
        <v>535.61160000000007</v>
      </c>
      <c r="L181" s="156">
        <v>4437.3284999999987</v>
      </c>
      <c r="M181" s="156">
        <v>728.80479999999966</v>
      </c>
      <c r="N181" s="156">
        <v>6010.9853999999996</v>
      </c>
      <c r="O181" s="156">
        <v>421.85459999999995</v>
      </c>
      <c r="P181" s="156">
        <v>638.4534000000001</v>
      </c>
    </row>
    <row r="182" spans="1:16" x14ac:dyDescent="0.25">
      <c r="A182" s="356">
        <f>_xlfn.IFNA(VLOOKUP(B182,Mapping!C:D,2,FALSE),C182)</f>
        <v>5490000706</v>
      </c>
      <c r="B182" s="190" t="str">
        <f t="shared" si="5"/>
        <v>5490000706RM</v>
      </c>
      <c r="C182" s="356">
        <v>5490000706</v>
      </c>
      <c r="D182" s="190" t="s">
        <v>410</v>
      </c>
      <c r="E182" s="156">
        <v>802.00000000000023</v>
      </c>
      <c r="F182" s="156">
        <v>1284.9199999999998</v>
      </c>
      <c r="G182" s="156">
        <v>664.88</v>
      </c>
      <c r="H182" s="156">
        <v>1046.4399999999996</v>
      </c>
      <c r="I182" s="156">
        <v>1137.7899999999997</v>
      </c>
      <c r="J182" s="156">
        <v>1131.8399999999999</v>
      </c>
      <c r="K182" s="156">
        <v>643.26</v>
      </c>
      <c r="L182" s="156">
        <v>900.26999999999987</v>
      </c>
      <c r="M182" s="156">
        <v>868.2700000000001</v>
      </c>
      <c r="N182" s="156">
        <v>1234.3</v>
      </c>
      <c r="O182" s="156">
        <v>845.38999999999987</v>
      </c>
      <c r="P182" s="156">
        <v>1076.4999999999998</v>
      </c>
    </row>
    <row r="183" spans="1:16" x14ac:dyDescent="0.25">
      <c r="A183" s="356">
        <f>_xlfn.IFNA(VLOOKUP(B183,Mapping!C:D,2,FALSE),C183)</f>
        <v>5490000706</v>
      </c>
      <c r="B183" s="190" t="str">
        <f t="shared" si="5"/>
        <v>5490000706FP</v>
      </c>
      <c r="C183" s="356">
        <v>5490000706</v>
      </c>
      <c r="D183" s="190" t="s">
        <v>418</v>
      </c>
      <c r="E183" s="156">
        <v>215.136</v>
      </c>
      <c r="F183" s="156">
        <v>4521.8639999999987</v>
      </c>
      <c r="G183" s="156">
        <v>96</v>
      </c>
      <c r="H183" s="156">
        <v>108.60000000000002</v>
      </c>
      <c r="I183" s="156">
        <v>88.799999999999983</v>
      </c>
      <c r="J183" s="156">
        <v>171.66200000000001</v>
      </c>
      <c r="K183" s="156">
        <v>2084.0879999999993</v>
      </c>
      <c r="L183" s="156">
        <v>1020.3979999999998</v>
      </c>
      <c r="M183" s="156">
        <v>204.62399999999994</v>
      </c>
      <c r="N183" s="156">
        <v>122.85600000000001</v>
      </c>
      <c r="O183" s="156">
        <v>-0.23799999999999999</v>
      </c>
    </row>
    <row r="184" spans="1:16" x14ac:dyDescent="0.25">
      <c r="A184" s="356">
        <f>_xlfn.IFNA(VLOOKUP(B184,Mapping!C:D,2,FALSE),C184)</f>
        <v>5490000706</v>
      </c>
      <c r="B184" s="190" t="str">
        <f t="shared" si="5"/>
        <v>5490000706RDC</v>
      </c>
      <c r="C184" s="356">
        <v>5490000706</v>
      </c>
      <c r="D184" s="190" t="s">
        <v>409</v>
      </c>
      <c r="E184" s="156">
        <v>349.75999999999965</v>
      </c>
      <c r="F184" s="156">
        <v>411.91999999999979</v>
      </c>
      <c r="G184" s="156">
        <v>307.63999999999987</v>
      </c>
      <c r="H184" s="156">
        <v>497.11999999999961</v>
      </c>
      <c r="I184" s="156">
        <v>604.72000000000014</v>
      </c>
      <c r="J184" s="156">
        <v>503.59999999999968</v>
      </c>
      <c r="K184" s="156">
        <v>417.75999999999982</v>
      </c>
      <c r="L184" s="156">
        <v>272.95999999999981</v>
      </c>
      <c r="M184" s="156">
        <v>426.07999999999976</v>
      </c>
      <c r="N184" s="156">
        <v>534.51999999999975</v>
      </c>
      <c r="O184" s="156">
        <v>409.03999999999979</v>
      </c>
      <c r="P184" s="156">
        <v>345.59999999999985</v>
      </c>
    </row>
    <row r="185" spans="1:16" x14ac:dyDescent="0.25">
      <c r="A185" s="356">
        <f>_xlfn.IFNA(VLOOKUP(B185,Mapping!C:D,2,FALSE),C185)</f>
        <v>5490000706</v>
      </c>
      <c r="B185" s="190" t="str">
        <f t="shared" si="5"/>
        <v>5490000706RKR</v>
      </c>
      <c r="C185" s="356">
        <v>5490000706</v>
      </c>
      <c r="D185" s="190" t="s">
        <v>415</v>
      </c>
      <c r="E185" s="156">
        <v>237.6</v>
      </c>
      <c r="F185" s="156">
        <v>337.10999999999973</v>
      </c>
      <c r="G185" s="156">
        <v>133.59000000000003</v>
      </c>
      <c r="H185" s="156">
        <v>93.36</v>
      </c>
      <c r="I185" s="156">
        <v>165.12</v>
      </c>
      <c r="J185" s="156">
        <v>151.68000000000004</v>
      </c>
      <c r="K185" s="156">
        <v>433.5599999999996</v>
      </c>
      <c r="L185" s="156">
        <v>158.4</v>
      </c>
      <c r="M185" s="156">
        <v>189.00000000000003</v>
      </c>
      <c r="N185" s="156">
        <v>284.04000000000002</v>
      </c>
      <c r="O185" s="156">
        <v>163.62</v>
      </c>
      <c r="P185" s="156">
        <v>292.08000000000004</v>
      </c>
    </row>
    <row r="186" spans="1:16" x14ac:dyDescent="0.25">
      <c r="A186" s="356">
        <f>_xlfn.IFNA(VLOOKUP(B186,Mapping!C:D,2,FALSE),C186)</f>
        <v>5490000706</v>
      </c>
      <c r="B186" s="190" t="str">
        <f t="shared" si="5"/>
        <v>5490000706AJP</v>
      </c>
      <c r="C186" s="356">
        <v>5490000706</v>
      </c>
      <c r="D186" s="190" t="s">
        <v>408</v>
      </c>
      <c r="E186" s="156">
        <v>218.94000000000011</v>
      </c>
      <c r="F186" s="156">
        <v>153.54000000000002</v>
      </c>
      <c r="G186" s="156">
        <v>206.07000000000005</v>
      </c>
      <c r="H186" s="156">
        <v>223.8600000000001</v>
      </c>
      <c r="I186" s="156">
        <v>200.91000000000005</v>
      </c>
      <c r="J186" s="156">
        <v>178.62000000000003</v>
      </c>
      <c r="K186" s="156">
        <v>203.94000000000005</v>
      </c>
      <c r="L186" s="156">
        <v>168.30000000000004</v>
      </c>
      <c r="M186" s="156">
        <v>163.62</v>
      </c>
      <c r="N186" s="156">
        <v>208.8600000000001</v>
      </c>
      <c r="O186" s="156">
        <v>231.60000000000005</v>
      </c>
      <c r="P186" s="156">
        <v>251.52000000000012</v>
      </c>
    </row>
    <row r="187" spans="1:16" x14ac:dyDescent="0.25">
      <c r="A187" s="356">
        <f>_xlfn.IFNA(VLOOKUP(B187,Mapping!C:D,2,FALSE),C187)</f>
        <v>5490000706</v>
      </c>
      <c r="B187" s="190" t="str">
        <f t="shared" si="5"/>
        <v>5490000706QM</v>
      </c>
      <c r="C187" s="356">
        <v>5490000706</v>
      </c>
      <c r="D187" s="190" t="s">
        <v>419</v>
      </c>
      <c r="G187" s="156">
        <v>14</v>
      </c>
      <c r="H187" s="156">
        <v>59</v>
      </c>
      <c r="I187" s="156">
        <v>30</v>
      </c>
      <c r="J187" s="156">
        <v>67</v>
      </c>
      <c r="K187" s="156">
        <v>29</v>
      </c>
      <c r="L187" s="156">
        <v>28</v>
      </c>
      <c r="M187" s="156">
        <v>76</v>
      </c>
      <c r="N187" s="156">
        <v>11.9375</v>
      </c>
      <c r="O187" s="156">
        <v>276</v>
      </c>
      <c r="P187" s="156">
        <v>42.9375</v>
      </c>
    </row>
    <row r="188" spans="1:16" x14ac:dyDescent="0.25">
      <c r="A188" s="356">
        <f>_xlfn.IFNA(VLOOKUP(B188,Mapping!C:D,2,FALSE),C188)</f>
        <v>5490000706</v>
      </c>
      <c r="B188" s="190" t="str">
        <f t="shared" si="5"/>
        <v>5490000706ND</v>
      </c>
      <c r="C188" s="356">
        <v>5490000706</v>
      </c>
      <c r="D188" s="190" t="s">
        <v>411</v>
      </c>
      <c r="G188" s="156">
        <v>138.6</v>
      </c>
      <c r="H188" s="156">
        <v>12.6</v>
      </c>
      <c r="J188" s="156">
        <v>25.2</v>
      </c>
      <c r="K188" s="156">
        <v>25.2</v>
      </c>
      <c r="L188" s="156">
        <v>12.6</v>
      </c>
      <c r="M188" s="156">
        <v>62.999999999999993</v>
      </c>
      <c r="N188" s="156">
        <v>37.799999999999997</v>
      </c>
      <c r="O188" s="156">
        <v>75.599999999999994</v>
      </c>
    </row>
    <row r="189" spans="1:16" x14ac:dyDescent="0.25">
      <c r="A189" s="356">
        <f>_xlfn.IFNA(VLOOKUP(B189,Mapping!C:D,2,FALSE),C189)</f>
        <v>5490000706</v>
      </c>
      <c r="B189" s="190" t="str">
        <f t="shared" si="5"/>
        <v>5490000706FP</v>
      </c>
      <c r="C189" s="356">
        <v>5490000706</v>
      </c>
      <c r="D189" s="190" t="s">
        <v>418</v>
      </c>
      <c r="O189" s="156">
        <v>240.864</v>
      </c>
      <c r="P189" s="156">
        <v>63.96</v>
      </c>
    </row>
    <row r="190" spans="1:16" x14ac:dyDescent="0.25">
      <c r="A190" s="356">
        <f>_xlfn.IFNA(VLOOKUP(B190,Mapping!C:D,2,FALSE),C190)</f>
        <v>5490000706</v>
      </c>
      <c r="B190" s="190" t="str">
        <f t="shared" si="5"/>
        <v>5490000706STICK</v>
      </c>
      <c r="C190" s="356">
        <v>5490000706</v>
      </c>
      <c r="D190" s="190" t="s">
        <v>422</v>
      </c>
      <c r="E190" s="156">
        <v>28.500000000000007</v>
      </c>
      <c r="F190" s="156">
        <v>24.996000000000009</v>
      </c>
      <c r="G190" s="156">
        <v>12.384000000000004</v>
      </c>
      <c r="K190" s="156">
        <v>-0.57599999999999996</v>
      </c>
      <c r="L190" s="156">
        <v>-9.6000000000000002E-2</v>
      </c>
      <c r="M190" s="156">
        <v>-0.06</v>
      </c>
    </row>
    <row r="191" spans="1:16" x14ac:dyDescent="0.25">
      <c r="A191" s="356">
        <f>_xlfn.IFNA(VLOOKUP(B191,Mapping!C:D,2,FALSE),C191)</f>
        <v>5490000706</v>
      </c>
      <c r="B191" s="190" t="str">
        <f t="shared" si="5"/>
        <v>5490000706AMV</v>
      </c>
      <c r="C191" s="356">
        <v>5490000706</v>
      </c>
      <c r="D191" s="190" t="s">
        <v>416</v>
      </c>
      <c r="E191" s="156">
        <v>0.99999999998400013</v>
      </c>
      <c r="F191" s="156">
        <v>2.9999999999520002</v>
      </c>
      <c r="G191" s="156">
        <v>3.9999999999360005</v>
      </c>
      <c r="I191" s="156">
        <v>3.9999999999360005</v>
      </c>
      <c r="J191" s="156">
        <v>1.9999999999680003</v>
      </c>
      <c r="K191" s="156">
        <v>4.9999999999200009</v>
      </c>
      <c r="L191" s="156">
        <v>1.9999999999680003</v>
      </c>
      <c r="M191" s="156">
        <v>3.9999999999360005</v>
      </c>
      <c r="N191" s="156">
        <v>6.9999999998880007</v>
      </c>
      <c r="O191" s="156">
        <v>1.9999999999680003</v>
      </c>
      <c r="P191" s="156">
        <v>11.999999999808002</v>
      </c>
    </row>
    <row r="192" spans="1:16" x14ac:dyDescent="0.25">
      <c r="A192" s="356">
        <f>_xlfn.IFNA(VLOOKUP(B192,Mapping!C:D,2,FALSE),C192)</f>
        <v>5490000706</v>
      </c>
      <c r="B192" s="190" t="str">
        <f t="shared" si="5"/>
        <v>5490000706HDSH</v>
      </c>
      <c r="C192" s="356">
        <v>5490000706</v>
      </c>
      <c r="D192" s="190" t="s">
        <v>423</v>
      </c>
      <c r="O192" s="156">
        <v>24</v>
      </c>
    </row>
    <row r="193" spans="1:16" x14ac:dyDescent="0.25">
      <c r="A193" s="356">
        <f>_xlfn.IFNA(VLOOKUP(B193,Mapping!C:D,2,FALSE),C193)</f>
        <v>5490000706</v>
      </c>
      <c r="B193" s="190" t="str">
        <f t="shared" si="5"/>
        <v>5490000706LQSS</v>
      </c>
      <c r="C193" s="356">
        <v>5490000706</v>
      </c>
      <c r="D193" s="190" t="s">
        <v>424</v>
      </c>
      <c r="P193" s="156">
        <v>24</v>
      </c>
    </row>
    <row r="194" spans="1:16" x14ac:dyDescent="0.25">
      <c r="A194" s="356" t="str">
        <f>_xlfn.IFNA(VLOOKUP(B194,Mapping!C:D,2,FALSE),C194)</f>
        <v>5490000708</v>
      </c>
      <c r="B194" s="190" t="str">
        <f t="shared" si="5"/>
        <v>5490000704BD</v>
      </c>
      <c r="C194" s="356">
        <v>5490000704</v>
      </c>
      <c r="D194" s="190" t="s">
        <v>407</v>
      </c>
      <c r="E194" s="156">
        <v>486157.99999519897</v>
      </c>
      <c r="F194" s="156">
        <v>452922.99999565643</v>
      </c>
      <c r="G194" s="156">
        <v>455433.99999551696</v>
      </c>
      <c r="H194" s="156">
        <v>445840.99999562372</v>
      </c>
      <c r="I194" s="156">
        <v>499495.99999517621</v>
      </c>
      <c r="J194" s="156">
        <v>403458.99999598478</v>
      </c>
      <c r="K194" s="156">
        <v>483645.99999532691</v>
      </c>
      <c r="L194" s="156">
        <v>484973.99999529601</v>
      </c>
      <c r="M194" s="156">
        <v>533113.99999476341</v>
      </c>
      <c r="N194" s="156">
        <v>434666.99999589991</v>
      </c>
      <c r="O194" s="156">
        <v>447937.74999564397</v>
      </c>
      <c r="P194" s="156">
        <v>520788.99999485019</v>
      </c>
    </row>
    <row r="195" spans="1:16" x14ac:dyDescent="0.25">
      <c r="A195" s="356" t="str">
        <f>_xlfn.IFNA(VLOOKUP(B195,Mapping!C:D,2,FALSE),C195)</f>
        <v>5490000702</v>
      </c>
      <c r="B195" s="190" t="str">
        <f t="shared" si="5"/>
        <v>5490000704YY</v>
      </c>
      <c r="C195" s="356">
        <v>5490000704</v>
      </c>
      <c r="D195" s="190" t="s">
        <v>412</v>
      </c>
      <c r="E195" s="156">
        <v>481029.49999182695</v>
      </c>
      <c r="F195" s="156">
        <v>431791.08332558983</v>
      </c>
      <c r="G195" s="156">
        <v>423862.08332568535</v>
      </c>
      <c r="H195" s="156">
        <v>466368.99999172438</v>
      </c>
      <c r="I195" s="156">
        <v>470935.24999151286</v>
      </c>
      <c r="J195" s="156">
        <v>361705.58332674106</v>
      </c>
      <c r="K195" s="156">
        <v>513376.24999068264</v>
      </c>
      <c r="L195" s="156">
        <v>423735.99999201979</v>
      </c>
      <c r="M195" s="156">
        <v>445770.9999921752</v>
      </c>
      <c r="N195" s="156">
        <v>467515.33332487859</v>
      </c>
      <c r="O195" s="156">
        <v>362679.66665976972</v>
      </c>
      <c r="P195" s="156">
        <v>512796.66665697709</v>
      </c>
    </row>
    <row r="196" spans="1:16" x14ac:dyDescent="0.25">
      <c r="A196" s="356">
        <f>_xlfn.IFNA(VLOOKUP(B196,Mapping!C:D,2,FALSE),C196)</f>
        <v>5490000704</v>
      </c>
      <c r="B196" s="190" t="str">
        <f t="shared" si="5"/>
        <v>5490000704AJ</v>
      </c>
      <c r="C196" s="356">
        <v>5490000704</v>
      </c>
      <c r="D196" s="190" t="s">
        <v>405</v>
      </c>
      <c r="E196" s="156">
        <v>349267.58000000048</v>
      </c>
      <c r="F196" s="156">
        <v>349498.58000000048</v>
      </c>
      <c r="G196" s="156">
        <v>345868.64000000054</v>
      </c>
      <c r="H196" s="156">
        <v>363339.12000000058</v>
      </c>
      <c r="I196" s="156">
        <v>352063.74000000034</v>
      </c>
      <c r="J196" s="156">
        <v>335194.00000000029</v>
      </c>
      <c r="K196" s="156">
        <v>356191.24000000028</v>
      </c>
      <c r="L196" s="156">
        <v>282062.40000000014</v>
      </c>
      <c r="M196" s="156">
        <v>322732.9200000001</v>
      </c>
      <c r="N196" s="156">
        <v>372055.3800000003</v>
      </c>
      <c r="O196" s="156">
        <v>271079.4800000001</v>
      </c>
      <c r="P196" s="156">
        <v>362409.96000000049</v>
      </c>
    </row>
    <row r="197" spans="1:16" x14ac:dyDescent="0.25">
      <c r="A197" s="356">
        <f>_xlfn.IFNA(VLOOKUP(B197,Mapping!C:D,2,FALSE),C197)</f>
        <v>5490000704</v>
      </c>
      <c r="B197" s="190" t="str">
        <f t="shared" si="5"/>
        <v>5490000704RD</v>
      </c>
      <c r="C197" s="356">
        <v>5490000704</v>
      </c>
      <c r="D197" s="190" t="s">
        <v>406</v>
      </c>
      <c r="E197" s="156">
        <v>212206.39999999962</v>
      </c>
      <c r="F197" s="156">
        <v>206359.31999999925</v>
      </c>
      <c r="G197" s="156">
        <v>206332.55999999939</v>
      </c>
      <c r="H197" s="156">
        <v>196189.13999999946</v>
      </c>
      <c r="I197" s="156">
        <v>228859.57999999964</v>
      </c>
      <c r="J197" s="156">
        <v>214645.49999999968</v>
      </c>
      <c r="K197" s="156">
        <v>270329.79999999888</v>
      </c>
      <c r="L197" s="156">
        <v>180163.49999999997</v>
      </c>
      <c r="M197" s="156">
        <v>183948.07999999975</v>
      </c>
      <c r="N197" s="156">
        <v>217062.6799999997</v>
      </c>
      <c r="O197" s="156">
        <v>163379.02000000011</v>
      </c>
      <c r="P197" s="156">
        <v>221778.3199999991</v>
      </c>
    </row>
    <row r="198" spans="1:16" x14ac:dyDescent="0.25">
      <c r="A198" s="356" t="str">
        <f>_xlfn.IFNA(VLOOKUP(B198,Mapping!C:D,2,FALSE),C198)</f>
        <v>5490000708</v>
      </c>
      <c r="B198" s="190" t="str">
        <f t="shared" si="5"/>
        <v>5490000704PDC</v>
      </c>
      <c r="C198" s="356">
        <v>5490000704</v>
      </c>
      <c r="D198" s="190" t="s">
        <v>413</v>
      </c>
      <c r="E198" s="156">
        <v>82759.062000000049</v>
      </c>
      <c r="F198" s="156">
        <v>67649.743800000026</v>
      </c>
      <c r="G198" s="156">
        <v>58934.515200000082</v>
      </c>
      <c r="H198" s="156">
        <v>70724.333400000163</v>
      </c>
      <c r="I198" s="156">
        <v>58405.423800000084</v>
      </c>
      <c r="J198" s="156">
        <v>95848.932600000015</v>
      </c>
      <c r="K198" s="156">
        <v>59037.394200000184</v>
      </c>
      <c r="L198" s="156">
        <v>117247.98539999999</v>
      </c>
      <c r="M198" s="156">
        <v>123094.80480000004</v>
      </c>
      <c r="N198" s="156">
        <v>88103.423399999971</v>
      </c>
      <c r="O198" s="156">
        <v>60877.779000000024</v>
      </c>
      <c r="P198" s="156">
        <v>98957.134199999622</v>
      </c>
    </row>
    <row r="199" spans="1:16" x14ac:dyDescent="0.25">
      <c r="A199" s="356">
        <f>_xlfn.IFNA(VLOOKUP(B199,Mapping!C:D,2,FALSE),C199)</f>
        <v>5490000704</v>
      </c>
      <c r="B199" s="190" t="str">
        <f t="shared" si="5"/>
        <v>5490000704AJP</v>
      </c>
      <c r="C199" s="356">
        <v>5490000704</v>
      </c>
      <c r="D199" s="190" t="s">
        <v>408</v>
      </c>
      <c r="E199" s="156">
        <v>47547.359999999993</v>
      </c>
      <c r="F199" s="156">
        <v>48079.019999999975</v>
      </c>
      <c r="G199" s="156">
        <v>45662.39999999998</v>
      </c>
      <c r="H199" s="156">
        <v>50515.799999999996</v>
      </c>
      <c r="I199" s="156">
        <v>49608.59999999994</v>
      </c>
      <c r="J199" s="156">
        <v>49550.699999999953</v>
      </c>
      <c r="K199" s="156">
        <v>53955.659999999945</v>
      </c>
      <c r="L199" s="156">
        <v>45170.819999999992</v>
      </c>
      <c r="M199" s="156">
        <v>51967.319999999963</v>
      </c>
      <c r="N199" s="156">
        <v>75436.13999999997</v>
      </c>
      <c r="O199" s="156">
        <v>27301.56</v>
      </c>
      <c r="P199" s="156">
        <v>51221.399999999972</v>
      </c>
    </row>
    <row r="200" spans="1:16" x14ac:dyDescent="0.25">
      <c r="A200" s="356">
        <f>_xlfn.IFNA(VLOOKUP(B200,Mapping!C:D,2,FALSE),C200)</f>
        <v>5490000704</v>
      </c>
      <c r="B200" s="190" t="str">
        <f t="shared" si="5"/>
        <v>5490000704TKM</v>
      </c>
      <c r="C200" s="356">
        <v>5490000704</v>
      </c>
      <c r="D200" s="190" t="s">
        <v>414</v>
      </c>
      <c r="E200" s="156">
        <v>28795.199999999964</v>
      </c>
      <c r="F200" s="156">
        <v>29780.399999999976</v>
      </c>
      <c r="G200" s="156">
        <v>32042.399999999932</v>
      </c>
      <c r="H200" s="156">
        <v>30212.399999999965</v>
      </c>
      <c r="I200" s="156">
        <v>32131.199999999993</v>
      </c>
      <c r="J200" s="156">
        <v>32823.59999999994</v>
      </c>
      <c r="K200" s="156">
        <v>31990.799999999959</v>
      </c>
      <c r="L200" s="156">
        <v>26086.799999999952</v>
      </c>
      <c r="M200" s="156">
        <v>28157.999999999931</v>
      </c>
      <c r="N200" s="156">
        <v>37749.59999999994</v>
      </c>
      <c r="O200" s="156">
        <v>23477.999999999989</v>
      </c>
      <c r="P200" s="156">
        <v>30830.399999999965</v>
      </c>
    </row>
    <row r="201" spans="1:16" x14ac:dyDescent="0.25">
      <c r="A201" s="356">
        <f>_xlfn.IFNA(VLOOKUP(B201,Mapping!C:D,2,FALSE),C201)</f>
        <v>5490000704</v>
      </c>
      <c r="B201" s="190" t="str">
        <f t="shared" si="5"/>
        <v>5490000704RM</v>
      </c>
      <c r="C201" s="356">
        <v>5490000704</v>
      </c>
      <c r="D201" s="190" t="s">
        <v>410</v>
      </c>
      <c r="E201" s="156">
        <v>26559.400000000005</v>
      </c>
      <c r="F201" s="156">
        <v>23824.300000000021</v>
      </c>
      <c r="G201" s="156">
        <v>20226.400000000009</v>
      </c>
      <c r="H201" s="156">
        <v>25303.000000000007</v>
      </c>
      <c r="I201" s="156">
        <v>27042.100000000009</v>
      </c>
      <c r="J201" s="156">
        <v>20540.900000000005</v>
      </c>
      <c r="K201" s="156">
        <v>23043.199999999997</v>
      </c>
      <c r="L201" s="156">
        <v>22049.499999999993</v>
      </c>
      <c r="M201" s="156">
        <v>21232.7</v>
      </c>
      <c r="N201" s="156">
        <v>27491.600000000013</v>
      </c>
      <c r="O201" s="156">
        <v>20151.400000000001</v>
      </c>
      <c r="P201" s="156">
        <v>26088.900000000005</v>
      </c>
    </row>
    <row r="202" spans="1:16" x14ac:dyDescent="0.25">
      <c r="A202" s="356">
        <f>_xlfn.IFNA(VLOOKUP(B202,Mapping!C:D,2,FALSE),C202)</f>
        <v>5490000704</v>
      </c>
      <c r="B202" s="190" t="str">
        <f t="shared" si="5"/>
        <v>5490000704RDC</v>
      </c>
      <c r="C202" s="356">
        <v>5490000704</v>
      </c>
      <c r="D202" s="190" t="s">
        <v>409</v>
      </c>
      <c r="E202" s="156">
        <v>20728.223999999998</v>
      </c>
      <c r="F202" s="156">
        <v>12309.696000000058</v>
      </c>
      <c r="G202" s="156">
        <v>15132.384000000106</v>
      </c>
      <c r="H202" s="156">
        <v>19661.760000000038</v>
      </c>
      <c r="I202" s="156">
        <v>15434.784000000085</v>
      </c>
      <c r="J202" s="156">
        <v>17154.432000000088</v>
      </c>
      <c r="K202" s="156">
        <v>26051.616000000082</v>
      </c>
      <c r="L202" s="156">
        <v>13694.400000000032</v>
      </c>
      <c r="M202" s="156">
        <v>15471.072000000071</v>
      </c>
      <c r="N202" s="156">
        <v>22103.424000000057</v>
      </c>
      <c r="O202" s="156">
        <v>11265.504000000019</v>
      </c>
      <c r="P202" s="156">
        <v>15705.216000000133</v>
      </c>
    </row>
    <row r="203" spans="1:16" x14ac:dyDescent="0.25">
      <c r="A203" s="356">
        <f>_xlfn.IFNA(VLOOKUP(B203,Mapping!C:D,2,FALSE),C203)</f>
        <v>5490000704</v>
      </c>
      <c r="B203" s="190" t="str">
        <f t="shared" si="5"/>
        <v>5490000704RKR</v>
      </c>
      <c r="C203" s="356">
        <v>5490000704</v>
      </c>
      <c r="D203" s="190" t="s">
        <v>415</v>
      </c>
      <c r="E203" s="156">
        <v>17231.400000000005</v>
      </c>
      <c r="F203" s="156">
        <v>13640.399999999981</v>
      </c>
      <c r="G203" s="156">
        <v>12494.579999999984</v>
      </c>
      <c r="H203" s="156">
        <v>9630.0000000000036</v>
      </c>
      <c r="I203" s="156">
        <v>15989.400000000007</v>
      </c>
      <c r="J203" s="156">
        <v>9610.2000000000044</v>
      </c>
      <c r="K203" s="156">
        <v>12529.799999999987</v>
      </c>
      <c r="L203" s="156">
        <v>11195.999999999989</v>
      </c>
      <c r="M203" s="156">
        <v>11149.199999999988</v>
      </c>
      <c r="N203" s="156">
        <v>13838.399999999989</v>
      </c>
      <c r="O203" s="156">
        <v>8625.6000000000022</v>
      </c>
      <c r="P203" s="156">
        <v>12144.599999999984</v>
      </c>
    </row>
    <row r="204" spans="1:16" x14ac:dyDescent="0.25">
      <c r="A204" s="356">
        <f>_xlfn.IFNA(VLOOKUP(B204,Mapping!C:D,2,FALSE),C204)</f>
        <v>5490000704</v>
      </c>
      <c r="B204" s="190" t="str">
        <f t="shared" si="5"/>
        <v>5490000704ND</v>
      </c>
      <c r="C204" s="356">
        <v>5490000704</v>
      </c>
      <c r="D204" s="190" t="s">
        <v>411</v>
      </c>
      <c r="E204" s="156">
        <v>166.32</v>
      </c>
      <c r="F204" s="156">
        <v>196.01999999999998</v>
      </c>
      <c r="G204" s="156">
        <v>273.23999999999995</v>
      </c>
      <c r="H204" s="156">
        <v>267.29999999999995</v>
      </c>
      <c r="I204" s="156">
        <v>291.05999999999995</v>
      </c>
      <c r="J204" s="156">
        <v>207.89999999999995</v>
      </c>
      <c r="K204" s="156">
        <v>19957.320000000003</v>
      </c>
      <c r="L204" s="156">
        <v>6157.44</v>
      </c>
      <c r="M204" s="156">
        <v>9356.9399999999987</v>
      </c>
      <c r="N204" s="156">
        <v>12234.960000000001</v>
      </c>
      <c r="O204" s="156">
        <v>4975.92</v>
      </c>
      <c r="P204" s="156">
        <v>8514.3600000000024</v>
      </c>
    </row>
    <row r="205" spans="1:16" x14ac:dyDescent="0.25">
      <c r="A205" s="356" t="str">
        <f>_xlfn.IFNA(VLOOKUP(B205,Mapping!C:D,2,FALSE),C205)</f>
        <v>5490000702</v>
      </c>
      <c r="B205" s="190" t="str">
        <f t="shared" si="5"/>
        <v>5490000704AJA</v>
      </c>
      <c r="C205" s="356">
        <v>5490000704</v>
      </c>
      <c r="D205" s="190" t="s">
        <v>417</v>
      </c>
      <c r="K205" s="156">
        <v>26.999999998272003</v>
      </c>
      <c r="M205" s="156">
        <v>7.9999999994879998</v>
      </c>
      <c r="N205" s="156">
        <v>14.99999999904</v>
      </c>
      <c r="O205" s="156">
        <v>16.999999998912003</v>
      </c>
      <c r="P205" s="156">
        <v>19.99999999872</v>
      </c>
    </row>
    <row r="206" spans="1:16" x14ac:dyDescent="0.25">
      <c r="A206" s="356">
        <f>_xlfn.IFNA(VLOOKUP(B206,Mapping!C:D,2,FALSE),C206)</f>
        <v>5490000704</v>
      </c>
      <c r="B206" s="190" t="str">
        <f t="shared" si="5"/>
        <v>5490000704STICK</v>
      </c>
      <c r="C206" s="356">
        <v>5490000704</v>
      </c>
      <c r="D206" s="190" t="s">
        <v>422</v>
      </c>
      <c r="E206" s="156">
        <v>2.3040000000000003</v>
      </c>
      <c r="F206" s="156">
        <v>1.1520000000000001</v>
      </c>
      <c r="G206" s="156">
        <v>1.1520000000000001</v>
      </c>
      <c r="H206" s="156">
        <v>1.1520000000000001</v>
      </c>
      <c r="I206" s="156">
        <v>0</v>
      </c>
    </row>
    <row r="207" spans="1:16" x14ac:dyDescent="0.25">
      <c r="A207" s="356">
        <f>_xlfn.IFNA(VLOOKUP(B207,Mapping!C:D,2,FALSE),C207)</f>
        <v>5490000701</v>
      </c>
      <c r="B207" s="190" t="str">
        <f t="shared" si="5"/>
        <v>5490000701AJ</v>
      </c>
      <c r="C207" s="356">
        <v>5490000701</v>
      </c>
      <c r="D207" s="190" t="s">
        <v>405</v>
      </c>
      <c r="E207" s="156">
        <v>26034</v>
      </c>
      <c r="F207" s="156">
        <v>14334</v>
      </c>
      <c r="G207" s="156">
        <v>24832</v>
      </c>
      <c r="H207" s="156">
        <v>21878</v>
      </c>
      <c r="I207" s="156">
        <v>21798</v>
      </c>
      <c r="J207" s="156">
        <v>35522</v>
      </c>
      <c r="K207" s="156">
        <v>21620</v>
      </c>
      <c r="L207" s="156">
        <v>17938</v>
      </c>
      <c r="M207" s="156">
        <v>22110</v>
      </c>
      <c r="N207" s="156">
        <v>31612</v>
      </c>
      <c r="O207" s="156">
        <v>3759.9999999999995</v>
      </c>
      <c r="P207" s="156">
        <v>32610</v>
      </c>
    </row>
    <row r="208" spans="1:16" x14ac:dyDescent="0.25">
      <c r="A208" s="356">
        <f>_xlfn.IFNA(VLOOKUP(B208,Mapping!C:D,2,FALSE),C208)</f>
        <v>5490000701</v>
      </c>
      <c r="B208" s="190" t="str">
        <f t="shared" si="5"/>
        <v>5490000701YY</v>
      </c>
      <c r="C208" s="356">
        <v>5490000701</v>
      </c>
      <c r="D208" s="190" t="s">
        <v>412</v>
      </c>
      <c r="E208" s="156">
        <v>25078.999999687778</v>
      </c>
      <c r="F208" s="156">
        <v>17056.999999770691</v>
      </c>
      <c r="G208" s="156">
        <v>15912.999999775431</v>
      </c>
      <c r="H208" s="156">
        <v>21795.999999740987</v>
      </c>
      <c r="I208" s="156">
        <v>18217.999999783417</v>
      </c>
      <c r="J208" s="156">
        <v>16033.9999997797</v>
      </c>
      <c r="K208" s="156">
        <v>20975.999999747659</v>
      </c>
      <c r="L208" s="156">
        <v>15480.999999780306</v>
      </c>
      <c r="M208" s="156">
        <v>15396.999999788333</v>
      </c>
      <c r="N208" s="156">
        <v>19572.999999755353</v>
      </c>
      <c r="O208" s="156">
        <v>12391.999999809204</v>
      </c>
      <c r="P208" s="156">
        <v>15538.999999809696</v>
      </c>
    </row>
    <row r="209" spans="1:16" x14ac:dyDescent="0.25">
      <c r="A209" s="356">
        <f>_xlfn.IFNA(VLOOKUP(B209,Mapping!C:D,2,FALSE),C209)</f>
        <v>5490000701</v>
      </c>
      <c r="B209" s="190" t="str">
        <f t="shared" si="5"/>
        <v>5490000701RD</v>
      </c>
      <c r="C209" s="356">
        <v>5490000701</v>
      </c>
      <c r="D209" s="190" t="s">
        <v>406</v>
      </c>
      <c r="E209" s="156">
        <v>13365.06</v>
      </c>
      <c r="F209" s="156">
        <v>9934.1799999999985</v>
      </c>
      <c r="G209" s="156">
        <v>11910.82</v>
      </c>
      <c r="H209" s="156">
        <v>12094.46</v>
      </c>
      <c r="I209" s="156">
        <v>11349.439999999999</v>
      </c>
      <c r="J209" s="156">
        <v>15887.24</v>
      </c>
      <c r="K209" s="156">
        <v>10266.140000000001</v>
      </c>
      <c r="L209" s="156">
        <v>7423.04</v>
      </c>
      <c r="M209" s="156">
        <v>13182.48</v>
      </c>
      <c r="N209" s="156">
        <v>15882.359999999999</v>
      </c>
      <c r="O209" s="156">
        <v>10194.6</v>
      </c>
      <c r="P209" s="156">
        <v>10785.34</v>
      </c>
    </row>
    <row r="210" spans="1:16" x14ac:dyDescent="0.25">
      <c r="A210" s="356">
        <f>_xlfn.IFNA(VLOOKUP(B210,Mapping!C:D,2,FALSE),C210)</f>
        <v>5490000701</v>
      </c>
      <c r="B210" s="190" t="str">
        <f t="shared" si="5"/>
        <v>5490000701BD</v>
      </c>
      <c r="C210" s="356">
        <v>5490000701</v>
      </c>
      <c r="D210" s="190" t="s">
        <v>407</v>
      </c>
      <c r="E210" s="156">
        <v>11337.999999892649</v>
      </c>
      <c r="F210" s="156">
        <v>10512.999999895015</v>
      </c>
      <c r="G210" s="156">
        <v>11271.999999889309</v>
      </c>
      <c r="H210" s="156">
        <v>12294.999999879459</v>
      </c>
      <c r="I210" s="156">
        <v>9352.9999999077263</v>
      </c>
      <c r="J210" s="156">
        <v>10133.999999900345</v>
      </c>
      <c r="K210" s="156">
        <v>7725.999999924953</v>
      </c>
      <c r="L210" s="156">
        <v>16140.999999850406</v>
      </c>
      <c r="M210" s="156">
        <v>12007.999999891985</v>
      </c>
      <c r="N210" s="156">
        <v>12056.999999883577</v>
      </c>
      <c r="O210" s="156">
        <v>7019.9999999297997</v>
      </c>
      <c r="P210" s="156">
        <v>9632.9999999087413</v>
      </c>
    </row>
    <row r="211" spans="1:16" x14ac:dyDescent="0.25">
      <c r="A211" s="356">
        <f>_xlfn.IFNA(VLOOKUP(B211,Mapping!C:D,2,FALSE),C211)</f>
        <v>5490000701</v>
      </c>
      <c r="B211" s="190" t="str">
        <f t="shared" si="5"/>
        <v>5490000701TKM</v>
      </c>
      <c r="C211" s="356">
        <v>5490000701</v>
      </c>
      <c r="D211" s="190" t="s">
        <v>414</v>
      </c>
      <c r="E211" s="156">
        <v>6132.0000000000009</v>
      </c>
      <c r="F211" s="156">
        <v>2846.4</v>
      </c>
      <c r="G211" s="156">
        <v>5008.8000000000011</v>
      </c>
      <c r="H211" s="156">
        <v>5268</v>
      </c>
      <c r="I211" s="156">
        <v>5992.8</v>
      </c>
      <c r="J211" s="156">
        <v>4099.2000000000007</v>
      </c>
      <c r="K211" s="156">
        <v>6338.4000000000015</v>
      </c>
      <c r="L211" s="156">
        <v>4274.3999999999996</v>
      </c>
      <c r="M211" s="156">
        <v>2887.2</v>
      </c>
      <c r="N211" s="156">
        <v>6717.5999999999995</v>
      </c>
      <c r="O211" s="156">
        <v>3321.6</v>
      </c>
      <c r="P211" s="156">
        <v>4236</v>
      </c>
    </row>
    <row r="212" spans="1:16" x14ac:dyDescent="0.25">
      <c r="A212" s="356">
        <f>_xlfn.IFNA(VLOOKUP(B212,Mapping!C:D,2,FALSE),C212)</f>
        <v>5490000701</v>
      </c>
      <c r="B212" s="190" t="str">
        <f t="shared" si="5"/>
        <v>5490000701PDC</v>
      </c>
      <c r="C212" s="356">
        <v>5490000701</v>
      </c>
      <c r="D212" s="190" t="s">
        <v>413</v>
      </c>
      <c r="E212" s="156">
        <v>6354.1890000000003</v>
      </c>
      <c r="F212" s="156">
        <v>2313.4176000000002</v>
      </c>
      <c r="G212" s="156">
        <v>4126.4111999999996</v>
      </c>
      <c r="H212" s="156">
        <v>4233.0846000000001</v>
      </c>
      <c r="I212" s="156">
        <v>3028.6055999999999</v>
      </c>
      <c r="J212" s="156">
        <v>4434.1151999999993</v>
      </c>
      <c r="K212" s="156">
        <v>5417.6214</v>
      </c>
      <c r="L212" s="156">
        <v>2840.3975999999998</v>
      </c>
      <c r="M212" s="156">
        <v>4232.2938000000004</v>
      </c>
      <c r="N212" s="156">
        <v>4444.1753999999992</v>
      </c>
      <c r="O212" s="156">
        <v>2262.5495999999998</v>
      </c>
      <c r="P212" s="156">
        <v>1042.0583999999999</v>
      </c>
    </row>
    <row r="213" spans="1:16" x14ac:dyDescent="0.25">
      <c r="A213" s="356">
        <f>_xlfn.IFNA(VLOOKUP(B213,Mapping!C:D,2,FALSE),C213)</f>
        <v>5490000701</v>
      </c>
      <c r="B213" s="190" t="str">
        <f t="shared" si="5"/>
        <v>5490000701RDC</v>
      </c>
      <c r="C213" s="356">
        <v>5490000701</v>
      </c>
      <c r="D213" s="190" t="s">
        <v>409</v>
      </c>
      <c r="E213" s="156">
        <v>2664.576</v>
      </c>
      <c r="F213" s="156">
        <v>882.43200000000024</v>
      </c>
      <c r="G213" s="156">
        <v>1708.992</v>
      </c>
      <c r="H213" s="156">
        <v>1621.44</v>
      </c>
      <c r="I213" s="156">
        <v>1972.5120000000004</v>
      </c>
      <c r="J213" s="156">
        <v>2760.7680000000009</v>
      </c>
      <c r="K213" s="156">
        <v>1978.2719999999999</v>
      </c>
      <c r="L213" s="156">
        <v>2551.9680000000008</v>
      </c>
      <c r="M213" s="156">
        <v>1851.5519999999997</v>
      </c>
      <c r="N213" s="156">
        <v>2365.920000000001</v>
      </c>
      <c r="O213" s="156">
        <v>425.66399999999999</v>
      </c>
      <c r="P213" s="156">
        <v>3176.6400000000003</v>
      </c>
    </row>
    <row r="214" spans="1:16" x14ac:dyDescent="0.25">
      <c r="A214" s="356">
        <f>_xlfn.IFNA(VLOOKUP(B214,Mapping!C:D,2,FALSE),C214)</f>
        <v>5490000701</v>
      </c>
      <c r="B214" s="190" t="str">
        <f t="shared" si="5"/>
        <v>5490000701RM</v>
      </c>
      <c r="C214" s="356">
        <v>5490000701</v>
      </c>
      <c r="D214" s="190" t="s">
        <v>410</v>
      </c>
      <c r="E214" s="156">
        <v>2127.4</v>
      </c>
      <c r="F214" s="156">
        <v>1198.2</v>
      </c>
      <c r="G214" s="156">
        <v>1388</v>
      </c>
      <c r="H214" s="156">
        <v>2080.8000000000002</v>
      </c>
      <c r="I214" s="156">
        <v>2006.6000000000001</v>
      </c>
      <c r="J214" s="156">
        <v>2868.0000000000005</v>
      </c>
      <c r="K214" s="156">
        <v>1676.3999999999999</v>
      </c>
      <c r="L214" s="156">
        <v>1111.3999999999999</v>
      </c>
      <c r="M214" s="156">
        <v>1479.3999999999999</v>
      </c>
      <c r="N214" s="156">
        <v>2086.3000000000002</v>
      </c>
      <c r="O214" s="156">
        <v>1066</v>
      </c>
      <c r="P214" s="156">
        <v>1408.8</v>
      </c>
    </row>
    <row r="215" spans="1:16" x14ac:dyDescent="0.25">
      <c r="A215" s="356">
        <f>_xlfn.IFNA(VLOOKUP(B215,Mapping!C:D,2,FALSE),C215)</f>
        <v>5490000701</v>
      </c>
      <c r="B215" s="190" t="str">
        <f t="shared" si="5"/>
        <v>5490000701AJP</v>
      </c>
      <c r="C215" s="356">
        <v>5490000701</v>
      </c>
      <c r="D215" s="190" t="s">
        <v>408</v>
      </c>
      <c r="E215" s="156">
        <v>1552.32</v>
      </c>
      <c r="F215" s="156">
        <v>342.71999999999997</v>
      </c>
      <c r="G215" s="156">
        <v>846.7199999999998</v>
      </c>
      <c r="H215" s="156">
        <v>1128.9599999999998</v>
      </c>
      <c r="I215" s="156">
        <v>866.88</v>
      </c>
      <c r="J215" s="156">
        <v>1622.8799999999999</v>
      </c>
      <c r="K215" s="156">
        <v>967.68</v>
      </c>
      <c r="L215" s="156">
        <v>1088.6399999999999</v>
      </c>
      <c r="M215" s="156">
        <v>1128.96</v>
      </c>
      <c r="N215" s="156">
        <v>977.76</v>
      </c>
      <c r="P215" s="156">
        <v>2016</v>
      </c>
    </row>
    <row r="216" spans="1:16" x14ac:dyDescent="0.25">
      <c r="A216" s="356">
        <f>_xlfn.IFNA(VLOOKUP(B216,Mapping!C:D,2,FALSE),C216)</f>
        <v>5490000701</v>
      </c>
      <c r="B216" s="190" t="str">
        <f t="shared" si="5"/>
        <v>5490000701RKR</v>
      </c>
      <c r="C216" s="356">
        <v>5490000701</v>
      </c>
      <c r="D216" s="190" t="s">
        <v>415</v>
      </c>
      <c r="E216" s="156">
        <v>842.4</v>
      </c>
      <c r="F216" s="156">
        <v>617.4</v>
      </c>
      <c r="G216" s="156">
        <v>1107</v>
      </c>
      <c r="H216" s="156">
        <v>423</v>
      </c>
      <c r="I216" s="156">
        <v>766.8</v>
      </c>
      <c r="J216" s="156">
        <v>1357.2</v>
      </c>
      <c r="K216" s="156">
        <v>675</v>
      </c>
      <c r="L216" s="156">
        <v>782.99999999999989</v>
      </c>
      <c r="M216" s="156">
        <v>775.8</v>
      </c>
      <c r="N216" s="156">
        <v>973.8</v>
      </c>
      <c r="O216" s="156">
        <v>426.59999999999997</v>
      </c>
      <c r="P216" s="156">
        <v>892.80000000000007</v>
      </c>
    </row>
    <row r="217" spans="1:16" x14ac:dyDescent="0.25">
      <c r="A217" s="356">
        <f>_xlfn.IFNA(VLOOKUP(B217,Mapping!C:D,2,FALSE),C217)</f>
        <v>5490000701</v>
      </c>
      <c r="B217" s="190" t="str">
        <f t="shared" ref="B217:B218" si="6">C217&amp;D217</f>
        <v>5490000701ND</v>
      </c>
      <c r="C217" s="356">
        <v>5490000701</v>
      </c>
      <c r="D217" s="190" t="s">
        <v>411</v>
      </c>
      <c r="E217" s="156">
        <v>130.68</v>
      </c>
      <c r="F217" s="156">
        <v>142.56</v>
      </c>
      <c r="G217" s="156">
        <v>130.68</v>
      </c>
      <c r="H217" s="156">
        <v>130.68</v>
      </c>
      <c r="I217" s="156">
        <v>196.02</v>
      </c>
      <c r="J217" s="156">
        <v>65.34</v>
      </c>
      <c r="K217" s="156">
        <v>130.68</v>
      </c>
      <c r="L217" s="156">
        <v>485.82000000000005</v>
      </c>
      <c r="M217" s="156">
        <v>344.88</v>
      </c>
      <c r="N217" s="156">
        <v>538.38</v>
      </c>
      <c r="P217" s="156">
        <v>817.92000000000007</v>
      </c>
    </row>
    <row r="218" spans="1:16" x14ac:dyDescent="0.25">
      <c r="A218" s="356">
        <f>_xlfn.IFNA(VLOOKUP(B218,Mapping!C:D,2,FALSE),C218)</f>
        <v>5490000701</v>
      </c>
      <c r="B218" s="190" t="str">
        <f t="shared" si="6"/>
        <v>5490000701FP</v>
      </c>
      <c r="C218" s="356">
        <v>5490000701</v>
      </c>
      <c r="D218" s="190" t="s">
        <v>418</v>
      </c>
      <c r="E218" s="156">
        <v>235.23599999999999</v>
      </c>
      <c r="F218" s="156">
        <v>194.94</v>
      </c>
      <c r="G218" s="156">
        <v>166.34399999999999</v>
      </c>
      <c r="H218" s="156">
        <v>168.55199999999999</v>
      </c>
      <c r="I218" s="156">
        <v>368.952</v>
      </c>
      <c r="J218" s="156">
        <v>895.36800000000005</v>
      </c>
      <c r="K218" s="156">
        <v>301.46400000000006</v>
      </c>
      <c r="L218" s="156">
        <v>299.62799999999999</v>
      </c>
      <c r="M218" s="156">
        <v>235.72799999999998</v>
      </c>
    </row>
    <row r="219" spans="1:16" x14ac:dyDescent="0.25">
      <c r="A219" s="356">
        <f>_xlfn.IFNA(VLOOKUP(B219,Mapping!C:D,2,FALSE),C219)</f>
        <v>5490000701</v>
      </c>
      <c r="B219" s="190" t="str">
        <f t="shared" ref="B219:B222" si="7">C219&amp;D219</f>
        <v>5490000701QM</v>
      </c>
      <c r="C219" s="356">
        <v>5490000701</v>
      </c>
      <c r="D219" s="190" t="s">
        <v>419</v>
      </c>
      <c r="J219" s="156">
        <v>748</v>
      </c>
      <c r="L219" s="156">
        <v>87</v>
      </c>
      <c r="M219" s="156">
        <v>50</v>
      </c>
      <c r="N219" s="156">
        <v>44</v>
      </c>
      <c r="O219" s="156">
        <v>201</v>
      </c>
      <c r="P219" s="156">
        <v>242</v>
      </c>
    </row>
    <row r="220" spans="1:16" x14ac:dyDescent="0.25">
      <c r="A220" s="356">
        <f>_xlfn.IFNA(VLOOKUP(B220,Mapping!C:D,2,FALSE),C220)</f>
        <v>5490000701</v>
      </c>
      <c r="B220" s="190" t="str">
        <f t="shared" si="7"/>
        <v>5490000701FP</v>
      </c>
      <c r="C220" s="356">
        <v>5490000701</v>
      </c>
      <c r="D220" s="190" t="s">
        <v>418</v>
      </c>
      <c r="O220" s="156">
        <v>546.85200000000009</v>
      </c>
      <c r="P220" s="156">
        <v>560.17199999999991</v>
      </c>
    </row>
    <row r="221" spans="1:16" x14ac:dyDescent="0.25">
      <c r="A221" s="356">
        <f>_xlfn.IFNA(VLOOKUP(B221,Mapping!C:D,2,FALSE),C221)</f>
        <v>5490000701</v>
      </c>
      <c r="B221" s="190" t="str">
        <f t="shared" si="7"/>
        <v>5490000701SWEET</v>
      </c>
      <c r="C221" s="356">
        <v>5490000701</v>
      </c>
      <c r="D221" s="190" t="s">
        <v>421</v>
      </c>
      <c r="E221" s="156">
        <v>182</v>
      </c>
    </row>
    <row r="222" spans="1:16" x14ac:dyDescent="0.25">
      <c r="A222" s="356">
        <f>_xlfn.IFNA(VLOOKUP(B222,Mapping!C:D,2,FALSE),C222)</f>
        <v>5490000701</v>
      </c>
      <c r="B222" s="190" t="str">
        <f t="shared" si="7"/>
        <v>5490000701STICK</v>
      </c>
      <c r="C222" s="356">
        <v>5490000701</v>
      </c>
      <c r="D222" s="190" t="s">
        <v>422</v>
      </c>
      <c r="E222" s="156">
        <v>59.760000000000005</v>
      </c>
      <c r="F222" s="156">
        <v>35.712000000000003</v>
      </c>
    </row>
  </sheetData>
  <autoFilter ref="A1:P222" xr:uid="{D85A93C8-8631-4154-BDA0-B7253E55B98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ACE5-C265-4A5D-9FCD-6BF129B02B01}">
  <sheetPr codeName="Sheet17">
    <tabColor rgb="FF7030A0"/>
  </sheetPr>
  <dimension ref="A1:AC29"/>
  <sheetViews>
    <sheetView workbookViewId="0">
      <selection activeCell="E67" sqref="E67"/>
    </sheetView>
  </sheetViews>
  <sheetFormatPr defaultRowHeight="16.8" x14ac:dyDescent="0.4"/>
  <cols>
    <col min="2" max="2" width="9.3984375" customWidth="1"/>
    <col min="3" max="3" width="20.3984375" customWidth="1"/>
    <col min="22" max="22" width="25.09765625" bestFit="1" customWidth="1"/>
    <col min="27" max="27" width="23.09765625" style="152" bestFit="1" customWidth="1"/>
    <col min="28" max="28" width="9.09765625" style="152"/>
    <col min="29" max="29" width="9.69921875" style="152" bestFit="1" customWidth="1"/>
  </cols>
  <sheetData>
    <row r="1" spans="1:29" x14ac:dyDescent="0.4">
      <c r="A1" s="330" t="s">
        <v>198</v>
      </c>
      <c r="B1" s="330" t="s">
        <v>199</v>
      </c>
      <c r="C1" s="330" t="s">
        <v>200</v>
      </c>
      <c r="D1" s="330" t="s">
        <v>201</v>
      </c>
      <c r="E1" s="330" t="s">
        <v>202</v>
      </c>
      <c r="F1" s="330" t="s">
        <v>203</v>
      </c>
      <c r="G1" s="330" t="s">
        <v>204</v>
      </c>
      <c r="H1" s="330" t="s">
        <v>205</v>
      </c>
      <c r="I1" s="330" t="s">
        <v>206</v>
      </c>
      <c r="J1" s="330" t="s">
        <v>207</v>
      </c>
      <c r="K1" s="330" t="s">
        <v>208</v>
      </c>
      <c r="L1" s="330" t="s">
        <v>209</v>
      </c>
      <c r="M1" s="330" t="s">
        <v>210</v>
      </c>
      <c r="N1" s="330" t="s">
        <v>117</v>
      </c>
      <c r="O1" s="330" t="s">
        <v>211</v>
      </c>
      <c r="P1" s="330" t="s">
        <v>212</v>
      </c>
      <c r="Q1" s="330" t="s">
        <v>213</v>
      </c>
      <c r="R1" s="330" t="s">
        <v>214</v>
      </c>
      <c r="S1" s="330" t="s">
        <v>215</v>
      </c>
      <c r="T1" s="330" t="s">
        <v>216</v>
      </c>
      <c r="U1" s="330" t="s">
        <v>217</v>
      </c>
      <c r="V1" s="330" t="s">
        <v>218</v>
      </c>
      <c r="W1" s="330" t="s">
        <v>219</v>
      </c>
      <c r="X1" s="330" t="s">
        <v>220</v>
      </c>
      <c r="Y1" s="330" t="s">
        <v>221</v>
      </c>
      <c r="Z1" s="330" t="s">
        <v>222</v>
      </c>
      <c r="AA1" s="331" t="s">
        <v>223</v>
      </c>
      <c r="AB1" s="148" t="s">
        <v>224</v>
      </c>
      <c r="AC1" s="148" t="s">
        <v>225</v>
      </c>
    </row>
    <row r="2" spans="1:29" x14ac:dyDescent="0.4">
      <c r="A2" s="153">
        <v>222235</v>
      </c>
      <c r="B2" s="153"/>
      <c r="C2" s="153"/>
      <c r="D2" s="154"/>
      <c r="E2" s="153"/>
      <c r="F2" s="154"/>
      <c r="G2" s="153"/>
      <c r="H2" s="153"/>
      <c r="I2" s="153"/>
      <c r="J2" s="153"/>
      <c r="K2" s="153"/>
      <c r="L2" s="153"/>
      <c r="M2" s="153"/>
      <c r="N2" s="153"/>
      <c r="O2" s="153"/>
      <c r="P2" s="155"/>
      <c r="Q2" s="153"/>
      <c r="R2" s="153"/>
      <c r="S2" s="153"/>
      <c r="T2" s="153"/>
      <c r="U2" s="154"/>
      <c r="V2" s="153"/>
      <c r="W2" s="153">
        <v>222223</v>
      </c>
      <c r="X2" s="155"/>
      <c r="Y2" s="153"/>
      <c r="Z2" s="153"/>
      <c r="AA2" s="152" t="str">
        <f t="shared" ref="AA2" si="0">Y2&amp;", " &amp;Z2</f>
        <v xml:space="preserve">, </v>
      </c>
      <c r="AB2" s="152">
        <v>222235</v>
      </c>
      <c r="AC2" s="152">
        <v>222223</v>
      </c>
    </row>
    <row r="3" spans="1:29" x14ac:dyDescent="0.4">
      <c r="A3" s="149" t="s">
        <v>243</v>
      </c>
      <c r="B3" s="149"/>
      <c r="C3" s="149"/>
      <c r="D3" s="150"/>
      <c r="E3" s="149"/>
      <c r="F3" s="150"/>
      <c r="G3" s="149"/>
      <c r="H3" s="149"/>
      <c r="I3" s="151"/>
      <c r="J3" s="151"/>
      <c r="K3" s="151"/>
      <c r="L3" s="149"/>
      <c r="M3" s="149"/>
      <c r="N3" s="149"/>
      <c r="O3" s="149"/>
      <c r="P3" s="151"/>
      <c r="Q3" s="149"/>
      <c r="R3" s="149"/>
      <c r="S3" s="149"/>
      <c r="T3" s="149"/>
      <c r="U3" s="150"/>
      <c r="V3" s="149"/>
      <c r="W3" s="151"/>
      <c r="X3" s="151"/>
      <c r="Y3" s="149"/>
      <c r="Z3" s="149"/>
      <c r="AA3" s="152" t="str">
        <f t="shared" ref="AA3:AA4" si="1">Y3&amp;", " &amp;Z3</f>
        <v xml:space="preserve">, </v>
      </c>
      <c r="AB3" s="152" t="s">
        <v>243</v>
      </c>
      <c r="AC3" s="152" t="e">
        <v>#N/A</v>
      </c>
    </row>
    <row r="4" spans="1:29" x14ac:dyDescent="0.4">
      <c r="A4" s="153">
        <v>222223</v>
      </c>
      <c r="B4" s="153"/>
      <c r="C4" s="153"/>
      <c r="D4" s="154"/>
      <c r="E4" s="153"/>
      <c r="F4" s="154"/>
      <c r="G4" s="153"/>
      <c r="H4" s="153"/>
      <c r="I4" s="153"/>
      <c r="J4" s="153"/>
      <c r="K4" s="155"/>
      <c r="L4" s="153"/>
      <c r="M4" s="153"/>
      <c r="N4" s="153"/>
      <c r="O4" s="153"/>
      <c r="P4" s="155"/>
      <c r="Q4" s="153"/>
      <c r="R4" s="153"/>
      <c r="S4" s="153"/>
      <c r="T4" s="153"/>
      <c r="U4" s="154"/>
      <c r="V4" s="153"/>
      <c r="W4" s="153">
        <v>222223</v>
      </c>
      <c r="X4" s="155"/>
      <c r="Y4" s="153"/>
      <c r="Z4" s="153"/>
      <c r="AA4" s="152" t="str">
        <f t="shared" si="1"/>
        <v xml:space="preserve">, </v>
      </c>
      <c r="AB4" s="152">
        <v>222223</v>
      </c>
      <c r="AC4" s="152">
        <v>222222</v>
      </c>
    </row>
    <row r="5" spans="1:29" x14ac:dyDescent="0.4">
      <c r="A5" s="149">
        <v>222234</v>
      </c>
      <c r="B5" s="149"/>
      <c r="C5" s="149"/>
      <c r="D5" s="150"/>
      <c r="E5" s="149"/>
      <c r="F5" s="150"/>
      <c r="G5" s="149"/>
      <c r="H5" s="149"/>
      <c r="I5" s="149"/>
      <c r="J5" s="149"/>
      <c r="K5" s="151"/>
      <c r="L5" s="149"/>
      <c r="M5" s="149"/>
      <c r="N5" s="149"/>
      <c r="O5" s="149"/>
      <c r="P5" s="151"/>
      <c r="Q5" s="149"/>
      <c r="R5" s="149"/>
      <c r="S5" s="149"/>
      <c r="T5" s="149"/>
      <c r="U5" s="150"/>
      <c r="V5" s="149"/>
      <c r="W5" s="149">
        <v>222234</v>
      </c>
      <c r="X5" s="151"/>
      <c r="Y5" s="149"/>
      <c r="Z5" s="149"/>
      <c r="AA5" s="152" t="str">
        <f t="shared" ref="AA5" si="2">Y5&amp;", " &amp;Z5</f>
        <v xml:space="preserve">, </v>
      </c>
      <c r="AB5" s="152">
        <v>222234</v>
      </c>
      <c r="AC5" s="152">
        <v>222222</v>
      </c>
    </row>
    <row r="6" spans="1:29" x14ac:dyDescent="0.4">
      <c r="A6" s="153">
        <v>222238</v>
      </c>
      <c r="B6" s="153"/>
      <c r="C6" s="153"/>
      <c r="D6" s="154"/>
      <c r="E6" s="153"/>
      <c r="F6" s="154"/>
      <c r="G6" s="153"/>
      <c r="H6" s="153"/>
      <c r="I6" s="153"/>
      <c r="J6" s="153"/>
      <c r="K6" s="153"/>
      <c r="L6" s="153"/>
      <c r="M6" s="153"/>
      <c r="N6" s="153"/>
      <c r="O6" s="153"/>
      <c r="P6" s="155"/>
      <c r="Q6" s="153"/>
      <c r="R6" s="153"/>
      <c r="S6" s="153"/>
      <c r="T6" s="153"/>
      <c r="U6" s="154"/>
      <c r="V6" s="153"/>
      <c r="W6" s="153">
        <v>222234</v>
      </c>
      <c r="X6" s="155"/>
      <c r="Y6" s="153"/>
      <c r="Z6" s="153"/>
      <c r="AA6" s="152" t="str">
        <f t="shared" ref="AA6:AA7" si="3">Y6&amp;", " &amp;Z6</f>
        <v xml:space="preserve">, </v>
      </c>
      <c r="AB6" s="152">
        <v>222238</v>
      </c>
      <c r="AC6" s="152">
        <v>222234</v>
      </c>
    </row>
    <row r="7" spans="1:29" x14ac:dyDescent="0.4">
      <c r="A7" s="149">
        <v>222214</v>
      </c>
      <c r="B7" s="149"/>
      <c r="C7" s="149"/>
      <c r="D7" s="150"/>
      <c r="E7" s="149"/>
      <c r="F7" s="150"/>
      <c r="G7" s="149"/>
      <c r="H7" s="149"/>
      <c r="I7" s="149"/>
      <c r="J7" s="149"/>
      <c r="K7" s="149"/>
      <c r="L7" s="149"/>
      <c r="M7" s="149"/>
      <c r="N7" s="149"/>
      <c r="O7" s="149"/>
      <c r="P7" s="151"/>
      <c r="Q7" s="149"/>
      <c r="R7" s="149"/>
      <c r="S7" s="149"/>
      <c r="T7" s="149"/>
      <c r="U7" s="150"/>
      <c r="V7" s="149"/>
      <c r="W7" s="149">
        <v>222234</v>
      </c>
      <c r="X7" s="151"/>
      <c r="Y7" s="149"/>
      <c r="Z7" s="149"/>
      <c r="AA7" s="152" t="str">
        <f t="shared" si="3"/>
        <v xml:space="preserve">, </v>
      </c>
      <c r="AB7" s="152">
        <v>222214</v>
      </c>
      <c r="AC7" s="152">
        <v>222236</v>
      </c>
    </row>
    <row r="8" spans="1:29" x14ac:dyDescent="0.4">
      <c r="A8" s="153">
        <v>222218</v>
      </c>
      <c r="B8" s="153"/>
      <c r="C8" s="153"/>
      <c r="D8" s="154"/>
      <c r="E8" s="153"/>
      <c r="F8" s="154"/>
      <c r="G8" s="153"/>
      <c r="H8" s="153"/>
      <c r="I8" s="153"/>
      <c r="J8" s="153"/>
      <c r="K8" s="153"/>
      <c r="L8" s="153"/>
      <c r="M8" s="153"/>
      <c r="N8" s="153"/>
      <c r="O8" s="153"/>
      <c r="P8" s="155"/>
      <c r="Q8" s="153"/>
      <c r="R8" s="153"/>
      <c r="S8" s="153"/>
      <c r="T8" s="153"/>
      <c r="U8" s="154"/>
      <c r="V8" s="153"/>
      <c r="W8" s="153">
        <v>222234</v>
      </c>
      <c r="X8" s="155"/>
      <c r="Y8" s="153"/>
      <c r="Z8" s="153"/>
      <c r="AA8" s="152" t="str">
        <f t="shared" ref="AA8:AA10" si="4">Y8&amp;", " &amp;Z8</f>
        <v xml:space="preserve">, </v>
      </c>
      <c r="AB8" s="152">
        <v>222218</v>
      </c>
      <c r="AC8" s="152">
        <v>222208</v>
      </c>
    </row>
    <row r="9" spans="1:29" x14ac:dyDescent="0.4">
      <c r="A9" s="149">
        <v>222229</v>
      </c>
      <c r="B9" s="149"/>
      <c r="C9" s="149"/>
      <c r="D9" s="150"/>
      <c r="E9" s="149"/>
      <c r="F9" s="150"/>
      <c r="G9" s="149"/>
      <c r="H9" s="149"/>
      <c r="I9" s="149"/>
      <c r="J9" s="149"/>
      <c r="K9" s="149"/>
      <c r="L9" s="149"/>
      <c r="M9" s="149"/>
      <c r="N9" s="149"/>
      <c r="O9" s="149"/>
      <c r="P9" s="151"/>
      <c r="Q9" s="149"/>
      <c r="R9" s="149"/>
      <c r="S9" s="149"/>
      <c r="T9" s="149"/>
      <c r="U9" s="150"/>
      <c r="V9" s="149"/>
      <c r="W9" s="149">
        <v>222223</v>
      </c>
      <c r="X9" s="151"/>
      <c r="Y9" s="149"/>
      <c r="Z9" s="149"/>
      <c r="AA9" s="152" t="str">
        <f t="shared" si="4"/>
        <v xml:space="preserve">, </v>
      </c>
      <c r="AB9" s="152">
        <v>222229</v>
      </c>
      <c r="AC9" s="152">
        <v>222235</v>
      </c>
    </row>
    <row r="10" spans="1:29" x14ac:dyDescent="0.4">
      <c r="A10" s="153">
        <v>222208</v>
      </c>
      <c r="B10" s="153"/>
      <c r="C10" s="153"/>
      <c r="D10" s="154"/>
      <c r="E10" s="153"/>
      <c r="F10" s="154"/>
      <c r="G10" s="153"/>
      <c r="H10" s="153"/>
      <c r="I10" s="153"/>
      <c r="J10" s="153"/>
      <c r="K10" s="153"/>
      <c r="L10" s="153"/>
      <c r="M10" s="153"/>
      <c r="N10" s="153"/>
      <c r="O10" s="153"/>
      <c r="P10" s="155"/>
      <c r="Q10" s="153"/>
      <c r="R10" s="153"/>
      <c r="S10" s="153"/>
      <c r="T10" s="153"/>
      <c r="U10" s="154"/>
      <c r="V10" s="153"/>
      <c r="W10" s="153">
        <v>222234</v>
      </c>
      <c r="X10" s="155"/>
      <c r="Y10" s="153"/>
      <c r="Z10" s="153"/>
      <c r="AA10" s="152" t="str">
        <f t="shared" si="4"/>
        <v xml:space="preserve">, </v>
      </c>
      <c r="AB10" s="152">
        <v>222208</v>
      </c>
      <c r="AC10" s="152">
        <v>222234</v>
      </c>
    </row>
    <row r="11" spans="1:29" x14ac:dyDescent="0.4">
      <c r="A11" s="149">
        <v>222204</v>
      </c>
      <c r="B11" s="149"/>
      <c r="C11" s="149"/>
      <c r="D11" s="150"/>
      <c r="E11" s="149"/>
      <c r="F11" s="150"/>
      <c r="G11" s="149"/>
      <c r="H11" s="149"/>
      <c r="I11" s="149"/>
      <c r="J11" s="149"/>
      <c r="K11" s="149"/>
      <c r="L11" s="149"/>
      <c r="M11" s="149"/>
      <c r="N11" s="149"/>
      <c r="O11" s="149"/>
      <c r="P11" s="151"/>
      <c r="Q11" s="149"/>
      <c r="R11" s="149"/>
      <c r="S11" s="149"/>
      <c r="T11" s="149"/>
      <c r="U11" s="150"/>
      <c r="V11" s="149"/>
      <c r="W11" s="149">
        <v>222223</v>
      </c>
      <c r="X11" s="151"/>
      <c r="Y11" s="149"/>
      <c r="Z11" s="149"/>
      <c r="AA11" s="152" t="str">
        <f t="shared" ref="AA11" si="5">Y11&amp;", " &amp;Z11</f>
        <v xml:space="preserve">, </v>
      </c>
      <c r="AB11" s="152">
        <v>222204</v>
      </c>
      <c r="AC11" s="152">
        <v>222237</v>
      </c>
    </row>
    <row r="12" spans="1:29" x14ac:dyDescent="0.4">
      <c r="A12" s="153">
        <v>222203</v>
      </c>
      <c r="B12" s="153"/>
      <c r="C12" s="153"/>
      <c r="D12" s="154"/>
      <c r="E12" s="153"/>
      <c r="F12" s="154"/>
      <c r="G12" s="153"/>
      <c r="H12" s="153"/>
      <c r="I12" s="153"/>
      <c r="J12" s="153"/>
      <c r="K12" s="153"/>
      <c r="L12" s="153"/>
      <c r="M12" s="153"/>
      <c r="N12" s="153"/>
      <c r="O12" s="153"/>
      <c r="P12" s="155"/>
      <c r="Q12" s="153"/>
      <c r="R12" s="153"/>
      <c r="S12" s="153"/>
      <c r="T12" s="153"/>
      <c r="U12" s="154"/>
      <c r="V12" s="153"/>
      <c r="W12" s="153">
        <v>222234</v>
      </c>
      <c r="X12" s="155"/>
      <c r="Y12" s="153"/>
      <c r="Z12" s="153"/>
      <c r="AA12" s="152" t="str">
        <f t="shared" ref="AA12" si="6">Y12&amp;", " &amp;Z12</f>
        <v xml:space="preserve">, </v>
      </c>
      <c r="AB12" s="152">
        <v>222203</v>
      </c>
      <c r="AC12" s="152">
        <v>222238</v>
      </c>
    </row>
    <row r="13" spans="1:29" x14ac:dyDescent="0.4">
      <c r="A13" s="149">
        <v>222212</v>
      </c>
      <c r="B13" s="149"/>
      <c r="C13" s="149"/>
      <c r="D13" s="150"/>
      <c r="E13" s="149"/>
      <c r="F13" s="150"/>
      <c r="G13" s="149"/>
      <c r="H13" s="149"/>
      <c r="I13" s="149"/>
      <c r="J13" s="149"/>
      <c r="K13" s="149"/>
      <c r="L13" s="149"/>
      <c r="M13" s="149"/>
      <c r="N13" s="149"/>
      <c r="O13" s="149"/>
      <c r="P13" s="151"/>
      <c r="Q13" s="149"/>
      <c r="R13" s="149"/>
      <c r="S13" s="149"/>
      <c r="T13" s="149"/>
      <c r="U13" s="150"/>
      <c r="V13" s="149"/>
      <c r="W13" s="149">
        <v>222234</v>
      </c>
      <c r="X13" s="151"/>
      <c r="Y13" s="149"/>
      <c r="Z13" s="149"/>
      <c r="AA13" s="152" t="str">
        <f t="shared" ref="AA13:AA22" si="7">Y13&amp;", " &amp;Z13</f>
        <v xml:space="preserve">, </v>
      </c>
      <c r="AB13" s="152">
        <v>222212</v>
      </c>
      <c r="AC13" s="152">
        <v>222208</v>
      </c>
    </row>
    <row r="14" spans="1:29" x14ac:dyDescent="0.4">
      <c r="A14" s="149">
        <v>222207</v>
      </c>
      <c r="B14" s="149"/>
      <c r="C14" s="149"/>
      <c r="D14" s="150"/>
      <c r="E14" s="149"/>
      <c r="F14" s="150"/>
      <c r="G14" s="149"/>
      <c r="H14" s="149"/>
      <c r="I14" s="149"/>
      <c r="J14" s="149"/>
      <c r="K14" s="149"/>
      <c r="L14" s="149"/>
      <c r="M14" s="149"/>
      <c r="N14" s="149"/>
      <c r="O14" s="149"/>
      <c r="P14" s="151"/>
      <c r="Q14" s="149"/>
      <c r="R14" s="149"/>
      <c r="S14" s="149"/>
      <c r="T14" s="149"/>
      <c r="U14" s="150"/>
      <c r="V14" s="149"/>
      <c r="W14" s="149">
        <v>222223</v>
      </c>
      <c r="X14" s="151"/>
      <c r="Y14" s="149"/>
      <c r="Z14" s="149"/>
      <c r="AA14" s="152" t="str">
        <f t="shared" si="7"/>
        <v xml:space="preserve">, </v>
      </c>
      <c r="AB14" s="152">
        <v>222207</v>
      </c>
      <c r="AC14" s="152">
        <v>222235</v>
      </c>
    </row>
    <row r="15" spans="1:29" x14ac:dyDescent="0.4">
      <c r="A15" s="149">
        <v>222219</v>
      </c>
      <c r="B15" s="149"/>
      <c r="C15" s="149"/>
      <c r="D15" s="150"/>
      <c r="E15" s="149"/>
      <c r="F15" s="150"/>
      <c r="G15" s="149"/>
      <c r="H15" s="149"/>
      <c r="I15" s="149"/>
      <c r="J15" s="149"/>
      <c r="K15" s="149"/>
      <c r="L15" s="149"/>
      <c r="M15" s="149"/>
      <c r="N15" s="149"/>
      <c r="O15" s="149"/>
      <c r="P15" s="151"/>
      <c r="Q15" s="149"/>
      <c r="R15" s="149"/>
      <c r="S15" s="149"/>
      <c r="T15" s="149"/>
      <c r="U15" s="150"/>
      <c r="V15" s="149"/>
      <c r="W15" s="149">
        <v>222234</v>
      </c>
      <c r="X15" s="151"/>
      <c r="Y15" s="149"/>
      <c r="Z15" s="149"/>
      <c r="AA15" s="152" t="str">
        <f t="shared" si="7"/>
        <v xml:space="preserve">, </v>
      </c>
      <c r="AB15" s="152">
        <v>222219</v>
      </c>
      <c r="AC15" s="152">
        <v>222208</v>
      </c>
    </row>
    <row r="16" spans="1:29" x14ac:dyDescent="0.4">
      <c r="A16" s="153">
        <v>222205</v>
      </c>
      <c r="B16" s="153"/>
      <c r="C16" s="153"/>
      <c r="D16" s="154"/>
      <c r="E16" s="153"/>
      <c r="F16" s="154"/>
      <c r="G16" s="153"/>
      <c r="H16" s="153"/>
      <c r="I16" s="153"/>
      <c r="J16" s="153"/>
      <c r="K16" s="153"/>
      <c r="L16" s="153"/>
      <c r="M16" s="153"/>
      <c r="N16" s="153"/>
      <c r="O16" s="153"/>
      <c r="P16" s="155"/>
      <c r="Q16" s="153"/>
      <c r="R16" s="153"/>
      <c r="S16" s="153"/>
      <c r="T16" s="153"/>
      <c r="U16" s="154"/>
      <c r="V16" s="153"/>
      <c r="W16" s="153">
        <v>222223</v>
      </c>
      <c r="X16" s="155"/>
      <c r="Y16" s="153"/>
      <c r="Z16" s="153"/>
      <c r="AA16" s="152" t="str">
        <f t="shared" si="7"/>
        <v xml:space="preserve">, </v>
      </c>
      <c r="AB16" s="152">
        <v>222205</v>
      </c>
      <c r="AC16" s="152">
        <v>222237</v>
      </c>
    </row>
    <row r="17" spans="1:29" x14ac:dyDescent="0.4">
      <c r="A17" s="149">
        <v>222210</v>
      </c>
      <c r="B17" s="149"/>
      <c r="C17" s="149"/>
      <c r="D17" s="150"/>
      <c r="E17" s="149"/>
      <c r="F17" s="150"/>
      <c r="G17" s="149"/>
      <c r="H17" s="149"/>
      <c r="I17" s="149"/>
      <c r="J17" s="149"/>
      <c r="K17" s="149"/>
      <c r="L17" s="149"/>
      <c r="M17" s="149"/>
      <c r="N17" s="149"/>
      <c r="O17" s="149"/>
      <c r="P17" s="151"/>
      <c r="Q17" s="149"/>
      <c r="R17" s="149"/>
      <c r="S17" s="149"/>
      <c r="T17" s="149"/>
      <c r="U17" s="150"/>
      <c r="V17" s="149"/>
      <c r="W17" s="149">
        <v>222234</v>
      </c>
      <c r="X17" s="151"/>
      <c r="Y17" s="149"/>
      <c r="Z17" s="149"/>
      <c r="AA17" s="152" t="str">
        <f t="shared" si="7"/>
        <v xml:space="preserve">, </v>
      </c>
      <c r="AB17" s="152">
        <v>222210</v>
      </c>
      <c r="AC17" s="152">
        <v>222208</v>
      </c>
    </row>
    <row r="18" spans="1:29" x14ac:dyDescent="0.4">
      <c r="A18" s="149">
        <v>222202</v>
      </c>
      <c r="B18" s="149"/>
      <c r="C18" s="149"/>
      <c r="D18" s="150"/>
      <c r="E18" s="149"/>
      <c r="F18" s="150"/>
      <c r="G18" s="149"/>
      <c r="H18" s="149"/>
      <c r="I18" s="149"/>
      <c r="J18" s="149"/>
      <c r="K18" s="149"/>
      <c r="L18" s="149"/>
      <c r="M18" s="149"/>
      <c r="N18" s="149"/>
      <c r="O18" s="149"/>
      <c r="P18" s="151"/>
      <c r="Q18" s="149"/>
      <c r="R18" s="149"/>
      <c r="S18" s="149"/>
      <c r="T18" s="149"/>
      <c r="U18" s="150"/>
      <c r="V18" s="149"/>
      <c r="W18" s="149">
        <v>222234</v>
      </c>
      <c r="X18" s="151"/>
      <c r="Y18" s="149"/>
      <c r="Z18" s="149"/>
      <c r="AA18" s="152" t="str">
        <f t="shared" si="7"/>
        <v xml:space="preserve">, </v>
      </c>
      <c r="AB18" s="152">
        <v>222202</v>
      </c>
      <c r="AC18" s="152">
        <v>222238</v>
      </c>
    </row>
    <row r="19" spans="1:29" x14ac:dyDescent="0.4">
      <c r="A19" s="153">
        <v>222206</v>
      </c>
      <c r="B19" s="153"/>
      <c r="C19" s="153"/>
      <c r="D19" s="154"/>
      <c r="E19" s="153"/>
      <c r="F19" s="154"/>
      <c r="G19" s="153"/>
      <c r="H19" s="153"/>
      <c r="I19" s="153"/>
      <c r="J19" s="153"/>
      <c r="K19" s="153"/>
      <c r="L19" s="153"/>
      <c r="M19" s="153"/>
      <c r="N19" s="153"/>
      <c r="O19" s="153"/>
      <c r="P19" s="155"/>
      <c r="Q19" s="153"/>
      <c r="R19" s="153"/>
      <c r="S19" s="153"/>
      <c r="T19" s="153"/>
      <c r="U19" s="154"/>
      <c r="V19" s="153"/>
      <c r="W19" s="153">
        <v>222223</v>
      </c>
      <c r="X19" s="155"/>
      <c r="Y19" s="153"/>
      <c r="Z19" s="153"/>
      <c r="AA19" s="152" t="str">
        <f t="shared" si="7"/>
        <v xml:space="preserve">, </v>
      </c>
      <c r="AB19" s="152">
        <v>222206</v>
      </c>
      <c r="AC19" s="152">
        <v>222237</v>
      </c>
    </row>
    <row r="20" spans="1:29" x14ac:dyDescent="0.4">
      <c r="A20" s="149">
        <v>222209</v>
      </c>
      <c r="B20" s="149"/>
      <c r="C20" s="149"/>
      <c r="D20" s="150"/>
      <c r="E20" s="149"/>
      <c r="F20" s="150"/>
      <c r="G20" s="149"/>
      <c r="H20" s="149"/>
      <c r="I20" s="149"/>
      <c r="J20" s="149"/>
      <c r="K20" s="149"/>
      <c r="L20" s="149"/>
      <c r="M20" s="149"/>
      <c r="N20" s="149"/>
      <c r="O20" s="149"/>
      <c r="P20" s="151"/>
      <c r="Q20" s="149"/>
      <c r="R20" s="149"/>
      <c r="S20" s="149"/>
      <c r="T20" s="149"/>
      <c r="U20" s="150"/>
      <c r="V20" s="149"/>
      <c r="W20" s="149">
        <v>222234</v>
      </c>
      <c r="X20" s="151"/>
      <c r="Y20" s="149"/>
      <c r="Z20" s="149"/>
      <c r="AA20" s="152" t="str">
        <f t="shared" si="7"/>
        <v xml:space="preserve">, </v>
      </c>
      <c r="AB20" s="152">
        <v>222209</v>
      </c>
      <c r="AC20" s="152">
        <v>222208</v>
      </c>
    </row>
    <row r="21" spans="1:29" s="209" customFormat="1" x14ac:dyDescent="0.4">
      <c r="A21" s="332">
        <v>222222</v>
      </c>
      <c r="B21" s="332"/>
      <c r="C21" s="332"/>
      <c r="D21" s="333"/>
      <c r="E21" s="332"/>
      <c r="F21" s="333"/>
      <c r="G21" s="332"/>
      <c r="H21" s="332"/>
      <c r="I21" s="334"/>
      <c r="J21" s="334"/>
      <c r="K21" s="334"/>
      <c r="L21" s="332"/>
      <c r="M21" s="332"/>
      <c r="N21" s="332"/>
      <c r="O21" s="332"/>
      <c r="P21" s="334"/>
      <c r="Q21" s="332"/>
      <c r="R21" s="332"/>
      <c r="S21" s="332"/>
      <c r="T21" s="332"/>
      <c r="U21" s="333"/>
      <c r="V21" s="332"/>
      <c r="W21" s="334"/>
      <c r="X21" s="334"/>
      <c r="Y21" s="332"/>
      <c r="Z21" s="332"/>
      <c r="AA21" s="335" t="str">
        <f t="shared" si="7"/>
        <v xml:space="preserve">, </v>
      </c>
      <c r="AB21" s="335">
        <v>222222</v>
      </c>
      <c r="AC21" s="335" t="e">
        <v>#N/A</v>
      </c>
    </row>
    <row r="22" spans="1:29" x14ac:dyDescent="0.4">
      <c r="A22" s="153">
        <v>222215</v>
      </c>
      <c r="B22" s="153"/>
      <c r="C22" s="153"/>
      <c r="D22" s="154"/>
      <c r="E22" s="153"/>
      <c r="F22" s="154"/>
      <c r="G22" s="153"/>
      <c r="H22" s="153"/>
      <c r="I22" s="153"/>
      <c r="J22" s="153"/>
      <c r="K22" s="153"/>
      <c r="L22" s="153"/>
      <c r="M22" s="153"/>
      <c r="N22" s="153"/>
      <c r="O22" s="153"/>
      <c r="P22" s="155"/>
      <c r="Q22" s="153"/>
      <c r="R22" s="153"/>
      <c r="S22" s="153"/>
      <c r="T22" s="153"/>
      <c r="U22" s="154"/>
      <c r="V22" s="153"/>
      <c r="W22" s="153">
        <v>222223</v>
      </c>
      <c r="X22" s="155"/>
      <c r="Y22" s="153"/>
      <c r="Z22" s="153"/>
      <c r="AA22" s="152" t="str">
        <f t="shared" si="7"/>
        <v xml:space="preserve">, </v>
      </c>
      <c r="AB22" s="152">
        <v>222215</v>
      </c>
      <c r="AC22" s="152">
        <v>222235</v>
      </c>
    </row>
    <row r="23" spans="1:29" x14ac:dyDescent="0.4">
      <c r="A23" s="149">
        <v>222201</v>
      </c>
      <c r="B23" s="149"/>
      <c r="C23" s="149"/>
      <c r="D23" s="150"/>
      <c r="E23" s="149"/>
      <c r="F23" s="150"/>
      <c r="G23" s="149"/>
      <c r="H23" s="149"/>
      <c r="I23" s="149"/>
      <c r="J23" s="149"/>
      <c r="K23" s="149"/>
      <c r="L23" s="149"/>
      <c r="M23" s="149"/>
      <c r="N23" s="149"/>
      <c r="O23" s="149"/>
      <c r="P23" s="151"/>
      <c r="Q23" s="149"/>
      <c r="R23" s="149"/>
      <c r="S23" s="149"/>
      <c r="T23" s="149"/>
      <c r="U23" s="150"/>
      <c r="V23" s="149"/>
      <c r="W23" s="149">
        <v>222234</v>
      </c>
      <c r="X23" s="151"/>
      <c r="Y23" s="149"/>
      <c r="Z23" s="149"/>
      <c r="AA23" s="152" t="str">
        <f t="shared" ref="AA23:AA29" si="8">Y23&amp;", " &amp;Z23</f>
        <v xml:space="preserve">, </v>
      </c>
      <c r="AB23" s="152">
        <v>222201</v>
      </c>
      <c r="AC23" s="152">
        <v>222238</v>
      </c>
    </row>
    <row r="24" spans="1:29" x14ac:dyDescent="0.4">
      <c r="A24" s="153">
        <v>222216</v>
      </c>
      <c r="B24" s="153"/>
      <c r="C24" s="153"/>
      <c r="D24" s="154"/>
      <c r="E24" s="153"/>
      <c r="F24" s="154"/>
      <c r="G24" s="153"/>
      <c r="H24" s="153"/>
      <c r="I24" s="153"/>
      <c r="J24" s="153"/>
      <c r="K24" s="153"/>
      <c r="L24" s="153"/>
      <c r="M24" s="153"/>
      <c r="N24" s="153"/>
      <c r="O24" s="153"/>
      <c r="P24" s="155"/>
      <c r="Q24" s="153"/>
      <c r="R24" s="153"/>
      <c r="S24" s="153"/>
      <c r="T24" s="153"/>
      <c r="U24" s="154"/>
      <c r="V24" s="153"/>
      <c r="W24" s="153">
        <v>222223</v>
      </c>
      <c r="X24" s="155"/>
      <c r="Y24" s="153"/>
      <c r="Z24" s="153"/>
      <c r="AA24" s="152" t="str">
        <f t="shared" si="8"/>
        <v xml:space="preserve">, </v>
      </c>
      <c r="AB24" s="152">
        <v>222216</v>
      </c>
      <c r="AC24" s="152">
        <v>222235</v>
      </c>
    </row>
    <row r="25" spans="1:29" x14ac:dyDescent="0.4">
      <c r="A25" s="149">
        <v>222213</v>
      </c>
      <c r="B25" s="149"/>
      <c r="C25" s="149"/>
      <c r="D25" s="150"/>
      <c r="E25" s="149"/>
      <c r="F25" s="150"/>
      <c r="G25" s="149"/>
      <c r="H25" s="149"/>
      <c r="I25" s="149"/>
      <c r="J25" s="149"/>
      <c r="K25" s="149"/>
      <c r="L25" s="149"/>
      <c r="M25" s="149"/>
      <c r="N25" s="149"/>
      <c r="O25" s="149"/>
      <c r="P25" s="151"/>
      <c r="Q25" s="149"/>
      <c r="R25" s="149"/>
      <c r="S25" s="149"/>
      <c r="T25" s="149"/>
      <c r="U25" s="150"/>
      <c r="V25" s="149"/>
      <c r="W25" s="149">
        <v>222223</v>
      </c>
      <c r="X25" s="151"/>
      <c r="Y25" s="149"/>
      <c r="Z25" s="149"/>
      <c r="AA25" s="152" t="str">
        <f t="shared" si="8"/>
        <v xml:space="preserve">, </v>
      </c>
      <c r="AB25" s="152">
        <v>222213</v>
      </c>
      <c r="AC25" s="152">
        <v>222237</v>
      </c>
    </row>
    <row r="26" spans="1:29" x14ac:dyDescent="0.4">
      <c r="A26" s="153">
        <v>222237</v>
      </c>
      <c r="B26" s="153"/>
      <c r="C26" s="153"/>
      <c r="D26" s="154"/>
      <c r="E26" s="153"/>
      <c r="F26" s="154"/>
      <c r="G26" s="153"/>
      <c r="H26" s="153"/>
      <c r="I26" s="153"/>
      <c r="J26" s="153"/>
      <c r="K26" s="153"/>
      <c r="L26" s="153"/>
      <c r="M26" s="153"/>
      <c r="N26" s="153"/>
      <c r="O26" s="153"/>
      <c r="P26" s="155"/>
      <c r="Q26" s="153"/>
      <c r="R26" s="153"/>
      <c r="S26" s="153"/>
      <c r="T26" s="153"/>
      <c r="U26" s="154"/>
      <c r="V26" s="153"/>
      <c r="W26" s="153">
        <v>222223</v>
      </c>
      <c r="X26" s="155"/>
      <c r="Y26" s="153"/>
      <c r="Z26" s="153"/>
      <c r="AA26" s="152" t="str">
        <f t="shared" si="8"/>
        <v xml:space="preserve">, </v>
      </c>
      <c r="AB26" s="152">
        <v>222237</v>
      </c>
      <c r="AC26" s="152">
        <v>222223</v>
      </c>
    </row>
    <row r="27" spans="1:29" x14ac:dyDescent="0.4">
      <c r="A27" s="149">
        <v>222211</v>
      </c>
      <c r="B27" s="149"/>
      <c r="C27" s="149"/>
      <c r="D27" s="150"/>
      <c r="E27" s="149"/>
      <c r="F27" s="150"/>
      <c r="G27" s="149"/>
      <c r="H27" s="149"/>
      <c r="I27" s="149"/>
      <c r="J27" s="149"/>
      <c r="K27" s="149"/>
      <c r="L27" s="149"/>
      <c r="M27" s="149"/>
      <c r="N27" s="149"/>
      <c r="O27" s="149"/>
      <c r="P27" s="151"/>
      <c r="Q27" s="149"/>
      <c r="R27" s="149"/>
      <c r="S27" s="149"/>
      <c r="T27" s="149"/>
      <c r="U27" s="150"/>
      <c r="V27" s="149"/>
      <c r="W27" s="149">
        <v>222234</v>
      </c>
      <c r="X27" s="151"/>
      <c r="Y27" s="149"/>
      <c r="Z27" s="149"/>
      <c r="AA27" s="152" t="str">
        <f t="shared" si="8"/>
        <v xml:space="preserve">, </v>
      </c>
      <c r="AB27" s="152">
        <v>222211</v>
      </c>
      <c r="AC27" s="152">
        <v>222208</v>
      </c>
    </row>
    <row r="28" spans="1:29" x14ac:dyDescent="0.4">
      <c r="A28" s="153">
        <v>222236</v>
      </c>
      <c r="B28" s="153"/>
      <c r="C28" s="153"/>
      <c r="D28" s="154"/>
      <c r="E28" s="153"/>
      <c r="F28" s="154"/>
      <c r="G28" s="153"/>
      <c r="H28" s="153"/>
      <c r="I28" s="153"/>
      <c r="J28" s="153"/>
      <c r="K28" s="153"/>
      <c r="L28" s="153"/>
      <c r="M28" s="153"/>
      <c r="N28" s="153"/>
      <c r="O28" s="153"/>
      <c r="P28" s="155"/>
      <c r="Q28" s="153"/>
      <c r="R28" s="153"/>
      <c r="S28" s="153"/>
      <c r="T28" s="153"/>
      <c r="U28" s="154"/>
      <c r="V28" s="153"/>
      <c r="W28" s="153">
        <v>222234</v>
      </c>
      <c r="X28" s="155"/>
      <c r="Y28" s="153"/>
      <c r="Z28" s="153"/>
      <c r="AA28" s="152" t="str">
        <f t="shared" si="8"/>
        <v xml:space="preserve">, </v>
      </c>
      <c r="AB28" s="152">
        <v>222236</v>
      </c>
      <c r="AC28" s="152">
        <v>222234</v>
      </c>
    </row>
    <row r="29" spans="1:29" x14ac:dyDescent="0.4">
      <c r="A29" s="149">
        <v>222220</v>
      </c>
      <c r="B29" s="149"/>
      <c r="C29" s="149"/>
      <c r="D29" s="150"/>
      <c r="E29" s="149"/>
      <c r="F29" s="150"/>
      <c r="G29" s="149"/>
      <c r="H29" s="149"/>
      <c r="I29" s="149"/>
      <c r="J29" s="149"/>
      <c r="K29" s="149"/>
      <c r="L29" s="149"/>
      <c r="M29" s="149"/>
      <c r="N29" s="149"/>
      <c r="O29" s="149"/>
      <c r="P29" s="151"/>
      <c r="Q29" s="149"/>
      <c r="R29" s="149"/>
      <c r="S29" s="149"/>
      <c r="T29" s="149"/>
      <c r="U29" s="150"/>
      <c r="V29" s="149"/>
      <c r="W29" s="149">
        <v>222234</v>
      </c>
      <c r="X29" s="151"/>
      <c r="Y29" s="149"/>
      <c r="Z29" s="149"/>
      <c r="AA29" s="152" t="str">
        <f t="shared" si="8"/>
        <v xml:space="preserve">, </v>
      </c>
      <c r="AB29" s="152">
        <v>222220</v>
      </c>
      <c r="AC29" s="152">
        <v>222238</v>
      </c>
    </row>
  </sheetData>
  <autoFilter ref="A1:AC29" xr:uid="{29E0ACE5-C265-4A5D-9FCD-6BF129B02B01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1A9F-3DC8-4F6B-A734-6185CE9839D7}">
  <sheetPr>
    <tabColor rgb="FF7030A0"/>
  </sheetPr>
  <dimension ref="A1:D25"/>
  <sheetViews>
    <sheetView tabSelected="1" zoomScale="120" zoomScaleNormal="120" workbookViewId="0">
      <selection activeCell="C52" sqref="C52"/>
    </sheetView>
  </sheetViews>
  <sheetFormatPr defaultRowHeight="16.8" x14ac:dyDescent="0.4"/>
  <cols>
    <col min="1" max="1" width="18.8984375" customWidth="1"/>
    <col min="2" max="2" width="17" style="274" bestFit="1" customWidth="1"/>
    <col min="3" max="3" width="19.19921875" customWidth="1"/>
    <col min="4" max="4" width="14.09765625" style="274" customWidth="1"/>
  </cols>
  <sheetData>
    <row r="1" spans="1:4" x14ac:dyDescent="0.4">
      <c r="A1" s="339" t="s">
        <v>261</v>
      </c>
      <c r="B1" s="354" t="s">
        <v>246</v>
      </c>
      <c r="C1" s="341" t="s">
        <v>244</v>
      </c>
      <c r="D1" s="340" t="s">
        <v>126</v>
      </c>
    </row>
    <row r="2" spans="1:4" x14ac:dyDescent="0.4">
      <c r="A2" s="342" t="s">
        <v>260</v>
      </c>
      <c r="B2" s="350" t="s">
        <v>405</v>
      </c>
      <c r="C2" s="338" t="str">
        <f>A2&amp;B2</f>
        <v>1190064712AJ</v>
      </c>
      <c r="D2" s="343" t="s">
        <v>404</v>
      </c>
    </row>
    <row r="3" spans="1:4" x14ac:dyDescent="0.4">
      <c r="A3" s="342" t="s">
        <v>260</v>
      </c>
      <c r="B3" s="350" t="s">
        <v>408</v>
      </c>
      <c r="C3" s="338" t="str">
        <f t="shared" ref="C3:C22" si="0">A3&amp;B3</f>
        <v>1190064712AJP</v>
      </c>
      <c r="D3" s="343" t="s">
        <v>404</v>
      </c>
    </row>
    <row r="4" spans="1:4" x14ac:dyDescent="0.4">
      <c r="A4" s="342" t="s">
        <v>260</v>
      </c>
      <c r="B4" s="350" t="s">
        <v>412</v>
      </c>
      <c r="C4" s="338" t="str">
        <f t="shared" si="0"/>
        <v>1190064712YY</v>
      </c>
      <c r="D4" s="343" t="s">
        <v>404</v>
      </c>
    </row>
    <row r="5" spans="1:4" x14ac:dyDescent="0.4">
      <c r="A5" s="342" t="s">
        <v>260</v>
      </c>
      <c r="B5" s="350" t="s">
        <v>415</v>
      </c>
      <c r="C5" s="338" t="str">
        <f t="shared" si="0"/>
        <v>1190064712RKR</v>
      </c>
      <c r="D5" s="343" t="s">
        <v>404</v>
      </c>
    </row>
    <row r="6" spans="1:4" x14ac:dyDescent="0.4">
      <c r="A6" s="342" t="s">
        <v>260</v>
      </c>
      <c r="B6" s="350" t="s">
        <v>409</v>
      </c>
      <c r="C6" s="338" t="str">
        <f t="shared" si="0"/>
        <v>1190064712RDC</v>
      </c>
      <c r="D6" s="343" t="s">
        <v>403</v>
      </c>
    </row>
    <row r="7" spans="1:4" x14ac:dyDescent="0.4">
      <c r="A7" s="342" t="s">
        <v>260</v>
      </c>
      <c r="B7" s="350" t="s">
        <v>410</v>
      </c>
      <c r="C7" s="338" t="str">
        <f t="shared" si="0"/>
        <v>1190064712RM</v>
      </c>
      <c r="D7" s="343" t="s">
        <v>403</v>
      </c>
    </row>
    <row r="8" spans="1:4" x14ac:dyDescent="0.4">
      <c r="A8" s="342" t="s">
        <v>260</v>
      </c>
      <c r="B8" s="350" t="s">
        <v>411</v>
      </c>
      <c r="C8" s="338" t="str">
        <f t="shared" si="0"/>
        <v>1190064712ND</v>
      </c>
      <c r="D8" s="343" t="s">
        <v>403</v>
      </c>
    </row>
    <row r="9" spans="1:4" x14ac:dyDescent="0.4">
      <c r="A9" s="342" t="s">
        <v>260</v>
      </c>
      <c r="B9" s="350" t="s">
        <v>406</v>
      </c>
      <c r="C9" s="338" t="str">
        <f t="shared" ref="C9" si="1">A9&amp;B9</f>
        <v>1190064712RD</v>
      </c>
      <c r="D9" s="343" t="s">
        <v>403</v>
      </c>
    </row>
    <row r="10" spans="1:4" x14ac:dyDescent="0.4">
      <c r="A10" s="342" t="s">
        <v>260</v>
      </c>
      <c r="B10" s="350" t="s">
        <v>407</v>
      </c>
      <c r="C10" s="338" t="str">
        <f t="shared" si="0"/>
        <v>1190064712BD</v>
      </c>
      <c r="D10" s="343" t="s">
        <v>402</v>
      </c>
    </row>
    <row r="11" spans="1:4" x14ac:dyDescent="0.4">
      <c r="A11" s="342" t="s">
        <v>260</v>
      </c>
      <c r="B11" s="350" t="s">
        <v>413</v>
      </c>
      <c r="C11" s="338" t="str">
        <f t="shared" si="0"/>
        <v>1190064712PDC</v>
      </c>
      <c r="D11" s="343" t="s">
        <v>402</v>
      </c>
    </row>
    <row r="12" spans="1:4" x14ac:dyDescent="0.4">
      <c r="A12" s="342" t="s">
        <v>260</v>
      </c>
      <c r="B12" s="350" t="s">
        <v>414</v>
      </c>
      <c r="C12" s="338" t="str">
        <f t="shared" si="0"/>
        <v>1190064712TKM</v>
      </c>
      <c r="D12" s="343" t="s">
        <v>402</v>
      </c>
    </row>
    <row r="13" spans="1:4" x14ac:dyDescent="0.4">
      <c r="A13" s="342" t="s">
        <v>395</v>
      </c>
      <c r="B13" s="350" t="s">
        <v>412</v>
      </c>
      <c r="C13" s="338" t="str">
        <f t="shared" si="0"/>
        <v>5490000704YY</v>
      </c>
      <c r="D13" s="343" t="s">
        <v>393</v>
      </c>
    </row>
    <row r="14" spans="1:4" x14ac:dyDescent="0.4">
      <c r="A14" s="342" t="s">
        <v>395</v>
      </c>
      <c r="B14" s="351" t="s">
        <v>417</v>
      </c>
      <c r="C14" s="338" t="str">
        <f t="shared" si="0"/>
        <v>5490000704AJA</v>
      </c>
      <c r="D14" s="343" t="s">
        <v>393</v>
      </c>
    </row>
    <row r="15" spans="1:4" x14ac:dyDescent="0.4">
      <c r="A15" s="342" t="s">
        <v>396</v>
      </c>
      <c r="B15" s="350" t="s">
        <v>412</v>
      </c>
      <c r="C15" s="338" t="str">
        <f t="shared" si="0"/>
        <v>5490000717YY</v>
      </c>
      <c r="D15" s="343" t="s">
        <v>397</v>
      </c>
    </row>
    <row r="16" spans="1:4" x14ac:dyDescent="0.4">
      <c r="A16" s="342" t="s">
        <v>396</v>
      </c>
      <c r="B16" s="350" t="s">
        <v>413</v>
      </c>
      <c r="C16" s="338" t="str">
        <f t="shared" si="0"/>
        <v>5490000717PDC</v>
      </c>
      <c r="D16" s="343" t="s">
        <v>397</v>
      </c>
    </row>
    <row r="17" spans="1:4" x14ac:dyDescent="0.4">
      <c r="A17" s="342" t="s">
        <v>396</v>
      </c>
      <c r="B17" s="350" t="s">
        <v>415</v>
      </c>
      <c r="C17" s="338" t="str">
        <f t="shared" si="0"/>
        <v>5490000717RKR</v>
      </c>
      <c r="D17" s="343" t="s">
        <v>397</v>
      </c>
    </row>
    <row r="18" spans="1:4" x14ac:dyDescent="0.4">
      <c r="A18" s="342" t="s">
        <v>396</v>
      </c>
      <c r="B18" s="352" t="s">
        <v>407</v>
      </c>
      <c r="C18" s="338" t="str">
        <f t="shared" ref="C18" si="2">A18&amp;B18</f>
        <v>5490000717BD</v>
      </c>
      <c r="D18" s="343" t="s">
        <v>397</v>
      </c>
    </row>
    <row r="19" spans="1:4" x14ac:dyDescent="0.4">
      <c r="A19" s="342" t="s">
        <v>398</v>
      </c>
      <c r="B19" s="352" t="s">
        <v>407</v>
      </c>
      <c r="C19" s="338" t="str">
        <f t="shared" si="0"/>
        <v>5490000709BD</v>
      </c>
      <c r="D19" s="343" t="s">
        <v>399</v>
      </c>
    </row>
    <row r="20" spans="1:4" x14ac:dyDescent="0.4">
      <c r="A20" s="342" t="s">
        <v>398</v>
      </c>
      <c r="B20" s="352" t="s">
        <v>413</v>
      </c>
      <c r="C20" s="338" t="str">
        <f t="shared" si="0"/>
        <v>5490000709PDC</v>
      </c>
      <c r="D20" s="343" t="s">
        <v>399</v>
      </c>
    </row>
    <row r="21" spans="1:4" x14ac:dyDescent="0.4">
      <c r="A21" s="342" t="s">
        <v>398</v>
      </c>
      <c r="B21" s="352" t="s">
        <v>412</v>
      </c>
      <c r="C21" s="338" t="str">
        <f t="shared" si="0"/>
        <v>5490000709YY</v>
      </c>
      <c r="D21" s="343" t="s">
        <v>399</v>
      </c>
    </row>
    <row r="22" spans="1:4" x14ac:dyDescent="0.4">
      <c r="A22" s="342" t="s">
        <v>398</v>
      </c>
      <c r="B22" s="352" t="s">
        <v>417</v>
      </c>
      <c r="C22" s="338" t="str">
        <f t="shared" si="0"/>
        <v>5490000709AJA</v>
      </c>
      <c r="D22" s="343" t="s">
        <v>399</v>
      </c>
    </row>
    <row r="23" spans="1:4" x14ac:dyDescent="0.4">
      <c r="A23" s="344" t="s">
        <v>398</v>
      </c>
      <c r="B23" s="352" t="s">
        <v>418</v>
      </c>
      <c r="C23" s="338" t="str">
        <f t="shared" ref="C23:C25" si="3">A23&amp;B23</f>
        <v>5490000709FP</v>
      </c>
      <c r="D23" s="345" t="s">
        <v>399</v>
      </c>
    </row>
    <row r="24" spans="1:4" x14ac:dyDescent="0.4">
      <c r="A24" s="342" t="s">
        <v>395</v>
      </c>
      <c r="B24" s="352" t="s">
        <v>407</v>
      </c>
      <c r="C24" s="338" t="str">
        <f t="shared" si="3"/>
        <v>5490000704BD</v>
      </c>
      <c r="D24" s="343" t="s">
        <v>394</v>
      </c>
    </row>
    <row r="25" spans="1:4" x14ac:dyDescent="0.4">
      <c r="A25" s="342" t="s">
        <v>395</v>
      </c>
      <c r="B25" s="353" t="s">
        <v>413</v>
      </c>
      <c r="C25" s="338" t="str">
        <f t="shared" si="3"/>
        <v>5490000704PDC</v>
      </c>
      <c r="D25" s="343" t="s">
        <v>394</v>
      </c>
    </row>
  </sheetData>
  <autoFilter ref="A1:F25" xr:uid="{46C11A9F-3DC8-4F6B-A734-6185CE9839D7}"/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C665-4D0F-454E-B7D4-6141600A063F}">
  <sheetPr codeName="Sheet2">
    <tabColor rgb="FFF7C5F1"/>
  </sheetPr>
  <dimension ref="A1:Z50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defaultRowHeight="16.8" x14ac:dyDescent="0.4"/>
  <cols>
    <col min="1" max="1" width="10.69921875" style="218" bestFit="1" customWidth="1"/>
    <col min="2" max="2" width="8.59765625" style="218" bestFit="1" customWidth="1"/>
    <col min="3" max="11" width="8.3984375" customWidth="1"/>
    <col min="12" max="12" width="8.59765625" bestFit="1" customWidth="1"/>
    <col min="13" max="13" width="5.69921875" bestFit="1" customWidth="1"/>
    <col min="14" max="14" width="5.3984375" bestFit="1" customWidth="1"/>
    <col min="15" max="15" width="6.3984375" bestFit="1" customWidth="1"/>
    <col min="16" max="16" width="9.5" bestFit="1" customWidth="1"/>
    <col min="17" max="17" width="9.69921875" bestFit="1" customWidth="1"/>
    <col min="18" max="18" width="11.5" bestFit="1" customWidth="1"/>
    <col min="19" max="19" width="6.19921875" bestFit="1" customWidth="1"/>
    <col min="20" max="20" width="11.3984375" bestFit="1" customWidth="1"/>
    <col min="21" max="21" width="7.3984375" bestFit="1" customWidth="1"/>
    <col min="22" max="22" width="12.69921875" bestFit="1" customWidth="1"/>
    <col min="23" max="23" width="9.19921875" bestFit="1" customWidth="1"/>
    <col min="24" max="24" width="13.3984375" bestFit="1" customWidth="1"/>
    <col min="25" max="25" width="13.3984375" customWidth="1"/>
    <col min="26" max="26" width="13.09765625" bestFit="1" customWidth="1"/>
  </cols>
  <sheetData>
    <row r="1" spans="1:26" x14ac:dyDescent="0.4">
      <c r="A1" s="360" t="s">
        <v>141</v>
      </c>
      <c r="B1" s="360" t="s">
        <v>142</v>
      </c>
      <c r="C1" s="359" t="s">
        <v>143</v>
      </c>
      <c r="D1" s="359"/>
      <c r="E1" s="359"/>
      <c r="F1" s="359"/>
      <c r="G1" s="359"/>
      <c r="H1" s="359"/>
      <c r="I1" s="359"/>
      <c r="J1" s="359"/>
      <c r="K1" s="359"/>
      <c r="L1" s="226" t="s">
        <v>116</v>
      </c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 spans="1:26" x14ac:dyDescent="0.4">
      <c r="A2" s="361"/>
      <c r="B2" s="361"/>
      <c r="C2" s="225">
        <v>0.9</v>
      </c>
      <c r="D2" s="225">
        <v>0.95</v>
      </c>
      <c r="E2" s="225">
        <v>1</v>
      </c>
      <c r="F2" s="224">
        <v>1.03</v>
      </c>
      <c r="G2" s="224">
        <v>1.08</v>
      </c>
      <c r="H2" s="224">
        <v>1.1000000000000001</v>
      </c>
      <c r="I2" s="224">
        <v>1.1499999999999999</v>
      </c>
      <c r="J2" s="224">
        <v>1.2</v>
      </c>
      <c r="K2" s="224">
        <v>1.3</v>
      </c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</row>
    <row r="3" spans="1:26" x14ac:dyDescent="0.4">
      <c r="A3" s="326" t="s">
        <v>144</v>
      </c>
      <c r="B3" s="219" t="s">
        <v>39</v>
      </c>
      <c r="C3" s="220">
        <v>0.9</v>
      </c>
      <c r="D3" s="220">
        <v>0.95</v>
      </c>
      <c r="E3" s="220">
        <v>1</v>
      </c>
      <c r="F3" s="220">
        <v>1.03</v>
      </c>
      <c r="G3" s="220">
        <v>1.06</v>
      </c>
      <c r="H3" s="220">
        <v>1.1000000000000001</v>
      </c>
      <c r="I3" s="220">
        <v>1.1499999999999999</v>
      </c>
      <c r="J3" s="220">
        <v>1.2</v>
      </c>
      <c r="K3" s="220">
        <v>20</v>
      </c>
      <c r="L3" s="327" t="s">
        <v>405</v>
      </c>
      <c r="M3" s="327" t="s">
        <v>406</v>
      </c>
      <c r="N3" s="327" t="s">
        <v>407</v>
      </c>
      <c r="O3" s="327" t="s">
        <v>408</v>
      </c>
      <c r="P3" s="327" t="s">
        <v>409</v>
      </c>
      <c r="Q3" s="327" t="s">
        <v>410</v>
      </c>
      <c r="R3" s="327" t="s">
        <v>411</v>
      </c>
      <c r="S3" s="327" t="s">
        <v>412</v>
      </c>
      <c r="T3" s="327" t="s">
        <v>413</v>
      </c>
      <c r="U3" s="327" t="s">
        <v>414</v>
      </c>
      <c r="V3" s="327" t="s">
        <v>415</v>
      </c>
      <c r="W3" s="327" t="s">
        <v>416</v>
      </c>
      <c r="X3" s="328" t="s">
        <v>417</v>
      </c>
      <c r="Y3" s="328" t="s">
        <v>418</v>
      </c>
      <c r="Z3" s="328" t="s">
        <v>419</v>
      </c>
    </row>
    <row r="4" spans="1:26" x14ac:dyDescent="0.4">
      <c r="A4" s="346">
        <v>5490000718</v>
      </c>
      <c r="B4" s="227">
        <v>4000</v>
      </c>
      <c r="C4" s="228">
        <f t="shared" ref="C4:D19" si="0">($B4*C$2)</f>
        <v>3600</v>
      </c>
      <c r="D4" s="228">
        <f t="shared" si="0"/>
        <v>3800</v>
      </c>
      <c r="E4" s="228">
        <f t="shared" ref="E4:E30" si="1">($B4*E$2)</f>
        <v>4000</v>
      </c>
      <c r="F4" s="228">
        <f t="shared" ref="F4:K30" si="2">($B4*F$2)</f>
        <v>4120</v>
      </c>
      <c r="G4" s="228">
        <f t="shared" si="2"/>
        <v>4320</v>
      </c>
      <c r="H4" s="228">
        <f t="shared" si="2"/>
        <v>4400</v>
      </c>
      <c r="I4" s="228">
        <f t="shared" si="2"/>
        <v>4600</v>
      </c>
      <c r="J4" s="228">
        <f t="shared" si="2"/>
        <v>4800</v>
      </c>
      <c r="K4" s="228">
        <f t="shared" si="2"/>
        <v>5200</v>
      </c>
      <c r="L4" s="302">
        <v>3.3333333333333326E-2</v>
      </c>
      <c r="M4" s="303">
        <v>5.5555555555555552E-2</v>
      </c>
      <c r="N4" s="303">
        <v>0.1111111111111111</v>
      </c>
      <c r="O4" s="304">
        <v>5.5555555555555552E-2</v>
      </c>
      <c r="P4" s="304">
        <v>0.1111111111111111</v>
      </c>
      <c r="Q4" s="304">
        <v>0.1111111111111111</v>
      </c>
      <c r="R4" s="304"/>
      <c r="S4" s="304">
        <v>0.1111111111111111</v>
      </c>
      <c r="T4" s="302">
        <v>0.16666666666666663</v>
      </c>
      <c r="U4" s="303">
        <v>4.4444444444444439E-2</v>
      </c>
      <c r="V4" s="304">
        <v>4.4444444444444439E-2</v>
      </c>
      <c r="W4" s="304">
        <v>2.222222222222222E-2</v>
      </c>
      <c r="X4" s="303">
        <v>1.111111111111111E-2</v>
      </c>
      <c r="Y4" s="303">
        <v>0.1111111111111111</v>
      </c>
      <c r="Z4" s="303">
        <v>1.111111111111111E-2</v>
      </c>
    </row>
    <row r="5" spans="1:26" x14ac:dyDescent="0.4">
      <c r="A5" s="346">
        <v>5490000706</v>
      </c>
      <c r="B5" s="227">
        <v>4000</v>
      </c>
      <c r="C5" s="228">
        <f t="shared" si="0"/>
        <v>3600</v>
      </c>
      <c r="D5" s="228">
        <f t="shared" si="0"/>
        <v>3800</v>
      </c>
      <c r="E5" s="228">
        <f t="shared" si="1"/>
        <v>4000</v>
      </c>
      <c r="F5" s="228">
        <f t="shared" si="2"/>
        <v>4120</v>
      </c>
      <c r="G5" s="228">
        <f t="shared" si="2"/>
        <v>4320</v>
      </c>
      <c r="H5" s="228">
        <f t="shared" si="2"/>
        <v>4400</v>
      </c>
      <c r="I5" s="228">
        <f t="shared" si="2"/>
        <v>4600</v>
      </c>
      <c r="J5" s="228">
        <f t="shared" si="2"/>
        <v>4800</v>
      </c>
      <c r="K5" s="228">
        <f t="shared" si="2"/>
        <v>5200</v>
      </c>
      <c r="L5" s="302">
        <v>3.03030303030303E-2</v>
      </c>
      <c r="M5" s="303">
        <v>5.0505050505050504E-2</v>
      </c>
      <c r="N5" s="303">
        <v>0.10101010101010101</v>
      </c>
      <c r="O5" s="304">
        <v>5.0505050505050504E-2</v>
      </c>
      <c r="P5" s="304">
        <v>0.10101010101010101</v>
      </c>
      <c r="Q5" s="304">
        <v>0.10101010101010101</v>
      </c>
      <c r="R5" s="304">
        <v>0.10101010101010101</v>
      </c>
      <c r="S5" s="304">
        <v>0.10101010101010101</v>
      </c>
      <c r="T5" s="302">
        <v>0.15151515151515149</v>
      </c>
      <c r="U5" s="303">
        <v>4.0404040404040401E-2</v>
      </c>
      <c r="V5" s="304">
        <v>4.0404040404040401E-2</v>
      </c>
      <c r="W5" s="304">
        <v>2.02020202020202E-2</v>
      </c>
      <c r="X5" s="303"/>
      <c r="Y5" s="303">
        <v>0.10101010101010101</v>
      </c>
      <c r="Z5" s="303">
        <v>0.01</v>
      </c>
    </row>
    <row r="6" spans="1:26" x14ac:dyDescent="0.4">
      <c r="A6" s="347" t="s">
        <v>388</v>
      </c>
      <c r="B6" s="227">
        <v>5000</v>
      </c>
      <c r="C6" s="228">
        <f t="shared" si="0"/>
        <v>4500</v>
      </c>
      <c r="D6" s="228">
        <f t="shared" si="0"/>
        <v>4750</v>
      </c>
      <c r="E6" s="228">
        <f t="shared" si="1"/>
        <v>5000</v>
      </c>
      <c r="F6" s="228">
        <f t="shared" si="2"/>
        <v>5150</v>
      </c>
      <c r="G6" s="228">
        <f t="shared" si="2"/>
        <v>5400</v>
      </c>
      <c r="H6" s="228">
        <f t="shared" si="2"/>
        <v>5500</v>
      </c>
      <c r="I6" s="228">
        <f t="shared" si="2"/>
        <v>5750</v>
      </c>
      <c r="J6" s="228">
        <f t="shared" si="2"/>
        <v>6000</v>
      </c>
      <c r="K6" s="228">
        <f t="shared" si="2"/>
        <v>6500</v>
      </c>
      <c r="L6" s="302">
        <v>3.4883720930232558E-2</v>
      </c>
      <c r="M6" s="303">
        <v>5.8139534883720936E-2</v>
      </c>
      <c r="N6" s="303">
        <v>0.11627906976744187</v>
      </c>
      <c r="O6" s="304">
        <v>5.8139534883720936E-2</v>
      </c>
      <c r="P6" s="304">
        <v>0.11627906976744187</v>
      </c>
      <c r="Q6" s="304">
        <v>0.11627906976744187</v>
      </c>
      <c r="R6" s="304">
        <v>0.11627906976744187</v>
      </c>
      <c r="S6" s="304">
        <v>0.11627906976744187</v>
      </c>
      <c r="T6" s="302">
        <v>0.1744186046511628</v>
      </c>
      <c r="U6" s="303">
        <v>4.6511627906976744E-2</v>
      </c>
      <c r="V6" s="304">
        <v>4.6511627906976744E-2</v>
      </c>
      <c r="W6" s="304"/>
      <c r="X6" s="303"/>
      <c r="Y6" s="303"/>
      <c r="Z6" s="303"/>
    </row>
    <row r="7" spans="1:26" x14ac:dyDescent="0.4">
      <c r="A7" s="347" t="s">
        <v>389</v>
      </c>
      <c r="B7" s="227">
        <v>5000</v>
      </c>
      <c r="C7" s="228">
        <f t="shared" si="0"/>
        <v>4500</v>
      </c>
      <c r="D7" s="228">
        <f t="shared" si="0"/>
        <v>4750</v>
      </c>
      <c r="E7" s="228">
        <f t="shared" si="1"/>
        <v>5000</v>
      </c>
      <c r="F7" s="228">
        <f t="shared" si="2"/>
        <v>5150</v>
      </c>
      <c r="G7" s="228">
        <f t="shared" si="2"/>
        <v>5400</v>
      </c>
      <c r="H7" s="228">
        <f t="shared" si="2"/>
        <v>5500</v>
      </c>
      <c r="I7" s="228">
        <f t="shared" si="2"/>
        <v>5750</v>
      </c>
      <c r="J7" s="228">
        <f t="shared" si="2"/>
        <v>6000</v>
      </c>
      <c r="K7" s="228">
        <f t="shared" si="2"/>
        <v>6500</v>
      </c>
      <c r="L7" s="302">
        <v>3.0927835051546389E-2</v>
      </c>
      <c r="M7" s="303">
        <v>5.1546391752577317E-2</v>
      </c>
      <c r="N7" s="303">
        <v>0.10309278350515463</v>
      </c>
      <c r="O7" s="304">
        <v>5.1546391752577317E-2</v>
      </c>
      <c r="P7" s="304">
        <v>0.10309278350515463</v>
      </c>
      <c r="Q7" s="304">
        <v>0.10309278350515463</v>
      </c>
      <c r="R7" s="304">
        <v>0.10309278350515463</v>
      </c>
      <c r="S7" s="304">
        <v>0.10309278350515463</v>
      </c>
      <c r="T7" s="302">
        <v>0.15463917525773194</v>
      </c>
      <c r="U7" s="303">
        <v>4.1237113402061855E-2</v>
      </c>
      <c r="V7" s="304">
        <v>4.1237113402061855E-2</v>
      </c>
      <c r="W7" s="304"/>
      <c r="X7" s="303"/>
      <c r="Y7" s="303">
        <v>0.10309278350515463</v>
      </c>
      <c r="Z7" s="303">
        <v>1.0309278350515464E-2</v>
      </c>
    </row>
    <row r="8" spans="1:26" x14ac:dyDescent="0.4">
      <c r="A8" s="347" t="s">
        <v>390</v>
      </c>
      <c r="B8" s="227">
        <v>5000</v>
      </c>
      <c r="C8" s="228">
        <f t="shared" si="0"/>
        <v>4500</v>
      </c>
      <c r="D8" s="228">
        <f t="shared" si="0"/>
        <v>4750</v>
      </c>
      <c r="E8" s="228">
        <f t="shared" si="1"/>
        <v>5000</v>
      </c>
      <c r="F8" s="228">
        <f t="shared" si="2"/>
        <v>5150</v>
      </c>
      <c r="G8" s="228">
        <f t="shared" si="2"/>
        <v>5400</v>
      </c>
      <c r="H8" s="228">
        <f t="shared" si="2"/>
        <v>5500</v>
      </c>
      <c r="I8" s="228">
        <f t="shared" si="2"/>
        <v>5750</v>
      </c>
      <c r="J8" s="228">
        <f t="shared" si="2"/>
        <v>6000</v>
      </c>
      <c r="K8" s="228">
        <f t="shared" si="2"/>
        <v>6500</v>
      </c>
      <c r="L8" s="302">
        <v>3.3333333333333326E-2</v>
      </c>
      <c r="M8" s="303">
        <v>5.5555555555555552E-2</v>
      </c>
      <c r="N8" s="303">
        <v>0.1111111111111111</v>
      </c>
      <c r="O8" s="304">
        <v>5.5555555555555552E-2</v>
      </c>
      <c r="P8" s="304">
        <v>0.1111111111111111</v>
      </c>
      <c r="Q8" s="304">
        <v>0.1111111111111111</v>
      </c>
      <c r="R8" s="304"/>
      <c r="S8" s="304">
        <v>0.1111111111111111</v>
      </c>
      <c r="T8" s="302">
        <v>0.16666666666666663</v>
      </c>
      <c r="U8" s="303">
        <v>4.4444444444444439E-2</v>
      </c>
      <c r="V8" s="304">
        <v>4.4444444444444439E-2</v>
      </c>
      <c r="W8" s="304">
        <v>2.222222222222222E-2</v>
      </c>
      <c r="X8" s="303">
        <v>1.111111111111111E-2</v>
      </c>
      <c r="Y8" s="303">
        <v>0.1111111111111111</v>
      </c>
      <c r="Z8" s="303">
        <v>1.111111111111111E-2</v>
      </c>
    </row>
    <row r="9" spans="1:26" x14ac:dyDescent="0.4">
      <c r="A9" s="347" t="s">
        <v>391</v>
      </c>
      <c r="B9" s="227">
        <v>5000</v>
      </c>
      <c r="C9" s="228">
        <f t="shared" si="0"/>
        <v>4500</v>
      </c>
      <c r="D9" s="228">
        <f t="shared" si="0"/>
        <v>4750</v>
      </c>
      <c r="E9" s="228">
        <f t="shared" si="1"/>
        <v>5000</v>
      </c>
      <c r="F9" s="228">
        <f t="shared" si="2"/>
        <v>5150</v>
      </c>
      <c r="G9" s="228">
        <f t="shared" si="2"/>
        <v>5400</v>
      </c>
      <c r="H9" s="228">
        <f t="shared" si="2"/>
        <v>5500</v>
      </c>
      <c r="I9" s="228">
        <f t="shared" si="2"/>
        <v>5750</v>
      </c>
      <c r="J9" s="228">
        <f t="shared" si="2"/>
        <v>6000</v>
      </c>
      <c r="K9" s="228">
        <f t="shared" si="2"/>
        <v>6500</v>
      </c>
      <c r="L9" s="302">
        <v>3.4883720930232558E-2</v>
      </c>
      <c r="M9" s="303">
        <v>5.8139534883720936E-2</v>
      </c>
      <c r="N9" s="303">
        <v>0.11627906976744187</v>
      </c>
      <c r="O9" s="304">
        <v>5.8139534883720936E-2</v>
      </c>
      <c r="P9" s="304">
        <v>0.11627906976744187</v>
      </c>
      <c r="Q9" s="304">
        <v>0.11627906976744187</v>
      </c>
      <c r="R9" s="304">
        <v>0.11627906976744187</v>
      </c>
      <c r="S9" s="304">
        <v>0.11627906976744187</v>
      </c>
      <c r="T9" s="302">
        <v>0.1744186046511628</v>
      </c>
      <c r="U9" s="303">
        <v>4.6511627906976744E-2</v>
      </c>
      <c r="V9" s="304">
        <v>4.6511627906976744E-2</v>
      </c>
      <c r="W9" s="304"/>
      <c r="X9" s="303"/>
      <c r="Y9" s="303"/>
      <c r="Z9" s="303"/>
    </row>
    <row r="10" spans="1:26" x14ac:dyDescent="0.4">
      <c r="A10" s="347" t="s">
        <v>385</v>
      </c>
      <c r="B10" s="227">
        <v>5000</v>
      </c>
      <c r="C10" s="228">
        <f t="shared" si="0"/>
        <v>4500</v>
      </c>
      <c r="D10" s="228">
        <f t="shared" si="0"/>
        <v>4750</v>
      </c>
      <c r="E10" s="228">
        <f t="shared" si="1"/>
        <v>5000</v>
      </c>
      <c r="F10" s="228">
        <f t="shared" si="2"/>
        <v>5150</v>
      </c>
      <c r="G10" s="228">
        <f t="shared" si="2"/>
        <v>5400</v>
      </c>
      <c r="H10" s="228">
        <f t="shared" si="2"/>
        <v>5500</v>
      </c>
      <c r="I10" s="228">
        <f t="shared" si="2"/>
        <v>5750</v>
      </c>
      <c r="J10" s="228">
        <f t="shared" si="2"/>
        <v>6000</v>
      </c>
      <c r="K10" s="228">
        <f t="shared" si="2"/>
        <v>6500</v>
      </c>
      <c r="L10" s="303">
        <v>0.03</v>
      </c>
      <c r="M10" s="303">
        <v>0.05</v>
      </c>
      <c r="N10" s="304">
        <v>0.1</v>
      </c>
      <c r="O10" s="304">
        <v>0.05</v>
      </c>
      <c r="P10" s="304">
        <v>0.1</v>
      </c>
      <c r="Q10" s="304">
        <v>0.1</v>
      </c>
      <c r="R10" s="304">
        <v>0.1</v>
      </c>
      <c r="S10" s="302">
        <v>0.1</v>
      </c>
      <c r="T10" s="303">
        <v>0.15</v>
      </c>
      <c r="U10" s="304">
        <v>0.04</v>
      </c>
      <c r="V10" s="304">
        <v>0.04</v>
      </c>
      <c r="W10" s="303">
        <v>0.02</v>
      </c>
      <c r="X10" s="303">
        <v>0.01</v>
      </c>
      <c r="Y10" s="303">
        <v>0.1</v>
      </c>
      <c r="Z10" s="303">
        <v>0.01</v>
      </c>
    </row>
    <row r="11" spans="1:26" s="309" customFormat="1" ht="14.4" x14ac:dyDescent="0.3">
      <c r="A11" s="348" t="s">
        <v>392</v>
      </c>
      <c r="B11" s="305">
        <v>4000</v>
      </c>
      <c r="C11" s="306">
        <f t="shared" si="0"/>
        <v>3600</v>
      </c>
      <c r="D11" s="306">
        <f t="shared" si="0"/>
        <v>3800</v>
      </c>
      <c r="E11" s="306">
        <f t="shared" si="1"/>
        <v>4000</v>
      </c>
      <c r="F11" s="306">
        <f t="shared" si="2"/>
        <v>4120</v>
      </c>
      <c r="G11" s="306">
        <f t="shared" si="2"/>
        <v>4320</v>
      </c>
      <c r="H11" s="306">
        <f t="shared" si="2"/>
        <v>4400</v>
      </c>
      <c r="I11" s="306">
        <f t="shared" si="2"/>
        <v>4600</v>
      </c>
      <c r="J11" s="306">
        <f t="shared" si="2"/>
        <v>4800</v>
      </c>
      <c r="K11" s="306">
        <f t="shared" si="2"/>
        <v>5200</v>
      </c>
      <c r="L11" s="307">
        <v>5.6179775280898875E-2</v>
      </c>
      <c r="M11" s="307">
        <v>5.6179775280898875E-2</v>
      </c>
      <c r="N11" s="307">
        <v>0.1685393258426966</v>
      </c>
      <c r="O11" s="308">
        <v>5.6179775280898875E-2</v>
      </c>
      <c r="P11" s="308">
        <v>0.11235955056179775</v>
      </c>
      <c r="Q11" s="308">
        <v>0.11235955056179775</v>
      </c>
      <c r="R11" s="308"/>
      <c r="S11" s="308">
        <v>0.15730337078651685</v>
      </c>
      <c r="T11" s="307">
        <v>0.1685393258426966</v>
      </c>
      <c r="U11" s="307">
        <v>5.6179775280898875E-2</v>
      </c>
      <c r="V11" s="308">
        <v>5.6179775280898875E-2</v>
      </c>
      <c r="W11" s="308"/>
      <c r="X11" s="307"/>
      <c r="Y11" s="307"/>
      <c r="Z11" s="307"/>
    </row>
    <row r="12" spans="1:26" ht="12" customHeight="1" x14ac:dyDescent="0.4">
      <c r="A12" s="347" t="s">
        <v>393</v>
      </c>
      <c r="B12" s="227">
        <v>4000</v>
      </c>
      <c r="C12" s="228">
        <f t="shared" si="0"/>
        <v>3600</v>
      </c>
      <c r="D12" s="228">
        <f t="shared" si="0"/>
        <v>3800</v>
      </c>
      <c r="E12" s="228">
        <f t="shared" si="1"/>
        <v>4000</v>
      </c>
      <c r="F12" s="228">
        <f t="shared" si="2"/>
        <v>4120</v>
      </c>
      <c r="G12" s="228">
        <f t="shared" si="2"/>
        <v>4320</v>
      </c>
      <c r="H12" s="228">
        <f t="shared" si="2"/>
        <v>4400</v>
      </c>
      <c r="I12" s="228">
        <f t="shared" si="2"/>
        <v>4600</v>
      </c>
      <c r="J12" s="228">
        <f t="shared" si="2"/>
        <v>4800</v>
      </c>
      <c r="K12" s="228">
        <f t="shared" si="2"/>
        <v>5200</v>
      </c>
      <c r="L12" s="302"/>
      <c r="M12" s="303"/>
      <c r="N12" s="303"/>
      <c r="O12" s="304"/>
      <c r="P12" s="304"/>
      <c r="Q12" s="304"/>
      <c r="R12" s="304"/>
      <c r="S12" s="304">
        <v>0.92307692307692302</v>
      </c>
      <c r="T12" s="302"/>
      <c r="U12" s="303"/>
      <c r="V12" s="304"/>
      <c r="W12" s="304"/>
      <c r="X12" s="303">
        <v>7.6923076923076927E-2</v>
      </c>
      <c r="Y12" s="303"/>
      <c r="Z12" s="303"/>
    </row>
    <row r="13" spans="1:26" x14ac:dyDescent="0.4">
      <c r="A13" s="347" t="s">
        <v>394</v>
      </c>
      <c r="B13" s="227">
        <v>4000</v>
      </c>
      <c r="C13" s="228">
        <f t="shared" si="0"/>
        <v>3600</v>
      </c>
      <c r="D13" s="228">
        <f t="shared" si="0"/>
        <v>3800</v>
      </c>
      <c r="E13" s="228">
        <f t="shared" si="1"/>
        <v>4000</v>
      </c>
      <c r="F13" s="228">
        <f t="shared" si="2"/>
        <v>4120</v>
      </c>
      <c r="G13" s="228">
        <f t="shared" si="2"/>
        <v>4320</v>
      </c>
      <c r="H13" s="228">
        <f t="shared" si="2"/>
        <v>4400</v>
      </c>
      <c r="I13" s="228">
        <f t="shared" si="2"/>
        <v>4600</v>
      </c>
      <c r="J13" s="228">
        <f t="shared" si="2"/>
        <v>4800</v>
      </c>
      <c r="K13" s="228">
        <f t="shared" si="2"/>
        <v>5200</v>
      </c>
      <c r="L13" s="302"/>
      <c r="M13" s="303"/>
      <c r="N13" s="303">
        <v>0.5</v>
      </c>
      <c r="O13" s="304"/>
      <c r="P13" s="304"/>
      <c r="Q13" s="304"/>
      <c r="R13" s="304"/>
      <c r="S13" s="304"/>
      <c r="T13" s="302">
        <v>0.5</v>
      </c>
      <c r="U13" s="303"/>
      <c r="V13" s="304"/>
      <c r="W13" s="304"/>
      <c r="X13" s="303"/>
      <c r="Y13" s="303"/>
      <c r="Z13" s="303"/>
    </row>
    <row r="14" spans="1:26" x14ac:dyDescent="0.4">
      <c r="A14" s="347" t="s">
        <v>395</v>
      </c>
      <c r="B14" s="227">
        <v>5000</v>
      </c>
      <c r="C14" s="228">
        <f t="shared" si="0"/>
        <v>4500</v>
      </c>
      <c r="D14" s="228">
        <f t="shared" si="0"/>
        <v>4750</v>
      </c>
      <c r="E14" s="228">
        <f t="shared" si="1"/>
        <v>5000</v>
      </c>
      <c r="F14" s="228">
        <f t="shared" si="2"/>
        <v>5150</v>
      </c>
      <c r="G14" s="228">
        <f t="shared" si="2"/>
        <v>5400</v>
      </c>
      <c r="H14" s="228">
        <f t="shared" si="2"/>
        <v>5500</v>
      </c>
      <c r="I14" s="228">
        <f t="shared" si="2"/>
        <v>5750</v>
      </c>
      <c r="J14" s="228">
        <f t="shared" si="2"/>
        <v>6000</v>
      </c>
      <c r="K14" s="228">
        <f t="shared" si="2"/>
        <v>6500</v>
      </c>
      <c r="L14" s="302">
        <v>5.3571428571428575E-2</v>
      </c>
      <c r="M14" s="303">
        <v>8.9285714285714302E-2</v>
      </c>
      <c r="N14" s="303"/>
      <c r="O14" s="304">
        <v>8.9285714285714302E-2</v>
      </c>
      <c r="P14" s="304">
        <v>0.19642857142857145</v>
      </c>
      <c r="Q14" s="304">
        <v>0.2142857142857143</v>
      </c>
      <c r="R14" s="304">
        <v>0.1785714285714286</v>
      </c>
      <c r="S14" s="304"/>
      <c r="T14" s="302"/>
      <c r="U14" s="303">
        <v>8.9285714285714302E-2</v>
      </c>
      <c r="V14" s="304">
        <v>8.9285714285714302E-2</v>
      </c>
      <c r="W14" s="304"/>
      <c r="X14" s="303"/>
      <c r="Y14" s="303"/>
      <c r="Z14" s="303"/>
    </row>
    <row r="15" spans="1:26" x14ac:dyDescent="0.4">
      <c r="A15" s="347" t="s">
        <v>384</v>
      </c>
      <c r="B15" s="227">
        <v>5000</v>
      </c>
      <c r="C15" s="228">
        <f t="shared" si="0"/>
        <v>4500</v>
      </c>
      <c r="D15" s="228">
        <f t="shared" si="0"/>
        <v>4750</v>
      </c>
      <c r="E15" s="228">
        <f t="shared" si="1"/>
        <v>5000</v>
      </c>
      <c r="F15" s="228">
        <f t="shared" si="2"/>
        <v>5150</v>
      </c>
      <c r="G15" s="228">
        <f t="shared" si="2"/>
        <v>5400</v>
      </c>
      <c r="H15" s="228">
        <f t="shared" si="2"/>
        <v>5500</v>
      </c>
      <c r="I15" s="228">
        <f t="shared" si="2"/>
        <v>5750</v>
      </c>
      <c r="J15" s="228">
        <f t="shared" si="2"/>
        <v>6000</v>
      </c>
      <c r="K15" s="228">
        <f t="shared" si="2"/>
        <v>6500</v>
      </c>
      <c r="L15" s="302">
        <v>3.03030303030303E-2</v>
      </c>
      <c r="M15" s="303">
        <v>5.0505050505050504E-2</v>
      </c>
      <c r="N15" s="303">
        <v>0.15151515151515149</v>
      </c>
      <c r="O15" s="304">
        <v>5.0505050505050504E-2</v>
      </c>
      <c r="P15" s="304">
        <v>0.1111111111111111</v>
      </c>
      <c r="Q15" s="304">
        <v>0.1212121212121212</v>
      </c>
      <c r="R15" s="304">
        <v>0.10101010101010101</v>
      </c>
      <c r="S15" s="304">
        <v>0.1212121212121212</v>
      </c>
      <c r="T15" s="302">
        <v>0.15151515151515149</v>
      </c>
      <c r="U15" s="303">
        <v>5.0505050505050504E-2</v>
      </c>
      <c r="V15" s="304">
        <v>5.0505050505050504E-2</v>
      </c>
      <c r="W15" s="304"/>
      <c r="X15" s="303">
        <v>1.01010101010101E-2</v>
      </c>
      <c r="Y15" s="303"/>
      <c r="Z15" s="303"/>
    </row>
    <row r="16" spans="1:26" x14ac:dyDescent="0.4">
      <c r="A16" s="349" t="s">
        <v>399</v>
      </c>
      <c r="B16" s="275">
        <v>5000</v>
      </c>
      <c r="C16" s="228">
        <f t="shared" si="0"/>
        <v>4500</v>
      </c>
      <c r="D16" s="228">
        <f t="shared" si="0"/>
        <v>4750</v>
      </c>
      <c r="E16" s="276">
        <f t="shared" si="1"/>
        <v>5000</v>
      </c>
      <c r="F16" s="276">
        <f t="shared" si="2"/>
        <v>5150</v>
      </c>
      <c r="G16" s="276">
        <f t="shared" si="2"/>
        <v>5400</v>
      </c>
      <c r="H16" s="276">
        <f t="shared" si="2"/>
        <v>5500</v>
      </c>
      <c r="I16" s="276">
        <f t="shared" si="2"/>
        <v>5750</v>
      </c>
      <c r="J16" s="276">
        <f t="shared" si="2"/>
        <v>6000</v>
      </c>
      <c r="K16" s="276">
        <f t="shared" si="2"/>
        <v>6500</v>
      </c>
      <c r="L16" s="302"/>
      <c r="M16" s="303"/>
      <c r="N16" s="303">
        <v>0.26666666666666666</v>
      </c>
      <c r="O16" s="304"/>
      <c r="P16" s="304"/>
      <c r="Q16" s="304"/>
      <c r="R16" s="304"/>
      <c r="S16" s="303">
        <v>0.22222222222222227</v>
      </c>
      <c r="T16" s="303">
        <v>0.26666666666666666</v>
      </c>
      <c r="U16" s="303"/>
      <c r="V16" s="304"/>
      <c r="W16" s="304"/>
      <c r="X16" s="303"/>
      <c r="Y16" s="303">
        <v>0.22222222222222227</v>
      </c>
      <c r="Z16" s="303">
        <v>2.2222222222222227E-2</v>
      </c>
    </row>
    <row r="17" spans="1:26" x14ac:dyDescent="0.4">
      <c r="A17" s="347" t="s">
        <v>398</v>
      </c>
      <c r="B17" s="227">
        <v>5000</v>
      </c>
      <c r="C17" s="228">
        <f t="shared" si="0"/>
        <v>4500</v>
      </c>
      <c r="D17" s="228">
        <f t="shared" si="0"/>
        <v>4750</v>
      </c>
      <c r="E17" s="228">
        <f t="shared" si="1"/>
        <v>5000</v>
      </c>
      <c r="F17" s="228">
        <f t="shared" si="2"/>
        <v>5150</v>
      </c>
      <c r="G17" s="228">
        <f t="shared" si="2"/>
        <v>5400</v>
      </c>
      <c r="H17" s="228">
        <f t="shared" si="2"/>
        <v>5500</v>
      </c>
      <c r="I17" s="228">
        <f t="shared" si="2"/>
        <v>5750</v>
      </c>
      <c r="J17" s="228">
        <f t="shared" si="2"/>
        <v>6000</v>
      </c>
      <c r="K17" s="228">
        <f t="shared" si="2"/>
        <v>6500</v>
      </c>
      <c r="L17" s="302">
        <v>5.5555555555555559E-2</v>
      </c>
      <c r="M17" s="303">
        <v>9.2592592592592615E-2</v>
      </c>
      <c r="N17" s="303"/>
      <c r="O17" s="304">
        <v>9.2592592592592615E-2</v>
      </c>
      <c r="P17" s="304">
        <v>0.18518518518518523</v>
      </c>
      <c r="Q17" s="304">
        <v>0.20370370370370372</v>
      </c>
      <c r="R17" s="304">
        <v>0.18518518518518523</v>
      </c>
      <c r="S17" s="304"/>
      <c r="T17" s="302"/>
      <c r="U17" s="303">
        <v>7.4074074074074084E-2</v>
      </c>
      <c r="V17" s="304">
        <v>7.4074074074074084E-2</v>
      </c>
      <c r="W17" s="304">
        <v>3.7037037037037042E-2</v>
      </c>
      <c r="X17" s="303"/>
      <c r="Y17" s="303"/>
      <c r="Z17" s="303"/>
    </row>
    <row r="18" spans="1:26" x14ac:dyDescent="0.4">
      <c r="A18" s="347" t="s">
        <v>397</v>
      </c>
      <c r="B18" s="227">
        <v>5000</v>
      </c>
      <c r="C18" s="228">
        <f t="shared" si="0"/>
        <v>4500</v>
      </c>
      <c r="D18" s="228">
        <f t="shared" si="0"/>
        <v>4750</v>
      </c>
      <c r="E18" s="228">
        <f t="shared" si="1"/>
        <v>5000</v>
      </c>
      <c r="F18" s="228">
        <f t="shared" si="2"/>
        <v>5150</v>
      </c>
      <c r="G18" s="228">
        <f t="shared" si="2"/>
        <v>5400</v>
      </c>
      <c r="H18" s="228">
        <f t="shared" si="2"/>
        <v>5500</v>
      </c>
      <c r="I18" s="228">
        <f t="shared" si="2"/>
        <v>5750</v>
      </c>
      <c r="J18" s="228">
        <f t="shared" si="2"/>
        <v>6000</v>
      </c>
      <c r="K18" s="228">
        <f t="shared" si="2"/>
        <v>6500</v>
      </c>
      <c r="L18" s="302"/>
      <c r="M18" s="303"/>
      <c r="N18" s="303">
        <v>0.35294117647058826</v>
      </c>
      <c r="O18" s="304"/>
      <c r="P18" s="304"/>
      <c r="Q18" s="304"/>
      <c r="R18" s="304"/>
      <c r="S18" s="304">
        <v>0.29411764705882359</v>
      </c>
      <c r="T18" s="302">
        <v>0.35294117647058826</v>
      </c>
      <c r="U18" s="303"/>
      <c r="V18" s="304"/>
      <c r="W18" s="304"/>
      <c r="X18" s="303"/>
      <c r="Y18" s="303"/>
      <c r="Z18" s="303"/>
    </row>
    <row r="19" spans="1:26" x14ac:dyDescent="0.4">
      <c r="A19" s="347" t="s">
        <v>396</v>
      </c>
      <c r="B19" s="227">
        <v>5000</v>
      </c>
      <c r="C19" s="228">
        <f t="shared" si="0"/>
        <v>4500</v>
      </c>
      <c r="D19" s="228">
        <f t="shared" si="0"/>
        <v>4750</v>
      </c>
      <c r="E19" s="228">
        <f t="shared" si="1"/>
        <v>5000</v>
      </c>
      <c r="F19" s="228">
        <f t="shared" si="2"/>
        <v>5150</v>
      </c>
      <c r="G19" s="228">
        <f t="shared" si="2"/>
        <v>5400</v>
      </c>
      <c r="H19" s="228">
        <f t="shared" si="2"/>
        <v>5500</v>
      </c>
      <c r="I19" s="228">
        <f t="shared" si="2"/>
        <v>5750</v>
      </c>
      <c r="J19" s="228">
        <f t="shared" si="2"/>
        <v>6000</v>
      </c>
      <c r="K19" s="228">
        <f t="shared" si="2"/>
        <v>6500</v>
      </c>
      <c r="L19" s="302">
        <v>5.7692307692307689E-2</v>
      </c>
      <c r="M19" s="303">
        <v>9.6153846153846159E-2</v>
      </c>
      <c r="N19" s="303"/>
      <c r="O19" s="304">
        <v>9.6153846153846159E-2</v>
      </c>
      <c r="P19" s="304">
        <v>0.19230769230769232</v>
      </c>
      <c r="Q19" s="304">
        <v>0.21153846153846154</v>
      </c>
      <c r="R19" s="304">
        <v>0.19230769230769232</v>
      </c>
      <c r="S19" s="304"/>
      <c r="T19" s="302"/>
      <c r="U19" s="303">
        <v>7.6923076923076927E-2</v>
      </c>
      <c r="V19" s="304">
        <v>7.6923076923076927E-2</v>
      </c>
      <c r="W19" s="304"/>
      <c r="X19" s="303"/>
      <c r="Y19" s="303"/>
      <c r="Z19" s="303"/>
    </row>
    <row r="20" spans="1:26" x14ac:dyDescent="0.4">
      <c r="A20" s="349" t="s">
        <v>383</v>
      </c>
      <c r="B20" s="275">
        <v>5000</v>
      </c>
      <c r="C20" s="228">
        <f t="shared" ref="C20:D30" si="3">($B20*C$2)</f>
        <v>4500</v>
      </c>
      <c r="D20" s="228">
        <f t="shared" si="3"/>
        <v>4750</v>
      </c>
      <c r="E20" s="228">
        <f t="shared" si="1"/>
        <v>5000</v>
      </c>
      <c r="F20" s="228">
        <f t="shared" si="2"/>
        <v>5150</v>
      </c>
      <c r="G20" s="228">
        <f t="shared" si="2"/>
        <v>5400</v>
      </c>
      <c r="H20" s="228">
        <f t="shared" si="2"/>
        <v>5500</v>
      </c>
      <c r="I20" s="228">
        <f t="shared" si="2"/>
        <v>5750</v>
      </c>
      <c r="J20" s="228">
        <f t="shared" si="2"/>
        <v>6000</v>
      </c>
      <c r="K20" s="276">
        <f t="shared" si="2"/>
        <v>6500</v>
      </c>
      <c r="L20" s="302">
        <v>3.03030303030303E-2</v>
      </c>
      <c r="M20" s="303">
        <v>5.0505050505050504E-2</v>
      </c>
      <c r="N20" s="303">
        <v>0.1212121212121212</v>
      </c>
      <c r="O20" s="304">
        <v>5.0505050505050504E-2</v>
      </c>
      <c r="P20" s="304">
        <v>0.10101010101010101</v>
      </c>
      <c r="Q20" s="304">
        <v>0.1111111111111111</v>
      </c>
      <c r="R20" s="304">
        <v>0.10101010101010101</v>
      </c>
      <c r="S20" s="304">
        <v>0.10101010101010101</v>
      </c>
      <c r="T20" s="302">
        <v>0.1212121212121212</v>
      </c>
      <c r="U20" s="303">
        <v>4.0404040404040401E-2</v>
      </c>
      <c r="V20" s="304">
        <v>4.0404040404040401E-2</v>
      </c>
      <c r="W20" s="304">
        <v>2.02020202020202E-2</v>
      </c>
      <c r="X20" s="303"/>
      <c r="Y20" s="303">
        <v>0.10101010101010101</v>
      </c>
      <c r="Z20" s="303">
        <v>1.01010101010101E-2</v>
      </c>
    </row>
    <row r="21" spans="1:26" x14ac:dyDescent="0.4">
      <c r="A21" s="347" t="s">
        <v>400</v>
      </c>
      <c r="B21" s="227">
        <v>5000</v>
      </c>
      <c r="C21" s="228">
        <f t="shared" si="3"/>
        <v>4500</v>
      </c>
      <c r="D21" s="228">
        <f t="shared" si="3"/>
        <v>4750</v>
      </c>
      <c r="E21" s="228">
        <f t="shared" si="1"/>
        <v>5000</v>
      </c>
      <c r="F21" s="228">
        <f t="shared" si="2"/>
        <v>5150</v>
      </c>
      <c r="G21" s="228">
        <f t="shared" si="2"/>
        <v>5400</v>
      </c>
      <c r="H21" s="228">
        <f t="shared" si="2"/>
        <v>5500</v>
      </c>
      <c r="I21" s="228">
        <f t="shared" si="2"/>
        <v>5750</v>
      </c>
      <c r="J21" s="228">
        <f t="shared" si="2"/>
        <v>6000</v>
      </c>
      <c r="K21" s="228">
        <f t="shared" si="2"/>
        <v>6500</v>
      </c>
      <c r="L21" s="302"/>
      <c r="M21" s="303"/>
      <c r="N21" s="303"/>
      <c r="O21" s="304"/>
      <c r="P21" s="304"/>
      <c r="Q21" s="304"/>
      <c r="R21" s="304"/>
      <c r="S21" s="304"/>
      <c r="T21" s="302"/>
      <c r="U21" s="303"/>
      <c r="V21" s="304"/>
      <c r="W21" s="304">
        <v>0.7</v>
      </c>
      <c r="X21" s="303">
        <v>0.3</v>
      </c>
      <c r="Y21" s="303"/>
      <c r="Z21" s="303"/>
    </row>
    <row r="22" spans="1:26" x14ac:dyDescent="0.4">
      <c r="A22" s="347" t="s">
        <v>382</v>
      </c>
      <c r="B22" s="227">
        <v>5000</v>
      </c>
      <c r="C22" s="228">
        <f t="shared" si="3"/>
        <v>4500</v>
      </c>
      <c r="D22" s="228">
        <f t="shared" si="3"/>
        <v>4750</v>
      </c>
      <c r="E22" s="228">
        <f t="shared" si="1"/>
        <v>5000</v>
      </c>
      <c r="F22" s="228">
        <f t="shared" si="2"/>
        <v>5150</v>
      </c>
      <c r="G22" s="228">
        <f t="shared" si="2"/>
        <v>5400</v>
      </c>
      <c r="H22" s="228">
        <f t="shared" si="2"/>
        <v>5500</v>
      </c>
      <c r="I22" s="228">
        <f t="shared" si="2"/>
        <v>5750</v>
      </c>
      <c r="J22" s="228">
        <f t="shared" si="2"/>
        <v>6000</v>
      </c>
      <c r="K22" s="228">
        <f t="shared" si="2"/>
        <v>6500</v>
      </c>
      <c r="L22" s="302"/>
      <c r="M22" s="303"/>
      <c r="N22" s="303"/>
      <c r="O22" s="304"/>
      <c r="P22" s="304"/>
      <c r="Q22" s="304"/>
      <c r="R22" s="304"/>
      <c r="S22" s="304"/>
      <c r="T22" s="302"/>
      <c r="U22" s="303"/>
      <c r="V22" s="304"/>
      <c r="W22" s="304">
        <v>0.7</v>
      </c>
      <c r="X22" s="303">
        <v>0.3</v>
      </c>
      <c r="Y22" s="303"/>
      <c r="Z22" s="303"/>
    </row>
    <row r="23" spans="1:26" x14ac:dyDescent="0.4">
      <c r="A23" s="347" t="s">
        <v>401</v>
      </c>
      <c r="B23" s="227">
        <v>5500</v>
      </c>
      <c r="C23" s="228">
        <f t="shared" si="3"/>
        <v>4950</v>
      </c>
      <c r="D23" s="228">
        <f t="shared" si="3"/>
        <v>5225</v>
      </c>
      <c r="E23" s="228">
        <f t="shared" si="1"/>
        <v>5500</v>
      </c>
      <c r="F23" s="228">
        <f t="shared" si="2"/>
        <v>5665</v>
      </c>
      <c r="G23" s="228">
        <f t="shared" si="2"/>
        <v>5940</v>
      </c>
      <c r="H23" s="228">
        <f t="shared" si="2"/>
        <v>6050.0000000000009</v>
      </c>
      <c r="I23" s="228">
        <f t="shared" si="2"/>
        <v>6324.9999999999991</v>
      </c>
      <c r="J23" s="228">
        <f t="shared" si="2"/>
        <v>6600</v>
      </c>
      <c r="K23" s="228">
        <f t="shared" si="2"/>
        <v>7150</v>
      </c>
      <c r="L23" s="302">
        <v>3.1578947368421047E-2</v>
      </c>
      <c r="M23" s="303">
        <v>3.1578947368421047E-2</v>
      </c>
      <c r="N23" s="303">
        <v>0.15789473684210525</v>
      </c>
      <c r="O23" s="304">
        <v>5.2631578947368418E-2</v>
      </c>
      <c r="P23" s="304">
        <v>0.11578947368421053</v>
      </c>
      <c r="Q23" s="304">
        <v>0.10526315789473684</v>
      </c>
      <c r="R23" s="304">
        <v>0.12631578947368419</v>
      </c>
      <c r="S23" s="304">
        <v>0.12631578947368419</v>
      </c>
      <c r="T23" s="302">
        <v>0.15789473684210525</v>
      </c>
      <c r="U23" s="303">
        <v>5.2631578947368418E-2</v>
      </c>
      <c r="V23" s="304">
        <v>4.2105263157894736E-2</v>
      </c>
      <c r="W23" s="304"/>
      <c r="X23" s="303"/>
      <c r="Y23" s="303"/>
      <c r="Z23" s="303"/>
    </row>
    <row r="24" spans="1:26" x14ac:dyDescent="0.4">
      <c r="A24" s="347" t="s">
        <v>402</v>
      </c>
      <c r="B24" s="227">
        <v>5500</v>
      </c>
      <c r="C24" s="228">
        <f t="shared" si="3"/>
        <v>4950</v>
      </c>
      <c r="D24" s="228">
        <f t="shared" si="3"/>
        <v>5225</v>
      </c>
      <c r="E24" s="228">
        <f t="shared" si="1"/>
        <v>5500</v>
      </c>
      <c r="F24" s="228">
        <f t="shared" si="2"/>
        <v>5665</v>
      </c>
      <c r="G24" s="228">
        <f t="shared" si="2"/>
        <v>5940</v>
      </c>
      <c r="H24" s="228">
        <f t="shared" si="2"/>
        <v>6050.0000000000009</v>
      </c>
      <c r="I24" s="228">
        <f t="shared" si="2"/>
        <v>6324.9999999999991</v>
      </c>
      <c r="J24" s="228">
        <f t="shared" si="2"/>
        <v>6600</v>
      </c>
      <c r="K24" s="228">
        <f t="shared" si="2"/>
        <v>7150</v>
      </c>
      <c r="L24" s="302"/>
      <c r="M24" s="303"/>
      <c r="N24" s="303">
        <v>0.4285714285714286</v>
      </c>
      <c r="O24" s="304"/>
      <c r="P24" s="304"/>
      <c r="Q24" s="304"/>
      <c r="R24" s="304"/>
      <c r="S24" s="304"/>
      <c r="T24" s="302">
        <v>0.4285714285714286</v>
      </c>
      <c r="U24" s="303">
        <v>0.14285714285714288</v>
      </c>
      <c r="V24" s="304"/>
      <c r="W24" s="304"/>
      <c r="X24" s="303"/>
      <c r="Y24" s="303"/>
      <c r="Z24" s="303"/>
    </row>
    <row r="25" spans="1:26" x14ac:dyDescent="0.4">
      <c r="A25" s="347" t="s">
        <v>403</v>
      </c>
      <c r="B25" s="227">
        <v>5500</v>
      </c>
      <c r="C25" s="228">
        <f t="shared" si="3"/>
        <v>4950</v>
      </c>
      <c r="D25" s="228">
        <f t="shared" si="3"/>
        <v>5225</v>
      </c>
      <c r="E25" s="228">
        <f t="shared" si="1"/>
        <v>5500</v>
      </c>
      <c r="F25" s="228">
        <f t="shared" si="2"/>
        <v>5665</v>
      </c>
      <c r="G25" s="228">
        <f t="shared" si="2"/>
        <v>5940</v>
      </c>
      <c r="H25" s="228">
        <f t="shared" si="2"/>
        <v>6050.0000000000009</v>
      </c>
      <c r="I25" s="228">
        <f t="shared" si="2"/>
        <v>6324.9999999999991</v>
      </c>
      <c r="J25" s="228">
        <f t="shared" si="2"/>
        <v>6600</v>
      </c>
      <c r="K25" s="228">
        <f t="shared" si="2"/>
        <v>7150</v>
      </c>
      <c r="L25" s="302"/>
      <c r="M25" s="303">
        <v>8.3333333333333329E-2</v>
      </c>
      <c r="N25" s="303"/>
      <c r="O25" s="304"/>
      <c r="P25" s="304">
        <v>0.30555555555555558</v>
      </c>
      <c r="Q25" s="304">
        <v>0.27777777777777779</v>
      </c>
      <c r="R25" s="304">
        <v>0.33333333333333331</v>
      </c>
      <c r="S25" s="304"/>
      <c r="T25" s="302"/>
      <c r="U25" s="303"/>
      <c r="V25" s="304"/>
      <c r="W25" s="304"/>
      <c r="X25" s="303"/>
      <c r="Y25" s="303"/>
      <c r="Z25" s="303"/>
    </row>
    <row r="26" spans="1:26" x14ac:dyDescent="0.4">
      <c r="A26" s="347" t="s">
        <v>404</v>
      </c>
      <c r="B26" s="227">
        <v>5500</v>
      </c>
      <c r="C26" s="228">
        <f t="shared" si="3"/>
        <v>4950</v>
      </c>
      <c r="D26" s="228">
        <f t="shared" si="3"/>
        <v>5225</v>
      </c>
      <c r="E26" s="228">
        <f t="shared" si="1"/>
        <v>5500</v>
      </c>
      <c r="F26" s="228">
        <f t="shared" si="2"/>
        <v>5665</v>
      </c>
      <c r="G26" s="228">
        <f t="shared" si="2"/>
        <v>5940</v>
      </c>
      <c r="H26" s="228">
        <f t="shared" si="2"/>
        <v>6050.0000000000009</v>
      </c>
      <c r="I26" s="228">
        <f t="shared" si="2"/>
        <v>6324.9999999999991</v>
      </c>
      <c r="J26" s="228">
        <f t="shared" si="2"/>
        <v>6600</v>
      </c>
      <c r="K26" s="228">
        <f t="shared" si="2"/>
        <v>7150</v>
      </c>
      <c r="L26" s="302">
        <v>0.12499999999999999</v>
      </c>
      <c r="M26" s="303"/>
      <c r="N26" s="303"/>
      <c r="O26" s="304">
        <v>0.20833333333333331</v>
      </c>
      <c r="P26" s="304"/>
      <c r="Q26" s="304"/>
      <c r="R26" s="304"/>
      <c r="S26" s="304">
        <v>0.49999999999999994</v>
      </c>
      <c r="T26" s="302"/>
      <c r="U26" s="303"/>
      <c r="V26" s="304">
        <v>0.16666666666666666</v>
      </c>
      <c r="W26" s="304"/>
      <c r="X26" s="303"/>
      <c r="Y26" s="303"/>
      <c r="Z26" s="303"/>
    </row>
    <row r="27" spans="1:26" x14ac:dyDescent="0.4">
      <c r="A27" s="347" t="s">
        <v>381</v>
      </c>
      <c r="B27" s="227">
        <v>6000</v>
      </c>
      <c r="C27" s="228">
        <f t="shared" si="3"/>
        <v>5400</v>
      </c>
      <c r="D27" s="228">
        <f t="shared" si="3"/>
        <v>5700</v>
      </c>
      <c r="E27" s="228">
        <f t="shared" si="1"/>
        <v>6000</v>
      </c>
      <c r="F27" s="228">
        <f t="shared" si="2"/>
        <v>6180</v>
      </c>
      <c r="G27" s="228">
        <f t="shared" si="2"/>
        <v>6480</v>
      </c>
      <c r="H27" s="228">
        <f t="shared" si="2"/>
        <v>6600.0000000000009</v>
      </c>
      <c r="I27" s="228">
        <f t="shared" si="2"/>
        <v>6899.9999999999991</v>
      </c>
      <c r="J27" s="228">
        <f t="shared" si="2"/>
        <v>7200</v>
      </c>
      <c r="K27" s="228">
        <f t="shared" si="2"/>
        <v>7800</v>
      </c>
      <c r="L27" s="221">
        <v>3.1578947368421047E-2</v>
      </c>
      <c r="M27" s="222">
        <v>3.1578947368421047E-2</v>
      </c>
      <c r="N27" s="222">
        <v>0.15789473684210525</v>
      </c>
      <c r="O27" s="223">
        <v>5.2631578947368418E-2</v>
      </c>
      <c r="P27" s="223">
        <v>0.11578947368421053</v>
      </c>
      <c r="Q27" s="223">
        <v>0.10526315789473684</v>
      </c>
      <c r="R27" s="223">
        <v>0.12631578947368419</v>
      </c>
      <c r="S27" s="223">
        <v>0.12631578947368419</v>
      </c>
      <c r="T27" s="221">
        <v>0.15789473684210525</v>
      </c>
      <c r="U27" s="222">
        <v>5.2631578947368418E-2</v>
      </c>
      <c r="V27" s="223">
        <v>4.2105263157894736E-2</v>
      </c>
      <c r="W27" s="223"/>
      <c r="X27" s="222"/>
      <c r="Y27" s="222"/>
      <c r="Z27" s="222"/>
    </row>
    <row r="28" spans="1:26" x14ac:dyDescent="0.4">
      <c r="A28" s="347" t="s">
        <v>380</v>
      </c>
      <c r="B28" s="227">
        <v>6000</v>
      </c>
      <c r="C28" s="228">
        <f t="shared" si="3"/>
        <v>5400</v>
      </c>
      <c r="D28" s="228">
        <f t="shared" si="3"/>
        <v>5700</v>
      </c>
      <c r="E28" s="228">
        <f t="shared" si="1"/>
        <v>6000</v>
      </c>
      <c r="F28" s="228">
        <f t="shared" si="2"/>
        <v>6180</v>
      </c>
      <c r="G28" s="228">
        <f t="shared" si="2"/>
        <v>6480</v>
      </c>
      <c r="H28" s="228">
        <f t="shared" si="2"/>
        <v>6600.0000000000009</v>
      </c>
      <c r="I28" s="228">
        <f t="shared" si="2"/>
        <v>6899.9999999999991</v>
      </c>
      <c r="J28" s="228">
        <f t="shared" si="2"/>
        <v>7200</v>
      </c>
      <c r="K28" s="228">
        <f t="shared" si="2"/>
        <v>7800</v>
      </c>
      <c r="L28" s="221">
        <v>0.1719</v>
      </c>
      <c r="M28" s="222">
        <v>0.12570000000000001</v>
      </c>
      <c r="N28" s="222">
        <v>0.3654</v>
      </c>
      <c r="O28" s="223">
        <v>2.0299999999999999E-2</v>
      </c>
      <c r="P28" s="223">
        <v>1.3299999999999999E-2</v>
      </c>
      <c r="Q28" s="223">
        <v>2.0400000000000001E-2</v>
      </c>
      <c r="R28" s="223">
        <v>3.0999999999999999E-3</v>
      </c>
      <c r="S28" s="223">
        <v>0.20080000000000001</v>
      </c>
      <c r="T28" s="221">
        <v>5.6000000000000001E-2</v>
      </c>
      <c r="U28" s="222">
        <v>1.2E-2</v>
      </c>
      <c r="V28" s="223">
        <v>5.1999999999999998E-3</v>
      </c>
      <c r="W28" s="223">
        <v>3.3000000000000004E-3</v>
      </c>
      <c r="X28" s="222">
        <v>1E-4</v>
      </c>
      <c r="Y28" s="222">
        <v>2.3999999999999998E-3</v>
      </c>
      <c r="Z28" s="222">
        <v>1E-4</v>
      </c>
    </row>
    <row r="29" spans="1:26" x14ac:dyDescent="0.4">
      <c r="A29" s="349" t="s">
        <v>379</v>
      </c>
      <c r="B29" s="275">
        <v>6000</v>
      </c>
      <c r="C29" s="228">
        <f t="shared" si="3"/>
        <v>5400</v>
      </c>
      <c r="D29" s="228">
        <f t="shared" si="3"/>
        <v>5700</v>
      </c>
      <c r="E29" s="228">
        <f t="shared" si="1"/>
        <v>6000</v>
      </c>
      <c r="F29" s="228">
        <f t="shared" si="2"/>
        <v>6180</v>
      </c>
      <c r="G29" s="228">
        <f t="shared" si="2"/>
        <v>6480</v>
      </c>
      <c r="H29" s="228">
        <f t="shared" si="2"/>
        <v>6600.0000000000009</v>
      </c>
      <c r="I29" s="228">
        <f t="shared" si="2"/>
        <v>6899.9999999999991</v>
      </c>
      <c r="J29" s="228">
        <f t="shared" si="2"/>
        <v>7200</v>
      </c>
      <c r="K29" s="228">
        <f t="shared" si="2"/>
        <v>7800</v>
      </c>
      <c r="L29" s="221">
        <v>0.21112111211121112</v>
      </c>
      <c r="M29" s="222">
        <v>0.28692869286928691</v>
      </c>
      <c r="N29" s="222">
        <v>0.20632063206320633</v>
      </c>
      <c r="O29" s="290">
        <v>2.1702170217021702E-2</v>
      </c>
      <c r="P29" s="290">
        <v>9.0009000900089994E-3</v>
      </c>
      <c r="Q29" s="290">
        <v>2.7002700270027002E-2</v>
      </c>
      <c r="R29" s="290">
        <v>3.8003800380038005E-3</v>
      </c>
      <c r="S29" s="290">
        <v>0.13521352135213519</v>
      </c>
      <c r="T29" s="221">
        <v>7.9707970797079697E-2</v>
      </c>
      <c r="U29" s="222">
        <v>1.4501450145014501E-2</v>
      </c>
      <c r="V29" s="290">
        <v>4.1004100410041008E-3</v>
      </c>
      <c r="W29" s="290">
        <v>1.0001000100010001E-4</v>
      </c>
      <c r="X29" s="222"/>
      <c r="Y29" s="222">
        <v>4.0004000400040005E-4</v>
      </c>
      <c r="Z29" s="222">
        <v>1.0001000100010001E-4</v>
      </c>
    </row>
    <row r="30" spans="1:26" x14ac:dyDescent="0.4">
      <c r="A30" s="347" t="s">
        <v>378</v>
      </c>
      <c r="B30" s="227">
        <v>6000</v>
      </c>
      <c r="C30" s="228">
        <f t="shared" si="3"/>
        <v>5400</v>
      </c>
      <c r="D30" s="228">
        <f t="shared" si="3"/>
        <v>5700</v>
      </c>
      <c r="E30" s="228">
        <f t="shared" si="1"/>
        <v>6000</v>
      </c>
      <c r="F30" s="228">
        <f t="shared" si="2"/>
        <v>6180</v>
      </c>
      <c r="G30" s="228">
        <f t="shared" si="2"/>
        <v>6480</v>
      </c>
      <c r="H30" s="228">
        <f t="shared" si="2"/>
        <v>6600.0000000000009</v>
      </c>
      <c r="I30" s="228">
        <f t="shared" si="2"/>
        <v>6899.9999999999991</v>
      </c>
      <c r="J30" s="228">
        <f t="shared" si="2"/>
        <v>7200</v>
      </c>
      <c r="K30" s="228">
        <f t="shared" si="2"/>
        <v>7800</v>
      </c>
      <c r="L30" s="221">
        <v>0.03</v>
      </c>
      <c r="M30" s="222">
        <v>0.03</v>
      </c>
      <c r="N30" s="222">
        <v>0.1</v>
      </c>
      <c r="O30" s="223">
        <v>0.05</v>
      </c>
      <c r="P30" s="223">
        <v>0.1</v>
      </c>
      <c r="Q30" s="223">
        <v>0.1</v>
      </c>
      <c r="R30" s="223">
        <v>0.1</v>
      </c>
      <c r="S30" s="223">
        <v>0.08</v>
      </c>
      <c r="T30" s="221">
        <v>7.0000000000000007E-2</v>
      </c>
      <c r="U30" s="222">
        <v>0.03</v>
      </c>
      <c r="V30" s="223">
        <v>0.03</v>
      </c>
      <c r="W30" s="223">
        <v>0.09</v>
      </c>
      <c r="X30" s="222">
        <v>0.08</v>
      </c>
      <c r="Y30" s="222">
        <v>0.1</v>
      </c>
      <c r="Z30" s="222">
        <v>0.01</v>
      </c>
    </row>
    <row r="31" spans="1:26" x14ac:dyDescent="0.4">
      <c r="A31" s="347"/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1"/>
      <c r="M31" s="222"/>
      <c r="N31" s="222"/>
      <c r="O31" s="223"/>
      <c r="P31" s="223"/>
      <c r="Q31" s="223"/>
      <c r="R31" s="223"/>
      <c r="S31" s="223"/>
      <c r="T31" s="221"/>
      <c r="U31" s="222"/>
      <c r="V31" s="223"/>
      <c r="W31" s="223"/>
      <c r="X31" s="222"/>
      <c r="Y31" s="222"/>
      <c r="Z31" s="222"/>
    </row>
    <row r="32" spans="1:26" x14ac:dyDescent="0.4">
      <c r="A32" s="347"/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1"/>
      <c r="M32" s="222"/>
      <c r="N32" s="222"/>
      <c r="O32" s="223"/>
      <c r="P32" s="223"/>
      <c r="Q32" s="223"/>
      <c r="R32" s="223"/>
      <c r="S32" s="223"/>
      <c r="T32" s="221"/>
      <c r="U32" s="222"/>
      <c r="V32" s="223"/>
      <c r="W32" s="223"/>
      <c r="X32" s="222"/>
      <c r="Y32" s="222"/>
      <c r="Z32" s="222"/>
    </row>
    <row r="33" spans="1:26" x14ac:dyDescent="0.4">
      <c r="A33" s="347"/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1"/>
      <c r="M33" s="222"/>
      <c r="N33" s="222"/>
      <c r="O33" s="223"/>
      <c r="P33" s="223"/>
      <c r="Q33" s="223"/>
      <c r="R33" s="223"/>
      <c r="S33" s="223"/>
      <c r="T33" s="221"/>
      <c r="U33" s="222"/>
      <c r="V33" s="223"/>
      <c r="W33" s="223"/>
      <c r="X33" s="222"/>
      <c r="Y33" s="222"/>
      <c r="Z33" s="222"/>
    </row>
    <row r="34" spans="1:26" x14ac:dyDescent="0.4">
      <c r="A34" s="347"/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1"/>
      <c r="M34" s="222"/>
      <c r="N34" s="222"/>
      <c r="O34" s="223"/>
      <c r="P34" s="223"/>
      <c r="Q34" s="223"/>
      <c r="R34" s="223"/>
      <c r="S34" s="223"/>
      <c r="T34" s="221"/>
      <c r="U34" s="222"/>
      <c r="V34" s="223"/>
      <c r="W34" s="223"/>
      <c r="X34" s="222"/>
      <c r="Y34" s="222"/>
      <c r="Z34" s="222"/>
    </row>
    <row r="35" spans="1:26" x14ac:dyDescent="0.4">
      <c r="A35" s="347"/>
      <c r="B35" s="227"/>
      <c r="C35" s="228"/>
      <c r="D35" s="228"/>
      <c r="E35" s="228"/>
      <c r="F35" s="228"/>
      <c r="G35" s="228"/>
      <c r="H35" s="228"/>
      <c r="I35" s="228"/>
      <c r="J35" s="228"/>
      <c r="K35" s="228"/>
      <c r="L35" s="221"/>
      <c r="M35" s="222"/>
      <c r="N35" s="222"/>
      <c r="O35" s="223"/>
      <c r="P35" s="223"/>
      <c r="Q35" s="223"/>
      <c r="R35" s="223"/>
      <c r="S35" s="223"/>
      <c r="T35" s="221"/>
      <c r="U35" s="222"/>
      <c r="V35" s="223"/>
      <c r="W35" s="223"/>
      <c r="X35" s="222"/>
      <c r="Y35" s="222"/>
      <c r="Z35" s="222"/>
    </row>
    <row r="36" spans="1:26" x14ac:dyDescent="0.4">
      <c r="A36" s="346"/>
      <c r="B36" s="227"/>
      <c r="C36" s="228"/>
      <c r="D36" s="228"/>
      <c r="E36" s="228"/>
      <c r="F36" s="228"/>
      <c r="G36" s="228"/>
      <c r="H36" s="228"/>
      <c r="I36" s="228"/>
      <c r="J36" s="228"/>
      <c r="K36" s="228"/>
      <c r="L36" s="221"/>
      <c r="M36" s="222"/>
      <c r="N36" s="222"/>
      <c r="O36" s="223"/>
      <c r="P36" s="223"/>
      <c r="Q36" s="223"/>
      <c r="R36" s="223"/>
      <c r="S36" s="223"/>
      <c r="T36" s="221"/>
      <c r="U36" s="222"/>
      <c r="V36" s="223"/>
      <c r="W36" s="223"/>
      <c r="X36" s="222"/>
      <c r="Y36" s="222"/>
      <c r="Z36" s="223"/>
    </row>
    <row r="39" spans="1:26" ht="17.399999999999999" thickBot="1" x14ac:dyDescent="0.45"/>
    <row r="40" spans="1:26" x14ac:dyDescent="0.4">
      <c r="P40" s="83">
        <v>0.05</v>
      </c>
    </row>
    <row r="41" spans="1:26" x14ac:dyDescent="0.4">
      <c r="P41" s="84">
        <v>0.05</v>
      </c>
    </row>
    <row r="42" spans="1:26" ht="17.399999999999999" thickBot="1" x14ac:dyDescent="0.45">
      <c r="P42" s="85">
        <v>0.12</v>
      </c>
    </row>
    <row r="43" spans="1:26" x14ac:dyDescent="0.4">
      <c r="P43" s="229">
        <v>0.12</v>
      </c>
    </row>
    <row r="44" spans="1:26" x14ac:dyDescent="0.4">
      <c r="P44" s="230">
        <v>0.12</v>
      </c>
    </row>
    <row r="45" spans="1:26" x14ac:dyDescent="0.4">
      <c r="P45" s="230">
        <v>0.12</v>
      </c>
    </row>
    <row r="46" spans="1:26" ht="17.399999999999999" thickBot="1" x14ac:dyDescent="0.45">
      <c r="P46" s="230">
        <v>0.05</v>
      </c>
    </row>
    <row r="47" spans="1:26" x14ac:dyDescent="0.4">
      <c r="P47" s="229">
        <v>0.14000000000000001</v>
      </c>
    </row>
    <row r="48" spans="1:26" ht="17.399999999999999" thickBot="1" x14ac:dyDescent="0.45">
      <c r="P48" s="231">
        <v>0.13</v>
      </c>
    </row>
    <row r="49" spans="16:16" x14ac:dyDescent="0.4">
      <c r="P49" s="229">
        <v>0.05</v>
      </c>
    </row>
    <row r="50" spans="16:16" x14ac:dyDescent="0.4">
      <c r="P50" s="230">
        <v>0.05</v>
      </c>
    </row>
  </sheetData>
  <mergeCells count="3">
    <mergeCell ref="C1:K1"/>
    <mergeCell ref="B1:B2"/>
    <mergeCell ref="A1:A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279D-F71F-423D-AE12-843149B1119C}">
  <sheetPr codeName="Sheet14">
    <tabColor rgb="FF00B050"/>
  </sheetPr>
  <dimension ref="A1:BN165"/>
  <sheetViews>
    <sheetView zoomScaleNormal="100" workbookViewId="0">
      <pane xSplit="3" ySplit="3" topLeftCell="AD4" activePane="bottomRight" state="frozen"/>
      <selection pane="topRight" activeCell="AH12" sqref="AH12"/>
      <selection pane="bottomLeft" activeCell="AH12" sqref="AH12"/>
      <selection pane="bottomRight" activeCell="B102" sqref="B102"/>
    </sheetView>
  </sheetViews>
  <sheetFormatPr defaultColWidth="6.8984375" defaultRowHeight="14.7" customHeight="1" x14ac:dyDescent="0.25"/>
  <cols>
    <col min="1" max="1" width="13.5" style="126" bestFit="1" customWidth="1"/>
    <col min="2" max="2" width="17.3984375" style="126" customWidth="1"/>
    <col min="3" max="3" width="13.3984375" style="126" customWidth="1"/>
    <col min="4" max="4" width="9.3984375" style="127" customWidth="1"/>
    <col min="5" max="5" width="9.59765625" style="127" customWidth="1"/>
    <col min="6" max="6" width="9.5" style="127" customWidth="1"/>
    <col min="7" max="7" width="9.09765625" style="127" customWidth="1"/>
    <col min="8" max="9" width="9.59765625" style="127" customWidth="1"/>
    <col min="10" max="10" width="9.3984375" style="127" customWidth="1"/>
    <col min="11" max="11" width="9.59765625" style="127" customWidth="1"/>
    <col min="12" max="12" width="10.3984375" style="127" customWidth="1"/>
    <col min="13" max="13" width="10.19921875" style="127" customWidth="1"/>
    <col min="14" max="14" width="10.3984375" style="127" bestFit="1" customWidth="1"/>
    <col min="15" max="15" width="10.3984375" style="127" customWidth="1"/>
    <col min="16" max="16" width="8" style="126" customWidth="1"/>
    <col min="17" max="27" width="6.8984375" style="126" customWidth="1"/>
    <col min="28" max="28" width="9.69921875" style="126" customWidth="1"/>
    <col min="29" max="31" width="6.8984375" style="126" customWidth="1"/>
    <col min="32" max="40" width="8.5" style="126" customWidth="1"/>
    <col min="41" max="63" width="6.8984375" style="126" customWidth="1"/>
    <col min="64" max="64" width="2.59765625" style="239" customWidth="1"/>
    <col min="65" max="65" width="11.3984375" style="126" bestFit="1" customWidth="1"/>
    <col min="66" max="66" width="10.59765625" style="244" bestFit="1" customWidth="1"/>
    <col min="67" max="16384" width="6.8984375" style="126"/>
  </cols>
  <sheetData>
    <row r="1" spans="1:66" ht="14.7" customHeight="1" x14ac:dyDescent="0.25">
      <c r="A1" s="143" t="s">
        <v>145</v>
      </c>
      <c r="D1" s="362" t="s">
        <v>146</v>
      </c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3" t="s">
        <v>91</v>
      </c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4" t="s">
        <v>147</v>
      </c>
      <c r="AC1" s="364"/>
      <c r="AD1" s="364"/>
      <c r="AE1" s="364"/>
      <c r="AF1" s="364"/>
      <c r="AG1" s="364"/>
      <c r="AH1" s="364"/>
      <c r="AI1" s="364"/>
      <c r="AJ1" s="364"/>
      <c r="AK1" s="364"/>
      <c r="AL1" s="364"/>
      <c r="AM1" s="364"/>
      <c r="AN1" s="366" t="s">
        <v>148</v>
      </c>
      <c r="AO1" s="366"/>
      <c r="AP1" s="366"/>
      <c r="AQ1" s="366"/>
      <c r="AR1" s="366"/>
      <c r="AS1" s="366"/>
      <c r="AT1" s="366"/>
      <c r="AU1" s="366"/>
      <c r="AV1" s="366"/>
      <c r="AW1" s="366"/>
      <c r="AX1" s="366"/>
      <c r="AY1" s="366"/>
      <c r="AZ1" s="365" t="s">
        <v>39</v>
      </c>
      <c r="BA1" s="365"/>
      <c r="BB1" s="365"/>
      <c r="BC1" s="365"/>
      <c r="BD1" s="365"/>
      <c r="BE1" s="365"/>
      <c r="BF1" s="365"/>
      <c r="BG1" s="365"/>
      <c r="BH1" s="365"/>
      <c r="BI1" s="365"/>
      <c r="BJ1" s="365"/>
      <c r="BK1" s="365"/>
      <c r="BM1" s="241"/>
      <c r="BN1" s="243"/>
    </row>
    <row r="2" spans="1:66" ht="14.7" customHeight="1" x14ac:dyDescent="0.25">
      <c r="A2" s="143"/>
      <c r="D2" s="199">
        <v>2</v>
      </c>
      <c r="E2" s="199">
        <v>3</v>
      </c>
      <c r="F2" s="199">
        <v>4</v>
      </c>
      <c r="G2" s="199">
        <v>5</v>
      </c>
      <c r="H2" s="199">
        <v>6</v>
      </c>
      <c r="I2" s="199">
        <v>7</v>
      </c>
      <c r="J2" s="199">
        <v>8</v>
      </c>
      <c r="K2" s="199">
        <v>9</v>
      </c>
      <c r="L2" s="199">
        <v>10</v>
      </c>
      <c r="M2" s="199">
        <v>11</v>
      </c>
      <c r="N2" s="199">
        <v>12</v>
      </c>
      <c r="O2" s="199">
        <v>13</v>
      </c>
      <c r="P2" s="203">
        <v>2</v>
      </c>
      <c r="Q2" s="203">
        <v>3</v>
      </c>
      <c r="R2" s="203">
        <v>4</v>
      </c>
      <c r="S2" s="203">
        <v>5</v>
      </c>
      <c r="T2" s="203">
        <v>6</v>
      </c>
      <c r="U2" s="203">
        <v>7</v>
      </c>
      <c r="V2" s="203">
        <v>8</v>
      </c>
      <c r="W2" s="203">
        <v>9</v>
      </c>
      <c r="X2" s="203">
        <v>10</v>
      </c>
      <c r="Y2" s="203">
        <v>11</v>
      </c>
      <c r="Z2" s="203">
        <v>12</v>
      </c>
      <c r="AA2" s="203">
        <v>13</v>
      </c>
      <c r="AB2" s="202">
        <v>2</v>
      </c>
      <c r="AC2" s="202">
        <v>3</v>
      </c>
      <c r="AD2" s="202">
        <v>4</v>
      </c>
      <c r="AE2" s="202">
        <v>5</v>
      </c>
      <c r="AF2" s="202">
        <v>6</v>
      </c>
      <c r="AG2" s="202">
        <v>7</v>
      </c>
      <c r="AH2" s="202">
        <v>8</v>
      </c>
      <c r="AI2" s="202">
        <v>9</v>
      </c>
      <c r="AJ2" s="202">
        <v>10</v>
      </c>
      <c r="AK2" s="202">
        <v>11</v>
      </c>
      <c r="AL2" s="202">
        <v>12</v>
      </c>
      <c r="AM2" s="202">
        <v>13</v>
      </c>
      <c r="AN2" s="201">
        <v>2</v>
      </c>
      <c r="AO2" s="201">
        <v>3</v>
      </c>
      <c r="AP2" s="201">
        <v>4</v>
      </c>
      <c r="AQ2" s="201">
        <v>5</v>
      </c>
      <c r="AR2" s="201">
        <v>6</v>
      </c>
      <c r="AS2" s="201">
        <v>7</v>
      </c>
      <c r="AT2" s="201">
        <v>8</v>
      </c>
      <c r="AU2" s="201">
        <v>9</v>
      </c>
      <c r="AV2" s="201">
        <v>10</v>
      </c>
      <c r="AW2" s="201">
        <v>11</v>
      </c>
      <c r="AX2" s="201">
        <v>12</v>
      </c>
      <c r="AY2" s="201">
        <v>13</v>
      </c>
      <c r="AZ2" s="200">
        <v>2</v>
      </c>
      <c r="BA2" s="200">
        <v>3</v>
      </c>
      <c r="BB2" s="200">
        <v>4</v>
      </c>
      <c r="BC2" s="200">
        <v>5</v>
      </c>
      <c r="BD2" s="200">
        <v>6</v>
      </c>
      <c r="BE2" s="200">
        <v>7</v>
      </c>
      <c r="BF2" s="200">
        <v>8</v>
      </c>
      <c r="BG2" s="200">
        <v>9</v>
      </c>
      <c r="BH2" s="200">
        <v>10</v>
      </c>
      <c r="BI2" s="200">
        <v>11</v>
      </c>
      <c r="BJ2" s="200">
        <v>12</v>
      </c>
      <c r="BK2" s="200">
        <v>13</v>
      </c>
      <c r="BM2" s="241"/>
      <c r="BN2" s="243"/>
    </row>
    <row r="3" spans="1:66" s="128" customFormat="1" ht="14.7" customHeight="1" x14ac:dyDescent="0.25">
      <c r="A3" s="329" t="s">
        <v>137</v>
      </c>
      <c r="B3" s="329" t="s">
        <v>116</v>
      </c>
      <c r="C3" s="329" t="s">
        <v>144</v>
      </c>
      <c r="D3" s="129" t="s">
        <v>149</v>
      </c>
      <c r="E3" s="129" t="s">
        <v>150</v>
      </c>
      <c r="F3" s="129" t="s">
        <v>151</v>
      </c>
      <c r="G3" s="129" t="s">
        <v>152</v>
      </c>
      <c r="H3" s="129" t="s">
        <v>153</v>
      </c>
      <c r="I3" s="129" t="s">
        <v>154</v>
      </c>
      <c r="J3" s="129" t="s">
        <v>155</v>
      </c>
      <c r="K3" s="129" t="s">
        <v>156</v>
      </c>
      <c r="L3" s="129" t="s">
        <v>157</v>
      </c>
      <c r="M3" s="129" t="s">
        <v>158</v>
      </c>
      <c r="N3" s="129" t="s">
        <v>159</v>
      </c>
      <c r="O3" s="129" t="s">
        <v>160</v>
      </c>
      <c r="P3" s="130" t="s">
        <v>161</v>
      </c>
      <c r="Q3" s="130" t="s">
        <v>162</v>
      </c>
      <c r="R3" s="130" t="s">
        <v>163</v>
      </c>
      <c r="S3" s="130" t="s">
        <v>164</v>
      </c>
      <c r="T3" s="130" t="s">
        <v>165</v>
      </c>
      <c r="U3" s="130" t="s">
        <v>166</v>
      </c>
      <c r="V3" s="130" t="s">
        <v>167</v>
      </c>
      <c r="W3" s="130" t="s">
        <v>168</v>
      </c>
      <c r="X3" s="130" t="s">
        <v>169</v>
      </c>
      <c r="Y3" s="130" t="s">
        <v>170</v>
      </c>
      <c r="Z3" s="130" t="s">
        <v>171</v>
      </c>
      <c r="AA3" s="130" t="s">
        <v>172</v>
      </c>
      <c r="AB3" s="131" t="s">
        <v>173</v>
      </c>
      <c r="AC3" s="131" t="s">
        <v>174</v>
      </c>
      <c r="AD3" s="131" t="s">
        <v>175</v>
      </c>
      <c r="AE3" s="131" t="s">
        <v>176</v>
      </c>
      <c r="AF3" s="131" t="s">
        <v>177</v>
      </c>
      <c r="AG3" s="131" t="s">
        <v>178</v>
      </c>
      <c r="AH3" s="131" t="s">
        <v>179</v>
      </c>
      <c r="AI3" s="131" t="s">
        <v>180</v>
      </c>
      <c r="AJ3" s="131" t="s">
        <v>181</v>
      </c>
      <c r="AK3" s="131" t="s">
        <v>182</v>
      </c>
      <c r="AL3" s="131" t="s">
        <v>183</v>
      </c>
      <c r="AM3" s="131" t="s">
        <v>184</v>
      </c>
      <c r="AN3" s="185" t="s">
        <v>185</v>
      </c>
      <c r="AO3" s="185" t="s">
        <v>186</v>
      </c>
      <c r="AP3" s="185" t="s">
        <v>187</v>
      </c>
      <c r="AQ3" s="185" t="s">
        <v>188</v>
      </c>
      <c r="AR3" s="185" t="s">
        <v>189</v>
      </c>
      <c r="AS3" s="185" t="s">
        <v>190</v>
      </c>
      <c r="AT3" s="185" t="s">
        <v>191</v>
      </c>
      <c r="AU3" s="185" t="s">
        <v>192</v>
      </c>
      <c r="AV3" s="185" t="s">
        <v>193</v>
      </c>
      <c r="AW3" s="185" t="s">
        <v>194</v>
      </c>
      <c r="AX3" s="185" t="s">
        <v>195</v>
      </c>
      <c r="AY3" s="185" t="s">
        <v>196</v>
      </c>
      <c r="AZ3" s="134" t="s">
        <v>185</v>
      </c>
      <c r="BA3" s="134" t="s">
        <v>186</v>
      </c>
      <c r="BB3" s="134" t="s">
        <v>187</v>
      </c>
      <c r="BC3" s="134" t="s">
        <v>188</v>
      </c>
      <c r="BD3" s="134" t="s">
        <v>189</v>
      </c>
      <c r="BE3" s="134" t="s">
        <v>190</v>
      </c>
      <c r="BF3" s="134" t="s">
        <v>191</v>
      </c>
      <c r="BG3" s="134" t="s">
        <v>192</v>
      </c>
      <c r="BH3" s="134" t="s">
        <v>193</v>
      </c>
      <c r="BI3" s="134" t="s">
        <v>194</v>
      </c>
      <c r="BJ3" s="134" t="s">
        <v>195</v>
      </c>
      <c r="BK3" s="134" t="s">
        <v>196</v>
      </c>
      <c r="BL3" s="240"/>
      <c r="BM3" s="242" t="s">
        <v>197</v>
      </c>
      <c r="BN3" s="243" t="s">
        <v>39</v>
      </c>
    </row>
    <row r="4" spans="1:66" ht="14.7" customHeight="1" x14ac:dyDescent="0.25">
      <c r="A4" s="295">
        <f>VLOOKUP(C4,ASTBase!E:S,13,FALSE)</f>
        <v>222208</v>
      </c>
      <c r="B4" s="295" t="s">
        <v>405</v>
      </c>
      <c r="C4" s="295">
        <v>5490000718</v>
      </c>
      <c r="D4" s="296">
        <v>2360</v>
      </c>
      <c r="E4" s="296">
        <v>2320</v>
      </c>
      <c r="F4" s="296">
        <v>2194</v>
      </c>
      <c r="G4" s="296">
        <v>2210</v>
      </c>
      <c r="H4" s="296">
        <v>2300</v>
      </c>
      <c r="I4" s="296">
        <v>2100</v>
      </c>
      <c r="J4" s="296">
        <v>2220</v>
      </c>
      <c r="K4" s="296">
        <v>2200</v>
      </c>
      <c r="L4" s="296">
        <v>2300</v>
      </c>
      <c r="M4" s="296">
        <v>2100</v>
      </c>
      <c r="N4" s="296">
        <v>2070</v>
      </c>
      <c r="O4" s="296">
        <v>2120</v>
      </c>
      <c r="P4" s="295">
        <v>3245.4</v>
      </c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7">
        <f>IFERROR(IF(VLOOKUP($B4,Shortage!$A:$M,AB$2,FALSE)="Shortage",1,IFERROR(ROUND(P4/D4,4),0)),IFERROR(ROUND(P4/D4,4),0))</f>
        <v>1</v>
      </c>
      <c r="AC4" s="297">
        <f>IFERROR(IF(VLOOKUP($B4,Shortage!$A:$M,AC$2,FALSE)="Shortage",1,IFERROR(ROUND(Q4/E4,4),0)),IFERROR(ROUND(Q4/E4,4),0))</f>
        <v>0</v>
      </c>
      <c r="AD4" s="297">
        <f>IFERROR(IF(VLOOKUP($B4,Shortage!$A:$M,AD$2,FALSE)="Shortage",1,IFERROR(ROUND(R4/F4,4),0)),IFERROR(ROUND(R4/F4,4),0))</f>
        <v>0</v>
      </c>
      <c r="AE4" s="297">
        <f>IFERROR(IF(VLOOKUP($B4,Shortage!$A:$M,AE$2,FALSE)="Shortage",1,IFERROR(ROUND(S4/G4,4),0)),IFERROR(ROUND(S4/G4,4),0))</f>
        <v>0</v>
      </c>
      <c r="AF4" s="297">
        <f>IFERROR(IF(VLOOKUP($B4,Shortage!$A:$M,AF$2,FALSE)="Shortage",1,IFERROR(ROUND(T4/H4,4),0)),IFERROR(ROUND(T4/H4,4),0))</f>
        <v>0</v>
      </c>
      <c r="AG4" s="297">
        <f>IFERROR(IF(VLOOKUP($B4,Shortage!$A:$M,AG$2,FALSE)="Shortage",1,IFERROR(ROUND(U4/I4,4),0)),IFERROR(ROUND(U4/I4,4),0))</f>
        <v>0</v>
      </c>
      <c r="AH4" s="297">
        <f>IFERROR(IF(VLOOKUP($B4,Shortage!$A:$M,AH$2,FALSE)="Shortage",1,IFERROR(ROUND(V4/J4,4),0)),IFERROR(ROUND(V4/J4,4),0))</f>
        <v>0</v>
      </c>
      <c r="AI4" s="297">
        <f>IFERROR(IF(VLOOKUP($B4,Shortage!$A:$M,AI$2,FALSE)="Shortage",1,IFERROR(ROUND(W4/K4,4),0)),IFERROR(ROUND(W4/K4,4),0))</f>
        <v>0</v>
      </c>
      <c r="AJ4" s="297">
        <f>IFERROR(IF(VLOOKUP($B4,Shortage!$A:$M,AJ$2,FALSE)="Shortage",1,IFERROR(ROUND(X4/L4,4),0)),IFERROR(ROUND(X4/L4,4),0))</f>
        <v>0</v>
      </c>
      <c r="AK4" s="297">
        <f>IFERROR(IF(VLOOKUP($B4,Shortage!$A:$M,AK$2,FALSE)="Shortage",1,IFERROR(ROUND(Y4/M4,4),0)),IFERROR(ROUND(Y4/M4,4),0))</f>
        <v>0</v>
      </c>
      <c r="AL4" s="297">
        <f>IFERROR(IF(VLOOKUP($B4,Shortage!$A:$M,AL$2,FALSE)="Shortage",1,IFERROR(ROUND(Z4/N4,4),0)),IFERROR(ROUND(Z4/N4,4),0))</f>
        <v>0</v>
      </c>
      <c r="AM4" s="297">
        <f>IFERROR(IF(VLOOKUP($B4,Shortage!$A:$M,AM$2,FALSE)="Shortage",1,IFERROR(ROUND(AA4/O4,4),0)),IFERROR(ROUND(AA4/O4,4),0))</f>
        <v>0</v>
      </c>
      <c r="AN4" s="298">
        <f>IFERROR(_xlfn.XLOOKUP(AB4,'2) หลักการคำนวน Table'!$C$3:$K$3,'2) หลักการคำนวน Table'!$C$3:$K$3,,1),INDEX('2) หลักการคำนวน Table'!$C$3:$K$3,1))</f>
        <v>1</v>
      </c>
      <c r="AO4" s="298">
        <f>IFERROR(
  _xlfn.XLOOKUP(AC4,'2) หลักการคำนวน Table'!$C$3:$K$3,'2) หลักการคำนวน Table'!$C$3:$K$3,,1),
  IF(AC4&lt;MIN('2) หลักการคำนวน Table'!$C$3:$K$3),
     MIN('2) หลักการคำนวน Table'!$C$3:$K$3),
     MAX('2) หลักการคำนวน Table'!$C$3:$K$3)
  )
)</f>
        <v>0.9</v>
      </c>
      <c r="AP4" s="298">
        <f>IFERROR(
  _xlfn.XLOOKUP(AD4,'2) หลักการคำนวน Table'!$C$3:$K$3,'2) หลักการคำนวน Table'!$C$3:$K$3,,1),
  IF(AD4&lt;MIN('2) หลักการคำนวน Table'!$C$3:$K$3),
     MIN('2) หลักการคำนวน Table'!$C$3:$K$3),
     MAX('2) หลักการคำนวน Table'!$C$3:$K$3)
  )
)</f>
        <v>0.9</v>
      </c>
      <c r="AQ4" s="298">
        <f>IFERROR(
  _xlfn.XLOOKUP(AE4,'2) หลักการคำนวน Table'!$C$3:$K$3,'2) หลักการคำนวน Table'!$C$3:$K$3,,1),
  IF(AE4&lt;MIN('2) หลักการคำนวน Table'!$C$3:$K$3),
     MIN('2) หลักการคำนวน Table'!$C$3:$K$3),
     MAX('2) หลักการคำนวน Table'!$C$3:$K$3)
  )
)</f>
        <v>0.9</v>
      </c>
      <c r="AR4" s="298">
        <f>IFERROR(
  _xlfn.XLOOKUP(AF4,'2) หลักการคำนวน Table'!$C$3:$K$3,'2) หลักการคำนวน Table'!$C$3:$K$3,,1),
  IF(AF4&lt;MIN('2) หลักการคำนวน Table'!$C$3:$K$3),
     MIN('2) หลักการคำนวน Table'!$C$3:$K$3),
     MAX('2) หลักการคำนวน Table'!$C$3:$K$3)
  )
)</f>
        <v>0.9</v>
      </c>
      <c r="AS4" s="298">
        <f>IFERROR(
  _xlfn.XLOOKUP(AG4,'2) หลักการคำนวน Table'!$C$3:$K$3,'2) หลักการคำนวน Table'!$C$3:$K$3,,1),
  IF(AG4&lt;MIN('2) หลักการคำนวน Table'!$C$3:$K$3),
     MIN('2) หลักการคำนวน Table'!$C$3:$K$3),
     MAX('2) หลักการคำนวน Table'!$C$3:$K$3)
  )
)</f>
        <v>0.9</v>
      </c>
      <c r="AT4" s="298">
        <f>IFERROR(
  _xlfn.XLOOKUP(AH4,'2) หลักการคำนวน Table'!$C$3:$K$3,'2) หลักการคำนวน Table'!$C$3:$K$3,,1),
  IF(AH4&lt;MIN('2) หลักการคำนวน Table'!$C$3:$K$3),
     MIN('2) หลักการคำนวน Table'!$C$3:$K$3),
     MAX('2) หลักการคำนวน Table'!$C$3:$K$3)
  )
)</f>
        <v>0.9</v>
      </c>
      <c r="AU4" s="298">
        <f>IFERROR(
  _xlfn.XLOOKUP(AI4,'2) หลักการคำนวน Table'!$C$3:$K$3,'2) หลักการคำนวน Table'!$C$3:$K$3,,1),
  IF(AI4&lt;MIN('2) หลักการคำนวน Table'!$C$3:$K$3),
     MIN('2) หลักการคำนวน Table'!$C$3:$K$3),
     MAX('2) หลักการคำนวน Table'!$C$3:$K$3)
  )
)</f>
        <v>0.9</v>
      </c>
      <c r="AV4" s="298">
        <f>IFERROR(
  _xlfn.XLOOKUP(AJ4,'2) หลักการคำนวน Table'!$C$3:$K$3,'2) หลักการคำนวน Table'!$C$3:$K$3,,1),
  IF(AJ4&lt;MIN('2) หลักการคำนวน Table'!$C$3:$K$3),
     MIN('2) หลักการคำนวน Table'!$C$3:$K$3),
     MAX('2) หลักการคำนวน Table'!$C$3:$K$3)
  )
)</f>
        <v>0.9</v>
      </c>
      <c r="AW4" s="298">
        <f>IFERROR(
  _xlfn.XLOOKUP(AK4,'2) หลักการคำนวน Table'!$C$3:$K$3,'2) หลักการคำนวน Table'!$C$3:$K$3,,1),
  IF(AK4&lt;MIN('2) หลักการคำนวน Table'!$C$3:$K$3),
     MIN('2) หลักการคำนวน Table'!$C$3:$K$3),
     MAX('2) หลักการคำนวน Table'!$C$3:$K$3)
  )
)</f>
        <v>0.9</v>
      </c>
      <c r="AX4" s="298">
        <f>IFERROR(
  _xlfn.XLOOKUP(AL4,'2) หลักการคำนวน Table'!$C$3:$K$3,'2) หลักการคำนวน Table'!$C$3:$K$3,,1),
  IF(AL4&lt;MIN('2) หลักการคำนวน Table'!$C$3:$K$3),
     MIN('2) หลักการคำนวน Table'!$C$3:$K$3),
     MAX('2) หลักการคำนวน Table'!$C$3:$K$3)
  )
)</f>
        <v>0.9</v>
      </c>
      <c r="AY4" s="298">
        <f>IFERROR(
  _xlfn.XLOOKUP(AM4,'2) หลักการคำนวน Table'!$C$3:$K$3,'2) หลักการคำนวน Table'!$C$3:$K$3,,1),
  IF(AM4&lt;MIN('2) หลักการคำนวน Table'!$C$3:$K$3),
     MIN('2) หลักการคำนวน Table'!$C$3:$K$3),
     MAX('2) หลักการคำนวน Table'!$C$3:$K$3)
  )
)</f>
        <v>0.9</v>
      </c>
      <c r="AZ4" s="299" cm="1">
        <f t="array" ref="AZ4">ROUND((_xlfn.XLOOKUP($C4,'2) หลักการคำนวน Table'!$A$4:$A$36,
_xlfn.XLOOKUP(AN4,'2)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133</v>
      </c>
      <c r="BA4" s="299" cm="1">
        <f t="array" ref="BA4">ROUND((_xlfn.XLOOKUP($C4,'2) หลักการคำนวน Table'!$A$4:$A$36,
_xlfn.XLOOKUP(AO4,'2)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120</v>
      </c>
      <c r="BB4" s="299" cm="1">
        <f t="array" ref="BB4">ROUND((_xlfn.XLOOKUP($C4,'2) หลักการคำนวน Table'!$A$4:$A$36,
_xlfn.XLOOKUP(AP4,'2)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120</v>
      </c>
      <c r="BC4" s="299" cm="1">
        <f t="array" ref="BC4">ROUND((_xlfn.XLOOKUP($C4,'2) หลักการคำนวน Table'!$A$4:$A$36,
_xlfn.XLOOKUP(AQ4,'2)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120</v>
      </c>
      <c r="BD4" s="299" cm="1">
        <f t="array" ref="BD4">ROUND((_xlfn.XLOOKUP($C4,'2) หลักการคำนวน Table'!$A$4:$A$36,
_xlfn.XLOOKUP(AR4,'2)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120</v>
      </c>
      <c r="BE4" s="299" cm="1">
        <f t="array" ref="BE4">ROUND((_xlfn.XLOOKUP($C4,'2) หลักการคำนวน Table'!$A$4:$A$36,
_xlfn.XLOOKUP(AS4,'2)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120</v>
      </c>
      <c r="BF4" s="299" cm="1">
        <f t="array" ref="BF4">ROUND((_xlfn.XLOOKUP($C4,'2) หลักการคำนวน Table'!$A$4:$A$36,
_xlfn.XLOOKUP(AT4,'2)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120</v>
      </c>
      <c r="BG4" s="299" cm="1">
        <f t="array" ref="BG4">ROUND((_xlfn.XLOOKUP($C4,'2) หลักการคำนวน Table'!$A$4:$A$36,
_xlfn.XLOOKUP(AU4,'2)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120</v>
      </c>
      <c r="BH4" s="299" cm="1">
        <f t="array" ref="BH4">ROUND((_xlfn.XLOOKUP($C4,'2) หลักการคำนวน Table'!$A$4:$A$36,
_xlfn.XLOOKUP(AV4,'2)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120</v>
      </c>
      <c r="BI4" s="299" cm="1">
        <f t="array" ref="BI4">ROUND((_xlfn.XLOOKUP($C4,'2) หลักการคำนวน Table'!$A$4:$A$36,
_xlfn.XLOOKUP(AW4,'2)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120</v>
      </c>
      <c r="BJ4" s="299" cm="1">
        <f t="array" ref="BJ4">ROUND((_xlfn.XLOOKUP($C4,'2) หลักการคำนวน Table'!$A$4:$A$36,
_xlfn.XLOOKUP(AX4,'2)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120</v>
      </c>
      <c r="BK4" s="299" cm="1">
        <f t="array" ref="BK4">ROUND((_xlfn.XLOOKUP($C4,'2) หลักการคำนวน Table'!$A$4:$A$36,
_xlfn.XLOOKUP(AY4,'2)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120</v>
      </c>
      <c r="BM4" s="295">
        <v>222209</v>
      </c>
      <c r="BN4" s="300">
        <v>133</v>
      </c>
    </row>
    <row r="5" spans="1:66" ht="14.7" customHeight="1" x14ac:dyDescent="0.25">
      <c r="A5" s="295">
        <f>VLOOKUP(C5,ASTBase!E:S,13,FALSE)</f>
        <v>222208</v>
      </c>
      <c r="B5" s="295" t="s">
        <v>408</v>
      </c>
      <c r="C5" s="295">
        <v>5490000718</v>
      </c>
      <c r="D5" s="296">
        <v>210</v>
      </c>
      <c r="E5" s="296">
        <v>150</v>
      </c>
      <c r="F5" s="296">
        <v>160</v>
      </c>
      <c r="G5" s="296">
        <v>150</v>
      </c>
      <c r="H5" s="296">
        <v>151</v>
      </c>
      <c r="I5" s="296">
        <v>151</v>
      </c>
      <c r="J5" s="296">
        <v>151</v>
      </c>
      <c r="K5" s="296">
        <v>151</v>
      </c>
      <c r="L5" s="296">
        <v>101</v>
      </c>
      <c r="M5" s="296">
        <v>120</v>
      </c>
      <c r="N5" s="296">
        <v>100</v>
      </c>
      <c r="O5" s="296">
        <v>100</v>
      </c>
      <c r="P5" s="295">
        <v>1209.5999999999999</v>
      </c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7">
        <f>IFERROR(IF(VLOOKUP($B5,Shortage!$A:$M,AB$2,FALSE)="Shortage",1,IFERROR(ROUND(P5/D5,4),0)),IFERROR(ROUND(P5/D5,4),0))</f>
        <v>5.76</v>
      </c>
      <c r="AC5" s="297">
        <f>IFERROR(IF(VLOOKUP($B5,Shortage!$A:$M,AC$2,FALSE)="Shortage",1,IFERROR(ROUND(Q5/E5,4),0)),IFERROR(ROUND(Q5/E5,4),0))</f>
        <v>0</v>
      </c>
      <c r="AD5" s="297">
        <f>IFERROR(IF(VLOOKUP($B5,Shortage!$A:$M,AD$2,FALSE)="Shortage",1,IFERROR(ROUND(R5/F5,4),0)),IFERROR(ROUND(R5/F5,4),0))</f>
        <v>0</v>
      </c>
      <c r="AE5" s="297">
        <f>IFERROR(IF(VLOOKUP($B5,Shortage!$A:$M,AE$2,FALSE)="Shortage",1,IFERROR(ROUND(S5/G5,4),0)),IFERROR(ROUND(S5/G5,4),0))</f>
        <v>0</v>
      </c>
      <c r="AF5" s="297">
        <f>IFERROR(IF(VLOOKUP($B5,Shortage!$A:$M,AF$2,FALSE)="Shortage",1,IFERROR(ROUND(T5/H5,4),0)),IFERROR(ROUND(T5/H5,4),0))</f>
        <v>0</v>
      </c>
      <c r="AG5" s="297">
        <f>IFERROR(IF(VLOOKUP($B5,Shortage!$A:$M,AG$2,FALSE)="Shortage",1,IFERROR(ROUND(U5/I5,4),0)),IFERROR(ROUND(U5/I5,4),0))</f>
        <v>0</v>
      </c>
      <c r="AH5" s="297">
        <f>IFERROR(IF(VLOOKUP($B5,Shortage!$A:$M,AH$2,FALSE)="Shortage",1,IFERROR(ROUND(V5/J5,4),0)),IFERROR(ROUND(V5/J5,4),0))</f>
        <v>0</v>
      </c>
      <c r="AI5" s="297">
        <f>IFERROR(IF(VLOOKUP($B5,Shortage!$A:$M,AI$2,FALSE)="Shortage",1,IFERROR(ROUND(W5/K5,4),0)),IFERROR(ROUND(W5/K5,4),0))</f>
        <v>0</v>
      </c>
      <c r="AJ5" s="297">
        <f>IFERROR(IF(VLOOKUP($B5,Shortage!$A:$M,AJ$2,FALSE)="Shortage",1,IFERROR(ROUND(X5/L5,4),0)),IFERROR(ROUND(X5/L5,4),0))</f>
        <v>0</v>
      </c>
      <c r="AK5" s="297">
        <f>IFERROR(IF(VLOOKUP($B5,Shortage!$A:$M,AK$2,FALSE)="Shortage",1,IFERROR(ROUND(Y5/M5,4),0)),IFERROR(ROUND(Y5/M5,4),0))</f>
        <v>0</v>
      </c>
      <c r="AL5" s="297">
        <f>IFERROR(IF(VLOOKUP($B5,Shortage!$A:$M,AL$2,FALSE)="Shortage",1,IFERROR(ROUND(Z5/N5,4),0)),IFERROR(ROUND(Z5/N5,4),0))</f>
        <v>0</v>
      </c>
      <c r="AM5" s="297">
        <f>IFERROR(IF(VLOOKUP($B5,Shortage!$A:$M,AM$2,FALSE)="Shortage",1,IFERROR(ROUND(AA5/O5,4),0)),IFERROR(ROUND(AA5/O5,4),0))</f>
        <v>0</v>
      </c>
      <c r="AN5" s="298">
        <f>IFERROR(_xlfn.XLOOKUP(AB5,'2) หลักการคำนวน Table'!$C$3:$K$3,'2) หลักการคำนวน Table'!$C$3:$K$3,,1),INDEX('2) หลักการคำนวน Table'!$C$3:$K$3,1))</f>
        <v>20</v>
      </c>
      <c r="AO5" s="298">
        <f>IFERROR(
  _xlfn.XLOOKUP(AC5,'2) หลักการคำนวน Table'!$C$3:$K$3,'2) หลักการคำนวน Table'!$C$3:$K$3,,1),
  IF(AC5&lt;MIN('2) หลักการคำนวน Table'!$C$3:$K$3),
     MIN('2) หลักการคำนวน Table'!$C$3:$K$3),
     MAX('2) หลักการคำนวน Table'!$C$3:$K$3)
  )
)</f>
        <v>0.9</v>
      </c>
      <c r="AP5" s="298">
        <f>IFERROR(
  _xlfn.XLOOKUP(AD5,'2) หลักการคำนวน Table'!$C$3:$K$3,'2) หลักการคำนวน Table'!$C$3:$K$3,,1),
  IF(AD5&lt;MIN('2) หลักการคำนวน Table'!$C$3:$K$3),
     MIN('2) หลักการคำนวน Table'!$C$3:$K$3),
     MAX('2) หลักการคำนวน Table'!$C$3:$K$3)
  )
)</f>
        <v>0.9</v>
      </c>
      <c r="AQ5" s="298">
        <f>IFERROR(
  _xlfn.XLOOKUP(AE5,'2) หลักการคำนวน Table'!$C$3:$K$3,'2) หลักการคำนวน Table'!$C$3:$K$3,,1),
  IF(AE5&lt;MIN('2) หลักการคำนวน Table'!$C$3:$K$3),
     MIN('2) หลักการคำนวน Table'!$C$3:$K$3),
     MAX('2) หลักการคำนวน Table'!$C$3:$K$3)
  )
)</f>
        <v>0.9</v>
      </c>
      <c r="AR5" s="298">
        <f>IFERROR(
  _xlfn.XLOOKUP(AF5,'2) หลักการคำนวน Table'!$C$3:$K$3,'2) หลักการคำนวน Table'!$C$3:$K$3,,1),
  IF(AF5&lt;MIN('2) หลักการคำนวน Table'!$C$3:$K$3),
     MIN('2) หลักการคำนวน Table'!$C$3:$K$3),
     MAX('2) หลักการคำนวน Table'!$C$3:$K$3)
  )
)</f>
        <v>0.9</v>
      </c>
      <c r="AS5" s="298">
        <f>IFERROR(
  _xlfn.XLOOKUP(AG5,'2) หลักการคำนวน Table'!$C$3:$K$3,'2) หลักการคำนวน Table'!$C$3:$K$3,,1),
  IF(AG5&lt;MIN('2) หลักการคำนวน Table'!$C$3:$K$3),
     MIN('2) หลักการคำนวน Table'!$C$3:$K$3),
     MAX('2) หลักการคำนวน Table'!$C$3:$K$3)
  )
)</f>
        <v>0.9</v>
      </c>
      <c r="AT5" s="298">
        <f>IFERROR(
  _xlfn.XLOOKUP(AH5,'2) หลักการคำนวน Table'!$C$3:$K$3,'2) หลักการคำนวน Table'!$C$3:$K$3,,1),
  IF(AH5&lt;MIN('2) หลักการคำนวน Table'!$C$3:$K$3),
     MIN('2) หลักการคำนวน Table'!$C$3:$K$3),
     MAX('2) หลักการคำนวน Table'!$C$3:$K$3)
  )
)</f>
        <v>0.9</v>
      </c>
      <c r="AU5" s="298">
        <f>IFERROR(
  _xlfn.XLOOKUP(AI5,'2) หลักการคำนวน Table'!$C$3:$K$3,'2) หลักการคำนวน Table'!$C$3:$K$3,,1),
  IF(AI5&lt;MIN('2) หลักการคำนวน Table'!$C$3:$K$3),
     MIN('2) หลักการคำนวน Table'!$C$3:$K$3),
     MAX('2) หลักการคำนวน Table'!$C$3:$K$3)
  )
)</f>
        <v>0.9</v>
      </c>
      <c r="AV5" s="298">
        <f>IFERROR(
  _xlfn.XLOOKUP(AJ5,'2) หลักการคำนวน Table'!$C$3:$K$3,'2) หลักการคำนวน Table'!$C$3:$K$3,,1),
  IF(AJ5&lt;MIN('2) หลักการคำนวน Table'!$C$3:$K$3),
     MIN('2) หลักการคำนวน Table'!$C$3:$K$3),
     MAX('2) หลักการคำนวน Table'!$C$3:$K$3)
  )
)</f>
        <v>0.9</v>
      </c>
      <c r="AW5" s="298">
        <f>IFERROR(
  _xlfn.XLOOKUP(AK5,'2) หลักการคำนวน Table'!$C$3:$K$3,'2) หลักการคำนวน Table'!$C$3:$K$3,,1),
  IF(AK5&lt;MIN('2) หลักการคำนวน Table'!$C$3:$K$3),
     MIN('2) หลักการคำนวน Table'!$C$3:$K$3),
     MAX('2) หลักการคำนวน Table'!$C$3:$K$3)
  )
)</f>
        <v>0.9</v>
      </c>
      <c r="AX5" s="298">
        <f>IFERROR(
  _xlfn.XLOOKUP(AL5,'2) หลักการคำนวน Table'!$C$3:$K$3,'2) หลักการคำนวน Table'!$C$3:$K$3,,1),
  IF(AL5&lt;MIN('2) หลักการคำนวน Table'!$C$3:$K$3),
     MIN('2) หลักการคำนวน Table'!$C$3:$K$3),
     MAX('2) หลักการคำนวน Table'!$C$3:$K$3)
  )
)</f>
        <v>0.9</v>
      </c>
      <c r="AY5" s="298">
        <f>IFERROR(
  _xlfn.XLOOKUP(AM5,'2) หลักการคำนวน Table'!$C$3:$K$3,'2) หลักการคำนวน Table'!$C$3:$K$3,,1),
  IF(AM5&lt;MIN('2) หลักการคำนวน Table'!$C$3:$K$3),
     MIN('2) หลักการคำนวน Table'!$C$3:$K$3),
     MAX('2) หลักการคำนวน Table'!$C$3:$K$3)
  )
)</f>
        <v>0.9</v>
      </c>
      <c r="AZ5" s="299" cm="1">
        <f t="array" ref="AZ5">ROUND((_xlfn.XLOOKUP($C5,'2) หลักการคำนวน Table'!$A$4:$A$36,
_xlfn.XLOOKUP(AN5,'2)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289</v>
      </c>
      <c r="BA5" s="299" cm="1">
        <f t="array" ref="BA5">ROUND((_xlfn.XLOOKUP($C5,'2) หลักการคำนวน Table'!$A$4:$A$36,
_xlfn.XLOOKUP(AO5,'2)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200</v>
      </c>
      <c r="BB5" s="299" cm="1">
        <f t="array" ref="BB5">ROUND((_xlfn.XLOOKUP($C5,'2) หลักการคำนวน Table'!$A$4:$A$36,
_xlfn.XLOOKUP(AP5,'2)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200</v>
      </c>
      <c r="BC5" s="299" cm="1">
        <f t="array" ref="BC5">ROUND((_xlfn.XLOOKUP($C5,'2) หลักการคำนวน Table'!$A$4:$A$36,
_xlfn.XLOOKUP(AQ5,'2)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200</v>
      </c>
      <c r="BD5" s="299" cm="1">
        <f t="array" ref="BD5">ROUND((_xlfn.XLOOKUP($C5,'2) หลักการคำนวน Table'!$A$4:$A$36,
_xlfn.XLOOKUP(AR5,'2)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200</v>
      </c>
      <c r="BE5" s="299" cm="1">
        <f t="array" ref="BE5">ROUND((_xlfn.XLOOKUP($C5,'2) หลักการคำนวน Table'!$A$4:$A$36,
_xlfn.XLOOKUP(AS5,'2)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200</v>
      </c>
      <c r="BF5" s="299" cm="1">
        <f t="array" ref="BF5">ROUND((_xlfn.XLOOKUP($C5,'2) หลักการคำนวน Table'!$A$4:$A$36,
_xlfn.XLOOKUP(AT5,'2)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200</v>
      </c>
      <c r="BG5" s="299" cm="1">
        <f t="array" ref="BG5">ROUND((_xlfn.XLOOKUP($C5,'2) หลักการคำนวน Table'!$A$4:$A$36,
_xlfn.XLOOKUP(AU5,'2)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200</v>
      </c>
      <c r="BH5" s="299" cm="1">
        <f t="array" ref="BH5">ROUND((_xlfn.XLOOKUP($C5,'2) หลักการคำนวน Table'!$A$4:$A$36,
_xlfn.XLOOKUP(AV5,'2)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200</v>
      </c>
      <c r="BI5" s="299" cm="1">
        <f t="array" ref="BI5">ROUND((_xlfn.XLOOKUP($C5,'2) หลักการคำนวน Table'!$A$4:$A$36,
_xlfn.XLOOKUP(AW5,'2)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200</v>
      </c>
      <c r="BJ5" s="299" cm="1">
        <f t="array" ref="BJ5">ROUND((_xlfn.XLOOKUP($C5,'2) หลักการคำนวน Table'!$A$4:$A$36,
_xlfn.XLOOKUP(AX5,'2)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200</v>
      </c>
      <c r="BK5" s="299" cm="1">
        <f t="array" ref="BK5">ROUND((_xlfn.XLOOKUP($C5,'2) หลักการคำนวน Table'!$A$4:$A$36,
_xlfn.XLOOKUP(AY5,'2)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200</v>
      </c>
      <c r="BM5" s="295">
        <v>222209</v>
      </c>
      <c r="BN5" s="300">
        <v>289</v>
      </c>
    </row>
    <row r="6" spans="1:66" ht="14.7" customHeight="1" x14ac:dyDescent="0.25">
      <c r="A6" s="295">
        <f>VLOOKUP(C6,ASTBase!E:S,13,FALSE)</f>
        <v>222208</v>
      </c>
      <c r="B6" s="295" t="s">
        <v>416</v>
      </c>
      <c r="C6" s="295">
        <v>5490000718</v>
      </c>
      <c r="D6" s="296">
        <v>70</v>
      </c>
      <c r="E6" s="296">
        <v>53</v>
      </c>
      <c r="F6" s="296">
        <v>50</v>
      </c>
      <c r="G6" s="296">
        <v>45</v>
      </c>
      <c r="H6" s="296">
        <v>63</v>
      </c>
      <c r="I6" s="296">
        <v>50</v>
      </c>
      <c r="J6" s="296">
        <v>55</v>
      </c>
      <c r="K6" s="296">
        <v>58</v>
      </c>
      <c r="L6" s="296">
        <v>60</v>
      </c>
      <c r="M6" s="296">
        <v>55</v>
      </c>
      <c r="N6" s="296">
        <v>55</v>
      </c>
      <c r="O6" s="296">
        <v>46</v>
      </c>
      <c r="P6" s="295">
        <v>213.99999999537602</v>
      </c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7">
        <f>IFERROR(IF(VLOOKUP($B6,Shortage!$A:$M,AB$2,FALSE)="Shortage",1,IFERROR(ROUND(P6/D6,4),0)),IFERROR(ROUND(P6/D6,4),0))</f>
        <v>3.0571000000000002</v>
      </c>
      <c r="AC6" s="297">
        <f>IFERROR(IF(VLOOKUP($B6,Shortage!$A:$M,AC$2,FALSE)="Shortage",1,IFERROR(ROUND(Q6/E6,4),0)),IFERROR(ROUND(Q6/E6,4),0))</f>
        <v>0</v>
      </c>
      <c r="AD6" s="297">
        <f>IFERROR(IF(VLOOKUP($B6,Shortage!$A:$M,AD$2,FALSE)="Shortage",1,IFERROR(ROUND(R6/F6,4),0)),IFERROR(ROUND(R6/F6,4),0))</f>
        <v>0</v>
      </c>
      <c r="AE6" s="297">
        <f>IFERROR(IF(VLOOKUP($B6,Shortage!$A:$M,AE$2,FALSE)="Shortage",1,IFERROR(ROUND(S6/G6,4),0)),IFERROR(ROUND(S6/G6,4),0))</f>
        <v>0</v>
      </c>
      <c r="AF6" s="297">
        <f>IFERROR(IF(VLOOKUP($B6,Shortage!$A:$M,AF$2,FALSE)="Shortage",1,IFERROR(ROUND(T6/H6,4),0)),IFERROR(ROUND(T6/H6,4),0))</f>
        <v>0</v>
      </c>
      <c r="AG6" s="297">
        <f>IFERROR(IF(VLOOKUP($B6,Shortage!$A:$M,AG$2,FALSE)="Shortage",1,IFERROR(ROUND(U6/I6,4),0)),IFERROR(ROUND(U6/I6,4),0))</f>
        <v>0</v>
      </c>
      <c r="AH6" s="297">
        <f>IFERROR(IF(VLOOKUP($B6,Shortage!$A:$M,AH$2,FALSE)="Shortage",1,IFERROR(ROUND(V6/J6,4),0)),IFERROR(ROUND(V6/J6,4),0))</f>
        <v>0</v>
      </c>
      <c r="AI6" s="297">
        <f>IFERROR(IF(VLOOKUP($B6,Shortage!$A:$M,AI$2,FALSE)="Shortage",1,IFERROR(ROUND(W6/K6,4),0)),IFERROR(ROUND(W6/K6,4),0))</f>
        <v>0</v>
      </c>
      <c r="AJ6" s="297">
        <f>IFERROR(IF(VLOOKUP($B6,Shortage!$A:$M,AJ$2,FALSE)="Shortage",1,IFERROR(ROUND(X6/L6,4),0)),IFERROR(ROUND(X6/L6,4),0))</f>
        <v>0</v>
      </c>
      <c r="AK6" s="297">
        <f>IFERROR(IF(VLOOKUP($B6,Shortage!$A:$M,AK$2,FALSE)="Shortage",1,IFERROR(ROUND(Y6/M6,4),0)),IFERROR(ROUND(Y6/M6,4),0))</f>
        <v>0</v>
      </c>
      <c r="AL6" s="297">
        <f>IFERROR(IF(VLOOKUP($B6,Shortage!$A:$M,AL$2,FALSE)="Shortage",1,IFERROR(ROUND(Z6/N6,4),0)),IFERROR(ROUND(Z6/N6,4),0))</f>
        <v>0</v>
      </c>
      <c r="AM6" s="297">
        <f>IFERROR(IF(VLOOKUP($B6,Shortage!$A:$M,AM$2,FALSE)="Shortage",1,IFERROR(ROUND(AA6/O6,4),0)),IFERROR(ROUND(AA6/O6,4),0))</f>
        <v>0</v>
      </c>
      <c r="AN6" s="298">
        <f>IFERROR(_xlfn.XLOOKUP(AB6,'2) หลักการคำนวน Table'!$C$3:$K$3,'2) หลักการคำนวน Table'!$C$3:$K$3,,1),INDEX('2) หลักการคำนวน Table'!$C$3:$K$3,1))</f>
        <v>20</v>
      </c>
      <c r="AO6" s="298">
        <f>IFERROR(
  _xlfn.XLOOKUP(AC6,'2) หลักการคำนวน Table'!$C$3:$K$3,'2) หลักการคำนวน Table'!$C$3:$K$3,,1),
  IF(AC6&lt;MIN('2) หลักการคำนวน Table'!$C$3:$K$3),
     MIN('2) หลักการคำนวน Table'!$C$3:$K$3),
     MAX('2) หลักการคำนวน Table'!$C$3:$K$3)
  )
)</f>
        <v>0.9</v>
      </c>
      <c r="AP6" s="298">
        <f>IFERROR(
  _xlfn.XLOOKUP(AD6,'2) หลักการคำนวน Table'!$C$3:$K$3,'2) หลักการคำนวน Table'!$C$3:$K$3,,1),
  IF(AD6&lt;MIN('2) หลักการคำนวน Table'!$C$3:$K$3),
     MIN('2) หลักการคำนวน Table'!$C$3:$K$3),
     MAX('2) หลักการคำนวน Table'!$C$3:$K$3)
  )
)</f>
        <v>0.9</v>
      </c>
      <c r="AQ6" s="298">
        <f>IFERROR(
  _xlfn.XLOOKUP(AE6,'2) หลักการคำนวน Table'!$C$3:$K$3,'2) หลักการคำนวน Table'!$C$3:$K$3,,1),
  IF(AE6&lt;MIN('2) หลักการคำนวน Table'!$C$3:$K$3),
     MIN('2) หลักการคำนวน Table'!$C$3:$K$3),
     MAX('2) หลักการคำนวน Table'!$C$3:$K$3)
  )
)</f>
        <v>0.9</v>
      </c>
      <c r="AR6" s="298">
        <f>IFERROR(
  _xlfn.XLOOKUP(AF6,'2) หลักการคำนวน Table'!$C$3:$K$3,'2) หลักการคำนวน Table'!$C$3:$K$3,,1),
  IF(AF6&lt;MIN('2) หลักการคำนวน Table'!$C$3:$K$3),
     MIN('2) หลักการคำนวน Table'!$C$3:$K$3),
     MAX('2) หลักการคำนวน Table'!$C$3:$K$3)
  )
)</f>
        <v>0.9</v>
      </c>
      <c r="AS6" s="298">
        <f>IFERROR(
  _xlfn.XLOOKUP(AG6,'2) หลักการคำนวน Table'!$C$3:$K$3,'2) หลักการคำนวน Table'!$C$3:$K$3,,1),
  IF(AG6&lt;MIN('2) หลักการคำนวน Table'!$C$3:$K$3),
     MIN('2) หลักการคำนวน Table'!$C$3:$K$3),
     MAX('2) หลักการคำนวน Table'!$C$3:$K$3)
  )
)</f>
        <v>0.9</v>
      </c>
      <c r="AT6" s="298">
        <f>IFERROR(
  _xlfn.XLOOKUP(AH6,'2) หลักการคำนวน Table'!$C$3:$K$3,'2) หลักการคำนวน Table'!$C$3:$K$3,,1),
  IF(AH6&lt;MIN('2) หลักการคำนวน Table'!$C$3:$K$3),
     MIN('2) หลักการคำนวน Table'!$C$3:$K$3),
     MAX('2) หลักการคำนวน Table'!$C$3:$K$3)
  )
)</f>
        <v>0.9</v>
      </c>
      <c r="AU6" s="298">
        <f>IFERROR(
  _xlfn.XLOOKUP(AI6,'2) หลักการคำนวน Table'!$C$3:$K$3,'2) หลักการคำนวน Table'!$C$3:$K$3,,1),
  IF(AI6&lt;MIN('2) หลักการคำนวน Table'!$C$3:$K$3),
     MIN('2) หลักการคำนวน Table'!$C$3:$K$3),
     MAX('2) หลักการคำนวน Table'!$C$3:$K$3)
  )
)</f>
        <v>0.9</v>
      </c>
      <c r="AV6" s="298">
        <f>IFERROR(
  _xlfn.XLOOKUP(AJ6,'2) หลักการคำนวน Table'!$C$3:$K$3,'2) หลักการคำนวน Table'!$C$3:$K$3,,1),
  IF(AJ6&lt;MIN('2) หลักการคำนวน Table'!$C$3:$K$3),
     MIN('2) หลักการคำนวน Table'!$C$3:$K$3),
     MAX('2) หลักการคำนวน Table'!$C$3:$K$3)
  )
)</f>
        <v>0.9</v>
      </c>
      <c r="AW6" s="298">
        <f>IFERROR(
  _xlfn.XLOOKUP(AK6,'2) หลักการคำนวน Table'!$C$3:$K$3,'2) หลักการคำนวน Table'!$C$3:$K$3,,1),
  IF(AK6&lt;MIN('2) หลักการคำนวน Table'!$C$3:$K$3),
     MIN('2) หลักการคำนวน Table'!$C$3:$K$3),
     MAX('2) หลักการคำนวน Table'!$C$3:$K$3)
  )
)</f>
        <v>0.9</v>
      </c>
      <c r="AX6" s="298">
        <f>IFERROR(
  _xlfn.XLOOKUP(AL6,'2) หลักการคำนวน Table'!$C$3:$K$3,'2) หลักการคำนวน Table'!$C$3:$K$3,,1),
  IF(AL6&lt;MIN('2) หลักการคำนวน Table'!$C$3:$K$3),
     MIN('2) หลักการคำนวน Table'!$C$3:$K$3),
     MAX('2) หลักการคำนวน Table'!$C$3:$K$3)
  )
)</f>
        <v>0.9</v>
      </c>
      <c r="AY6" s="298">
        <f>IFERROR(
  _xlfn.XLOOKUP(AM6,'2) หลักการคำนวน Table'!$C$3:$K$3,'2) หลักการคำนวน Table'!$C$3:$K$3,,1),
  IF(AM6&lt;MIN('2) หลักการคำนวน Table'!$C$3:$K$3),
     MIN('2) หลักการคำนวน Table'!$C$3:$K$3),
     MAX('2) หลักการคำนวน Table'!$C$3:$K$3)
  )
)</f>
        <v>0.9</v>
      </c>
      <c r="AZ6" s="299" cm="1">
        <f t="array" ref="AZ6">ROUND((_xlfn.XLOOKUP($C6,'2) หลักการคำนวน Table'!$A$4:$A$36,
_xlfn.XLOOKUP(AN6,'2)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116</v>
      </c>
      <c r="BA6" s="299" cm="1">
        <f t="array" ref="BA6">ROUND((_xlfn.XLOOKUP($C6,'2) หลักการคำนวน Table'!$A$4:$A$36,
_xlfn.XLOOKUP(AO6,'2)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80</v>
      </c>
      <c r="BB6" s="299" cm="1">
        <f t="array" ref="BB6">ROUND((_xlfn.XLOOKUP($C6,'2) หลักการคำนวน Table'!$A$4:$A$36,
_xlfn.XLOOKUP(AP6,'2)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80</v>
      </c>
      <c r="BC6" s="299" cm="1">
        <f t="array" ref="BC6">ROUND((_xlfn.XLOOKUP($C6,'2) หลักการคำนวน Table'!$A$4:$A$36,
_xlfn.XLOOKUP(AQ6,'2)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80</v>
      </c>
      <c r="BD6" s="299" cm="1">
        <f t="array" ref="BD6">ROUND((_xlfn.XLOOKUP($C6,'2) หลักการคำนวน Table'!$A$4:$A$36,
_xlfn.XLOOKUP(AR6,'2)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80</v>
      </c>
      <c r="BE6" s="299" cm="1">
        <f t="array" ref="BE6">ROUND((_xlfn.XLOOKUP($C6,'2) หลักการคำนวน Table'!$A$4:$A$36,
_xlfn.XLOOKUP(AS6,'2)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80</v>
      </c>
      <c r="BF6" s="299" cm="1">
        <f t="array" ref="BF6">ROUND((_xlfn.XLOOKUP($C6,'2) หลักการคำนวน Table'!$A$4:$A$36,
_xlfn.XLOOKUP(AT6,'2)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80</v>
      </c>
      <c r="BG6" s="299" cm="1">
        <f t="array" ref="BG6">ROUND((_xlfn.XLOOKUP($C6,'2) หลักการคำนวน Table'!$A$4:$A$36,
_xlfn.XLOOKUP(AU6,'2)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80</v>
      </c>
      <c r="BH6" s="299" cm="1">
        <f t="array" ref="BH6">ROUND((_xlfn.XLOOKUP($C6,'2) หลักการคำนวน Table'!$A$4:$A$36,
_xlfn.XLOOKUP(AV6,'2)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80</v>
      </c>
      <c r="BI6" s="299" cm="1">
        <f t="array" ref="BI6">ROUND((_xlfn.XLOOKUP($C6,'2) หลักการคำนวน Table'!$A$4:$A$36,
_xlfn.XLOOKUP(AW6,'2)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80</v>
      </c>
      <c r="BJ6" s="299" cm="1">
        <f t="array" ref="BJ6">ROUND((_xlfn.XLOOKUP($C6,'2) หลักการคำนวน Table'!$A$4:$A$36,
_xlfn.XLOOKUP(AX6,'2)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80</v>
      </c>
      <c r="BK6" s="299" cm="1">
        <f t="array" ref="BK6">ROUND((_xlfn.XLOOKUP($C6,'2) หลักการคำนวน Table'!$A$4:$A$36,
_xlfn.XLOOKUP(AY6,'2)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80</v>
      </c>
      <c r="BM6" s="295">
        <v>222209</v>
      </c>
      <c r="BN6" s="300">
        <v>116</v>
      </c>
    </row>
    <row r="7" spans="1:66" ht="14.7" customHeight="1" x14ac:dyDescent="0.25">
      <c r="A7" s="295">
        <f>VLOOKUP(C7,ASTBase!E:S,13,FALSE)</f>
        <v>222208</v>
      </c>
      <c r="B7" s="295" t="s">
        <v>407</v>
      </c>
      <c r="C7" s="295">
        <v>5490000718</v>
      </c>
      <c r="D7" s="296">
        <v>1549</v>
      </c>
      <c r="E7" s="296">
        <v>1355</v>
      </c>
      <c r="F7" s="296">
        <v>1180</v>
      </c>
      <c r="G7" s="296">
        <v>1247</v>
      </c>
      <c r="H7" s="296">
        <v>2095</v>
      </c>
      <c r="I7" s="296">
        <v>1740</v>
      </c>
      <c r="J7" s="296">
        <v>1910</v>
      </c>
      <c r="K7" s="296">
        <v>1980</v>
      </c>
      <c r="L7" s="296">
        <v>1916</v>
      </c>
      <c r="M7" s="296">
        <v>2089</v>
      </c>
      <c r="N7" s="296">
        <v>1925</v>
      </c>
      <c r="O7" s="296">
        <v>1940</v>
      </c>
      <c r="P7" s="295">
        <v>621.99999999405611</v>
      </c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7">
        <f>IFERROR(IF(VLOOKUP($B7,Shortage!$A:$M,AB$2,FALSE)="Shortage",1,IFERROR(ROUND(P7/D7,4),0)),IFERROR(ROUND(P7/D7,4),0))</f>
        <v>0.40150000000000002</v>
      </c>
      <c r="AC7" s="297">
        <f>IFERROR(IF(VLOOKUP($B7,Shortage!$A:$M,AC$2,FALSE)="Shortage",1,IFERROR(ROUND(Q7/E7,4),0)),IFERROR(ROUND(Q7/E7,4),0))</f>
        <v>0</v>
      </c>
      <c r="AD7" s="297">
        <f>IFERROR(IF(VLOOKUP($B7,Shortage!$A:$M,AD$2,FALSE)="Shortage",1,IFERROR(ROUND(R7/F7,4),0)),IFERROR(ROUND(R7/F7,4),0))</f>
        <v>0</v>
      </c>
      <c r="AE7" s="297">
        <f>IFERROR(IF(VLOOKUP($B7,Shortage!$A:$M,AE$2,FALSE)="Shortage",1,IFERROR(ROUND(S7/G7,4),0)),IFERROR(ROUND(S7/G7,4),0))</f>
        <v>0</v>
      </c>
      <c r="AF7" s="297">
        <f>IFERROR(IF(VLOOKUP($B7,Shortage!$A:$M,AF$2,FALSE)="Shortage",1,IFERROR(ROUND(T7/H7,4),0)),IFERROR(ROUND(T7/H7,4),0))</f>
        <v>0</v>
      </c>
      <c r="AG7" s="297">
        <f>IFERROR(IF(VLOOKUP($B7,Shortage!$A:$M,AG$2,FALSE)="Shortage",1,IFERROR(ROUND(U7/I7,4),0)),IFERROR(ROUND(U7/I7,4),0))</f>
        <v>0</v>
      </c>
      <c r="AH7" s="297">
        <f>IFERROR(IF(VLOOKUP($B7,Shortage!$A:$M,AH$2,FALSE)="Shortage",1,IFERROR(ROUND(V7/J7,4),0)),IFERROR(ROUND(V7/J7,4),0))</f>
        <v>0</v>
      </c>
      <c r="AI7" s="297">
        <f>IFERROR(IF(VLOOKUP($B7,Shortage!$A:$M,AI$2,FALSE)="Shortage",1,IFERROR(ROUND(W7/K7,4),0)),IFERROR(ROUND(W7/K7,4),0))</f>
        <v>0</v>
      </c>
      <c r="AJ7" s="297">
        <f>IFERROR(IF(VLOOKUP($B7,Shortage!$A:$M,AJ$2,FALSE)="Shortage",1,IFERROR(ROUND(X7/L7,4),0)),IFERROR(ROUND(X7/L7,4),0))</f>
        <v>0</v>
      </c>
      <c r="AK7" s="297">
        <f>IFERROR(IF(VLOOKUP($B7,Shortage!$A:$M,AK$2,FALSE)="Shortage",1,IFERROR(ROUND(Y7/M7,4),0)),IFERROR(ROUND(Y7/M7,4),0))</f>
        <v>0</v>
      </c>
      <c r="AL7" s="297">
        <f>IFERROR(IF(VLOOKUP($B7,Shortage!$A:$M,AL$2,FALSE)="Shortage",1,IFERROR(ROUND(Z7/N7,4),0)),IFERROR(ROUND(Z7/N7,4),0))</f>
        <v>0</v>
      </c>
      <c r="AM7" s="297">
        <f>IFERROR(IF(VLOOKUP($B7,Shortage!$A:$M,AM$2,FALSE)="Shortage",1,IFERROR(ROUND(AA7/O7,4),0)),IFERROR(ROUND(AA7/O7,4),0))</f>
        <v>0</v>
      </c>
      <c r="AN7" s="298">
        <f>IFERROR(_xlfn.XLOOKUP(AB7,'2) หลักการคำนวน Table'!$C$3:$K$3,'2) หลักการคำนวน Table'!$C$3:$K$3,,1),INDEX('2) หลักการคำนวน Table'!$C$3:$K$3,1))</f>
        <v>0.9</v>
      </c>
      <c r="AO7" s="298">
        <f>IFERROR(
  _xlfn.XLOOKUP(AC7,'2) หลักการคำนวน Table'!$C$3:$K$3,'2) หลักการคำนวน Table'!$C$3:$K$3,,1),
  IF(AC7&lt;MIN('2) หลักการคำนวน Table'!$C$3:$K$3),
     MIN('2) หลักการคำนวน Table'!$C$3:$K$3),
     MAX('2) หลักการคำนวน Table'!$C$3:$K$3)
  )
)</f>
        <v>0.9</v>
      </c>
      <c r="AP7" s="298">
        <f>IFERROR(
  _xlfn.XLOOKUP(AD7,'2) หลักการคำนวน Table'!$C$3:$K$3,'2) หลักการคำนวน Table'!$C$3:$K$3,,1),
  IF(AD7&lt;MIN('2) หลักการคำนวน Table'!$C$3:$K$3),
     MIN('2) หลักการคำนวน Table'!$C$3:$K$3),
     MAX('2) หลักการคำนวน Table'!$C$3:$K$3)
  )
)</f>
        <v>0.9</v>
      </c>
      <c r="AQ7" s="298">
        <f>IFERROR(
  _xlfn.XLOOKUP(AE7,'2) หลักการคำนวน Table'!$C$3:$K$3,'2) หลักการคำนวน Table'!$C$3:$K$3,,1),
  IF(AE7&lt;MIN('2) หลักการคำนวน Table'!$C$3:$K$3),
     MIN('2) หลักการคำนวน Table'!$C$3:$K$3),
     MAX('2) หลักการคำนวน Table'!$C$3:$K$3)
  )
)</f>
        <v>0.9</v>
      </c>
      <c r="AR7" s="298">
        <f>IFERROR(
  _xlfn.XLOOKUP(AF7,'2) หลักการคำนวน Table'!$C$3:$K$3,'2) หลักการคำนวน Table'!$C$3:$K$3,,1),
  IF(AF7&lt;MIN('2) หลักการคำนวน Table'!$C$3:$K$3),
     MIN('2) หลักการคำนวน Table'!$C$3:$K$3),
     MAX('2) หลักการคำนวน Table'!$C$3:$K$3)
  )
)</f>
        <v>0.9</v>
      </c>
      <c r="AS7" s="298">
        <f>IFERROR(
  _xlfn.XLOOKUP(AG7,'2) หลักการคำนวน Table'!$C$3:$K$3,'2) หลักการคำนวน Table'!$C$3:$K$3,,1),
  IF(AG7&lt;MIN('2) หลักการคำนวน Table'!$C$3:$K$3),
     MIN('2) หลักการคำนวน Table'!$C$3:$K$3),
     MAX('2) หลักการคำนวน Table'!$C$3:$K$3)
  )
)</f>
        <v>0.9</v>
      </c>
      <c r="AT7" s="298">
        <f>IFERROR(
  _xlfn.XLOOKUP(AH7,'2) หลักการคำนวน Table'!$C$3:$K$3,'2) หลักการคำนวน Table'!$C$3:$K$3,,1),
  IF(AH7&lt;MIN('2) หลักการคำนวน Table'!$C$3:$K$3),
     MIN('2) หลักการคำนวน Table'!$C$3:$K$3),
     MAX('2) หลักการคำนวน Table'!$C$3:$K$3)
  )
)</f>
        <v>0.9</v>
      </c>
      <c r="AU7" s="298">
        <f>IFERROR(
  _xlfn.XLOOKUP(AI7,'2) หลักการคำนวน Table'!$C$3:$K$3,'2) หลักการคำนวน Table'!$C$3:$K$3,,1),
  IF(AI7&lt;MIN('2) หลักการคำนวน Table'!$C$3:$K$3),
     MIN('2) หลักการคำนวน Table'!$C$3:$K$3),
     MAX('2) หลักการคำนวน Table'!$C$3:$K$3)
  )
)</f>
        <v>0.9</v>
      </c>
      <c r="AV7" s="298">
        <f>IFERROR(
  _xlfn.XLOOKUP(AJ7,'2) หลักการคำนวน Table'!$C$3:$K$3,'2) หลักการคำนวน Table'!$C$3:$K$3,,1),
  IF(AJ7&lt;MIN('2) หลักการคำนวน Table'!$C$3:$K$3),
     MIN('2) หลักการคำนวน Table'!$C$3:$K$3),
     MAX('2) หลักการคำนวน Table'!$C$3:$K$3)
  )
)</f>
        <v>0.9</v>
      </c>
      <c r="AW7" s="298">
        <f>IFERROR(
  _xlfn.XLOOKUP(AK7,'2) หลักการคำนวน Table'!$C$3:$K$3,'2) หลักการคำนวน Table'!$C$3:$K$3,,1),
  IF(AK7&lt;MIN('2) หลักการคำนวน Table'!$C$3:$K$3),
     MIN('2) หลักการคำนวน Table'!$C$3:$K$3),
     MAX('2) หลักการคำนวน Table'!$C$3:$K$3)
  )
)</f>
        <v>0.9</v>
      </c>
      <c r="AX7" s="298">
        <f>IFERROR(
  _xlfn.XLOOKUP(AL7,'2) หลักการคำนวน Table'!$C$3:$K$3,'2) หลักการคำนวน Table'!$C$3:$K$3,,1),
  IF(AL7&lt;MIN('2) หลักการคำนวน Table'!$C$3:$K$3),
     MIN('2) หลักการคำนวน Table'!$C$3:$K$3),
     MAX('2) หลักการคำนวน Table'!$C$3:$K$3)
  )
)</f>
        <v>0.9</v>
      </c>
      <c r="AY7" s="298">
        <f>IFERROR(
  _xlfn.XLOOKUP(AM7,'2) หลักการคำนวน Table'!$C$3:$K$3,'2) หลักการคำนวน Table'!$C$3:$K$3,,1),
  IF(AM7&lt;MIN('2) หลักการคำนวน Table'!$C$3:$K$3),
     MIN('2) หลักการคำนวน Table'!$C$3:$K$3),
     MAX('2) หลักการคำนวน Table'!$C$3:$K$3)
  )
)</f>
        <v>0.9</v>
      </c>
      <c r="AZ7" s="299" cm="1">
        <f t="array" ref="AZ7">ROUND((_xlfn.XLOOKUP($C7,'2) หลักการคำนวน Table'!$A$4:$A$36,
_xlfn.XLOOKUP(AN7,'2)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A7" s="299" cm="1">
        <f t="array" ref="BA7">ROUND((_xlfn.XLOOKUP($C7,'2) หลักการคำนวน Table'!$A$4:$A$36,
_xlfn.XLOOKUP(AO7,'2)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B7" s="299" cm="1">
        <f t="array" ref="BB7">ROUND((_xlfn.XLOOKUP($C7,'2) หลักการคำนวน Table'!$A$4:$A$36,
_xlfn.XLOOKUP(AP7,'2)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C7" s="299" cm="1">
        <f t="array" ref="BC7">ROUND((_xlfn.XLOOKUP($C7,'2) หลักการคำนวน Table'!$A$4:$A$36,
_xlfn.XLOOKUP(AQ7,'2)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D7" s="299" cm="1">
        <f t="array" ref="BD7">ROUND((_xlfn.XLOOKUP($C7,'2) หลักการคำนวน Table'!$A$4:$A$36,
_xlfn.XLOOKUP(AR7,'2)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E7" s="299" cm="1">
        <f t="array" ref="BE7">ROUND((_xlfn.XLOOKUP($C7,'2) หลักการคำนวน Table'!$A$4:$A$36,
_xlfn.XLOOKUP(AS7,'2)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F7" s="299" cm="1">
        <f t="array" ref="BF7">ROUND((_xlfn.XLOOKUP($C7,'2) หลักการคำนวน Table'!$A$4:$A$36,
_xlfn.XLOOKUP(AT7,'2)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G7" s="299" cm="1">
        <f t="array" ref="BG7">ROUND((_xlfn.XLOOKUP($C7,'2) หลักการคำนวน Table'!$A$4:$A$36,
_xlfn.XLOOKUP(AU7,'2)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H7" s="299" cm="1">
        <f t="array" ref="BH7">ROUND((_xlfn.XLOOKUP($C7,'2) หลักการคำนวน Table'!$A$4:$A$36,
_xlfn.XLOOKUP(AV7,'2)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I7" s="299" cm="1">
        <f t="array" ref="BI7">ROUND((_xlfn.XLOOKUP($C7,'2) หลักการคำนวน Table'!$A$4:$A$36,
_xlfn.XLOOKUP(AW7,'2)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J7" s="299" cm="1">
        <f t="array" ref="BJ7">ROUND((_xlfn.XLOOKUP($C7,'2) หลักการคำนวน Table'!$A$4:$A$36,
_xlfn.XLOOKUP(AX7,'2)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K7" s="299" cm="1">
        <f t="array" ref="BK7">ROUND((_xlfn.XLOOKUP($C7,'2) หลักการคำนวน Table'!$A$4:$A$36,
_xlfn.XLOOKUP(AY7,'2)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400</v>
      </c>
      <c r="BM7" s="295">
        <v>222209</v>
      </c>
      <c r="BN7" s="300">
        <v>400</v>
      </c>
    </row>
    <row r="8" spans="1:66" ht="14.7" customHeight="1" x14ac:dyDescent="0.25">
      <c r="A8" s="295">
        <f>VLOOKUP(C8,ASTBase!E:S,13,FALSE)</f>
        <v>222208</v>
      </c>
      <c r="B8" s="295" t="s">
        <v>418</v>
      </c>
      <c r="C8" s="295">
        <v>5490000718</v>
      </c>
      <c r="D8" s="296">
        <v>455</v>
      </c>
      <c r="E8" s="296">
        <v>505</v>
      </c>
      <c r="F8" s="296">
        <v>355</v>
      </c>
      <c r="G8" s="296">
        <v>153</v>
      </c>
      <c r="H8" s="296">
        <v>303</v>
      </c>
      <c r="I8" s="296">
        <v>203</v>
      </c>
      <c r="J8" s="296">
        <v>205</v>
      </c>
      <c r="K8" s="296">
        <v>155</v>
      </c>
      <c r="L8" s="296">
        <v>255</v>
      </c>
      <c r="M8" s="296">
        <v>205</v>
      </c>
      <c r="N8" s="296">
        <v>203</v>
      </c>
      <c r="O8" s="296">
        <v>103</v>
      </c>
      <c r="P8" s="295">
        <v>367.2</v>
      </c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7">
        <f>IFERROR(IF(VLOOKUP($B8,Shortage!$A:$M,AB$2,FALSE)="Shortage",1,IFERROR(ROUND(P8/D8,4),0)),IFERROR(ROUND(P8/D8,4),0))</f>
        <v>0.80700000000000005</v>
      </c>
      <c r="AC8" s="297">
        <f>IFERROR(IF(VLOOKUP($B8,Shortage!$A:$M,AC$2,FALSE)="Shortage",1,IFERROR(ROUND(Q8/E8,4),0)),IFERROR(ROUND(Q8/E8,4),0))</f>
        <v>0</v>
      </c>
      <c r="AD8" s="297">
        <f>IFERROR(IF(VLOOKUP($B8,Shortage!$A:$M,AD$2,FALSE)="Shortage",1,IFERROR(ROUND(R8/F8,4),0)),IFERROR(ROUND(R8/F8,4),0))</f>
        <v>0</v>
      </c>
      <c r="AE8" s="297">
        <f>IFERROR(IF(VLOOKUP($B8,Shortage!$A:$M,AE$2,FALSE)="Shortage",1,IFERROR(ROUND(S8/G8,4),0)),IFERROR(ROUND(S8/G8,4),0))</f>
        <v>0</v>
      </c>
      <c r="AF8" s="297">
        <f>IFERROR(IF(VLOOKUP($B8,Shortage!$A:$M,AF$2,FALSE)="Shortage",1,IFERROR(ROUND(T8/H8,4),0)),IFERROR(ROUND(T8/H8,4),0))</f>
        <v>0</v>
      </c>
      <c r="AG8" s="297">
        <f>IFERROR(IF(VLOOKUP($B8,Shortage!$A:$M,AG$2,FALSE)="Shortage",1,IFERROR(ROUND(U8/I8,4),0)),IFERROR(ROUND(U8/I8,4),0))</f>
        <v>0</v>
      </c>
      <c r="AH8" s="297">
        <f>IFERROR(IF(VLOOKUP($B8,Shortage!$A:$M,AH$2,FALSE)="Shortage",1,IFERROR(ROUND(V8/J8,4),0)),IFERROR(ROUND(V8/J8,4),0))</f>
        <v>0</v>
      </c>
      <c r="AI8" s="297">
        <f>IFERROR(IF(VLOOKUP($B8,Shortage!$A:$M,AI$2,FALSE)="Shortage",1,IFERROR(ROUND(W8/K8,4),0)),IFERROR(ROUND(W8/K8,4),0))</f>
        <v>0</v>
      </c>
      <c r="AJ8" s="297">
        <f>IFERROR(IF(VLOOKUP($B8,Shortage!$A:$M,AJ$2,FALSE)="Shortage",1,IFERROR(ROUND(X8/L8,4),0)),IFERROR(ROUND(X8/L8,4),0))</f>
        <v>0</v>
      </c>
      <c r="AK8" s="297">
        <f>IFERROR(IF(VLOOKUP($B8,Shortage!$A:$M,AK$2,FALSE)="Shortage",1,IFERROR(ROUND(Y8/M8,4),0)),IFERROR(ROUND(Y8/M8,4),0))</f>
        <v>0</v>
      </c>
      <c r="AL8" s="297">
        <f>IFERROR(IF(VLOOKUP($B8,Shortage!$A:$M,AL$2,FALSE)="Shortage",1,IFERROR(ROUND(Z8/N8,4),0)),IFERROR(ROUND(Z8/N8,4),0))</f>
        <v>0</v>
      </c>
      <c r="AM8" s="297">
        <f>IFERROR(IF(VLOOKUP($B8,Shortage!$A:$M,AM$2,FALSE)="Shortage",1,IFERROR(ROUND(AA8/O8,4),0)),IFERROR(ROUND(AA8/O8,4),0))</f>
        <v>0</v>
      </c>
      <c r="AN8" s="298">
        <f>IFERROR(_xlfn.XLOOKUP(AB8,'2) หลักการคำนวน Table'!$C$3:$K$3,'2) หลักการคำนวน Table'!$C$3:$K$3,,1),INDEX('2) หลักการคำนวน Table'!$C$3:$K$3,1))</f>
        <v>0.9</v>
      </c>
      <c r="AO8" s="298">
        <f>IFERROR(
  _xlfn.XLOOKUP(AC8,'2) หลักการคำนวน Table'!$C$3:$K$3,'2) หลักการคำนวน Table'!$C$3:$K$3,,1),
  IF(AC8&lt;MIN('2) หลักการคำนวน Table'!$C$3:$K$3),
     MIN('2) หลักการคำนวน Table'!$C$3:$K$3),
     MAX('2) หลักการคำนวน Table'!$C$3:$K$3)
  )
)</f>
        <v>0.9</v>
      </c>
      <c r="AP8" s="298">
        <f>IFERROR(
  _xlfn.XLOOKUP(AD8,'2) หลักการคำนวน Table'!$C$3:$K$3,'2) หลักการคำนวน Table'!$C$3:$K$3,,1),
  IF(AD8&lt;MIN('2) หลักการคำนวน Table'!$C$3:$K$3),
     MIN('2) หลักการคำนวน Table'!$C$3:$K$3),
     MAX('2) หลักการคำนวน Table'!$C$3:$K$3)
  )
)</f>
        <v>0.9</v>
      </c>
      <c r="AQ8" s="298">
        <f>IFERROR(
  _xlfn.XLOOKUP(AE8,'2) หลักการคำนวน Table'!$C$3:$K$3,'2) หลักการคำนวน Table'!$C$3:$K$3,,1),
  IF(AE8&lt;MIN('2) หลักการคำนวน Table'!$C$3:$K$3),
     MIN('2) หลักการคำนวน Table'!$C$3:$K$3),
     MAX('2) หลักการคำนวน Table'!$C$3:$K$3)
  )
)</f>
        <v>0.9</v>
      </c>
      <c r="AR8" s="298">
        <f>IFERROR(
  _xlfn.XLOOKUP(AF8,'2) หลักการคำนวน Table'!$C$3:$K$3,'2) หลักการคำนวน Table'!$C$3:$K$3,,1),
  IF(AF8&lt;MIN('2) หลักการคำนวน Table'!$C$3:$K$3),
     MIN('2) หลักการคำนวน Table'!$C$3:$K$3),
     MAX('2) หลักการคำนวน Table'!$C$3:$K$3)
  )
)</f>
        <v>0.9</v>
      </c>
      <c r="AS8" s="298">
        <f>IFERROR(
  _xlfn.XLOOKUP(AG8,'2) หลักการคำนวน Table'!$C$3:$K$3,'2) หลักการคำนวน Table'!$C$3:$K$3,,1),
  IF(AG8&lt;MIN('2) หลักการคำนวน Table'!$C$3:$K$3),
     MIN('2) หลักการคำนวน Table'!$C$3:$K$3),
     MAX('2) หลักการคำนวน Table'!$C$3:$K$3)
  )
)</f>
        <v>0.9</v>
      </c>
      <c r="AT8" s="298">
        <f>IFERROR(
  _xlfn.XLOOKUP(AH8,'2) หลักการคำนวน Table'!$C$3:$K$3,'2) หลักการคำนวน Table'!$C$3:$K$3,,1),
  IF(AH8&lt;MIN('2) หลักการคำนวน Table'!$C$3:$K$3),
     MIN('2) หลักการคำนวน Table'!$C$3:$K$3),
     MAX('2) หลักการคำนวน Table'!$C$3:$K$3)
  )
)</f>
        <v>0.9</v>
      </c>
      <c r="AU8" s="298">
        <f>IFERROR(
  _xlfn.XLOOKUP(AI8,'2) หลักการคำนวน Table'!$C$3:$K$3,'2) หลักการคำนวน Table'!$C$3:$K$3,,1),
  IF(AI8&lt;MIN('2) หลักการคำนวน Table'!$C$3:$K$3),
     MIN('2) หลักการคำนวน Table'!$C$3:$K$3),
     MAX('2) หลักการคำนวน Table'!$C$3:$K$3)
  )
)</f>
        <v>0.9</v>
      </c>
      <c r="AV8" s="298">
        <f>IFERROR(
  _xlfn.XLOOKUP(AJ8,'2) หลักการคำนวน Table'!$C$3:$K$3,'2) หลักการคำนวน Table'!$C$3:$K$3,,1),
  IF(AJ8&lt;MIN('2) หลักการคำนวน Table'!$C$3:$K$3),
     MIN('2) หลักการคำนวน Table'!$C$3:$K$3),
     MAX('2) หลักการคำนวน Table'!$C$3:$K$3)
  )
)</f>
        <v>0.9</v>
      </c>
      <c r="AW8" s="298">
        <f>IFERROR(
  _xlfn.XLOOKUP(AK8,'2) หลักการคำนวน Table'!$C$3:$K$3,'2) หลักการคำนวน Table'!$C$3:$K$3,,1),
  IF(AK8&lt;MIN('2) หลักการคำนวน Table'!$C$3:$K$3),
     MIN('2) หลักการคำนวน Table'!$C$3:$K$3),
     MAX('2) หลักการคำนวน Table'!$C$3:$K$3)
  )
)</f>
        <v>0.9</v>
      </c>
      <c r="AX8" s="298">
        <f>IFERROR(
  _xlfn.XLOOKUP(AL8,'2) หลักการคำนวน Table'!$C$3:$K$3,'2) หลักการคำนวน Table'!$C$3:$K$3,,1),
  IF(AL8&lt;MIN('2) หลักการคำนวน Table'!$C$3:$K$3),
     MIN('2) หลักการคำนวน Table'!$C$3:$K$3),
     MAX('2) หลักการคำนวน Table'!$C$3:$K$3)
  )
)</f>
        <v>0.9</v>
      </c>
      <c r="AY8" s="298">
        <f>IFERROR(
  _xlfn.XLOOKUP(AM8,'2) หลักการคำนวน Table'!$C$3:$K$3,'2) หลักการคำนวน Table'!$C$3:$K$3,,1),
  IF(AM8&lt;MIN('2) หลักการคำนวน Table'!$C$3:$K$3),
     MIN('2) หลักการคำนวน Table'!$C$3:$K$3),
     MAX('2) หลักการคำนวน Table'!$C$3:$K$3)
  )
)</f>
        <v>0.9</v>
      </c>
      <c r="AZ8" s="299" cm="1">
        <f t="array" ref="AZ8">ROUND((_xlfn.XLOOKUP($C8,'2) หลักการคำนวน Table'!$A$4:$A$36,
_xlfn.XLOOKUP(AN8,'2)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A8" s="299" cm="1">
        <f t="array" ref="BA8">ROUND((_xlfn.XLOOKUP($C8,'2) หลักการคำนวน Table'!$A$4:$A$36,
_xlfn.XLOOKUP(AO8,'2)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B8" s="299" cm="1">
        <f t="array" ref="BB8">ROUND((_xlfn.XLOOKUP($C8,'2) หลักการคำนวน Table'!$A$4:$A$36,
_xlfn.XLOOKUP(AP8,'2)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C8" s="299" cm="1">
        <f t="array" ref="BC8">ROUND((_xlfn.XLOOKUP($C8,'2) หลักการคำนวน Table'!$A$4:$A$36,
_xlfn.XLOOKUP(AQ8,'2)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D8" s="299" cm="1">
        <f t="array" ref="BD8">ROUND((_xlfn.XLOOKUP($C8,'2) หลักการคำนวน Table'!$A$4:$A$36,
_xlfn.XLOOKUP(AR8,'2)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E8" s="299" cm="1">
        <f t="array" ref="BE8">ROUND((_xlfn.XLOOKUP($C8,'2) หลักการคำนวน Table'!$A$4:$A$36,
_xlfn.XLOOKUP(AS8,'2)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F8" s="299" cm="1">
        <f t="array" ref="BF8">ROUND((_xlfn.XLOOKUP($C8,'2) หลักการคำนวน Table'!$A$4:$A$36,
_xlfn.XLOOKUP(AT8,'2)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G8" s="299" cm="1">
        <f t="array" ref="BG8">ROUND((_xlfn.XLOOKUP($C8,'2) หลักการคำนวน Table'!$A$4:$A$36,
_xlfn.XLOOKUP(AU8,'2)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H8" s="299" cm="1">
        <f t="array" ref="BH8">ROUND((_xlfn.XLOOKUP($C8,'2) หลักการคำนวน Table'!$A$4:$A$36,
_xlfn.XLOOKUP(AV8,'2)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I8" s="299" cm="1">
        <f t="array" ref="BI8">ROUND((_xlfn.XLOOKUP($C8,'2) หลักการคำนวน Table'!$A$4:$A$36,
_xlfn.XLOOKUP(AW8,'2)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J8" s="299" cm="1">
        <f t="array" ref="BJ8">ROUND((_xlfn.XLOOKUP($C8,'2) หลักการคำนวน Table'!$A$4:$A$36,
_xlfn.XLOOKUP(AX8,'2)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K8" s="299" cm="1">
        <f t="array" ref="BK8">ROUND((_xlfn.XLOOKUP($C8,'2) หลักการคำนวน Table'!$A$4:$A$36,
_xlfn.XLOOKUP(AY8,'2)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400</v>
      </c>
      <c r="BM8" s="295">
        <v>222209</v>
      </c>
      <c r="BN8" s="300">
        <v>400</v>
      </c>
    </row>
    <row r="9" spans="1:66" ht="14.7" customHeight="1" x14ac:dyDescent="0.25">
      <c r="A9" s="295">
        <f>VLOOKUP(C9,ASTBase!E:S,13,FALSE)</f>
        <v>222208</v>
      </c>
      <c r="B9" s="295" t="s">
        <v>413</v>
      </c>
      <c r="C9" s="295">
        <v>5490000718</v>
      </c>
      <c r="D9" s="296">
        <v>298</v>
      </c>
      <c r="E9" s="296">
        <v>308</v>
      </c>
      <c r="F9" s="296">
        <v>234</v>
      </c>
      <c r="G9" s="296">
        <v>325</v>
      </c>
      <c r="H9" s="296">
        <v>250</v>
      </c>
      <c r="I9" s="296">
        <v>190</v>
      </c>
      <c r="J9" s="296">
        <v>230</v>
      </c>
      <c r="K9" s="296">
        <v>270</v>
      </c>
      <c r="L9" s="296">
        <v>220</v>
      </c>
      <c r="M9" s="296">
        <v>545</v>
      </c>
      <c r="N9" s="296">
        <v>250</v>
      </c>
      <c r="O9" s="296">
        <v>215</v>
      </c>
      <c r="P9" s="295">
        <v>210.59100000000001</v>
      </c>
      <c r="Q9" s="295"/>
      <c r="R9" s="295"/>
      <c r="S9" s="295"/>
      <c r="T9" s="295"/>
      <c r="U9" s="295"/>
      <c r="V9" s="295"/>
      <c r="W9" s="295"/>
      <c r="X9" s="295"/>
      <c r="Y9" s="295"/>
      <c r="Z9" s="295"/>
      <c r="AA9" s="295"/>
      <c r="AB9" s="297">
        <f>IFERROR(IF(VLOOKUP($B9,Shortage!$A:$M,AB$2,FALSE)="Shortage",1,IFERROR(ROUND(P9/D9,4),0)),IFERROR(ROUND(P9/D9,4),0))</f>
        <v>0.70669999999999999</v>
      </c>
      <c r="AC9" s="297">
        <f>IFERROR(IF(VLOOKUP($B9,Shortage!$A:$M,AC$2,FALSE)="Shortage",1,IFERROR(ROUND(Q9/E9,4),0)),IFERROR(ROUND(Q9/E9,4),0))</f>
        <v>0</v>
      </c>
      <c r="AD9" s="297">
        <f>IFERROR(IF(VLOOKUP($B9,Shortage!$A:$M,AD$2,FALSE)="Shortage",1,IFERROR(ROUND(R9/F9,4),0)),IFERROR(ROUND(R9/F9,4),0))</f>
        <v>0</v>
      </c>
      <c r="AE9" s="297">
        <f>IFERROR(IF(VLOOKUP($B9,Shortage!$A:$M,AE$2,FALSE)="Shortage",1,IFERROR(ROUND(S9/G9,4),0)),IFERROR(ROUND(S9/G9,4),0))</f>
        <v>0</v>
      </c>
      <c r="AF9" s="297">
        <f>IFERROR(IF(VLOOKUP($B9,Shortage!$A:$M,AF$2,FALSE)="Shortage",1,IFERROR(ROUND(T9/H9,4),0)),IFERROR(ROUND(T9/H9,4),0))</f>
        <v>0</v>
      </c>
      <c r="AG9" s="297">
        <f>IFERROR(IF(VLOOKUP($B9,Shortage!$A:$M,AG$2,FALSE)="Shortage",1,IFERROR(ROUND(U9/I9,4),0)),IFERROR(ROUND(U9/I9,4),0))</f>
        <v>0</v>
      </c>
      <c r="AH9" s="297">
        <f>IFERROR(IF(VLOOKUP($B9,Shortage!$A:$M,AH$2,FALSE)="Shortage",1,IFERROR(ROUND(V9/J9,4),0)),IFERROR(ROUND(V9/J9,4),0))</f>
        <v>0</v>
      </c>
      <c r="AI9" s="297">
        <f>IFERROR(IF(VLOOKUP($B9,Shortage!$A:$M,AI$2,FALSE)="Shortage",1,IFERROR(ROUND(W9/K9,4),0)),IFERROR(ROUND(W9/K9,4),0))</f>
        <v>0</v>
      </c>
      <c r="AJ9" s="297">
        <f>IFERROR(IF(VLOOKUP($B9,Shortage!$A:$M,AJ$2,FALSE)="Shortage",1,IFERROR(ROUND(X9/L9,4),0)),IFERROR(ROUND(X9/L9,4),0))</f>
        <v>0</v>
      </c>
      <c r="AK9" s="297">
        <f>IFERROR(IF(VLOOKUP($B9,Shortage!$A:$M,AK$2,FALSE)="Shortage",1,IFERROR(ROUND(Y9/M9,4),0)),IFERROR(ROUND(Y9/M9,4),0))</f>
        <v>0</v>
      </c>
      <c r="AL9" s="297">
        <f>IFERROR(IF(VLOOKUP($B9,Shortage!$A:$M,AL$2,FALSE)="Shortage",1,IFERROR(ROUND(Z9/N9,4),0)),IFERROR(ROUND(Z9/N9,4),0))</f>
        <v>0</v>
      </c>
      <c r="AM9" s="297">
        <f>IFERROR(IF(VLOOKUP($B9,Shortage!$A:$M,AM$2,FALSE)="Shortage",1,IFERROR(ROUND(AA9/O9,4),0)),IFERROR(ROUND(AA9/O9,4),0))</f>
        <v>0</v>
      </c>
      <c r="AN9" s="298">
        <f>IFERROR(_xlfn.XLOOKUP(AB9,'2) หลักการคำนวน Table'!$C$3:$K$3,'2) หลักการคำนวน Table'!$C$3:$K$3,,1),INDEX('2) หลักการคำนวน Table'!$C$3:$K$3,1))</f>
        <v>0.9</v>
      </c>
      <c r="AO9" s="298">
        <f>IFERROR(
  _xlfn.XLOOKUP(AC9,'2) หลักการคำนวน Table'!$C$3:$K$3,'2) หลักการคำนวน Table'!$C$3:$K$3,,1),
  IF(AC9&lt;MIN('2) หลักการคำนวน Table'!$C$3:$K$3),
     MIN('2) หลักการคำนวน Table'!$C$3:$K$3),
     MAX('2) หลักการคำนวน Table'!$C$3:$K$3)
  )
)</f>
        <v>0.9</v>
      </c>
      <c r="AP9" s="298">
        <f>IFERROR(
  _xlfn.XLOOKUP(AD9,'2) หลักการคำนวน Table'!$C$3:$K$3,'2) หลักการคำนวน Table'!$C$3:$K$3,,1),
  IF(AD9&lt;MIN('2) หลักการคำนวน Table'!$C$3:$K$3),
     MIN('2) หลักการคำนวน Table'!$C$3:$K$3),
     MAX('2) หลักการคำนวน Table'!$C$3:$K$3)
  )
)</f>
        <v>0.9</v>
      </c>
      <c r="AQ9" s="298">
        <f>IFERROR(
  _xlfn.XLOOKUP(AE9,'2) หลักการคำนวน Table'!$C$3:$K$3,'2) หลักการคำนวน Table'!$C$3:$K$3,,1),
  IF(AE9&lt;MIN('2) หลักการคำนวน Table'!$C$3:$K$3),
     MIN('2) หลักการคำนวน Table'!$C$3:$K$3),
     MAX('2) หลักการคำนวน Table'!$C$3:$K$3)
  )
)</f>
        <v>0.9</v>
      </c>
      <c r="AR9" s="298">
        <f>IFERROR(
  _xlfn.XLOOKUP(AF9,'2) หลักการคำนวน Table'!$C$3:$K$3,'2) หลักการคำนวน Table'!$C$3:$K$3,,1),
  IF(AF9&lt;MIN('2) หลักการคำนวน Table'!$C$3:$K$3),
     MIN('2) หลักการคำนวน Table'!$C$3:$K$3),
     MAX('2) หลักการคำนวน Table'!$C$3:$K$3)
  )
)</f>
        <v>0.9</v>
      </c>
      <c r="AS9" s="298">
        <f>IFERROR(
  _xlfn.XLOOKUP(AG9,'2) หลักการคำนวน Table'!$C$3:$K$3,'2) หลักการคำนวน Table'!$C$3:$K$3,,1),
  IF(AG9&lt;MIN('2) หลักการคำนวน Table'!$C$3:$K$3),
     MIN('2) หลักการคำนวน Table'!$C$3:$K$3),
     MAX('2) หลักการคำนวน Table'!$C$3:$K$3)
  )
)</f>
        <v>0.9</v>
      </c>
      <c r="AT9" s="298">
        <f>IFERROR(
  _xlfn.XLOOKUP(AH9,'2) หลักการคำนวน Table'!$C$3:$K$3,'2) หลักการคำนวน Table'!$C$3:$K$3,,1),
  IF(AH9&lt;MIN('2) หลักการคำนวน Table'!$C$3:$K$3),
     MIN('2) หลักการคำนวน Table'!$C$3:$K$3),
     MAX('2) หลักการคำนวน Table'!$C$3:$K$3)
  )
)</f>
        <v>0.9</v>
      </c>
      <c r="AU9" s="298">
        <f>IFERROR(
  _xlfn.XLOOKUP(AI9,'2) หลักการคำนวน Table'!$C$3:$K$3,'2) หลักการคำนวน Table'!$C$3:$K$3,,1),
  IF(AI9&lt;MIN('2) หลักการคำนวน Table'!$C$3:$K$3),
     MIN('2) หลักการคำนวน Table'!$C$3:$K$3),
     MAX('2) หลักการคำนวน Table'!$C$3:$K$3)
  )
)</f>
        <v>0.9</v>
      </c>
      <c r="AV9" s="298">
        <f>IFERROR(
  _xlfn.XLOOKUP(AJ9,'2) หลักการคำนวน Table'!$C$3:$K$3,'2) หลักการคำนวน Table'!$C$3:$K$3,,1),
  IF(AJ9&lt;MIN('2) หลักการคำนวน Table'!$C$3:$K$3),
     MIN('2) หลักการคำนวน Table'!$C$3:$K$3),
     MAX('2) หลักการคำนวน Table'!$C$3:$K$3)
  )
)</f>
        <v>0.9</v>
      </c>
      <c r="AW9" s="298">
        <f>IFERROR(
  _xlfn.XLOOKUP(AK9,'2) หลักการคำนวน Table'!$C$3:$K$3,'2) หลักการคำนวน Table'!$C$3:$K$3,,1),
  IF(AK9&lt;MIN('2) หลักการคำนวน Table'!$C$3:$K$3),
     MIN('2) หลักการคำนวน Table'!$C$3:$K$3),
     MAX('2) หลักการคำนวน Table'!$C$3:$K$3)
  )
)</f>
        <v>0.9</v>
      </c>
      <c r="AX9" s="298">
        <f>IFERROR(
  _xlfn.XLOOKUP(AL9,'2) หลักการคำนวน Table'!$C$3:$K$3,'2) หลักการคำนวน Table'!$C$3:$K$3,,1),
  IF(AL9&lt;MIN('2) หลักการคำนวน Table'!$C$3:$K$3),
     MIN('2) หลักการคำนวน Table'!$C$3:$K$3),
     MAX('2) หลักการคำนวน Table'!$C$3:$K$3)
  )
)</f>
        <v>0.9</v>
      </c>
      <c r="AY9" s="298">
        <f>IFERROR(
  _xlfn.XLOOKUP(AM9,'2) หลักการคำนวน Table'!$C$3:$K$3,'2) หลักการคำนวน Table'!$C$3:$K$3,,1),
  IF(AM9&lt;MIN('2) หลักการคำนวน Table'!$C$3:$K$3),
     MIN('2) หลักการคำนวน Table'!$C$3:$K$3),
     MAX('2) หลักการคำนวน Table'!$C$3:$K$3)
  )
)</f>
        <v>0.9</v>
      </c>
      <c r="AZ9" s="299" cm="1">
        <f t="array" ref="AZ9">ROUND((_xlfn.XLOOKUP($C9,'2) หลักการคำนวน Table'!$A$4:$A$36,
_xlfn.XLOOKUP(AN9,'2)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A9" s="299" cm="1">
        <f t="array" ref="BA9">ROUND((_xlfn.XLOOKUP($C9,'2) หลักการคำนวน Table'!$A$4:$A$36,
_xlfn.XLOOKUP(AO9,'2)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B9" s="299" cm="1">
        <f t="array" ref="BB9">ROUND((_xlfn.XLOOKUP($C9,'2) หลักการคำนวน Table'!$A$4:$A$36,
_xlfn.XLOOKUP(AP9,'2)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C9" s="299" cm="1">
        <f t="array" ref="BC9">ROUND((_xlfn.XLOOKUP($C9,'2) หลักการคำนวน Table'!$A$4:$A$36,
_xlfn.XLOOKUP(AQ9,'2)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D9" s="299" cm="1">
        <f t="array" ref="BD9">ROUND((_xlfn.XLOOKUP($C9,'2) หลักการคำนวน Table'!$A$4:$A$36,
_xlfn.XLOOKUP(AR9,'2)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E9" s="299" cm="1">
        <f t="array" ref="BE9">ROUND((_xlfn.XLOOKUP($C9,'2) หลักการคำนวน Table'!$A$4:$A$36,
_xlfn.XLOOKUP(AS9,'2)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F9" s="299" cm="1">
        <f t="array" ref="BF9">ROUND((_xlfn.XLOOKUP($C9,'2) หลักการคำนวน Table'!$A$4:$A$36,
_xlfn.XLOOKUP(AT9,'2)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G9" s="299" cm="1">
        <f t="array" ref="BG9">ROUND((_xlfn.XLOOKUP($C9,'2) หลักการคำนวน Table'!$A$4:$A$36,
_xlfn.XLOOKUP(AU9,'2)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H9" s="299" cm="1">
        <f t="array" ref="BH9">ROUND((_xlfn.XLOOKUP($C9,'2) หลักการคำนวน Table'!$A$4:$A$36,
_xlfn.XLOOKUP(AV9,'2)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I9" s="299" cm="1">
        <f t="array" ref="BI9">ROUND((_xlfn.XLOOKUP($C9,'2) หลักการคำนวน Table'!$A$4:$A$36,
_xlfn.XLOOKUP(AW9,'2)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J9" s="299" cm="1">
        <f t="array" ref="BJ9">ROUND((_xlfn.XLOOKUP($C9,'2) หลักการคำนวน Table'!$A$4:$A$36,
_xlfn.XLOOKUP(AX9,'2)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K9" s="299" cm="1">
        <f t="array" ref="BK9">ROUND((_xlfn.XLOOKUP($C9,'2) หลักการคำนวน Table'!$A$4:$A$36,
_xlfn.XLOOKUP(AY9,'2)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600</v>
      </c>
      <c r="BM9" s="295">
        <v>222209</v>
      </c>
      <c r="BN9" s="300">
        <v>600</v>
      </c>
    </row>
    <row r="10" spans="1:66" ht="14.7" customHeight="1" x14ac:dyDescent="0.25">
      <c r="A10" s="295">
        <f>VLOOKUP(C10,ASTBase!E:S,13,FALSE)</f>
        <v>222208</v>
      </c>
      <c r="B10" s="295" t="s">
        <v>406</v>
      </c>
      <c r="C10" s="295">
        <v>5490000718</v>
      </c>
      <c r="D10" s="296">
        <v>1770</v>
      </c>
      <c r="E10" s="296">
        <v>1510</v>
      </c>
      <c r="F10" s="296">
        <v>1500</v>
      </c>
      <c r="G10" s="296">
        <v>1400</v>
      </c>
      <c r="H10" s="296">
        <v>1510</v>
      </c>
      <c r="I10" s="296">
        <v>1500</v>
      </c>
      <c r="J10" s="296">
        <v>1400</v>
      </c>
      <c r="K10" s="296">
        <v>1420</v>
      </c>
      <c r="L10" s="296">
        <v>1550</v>
      </c>
      <c r="M10" s="296">
        <v>1420</v>
      </c>
      <c r="N10" s="296">
        <v>1350</v>
      </c>
      <c r="O10" s="296">
        <v>1280</v>
      </c>
      <c r="P10" s="295">
        <v>1416.8000000000002</v>
      </c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7">
        <f>IFERROR(IF(VLOOKUP($B10,Shortage!$A:$M,AB$2,FALSE)="Shortage",1,IFERROR(ROUND(P10/D10,4),0)),IFERROR(ROUND(P10/D10,4),0))</f>
        <v>1</v>
      </c>
      <c r="AC10" s="297">
        <f>IFERROR(IF(VLOOKUP($B10,Shortage!$A:$M,AC$2,FALSE)="Shortage",1,IFERROR(ROUND(Q10/E10,4),0)),IFERROR(ROUND(Q10/E10,4),0))</f>
        <v>0</v>
      </c>
      <c r="AD10" s="297">
        <f>IFERROR(IF(VLOOKUP($B10,Shortage!$A:$M,AD$2,FALSE)="Shortage",1,IFERROR(ROUND(R10/F10,4),0)),IFERROR(ROUND(R10/F10,4),0))</f>
        <v>0</v>
      </c>
      <c r="AE10" s="297">
        <f>IFERROR(IF(VLOOKUP($B10,Shortage!$A:$M,AE$2,FALSE)="Shortage",1,IFERROR(ROUND(S10/G10,4),0)),IFERROR(ROUND(S10/G10,4),0))</f>
        <v>0</v>
      </c>
      <c r="AF10" s="297">
        <f>IFERROR(IF(VLOOKUP($B10,Shortage!$A:$M,AF$2,FALSE)="Shortage",1,IFERROR(ROUND(T10/H10,4),0)),IFERROR(ROUND(T10/H10,4),0))</f>
        <v>0</v>
      </c>
      <c r="AG10" s="297">
        <f>IFERROR(IF(VLOOKUP($B10,Shortage!$A:$M,AG$2,FALSE)="Shortage",1,IFERROR(ROUND(U10/I10,4),0)),IFERROR(ROUND(U10/I10,4),0))</f>
        <v>0</v>
      </c>
      <c r="AH10" s="297">
        <f>IFERROR(IF(VLOOKUP($B10,Shortage!$A:$M,AH$2,FALSE)="Shortage",1,IFERROR(ROUND(V10/J10,4),0)),IFERROR(ROUND(V10/J10,4),0))</f>
        <v>0</v>
      </c>
      <c r="AI10" s="297">
        <f>IFERROR(IF(VLOOKUP($B10,Shortage!$A:$M,AI$2,FALSE)="Shortage",1,IFERROR(ROUND(W10/K10,4),0)),IFERROR(ROUND(W10/K10,4),0))</f>
        <v>0</v>
      </c>
      <c r="AJ10" s="297">
        <f>IFERROR(IF(VLOOKUP($B10,Shortage!$A:$M,AJ$2,FALSE)="Shortage",1,IFERROR(ROUND(X10/L10,4),0)),IFERROR(ROUND(X10/L10,4),0))</f>
        <v>0</v>
      </c>
      <c r="AK10" s="297">
        <f>IFERROR(IF(VLOOKUP($B10,Shortage!$A:$M,AK$2,FALSE)="Shortage",1,IFERROR(ROUND(Y10/M10,4),0)),IFERROR(ROUND(Y10/M10,4),0))</f>
        <v>0</v>
      </c>
      <c r="AL10" s="297">
        <f>IFERROR(IF(VLOOKUP($B10,Shortage!$A:$M,AL$2,FALSE)="Shortage",1,IFERROR(ROUND(Z10/N10,4),0)),IFERROR(ROUND(Z10/N10,4),0))</f>
        <v>0</v>
      </c>
      <c r="AM10" s="297">
        <f>IFERROR(IF(VLOOKUP($B10,Shortage!$A:$M,AM$2,FALSE)="Shortage",1,IFERROR(ROUND(AA10/O10,4),0)),IFERROR(ROUND(AA10/O10,4),0))</f>
        <v>0</v>
      </c>
      <c r="AN10" s="298">
        <f>IFERROR(_xlfn.XLOOKUP(AB10,'2) หลักการคำนวน Table'!$C$3:$K$3,'2) หลักการคำนวน Table'!$C$3:$K$3,,1),INDEX('2) หลักการคำนวน Table'!$C$3:$K$3,1))</f>
        <v>1</v>
      </c>
      <c r="AO10" s="298">
        <f>IFERROR(
  _xlfn.XLOOKUP(AC10,'2) หลักการคำนวน Table'!$C$3:$K$3,'2) หลักการคำนวน Table'!$C$3:$K$3,,1),
  IF(AC10&lt;MIN('2) หลักการคำนวน Table'!$C$3:$K$3),
     MIN('2) หลักการคำนวน Table'!$C$3:$K$3),
     MAX('2) หลักการคำนวน Table'!$C$3:$K$3)
  )
)</f>
        <v>0.9</v>
      </c>
      <c r="AP10" s="298">
        <f>IFERROR(
  _xlfn.XLOOKUP(AD10,'2) หลักการคำนวน Table'!$C$3:$K$3,'2) หลักการคำนวน Table'!$C$3:$K$3,,1),
  IF(AD10&lt;MIN('2) หลักการคำนวน Table'!$C$3:$K$3),
     MIN('2) หลักการคำนวน Table'!$C$3:$K$3),
     MAX('2) หลักการคำนวน Table'!$C$3:$K$3)
  )
)</f>
        <v>0.9</v>
      </c>
      <c r="AQ10" s="298">
        <f>IFERROR(
  _xlfn.XLOOKUP(AE10,'2) หลักการคำนวน Table'!$C$3:$K$3,'2) หลักการคำนวน Table'!$C$3:$K$3,,1),
  IF(AE10&lt;MIN('2) หลักการคำนวน Table'!$C$3:$K$3),
     MIN('2) หลักการคำนวน Table'!$C$3:$K$3),
     MAX('2) หลักการคำนวน Table'!$C$3:$K$3)
  )
)</f>
        <v>0.9</v>
      </c>
      <c r="AR10" s="298">
        <f>IFERROR(
  _xlfn.XLOOKUP(AF10,'2) หลักการคำนวน Table'!$C$3:$K$3,'2) หลักการคำนวน Table'!$C$3:$K$3,,1),
  IF(AF10&lt;MIN('2) หลักการคำนวน Table'!$C$3:$K$3),
     MIN('2) หลักการคำนวน Table'!$C$3:$K$3),
     MAX('2) หลักการคำนวน Table'!$C$3:$K$3)
  )
)</f>
        <v>0.9</v>
      </c>
      <c r="AS10" s="298">
        <f>IFERROR(
  _xlfn.XLOOKUP(AG10,'2) หลักการคำนวน Table'!$C$3:$K$3,'2) หลักการคำนวน Table'!$C$3:$K$3,,1),
  IF(AG10&lt;MIN('2) หลักการคำนวน Table'!$C$3:$K$3),
     MIN('2) หลักการคำนวน Table'!$C$3:$K$3),
     MAX('2) หลักการคำนวน Table'!$C$3:$K$3)
  )
)</f>
        <v>0.9</v>
      </c>
      <c r="AT10" s="298">
        <f>IFERROR(
  _xlfn.XLOOKUP(AH10,'2) หลักการคำนวน Table'!$C$3:$K$3,'2) หลักการคำนวน Table'!$C$3:$K$3,,1),
  IF(AH10&lt;MIN('2) หลักการคำนวน Table'!$C$3:$K$3),
     MIN('2) หลักการคำนวน Table'!$C$3:$K$3),
     MAX('2) หลักการคำนวน Table'!$C$3:$K$3)
  )
)</f>
        <v>0.9</v>
      </c>
      <c r="AU10" s="298">
        <f>IFERROR(
  _xlfn.XLOOKUP(AI10,'2) หลักการคำนวน Table'!$C$3:$K$3,'2) หลักการคำนวน Table'!$C$3:$K$3,,1),
  IF(AI10&lt;MIN('2) หลักการคำนวน Table'!$C$3:$K$3),
     MIN('2) หลักการคำนวน Table'!$C$3:$K$3),
     MAX('2) หลักการคำนวน Table'!$C$3:$K$3)
  )
)</f>
        <v>0.9</v>
      </c>
      <c r="AV10" s="298">
        <f>IFERROR(
  _xlfn.XLOOKUP(AJ10,'2) หลักการคำนวน Table'!$C$3:$K$3,'2) หลักการคำนวน Table'!$C$3:$K$3,,1),
  IF(AJ10&lt;MIN('2) หลักการคำนวน Table'!$C$3:$K$3),
     MIN('2) หลักการคำนวน Table'!$C$3:$K$3),
     MAX('2) หลักการคำนวน Table'!$C$3:$K$3)
  )
)</f>
        <v>0.9</v>
      </c>
      <c r="AW10" s="298">
        <f>IFERROR(
  _xlfn.XLOOKUP(AK10,'2) หลักการคำนวน Table'!$C$3:$K$3,'2) หลักการคำนวน Table'!$C$3:$K$3,,1),
  IF(AK10&lt;MIN('2) หลักการคำนวน Table'!$C$3:$K$3),
     MIN('2) หลักการคำนวน Table'!$C$3:$K$3),
     MAX('2) หลักการคำนวน Table'!$C$3:$K$3)
  )
)</f>
        <v>0.9</v>
      </c>
      <c r="AX10" s="298">
        <f>IFERROR(
  _xlfn.XLOOKUP(AL10,'2) หลักการคำนวน Table'!$C$3:$K$3,'2) หลักการคำนวน Table'!$C$3:$K$3,,1),
  IF(AL10&lt;MIN('2) หลักการคำนวน Table'!$C$3:$K$3),
     MIN('2) หลักการคำนวน Table'!$C$3:$K$3),
     MAX('2) หลักการคำนวน Table'!$C$3:$K$3)
  )
)</f>
        <v>0.9</v>
      </c>
      <c r="AY10" s="298">
        <f>IFERROR(
  _xlfn.XLOOKUP(AM10,'2) หลักการคำนวน Table'!$C$3:$K$3,'2) หลักการคำนวน Table'!$C$3:$K$3,,1),
  IF(AM10&lt;MIN('2) หลักการคำนวน Table'!$C$3:$K$3),
     MIN('2) หลักการคำนวน Table'!$C$3:$K$3),
     MAX('2) หลักการคำนวน Table'!$C$3:$K$3)
  )
)</f>
        <v>0.9</v>
      </c>
      <c r="AZ10" s="299" cm="1">
        <f t="array" ref="AZ10">ROUND((_xlfn.XLOOKUP($C10,'2) หลักการคำนวน Table'!$A$4:$A$36,
_xlfn.XLOOKUP(AN10,'2)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222</v>
      </c>
      <c r="BA10" s="299" cm="1">
        <f t="array" ref="BA10">ROUND((_xlfn.XLOOKUP($C10,'2) หลักการคำนวน Table'!$A$4:$A$36,
_xlfn.XLOOKUP(AO10,'2)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200</v>
      </c>
      <c r="BB10" s="299" cm="1">
        <f t="array" ref="BB10">ROUND((_xlfn.XLOOKUP($C10,'2) หลักการคำนวน Table'!$A$4:$A$36,
_xlfn.XLOOKUP(AP10,'2)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200</v>
      </c>
      <c r="BC10" s="299" cm="1">
        <f t="array" ref="BC10">ROUND((_xlfn.XLOOKUP($C10,'2) หลักการคำนวน Table'!$A$4:$A$36,
_xlfn.XLOOKUP(AQ10,'2)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200</v>
      </c>
      <c r="BD10" s="299" cm="1">
        <f t="array" ref="BD10">ROUND((_xlfn.XLOOKUP($C10,'2) หลักการคำนวน Table'!$A$4:$A$36,
_xlfn.XLOOKUP(AR10,'2)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200</v>
      </c>
      <c r="BE10" s="299" cm="1">
        <f t="array" ref="BE10">ROUND((_xlfn.XLOOKUP($C10,'2) หลักการคำนวน Table'!$A$4:$A$36,
_xlfn.XLOOKUP(AS10,'2)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200</v>
      </c>
      <c r="BF10" s="299" cm="1">
        <f t="array" ref="BF10">ROUND((_xlfn.XLOOKUP($C10,'2) หลักการคำนวน Table'!$A$4:$A$36,
_xlfn.XLOOKUP(AT10,'2)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200</v>
      </c>
      <c r="BG10" s="299" cm="1">
        <f t="array" ref="BG10">ROUND((_xlfn.XLOOKUP($C10,'2) หลักการคำนวน Table'!$A$4:$A$36,
_xlfn.XLOOKUP(AU10,'2)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200</v>
      </c>
      <c r="BH10" s="299" cm="1">
        <f t="array" ref="BH10">ROUND((_xlfn.XLOOKUP($C10,'2) หลักการคำนวน Table'!$A$4:$A$36,
_xlfn.XLOOKUP(AV10,'2)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200</v>
      </c>
      <c r="BI10" s="299" cm="1">
        <f t="array" ref="BI10">ROUND((_xlfn.XLOOKUP($C10,'2) หลักการคำนวน Table'!$A$4:$A$36,
_xlfn.XLOOKUP(AW10,'2)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200</v>
      </c>
      <c r="BJ10" s="299" cm="1">
        <f t="array" ref="BJ10">ROUND((_xlfn.XLOOKUP($C10,'2) หลักการคำนวน Table'!$A$4:$A$36,
_xlfn.XLOOKUP(AX10,'2)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200</v>
      </c>
      <c r="BK10" s="299" cm="1">
        <f t="array" ref="BK10">ROUND((_xlfn.XLOOKUP($C10,'2) หลักการคำนวน Table'!$A$4:$A$36,
_xlfn.XLOOKUP(AY10,'2)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200</v>
      </c>
      <c r="BM10" s="295">
        <v>222209</v>
      </c>
      <c r="BN10" s="300">
        <v>222</v>
      </c>
    </row>
    <row r="11" spans="1:66" ht="14.7" customHeight="1" x14ac:dyDescent="0.25">
      <c r="A11" s="295">
        <f>VLOOKUP(C11,ASTBase!E:S,13,FALSE)</f>
        <v>222208</v>
      </c>
      <c r="B11" s="295" t="s">
        <v>409</v>
      </c>
      <c r="C11" s="295">
        <v>5490000718</v>
      </c>
      <c r="D11" s="296">
        <v>300</v>
      </c>
      <c r="E11" s="296">
        <v>245</v>
      </c>
      <c r="F11" s="296">
        <v>250</v>
      </c>
      <c r="G11" s="296">
        <v>284</v>
      </c>
      <c r="H11" s="296">
        <v>285</v>
      </c>
      <c r="I11" s="296">
        <v>260</v>
      </c>
      <c r="J11" s="296">
        <v>330</v>
      </c>
      <c r="K11" s="296">
        <v>215</v>
      </c>
      <c r="L11" s="296">
        <v>230</v>
      </c>
      <c r="M11" s="296">
        <v>380</v>
      </c>
      <c r="N11" s="296">
        <v>290</v>
      </c>
      <c r="O11" s="296">
        <v>215</v>
      </c>
      <c r="P11" s="295">
        <v>455.03999999999996</v>
      </c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7">
        <f>IFERROR(IF(VLOOKUP($B11,Shortage!$A:$M,AB$2,FALSE)="Shortage",1,IFERROR(ROUND(P11/D11,4),0)),IFERROR(ROUND(P11/D11,4),0))</f>
        <v>1.5167999999999999</v>
      </c>
      <c r="AC11" s="297">
        <f>IFERROR(IF(VLOOKUP($B11,Shortage!$A:$M,AC$2,FALSE)="Shortage",1,IFERROR(ROUND(Q11/E11,4),0)),IFERROR(ROUND(Q11/E11,4),0))</f>
        <v>0</v>
      </c>
      <c r="AD11" s="297">
        <f>IFERROR(IF(VLOOKUP($B11,Shortage!$A:$M,AD$2,FALSE)="Shortage",1,IFERROR(ROUND(R11/F11,4),0)),IFERROR(ROUND(R11/F11,4),0))</f>
        <v>0</v>
      </c>
      <c r="AE11" s="297">
        <f>IFERROR(IF(VLOOKUP($B11,Shortage!$A:$M,AE$2,FALSE)="Shortage",1,IFERROR(ROUND(S11/G11,4),0)),IFERROR(ROUND(S11/G11,4),0))</f>
        <v>0</v>
      </c>
      <c r="AF11" s="297">
        <f>IFERROR(IF(VLOOKUP($B11,Shortage!$A:$M,AF$2,FALSE)="Shortage",1,IFERROR(ROUND(T11/H11,4),0)),IFERROR(ROUND(T11/H11,4),0))</f>
        <v>0</v>
      </c>
      <c r="AG11" s="297">
        <f>IFERROR(IF(VLOOKUP($B11,Shortage!$A:$M,AG$2,FALSE)="Shortage",1,IFERROR(ROUND(U11/I11,4),0)),IFERROR(ROUND(U11/I11,4),0))</f>
        <v>0</v>
      </c>
      <c r="AH11" s="297">
        <f>IFERROR(IF(VLOOKUP($B11,Shortage!$A:$M,AH$2,FALSE)="Shortage",1,IFERROR(ROUND(V11/J11,4),0)),IFERROR(ROUND(V11/J11,4),0))</f>
        <v>0</v>
      </c>
      <c r="AI11" s="297">
        <f>IFERROR(IF(VLOOKUP($B11,Shortage!$A:$M,AI$2,FALSE)="Shortage",1,IFERROR(ROUND(W11/K11,4),0)),IFERROR(ROUND(W11/K11,4),0))</f>
        <v>0</v>
      </c>
      <c r="AJ11" s="297">
        <f>IFERROR(IF(VLOOKUP($B11,Shortage!$A:$M,AJ$2,FALSE)="Shortage",1,IFERROR(ROUND(X11/L11,4),0)),IFERROR(ROUND(X11/L11,4),0))</f>
        <v>0</v>
      </c>
      <c r="AK11" s="297">
        <f>IFERROR(IF(VLOOKUP($B11,Shortage!$A:$M,AK$2,FALSE)="Shortage",1,IFERROR(ROUND(Y11/M11,4),0)),IFERROR(ROUND(Y11/M11,4),0))</f>
        <v>0</v>
      </c>
      <c r="AL11" s="297">
        <f>IFERROR(IF(VLOOKUP($B11,Shortage!$A:$M,AL$2,FALSE)="Shortage",1,IFERROR(ROUND(Z11/N11,4),0)),IFERROR(ROUND(Z11/N11,4),0))</f>
        <v>0</v>
      </c>
      <c r="AM11" s="297">
        <f>IFERROR(IF(VLOOKUP($B11,Shortage!$A:$M,AM$2,FALSE)="Shortage",1,IFERROR(ROUND(AA11/O11,4),0)),IFERROR(ROUND(AA11/O11,4),0))</f>
        <v>0</v>
      </c>
      <c r="AN11" s="298">
        <f>IFERROR(_xlfn.XLOOKUP(AB11,'2) หลักการคำนวน Table'!$C$3:$K$3,'2) หลักการคำนวน Table'!$C$3:$K$3,,1),INDEX('2) หลักการคำนวน Table'!$C$3:$K$3,1))</f>
        <v>20</v>
      </c>
      <c r="AO11" s="298">
        <f>IFERROR(
  _xlfn.XLOOKUP(AC11,'2) หลักการคำนวน Table'!$C$3:$K$3,'2) หลักการคำนวน Table'!$C$3:$K$3,,1),
  IF(AC11&lt;MIN('2) หลักการคำนวน Table'!$C$3:$K$3),
     MIN('2) หลักการคำนวน Table'!$C$3:$K$3),
     MAX('2) หลักการคำนวน Table'!$C$3:$K$3)
  )
)</f>
        <v>0.9</v>
      </c>
      <c r="AP11" s="298">
        <f>IFERROR(
  _xlfn.XLOOKUP(AD11,'2) หลักการคำนวน Table'!$C$3:$K$3,'2) หลักการคำนวน Table'!$C$3:$K$3,,1),
  IF(AD11&lt;MIN('2) หลักการคำนวน Table'!$C$3:$K$3),
     MIN('2) หลักการคำนวน Table'!$C$3:$K$3),
     MAX('2) หลักการคำนวน Table'!$C$3:$K$3)
  )
)</f>
        <v>0.9</v>
      </c>
      <c r="AQ11" s="298">
        <f>IFERROR(
  _xlfn.XLOOKUP(AE11,'2) หลักการคำนวน Table'!$C$3:$K$3,'2) หลักการคำนวน Table'!$C$3:$K$3,,1),
  IF(AE11&lt;MIN('2) หลักการคำนวน Table'!$C$3:$K$3),
     MIN('2) หลักการคำนวน Table'!$C$3:$K$3),
     MAX('2) หลักการคำนวน Table'!$C$3:$K$3)
  )
)</f>
        <v>0.9</v>
      </c>
      <c r="AR11" s="298">
        <f>IFERROR(
  _xlfn.XLOOKUP(AF11,'2) หลักการคำนวน Table'!$C$3:$K$3,'2) หลักการคำนวน Table'!$C$3:$K$3,,1),
  IF(AF11&lt;MIN('2) หลักการคำนวน Table'!$C$3:$K$3),
     MIN('2) หลักการคำนวน Table'!$C$3:$K$3),
     MAX('2) หลักการคำนวน Table'!$C$3:$K$3)
  )
)</f>
        <v>0.9</v>
      </c>
      <c r="AS11" s="298">
        <f>IFERROR(
  _xlfn.XLOOKUP(AG11,'2) หลักการคำนวน Table'!$C$3:$K$3,'2) หลักการคำนวน Table'!$C$3:$K$3,,1),
  IF(AG11&lt;MIN('2) หลักการคำนวน Table'!$C$3:$K$3),
     MIN('2) หลักการคำนวน Table'!$C$3:$K$3),
     MAX('2) หลักการคำนวน Table'!$C$3:$K$3)
  )
)</f>
        <v>0.9</v>
      </c>
      <c r="AT11" s="298">
        <f>IFERROR(
  _xlfn.XLOOKUP(AH11,'2) หลักการคำนวน Table'!$C$3:$K$3,'2) หลักการคำนวน Table'!$C$3:$K$3,,1),
  IF(AH11&lt;MIN('2) หลักการคำนวน Table'!$C$3:$K$3),
     MIN('2) หลักการคำนวน Table'!$C$3:$K$3),
     MAX('2) หลักการคำนวน Table'!$C$3:$K$3)
  )
)</f>
        <v>0.9</v>
      </c>
      <c r="AU11" s="298">
        <f>IFERROR(
  _xlfn.XLOOKUP(AI11,'2) หลักการคำนวน Table'!$C$3:$K$3,'2) หลักการคำนวน Table'!$C$3:$K$3,,1),
  IF(AI11&lt;MIN('2) หลักการคำนวน Table'!$C$3:$K$3),
     MIN('2) หลักการคำนวน Table'!$C$3:$K$3),
     MAX('2) หลักการคำนวน Table'!$C$3:$K$3)
  )
)</f>
        <v>0.9</v>
      </c>
      <c r="AV11" s="298">
        <f>IFERROR(
  _xlfn.XLOOKUP(AJ11,'2) หลักการคำนวน Table'!$C$3:$K$3,'2) หลักการคำนวน Table'!$C$3:$K$3,,1),
  IF(AJ11&lt;MIN('2) หลักการคำนวน Table'!$C$3:$K$3),
     MIN('2) หลักการคำนวน Table'!$C$3:$K$3),
     MAX('2) หลักการคำนวน Table'!$C$3:$K$3)
  )
)</f>
        <v>0.9</v>
      </c>
      <c r="AW11" s="298">
        <f>IFERROR(
  _xlfn.XLOOKUP(AK11,'2) หลักการคำนวน Table'!$C$3:$K$3,'2) หลักการคำนวน Table'!$C$3:$K$3,,1),
  IF(AK11&lt;MIN('2) หลักการคำนวน Table'!$C$3:$K$3),
     MIN('2) หลักการคำนวน Table'!$C$3:$K$3),
     MAX('2) หลักการคำนวน Table'!$C$3:$K$3)
  )
)</f>
        <v>0.9</v>
      </c>
      <c r="AX11" s="298">
        <f>IFERROR(
  _xlfn.XLOOKUP(AL11,'2) หลักการคำนวน Table'!$C$3:$K$3,'2) หลักการคำนวน Table'!$C$3:$K$3,,1),
  IF(AL11&lt;MIN('2) หลักการคำนวน Table'!$C$3:$K$3),
     MIN('2) หลักการคำนวน Table'!$C$3:$K$3),
     MAX('2) หลักการคำนวน Table'!$C$3:$K$3)
  )
)</f>
        <v>0.9</v>
      </c>
      <c r="AY11" s="298">
        <f>IFERROR(
  _xlfn.XLOOKUP(AM11,'2) หลักการคำนวน Table'!$C$3:$K$3,'2) หลักการคำนวน Table'!$C$3:$K$3,,1),
  IF(AM11&lt;MIN('2) หลักการคำนวน Table'!$C$3:$K$3),
     MIN('2) หลักการคำนวน Table'!$C$3:$K$3),
     MAX('2) หลักการคำนวน Table'!$C$3:$K$3)
  )
)</f>
        <v>0.9</v>
      </c>
      <c r="AZ11" s="299" cm="1">
        <f t="array" ref="AZ11">ROUND((_xlfn.XLOOKUP($C11,'2) หลักการคำนวน Table'!$A$4:$A$36,
_xlfn.XLOOKUP(AN11,'2)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578</v>
      </c>
      <c r="BA11" s="299" cm="1">
        <f t="array" ref="BA11">ROUND((_xlfn.XLOOKUP($C11,'2) หลักการคำนวน Table'!$A$4:$A$36,
_xlfn.XLOOKUP(AO11,'2)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400</v>
      </c>
      <c r="BB11" s="299" cm="1">
        <f t="array" ref="BB11">ROUND((_xlfn.XLOOKUP($C11,'2) หลักการคำนวน Table'!$A$4:$A$36,
_xlfn.XLOOKUP(AP11,'2)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400</v>
      </c>
      <c r="BC11" s="299" cm="1">
        <f t="array" ref="BC11">ROUND((_xlfn.XLOOKUP($C11,'2) หลักการคำนวน Table'!$A$4:$A$36,
_xlfn.XLOOKUP(AQ11,'2)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400</v>
      </c>
      <c r="BD11" s="299" cm="1">
        <f t="array" ref="BD11">ROUND((_xlfn.XLOOKUP($C11,'2) หลักการคำนวน Table'!$A$4:$A$36,
_xlfn.XLOOKUP(AR11,'2)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400</v>
      </c>
      <c r="BE11" s="299" cm="1">
        <f t="array" ref="BE11">ROUND((_xlfn.XLOOKUP($C11,'2) หลักการคำนวน Table'!$A$4:$A$36,
_xlfn.XLOOKUP(AS11,'2)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400</v>
      </c>
      <c r="BF11" s="299" cm="1">
        <f t="array" ref="BF11">ROUND((_xlfn.XLOOKUP($C11,'2) หลักการคำนวน Table'!$A$4:$A$36,
_xlfn.XLOOKUP(AT11,'2)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400</v>
      </c>
      <c r="BG11" s="299" cm="1">
        <f t="array" ref="BG11">ROUND((_xlfn.XLOOKUP($C11,'2) หลักการคำนวน Table'!$A$4:$A$36,
_xlfn.XLOOKUP(AU11,'2)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400</v>
      </c>
      <c r="BH11" s="299" cm="1">
        <f t="array" ref="BH11">ROUND((_xlfn.XLOOKUP($C11,'2) หลักการคำนวน Table'!$A$4:$A$36,
_xlfn.XLOOKUP(AV11,'2)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400</v>
      </c>
      <c r="BI11" s="299" cm="1">
        <f t="array" ref="BI11">ROUND((_xlfn.XLOOKUP($C11,'2) หลักการคำนวน Table'!$A$4:$A$36,
_xlfn.XLOOKUP(AW11,'2)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400</v>
      </c>
      <c r="BJ11" s="299" cm="1">
        <f t="array" ref="BJ11">ROUND((_xlfn.XLOOKUP($C11,'2) หลักการคำนวน Table'!$A$4:$A$36,
_xlfn.XLOOKUP(AX11,'2)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400</v>
      </c>
      <c r="BK11" s="299" cm="1">
        <f t="array" ref="BK11">ROUND((_xlfn.XLOOKUP($C11,'2) หลักการคำนวน Table'!$A$4:$A$36,
_xlfn.XLOOKUP(AY11,'2)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400</v>
      </c>
      <c r="BM11" s="295">
        <v>222209</v>
      </c>
      <c r="BN11" s="300">
        <v>578</v>
      </c>
    </row>
    <row r="12" spans="1:66" ht="14.7" customHeight="1" x14ac:dyDescent="0.25">
      <c r="A12" s="295">
        <f>VLOOKUP(C12,ASTBase!E:S,13,FALSE)</f>
        <v>222208</v>
      </c>
      <c r="B12" s="295" t="s">
        <v>410</v>
      </c>
      <c r="C12" s="295">
        <v>5490000718</v>
      </c>
      <c r="D12" s="296">
        <v>303</v>
      </c>
      <c r="E12" s="296">
        <v>165</v>
      </c>
      <c r="F12" s="296">
        <v>249</v>
      </c>
      <c r="G12" s="296">
        <v>229</v>
      </c>
      <c r="H12" s="296">
        <v>160</v>
      </c>
      <c r="I12" s="296">
        <v>250</v>
      </c>
      <c r="J12" s="296">
        <v>230</v>
      </c>
      <c r="K12" s="296">
        <v>180</v>
      </c>
      <c r="L12" s="296">
        <v>270</v>
      </c>
      <c r="M12" s="296">
        <v>205</v>
      </c>
      <c r="N12" s="296">
        <v>190</v>
      </c>
      <c r="O12" s="296">
        <v>230</v>
      </c>
      <c r="P12" s="295">
        <v>221</v>
      </c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7">
        <f>IFERROR(IF(VLOOKUP($B12,Shortage!$A:$M,AB$2,FALSE)="Shortage",1,IFERROR(ROUND(P12/D12,4),0)),IFERROR(ROUND(P12/D12,4),0))</f>
        <v>0.72940000000000005</v>
      </c>
      <c r="AC12" s="297">
        <f>IFERROR(IF(VLOOKUP($B12,Shortage!$A:$M,AC$2,FALSE)="Shortage",1,IFERROR(ROUND(Q12/E12,4),0)),IFERROR(ROUND(Q12/E12,4),0))</f>
        <v>0</v>
      </c>
      <c r="AD12" s="297">
        <f>IFERROR(IF(VLOOKUP($B12,Shortage!$A:$M,AD$2,FALSE)="Shortage",1,IFERROR(ROUND(R12/F12,4),0)),IFERROR(ROUND(R12/F12,4),0))</f>
        <v>0</v>
      </c>
      <c r="AE12" s="297">
        <f>IFERROR(IF(VLOOKUP($B12,Shortage!$A:$M,AE$2,FALSE)="Shortage",1,IFERROR(ROUND(S12/G12,4),0)),IFERROR(ROUND(S12/G12,4),0))</f>
        <v>0</v>
      </c>
      <c r="AF12" s="297">
        <f>IFERROR(IF(VLOOKUP($B12,Shortage!$A:$M,AF$2,FALSE)="Shortage",1,IFERROR(ROUND(T12/H12,4),0)),IFERROR(ROUND(T12/H12,4),0))</f>
        <v>0</v>
      </c>
      <c r="AG12" s="297">
        <f>IFERROR(IF(VLOOKUP($B12,Shortage!$A:$M,AG$2,FALSE)="Shortage",1,IFERROR(ROUND(U12/I12,4),0)),IFERROR(ROUND(U12/I12,4),0))</f>
        <v>0</v>
      </c>
      <c r="AH12" s="297">
        <f>IFERROR(IF(VLOOKUP($B12,Shortage!$A:$M,AH$2,FALSE)="Shortage",1,IFERROR(ROUND(V12/J12,4),0)),IFERROR(ROUND(V12/J12,4),0))</f>
        <v>0</v>
      </c>
      <c r="AI12" s="297">
        <f>IFERROR(IF(VLOOKUP($B12,Shortage!$A:$M,AI$2,FALSE)="Shortage",1,IFERROR(ROUND(W12/K12,4),0)),IFERROR(ROUND(W12/K12,4),0))</f>
        <v>0</v>
      </c>
      <c r="AJ12" s="297">
        <f>IFERROR(IF(VLOOKUP($B12,Shortage!$A:$M,AJ$2,FALSE)="Shortage",1,IFERROR(ROUND(X12/L12,4),0)),IFERROR(ROUND(X12/L12,4),0))</f>
        <v>0</v>
      </c>
      <c r="AK12" s="297">
        <f>IFERROR(IF(VLOOKUP($B12,Shortage!$A:$M,AK$2,FALSE)="Shortage",1,IFERROR(ROUND(Y12/M12,4),0)),IFERROR(ROUND(Y12/M12,4),0))</f>
        <v>0</v>
      </c>
      <c r="AL12" s="297">
        <f>IFERROR(IF(VLOOKUP($B12,Shortage!$A:$M,AL$2,FALSE)="Shortage",1,IFERROR(ROUND(Z12/N12,4),0)),IFERROR(ROUND(Z12/N12,4),0))</f>
        <v>0</v>
      </c>
      <c r="AM12" s="297">
        <f>IFERROR(IF(VLOOKUP($B12,Shortage!$A:$M,AM$2,FALSE)="Shortage",1,IFERROR(ROUND(AA12/O12,4),0)),IFERROR(ROUND(AA12/O12,4),0))</f>
        <v>0</v>
      </c>
      <c r="AN12" s="298">
        <f>IFERROR(_xlfn.XLOOKUP(AB12,'2) หลักการคำนวน Table'!$C$3:$K$3,'2) หลักการคำนวน Table'!$C$3:$K$3,,1),INDEX('2) หลักการคำนวน Table'!$C$3:$K$3,1))</f>
        <v>0.9</v>
      </c>
      <c r="AO12" s="298">
        <f>IFERROR(
  _xlfn.XLOOKUP(AC12,'2) หลักการคำนวน Table'!$C$3:$K$3,'2) หลักการคำนวน Table'!$C$3:$K$3,,1),
  IF(AC12&lt;MIN('2) หลักการคำนวน Table'!$C$3:$K$3),
     MIN('2) หลักการคำนวน Table'!$C$3:$K$3),
     MAX('2) หลักการคำนวน Table'!$C$3:$K$3)
  )
)</f>
        <v>0.9</v>
      </c>
      <c r="AP12" s="298">
        <f>IFERROR(
  _xlfn.XLOOKUP(AD12,'2) หลักการคำนวน Table'!$C$3:$K$3,'2) หลักการคำนวน Table'!$C$3:$K$3,,1),
  IF(AD12&lt;MIN('2) หลักการคำนวน Table'!$C$3:$K$3),
     MIN('2) หลักการคำนวน Table'!$C$3:$K$3),
     MAX('2) หลักการคำนวน Table'!$C$3:$K$3)
  )
)</f>
        <v>0.9</v>
      </c>
      <c r="AQ12" s="298">
        <f>IFERROR(
  _xlfn.XLOOKUP(AE12,'2) หลักการคำนวน Table'!$C$3:$K$3,'2) หลักการคำนวน Table'!$C$3:$K$3,,1),
  IF(AE12&lt;MIN('2) หลักการคำนวน Table'!$C$3:$K$3),
     MIN('2) หลักการคำนวน Table'!$C$3:$K$3),
     MAX('2) หลักการคำนวน Table'!$C$3:$K$3)
  )
)</f>
        <v>0.9</v>
      </c>
      <c r="AR12" s="298">
        <f>IFERROR(
  _xlfn.XLOOKUP(AF12,'2) หลักการคำนวน Table'!$C$3:$K$3,'2) หลักการคำนวน Table'!$C$3:$K$3,,1),
  IF(AF12&lt;MIN('2) หลักการคำนวน Table'!$C$3:$K$3),
     MIN('2) หลักการคำนวน Table'!$C$3:$K$3),
     MAX('2) หลักการคำนวน Table'!$C$3:$K$3)
  )
)</f>
        <v>0.9</v>
      </c>
      <c r="AS12" s="298">
        <f>IFERROR(
  _xlfn.XLOOKUP(AG12,'2) หลักการคำนวน Table'!$C$3:$K$3,'2) หลักการคำนวน Table'!$C$3:$K$3,,1),
  IF(AG12&lt;MIN('2) หลักการคำนวน Table'!$C$3:$K$3),
     MIN('2) หลักการคำนวน Table'!$C$3:$K$3),
     MAX('2) หลักการคำนวน Table'!$C$3:$K$3)
  )
)</f>
        <v>0.9</v>
      </c>
      <c r="AT12" s="298">
        <f>IFERROR(
  _xlfn.XLOOKUP(AH12,'2) หลักการคำนวน Table'!$C$3:$K$3,'2) หลักการคำนวน Table'!$C$3:$K$3,,1),
  IF(AH12&lt;MIN('2) หลักการคำนวน Table'!$C$3:$K$3),
     MIN('2) หลักการคำนวน Table'!$C$3:$K$3),
     MAX('2) หลักการคำนวน Table'!$C$3:$K$3)
  )
)</f>
        <v>0.9</v>
      </c>
      <c r="AU12" s="298">
        <f>IFERROR(
  _xlfn.XLOOKUP(AI12,'2) หลักการคำนวน Table'!$C$3:$K$3,'2) หลักการคำนวน Table'!$C$3:$K$3,,1),
  IF(AI12&lt;MIN('2) หลักการคำนวน Table'!$C$3:$K$3),
     MIN('2) หลักการคำนวน Table'!$C$3:$K$3),
     MAX('2) หลักการคำนวน Table'!$C$3:$K$3)
  )
)</f>
        <v>0.9</v>
      </c>
      <c r="AV12" s="298">
        <f>IFERROR(
  _xlfn.XLOOKUP(AJ12,'2) หลักการคำนวน Table'!$C$3:$K$3,'2) หลักการคำนวน Table'!$C$3:$K$3,,1),
  IF(AJ12&lt;MIN('2) หลักการคำนวน Table'!$C$3:$K$3),
     MIN('2) หลักการคำนวน Table'!$C$3:$K$3),
     MAX('2) หลักการคำนวน Table'!$C$3:$K$3)
  )
)</f>
        <v>0.9</v>
      </c>
      <c r="AW12" s="298">
        <f>IFERROR(
  _xlfn.XLOOKUP(AK12,'2) หลักการคำนวน Table'!$C$3:$K$3,'2) หลักการคำนวน Table'!$C$3:$K$3,,1),
  IF(AK12&lt;MIN('2) หลักการคำนวน Table'!$C$3:$K$3),
     MIN('2) หลักการคำนวน Table'!$C$3:$K$3),
     MAX('2) หลักการคำนวน Table'!$C$3:$K$3)
  )
)</f>
        <v>0.9</v>
      </c>
      <c r="AX12" s="298">
        <f>IFERROR(
  _xlfn.XLOOKUP(AL12,'2) หลักการคำนวน Table'!$C$3:$K$3,'2) หลักการคำนวน Table'!$C$3:$K$3,,1),
  IF(AL12&lt;MIN('2) หลักการคำนวน Table'!$C$3:$K$3),
     MIN('2) หลักการคำนวน Table'!$C$3:$K$3),
     MAX('2) หลักการคำนวน Table'!$C$3:$K$3)
  )
)</f>
        <v>0.9</v>
      </c>
      <c r="AY12" s="298">
        <f>IFERROR(
  _xlfn.XLOOKUP(AM12,'2) หลักการคำนวน Table'!$C$3:$K$3,'2) หลักการคำนวน Table'!$C$3:$K$3,,1),
  IF(AM12&lt;MIN('2) หลักการคำนวน Table'!$C$3:$K$3),
     MIN('2) หลักการคำนวน Table'!$C$3:$K$3),
     MAX('2) หลักการคำนวน Table'!$C$3:$K$3)
  )
)</f>
        <v>0.9</v>
      </c>
      <c r="AZ12" s="299" cm="1">
        <f t="array" ref="AZ12">ROUND((_xlfn.XLOOKUP($C12,'2) หลักการคำนวน Table'!$A$4:$A$36,
_xlfn.XLOOKUP(AN12,'2)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A12" s="299" cm="1">
        <f t="array" ref="BA12">ROUND((_xlfn.XLOOKUP($C12,'2) หลักการคำนวน Table'!$A$4:$A$36,
_xlfn.XLOOKUP(AO12,'2)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B12" s="299" cm="1">
        <f t="array" ref="BB12">ROUND((_xlfn.XLOOKUP($C12,'2) หลักการคำนวน Table'!$A$4:$A$36,
_xlfn.XLOOKUP(AP12,'2)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C12" s="299" cm="1">
        <f t="array" ref="BC12">ROUND((_xlfn.XLOOKUP($C12,'2) หลักการคำนวน Table'!$A$4:$A$36,
_xlfn.XLOOKUP(AQ12,'2)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D12" s="299" cm="1">
        <f t="array" ref="BD12">ROUND((_xlfn.XLOOKUP($C12,'2) หลักการคำนวน Table'!$A$4:$A$36,
_xlfn.XLOOKUP(AR12,'2)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E12" s="299" cm="1">
        <f t="array" ref="BE12">ROUND((_xlfn.XLOOKUP($C12,'2) หลักการคำนวน Table'!$A$4:$A$36,
_xlfn.XLOOKUP(AS12,'2)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F12" s="299" cm="1">
        <f t="array" ref="BF12">ROUND((_xlfn.XLOOKUP($C12,'2) หลักการคำนวน Table'!$A$4:$A$36,
_xlfn.XLOOKUP(AT12,'2)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G12" s="299" cm="1">
        <f t="array" ref="BG12">ROUND((_xlfn.XLOOKUP($C12,'2) หลักการคำนวน Table'!$A$4:$A$36,
_xlfn.XLOOKUP(AU12,'2)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H12" s="299" cm="1">
        <f t="array" ref="BH12">ROUND((_xlfn.XLOOKUP($C12,'2) หลักการคำนวน Table'!$A$4:$A$36,
_xlfn.XLOOKUP(AV12,'2)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I12" s="299" cm="1">
        <f t="array" ref="BI12">ROUND((_xlfn.XLOOKUP($C12,'2) หลักการคำนวน Table'!$A$4:$A$36,
_xlfn.XLOOKUP(AW12,'2)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J12" s="299" cm="1">
        <f t="array" ref="BJ12">ROUND((_xlfn.XLOOKUP($C12,'2) หลักการคำนวน Table'!$A$4:$A$36,
_xlfn.XLOOKUP(AX12,'2)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K12" s="299" cm="1">
        <f t="array" ref="BK12">ROUND((_xlfn.XLOOKUP($C12,'2) หลักการคำนวน Table'!$A$4:$A$36,
_xlfn.XLOOKUP(AY12,'2)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400</v>
      </c>
      <c r="BM12" s="295">
        <v>222209</v>
      </c>
      <c r="BN12" s="300">
        <v>400</v>
      </c>
    </row>
    <row r="13" spans="1:66" ht="14.7" customHeight="1" x14ac:dyDescent="0.25">
      <c r="A13" s="295">
        <f>VLOOKUP(C13,ASTBase!E:S,13,FALSE)</f>
        <v>222208</v>
      </c>
      <c r="B13" s="295" t="s">
        <v>415</v>
      </c>
      <c r="C13" s="295">
        <v>5490000718</v>
      </c>
      <c r="D13" s="296">
        <v>150</v>
      </c>
      <c r="E13" s="296">
        <v>175</v>
      </c>
      <c r="F13" s="296">
        <v>104</v>
      </c>
      <c r="G13" s="296">
        <v>104</v>
      </c>
      <c r="H13" s="296">
        <v>130</v>
      </c>
      <c r="I13" s="296">
        <v>120</v>
      </c>
      <c r="J13" s="296">
        <v>100</v>
      </c>
      <c r="K13" s="296">
        <v>130</v>
      </c>
      <c r="L13" s="296">
        <v>130</v>
      </c>
      <c r="M13" s="296">
        <v>650</v>
      </c>
      <c r="N13" s="296">
        <v>120</v>
      </c>
      <c r="O13" s="296">
        <v>110</v>
      </c>
      <c r="P13" s="295">
        <v>118.79999999999998</v>
      </c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5"/>
      <c r="AB13" s="297">
        <f>IFERROR(IF(VLOOKUP($B13,Shortage!$A:$M,AB$2,FALSE)="Shortage",1,IFERROR(ROUND(P13/D13,4),0)),IFERROR(ROUND(P13/D13,4),0))</f>
        <v>0.79200000000000004</v>
      </c>
      <c r="AC13" s="297">
        <f>IFERROR(IF(VLOOKUP($B13,Shortage!$A:$M,AC$2,FALSE)="Shortage",1,IFERROR(ROUND(Q13/E13,4),0)),IFERROR(ROUND(Q13/E13,4),0))</f>
        <v>0</v>
      </c>
      <c r="AD13" s="297">
        <f>IFERROR(IF(VLOOKUP($B13,Shortage!$A:$M,AD$2,FALSE)="Shortage",1,IFERROR(ROUND(R13/F13,4),0)),IFERROR(ROUND(R13/F13,4),0))</f>
        <v>0</v>
      </c>
      <c r="AE13" s="297">
        <f>IFERROR(IF(VLOOKUP($B13,Shortage!$A:$M,AE$2,FALSE)="Shortage",1,IFERROR(ROUND(S13/G13,4),0)),IFERROR(ROUND(S13/G13,4),0))</f>
        <v>0</v>
      </c>
      <c r="AF13" s="297">
        <f>IFERROR(IF(VLOOKUP($B13,Shortage!$A:$M,AF$2,FALSE)="Shortage",1,IFERROR(ROUND(T13/H13,4),0)),IFERROR(ROUND(T13/H13,4),0))</f>
        <v>0</v>
      </c>
      <c r="AG13" s="297">
        <f>IFERROR(IF(VLOOKUP($B13,Shortage!$A:$M,AG$2,FALSE)="Shortage",1,IFERROR(ROUND(U13/I13,4),0)),IFERROR(ROUND(U13/I13,4),0))</f>
        <v>0</v>
      </c>
      <c r="AH13" s="297">
        <f>IFERROR(IF(VLOOKUP($B13,Shortage!$A:$M,AH$2,FALSE)="Shortage",1,IFERROR(ROUND(V13/J13,4),0)),IFERROR(ROUND(V13/J13,4),0))</f>
        <v>0</v>
      </c>
      <c r="AI13" s="297">
        <f>IFERROR(IF(VLOOKUP($B13,Shortage!$A:$M,AI$2,FALSE)="Shortage",1,IFERROR(ROUND(W13/K13,4),0)),IFERROR(ROUND(W13/K13,4),0))</f>
        <v>0</v>
      </c>
      <c r="AJ13" s="297">
        <f>IFERROR(IF(VLOOKUP($B13,Shortage!$A:$M,AJ$2,FALSE)="Shortage",1,IFERROR(ROUND(X13/L13,4),0)),IFERROR(ROUND(X13/L13,4),0))</f>
        <v>0</v>
      </c>
      <c r="AK13" s="297">
        <f>IFERROR(IF(VLOOKUP($B13,Shortage!$A:$M,AK$2,FALSE)="Shortage",1,IFERROR(ROUND(Y13/M13,4),0)),IFERROR(ROUND(Y13/M13,4),0))</f>
        <v>0</v>
      </c>
      <c r="AL13" s="297">
        <f>IFERROR(IF(VLOOKUP($B13,Shortage!$A:$M,AL$2,FALSE)="Shortage",1,IFERROR(ROUND(Z13/N13,4),0)),IFERROR(ROUND(Z13/N13,4),0))</f>
        <v>0</v>
      </c>
      <c r="AM13" s="297">
        <f>IFERROR(IF(VLOOKUP($B13,Shortage!$A:$M,AM$2,FALSE)="Shortage",1,IFERROR(ROUND(AA13/O13,4),0)),IFERROR(ROUND(AA13/O13,4),0))</f>
        <v>0</v>
      </c>
      <c r="AN13" s="298">
        <f>IFERROR(_xlfn.XLOOKUP(AB13,'2) หลักการคำนวน Table'!$C$3:$K$3,'2) หลักการคำนวน Table'!$C$3:$K$3,,1),INDEX('2) หลักการคำนวน Table'!$C$3:$K$3,1))</f>
        <v>0.9</v>
      </c>
      <c r="AO13" s="298">
        <f>IFERROR(
  _xlfn.XLOOKUP(AC13,'2) หลักการคำนวน Table'!$C$3:$K$3,'2) หลักการคำนวน Table'!$C$3:$K$3,,1),
  IF(AC13&lt;MIN('2) หลักการคำนวน Table'!$C$3:$K$3),
     MIN('2) หลักการคำนวน Table'!$C$3:$K$3),
     MAX('2) หลักการคำนวน Table'!$C$3:$K$3)
  )
)</f>
        <v>0.9</v>
      </c>
      <c r="AP13" s="298">
        <f>IFERROR(
  _xlfn.XLOOKUP(AD13,'2) หลักการคำนวน Table'!$C$3:$K$3,'2) หลักการคำนวน Table'!$C$3:$K$3,,1),
  IF(AD13&lt;MIN('2) หลักการคำนวน Table'!$C$3:$K$3),
     MIN('2) หลักการคำนวน Table'!$C$3:$K$3),
     MAX('2) หลักการคำนวน Table'!$C$3:$K$3)
  )
)</f>
        <v>0.9</v>
      </c>
      <c r="AQ13" s="298">
        <f>IFERROR(
  _xlfn.XLOOKUP(AE13,'2) หลักการคำนวน Table'!$C$3:$K$3,'2) หลักการคำนวน Table'!$C$3:$K$3,,1),
  IF(AE13&lt;MIN('2) หลักการคำนวน Table'!$C$3:$K$3),
     MIN('2) หลักการคำนวน Table'!$C$3:$K$3),
     MAX('2) หลักการคำนวน Table'!$C$3:$K$3)
  )
)</f>
        <v>0.9</v>
      </c>
      <c r="AR13" s="298">
        <f>IFERROR(
  _xlfn.XLOOKUP(AF13,'2) หลักการคำนวน Table'!$C$3:$K$3,'2) หลักการคำนวน Table'!$C$3:$K$3,,1),
  IF(AF13&lt;MIN('2) หลักการคำนวน Table'!$C$3:$K$3),
     MIN('2) หลักการคำนวน Table'!$C$3:$K$3),
     MAX('2) หลักการคำนวน Table'!$C$3:$K$3)
  )
)</f>
        <v>0.9</v>
      </c>
      <c r="AS13" s="298">
        <f>IFERROR(
  _xlfn.XLOOKUP(AG13,'2) หลักการคำนวน Table'!$C$3:$K$3,'2) หลักการคำนวน Table'!$C$3:$K$3,,1),
  IF(AG13&lt;MIN('2) หลักการคำนวน Table'!$C$3:$K$3),
     MIN('2) หลักการคำนวน Table'!$C$3:$K$3),
     MAX('2) หลักการคำนวน Table'!$C$3:$K$3)
  )
)</f>
        <v>0.9</v>
      </c>
      <c r="AT13" s="298">
        <f>IFERROR(
  _xlfn.XLOOKUP(AH13,'2) หลักการคำนวน Table'!$C$3:$K$3,'2) หลักการคำนวน Table'!$C$3:$K$3,,1),
  IF(AH13&lt;MIN('2) หลักการคำนวน Table'!$C$3:$K$3),
     MIN('2) หลักการคำนวน Table'!$C$3:$K$3),
     MAX('2) หลักการคำนวน Table'!$C$3:$K$3)
  )
)</f>
        <v>0.9</v>
      </c>
      <c r="AU13" s="298">
        <f>IFERROR(
  _xlfn.XLOOKUP(AI13,'2) หลักการคำนวน Table'!$C$3:$K$3,'2) หลักการคำนวน Table'!$C$3:$K$3,,1),
  IF(AI13&lt;MIN('2) หลักการคำนวน Table'!$C$3:$K$3),
     MIN('2) หลักการคำนวน Table'!$C$3:$K$3),
     MAX('2) หลักการคำนวน Table'!$C$3:$K$3)
  )
)</f>
        <v>0.9</v>
      </c>
      <c r="AV13" s="298">
        <f>IFERROR(
  _xlfn.XLOOKUP(AJ13,'2) หลักการคำนวน Table'!$C$3:$K$3,'2) หลักการคำนวน Table'!$C$3:$K$3,,1),
  IF(AJ13&lt;MIN('2) หลักการคำนวน Table'!$C$3:$K$3),
     MIN('2) หลักการคำนวน Table'!$C$3:$K$3),
     MAX('2) หลักการคำนวน Table'!$C$3:$K$3)
  )
)</f>
        <v>0.9</v>
      </c>
      <c r="AW13" s="298">
        <f>IFERROR(
  _xlfn.XLOOKUP(AK13,'2) หลักการคำนวน Table'!$C$3:$K$3,'2) หลักการคำนวน Table'!$C$3:$K$3,,1),
  IF(AK13&lt;MIN('2) หลักการคำนวน Table'!$C$3:$K$3),
     MIN('2) หลักการคำนวน Table'!$C$3:$K$3),
     MAX('2) หลักการคำนวน Table'!$C$3:$K$3)
  )
)</f>
        <v>0.9</v>
      </c>
      <c r="AX13" s="298">
        <f>IFERROR(
  _xlfn.XLOOKUP(AL13,'2) หลักการคำนวน Table'!$C$3:$K$3,'2) หลักการคำนวน Table'!$C$3:$K$3,,1),
  IF(AL13&lt;MIN('2) หลักการคำนวน Table'!$C$3:$K$3),
     MIN('2) หลักการคำนวน Table'!$C$3:$K$3),
     MAX('2) หลักการคำนวน Table'!$C$3:$K$3)
  )
)</f>
        <v>0.9</v>
      </c>
      <c r="AY13" s="298">
        <f>IFERROR(
  _xlfn.XLOOKUP(AM13,'2) หลักการคำนวน Table'!$C$3:$K$3,'2) หลักการคำนวน Table'!$C$3:$K$3,,1),
  IF(AM13&lt;MIN('2) หลักการคำนวน Table'!$C$3:$K$3),
     MIN('2) หลักการคำนวน Table'!$C$3:$K$3),
     MAX('2) หลักการคำนวน Table'!$C$3:$K$3)
  )
)</f>
        <v>0.9</v>
      </c>
      <c r="AZ13" s="299" cm="1">
        <f t="array" ref="AZ13">ROUND((_xlfn.XLOOKUP($C13,'2) หลักการคำนวน Table'!$A$4:$A$36,
_xlfn.XLOOKUP(AN13,'2)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A13" s="299" cm="1">
        <f t="array" ref="BA13">ROUND((_xlfn.XLOOKUP($C13,'2) หลักการคำนวน Table'!$A$4:$A$36,
_xlfn.XLOOKUP(AO13,'2)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B13" s="299" cm="1">
        <f t="array" ref="BB13">ROUND((_xlfn.XLOOKUP($C13,'2) หลักการคำนวน Table'!$A$4:$A$36,
_xlfn.XLOOKUP(AP13,'2)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C13" s="299" cm="1">
        <f t="array" ref="BC13">ROUND((_xlfn.XLOOKUP($C13,'2) หลักการคำนวน Table'!$A$4:$A$36,
_xlfn.XLOOKUP(AQ13,'2)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D13" s="299" cm="1">
        <f t="array" ref="BD13">ROUND((_xlfn.XLOOKUP($C13,'2) หลักการคำนวน Table'!$A$4:$A$36,
_xlfn.XLOOKUP(AR13,'2)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E13" s="299" cm="1">
        <f t="array" ref="BE13">ROUND((_xlfn.XLOOKUP($C13,'2) หลักการคำนวน Table'!$A$4:$A$36,
_xlfn.XLOOKUP(AS13,'2)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F13" s="299" cm="1">
        <f t="array" ref="BF13">ROUND((_xlfn.XLOOKUP($C13,'2) หลักการคำนวน Table'!$A$4:$A$36,
_xlfn.XLOOKUP(AT13,'2)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G13" s="299" cm="1">
        <f t="array" ref="BG13">ROUND((_xlfn.XLOOKUP($C13,'2) หลักการคำนวน Table'!$A$4:$A$36,
_xlfn.XLOOKUP(AU13,'2)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H13" s="299" cm="1">
        <f t="array" ref="BH13">ROUND((_xlfn.XLOOKUP($C13,'2) หลักการคำนวน Table'!$A$4:$A$36,
_xlfn.XLOOKUP(AV13,'2)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I13" s="299" cm="1">
        <f t="array" ref="BI13">ROUND((_xlfn.XLOOKUP($C13,'2) หลักการคำนวน Table'!$A$4:$A$36,
_xlfn.XLOOKUP(AW13,'2)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J13" s="299" cm="1">
        <f t="array" ref="BJ13">ROUND((_xlfn.XLOOKUP($C13,'2) หลักการคำนวน Table'!$A$4:$A$36,
_xlfn.XLOOKUP(AX13,'2)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K13" s="299" cm="1">
        <f t="array" ref="BK13">ROUND((_xlfn.XLOOKUP($C13,'2) หลักการคำนวน Table'!$A$4:$A$36,
_xlfn.XLOOKUP(AY13,'2)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160</v>
      </c>
      <c r="BM13" s="295">
        <v>222209</v>
      </c>
      <c r="BN13" s="300">
        <v>160</v>
      </c>
    </row>
    <row r="14" spans="1:66" ht="14.7" customHeight="1" x14ac:dyDescent="0.25">
      <c r="A14" s="295">
        <f>VLOOKUP(C14,ASTBase!E:S,13,FALSE)</f>
        <v>222208</v>
      </c>
      <c r="B14" s="295" t="s">
        <v>414</v>
      </c>
      <c r="C14" s="295">
        <v>5490000718</v>
      </c>
      <c r="D14" s="296">
        <v>1380</v>
      </c>
      <c r="E14" s="296">
        <v>1124</v>
      </c>
      <c r="F14" s="296">
        <v>1024</v>
      </c>
      <c r="G14" s="296">
        <v>944</v>
      </c>
      <c r="H14" s="296">
        <v>924</v>
      </c>
      <c r="I14" s="296">
        <v>924</v>
      </c>
      <c r="J14" s="296">
        <v>844</v>
      </c>
      <c r="K14" s="296">
        <v>874</v>
      </c>
      <c r="L14" s="296">
        <v>970</v>
      </c>
      <c r="M14" s="296">
        <v>894</v>
      </c>
      <c r="N14" s="296">
        <v>924</v>
      </c>
      <c r="O14" s="296">
        <v>894</v>
      </c>
      <c r="P14" s="295">
        <v>1785.6000000000001</v>
      </c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7">
        <f>IFERROR(IF(VLOOKUP($B14,Shortage!$A:$M,AB$2,FALSE)="Shortage",1,IFERROR(ROUND(P14/D14,4),0)),IFERROR(ROUND(P14/D14,4),0))</f>
        <v>1.2939000000000001</v>
      </c>
      <c r="AC14" s="297">
        <f>IFERROR(IF(VLOOKUP($B14,Shortage!$A:$M,AC$2,FALSE)="Shortage",1,IFERROR(ROUND(Q14/E14,4),0)),IFERROR(ROUND(Q14/E14,4),0))</f>
        <v>0</v>
      </c>
      <c r="AD14" s="297">
        <f>IFERROR(IF(VLOOKUP($B14,Shortage!$A:$M,AD$2,FALSE)="Shortage",1,IFERROR(ROUND(R14/F14,4),0)),IFERROR(ROUND(R14/F14,4),0))</f>
        <v>0</v>
      </c>
      <c r="AE14" s="297">
        <f>IFERROR(IF(VLOOKUP($B14,Shortage!$A:$M,AE$2,FALSE)="Shortage",1,IFERROR(ROUND(S14/G14,4),0)),IFERROR(ROUND(S14/G14,4),0))</f>
        <v>0</v>
      </c>
      <c r="AF14" s="297">
        <f>IFERROR(IF(VLOOKUP($B14,Shortage!$A:$M,AF$2,FALSE)="Shortage",1,IFERROR(ROUND(T14/H14,4),0)),IFERROR(ROUND(T14/H14,4),0))</f>
        <v>0</v>
      </c>
      <c r="AG14" s="297">
        <f>IFERROR(IF(VLOOKUP($B14,Shortage!$A:$M,AG$2,FALSE)="Shortage",1,IFERROR(ROUND(U14/I14,4),0)),IFERROR(ROUND(U14/I14,4),0))</f>
        <v>0</v>
      </c>
      <c r="AH14" s="297">
        <f>IFERROR(IF(VLOOKUP($B14,Shortage!$A:$M,AH$2,FALSE)="Shortage",1,IFERROR(ROUND(V14/J14,4),0)),IFERROR(ROUND(V14/J14,4),0))</f>
        <v>0</v>
      </c>
      <c r="AI14" s="297">
        <f>IFERROR(IF(VLOOKUP($B14,Shortage!$A:$M,AI$2,FALSE)="Shortage",1,IFERROR(ROUND(W14/K14,4),0)),IFERROR(ROUND(W14/K14,4),0))</f>
        <v>0</v>
      </c>
      <c r="AJ14" s="297">
        <f>IFERROR(IF(VLOOKUP($B14,Shortage!$A:$M,AJ$2,FALSE)="Shortage",1,IFERROR(ROUND(X14/L14,4),0)),IFERROR(ROUND(X14/L14,4),0))</f>
        <v>0</v>
      </c>
      <c r="AK14" s="297">
        <f>IFERROR(IF(VLOOKUP($B14,Shortage!$A:$M,AK$2,FALSE)="Shortage",1,IFERROR(ROUND(Y14/M14,4),0)),IFERROR(ROUND(Y14/M14,4),0))</f>
        <v>0</v>
      </c>
      <c r="AL14" s="297">
        <f>IFERROR(IF(VLOOKUP($B14,Shortage!$A:$M,AL$2,FALSE)="Shortage",1,IFERROR(ROUND(Z14/N14,4),0)),IFERROR(ROUND(Z14/N14,4),0))</f>
        <v>0</v>
      </c>
      <c r="AM14" s="297">
        <f>IFERROR(IF(VLOOKUP($B14,Shortage!$A:$M,AM$2,FALSE)="Shortage",1,IFERROR(ROUND(AA14/O14,4),0)),IFERROR(ROUND(AA14/O14,4),0))</f>
        <v>0</v>
      </c>
      <c r="AN14" s="298">
        <f>IFERROR(_xlfn.XLOOKUP(AB14,'2) หลักการคำนวน Table'!$C$3:$K$3,'2) หลักการคำนวน Table'!$C$3:$K$3,,1),INDEX('2) หลักการคำนวน Table'!$C$3:$K$3,1))</f>
        <v>20</v>
      </c>
      <c r="AO14" s="298">
        <f>IFERROR(
  _xlfn.XLOOKUP(AC14,'2) หลักการคำนวน Table'!$C$3:$K$3,'2) หลักการคำนวน Table'!$C$3:$K$3,,1),
  IF(AC14&lt;MIN('2) หลักการคำนวน Table'!$C$3:$K$3),
     MIN('2) หลักการคำนวน Table'!$C$3:$K$3),
     MAX('2) หลักการคำนวน Table'!$C$3:$K$3)
  )
)</f>
        <v>0.9</v>
      </c>
      <c r="AP14" s="298">
        <f>IFERROR(
  _xlfn.XLOOKUP(AD14,'2) หลักการคำนวน Table'!$C$3:$K$3,'2) หลักการคำนวน Table'!$C$3:$K$3,,1),
  IF(AD14&lt;MIN('2) หลักการคำนวน Table'!$C$3:$K$3),
     MIN('2) หลักการคำนวน Table'!$C$3:$K$3),
     MAX('2) หลักการคำนวน Table'!$C$3:$K$3)
  )
)</f>
        <v>0.9</v>
      </c>
      <c r="AQ14" s="298">
        <f>IFERROR(
  _xlfn.XLOOKUP(AE14,'2) หลักการคำนวน Table'!$C$3:$K$3,'2) หลักการคำนวน Table'!$C$3:$K$3,,1),
  IF(AE14&lt;MIN('2) หลักการคำนวน Table'!$C$3:$K$3),
     MIN('2) หลักการคำนวน Table'!$C$3:$K$3),
     MAX('2) หลักการคำนวน Table'!$C$3:$K$3)
  )
)</f>
        <v>0.9</v>
      </c>
      <c r="AR14" s="298">
        <f>IFERROR(
  _xlfn.XLOOKUP(AF14,'2) หลักการคำนวน Table'!$C$3:$K$3,'2) หลักการคำนวน Table'!$C$3:$K$3,,1),
  IF(AF14&lt;MIN('2) หลักการคำนวน Table'!$C$3:$K$3),
     MIN('2) หลักการคำนวน Table'!$C$3:$K$3),
     MAX('2) หลักการคำนวน Table'!$C$3:$K$3)
  )
)</f>
        <v>0.9</v>
      </c>
      <c r="AS14" s="298">
        <f>IFERROR(
  _xlfn.XLOOKUP(AG14,'2) หลักการคำนวน Table'!$C$3:$K$3,'2) หลักการคำนวน Table'!$C$3:$K$3,,1),
  IF(AG14&lt;MIN('2) หลักการคำนวน Table'!$C$3:$K$3),
     MIN('2) หลักการคำนวน Table'!$C$3:$K$3),
     MAX('2) หลักการคำนวน Table'!$C$3:$K$3)
  )
)</f>
        <v>0.9</v>
      </c>
      <c r="AT14" s="298">
        <f>IFERROR(
  _xlfn.XLOOKUP(AH14,'2) หลักการคำนวน Table'!$C$3:$K$3,'2) หลักการคำนวน Table'!$C$3:$K$3,,1),
  IF(AH14&lt;MIN('2) หลักการคำนวน Table'!$C$3:$K$3),
     MIN('2) หลักการคำนวน Table'!$C$3:$K$3),
     MAX('2) หลักการคำนวน Table'!$C$3:$K$3)
  )
)</f>
        <v>0.9</v>
      </c>
      <c r="AU14" s="298">
        <f>IFERROR(
  _xlfn.XLOOKUP(AI14,'2) หลักการคำนวน Table'!$C$3:$K$3,'2) หลักการคำนวน Table'!$C$3:$K$3,,1),
  IF(AI14&lt;MIN('2) หลักการคำนวน Table'!$C$3:$K$3),
     MIN('2) หลักการคำนวน Table'!$C$3:$K$3),
     MAX('2) หลักการคำนวน Table'!$C$3:$K$3)
  )
)</f>
        <v>0.9</v>
      </c>
      <c r="AV14" s="298">
        <f>IFERROR(
  _xlfn.XLOOKUP(AJ14,'2) หลักการคำนวน Table'!$C$3:$K$3,'2) หลักการคำนวน Table'!$C$3:$K$3,,1),
  IF(AJ14&lt;MIN('2) หลักการคำนวน Table'!$C$3:$K$3),
     MIN('2) หลักการคำนวน Table'!$C$3:$K$3),
     MAX('2) หลักการคำนวน Table'!$C$3:$K$3)
  )
)</f>
        <v>0.9</v>
      </c>
      <c r="AW14" s="298">
        <f>IFERROR(
  _xlfn.XLOOKUP(AK14,'2) หลักการคำนวน Table'!$C$3:$K$3,'2) หลักการคำนวน Table'!$C$3:$K$3,,1),
  IF(AK14&lt;MIN('2) หลักการคำนวน Table'!$C$3:$K$3),
     MIN('2) หลักการคำนวน Table'!$C$3:$K$3),
     MAX('2) หลักการคำนวน Table'!$C$3:$K$3)
  )
)</f>
        <v>0.9</v>
      </c>
      <c r="AX14" s="298">
        <f>IFERROR(
  _xlfn.XLOOKUP(AL14,'2) หลักการคำนวน Table'!$C$3:$K$3,'2) หลักการคำนวน Table'!$C$3:$K$3,,1),
  IF(AL14&lt;MIN('2) หลักการคำนวน Table'!$C$3:$K$3),
     MIN('2) หลักการคำนวน Table'!$C$3:$K$3),
     MAX('2) หลักการคำนวน Table'!$C$3:$K$3)
  )
)</f>
        <v>0.9</v>
      </c>
      <c r="AY14" s="298">
        <f>IFERROR(
  _xlfn.XLOOKUP(AM14,'2) หลักการคำนวน Table'!$C$3:$K$3,'2) หลักการคำนวน Table'!$C$3:$K$3,,1),
  IF(AM14&lt;MIN('2) หลักการคำนวน Table'!$C$3:$K$3),
     MIN('2) หลักการคำนวน Table'!$C$3:$K$3),
     MAX('2) หลักการคำนวน Table'!$C$3:$K$3)
  )
)</f>
        <v>0.9</v>
      </c>
      <c r="AZ14" s="299" cm="1">
        <f t="array" ref="AZ14">ROUND((_xlfn.XLOOKUP($C14,'2) หลักการคำนวน Table'!$A$4:$A$36,
_xlfn.XLOOKUP(AN14,'2)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231</v>
      </c>
      <c r="BA14" s="299" cm="1">
        <f t="array" ref="BA14">ROUND((_xlfn.XLOOKUP($C14,'2) หลักการคำนวน Table'!$A$4:$A$36,
_xlfn.XLOOKUP(AO14,'2)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160</v>
      </c>
      <c r="BB14" s="299" cm="1">
        <f t="array" ref="BB14">ROUND((_xlfn.XLOOKUP($C14,'2) หลักการคำนวน Table'!$A$4:$A$36,
_xlfn.XLOOKUP(AP14,'2)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160</v>
      </c>
      <c r="BC14" s="299" cm="1">
        <f t="array" ref="BC14">ROUND((_xlfn.XLOOKUP($C14,'2) หลักการคำนวน Table'!$A$4:$A$36,
_xlfn.XLOOKUP(AQ14,'2)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160</v>
      </c>
      <c r="BD14" s="299" cm="1">
        <f t="array" ref="BD14">ROUND((_xlfn.XLOOKUP($C14,'2) หลักการคำนวน Table'!$A$4:$A$36,
_xlfn.XLOOKUP(AR14,'2)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160</v>
      </c>
      <c r="BE14" s="299" cm="1">
        <f t="array" ref="BE14">ROUND((_xlfn.XLOOKUP($C14,'2) หลักการคำนวน Table'!$A$4:$A$36,
_xlfn.XLOOKUP(AS14,'2)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160</v>
      </c>
      <c r="BF14" s="299" cm="1">
        <f t="array" ref="BF14">ROUND((_xlfn.XLOOKUP($C14,'2) หลักการคำนวน Table'!$A$4:$A$36,
_xlfn.XLOOKUP(AT14,'2)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160</v>
      </c>
      <c r="BG14" s="299" cm="1">
        <f t="array" ref="BG14">ROUND((_xlfn.XLOOKUP($C14,'2) หลักการคำนวน Table'!$A$4:$A$36,
_xlfn.XLOOKUP(AU14,'2)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160</v>
      </c>
      <c r="BH14" s="299" cm="1">
        <f t="array" ref="BH14">ROUND((_xlfn.XLOOKUP($C14,'2) หลักการคำนวน Table'!$A$4:$A$36,
_xlfn.XLOOKUP(AV14,'2)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160</v>
      </c>
      <c r="BI14" s="299" cm="1">
        <f t="array" ref="BI14">ROUND((_xlfn.XLOOKUP($C14,'2) หลักการคำนวน Table'!$A$4:$A$36,
_xlfn.XLOOKUP(AW14,'2)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160</v>
      </c>
      <c r="BJ14" s="299" cm="1">
        <f t="array" ref="BJ14">ROUND((_xlfn.XLOOKUP($C14,'2) หลักการคำนวน Table'!$A$4:$A$36,
_xlfn.XLOOKUP(AX14,'2)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160</v>
      </c>
      <c r="BK14" s="299" cm="1">
        <f t="array" ref="BK14">ROUND((_xlfn.XLOOKUP($C14,'2) หลักการคำนวน Table'!$A$4:$A$36,
_xlfn.XLOOKUP(AY14,'2)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160</v>
      </c>
      <c r="BM14" s="295">
        <v>222209</v>
      </c>
      <c r="BN14" s="300">
        <v>231</v>
      </c>
    </row>
    <row r="15" spans="1:66" ht="14.7" customHeight="1" x14ac:dyDescent="0.25">
      <c r="A15" s="295">
        <f>VLOOKUP(C15,ASTBase!E:S,13,FALSE)</f>
        <v>222208</v>
      </c>
      <c r="B15" s="295" t="s">
        <v>412</v>
      </c>
      <c r="C15" s="295">
        <v>5490000718</v>
      </c>
      <c r="D15" s="296">
        <v>4426</v>
      </c>
      <c r="E15" s="296">
        <v>5546</v>
      </c>
      <c r="F15" s="296">
        <v>4840</v>
      </c>
      <c r="G15" s="296">
        <v>5143</v>
      </c>
      <c r="H15" s="296">
        <v>4320</v>
      </c>
      <c r="I15" s="296">
        <v>3530</v>
      </c>
      <c r="J15" s="296">
        <v>5120</v>
      </c>
      <c r="K15" s="296">
        <v>3735</v>
      </c>
      <c r="L15" s="296">
        <v>4420</v>
      </c>
      <c r="M15" s="296">
        <v>5325</v>
      </c>
      <c r="N15" s="296">
        <v>6120</v>
      </c>
      <c r="O15" s="296">
        <v>5335</v>
      </c>
      <c r="P15" s="295">
        <v>3373.9999999149477</v>
      </c>
      <c r="Q15" s="295"/>
      <c r="R15" s="295"/>
      <c r="S15" s="295"/>
      <c r="T15" s="295"/>
      <c r="U15" s="295"/>
      <c r="V15" s="295"/>
      <c r="W15" s="295"/>
      <c r="X15" s="295"/>
      <c r="Y15" s="295"/>
      <c r="Z15" s="295"/>
      <c r="AA15" s="295"/>
      <c r="AB15" s="297">
        <f>IFERROR(IF(VLOOKUP($B15,Shortage!$A:$M,AB$2,FALSE)="Shortage",1,IFERROR(ROUND(P15/D15,4),0)),IFERROR(ROUND(P15/D15,4),0))</f>
        <v>1</v>
      </c>
      <c r="AC15" s="297">
        <f>IFERROR(IF(VLOOKUP($B15,Shortage!$A:$M,AC$2,FALSE)="Shortage",1,IFERROR(ROUND(Q15/E15,4),0)),IFERROR(ROUND(Q15/E15,4),0))</f>
        <v>0</v>
      </c>
      <c r="AD15" s="297">
        <f>IFERROR(IF(VLOOKUP($B15,Shortage!$A:$M,AD$2,FALSE)="Shortage",1,IFERROR(ROUND(R15/F15,4),0)),IFERROR(ROUND(R15/F15,4),0))</f>
        <v>0</v>
      </c>
      <c r="AE15" s="297">
        <f>IFERROR(IF(VLOOKUP($B15,Shortage!$A:$M,AE$2,FALSE)="Shortage",1,IFERROR(ROUND(S15/G15,4),0)),IFERROR(ROUND(S15/G15,4),0))</f>
        <v>0</v>
      </c>
      <c r="AF15" s="297">
        <f>IFERROR(IF(VLOOKUP($B15,Shortage!$A:$M,AF$2,FALSE)="Shortage",1,IFERROR(ROUND(T15/H15,4),0)),IFERROR(ROUND(T15/H15,4),0))</f>
        <v>0</v>
      </c>
      <c r="AG15" s="297">
        <f>IFERROR(IF(VLOOKUP($B15,Shortage!$A:$M,AG$2,FALSE)="Shortage",1,IFERROR(ROUND(U15/I15,4),0)),IFERROR(ROUND(U15/I15,4),0))</f>
        <v>0</v>
      </c>
      <c r="AH15" s="297">
        <f>IFERROR(IF(VLOOKUP($B15,Shortage!$A:$M,AH$2,FALSE)="Shortage",1,IFERROR(ROUND(V15/J15,4),0)),IFERROR(ROUND(V15/J15,4),0))</f>
        <v>0</v>
      </c>
      <c r="AI15" s="297">
        <f>IFERROR(IF(VLOOKUP($B15,Shortage!$A:$M,AI$2,FALSE)="Shortage",1,IFERROR(ROUND(W15/K15,4),0)),IFERROR(ROUND(W15/K15,4),0))</f>
        <v>0</v>
      </c>
      <c r="AJ15" s="297">
        <f>IFERROR(IF(VLOOKUP($B15,Shortage!$A:$M,AJ$2,FALSE)="Shortage",1,IFERROR(ROUND(X15/L15,4),0)),IFERROR(ROUND(X15/L15,4),0))</f>
        <v>0</v>
      </c>
      <c r="AK15" s="297">
        <f>IFERROR(IF(VLOOKUP($B15,Shortage!$A:$M,AK$2,FALSE)="Shortage",1,IFERROR(ROUND(Y15/M15,4),0)),IFERROR(ROUND(Y15/M15,4),0))</f>
        <v>0</v>
      </c>
      <c r="AL15" s="297">
        <f>IFERROR(IF(VLOOKUP($B15,Shortage!$A:$M,AL$2,FALSE)="Shortage",1,IFERROR(ROUND(Z15/N15,4),0)),IFERROR(ROUND(Z15/N15,4),0))</f>
        <v>0</v>
      </c>
      <c r="AM15" s="297">
        <f>IFERROR(IF(VLOOKUP($B15,Shortage!$A:$M,AM$2,FALSE)="Shortage",1,IFERROR(ROUND(AA15/O15,4),0)),IFERROR(ROUND(AA15/O15,4),0))</f>
        <v>0</v>
      </c>
      <c r="AN15" s="298">
        <f>IFERROR(_xlfn.XLOOKUP(AB15,'2) หลักการคำนวน Table'!$C$3:$K$3,'2) หลักการคำนวน Table'!$C$3:$K$3,,1),INDEX('2) หลักการคำนวน Table'!$C$3:$K$3,1))</f>
        <v>1</v>
      </c>
      <c r="AO15" s="298">
        <f>IFERROR(
  _xlfn.XLOOKUP(AC15,'2) หลักการคำนวน Table'!$C$3:$K$3,'2) หลักการคำนวน Table'!$C$3:$K$3,,1),
  IF(AC15&lt;MIN('2) หลักการคำนวน Table'!$C$3:$K$3),
     MIN('2) หลักการคำนวน Table'!$C$3:$K$3),
     MAX('2) หลักการคำนวน Table'!$C$3:$K$3)
  )
)</f>
        <v>0.9</v>
      </c>
      <c r="AP15" s="298">
        <f>IFERROR(
  _xlfn.XLOOKUP(AD15,'2) หลักการคำนวน Table'!$C$3:$K$3,'2) หลักการคำนวน Table'!$C$3:$K$3,,1),
  IF(AD15&lt;MIN('2) หลักการคำนวน Table'!$C$3:$K$3),
     MIN('2) หลักการคำนวน Table'!$C$3:$K$3),
     MAX('2) หลักการคำนวน Table'!$C$3:$K$3)
  )
)</f>
        <v>0.9</v>
      </c>
      <c r="AQ15" s="298">
        <f>IFERROR(
  _xlfn.XLOOKUP(AE15,'2) หลักการคำนวน Table'!$C$3:$K$3,'2) หลักการคำนวน Table'!$C$3:$K$3,,1),
  IF(AE15&lt;MIN('2) หลักการคำนวน Table'!$C$3:$K$3),
     MIN('2) หลักการคำนวน Table'!$C$3:$K$3),
     MAX('2) หลักการคำนวน Table'!$C$3:$K$3)
  )
)</f>
        <v>0.9</v>
      </c>
      <c r="AR15" s="298">
        <f>IFERROR(
  _xlfn.XLOOKUP(AF15,'2) หลักการคำนวน Table'!$C$3:$K$3,'2) หลักการคำนวน Table'!$C$3:$K$3,,1),
  IF(AF15&lt;MIN('2) หลักการคำนวน Table'!$C$3:$K$3),
     MIN('2) หลักการคำนวน Table'!$C$3:$K$3),
     MAX('2) หลักการคำนวน Table'!$C$3:$K$3)
  )
)</f>
        <v>0.9</v>
      </c>
      <c r="AS15" s="298">
        <f>IFERROR(
  _xlfn.XLOOKUP(AG15,'2) หลักการคำนวน Table'!$C$3:$K$3,'2) หลักการคำนวน Table'!$C$3:$K$3,,1),
  IF(AG15&lt;MIN('2) หลักการคำนวน Table'!$C$3:$K$3),
     MIN('2) หลักการคำนวน Table'!$C$3:$K$3),
     MAX('2) หลักการคำนวน Table'!$C$3:$K$3)
  )
)</f>
        <v>0.9</v>
      </c>
      <c r="AT15" s="298">
        <f>IFERROR(
  _xlfn.XLOOKUP(AH15,'2) หลักการคำนวน Table'!$C$3:$K$3,'2) หลักการคำนวน Table'!$C$3:$K$3,,1),
  IF(AH15&lt;MIN('2) หลักการคำนวน Table'!$C$3:$K$3),
     MIN('2) หลักการคำนวน Table'!$C$3:$K$3),
     MAX('2) หลักการคำนวน Table'!$C$3:$K$3)
  )
)</f>
        <v>0.9</v>
      </c>
      <c r="AU15" s="298">
        <f>IFERROR(
  _xlfn.XLOOKUP(AI15,'2) หลักการคำนวน Table'!$C$3:$K$3,'2) หลักการคำนวน Table'!$C$3:$K$3,,1),
  IF(AI15&lt;MIN('2) หลักการคำนวน Table'!$C$3:$K$3),
     MIN('2) หลักการคำนวน Table'!$C$3:$K$3),
     MAX('2) หลักการคำนวน Table'!$C$3:$K$3)
  )
)</f>
        <v>0.9</v>
      </c>
      <c r="AV15" s="298">
        <f>IFERROR(
  _xlfn.XLOOKUP(AJ15,'2) หลักการคำนวน Table'!$C$3:$K$3,'2) หลักการคำนวน Table'!$C$3:$K$3,,1),
  IF(AJ15&lt;MIN('2) หลักการคำนวน Table'!$C$3:$K$3),
     MIN('2) หลักการคำนวน Table'!$C$3:$K$3),
     MAX('2) หลักการคำนวน Table'!$C$3:$K$3)
  )
)</f>
        <v>0.9</v>
      </c>
      <c r="AW15" s="298">
        <f>IFERROR(
  _xlfn.XLOOKUP(AK15,'2) หลักการคำนวน Table'!$C$3:$K$3,'2) หลักการคำนวน Table'!$C$3:$K$3,,1),
  IF(AK15&lt;MIN('2) หลักการคำนวน Table'!$C$3:$K$3),
     MIN('2) หลักการคำนวน Table'!$C$3:$K$3),
     MAX('2) หลักการคำนวน Table'!$C$3:$K$3)
  )
)</f>
        <v>0.9</v>
      </c>
      <c r="AX15" s="298">
        <f>IFERROR(
  _xlfn.XLOOKUP(AL15,'2) หลักการคำนวน Table'!$C$3:$K$3,'2) หลักการคำนวน Table'!$C$3:$K$3,,1),
  IF(AL15&lt;MIN('2) หลักการคำนวน Table'!$C$3:$K$3),
     MIN('2) หลักการคำนวน Table'!$C$3:$K$3),
     MAX('2) หลักการคำนวน Table'!$C$3:$K$3)
  )
)</f>
        <v>0.9</v>
      </c>
      <c r="AY15" s="298">
        <f>IFERROR(
  _xlfn.XLOOKUP(AM15,'2) หลักการคำนวน Table'!$C$3:$K$3,'2) หลักการคำนวน Table'!$C$3:$K$3,,1),
  IF(AM15&lt;MIN('2) หลักการคำนวน Table'!$C$3:$K$3),
     MIN('2) หลักการคำนวน Table'!$C$3:$K$3),
     MAX('2) หลักการคำนวน Table'!$C$3:$K$3)
  )
)</f>
        <v>0.9</v>
      </c>
      <c r="AZ15" s="299" cm="1">
        <f t="array" ref="AZ15">ROUND((_xlfn.XLOOKUP($C15,'2) หลักการคำนวน Table'!$A$4:$A$36,
_xlfn.XLOOKUP(AN15,'2)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444</v>
      </c>
      <c r="BA15" s="299" cm="1">
        <f t="array" ref="BA15">ROUND((_xlfn.XLOOKUP($C15,'2) หลักการคำนวน Table'!$A$4:$A$36,
_xlfn.XLOOKUP(AO15,'2)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400</v>
      </c>
      <c r="BB15" s="299" cm="1">
        <f t="array" ref="BB15">ROUND((_xlfn.XLOOKUP($C15,'2) หลักการคำนวน Table'!$A$4:$A$36,
_xlfn.XLOOKUP(AP15,'2)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400</v>
      </c>
      <c r="BC15" s="299" cm="1">
        <f t="array" ref="BC15">ROUND((_xlfn.XLOOKUP($C15,'2) หลักการคำนวน Table'!$A$4:$A$36,
_xlfn.XLOOKUP(AQ15,'2)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400</v>
      </c>
      <c r="BD15" s="299" cm="1">
        <f t="array" ref="BD15">ROUND((_xlfn.XLOOKUP($C15,'2) หลักการคำนวน Table'!$A$4:$A$36,
_xlfn.XLOOKUP(AR15,'2)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400</v>
      </c>
      <c r="BE15" s="299" cm="1">
        <f t="array" ref="BE15">ROUND((_xlfn.XLOOKUP($C15,'2) หลักการคำนวน Table'!$A$4:$A$36,
_xlfn.XLOOKUP(AS15,'2)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400</v>
      </c>
      <c r="BF15" s="299" cm="1">
        <f t="array" ref="BF15">ROUND((_xlfn.XLOOKUP($C15,'2) หลักการคำนวน Table'!$A$4:$A$36,
_xlfn.XLOOKUP(AT15,'2)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400</v>
      </c>
      <c r="BG15" s="299" cm="1">
        <f t="array" ref="BG15">ROUND((_xlfn.XLOOKUP($C15,'2) หลักการคำนวน Table'!$A$4:$A$36,
_xlfn.XLOOKUP(AU15,'2)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400</v>
      </c>
      <c r="BH15" s="299" cm="1">
        <f t="array" ref="BH15">ROUND((_xlfn.XLOOKUP($C15,'2) หลักการคำนวน Table'!$A$4:$A$36,
_xlfn.XLOOKUP(AV15,'2)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400</v>
      </c>
      <c r="BI15" s="299" cm="1">
        <f t="array" ref="BI15">ROUND((_xlfn.XLOOKUP($C15,'2) หลักการคำนวน Table'!$A$4:$A$36,
_xlfn.XLOOKUP(AW15,'2)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400</v>
      </c>
      <c r="BJ15" s="299" cm="1">
        <f t="array" ref="BJ15">ROUND((_xlfn.XLOOKUP($C15,'2) หลักการคำนวน Table'!$A$4:$A$36,
_xlfn.XLOOKUP(AX15,'2)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400</v>
      </c>
      <c r="BK15" s="299" cm="1">
        <f t="array" ref="BK15">ROUND((_xlfn.XLOOKUP($C15,'2) หลักการคำนวน Table'!$A$4:$A$36,
_xlfn.XLOOKUP(AY15,'2)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400</v>
      </c>
      <c r="BM15" s="295">
        <v>222209</v>
      </c>
      <c r="BN15" s="300">
        <v>444</v>
      </c>
    </row>
    <row r="16" spans="1:66" ht="14.7" customHeight="1" x14ac:dyDescent="0.25">
      <c r="A16" s="295">
        <f>VLOOKUP(C16,ASTBase!E:S,13,FALSE)</f>
        <v>222208</v>
      </c>
      <c r="B16" s="295" t="s">
        <v>411</v>
      </c>
      <c r="C16" s="295">
        <v>5490000718</v>
      </c>
      <c r="D16" s="296">
        <v>0</v>
      </c>
      <c r="E16" s="296">
        <v>50</v>
      </c>
      <c r="F16" s="296">
        <v>15</v>
      </c>
      <c r="G16" s="296">
        <v>20</v>
      </c>
      <c r="H16" s="296">
        <v>15</v>
      </c>
      <c r="I16" s="296">
        <v>15</v>
      </c>
      <c r="J16" s="296">
        <v>20</v>
      </c>
      <c r="K16" s="296">
        <v>35</v>
      </c>
      <c r="L16" s="296">
        <v>50</v>
      </c>
      <c r="M16" s="296">
        <v>75</v>
      </c>
      <c r="N16" s="296">
        <v>70</v>
      </c>
      <c r="O16" s="296">
        <v>55</v>
      </c>
      <c r="P16" s="295">
        <v>0</v>
      </c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7">
        <f>IFERROR(IF(VLOOKUP($B16,Shortage!$A:$M,AB$2,FALSE)="Shortage",1,IFERROR(ROUND(P16/D16,4),0)),IFERROR(ROUND(P16/D16,4),0))</f>
        <v>0</v>
      </c>
      <c r="AC16" s="297">
        <f>IFERROR(IF(VLOOKUP($B16,Shortage!$A:$M,AC$2,FALSE)="Shortage",1,IFERROR(ROUND(Q16/E16,4),0)),IFERROR(ROUND(Q16/E16,4),0))</f>
        <v>0</v>
      </c>
      <c r="AD16" s="297">
        <f>IFERROR(IF(VLOOKUP($B16,Shortage!$A:$M,AD$2,FALSE)="Shortage",1,IFERROR(ROUND(R16/F16,4),0)),IFERROR(ROUND(R16/F16,4),0))</f>
        <v>0</v>
      </c>
      <c r="AE16" s="297">
        <f>IFERROR(IF(VLOOKUP($B16,Shortage!$A:$M,AE$2,FALSE)="Shortage",1,IFERROR(ROUND(S16/G16,4),0)),IFERROR(ROUND(S16/G16,4),0))</f>
        <v>0</v>
      </c>
      <c r="AF16" s="297">
        <f>IFERROR(IF(VLOOKUP($B16,Shortage!$A:$M,AF$2,FALSE)="Shortage",1,IFERROR(ROUND(T16/H16,4),0)),IFERROR(ROUND(T16/H16,4),0))</f>
        <v>0</v>
      </c>
      <c r="AG16" s="297">
        <f>IFERROR(IF(VLOOKUP($B16,Shortage!$A:$M,AG$2,FALSE)="Shortage",1,IFERROR(ROUND(U16/I16,4),0)),IFERROR(ROUND(U16/I16,4),0))</f>
        <v>0</v>
      </c>
      <c r="AH16" s="297">
        <f>IFERROR(IF(VLOOKUP($B16,Shortage!$A:$M,AH$2,FALSE)="Shortage",1,IFERROR(ROUND(V16/J16,4),0)),IFERROR(ROUND(V16/J16,4),0))</f>
        <v>0</v>
      </c>
      <c r="AI16" s="297">
        <f>IFERROR(IF(VLOOKUP($B16,Shortage!$A:$M,AI$2,FALSE)="Shortage",1,IFERROR(ROUND(W16/K16,4),0)),IFERROR(ROUND(W16/K16,4),0))</f>
        <v>0</v>
      </c>
      <c r="AJ16" s="297">
        <f>IFERROR(IF(VLOOKUP($B16,Shortage!$A:$M,AJ$2,FALSE)="Shortage",1,IFERROR(ROUND(X16/L16,4),0)),IFERROR(ROUND(X16/L16,4),0))</f>
        <v>0</v>
      </c>
      <c r="AK16" s="297">
        <f>IFERROR(IF(VLOOKUP($B16,Shortage!$A:$M,AK$2,FALSE)="Shortage",1,IFERROR(ROUND(Y16/M16,4),0)),IFERROR(ROUND(Y16/M16,4),0))</f>
        <v>0</v>
      </c>
      <c r="AL16" s="297">
        <f>IFERROR(IF(VLOOKUP($B16,Shortage!$A:$M,AL$2,FALSE)="Shortage",1,IFERROR(ROUND(Z16/N16,4),0)),IFERROR(ROUND(Z16/N16,4),0))</f>
        <v>0</v>
      </c>
      <c r="AM16" s="297">
        <f>IFERROR(IF(VLOOKUP($B16,Shortage!$A:$M,AM$2,FALSE)="Shortage",1,IFERROR(ROUND(AA16/O16,4),0)),IFERROR(ROUND(AA16/O16,4),0))</f>
        <v>0</v>
      </c>
      <c r="AN16" s="298">
        <f>IFERROR(_xlfn.XLOOKUP(AB16,'2) หลักการคำนวน Table'!$C$3:$K$3,'2) หลักการคำนวน Table'!$C$3:$K$3,,1),INDEX('2) หลักการคำนวน Table'!$C$3:$K$3,1))</f>
        <v>0.9</v>
      </c>
      <c r="AO16" s="298">
        <f>IFERROR(
  _xlfn.XLOOKUP(AC16,'2) หลักการคำนวน Table'!$C$3:$K$3,'2) หลักการคำนวน Table'!$C$3:$K$3,,1),
  IF(AC16&lt;MIN('2) หลักการคำนวน Table'!$C$3:$K$3),
     MIN('2) หลักการคำนวน Table'!$C$3:$K$3),
     MAX('2) หลักการคำนวน Table'!$C$3:$K$3)
  )
)</f>
        <v>0.9</v>
      </c>
      <c r="AP16" s="298">
        <f>IFERROR(
  _xlfn.XLOOKUP(AD16,'2) หลักการคำนวน Table'!$C$3:$K$3,'2) หลักการคำนวน Table'!$C$3:$K$3,,1),
  IF(AD16&lt;MIN('2) หลักการคำนวน Table'!$C$3:$K$3),
     MIN('2) หลักการคำนวน Table'!$C$3:$K$3),
     MAX('2) หลักการคำนวน Table'!$C$3:$K$3)
  )
)</f>
        <v>0.9</v>
      </c>
      <c r="AQ16" s="298">
        <f>IFERROR(
  _xlfn.XLOOKUP(AE16,'2) หลักการคำนวน Table'!$C$3:$K$3,'2) หลักการคำนวน Table'!$C$3:$K$3,,1),
  IF(AE16&lt;MIN('2) หลักการคำนวน Table'!$C$3:$K$3),
     MIN('2) หลักการคำนวน Table'!$C$3:$K$3),
     MAX('2) หลักการคำนวน Table'!$C$3:$K$3)
  )
)</f>
        <v>0.9</v>
      </c>
      <c r="AR16" s="298">
        <f>IFERROR(
  _xlfn.XLOOKUP(AF16,'2) หลักการคำนวน Table'!$C$3:$K$3,'2) หลักการคำนวน Table'!$C$3:$K$3,,1),
  IF(AF16&lt;MIN('2) หลักการคำนวน Table'!$C$3:$K$3),
     MIN('2) หลักการคำนวน Table'!$C$3:$K$3),
     MAX('2) หลักการคำนวน Table'!$C$3:$K$3)
  )
)</f>
        <v>0.9</v>
      </c>
      <c r="AS16" s="298">
        <f>IFERROR(
  _xlfn.XLOOKUP(AG16,'2) หลักการคำนวน Table'!$C$3:$K$3,'2) หลักการคำนวน Table'!$C$3:$K$3,,1),
  IF(AG16&lt;MIN('2) หลักการคำนวน Table'!$C$3:$K$3),
     MIN('2) หลักการคำนวน Table'!$C$3:$K$3),
     MAX('2) หลักการคำนวน Table'!$C$3:$K$3)
  )
)</f>
        <v>0.9</v>
      </c>
      <c r="AT16" s="298">
        <f>IFERROR(
  _xlfn.XLOOKUP(AH16,'2) หลักการคำนวน Table'!$C$3:$K$3,'2) หลักการคำนวน Table'!$C$3:$K$3,,1),
  IF(AH16&lt;MIN('2) หลักการคำนวน Table'!$C$3:$K$3),
     MIN('2) หลักการคำนวน Table'!$C$3:$K$3),
     MAX('2) หลักการคำนวน Table'!$C$3:$K$3)
  )
)</f>
        <v>0.9</v>
      </c>
      <c r="AU16" s="298">
        <f>IFERROR(
  _xlfn.XLOOKUP(AI16,'2) หลักการคำนวน Table'!$C$3:$K$3,'2) หลักการคำนวน Table'!$C$3:$K$3,,1),
  IF(AI16&lt;MIN('2) หลักการคำนวน Table'!$C$3:$K$3),
     MIN('2) หลักการคำนวน Table'!$C$3:$K$3),
     MAX('2) หลักการคำนวน Table'!$C$3:$K$3)
  )
)</f>
        <v>0.9</v>
      </c>
      <c r="AV16" s="298">
        <f>IFERROR(
  _xlfn.XLOOKUP(AJ16,'2) หลักการคำนวน Table'!$C$3:$K$3,'2) หลักการคำนวน Table'!$C$3:$K$3,,1),
  IF(AJ16&lt;MIN('2) หลักการคำนวน Table'!$C$3:$K$3),
     MIN('2) หลักการคำนวน Table'!$C$3:$K$3),
     MAX('2) หลักการคำนวน Table'!$C$3:$K$3)
  )
)</f>
        <v>0.9</v>
      </c>
      <c r="AW16" s="298">
        <f>IFERROR(
  _xlfn.XLOOKUP(AK16,'2) หลักการคำนวน Table'!$C$3:$K$3,'2) หลักการคำนวน Table'!$C$3:$K$3,,1),
  IF(AK16&lt;MIN('2) หลักการคำนวน Table'!$C$3:$K$3),
     MIN('2) หลักการคำนวน Table'!$C$3:$K$3),
     MAX('2) หลักการคำนวน Table'!$C$3:$K$3)
  )
)</f>
        <v>0.9</v>
      </c>
      <c r="AX16" s="298">
        <f>IFERROR(
  _xlfn.XLOOKUP(AL16,'2) หลักการคำนวน Table'!$C$3:$K$3,'2) หลักการคำนวน Table'!$C$3:$K$3,,1),
  IF(AL16&lt;MIN('2) หลักการคำนวน Table'!$C$3:$K$3),
     MIN('2) หลักการคำนวน Table'!$C$3:$K$3),
     MAX('2) หลักการคำนวน Table'!$C$3:$K$3)
  )
)</f>
        <v>0.9</v>
      </c>
      <c r="AY16" s="298">
        <f>IFERROR(
  _xlfn.XLOOKUP(AM16,'2) หลักการคำนวน Table'!$C$3:$K$3,'2) หลักการคำนวน Table'!$C$3:$K$3,,1),
  IF(AM16&lt;MIN('2) หลักการคำนวน Table'!$C$3:$K$3),
     MIN('2) หลักการคำนวน Table'!$C$3:$K$3),
     MAX('2) หลักการคำนวน Table'!$C$3:$K$3)
  )
)</f>
        <v>0.9</v>
      </c>
      <c r="AZ16" s="299" cm="1">
        <f t="array" ref="AZ16">ROUND((_xlfn.XLOOKUP($C16,'2) หลักการคำนวน Table'!$A$4:$A$36,
_xlfn.XLOOKUP(AN16,'2)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A16" s="299" cm="1">
        <f t="array" ref="BA16">ROUND((_xlfn.XLOOKUP($C16,'2) หลักการคำนวน Table'!$A$4:$A$36,
_xlfn.XLOOKUP(AO16,'2)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B16" s="299" cm="1">
        <f t="array" ref="BB16">ROUND((_xlfn.XLOOKUP($C16,'2) หลักการคำนวน Table'!$A$4:$A$36,
_xlfn.XLOOKUP(AP16,'2)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C16" s="299" cm="1">
        <f t="array" ref="BC16">ROUND((_xlfn.XLOOKUP($C16,'2) หลักการคำนวน Table'!$A$4:$A$36,
_xlfn.XLOOKUP(AQ16,'2)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D16" s="299" cm="1">
        <f t="array" ref="BD16">ROUND((_xlfn.XLOOKUP($C16,'2) หลักการคำนวน Table'!$A$4:$A$36,
_xlfn.XLOOKUP(AR16,'2)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E16" s="299" cm="1">
        <f t="array" ref="BE16">ROUND((_xlfn.XLOOKUP($C16,'2) หลักการคำนวน Table'!$A$4:$A$36,
_xlfn.XLOOKUP(AS16,'2)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F16" s="299" cm="1">
        <f t="array" ref="BF16">ROUND((_xlfn.XLOOKUP($C16,'2) หลักการคำนวน Table'!$A$4:$A$36,
_xlfn.XLOOKUP(AT16,'2)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G16" s="299" cm="1">
        <f t="array" ref="BG16">ROUND((_xlfn.XLOOKUP($C16,'2) หลักการคำนวน Table'!$A$4:$A$36,
_xlfn.XLOOKUP(AU16,'2)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H16" s="299" cm="1">
        <f t="array" ref="BH16">ROUND((_xlfn.XLOOKUP($C16,'2) หลักการคำนวน Table'!$A$4:$A$36,
_xlfn.XLOOKUP(AV16,'2)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I16" s="299" cm="1">
        <f t="array" ref="BI16">ROUND((_xlfn.XLOOKUP($C16,'2) หลักการคำนวน Table'!$A$4:$A$36,
_xlfn.XLOOKUP(AW16,'2)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J16" s="299" cm="1">
        <f t="array" ref="BJ16">ROUND((_xlfn.XLOOKUP($C16,'2) หลักการคำนวน Table'!$A$4:$A$36,
_xlfn.XLOOKUP(AX16,'2)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K16" s="299" cm="1">
        <f t="array" ref="BK16">ROUND((_xlfn.XLOOKUP($C16,'2) หลักการคำนวน Table'!$A$4:$A$36,
_xlfn.XLOOKUP(AY16,'2)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0</v>
      </c>
      <c r="BM16" s="295">
        <v>222209</v>
      </c>
      <c r="BN16" s="300">
        <v>0</v>
      </c>
    </row>
    <row r="17" spans="1:66" ht="14.7" customHeight="1" x14ac:dyDescent="0.25">
      <c r="A17" s="295">
        <f>VLOOKUP(C17,ASTBase!E:S,13,FALSE)</f>
        <v>222208</v>
      </c>
      <c r="B17" s="295" t="s">
        <v>417</v>
      </c>
      <c r="C17" s="295">
        <v>5490000718</v>
      </c>
      <c r="D17" s="296">
        <v>80</v>
      </c>
      <c r="E17" s="296">
        <v>30</v>
      </c>
      <c r="F17" s="296">
        <v>30</v>
      </c>
      <c r="G17" s="296">
        <v>30</v>
      </c>
      <c r="H17" s="296">
        <v>30</v>
      </c>
      <c r="I17" s="296">
        <v>30</v>
      </c>
      <c r="J17" s="296">
        <v>30</v>
      </c>
      <c r="K17" s="296">
        <v>30</v>
      </c>
      <c r="L17" s="296">
        <v>30</v>
      </c>
      <c r="M17" s="296">
        <v>30</v>
      </c>
      <c r="N17" s="296">
        <v>30</v>
      </c>
      <c r="O17" s="296">
        <v>30</v>
      </c>
      <c r="P17" s="295">
        <v>101.999999994672</v>
      </c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7">
        <f>IFERROR(IF(VLOOKUP($B17,Shortage!$A:$M,AB$2,FALSE)="Shortage",1,IFERROR(ROUND(P17/D17,4),0)),IFERROR(ROUND(P17/D17,4),0))</f>
        <v>1.2749999999999999</v>
      </c>
      <c r="AC17" s="297">
        <f>IFERROR(IF(VLOOKUP($B17,Shortage!$A:$M,AC$2,FALSE)="Shortage",1,IFERROR(ROUND(Q17/E17,4),0)),IFERROR(ROUND(Q17/E17,4),0))</f>
        <v>0</v>
      </c>
      <c r="AD17" s="297">
        <f>IFERROR(IF(VLOOKUP($B17,Shortage!$A:$M,AD$2,FALSE)="Shortage",1,IFERROR(ROUND(R17/F17,4),0)),IFERROR(ROUND(R17/F17,4),0))</f>
        <v>0</v>
      </c>
      <c r="AE17" s="297">
        <f>IFERROR(IF(VLOOKUP($B17,Shortage!$A:$M,AE$2,FALSE)="Shortage",1,IFERROR(ROUND(S17/G17,4),0)),IFERROR(ROUND(S17/G17,4),0))</f>
        <v>0</v>
      </c>
      <c r="AF17" s="297">
        <f>IFERROR(IF(VLOOKUP($B17,Shortage!$A:$M,AF$2,FALSE)="Shortage",1,IFERROR(ROUND(T17/H17,4),0)),IFERROR(ROUND(T17/H17,4),0))</f>
        <v>0</v>
      </c>
      <c r="AG17" s="297">
        <f>IFERROR(IF(VLOOKUP($B17,Shortage!$A:$M,AG$2,FALSE)="Shortage",1,IFERROR(ROUND(U17/I17,4),0)),IFERROR(ROUND(U17/I17,4),0))</f>
        <v>0</v>
      </c>
      <c r="AH17" s="297">
        <f>IFERROR(IF(VLOOKUP($B17,Shortage!$A:$M,AH$2,FALSE)="Shortage",1,IFERROR(ROUND(V17/J17,4),0)),IFERROR(ROUND(V17/J17,4),0))</f>
        <v>0</v>
      </c>
      <c r="AI17" s="297">
        <f>IFERROR(IF(VLOOKUP($B17,Shortage!$A:$M,AI$2,FALSE)="Shortage",1,IFERROR(ROUND(W17/K17,4),0)),IFERROR(ROUND(W17/K17,4),0))</f>
        <v>0</v>
      </c>
      <c r="AJ17" s="297">
        <f>IFERROR(IF(VLOOKUP($B17,Shortage!$A:$M,AJ$2,FALSE)="Shortage",1,IFERROR(ROUND(X17/L17,4),0)),IFERROR(ROUND(X17/L17,4),0))</f>
        <v>0</v>
      </c>
      <c r="AK17" s="297">
        <f>IFERROR(IF(VLOOKUP($B17,Shortage!$A:$M,AK$2,FALSE)="Shortage",1,IFERROR(ROUND(Y17/M17,4),0)),IFERROR(ROUND(Y17/M17,4),0))</f>
        <v>0</v>
      </c>
      <c r="AL17" s="297">
        <f>IFERROR(IF(VLOOKUP($B17,Shortage!$A:$M,AL$2,FALSE)="Shortage",1,IFERROR(ROUND(Z17/N17,4),0)),IFERROR(ROUND(Z17/N17,4),0))</f>
        <v>0</v>
      </c>
      <c r="AM17" s="297">
        <f>IFERROR(IF(VLOOKUP($B17,Shortage!$A:$M,AM$2,FALSE)="Shortage",1,IFERROR(ROUND(AA17/O17,4),0)),IFERROR(ROUND(AA17/O17,4),0))</f>
        <v>0</v>
      </c>
      <c r="AN17" s="298">
        <f>IFERROR(_xlfn.XLOOKUP(AB17,'2) หลักการคำนวน Table'!$C$3:$K$3,'2) หลักการคำนวน Table'!$C$3:$K$3,,1),INDEX('2) หลักการคำนวน Table'!$C$3:$K$3,1))</f>
        <v>20</v>
      </c>
      <c r="AO17" s="298">
        <f>IFERROR(
  _xlfn.XLOOKUP(AC17,'2) หลักการคำนวน Table'!$C$3:$K$3,'2) หลักการคำนวน Table'!$C$3:$K$3,,1),
  IF(AC17&lt;MIN('2) หลักการคำนวน Table'!$C$3:$K$3),
     MIN('2) หลักการคำนวน Table'!$C$3:$K$3),
     MAX('2) หลักการคำนวน Table'!$C$3:$K$3)
  )
)</f>
        <v>0.9</v>
      </c>
      <c r="AP17" s="298">
        <f>IFERROR(
  _xlfn.XLOOKUP(AD17,'2) หลักการคำนวน Table'!$C$3:$K$3,'2) หลักการคำนวน Table'!$C$3:$K$3,,1),
  IF(AD17&lt;MIN('2) หลักการคำนวน Table'!$C$3:$K$3),
     MIN('2) หลักการคำนวน Table'!$C$3:$K$3),
     MAX('2) หลักการคำนวน Table'!$C$3:$K$3)
  )
)</f>
        <v>0.9</v>
      </c>
      <c r="AQ17" s="298">
        <f>IFERROR(
  _xlfn.XLOOKUP(AE17,'2) หลักการคำนวน Table'!$C$3:$K$3,'2) หลักการคำนวน Table'!$C$3:$K$3,,1),
  IF(AE17&lt;MIN('2) หลักการคำนวน Table'!$C$3:$K$3),
     MIN('2) หลักการคำนวน Table'!$C$3:$K$3),
     MAX('2) หลักการคำนวน Table'!$C$3:$K$3)
  )
)</f>
        <v>0.9</v>
      </c>
      <c r="AR17" s="298">
        <f>IFERROR(
  _xlfn.XLOOKUP(AF17,'2) หลักการคำนวน Table'!$C$3:$K$3,'2) หลักการคำนวน Table'!$C$3:$K$3,,1),
  IF(AF17&lt;MIN('2) หลักการคำนวน Table'!$C$3:$K$3),
     MIN('2) หลักการคำนวน Table'!$C$3:$K$3),
     MAX('2) หลักการคำนวน Table'!$C$3:$K$3)
  )
)</f>
        <v>0.9</v>
      </c>
      <c r="AS17" s="298">
        <f>IFERROR(
  _xlfn.XLOOKUP(AG17,'2) หลักการคำนวน Table'!$C$3:$K$3,'2) หลักการคำนวน Table'!$C$3:$K$3,,1),
  IF(AG17&lt;MIN('2) หลักการคำนวน Table'!$C$3:$K$3),
     MIN('2) หลักการคำนวน Table'!$C$3:$K$3),
     MAX('2) หลักการคำนวน Table'!$C$3:$K$3)
  )
)</f>
        <v>0.9</v>
      </c>
      <c r="AT17" s="298">
        <f>IFERROR(
  _xlfn.XLOOKUP(AH17,'2) หลักการคำนวน Table'!$C$3:$K$3,'2) หลักการคำนวน Table'!$C$3:$K$3,,1),
  IF(AH17&lt;MIN('2) หลักการคำนวน Table'!$C$3:$K$3),
     MIN('2) หลักการคำนวน Table'!$C$3:$K$3),
     MAX('2) หลักการคำนวน Table'!$C$3:$K$3)
  )
)</f>
        <v>0.9</v>
      </c>
      <c r="AU17" s="298">
        <f>IFERROR(
  _xlfn.XLOOKUP(AI17,'2) หลักการคำนวน Table'!$C$3:$K$3,'2) หลักการคำนวน Table'!$C$3:$K$3,,1),
  IF(AI17&lt;MIN('2) หลักการคำนวน Table'!$C$3:$K$3),
     MIN('2) หลักการคำนวน Table'!$C$3:$K$3),
     MAX('2) หลักการคำนวน Table'!$C$3:$K$3)
  )
)</f>
        <v>0.9</v>
      </c>
      <c r="AV17" s="298">
        <f>IFERROR(
  _xlfn.XLOOKUP(AJ17,'2) หลักการคำนวน Table'!$C$3:$K$3,'2) หลักการคำนวน Table'!$C$3:$K$3,,1),
  IF(AJ17&lt;MIN('2) หลักการคำนวน Table'!$C$3:$K$3),
     MIN('2) หลักการคำนวน Table'!$C$3:$K$3),
     MAX('2) หลักการคำนวน Table'!$C$3:$K$3)
  )
)</f>
        <v>0.9</v>
      </c>
      <c r="AW17" s="298">
        <f>IFERROR(
  _xlfn.XLOOKUP(AK17,'2) หลักการคำนวน Table'!$C$3:$K$3,'2) หลักการคำนวน Table'!$C$3:$K$3,,1),
  IF(AK17&lt;MIN('2) หลักการคำนวน Table'!$C$3:$K$3),
     MIN('2) หลักการคำนวน Table'!$C$3:$K$3),
     MAX('2) หลักการคำนวน Table'!$C$3:$K$3)
  )
)</f>
        <v>0.9</v>
      </c>
      <c r="AX17" s="298">
        <f>IFERROR(
  _xlfn.XLOOKUP(AL17,'2) หลักการคำนวน Table'!$C$3:$K$3,'2) หลักการคำนวน Table'!$C$3:$K$3,,1),
  IF(AL17&lt;MIN('2) หลักการคำนวน Table'!$C$3:$K$3),
     MIN('2) หลักการคำนวน Table'!$C$3:$K$3),
     MAX('2) หลักการคำนวน Table'!$C$3:$K$3)
  )
)</f>
        <v>0.9</v>
      </c>
      <c r="AY17" s="298">
        <f>IFERROR(
  _xlfn.XLOOKUP(AM17,'2) หลักการคำนวน Table'!$C$3:$K$3,'2) หลักการคำนวน Table'!$C$3:$K$3,,1),
  IF(AM17&lt;MIN('2) หลักการคำนวน Table'!$C$3:$K$3),
     MIN('2) หลักการคำนวน Table'!$C$3:$K$3),
     MAX('2) หลักการคำนวน Table'!$C$3:$K$3)
  )
)</f>
        <v>0.9</v>
      </c>
      <c r="AZ17" s="299" cm="1">
        <f t="array" ref="AZ17">ROUND((_xlfn.XLOOKUP($C17,'2) หลักการคำนวน Table'!$A$4:$A$36,
_xlfn.XLOOKUP(AN17,'2)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58</v>
      </c>
      <c r="BA17" s="299" cm="1">
        <f t="array" ref="BA17">ROUND((_xlfn.XLOOKUP($C17,'2) หลักการคำนวน Table'!$A$4:$A$36,
_xlfn.XLOOKUP(AO17,'2)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40</v>
      </c>
      <c r="BB17" s="299" cm="1">
        <f t="array" ref="BB17">ROUND((_xlfn.XLOOKUP($C17,'2) หลักการคำนวน Table'!$A$4:$A$36,
_xlfn.XLOOKUP(AP17,'2)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40</v>
      </c>
      <c r="BC17" s="299" cm="1">
        <f t="array" ref="BC17">ROUND((_xlfn.XLOOKUP($C17,'2) หลักการคำนวน Table'!$A$4:$A$36,
_xlfn.XLOOKUP(AQ17,'2)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40</v>
      </c>
      <c r="BD17" s="299" cm="1">
        <f t="array" ref="BD17">ROUND((_xlfn.XLOOKUP($C17,'2) หลักการคำนวน Table'!$A$4:$A$36,
_xlfn.XLOOKUP(AR17,'2)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40</v>
      </c>
      <c r="BE17" s="299" cm="1">
        <f t="array" ref="BE17">ROUND((_xlfn.XLOOKUP($C17,'2) หลักการคำนวน Table'!$A$4:$A$36,
_xlfn.XLOOKUP(AS17,'2)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40</v>
      </c>
      <c r="BF17" s="299" cm="1">
        <f t="array" ref="BF17">ROUND((_xlfn.XLOOKUP($C17,'2) หลักการคำนวน Table'!$A$4:$A$36,
_xlfn.XLOOKUP(AT17,'2)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40</v>
      </c>
      <c r="BG17" s="299" cm="1">
        <f t="array" ref="BG17">ROUND((_xlfn.XLOOKUP($C17,'2) หลักการคำนวน Table'!$A$4:$A$36,
_xlfn.XLOOKUP(AU17,'2)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40</v>
      </c>
      <c r="BH17" s="299" cm="1">
        <f t="array" ref="BH17">ROUND((_xlfn.XLOOKUP($C17,'2) หลักการคำนวน Table'!$A$4:$A$36,
_xlfn.XLOOKUP(AV17,'2)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40</v>
      </c>
      <c r="BI17" s="299" cm="1">
        <f t="array" ref="BI17">ROUND((_xlfn.XLOOKUP($C17,'2) หลักการคำนวน Table'!$A$4:$A$36,
_xlfn.XLOOKUP(AW17,'2)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40</v>
      </c>
      <c r="BJ17" s="299" cm="1">
        <f t="array" ref="BJ17">ROUND((_xlfn.XLOOKUP($C17,'2) หลักการคำนวน Table'!$A$4:$A$36,
_xlfn.XLOOKUP(AX17,'2)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40</v>
      </c>
      <c r="BK17" s="299" cm="1">
        <f t="array" ref="BK17">ROUND((_xlfn.XLOOKUP($C17,'2) หลักการคำนวน Table'!$A$4:$A$36,
_xlfn.XLOOKUP(AY17,'2)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40</v>
      </c>
      <c r="BM17" s="295">
        <v>222209</v>
      </c>
      <c r="BN17" s="300">
        <v>58</v>
      </c>
    </row>
    <row r="18" spans="1:66" ht="14.7" customHeight="1" x14ac:dyDescent="0.25">
      <c r="A18" s="295">
        <f>VLOOKUP(C18,ASTBase!E:S,13,FALSE)</f>
        <v>222208</v>
      </c>
      <c r="B18" s="295" t="s">
        <v>419</v>
      </c>
      <c r="C18" s="295">
        <v>5490000718</v>
      </c>
      <c r="D18" s="296">
        <v>25</v>
      </c>
      <c r="E18" s="296">
        <v>25</v>
      </c>
      <c r="F18" s="296">
        <v>20</v>
      </c>
      <c r="G18" s="296">
        <v>60</v>
      </c>
      <c r="H18" s="296">
        <v>40</v>
      </c>
      <c r="I18" s="296">
        <v>50</v>
      </c>
      <c r="J18" s="296">
        <v>30</v>
      </c>
      <c r="K18" s="296">
        <v>40</v>
      </c>
      <c r="L18" s="296">
        <v>80</v>
      </c>
      <c r="M18" s="296">
        <v>25</v>
      </c>
      <c r="N18" s="296">
        <v>30</v>
      </c>
      <c r="O18" s="296">
        <v>35</v>
      </c>
      <c r="P18" s="295">
        <v>0</v>
      </c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7">
        <f>IFERROR(IF(VLOOKUP($B18,Shortage!$A:$M,AB$2,FALSE)="Shortage",1,IFERROR(ROUND(P18/D18,4),0)),IFERROR(ROUND(P18/D18,4),0))</f>
        <v>0</v>
      </c>
      <c r="AC18" s="297">
        <f>IFERROR(IF(VLOOKUP($B18,Shortage!$A:$M,AC$2,FALSE)="Shortage",1,IFERROR(ROUND(Q18/E18,4),0)),IFERROR(ROUND(Q18/E18,4),0))</f>
        <v>0</v>
      </c>
      <c r="AD18" s="297">
        <f>IFERROR(IF(VLOOKUP($B18,Shortage!$A:$M,AD$2,FALSE)="Shortage",1,IFERROR(ROUND(R18/F18,4),0)),IFERROR(ROUND(R18/F18,4),0))</f>
        <v>0</v>
      </c>
      <c r="AE18" s="297">
        <f>IFERROR(IF(VLOOKUP($B18,Shortage!$A:$M,AE$2,FALSE)="Shortage",1,IFERROR(ROUND(S18/G18,4),0)),IFERROR(ROUND(S18/G18,4),0))</f>
        <v>0</v>
      </c>
      <c r="AF18" s="297">
        <f>IFERROR(IF(VLOOKUP($B18,Shortage!$A:$M,AF$2,FALSE)="Shortage",1,IFERROR(ROUND(T18/H18,4),0)),IFERROR(ROUND(T18/H18,4),0))</f>
        <v>0</v>
      </c>
      <c r="AG18" s="297">
        <f>IFERROR(IF(VLOOKUP($B18,Shortage!$A:$M,AG$2,FALSE)="Shortage",1,IFERROR(ROUND(U18/I18,4),0)),IFERROR(ROUND(U18/I18,4),0))</f>
        <v>0</v>
      </c>
      <c r="AH18" s="297">
        <f>IFERROR(IF(VLOOKUP($B18,Shortage!$A:$M,AH$2,FALSE)="Shortage",1,IFERROR(ROUND(V18/J18,4),0)),IFERROR(ROUND(V18/J18,4),0))</f>
        <v>0</v>
      </c>
      <c r="AI18" s="297">
        <f>IFERROR(IF(VLOOKUP($B18,Shortage!$A:$M,AI$2,FALSE)="Shortage",1,IFERROR(ROUND(W18/K18,4),0)),IFERROR(ROUND(W18/K18,4),0))</f>
        <v>0</v>
      </c>
      <c r="AJ18" s="297">
        <f>IFERROR(IF(VLOOKUP($B18,Shortage!$A:$M,AJ$2,FALSE)="Shortage",1,IFERROR(ROUND(X18/L18,4),0)),IFERROR(ROUND(X18/L18,4),0))</f>
        <v>0</v>
      </c>
      <c r="AK18" s="297">
        <f>IFERROR(IF(VLOOKUP($B18,Shortage!$A:$M,AK$2,FALSE)="Shortage",1,IFERROR(ROUND(Y18/M18,4),0)),IFERROR(ROUND(Y18/M18,4),0))</f>
        <v>0</v>
      </c>
      <c r="AL18" s="297">
        <f>IFERROR(IF(VLOOKUP($B18,Shortage!$A:$M,AL$2,FALSE)="Shortage",1,IFERROR(ROUND(Z18/N18,4),0)),IFERROR(ROUND(Z18/N18,4),0))</f>
        <v>0</v>
      </c>
      <c r="AM18" s="297">
        <f>IFERROR(IF(VLOOKUP($B18,Shortage!$A:$M,AM$2,FALSE)="Shortage",1,IFERROR(ROUND(AA18/O18,4),0)),IFERROR(ROUND(AA18/O18,4),0))</f>
        <v>0</v>
      </c>
      <c r="AN18" s="298">
        <f>IFERROR(_xlfn.XLOOKUP(AB18,'2) หลักการคำนวน Table'!$C$3:$K$3,'2) หลักการคำนวน Table'!$C$3:$K$3,,1),INDEX('2) หลักการคำนวน Table'!$C$3:$K$3,1))</f>
        <v>0.9</v>
      </c>
      <c r="AO18" s="298">
        <f>IFERROR(
  _xlfn.XLOOKUP(AC18,'2) หลักการคำนวน Table'!$C$3:$K$3,'2) หลักการคำนวน Table'!$C$3:$K$3,,1),
  IF(AC18&lt;MIN('2) หลักการคำนวน Table'!$C$3:$K$3),
     MIN('2) หลักการคำนวน Table'!$C$3:$K$3),
     MAX('2) หลักการคำนวน Table'!$C$3:$K$3)
  )
)</f>
        <v>0.9</v>
      </c>
      <c r="AP18" s="298">
        <f>IFERROR(
  _xlfn.XLOOKUP(AD18,'2) หลักการคำนวน Table'!$C$3:$K$3,'2) หลักการคำนวน Table'!$C$3:$K$3,,1),
  IF(AD18&lt;MIN('2) หลักการคำนวน Table'!$C$3:$K$3),
     MIN('2) หลักการคำนวน Table'!$C$3:$K$3),
     MAX('2) หลักการคำนวน Table'!$C$3:$K$3)
  )
)</f>
        <v>0.9</v>
      </c>
      <c r="AQ18" s="298">
        <f>IFERROR(
  _xlfn.XLOOKUP(AE18,'2) หลักการคำนวน Table'!$C$3:$K$3,'2) หลักการคำนวน Table'!$C$3:$K$3,,1),
  IF(AE18&lt;MIN('2) หลักการคำนวน Table'!$C$3:$K$3),
     MIN('2) หลักการคำนวน Table'!$C$3:$K$3),
     MAX('2) หลักการคำนวน Table'!$C$3:$K$3)
  )
)</f>
        <v>0.9</v>
      </c>
      <c r="AR18" s="298">
        <f>IFERROR(
  _xlfn.XLOOKUP(AF18,'2) หลักการคำนวน Table'!$C$3:$K$3,'2) หลักการคำนวน Table'!$C$3:$K$3,,1),
  IF(AF18&lt;MIN('2) หลักการคำนวน Table'!$C$3:$K$3),
     MIN('2) หลักการคำนวน Table'!$C$3:$K$3),
     MAX('2) หลักการคำนวน Table'!$C$3:$K$3)
  )
)</f>
        <v>0.9</v>
      </c>
      <c r="AS18" s="298">
        <f>IFERROR(
  _xlfn.XLOOKUP(AG18,'2) หลักการคำนวน Table'!$C$3:$K$3,'2) หลักการคำนวน Table'!$C$3:$K$3,,1),
  IF(AG18&lt;MIN('2) หลักการคำนวน Table'!$C$3:$K$3),
     MIN('2) หลักการคำนวน Table'!$C$3:$K$3),
     MAX('2) หลักการคำนวน Table'!$C$3:$K$3)
  )
)</f>
        <v>0.9</v>
      </c>
      <c r="AT18" s="298">
        <f>IFERROR(
  _xlfn.XLOOKUP(AH18,'2) หลักการคำนวน Table'!$C$3:$K$3,'2) หลักการคำนวน Table'!$C$3:$K$3,,1),
  IF(AH18&lt;MIN('2) หลักการคำนวน Table'!$C$3:$K$3),
     MIN('2) หลักการคำนวน Table'!$C$3:$K$3),
     MAX('2) หลักการคำนวน Table'!$C$3:$K$3)
  )
)</f>
        <v>0.9</v>
      </c>
      <c r="AU18" s="298">
        <f>IFERROR(
  _xlfn.XLOOKUP(AI18,'2) หลักการคำนวน Table'!$C$3:$K$3,'2) หลักการคำนวน Table'!$C$3:$K$3,,1),
  IF(AI18&lt;MIN('2) หลักการคำนวน Table'!$C$3:$K$3),
     MIN('2) หลักการคำนวน Table'!$C$3:$K$3),
     MAX('2) หลักการคำนวน Table'!$C$3:$K$3)
  )
)</f>
        <v>0.9</v>
      </c>
      <c r="AV18" s="298">
        <f>IFERROR(
  _xlfn.XLOOKUP(AJ18,'2) หลักการคำนวน Table'!$C$3:$K$3,'2) หลักการคำนวน Table'!$C$3:$K$3,,1),
  IF(AJ18&lt;MIN('2) หลักการคำนวน Table'!$C$3:$K$3),
     MIN('2) หลักการคำนวน Table'!$C$3:$K$3),
     MAX('2) หลักการคำนวน Table'!$C$3:$K$3)
  )
)</f>
        <v>0.9</v>
      </c>
      <c r="AW18" s="298">
        <f>IFERROR(
  _xlfn.XLOOKUP(AK18,'2) หลักการคำนวน Table'!$C$3:$K$3,'2) หลักการคำนวน Table'!$C$3:$K$3,,1),
  IF(AK18&lt;MIN('2) หลักการคำนวน Table'!$C$3:$K$3),
     MIN('2) หลักการคำนวน Table'!$C$3:$K$3),
     MAX('2) หลักการคำนวน Table'!$C$3:$K$3)
  )
)</f>
        <v>0.9</v>
      </c>
      <c r="AX18" s="298">
        <f>IFERROR(
  _xlfn.XLOOKUP(AL18,'2) หลักการคำนวน Table'!$C$3:$K$3,'2) หลักการคำนวน Table'!$C$3:$K$3,,1),
  IF(AL18&lt;MIN('2) หลักการคำนวน Table'!$C$3:$K$3),
     MIN('2) หลักการคำนวน Table'!$C$3:$K$3),
     MAX('2) หลักการคำนวน Table'!$C$3:$K$3)
  )
)</f>
        <v>0.9</v>
      </c>
      <c r="AY18" s="298">
        <f>IFERROR(
  _xlfn.XLOOKUP(AM18,'2) หลักการคำนวน Table'!$C$3:$K$3,'2) หลักการคำนวน Table'!$C$3:$K$3,,1),
  IF(AM18&lt;MIN('2) หลักการคำนวน Table'!$C$3:$K$3),
     MIN('2) หลักการคำนวน Table'!$C$3:$K$3),
     MAX('2) หลักการคำนวน Table'!$C$3:$K$3)
  )
)</f>
        <v>0.9</v>
      </c>
      <c r="AZ18" s="299" cm="1">
        <f t="array" ref="AZ18">ROUND((_xlfn.XLOOKUP($C18,'2) หลักการคำนวน Table'!$A$4:$A$36,
_xlfn.XLOOKUP(AN18,'2)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A18" s="299" cm="1">
        <f t="array" ref="BA18">ROUND((_xlfn.XLOOKUP($C18,'2) หลักการคำนวน Table'!$A$4:$A$36,
_xlfn.XLOOKUP(AO18,'2)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B18" s="299" cm="1">
        <f t="array" ref="BB18">ROUND((_xlfn.XLOOKUP($C18,'2) หลักการคำนวน Table'!$A$4:$A$36,
_xlfn.XLOOKUP(AP18,'2)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C18" s="299" cm="1">
        <f t="array" ref="BC18">ROUND((_xlfn.XLOOKUP($C18,'2) หลักการคำนวน Table'!$A$4:$A$36,
_xlfn.XLOOKUP(AQ18,'2)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D18" s="299" cm="1">
        <f t="array" ref="BD18">ROUND((_xlfn.XLOOKUP($C18,'2) หลักการคำนวน Table'!$A$4:$A$36,
_xlfn.XLOOKUP(AR18,'2)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E18" s="299" cm="1">
        <f t="array" ref="BE18">ROUND((_xlfn.XLOOKUP($C18,'2) หลักการคำนวน Table'!$A$4:$A$36,
_xlfn.XLOOKUP(AS18,'2)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F18" s="299" cm="1">
        <f t="array" ref="BF18">ROUND((_xlfn.XLOOKUP($C18,'2) หลักการคำนวน Table'!$A$4:$A$36,
_xlfn.XLOOKUP(AT18,'2)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G18" s="299" cm="1">
        <f t="array" ref="BG18">ROUND((_xlfn.XLOOKUP($C18,'2) หลักการคำนวน Table'!$A$4:$A$36,
_xlfn.XLOOKUP(AU18,'2)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H18" s="299" cm="1">
        <f t="array" ref="BH18">ROUND((_xlfn.XLOOKUP($C18,'2) หลักการคำนวน Table'!$A$4:$A$36,
_xlfn.XLOOKUP(AV18,'2)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I18" s="299" cm="1">
        <f t="array" ref="BI18">ROUND((_xlfn.XLOOKUP($C18,'2) หลักการคำนวน Table'!$A$4:$A$36,
_xlfn.XLOOKUP(AW18,'2)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J18" s="299" cm="1">
        <f t="array" ref="BJ18">ROUND((_xlfn.XLOOKUP($C18,'2) หลักการคำนวน Table'!$A$4:$A$36,
_xlfn.XLOOKUP(AX18,'2)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K18" s="299" cm="1">
        <f t="array" ref="BK18">ROUND((_xlfn.XLOOKUP($C18,'2) หลักการคำนวน Table'!$A$4:$A$36,
_xlfn.XLOOKUP(AY18,'2)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40</v>
      </c>
      <c r="BM18" s="295">
        <v>222209</v>
      </c>
      <c r="BN18" s="300">
        <v>40</v>
      </c>
    </row>
    <row r="19" spans="1:66" ht="14.7" customHeight="1" x14ac:dyDescent="0.25">
      <c r="A19" s="126">
        <f>VLOOKUP(C19,ASTBase!E:S,13,FALSE)</f>
        <v>222208</v>
      </c>
      <c r="B19" s="126" t="s">
        <v>405</v>
      </c>
      <c r="C19" s="126">
        <v>5490000706</v>
      </c>
      <c r="D19" s="127">
        <v>102298</v>
      </c>
      <c r="E19" s="127">
        <v>94740</v>
      </c>
      <c r="F19" s="127">
        <v>105400</v>
      </c>
      <c r="G19" s="127">
        <v>97080</v>
      </c>
      <c r="H19" s="127">
        <v>105979.75</v>
      </c>
      <c r="I19" s="127">
        <v>100299.5</v>
      </c>
      <c r="J19" s="127">
        <v>99869.5</v>
      </c>
      <c r="K19" s="127">
        <v>103969.5</v>
      </c>
      <c r="L19" s="127">
        <v>103390</v>
      </c>
      <c r="M19" s="127">
        <v>98900</v>
      </c>
      <c r="N19" s="127">
        <v>100240</v>
      </c>
      <c r="O19" s="127">
        <v>104880</v>
      </c>
      <c r="P19" s="126">
        <v>112474</v>
      </c>
      <c r="R19" s="301"/>
      <c r="AB19" s="297">
        <f>IFERROR(IF(VLOOKUP($B19,Shortage!$A:$M,AB$2,FALSE)="Shortage",1,IFERROR(ROUND(P19/D19,4),0)),IFERROR(ROUND(P19/D19,4),0))</f>
        <v>1</v>
      </c>
      <c r="AC19" s="297">
        <f>IFERROR(IF(VLOOKUP($B19,Shortage!$A:$M,AC$2,FALSE)="Shortage",1,IFERROR(ROUND(Q19/E19,4),0)),IFERROR(ROUND(Q19/E19,4),0))</f>
        <v>0</v>
      </c>
      <c r="AD19" s="297">
        <f>IFERROR(IF(VLOOKUP($B19,Shortage!$A:$M,AD$2,FALSE)="Shortage",1,IFERROR(ROUND(R19/F19,4),0)),IFERROR(ROUND(R19/F19,4),0))</f>
        <v>0</v>
      </c>
      <c r="AE19" s="297">
        <f>IFERROR(IF(VLOOKUP($B19,Shortage!$A:$M,AE$2,FALSE)="Shortage",1,IFERROR(ROUND(S19/G19,4),0)),IFERROR(ROUND(S19/G19,4),0))</f>
        <v>0</v>
      </c>
      <c r="AF19" s="297">
        <f>IFERROR(IF(VLOOKUP($B19,Shortage!$A:$M,AF$2,FALSE)="Shortage",1,IFERROR(ROUND(T19/H19,4),0)),IFERROR(ROUND(T19/H19,4),0))</f>
        <v>0</v>
      </c>
      <c r="AG19" s="297">
        <f>IFERROR(IF(VLOOKUP($B19,Shortage!$A:$M,AG$2,FALSE)="Shortage",1,IFERROR(ROUND(U19/I19,4),0)),IFERROR(ROUND(U19/I19,4),0))</f>
        <v>0</v>
      </c>
      <c r="AH19" s="297">
        <f>IFERROR(IF(VLOOKUP($B19,Shortage!$A:$M,AH$2,FALSE)="Shortage",1,IFERROR(ROUND(V19/J19,4),0)),IFERROR(ROUND(V19/J19,4),0))</f>
        <v>0</v>
      </c>
      <c r="AI19" s="297">
        <f>IFERROR(IF(VLOOKUP($B19,Shortage!$A:$M,AI$2,FALSE)="Shortage",1,IFERROR(ROUND(W19/K19,4),0)),IFERROR(ROUND(W19/K19,4),0))</f>
        <v>0</v>
      </c>
      <c r="AJ19" s="297">
        <f>IFERROR(IF(VLOOKUP($B19,Shortage!$A:$M,AJ$2,FALSE)="Shortage",1,IFERROR(ROUND(X19/L19,4),0)),IFERROR(ROUND(X19/L19,4),0))</f>
        <v>0</v>
      </c>
      <c r="AK19" s="297">
        <f>IFERROR(IF(VLOOKUP($B19,Shortage!$A:$M,AK$2,FALSE)="Shortage",1,IFERROR(ROUND(Y19/M19,4),0)),IFERROR(ROUND(Y19/M19,4),0))</f>
        <v>0</v>
      </c>
      <c r="AL19" s="297">
        <f>IFERROR(IF(VLOOKUP($B19,Shortage!$A:$M,AL$2,FALSE)="Shortage",1,IFERROR(ROUND(Z19/N19,4),0)),IFERROR(ROUND(Z19/N19,4),0))</f>
        <v>0</v>
      </c>
      <c r="AM19" s="297">
        <f>IFERROR(IF(VLOOKUP($B19,Shortage!$A:$M,AM$2,FALSE)="Shortage",1,IFERROR(ROUND(AA19/O19,4),0)),IFERROR(ROUND(AA19/O19,4),0))</f>
        <v>0</v>
      </c>
      <c r="AN19" s="298">
        <f>IFERROR(_xlfn.XLOOKUP(AB19,'2) หลักการคำนวน Table'!$C$3:$K$3,'2) หลักการคำนวน Table'!$C$3:$K$3,,1),INDEX('2) หลักการคำนวน Table'!$C$3:$K$3,1))</f>
        <v>1</v>
      </c>
      <c r="AO19" s="298">
        <f>IFERROR(
  _xlfn.XLOOKUP(AC19,'2) หลักการคำนวน Table'!$C$3:$K$3,'2) หลักการคำนวน Table'!$C$3:$K$3,,1),
  IF(AC19&lt;MIN('2) หลักการคำนวน Table'!$C$3:$K$3),
     MIN('2) หลักการคำนวน Table'!$C$3:$K$3),
     MAX('2) หลักการคำนวน Table'!$C$3:$K$3)
  )
)</f>
        <v>0.9</v>
      </c>
      <c r="AP19" s="298">
        <f>IFERROR(
  _xlfn.XLOOKUP(AD19,'2) หลักการคำนวน Table'!$C$3:$K$3,'2) หลักการคำนวน Table'!$C$3:$K$3,,1),
  IF(AD19&lt;MIN('2) หลักการคำนวน Table'!$C$3:$K$3),
     MIN('2) หลักการคำนวน Table'!$C$3:$K$3),
     MAX('2) หลักการคำนวน Table'!$C$3:$K$3)
  )
)</f>
        <v>0.9</v>
      </c>
      <c r="AQ19" s="298">
        <f>IFERROR(
  _xlfn.XLOOKUP(AE19,'2) หลักการคำนวน Table'!$C$3:$K$3,'2) หลักการคำนวน Table'!$C$3:$K$3,,1),
  IF(AE19&lt;MIN('2) หลักการคำนวน Table'!$C$3:$K$3),
     MIN('2) หลักการคำนวน Table'!$C$3:$K$3),
     MAX('2) หลักการคำนวน Table'!$C$3:$K$3)
  )
)</f>
        <v>0.9</v>
      </c>
      <c r="AR19" s="298">
        <f>IFERROR(
  _xlfn.XLOOKUP(AF19,'2) หลักการคำนวน Table'!$C$3:$K$3,'2) หลักการคำนวน Table'!$C$3:$K$3,,1),
  IF(AF19&lt;MIN('2) หลักการคำนวน Table'!$C$3:$K$3),
     MIN('2) หลักการคำนวน Table'!$C$3:$K$3),
     MAX('2) หลักการคำนวน Table'!$C$3:$K$3)
  )
)</f>
        <v>0.9</v>
      </c>
      <c r="AS19" s="298">
        <f>IFERROR(
  _xlfn.XLOOKUP(AG19,'2) หลักการคำนวน Table'!$C$3:$K$3,'2) หลักการคำนวน Table'!$C$3:$K$3,,1),
  IF(AG19&lt;MIN('2) หลักการคำนวน Table'!$C$3:$K$3),
     MIN('2) หลักการคำนวน Table'!$C$3:$K$3),
     MAX('2) หลักการคำนวน Table'!$C$3:$K$3)
  )
)</f>
        <v>0.9</v>
      </c>
      <c r="AT19" s="298">
        <f>IFERROR(
  _xlfn.XLOOKUP(AH19,'2) หลักการคำนวน Table'!$C$3:$K$3,'2) หลักการคำนวน Table'!$C$3:$K$3,,1),
  IF(AH19&lt;MIN('2) หลักการคำนวน Table'!$C$3:$K$3),
     MIN('2) หลักการคำนวน Table'!$C$3:$K$3),
     MAX('2) หลักการคำนวน Table'!$C$3:$K$3)
  )
)</f>
        <v>0.9</v>
      </c>
      <c r="AU19" s="298">
        <f>IFERROR(
  _xlfn.XLOOKUP(AI19,'2) หลักการคำนวน Table'!$C$3:$K$3,'2) หลักการคำนวน Table'!$C$3:$K$3,,1),
  IF(AI19&lt;MIN('2) หลักการคำนวน Table'!$C$3:$K$3),
     MIN('2) หลักการคำนวน Table'!$C$3:$K$3),
     MAX('2) หลักการคำนวน Table'!$C$3:$K$3)
  )
)</f>
        <v>0.9</v>
      </c>
      <c r="AV19" s="298">
        <f>IFERROR(
  _xlfn.XLOOKUP(AJ19,'2) หลักการคำนวน Table'!$C$3:$K$3,'2) หลักการคำนวน Table'!$C$3:$K$3,,1),
  IF(AJ19&lt;MIN('2) หลักการคำนวน Table'!$C$3:$K$3),
     MIN('2) หลักการคำนวน Table'!$C$3:$K$3),
     MAX('2) หลักการคำนวน Table'!$C$3:$K$3)
  )
)</f>
        <v>0.9</v>
      </c>
      <c r="AW19" s="298">
        <f>IFERROR(
  _xlfn.XLOOKUP(AK19,'2) หลักการคำนวน Table'!$C$3:$K$3,'2) หลักการคำนวน Table'!$C$3:$K$3,,1),
  IF(AK19&lt;MIN('2) หลักการคำนวน Table'!$C$3:$K$3),
     MIN('2) หลักการคำนวน Table'!$C$3:$K$3),
     MAX('2) หลักการคำนวน Table'!$C$3:$K$3)
  )
)</f>
        <v>0.9</v>
      </c>
      <c r="AX19" s="298">
        <f>IFERROR(
  _xlfn.XLOOKUP(AL19,'2) หลักการคำนวน Table'!$C$3:$K$3,'2) หลักการคำนวน Table'!$C$3:$K$3,,1),
  IF(AL19&lt;MIN('2) หลักการคำนวน Table'!$C$3:$K$3),
     MIN('2) หลักการคำนวน Table'!$C$3:$K$3),
     MAX('2) หลักการคำนวน Table'!$C$3:$K$3)
  )
)</f>
        <v>0.9</v>
      </c>
      <c r="AY19" s="298">
        <f>IFERROR(
  _xlfn.XLOOKUP(AM19,'2) หลักการคำนวน Table'!$C$3:$K$3,'2) หลักการคำนวน Table'!$C$3:$K$3,,1),
  IF(AM19&lt;MIN('2) หลักการคำนวน Table'!$C$3:$K$3),
     MIN('2) หลักการคำนวน Table'!$C$3:$K$3),
     MAX('2) หลักการคำนวน Table'!$C$3:$K$3)
  )
)</f>
        <v>0.9</v>
      </c>
      <c r="AZ19" s="299" cm="1">
        <f t="array" ref="AZ19">ROUND((_xlfn.XLOOKUP($C19,'2) หลักการคำนวน Table'!$A$4:$A$36,
_xlfn.XLOOKUP(AN19,'2)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121</v>
      </c>
      <c r="BA19" s="299" cm="1">
        <f t="array" ref="BA19">ROUND((_xlfn.XLOOKUP($C19,'2) หลักการคำนวน Table'!$A$4:$A$36,
_xlfn.XLOOKUP(AO19,'2)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109</v>
      </c>
      <c r="BB19" s="299" cm="1">
        <f t="array" ref="BB19">ROUND((_xlfn.XLOOKUP($C19,'2) หลักการคำนวน Table'!$A$4:$A$36,
_xlfn.XLOOKUP(AP19,'2)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109</v>
      </c>
      <c r="BC19" s="299" cm="1">
        <f t="array" ref="BC19">ROUND((_xlfn.XLOOKUP($C19,'2) หลักการคำนวน Table'!$A$4:$A$36,
_xlfn.XLOOKUP(AQ19,'2)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109</v>
      </c>
      <c r="BD19" s="299" cm="1">
        <f t="array" ref="BD19">ROUND((_xlfn.XLOOKUP($C19,'2) หลักการคำนวน Table'!$A$4:$A$36,
_xlfn.XLOOKUP(AR19,'2)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109</v>
      </c>
      <c r="BE19" s="299" cm="1">
        <f t="array" ref="BE19">ROUND((_xlfn.XLOOKUP($C19,'2) หลักการคำนวน Table'!$A$4:$A$36,
_xlfn.XLOOKUP(AS19,'2)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109</v>
      </c>
      <c r="BF19" s="299" cm="1">
        <f t="array" ref="BF19">ROUND((_xlfn.XLOOKUP($C19,'2) หลักการคำนวน Table'!$A$4:$A$36,
_xlfn.XLOOKUP(AT19,'2)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109</v>
      </c>
      <c r="BG19" s="299" cm="1">
        <f t="array" ref="BG19">ROUND((_xlfn.XLOOKUP($C19,'2) หลักการคำนวน Table'!$A$4:$A$36,
_xlfn.XLOOKUP(AU19,'2)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109</v>
      </c>
      <c r="BH19" s="299" cm="1">
        <f t="array" ref="BH19">ROUND((_xlfn.XLOOKUP($C19,'2) หลักการคำนวน Table'!$A$4:$A$36,
_xlfn.XLOOKUP(AV19,'2)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109</v>
      </c>
      <c r="BI19" s="299" cm="1">
        <f t="array" ref="BI19">ROUND((_xlfn.XLOOKUP($C19,'2) หลักการคำนวน Table'!$A$4:$A$36,
_xlfn.XLOOKUP(AW19,'2)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109</v>
      </c>
      <c r="BJ19" s="299" cm="1">
        <f t="array" ref="BJ19">ROUND((_xlfn.XLOOKUP($C19,'2) หลักการคำนวน Table'!$A$4:$A$36,
_xlfn.XLOOKUP(AX19,'2)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109</v>
      </c>
      <c r="BK19" s="299" cm="1">
        <f t="array" ref="BK19">ROUND((_xlfn.XLOOKUP($C19,'2) หลักการคำนวน Table'!$A$4:$A$36,
_xlfn.XLOOKUP(AY19,'2)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109</v>
      </c>
      <c r="BM19" s="295">
        <v>222210</v>
      </c>
      <c r="BN19" s="300">
        <v>121</v>
      </c>
    </row>
    <row r="20" spans="1:66" ht="14.7" customHeight="1" x14ac:dyDescent="0.25">
      <c r="A20" s="126">
        <f>VLOOKUP(C20,ASTBase!E:S,13,FALSE)</f>
        <v>222208</v>
      </c>
      <c r="B20" s="126" t="s">
        <v>408</v>
      </c>
      <c r="C20" s="126">
        <v>5490000706</v>
      </c>
      <c r="D20" s="127">
        <v>188</v>
      </c>
      <c r="E20" s="127">
        <v>160</v>
      </c>
      <c r="F20" s="127">
        <v>200</v>
      </c>
      <c r="G20" s="127">
        <v>150</v>
      </c>
      <c r="H20" s="127">
        <v>200</v>
      </c>
      <c r="I20" s="127">
        <v>163</v>
      </c>
      <c r="J20" s="127">
        <v>190</v>
      </c>
      <c r="K20" s="127">
        <v>170</v>
      </c>
      <c r="L20" s="127">
        <v>181</v>
      </c>
      <c r="M20" s="127">
        <v>183</v>
      </c>
      <c r="N20" s="127">
        <v>200</v>
      </c>
      <c r="O20" s="127">
        <v>160</v>
      </c>
      <c r="P20" s="126">
        <v>281.76000000000005</v>
      </c>
      <c r="AB20" s="297">
        <f>IFERROR(IF(VLOOKUP($B20,Shortage!$A:$M,AB$2,FALSE)="Shortage",1,IFERROR(ROUND(P20/D20,4),0)),IFERROR(ROUND(P20/D20,4),0))</f>
        <v>1.4986999999999999</v>
      </c>
      <c r="AC20" s="297">
        <f>IFERROR(IF(VLOOKUP($B20,Shortage!$A:$M,AC$2,FALSE)="Shortage",1,IFERROR(ROUND(Q20/E20,4),0)),IFERROR(ROUND(Q20/E20,4),0))</f>
        <v>0</v>
      </c>
      <c r="AD20" s="297">
        <f>IFERROR(IF(VLOOKUP($B20,Shortage!$A:$M,AD$2,FALSE)="Shortage",1,IFERROR(ROUND(R20/F20,4),0)),IFERROR(ROUND(R20/F20,4),0))</f>
        <v>0</v>
      </c>
      <c r="AE20" s="297">
        <f>IFERROR(IF(VLOOKUP($B20,Shortage!$A:$M,AE$2,FALSE)="Shortage",1,IFERROR(ROUND(S20/G20,4),0)),IFERROR(ROUND(S20/G20,4),0))</f>
        <v>0</v>
      </c>
      <c r="AF20" s="297">
        <f>IFERROR(IF(VLOOKUP($B20,Shortage!$A:$M,AF$2,FALSE)="Shortage",1,IFERROR(ROUND(T20/H20,4),0)),IFERROR(ROUND(T20/H20,4),0))</f>
        <v>0</v>
      </c>
      <c r="AG20" s="297">
        <f>IFERROR(IF(VLOOKUP($B20,Shortage!$A:$M,AG$2,FALSE)="Shortage",1,IFERROR(ROUND(U20/I20,4),0)),IFERROR(ROUND(U20/I20,4),0))</f>
        <v>0</v>
      </c>
      <c r="AH20" s="297">
        <f>IFERROR(IF(VLOOKUP($B20,Shortage!$A:$M,AH$2,FALSE)="Shortage",1,IFERROR(ROUND(V20/J20,4),0)),IFERROR(ROUND(V20/J20,4),0))</f>
        <v>0</v>
      </c>
      <c r="AI20" s="297">
        <f>IFERROR(IF(VLOOKUP($B20,Shortage!$A:$M,AI$2,FALSE)="Shortage",1,IFERROR(ROUND(W20/K20,4),0)),IFERROR(ROUND(W20/K20,4),0))</f>
        <v>0</v>
      </c>
      <c r="AJ20" s="297">
        <f>IFERROR(IF(VLOOKUP($B20,Shortage!$A:$M,AJ$2,FALSE)="Shortage",1,IFERROR(ROUND(X20/L20,4),0)),IFERROR(ROUND(X20/L20,4),0))</f>
        <v>0</v>
      </c>
      <c r="AK20" s="297">
        <f>IFERROR(IF(VLOOKUP($B20,Shortage!$A:$M,AK$2,FALSE)="Shortage",1,IFERROR(ROUND(Y20/M20,4),0)),IFERROR(ROUND(Y20/M20,4),0))</f>
        <v>0</v>
      </c>
      <c r="AL20" s="297">
        <f>IFERROR(IF(VLOOKUP($B20,Shortage!$A:$M,AL$2,FALSE)="Shortage",1,IFERROR(ROUND(Z20/N20,4),0)),IFERROR(ROUND(Z20/N20,4),0))</f>
        <v>0</v>
      </c>
      <c r="AM20" s="297">
        <f>IFERROR(IF(VLOOKUP($B20,Shortage!$A:$M,AM$2,FALSE)="Shortage",1,IFERROR(ROUND(AA20/O20,4),0)),IFERROR(ROUND(AA20/O20,4),0))</f>
        <v>0</v>
      </c>
      <c r="AN20" s="298">
        <f>IFERROR(_xlfn.XLOOKUP(AB20,'2) หลักการคำนวน Table'!$C$3:$K$3,'2) หลักการคำนวน Table'!$C$3:$K$3,,1),INDEX('2) หลักการคำนวน Table'!$C$3:$K$3,1))</f>
        <v>20</v>
      </c>
      <c r="AO20" s="298">
        <f>IFERROR(
  _xlfn.XLOOKUP(AC20,'2) หลักการคำนวน Table'!$C$3:$K$3,'2) หลักการคำนวน Table'!$C$3:$K$3,,1),
  IF(AC20&lt;MIN('2) หลักการคำนวน Table'!$C$3:$K$3),
     MIN('2) หลักการคำนวน Table'!$C$3:$K$3),
     MAX('2) หลักการคำนวน Table'!$C$3:$K$3)
  )
)</f>
        <v>0.9</v>
      </c>
      <c r="AP20" s="298">
        <f>IFERROR(
  _xlfn.XLOOKUP(AD20,'2) หลักการคำนวน Table'!$C$3:$K$3,'2) หลักการคำนวน Table'!$C$3:$K$3,,1),
  IF(AD20&lt;MIN('2) หลักการคำนวน Table'!$C$3:$K$3),
     MIN('2) หลักการคำนวน Table'!$C$3:$K$3),
     MAX('2) หลักการคำนวน Table'!$C$3:$K$3)
  )
)</f>
        <v>0.9</v>
      </c>
      <c r="AQ20" s="298">
        <f>IFERROR(
  _xlfn.XLOOKUP(AE20,'2) หลักการคำนวน Table'!$C$3:$K$3,'2) หลักการคำนวน Table'!$C$3:$K$3,,1),
  IF(AE20&lt;MIN('2) หลักการคำนวน Table'!$C$3:$K$3),
     MIN('2) หลักการคำนวน Table'!$C$3:$K$3),
     MAX('2) หลักการคำนวน Table'!$C$3:$K$3)
  )
)</f>
        <v>0.9</v>
      </c>
      <c r="AR20" s="298">
        <f>IFERROR(
  _xlfn.XLOOKUP(AF20,'2) หลักการคำนวน Table'!$C$3:$K$3,'2) หลักการคำนวน Table'!$C$3:$K$3,,1),
  IF(AF20&lt;MIN('2) หลักการคำนวน Table'!$C$3:$K$3),
     MIN('2) หลักการคำนวน Table'!$C$3:$K$3),
     MAX('2) หลักการคำนวน Table'!$C$3:$K$3)
  )
)</f>
        <v>0.9</v>
      </c>
      <c r="AS20" s="298">
        <f>IFERROR(
  _xlfn.XLOOKUP(AG20,'2) หลักการคำนวน Table'!$C$3:$K$3,'2) หลักการคำนวน Table'!$C$3:$K$3,,1),
  IF(AG20&lt;MIN('2) หลักการคำนวน Table'!$C$3:$K$3),
     MIN('2) หลักการคำนวน Table'!$C$3:$K$3),
     MAX('2) หลักการคำนวน Table'!$C$3:$K$3)
  )
)</f>
        <v>0.9</v>
      </c>
      <c r="AT20" s="298">
        <f>IFERROR(
  _xlfn.XLOOKUP(AH20,'2) หลักการคำนวน Table'!$C$3:$K$3,'2) หลักการคำนวน Table'!$C$3:$K$3,,1),
  IF(AH20&lt;MIN('2) หลักการคำนวน Table'!$C$3:$K$3),
     MIN('2) หลักการคำนวน Table'!$C$3:$K$3),
     MAX('2) หลักการคำนวน Table'!$C$3:$K$3)
  )
)</f>
        <v>0.9</v>
      </c>
      <c r="AU20" s="298">
        <f>IFERROR(
  _xlfn.XLOOKUP(AI20,'2) หลักการคำนวน Table'!$C$3:$K$3,'2) หลักการคำนวน Table'!$C$3:$K$3,,1),
  IF(AI20&lt;MIN('2) หลักการคำนวน Table'!$C$3:$K$3),
     MIN('2) หลักการคำนวน Table'!$C$3:$K$3),
     MAX('2) หลักการคำนวน Table'!$C$3:$K$3)
  )
)</f>
        <v>0.9</v>
      </c>
      <c r="AV20" s="298">
        <f>IFERROR(
  _xlfn.XLOOKUP(AJ20,'2) หลักการคำนวน Table'!$C$3:$K$3,'2) หลักการคำนวน Table'!$C$3:$K$3,,1),
  IF(AJ20&lt;MIN('2) หลักการคำนวน Table'!$C$3:$K$3),
     MIN('2) หลักการคำนวน Table'!$C$3:$K$3),
     MAX('2) หลักการคำนวน Table'!$C$3:$K$3)
  )
)</f>
        <v>0.9</v>
      </c>
      <c r="AW20" s="298">
        <f>IFERROR(
  _xlfn.XLOOKUP(AK20,'2) หลักการคำนวน Table'!$C$3:$K$3,'2) หลักการคำนวน Table'!$C$3:$K$3,,1),
  IF(AK20&lt;MIN('2) หลักการคำนวน Table'!$C$3:$K$3),
     MIN('2) หลักการคำนวน Table'!$C$3:$K$3),
     MAX('2) หลักการคำนวน Table'!$C$3:$K$3)
  )
)</f>
        <v>0.9</v>
      </c>
      <c r="AX20" s="298">
        <f>IFERROR(
  _xlfn.XLOOKUP(AL20,'2) หลักการคำนวน Table'!$C$3:$K$3,'2) หลักการคำนวน Table'!$C$3:$K$3,,1),
  IF(AL20&lt;MIN('2) หลักการคำนวน Table'!$C$3:$K$3),
     MIN('2) หลักการคำนวน Table'!$C$3:$K$3),
     MAX('2) หลักการคำนวน Table'!$C$3:$K$3)
  )
)</f>
        <v>0.9</v>
      </c>
      <c r="AY20" s="298">
        <f>IFERROR(
  _xlfn.XLOOKUP(AM20,'2) หลักการคำนวน Table'!$C$3:$K$3,'2) หลักการคำนวน Table'!$C$3:$K$3,,1),
  IF(AM20&lt;MIN('2) หลักการคำนวน Table'!$C$3:$K$3),
     MIN('2) หลักการคำนวน Table'!$C$3:$K$3),
     MAX('2) หลักการคำนวน Table'!$C$3:$K$3)
  )
)</f>
        <v>0.9</v>
      </c>
      <c r="AZ20" s="299" cm="1">
        <f t="array" ref="AZ20">ROUND((_xlfn.XLOOKUP($C20,'2) หลักการคำนวน Table'!$A$4:$A$36,
_xlfn.XLOOKUP(AN20,'2)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263</v>
      </c>
      <c r="BA20" s="299" cm="1">
        <f t="array" ref="BA20">ROUND((_xlfn.XLOOKUP($C20,'2) หลักการคำนวน Table'!$A$4:$A$36,
_xlfn.XLOOKUP(AO20,'2)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182</v>
      </c>
      <c r="BB20" s="299" cm="1">
        <f t="array" ref="BB20">ROUND((_xlfn.XLOOKUP($C20,'2) หลักการคำนวน Table'!$A$4:$A$36,
_xlfn.XLOOKUP(AP20,'2)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182</v>
      </c>
      <c r="BC20" s="299" cm="1">
        <f t="array" ref="BC20">ROUND((_xlfn.XLOOKUP($C20,'2) หลักการคำนวน Table'!$A$4:$A$36,
_xlfn.XLOOKUP(AQ20,'2)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182</v>
      </c>
      <c r="BD20" s="299" cm="1">
        <f t="array" ref="BD20">ROUND((_xlfn.XLOOKUP($C20,'2) หลักการคำนวน Table'!$A$4:$A$36,
_xlfn.XLOOKUP(AR20,'2)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182</v>
      </c>
      <c r="BE20" s="299" cm="1">
        <f t="array" ref="BE20">ROUND((_xlfn.XLOOKUP($C20,'2) หลักการคำนวน Table'!$A$4:$A$36,
_xlfn.XLOOKUP(AS20,'2)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182</v>
      </c>
      <c r="BF20" s="299" cm="1">
        <f t="array" ref="BF20">ROUND((_xlfn.XLOOKUP($C20,'2) หลักการคำนวน Table'!$A$4:$A$36,
_xlfn.XLOOKUP(AT20,'2)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182</v>
      </c>
      <c r="BG20" s="299" cm="1">
        <f t="array" ref="BG20">ROUND((_xlfn.XLOOKUP($C20,'2) หลักการคำนวน Table'!$A$4:$A$36,
_xlfn.XLOOKUP(AU20,'2)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182</v>
      </c>
      <c r="BH20" s="299" cm="1">
        <f t="array" ref="BH20">ROUND((_xlfn.XLOOKUP($C20,'2) หลักการคำนวน Table'!$A$4:$A$36,
_xlfn.XLOOKUP(AV20,'2)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182</v>
      </c>
      <c r="BI20" s="299" cm="1">
        <f t="array" ref="BI20">ROUND((_xlfn.XLOOKUP($C20,'2) หลักการคำนวน Table'!$A$4:$A$36,
_xlfn.XLOOKUP(AW20,'2)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182</v>
      </c>
      <c r="BJ20" s="299" cm="1">
        <f t="array" ref="BJ20">ROUND((_xlfn.XLOOKUP($C20,'2) หลักการคำนวน Table'!$A$4:$A$36,
_xlfn.XLOOKUP(AX20,'2)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182</v>
      </c>
      <c r="BK20" s="299" cm="1">
        <f t="array" ref="BK20">ROUND((_xlfn.XLOOKUP($C20,'2) หลักการคำนวน Table'!$A$4:$A$36,
_xlfn.XLOOKUP(AY20,'2)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182</v>
      </c>
      <c r="BM20" s="295">
        <v>222210</v>
      </c>
      <c r="BN20" s="300">
        <v>263</v>
      </c>
    </row>
    <row r="21" spans="1:66" ht="14.7" customHeight="1" x14ac:dyDescent="0.25">
      <c r="A21" s="126">
        <f>VLOOKUP(C21,ASTBase!E:S,13,FALSE)</f>
        <v>222208</v>
      </c>
      <c r="B21" s="126" t="s">
        <v>416</v>
      </c>
      <c r="C21" s="126">
        <v>5490000706</v>
      </c>
      <c r="D21" s="127">
        <v>8</v>
      </c>
      <c r="E21" s="127">
        <v>8</v>
      </c>
      <c r="F21" s="127">
        <v>9</v>
      </c>
      <c r="G21" s="127">
        <v>6</v>
      </c>
      <c r="H21" s="127">
        <v>7</v>
      </c>
      <c r="I21" s="127">
        <v>7</v>
      </c>
      <c r="J21" s="127">
        <v>6</v>
      </c>
      <c r="K21" s="127">
        <v>5</v>
      </c>
      <c r="L21" s="127">
        <v>11</v>
      </c>
      <c r="M21" s="127">
        <v>6</v>
      </c>
      <c r="N21" s="127">
        <v>6</v>
      </c>
      <c r="O21" s="127">
        <v>6</v>
      </c>
      <c r="P21" s="126">
        <v>2.9999999999520002</v>
      </c>
      <c r="AB21" s="297">
        <f>IFERROR(IF(VLOOKUP($B21,Shortage!$A:$M,AB$2,FALSE)="Shortage",1,IFERROR(ROUND(P21/D21,4),0)),IFERROR(ROUND(P21/D21,4),0))</f>
        <v>0.375</v>
      </c>
      <c r="AC21" s="297">
        <f>IFERROR(IF(VLOOKUP($B21,Shortage!$A:$M,AC$2,FALSE)="Shortage",1,IFERROR(ROUND(Q21/E21,4),0)),IFERROR(ROUND(Q21/E21,4),0))</f>
        <v>0</v>
      </c>
      <c r="AD21" s="297">
        <f>IFERROR(IF(VLOOKUP($B21,Shortage!$A:$M,AD$2,FALSE)="Shortage",1,IFERROR(ROUND(R21/F21,4),0)),IFERROR(ROUND(R21/F21,4),0))</f>
        <v>0</v>
      </c>
      <c r="AE21" s="297">
        <f>IFERROR(IF(VLOOKUP($B21,Shortage!$A:$M,AE$2,FALSE)="Shortage",1,IFERROR(ROUND(S21/G21,4),0)),IFERROR(ROUND(S21/G21,4),0))</f>
        <v>0</v>
      </c>
      <c r="AF21" s="297">
        <f>IFERROR(IF(VLOOKUP($B21,Shortage!$A:$M,AF$2,FALSE)="Shortage",1,IFERROR(ROUND(T21/H21,4),0)),IFERROR(ROUND(T21/H21,4),0))</f>
        <v>0</v>
      </c>
      <c r="AG21" s="297">
        <f>IFERROR(IF(VLOOKUP($B21,Shortage!$A:$M,AG$2,FALSE)="Shortage",1,IFERROR(ROUND(U21/I21,4),0)),IFERROR(ROUND(U21/I21,4),0))</f>
        <v>0</v>
      </c>
      <c r="AH21" s="297">
        <f>IFERROR(IF(VLOOKUP($B21,Shortage!$A:$M,AH$2,FALSE)="Shortage",1,IFERROR(ROUND(V21/J21,4),0)),IFERROR(ROUND(V21/J21,4),0))</f>
        <v>0</v>
      </c>
      <c r="AI21" s="297">
        <f>IFERROR(IF(VLOOKUP($B21,Shortage!$A:$M,AI$2,FALSE)="Shortage",1,IFERROR(ROUND(W21/K21,4),0)),IFERROR(ROUND(W21/K21,4),0))</f>
        <v>0</v>
      </c>
      <c r="AJ21" s="297">
        <f>IFERROR(IF(VLOOKUP($B21,Shortage!$A:$M,AJ$2,FALSE)="Shortage",1,IFERROR(ROUND(X21/L21,4),0)),IFERROR(ROUND(X21/L21,4),0))</f>
        <v>0</v>
      </c>
      <c r="AK21" s="297">
        <f>IFERROR(IF(VLOOKUP($B21,Shortage!$A:$M,AK$2,FALSE)="Shortage",1,IFERROR(ROUND(Y21/M21,4),0)),IFERROR(ROUND(Y21/M21,4),0))</f>
        <v>0</v>
      </c>
      <c r="AL21" s="297">
        <f>IFERROR(IF(VLOOKUP($B21,Shortage!$A:$M,AL$2,FALSE)="Shortage",1,IFERROR(ROUND(Z21/N21,4),0)),IFERROR(ROUND(Z21/N21,4),0))</f>
        <v>0</v>
      </c>
      <c r="AM21" s="297">
        <f>IFERROR(IF(VLOOKUP($B21,Shortage!$A:$M,AM$2,FALSE)="Shortage",1,IFERROR(ROUND(AA21/O21,4),0)),IFERROR(ROUND(AA21/O21,4),0))</f>
        <v>0</v>
      </c>
      <c r="AN21" s="298">
        <f>IFERROR(_xlfn.XLOOKUP(AB21,'2) หลักการคำนวน Table'!$C$3:$K$3,'2) หลักการคำนวน Table'!$C$3:$K$3,,1),INDEX('2) หลักการคำนวน Table'!$C$3:$K$3,1))</f>
        <v>0.9</v>
      </c>
      <c r="AO21" s="298">
        <f>IFERROR(
  _xlfn.XLOOKUP(AC21,'2) หลักการคำนวน Table'!$C$3:$K$3,'2) หลักการคำนวน Table'!$C$3:$K$3,,1),
  IF(AC21&lt;MIN('2) หลักการคำนวน Table'!$C$3:$K$3),
     MIN('2) หลักการคำนวน Table'!$C$3:$K$3),
     MAX('2) หลักการคำนวน Table'!$C$3:$K$3)
  )
)</f>
        <v>0.9</v>
      </c>
      <c r="AP21" s="298">
        <f>IFERROR(
  _xlfn.XLOOKUP(AD21,'2) หลักการคำนวน Table'!$C$3:$K$3,'2) หลักการคำนวน Table'!$C$3:$K$3,,1),
  IF(AD21&lt;MIN('2) หลักการคำนวน Table'!$C$3:$K$3),
     MIN('2) หลักการคำนวน Table'!$C$3:$K$3),
     MAX('2) หลักการคำนวน Table'!$C$3:$K$3)
  )
)</f>
        <v>0.9</v>
      </c>
      <c r="AQ21" s="298">
        <f>IFERROR(
  _xlfn.XLOOKUP(AE21,'2) หลักการคำนวน Table'!$C$3:$K$3,'2) หลักการคำนวน Table'!$C$3:$K$3,,1),
  IF(AE21&lt;MIN('2) หลักการคำนวน Table'!$C$3:$K$3),
     MIN('2) หลักการคำนวน Table'!$C$3:$K$3),
     MAX('2) หลักการคำนวน Table'!$C$3:$K$3)
  )
)</f>
        <v>0.9</v>
      </c>
      <c r="AR21" s="298">
        <f>IFERROR(
  _xlfn.XLOOKUP(AF21,'2) หลักการคำนวน Table'!$C$3:$K$3,'2) หลักการคำนวน Table'!$C$3:$K$3,,1),
  IF(AF21&lt;MIN('2) หลักการคำนวน Table'!$C$3:$K$3),
     MIN('2) หลักการคำนวน Table'!$C$3:$K$3),
     MAX('2) หลักการคำนวน Table'!$C$3:$K$3)
  )
)</f>
        <v>0.9</v>
      </c>
      <c r="AS21" s="298">
        <f>IFERROR(
  _xlfn.XLOOKUP(AG21,'2) หลักการคำนวน Table'!$C$3:$K$3,'2) หลักการคำนวน Table'!$C$3:$K$3,,1),
  IF(AG21&lt;MIN('2) หลักการคำนวน Table'!$C$3:$K$3),
     MIN('2) หลักการคำนวน Table'!$C$3:$K$3),
     MAX('2) หลักการคำนวน Table'!$C$3:$K$3)
  )
)</f>
        <v>0.9</v>
      </c>
      <c r="AT21" s="298">
        <f>IFERROR(
  _xlfn.XLOOKUP(AH21,'2) หลักการคำนวน Table'!$C$3:$K$3,'2) หลักการคำนวน Table'!$C$3:$K$3,,1),
  IF(AH21&lt;MIN('2) หลักการคำนวน Table'!$C$3:$K$3),
     MIN('2) หลักการคำนวน Table'!$C$3:$K$3),
     MAX('2) หลักการคำนวน Table'!$C$3:$K$3)
  )
)</f>
        <v>0.9</v>
      </c>
      <c r="AU21" s="298">
        <f>IFERROR(
  _xlfn.XLOOKUP(AI21,'2) หลักการคำนวน Table'!$C$3:$K$3,'2) หลักการคำนวน Table'!$C$3:$K$3,,1),
  IF(AI21&lt;MIN('2) หลักการคำนวน Table'!$C$3:$K$3),
     MIN('2) หลักการคำนวน Table'!$C$3:$K$3),
     MAX('2) หลักการคำนวน Table'!$C$3:$K$3)
  )
)</f>
        <v>0.9</v>
      </c>
      <c r="AV21" s="298">
        <f>IFERROR(
  _xlfn.XLOOKUP(AJ21,'2) หลักการคำนวน Table'!$C$3:$K$3,'2) หลักการคำนวน Table'!$C$3:$K$3,,1),
  IF(AJ21&lt;MIN('2) หลักการคำนวน Table'!$C$3:$K$3),
     MIN('2) หลักการคำนวน Table'!$C$3:$K$3),
     MAX('2) หลักการคำนวน Table'!$C$3:$K$3)
  )
)</f>
        <v>0.9</v>
      </c>
      <c r="AW21" s="298">
        <f>IFERROR(
  _xlfn.XLOOKUP(AK21,'2) หลักการคำนวน Table'!$C$3:$K$3,'2) หลักการคำนวน Table'!$C$3:$K$3,,1),
  IF(AK21&lt;MIN('2) หลักการคำนวน Table'!$C$3:$K$3),
     MIN('2) หลักการคำนวน Table'!$C$3:$K$3),
     MAX('2) หลักการคำนวน Table'!$C$3:$K$3)
  )
)</f>
        <v>0.9</v>
      </c>
      <c r="AX21" s="298">
        <f>IFERROR(
  _xlfn.XLOOKUP(AL21,'2) หลักการคำนวน Table'!$C$3:$K$3,'2) หลักการคำนวน Table'!$C$3:$K$3,,1),
  IF(AL21&lt;MIN('2) หลักการคำนวน Table'!$C$3:$K$3),
     MIN('2) หลักการคำนวน Table'!$C$3:$K$3),
     MAX('2) หลักการคำนวน Table'!$C$3:$K$3)
  )
)</f>
        <v>0.9</v>
      </c>
      <c r="AY21" s="298">
        <f>IFERROR(
  _xlfn.XLOOKUP(AM21,'2) หลักการคำนวน Table'!$C$3:$K$3,'2) หลักการคำนวน Table'!$C$3:$K$3,,1),
  IF(AM21&lt;MIN('2) หลักการคำนวน Table'!$C$3:$K$3),
     MIN('2) หลักการคำนวน Table'!$C$3:$K$3),
     MAX('2) หลักการคำนวน Table'!$C$3:$K$3)
  )
)</f>
        <v>0.9</v>
      </c>
      <c r="AZ21" s="299" cm="1">
        <f t="array" ref="AZ21">ROUND((_xlfn.XLOOKUP($C21,'2) หลักการคำนวน Table'!$A$4:$A$36,
_xlfn.XLOOKUP(AN21,'2)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A21" s="299" cm="1">
        <f t="array" ref="BA21">ROUND((_xlfn.XLOOKUP($C21,'2) หลักการคำนวน Table'!$A$4:$A$36,
_xlfn.XLOOKUP(AO21,'2)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B21" s="299" cm="1">
        <f t="array" ref="BB21">ROUND((_xlfn.XLOOKUP($C21,'2) หลักการคำนวน Table'!$A$4:$A$36,
_xlfn.XLOOKUP(AP21,'2)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C21" s="299" cm="1">
        <f t="array" ref="BC21">ROUND((_xlfn.XLOOKUP($C21,'2) หลักการคำนวน Table'!$A$4:$A$36,
_xlfn.XLOOKUP(AQ21,'2)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D21" s="299" cm="1">
        <f t="array" ref="BD21">ROUND((_xlfn.XLOOKUP($C21,'2) หลักการคำนวน Table'!$A$4:$A$36,
_xlfn.XLOOKUP(AR21,'2)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E21" s="299" cm="1">
        <f t="array" ref="BE21">ROUND((_xlfn.XLOOKUP($C21,'2) หลักการคำนวน Table'!$A$4:$A$36,
_xlfn.XLOOKUP(AS21,'2)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F21" s="299" cm="1">
        <f t="array" ref="BF21">ROUND((_xlfn.XLOOKUP($C21,'2) หลักการคำนวน Table'!$A$4:$A$36,
_xlfn.XLOOKUP(AT21,'2)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G21" s="299" cm="1">
        <f t="array" ref="BG21">ROUND((_xlfn.XLOOKUP($C21,'2) หลักการคำนวน Table'!$A$4:$A$36,
_xlfn.XLOOKUP(AU21,'2)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H21" s="299" cm="1">
        <f t="array" ref="BH21">ROUND((_xlfn.XLOOKUP($C21,'2) หลักการคำนวน Table'!$A$4:$A$36,
_xlfn.XLOOKUP(AV21,'2)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I21" s="299" cm="1">
        <f t="array" ref="BI21">ROUND((_xlfn.XLOOKUP($C21,'2) หลักการคำนวน Table'!$A$4:$A$36,
_xlfn.XLOOKUP(AW21,'2)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J21" s="299" cm="1">
        <f t="array" ref="BJ21">ROUND((_xlfn.XLOOKUP($C21,'2) หลักการคำนวน Table'!$A$4:$A$36,
_xlfn.XLOOKUP(AX21,'2)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K21" s="299" cm="1">
        <f t="array" ref="BK21">ROUND((_xlfn.XLOOKUP($C21,'2) หลักการคำนวน Table'!$A$4:$A$36,
_xlfn.XLOOKUP(AY21,'2)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73</v>
      </c>
      <c r="BM21" s="295">
        <v>222210</v>
      </c>
      <c r="BN21" s="300">
        <v>73</v>
      </c>
    </row>
    <row r="22" spans="1:66" ht="14.7" customHeight="1" x14ac:dyDescent="0.25">
      <c r="A22" s="126">
        <f>VLOOKUP(C22,ASTBase!E:S,13,FALSE)</f>
        <v>222208</v>
      </c>
      <c r="B22" s="126" t="s">
        <v>407</v>
      </c>
      <c r="C22" s="126">
        <v>5490000706</v>
      </c>
      <c r="D22" s="127">
        <v>3277.9999999984439</v>
      </c>
      <c r="E22" s="127">
        <v>3054.9999999983679</v>
      </c>
      <c r="F22" s="127">
        <v>3410</v>
      </c>
      <c r="G22" s="127">
        <v>4110.9999999985503</v>
      </c>
      <c r="H22" s="127">
        <v>2707.9999999789502</v>
      </c>
      <c r="I22" s="127">
        <v>3824.9999999947736</v>
      </c>
      <c r="J22" s="127">
        <v>3741.9999999984402</v>
      </c>
      <c r="K22" s="127">
        <v>3281.9999999941056</v>
      </c>
      <c r="L22" s="127">
        <v>3378</v>
      </c>
      <c r="M22" s="127">
        <v>4010</v>
      </c>
      <c r="N22" s="127">
        <v>3540</v>
      </c>
      <c r="O22" s="127">
        <v>3743.9999999981701</v>
      </c>
      <c r="P22" s="126">
        <v>8168.9999999188731</v>
      </c>
      <c r="AB22" s="297">
        <f>IFERROR(IF(VLOOKUP($B22,Shortage!$A:$M,AB$2,FALSE)="Shortage",1,IFERROR(ROUND(P22/D22,4),0)),IFERROR(ROUND(P22/D22,4),0))</f>
        <v>2.4921000000000002</v>
      </c>
      <c r="AC22" s="297">
        <f>IFERROR(IF(VLOOKUP($B22,Shortage!$A:$M,AC$2,FALSE)="Shortage",1,IFERROR(ROUND(Q22/E22,4),0)),IFERROR(ROUND(Q22/E22,4),0))</f>
        <v>0</v>
      </c>
      <c r="AD22" s="297">
        <f>IFERROR(IF(VLOOKUP($B22,Shortage!$A:$M,AD$2,FALSE)="Shortage",1,IFERROR(ROUND(R22/F22,4),0)),IFERROR(ROUND(R22/F22,4),0))</f>
        <v>0</v>
      </c>
      <c r="AE22" s="297">
        <f>IFERROR(IF(VLOOKUP($B22,Shortage!$A:$M,AE$2,FALSE)="Shortage",1,IFERROR(ROUND(S22/G22,4),0)),IFERROR(ROUND(S22/G22,4),0))</f>
        <v>0</v>
      </c>
      <c r="AF22" s="297">
        <f>IFERROR(IF(VLOOKUP($B22,Shortage!$A:$M,AF$2,FALSE)="Shortage",1,IFERROR(ROUND(T22/H22,4),0)),IFERROR(ROUND(T22/H22,4),0))</f>
        <v>0</v>
      </c>
      <c r="AG22" s="297">
        <f>IFERROR(IF(VLOOKUP($B22,Shortage!$A:$M,AG$2,FALSE)="Shortage",1,IFERROR(ROUND(U22/I22,4),0)),IFERROR(ROUND(U22/I22,4),0))</f>
        <v>0</v>
      </c>
      <c r="AH22" s="297">
        <f>IFERROR(IF(VLOOKUP($B22,Shortage!$A:$M,AH$2,FALSE)="Shortage",1,IFERROR(ROUND(V22/J22,4),0)),IFERROR(ROUND(V22/J22,4),0))</f>
        <v>0</v>
      </c>
      <c r="AI22" s="297">
        <f>IFERROR(IF(VLOOKUP($B22,Shortage!$A:$M,AI$2,FALSE)="Shortage",1,IFERROR(ROUND(W22/K22,4),0)),IFERROR(ROUND(W22/K22,4),0))</f>
        <v>0</v>
      </c>
      <c r="AJ22" s="297">
        <f>IFERROR(IF(VLOOKUP($B22,Shortage!$A:$M,AJ$2,FALSE)="Shortage",1,IFERROR(ROUND(X22/L22,4),0)),IFERROR(ROUND(X22/L22,4),0))</f>
        <v>0</v>
      </c>
      <c r="AK22" s="297">
        <f>IFERROR(IF(VLOOKUP($B22,Shortage!$A:$M,AK$2,FALSE)="Shortage",1,IFERROR(ROUND(Y22/M22,4),0)),IFERROR(ROUND(Y22/M22,4),0))</f>
        <v>0</v>
      </c>
      <c r="AL22" s="297">
        <f>IFERROR(IF(VLOOKUP($B22,Shortage!$A:$M,AL$2,FALSE)="Shortage",1,IFERROR(ROUND(Z22/N22,4),0)),IFERROR(ROUND(Z22/N22,4),0))</f>
        <v>0</v>
      </c>
      <c r="AM22" s="297">
        <f>IFERROR(IF(VLOOKUP($B22,Shortage!$A:$M,AM$2,FALSE)="Shortage",1,IFERROR(ROUND(AA22/O22,4),0)),IFERROR(ROUND(AA22/O22,4),0))</f>
        <v>0</v>
      </c>
      <c r="AN22" s="298">
        <f>IFERROR(_xlfn.XLOOKUP(AB22,'2) หลักการคำนวน Table'!$C$3:$K$3,'2) หลักการคำนวน Table'!$C$3:$K$3,,1),INDEX('2) หลักการคำนวน Table'!$C$3:$K$3,1))</f>
        <v>20</v>
      </c>
      <c r="AO22" s="298">
        <f>IFERROR(
  _xlfn.XLOOKUP(AC22,'2) หลักการคำนวน Table'!$C$3:$K$3,'2) หลักการคำนวน Table'!$C$3:$K$3,,1),
  IF(AC22&lt;MIN('2) หลักการคำนวน Table'!$C$3:$K$3),
     MIN('2) หลักการคำนวน Table'!$C$3:$K$3),
     MAX('2) หลักการคำนวน Table'!$C$3:$K$3)
  )
)</f>
        <v>0.9</v>
      </c>
      <c r="AP22" s="298">
        <f>IFERROR(
  _xlfn.XLOOKUP(AD22,'2) หลักการคำนวน Table'!$C$3:$K$3,'2) หลักการคำนวน Table'!$C$3:$K$3,,1),
  IF(AD22&lt;MIN('2) หลักการคำนวน Table'!$C$3:$K$3),
     MIN('2) หลักการคำนวน Table'!$C$3:$K$3),
     MAX('2) หลักการคำนวน Table'!$C$3:$K$3)
  )
)</f>
        <v>0.9</v>
      </c>
      <c r="AQ22" s="298">
        <f>IFERROR(
  _xlfn.XLOOKUP(AE22,'2) หลักการคำนวน Table'!$C$3:$K$3,'2) หลักการคำนวน Table'!$C$3:$K$3,,1),
  IF(AE22&lt;MIN('2) หลักการคำนวน Table'!$C$3:$K$3),
     MIN('2) หลักการคำนวน Table'!$C$3:$K$3),
     MAX('2) หลักการคำนวน Table'!$C$3:$K$3)
  )
)</f>
        <v>0.9</v>
      </c>
      <c r="AR22" s="298">
        <f>IFERROR(
  _xlfn.XLOOKUP(AF22,'2) หลักการคำนวน Table'!$C$3:$K$3,'2) หลักการคำนวน Table'!$C$3:$K$3,,1),
  IF(AF22&lt;MIN('2) หลักการคำนวน Table'!$C$3:$K$3),
     MIN('2) หลักการคำนวน Table'!$C$3:$K$3),
     MAX('2) หลักการคำนวน Table'!$C$3:$K$3)
  )
)</f>
        <v>0.9</v>
      </c>
      <c r="AS22" s="298">
        <f>IFERROR(
  _xlfn.XLOOKUP(AG22,'2) หลักการคำนวน Table'!$C$3:$K$3,'2) หลักการคำนวน Table'!$C$3:$K$3,,1),
  IF(AG22&lt;MIN('2) หลักการคำนวน Table'!$C$3:$K$3),
     MIN('2) หลักการคำนวน Table'!$C$3:$K$3),
     MAX('2) หลักการคำนวน Table'!$C$3:$K$3)
  )
)</f>
        <v>0.9</v>
      </c>
      <c r="AT22" s="298">
        <f>IFERROR(
  _xlfn.XLOOKUP(AH22,'2) หลักการคำนวน Table'!$C$3:$K$3,'2) หลักการคำนวน Table'!$C$3:$K$3,,1),
  IF(AH22&lt;MIN('2) หลักการคำนวน Table'!$C$3:$K$3),
     MIN('2) หลักการคำนวน Table'!$C$3:$K$3),
     MAX('2) หลักการคำนวน Table'!$C$3:$K$3)
  )
)</f>
        <v>0.9</v>
      </c>
      <c r="AU22" s="298">
        <f>IFERROR(
  _xlfn.XLOOKUP(AI22,'2) หลักการคำนวน Table'!$C$3:$K$3,'2) หลักการคำนวน Table'!$C$3:$K$3,,1),
  IF(AI22&lt;MIN('2) หลักการคำนวน Table'!$C$3:$K$3),
     MIN('2) หลักการคำนวน Table'!$C$3:$K$3),
     MAX('2) หลักการคำนวน Table'!$C$3:$K$3)
  )
)</f>
        <v>0.9</v>
      </c>
      <c r="AV22" s="298">
        <f>IFERROR(
  _xlfn.XLOOKUP(AJ22,'2) หลักการคำนวน Table'!$C$3:$K$3,'2) หลักการคำนวน Table'!$C$3:$K$3,,1),
  IF(AJ22&lt;MIN('2) หลักการคำนวน Table'!$C$3:$K$3),
     MIN('2) หลักการคำนวน Table'!$C$3:$K$3),
     MAX('2) หลักการคำนวน Table'!$C$3:$K$3)
  )
)</f>
        <v>0.9</v>
      </c>
      <c r="AW22" s="298">
        <f>IFERROR(
  _xlfn.XLOOKUP(AK22,'2) หลักการคำนวน Table'!$C$3:$K$3,'2) หลักการคำนวน Table'!$C$3:$K$3,,1),
  IF(AK22&lt;MIN('2) หลักการคำนวน Table'!$C$3:$K$3),
     MIN('2) หลักการคำนวน Table'!$C$3:$K$3),
     MAX('2) หลักการคำนวน Table'!$C$3:$K$3)
  )
)</f>
        <v>0.9</v>
      </c>
      <c r="AX22" s="298">
        <f>IFERROR(
  _xlfn.XLOOKUP(AL22,'2) หลักการคำนวน Table'!$C$3:$K$3,'2) หลักการคำนวน Table'!$C$3:$K$3,,1),
  IF(AL22&lt;MIN('2) หลักการคำนวน Table'!$C$3:$K$3),
     MIN('2) หลักการคำนวน Table'!$C$3:$K$3),
     MAX('2) หลักการคำนวน Table'!$C$3:$K$3)
  )
)</f>
        <v>0.9</v>
      </c>
      <c r="AY22" s="298">
        <f>IFERROR(
  _xlfn.XLOOKUP(AM22,'2) หลักการคำนวน Table'!$C$3:$K$3,'2) หลักการคำนวน Table'!$C$3:$K$3,,1),
  IF(AM22&lt;MIN('2) หลักการคำนวน Table'!$C$3:$K$3),
     MIN('2) หลักการคำนวน Table'!$C$3:$K$3),
     MAX('2) หลักการคำนวน Table'!$C$3:$K$3)
  )
)</f>
        <v>0.9</v>
      </c>
      <c r="AZ22" s="299" cm="1">
        <f t="array" ref="AZ22">ROUND((_xlfn.XLOOKUP($C22,'2) หลักการคำนวน Table'!$A$4:$A$36,
_xlfn.XLOOKUP(AN22,'2)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525</v>
      </c>
      <c r="BA22" s="299" cm="1">
        <f t="array" ref="BA22">ROUND((_xlfn.XLOOKUP($C22,'2) หลักการคำนวน Table'!$A$4:$A$36,
_xlfn.XLOOKUP(AO22,'2)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364</v>
      </c>
      <c r="BB22" s="299" cm="1">
        <f t="array" ref="BB22">ROUND((_xlfn.XLOOKUP($C22,'2) หลักการคำนวน Table'!$A$4:$A$36,
_xlfn.XLOOKUP(AP22,'2)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364</v>
      </c>
      <c r="BC22" s="299" cm="1">
        <f t="array" ref="BC22">ROUND((_xlfn.XLOOKUP($C22,'2) หลักการคำนวน Table'!$A$4:$A$36,
_xlfn.XLOOKUP(AQ22,'2)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364</v>
      </c>
      <c r="BD22" s="299" cm="1">
        <f t="array" ref="BD22">ROUND((_xlfn.XLOOKUP($C22,'2) หลักการคำนวน Table'!$A$4:$A$36,
_xlfn.XLOOKUP(AR22,'2)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364</v>
      </c>
      <c r="BE22" s="299" cm="1">
        <f t="array" ref="BE22">ROUND((_xlfn.XLOOKUP($C22,'2) หลักการคำนวน Table'!$A$4:$A$36,
_xlfn.XLOOKUP(AS22,'2)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364</v>
      </c>
      <c r="BF22" s="299" cm="1">
        <f t="array" ref="BF22">ROUND((_xlfn.XLOOKUP($C22,'2) หลักการคำนวน Table'!$A$4:$A$36,
_xlfn.XLOOKUP(AT22,'2)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364</v>
      </c>
      <c r="BG22" s="299" cm="1">
        <f t="array" ref="BG22">ROUND((_xlfn.XLOOKUP($C22,'2) หลักการคำนวน Table'!$A$4:$A$36,
_xlfn.XLOOKUP(AU22,'2)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364</v>
      </c>
      <c r="BH22" s="299" cm="1">
        <f t="array" ref="BH22">ROUND((_xlfn.XLOOKUP($C22,'2) หลักการคำนวน Table'!$A$4:$A$36,
_xlfn.XLOOKUP(AV22,'2)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364</v>
      </c>
      <c r="BI22" s="299" cm="1">
        <f t="array" ref="BI22">ROUND((_xlfn.XLOOKUP($C22,'2) หลักการคำนวน Table'!$A$4:$A$36,
_xlfn.XLOOKUP(AW22,'2)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364</v>
      </c>
      <c r="BJ22" s="299" cm="1">
        <f t="array" ref="BJ22">ROUND((_xlfn.XLOOKUP($C22,'2) หลักการคำนวน Table'!$A$4:$A$36,
_xlfn.XLOOKUP(AX22,'2)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364</v>
      </c>
      <c r="BK22" s="299" cm="1">
        <f t="array" ref="BK22">ROUND((_xlfn.XLOOKUP($C22,'2) หลักการคำนวน Table'!$A$4:$A$36,
_xlfn.XLOOKUP(AY22,'2)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364</v>
      </c>
      <c r="BM22" s="295">
        <v>222210</v>
      </c>
      <c r="BN22" s="300">
        <v>525</v>
      </c>
    </row>
    <row r="23" spans="1:66" ht="14.7" customHeight="1" x14ac:dyDescent="0.25">
      <c r="A23" s="126">
        <f>VLOOKUP(C23,ASTBase!E:S,13,FALSE)</f>
        <v>222208</v>
      </c>
      <c r="B23" s="126" t="s">
        <v>418</v>
      </c>
      <c r="C23" s="126">
        <v>5490000706</v>
      </c>
      <c r="D23" s="127">
        <v>276.15999999999997</v>
      </c>
      <c r="E23" s="127">
        <v>142.48000000000002</v>
      </c>
      <c r="F23" s="127">
        <v>115.19200000000001</v>
      </c>
      <c r="G23" s="127">
        <v>122.136</v>
      </c>
      <c r="H23" s="127">
        <v>130.136</v>
      </c>
      <c r="I23" s="127">
        <v>160.84</v>
      </c>
      <c r="J23" s="127">
        <v>137.136</v>
      </c>
      <c r="K23" s="127">
        <v>128.56800000000001</v>
      </c>
      <c r="L23" s="127">
        <v>208.70400000000001</v>
      </c>
      <c r="M23" s="127">
        <v>1938.84</v>
      </c>
      <c r="N23" s="127">
        <v>1138.136</v>
      </c>
      <c r="O23" s="127">
        <v>201.70400000000001</v>
      </c>
      <c r="P23" s="126">
        <v>332.75999999999988</v>
      </c>
      <c r="AB23" s="297">
        <f>IFERROR(IF(VLOOKUP($B23,Shortage!$A:$M,AB$2,FALSE)="Shortage",1,IFERROR(ROUND(P23/D23,4),0)),IFERROR(ROUND(P23/D23,4),0))</f>
        <v>1.2050000000000001</v>
      </c>
      <c r="AC23" s="297">
        <f>IFERROR(IF(VLOOKUP($B23,Shortage!$A:$M,AC$2,FALSE)="Shortage",1,IFERROR(ROUND(Q23/E23,4),0)),IFERROR(ROUND(Q23/E23,4),0))</f>
        <v>0</v>
      </c>
      <c r="AD23" s="297">
        <f>IFERROR(IF(VLOOKUP($B23,Shortage!$A:$M,AD$2,FALSE)="Shortage",1,IFERROR(ROUND(R23/F23,4),0)),IFERROR(ROUND(R23/F23,4),0))</f>
        <v>0</v>
      </c>
      <c r="AE23" s="297">
        <f>IFERROR(IF(VLOOKUP($B23,Shortage!$A:$M,AE$2,FALSE)="Shortage",1,IFERROR(ROUND(S23/G23,4),0)),IFERROR(ROUND(S23/G23,4),0))</f>
        <v>0</v>
      </c>
      <c r="AF23" s="297">
        <f>IFERROR(IF(VLOOKUP($B23,Shortage!$A:$M,AF$2,FALSE)="Shortage",1,IFERROR(ROUND(T23/H23,4),0)),IFERROR(ROUND(T23/H23,4),0))</f>
        <v>0</v>
      </c>
      <c r="AG23" s="297">
        <f>IFERROR(IF(VLOOKUP($B23,Shortage!$A:$M,AG$2,FALSE)="Shortage",1,IFERROR(ROUND(U23/I23,4),0)),IFERROR(ROUND(U23/I23,4),0))</f>
        <v>0</v>
      </c>
      <c r="AH23" s="297">
        <f>IFERROR(IF(VLOOKUP($B23,Shortage!$A:$M,AH$2,FALSE)="Shortage",1,IFERROR(ROUND(V23/J23,4),0)),IFERROR(ROUND(V23/J23,4),0))</f>
        <v>0</v>
      </c>
      <c r="AI23" s="297">
        <f>IFERROR(IF(VLOOKUP($B23,Shortage!$A:$M,AI$2,FALSE)="Shortage",1,IFERROR(ROUND(W23/K23,4),0)),IFERROR(ROUND(W23/K23,4),0))</f>
        <v>0</v>
      </c>
      <c r="AJ23" s="297">
        <f>IFERROR(IF(VLOOKUP($B23,Shortage!$A:$M,AJ$2,FALSE)="Shortage",1,IFERROR(ROUND(X23/L23,4),0)),IFERROR(ROUND(X23/L23,4),0))</f>
        <v>0</v>
      </c>
      <c r="AK23" s="297">
        <f>IFERROR(IF(VLOOKUP($B23,Shortage!$A:$M,AK$2,FALSE)="Shortage",1,IFERROR(ROUND(Y23/M23,4),0)),IFERROR(ROUND(Y23/M23,4),0))</f>
        <v>0</v>
      </c>
      <c r="AL23" s="297">
        <f>IFERROR(IF(VLOOKUP($B23,Shortage!$A:$M,AL$2,FALSE)="Shortage",1,IFERROR(ROUND(Z23/N23,4),0)),IFERROR(ROUND(Z23/N23,4),0))</f>
        <v>0</v>
      </c>
      <c r="AM23" s="297">
        <f>IFERROR(IF(VLOOKUP($B23,Shortage!$A:$M,AM$2,FALSE)="Shortage",1,IFERROR(ROUND(AA23/O23,4),0)),IFERROR(ROUND(AA23/O23,4),0))</f>
        <v>0</v>
      </c>
      <c r="AN23" s="298">
        <f>IFERROR(_xlfn.XLOOKUP(AB23,'2) หลักการคำนวน Table'!$C$3:$K$3,'2) หลักการคำนวน Table'!$C$3:$K$3,,1),INDEX('2) หลักการคำนวน Table'!$C$3:$K$3,1))</f>
        <v>20</v>
      </c>
      <c r="AO23" s="298">
        <f>IFERROR(
  _xlfn.XLOOKUP(AC23,'2) หลักการคำนวน Table'!$C$3:$K$3,'2) หลักการคำนวน Table'!$C$3:$K$3,,1),
  IF(AC23&lt;MIN('2) หลักการคำนวน Table'!$C$3:$K$3),
     MIN('2) หลักการคำนวน Table'!$C$3:$K$3),
     MAX('2) หลักการคำนวน Table'!$C$3:$K$3)
  )
)</f>
        <v>0.9</v>
      </c>
      <c r="AP23" s="298">
        <f>IFERROR(
  _xlfn.XLOOKUP(AD23,'2) หลักการคำนวน Table'!$C$3:$K$3,'2) หลักการคำนวน Table'!$C$3:$K$3,,1),
  IF(AD23&lt;MIN('2) หลักการคำนวน Table'!$C$3:$K$3),
     MIN('2) หลักการคำนวน Table'!$C$3:$K$3),
     MAX('2) หลักการคำนวน Table'!$C$3:$K$3)
  )
)</f>
        <v>0.9</v>
      </c>
      <c r="AQ23" s="298">
        <f>IFERROR(
  _xlfn.XLOOKUP(AE23,'2) หลักการคำนวน Table'!$C$3:$K$3,'2) หลักการคำนวน Table'!$C$3:$K$3,,1),
  IF(AE23&lt;MIN('2) หลักการคำนวน Table'!$C$3:$K$3),
     MIN('2) หลักการคำนวน Table'!$C$3:$K$3),
     MAX('2) หลักการคำนวน Table'!$C$3:$K$3)
  )
)</f>
        <v>0.9</v>
      </c>
      <c r="AR23" s="298">
        <f>IFERROR(
  _xlfn.XLOOKUP(AF23,'2) หลักการคำนวน Table'!$C$3:$K$3,'2) หลักการคำนวน Table'!$C$3:$K$3,,1),
  IF(AF23&lt;MIN('2) หลักการคำนวน Table'!$C$3:$K$3),
     MIN('2) หลักการคำนวน Table'!$C$3:$K$3),
     MAX('2) หลักการคำนวน Table'!$C$3:$K$3)
  )
)</f>
        <v>0.9</v>
      </c>
      <c r="AS23" s="298">
        <f>IFERROR(
  _xlfn.XLOOKUP(AG23,'2) หลักการคำนวน Table'!$C$3:$K$3,'2) หลักการคำนวน Table'!$C$3:$K$3,,1),
  IF(AG23&lt;MIN('2) หลักการคำนวน Table'!$C$3:$K$3),
     MIN('2) หลักการคำนวน Table'!$C$3:$K$3),
     MAX('2) หลักการคำนวน Table'!$C$3:$K$3)
  )
)</f>
        <v>0.9</v>
      </c>
      <c r="AT23" s="298">
        <f>IFERROR(
  _xlfn.XLOOKUP(AH23,'2) หลักการคำนวน Table'!$C$3:$K$3,'2) หลักการคำนวน Table'!$C$3:$K$3,,1),
  IF(AH23&lt;MIN('2) หลักการคำนวน Table'!$C$3:$K$3),
     MIN('2) หลักการคำนวน Table'!$C$3:$K$3),
     MAX('2) หลักการคำนวน Table'!$C$3:$K$3)
  )
)</f>
        <v>0.9</v>
      </c>
      <c r="AU23" s="298">
        <f>IFERROR(
  _xlfn.XLOOKUP(AI23,'2) หลักการคำนวน Table'!$C$3:$K$3,'2) หลักการคำนวน Table'!$C$3:$K$3,,1),
  IF(AI23&lt;MIN('2) หลักการคำนวน Table'!$C$3:$K$3),
     MIN('2) หลักการคำนวน Table'!$C$3:$K$3),
     MAX('2) หลักการคำนวน Table'!$C$3:$K$3)
  )
)</f>
        <v>0.9</v>
      </c>
      <c r="AV23" s="298">
        <f>IFERROR(
  _xlfn.XLOOKUP(AJ23,'2) หลักการคำนวน Table'!$C$3:$K$3,'2) หลักการคำนวน Table'!$C$3:$K$3,,1),
  IF(AJ23&lt;MIN('2) หลักการคำนวน Table'!$C$3:$K$3),
     MIN('2) หลักการคำนวน Table'!$C$3:$K$3),
     MAX('2) หลักการคำนวน Table'!$C$3:$K$3)
  )
)</f>
        <v>0.9</v>
      </c>
      <c r="AW23" s="298">
        <f>IFERROR(
  _xlfn.XLOOKUP(AK23,'2) หลักการคำนวน Table'!$C$3:$K$3,'2) หลักการคำนวน Table'!$C$3:$K$3,,1),
  IF(AK23&lt;MIN('2) หลักการคำนวน Table'!$C$3:$K$3),
     MIN('2) หลักการคำนวน Table'!$C$3:$K$3),
     MAX('2) หลักการคำนวน Table'!$C$3:$K$3)
  )
)</f>
        <v>0.9</v>
      </c>
      <c r="AX23" s="298">
        <f>IFERROR(
  _xlfn.XLOOKUP(AL23,'2) หลักการคำนวน Table'!$C$3:$K$3,'2) หลักการคำนวน Table'!$C$3:$K$3,,1),
  IF(AL23&lt;MIN('2) หลักการคำนวน Table'!$C$3:$K$3),
     MIN('2) หลักการคำนวน Table'!$C$3:$K$3),
     MAX('2) หลักการคำนวน Table'!$C$3:$K$3)
  )
)</f>
        <v>0.9</v>
      </c>
      <c r="AY23" s="298">
        <f>IFERROR(
  _xlfn.XLOOKUP(AM23,'2) หลักการคำนวน Table'!$C$3:$K$3,'2) หลักการคำนวน Table'!$C$3:$K$3,,1),
  IF(AM23&lt;MIN('2) หลักการคำนวน Table'!$C$3:$K$3),
     MIN('2) หลักการคำนวน Table'!$C$3:$K$3),
     MAX('2) หลักการคำนวน Table'!$C$3:$K$3)
  )
)</f>
        <v>0.9</v>
      </c>
      <c r="AZ23" s="299" cm="1">
        <f t="array" ref="AZ23">ROUND((_xlfn.XLOOKUP($C23,'2) หลักการคำนวน Table'!$A$4:$A$36,
_xlfn.XLOOKUP(AN23,'2)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525</v>
      </c>
      <c r="BA23" s="299" cm="1">
        <f t="array" ref="BA23">ROUND((_xlfn.XLOOKUP($C23,'2) หลักการคำนวน Table'!$A$4:$A$36,
_xlfn.XLOOKUP(AO23,'2)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364</v>
      </c>
      <c r="BB23" s="299" cm="1">
        <f t="array" ref="BB23">ROUND((_xlfn.XLOOKUP($C23,'2) หลักการคำนวน Table'!$A$4:$A$36,
_xlfn.XLOOKUP(AP23,'2)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364</v>
      </c>
      <c r="BC23" s="299" cm="1">
        <f t="array" ref="BC23">ROUND((_xlfn.XLOOKUP($C23,'2) หลักการคำนวน Table'!$A$4:$A$36,
_xlfn.XLOOKUP(AQ23,'2)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364</v>
      </c>
      <c r="BD23" s="299" cm="1">
        <f t="array" ref="BD23">ROUND((_xlfn.XLOOKUP($C23,'2) หลักการคำนวน Table'!$A$4:$A$36,
_xlfn.XLOOKUP(AR23,'2)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364</v>
      </c>
      <c r="BE23" s="299" cm="1">
        <f t="array" ref="BE23">ROUND((_xlfn.XLOOKUP($C23,'2) หลักการคำนวน Table'!$A$4:$A$36,
_xlfn.XLOOKUP(AS23,'2)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364</v>
      </c>
      <c r="BF23" s="299" cm="1">
        <f t="array" ref="BF23">ROUND((_xlfn.XLOOKUP($C23,'2) หลักการคำนวน Table'!$A$4:$A$36,
_xlfn.XLOOKUP(AT23,'2)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364</v>
      </c>
      <c r="BG23" s="299" cm="1">
        <f t="array" ref="BG23">ROUND((_xlfn.XLOOKUP($C23,'2) หลักการคำนวน Table'!$A$4:$A$36,
_xlfn.XLOOKUP(AU23,'2)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364</v>
      </c>
      <c r="BH23" s="299" cm="1">
        <f t="array" ref="BH23">ROUND((_xlfn.XLOOKUP($C23,'2) หลักการคำนวน Table'!$A$4:$A$36,
_xlfn.XLOOKUP(AV23,'2)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364</v>
      </c>
      <c r="BI23" s="299" cm="1">
        <f t="array" ref="BI23">ROUND((_xlfn.XLOOKUP($C23,'2) หลักการคำนวน Table'!$A$4:$A$36,
_xlfn.XLOOKUP(AW23,'2)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364</v>
      </c>
      <c r="BJ23" s="299" cm="1">
        <f t="array" ref="BJ23">ROUND((_xlfn.XLOOKUP($C23,'2) หลักการคำนวน Table'!$A$4:$A$36,
_xlfn.XLOOKUP(AX23,'2)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364</v>
      </c>
      <c r="BK23" s="299" cm="1">
        <f t="array" ref="BK23">ROUND((_xlfn.XLOOKUP($C23,'2) หลักการคำนวน Table'!$A$4:$A$36,
_xlfn.XLOOKUP(AY23,'2)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364</v>
      </c>
      <c r="BM23" s="295">
        <v>222210</v>
      </c>
      <c r="BN23" s="300">
        <v>525</v>
      </c>
    </row>
    <row r="24" spans="1:66" ht="14.7" customHeight="1" x14ac:dyDescent="0.25">
      <c r="A24" s="126">
        <f>VLOOKUP(C24,ASTBase!E:S,13,FALSE)</f>
        <v>222208</v>
      </c>
      <c r="B24" s="126" t="s">
        <v>413</v>
      </c>
      <c r="C24" s="126">
        <v>5490000706</v>
      </c>
      <c r="D24" s="127">
        <v>530.55240000000003</v>
      </c>
      <c r="E24" s="127">
        <v>539</v>
      </c>
      <c r="F24" s="127">
        <v>515.9434</v>
      </c>
      <c r="G24" s="127">
        <v>670.20360000000005</v>
      </c>
      <c r="H24" s="127">
        <v>500.42809999999997</v>
      </c>
      <c r="I24" s="127">
        <v>594.24530000000004</v>
      </c>
      <c r="J24" s="127">
        <v>6522.0869000000002</v>
      </c>
      <c r="K24" s="127">
        <v>502.56139999999999</v>
      </c>
      <c r="L24" s="127">
        <v>689.84759999999994</v>
      </c>
      <c r="M24" s="127">
        <v>8931</v>
      </c>
      <c r="N24" s="127">
        <v>452</v>
      </c>
      <c r="O24" s="127">
        <v>607</v>
      </c>
      <c r="P24" s="126">
        <v>471.31530000000009</v>
      </c>
      <c r="AB24" s="297">
        <f>IFERROR(IF(VLOOKUP($B24,Shortage!$A:$M,AB$2,FALSE)="Shortage",1,IFERROR(ROUND(P24/D24,4),0)),IFERROR(ROUND(P24/D24,4),0))</f>
        <v>0.88829999999999998</v>
      </c>
      <c r="AC24" s="297">
        <f>IFERROR(IF(VLOOKUP($B24,Shortage!$A:$M,AC$2,FALSE)="Shortage",1,IFERROR(ROUND(Q24/E24,4),0)),IFERROR(ROUND(Q24/E24,4),0))</f>
        <v>0</v>
      </c>
      <c r="AD24" s="297">
        <f>IFERROR(IF(VLOOKUP($B24,Shortage!$A:$M,AD$2,FALSE)="Shortage",1,IFERROR(ROUND(R24/F24,4),0)),IFERROR(ROUND(R24/F24,4),0))</f>
        <v>0</v>
      </c>
      <c r="AE24" s="297">
        <f>IFERROR(IF(VLOOKUP($B24,Shortage!$A:$M,AE$2,FALSE)="Shortage",1,IFERROR(ROUND(S24/G24,4),0)),IFERROR(ROUND(S24/G24,4),0))</f>
        <v>0</v>
      </c>
      <c r="AF24" s="297">
        <f>IFERROR(IF(VLOOKUP($B24,Shortage!$A:$M,AF$2,FALSE)="Shortage",1,IFERROR(ROUND(T24/H24,4),0)),IFERROR(ROUND(T24/H24,4),0))</f>
        <v>0</v>
      </c>
      <c r="AG24" s="297">
        <f>IFERROR(IF(VLOOKUP($B24,Shortage!$A:$M,AG$2,FALSE)="Shortage",1,IFERROR(ROUND(U24/I24,4),0)),IFERROR(ROUND(U24/I24,4),0))</f>
        <v>0</v>
      </c>
      <c r="AH24" s="297">
        <f>IFERROR(IF(VLOOKUP($B24,Shortage!$A:$M,AH$2,FALSE)="Shortage",1,IFERROR(ROUND(V24/J24,4),0)),IFERROR(ROUND(V24/J24,4),0))</f>
        <v>0</v>
      </c>
      <c r="AI24" s="297">
        <f>IFERROR(IF(VLOOKUP($B24,Shortage!$A:$M,AI$2,FALSE)="Shortage",1,IFERROR(ROUND(W24/K24,4),0)),IFERROR(ROUND(W24/K24,4),0))</f>
        <v>0</v>
      </c>
      <c r="AJ24" s="297">
        <f>IFERROR(IF(VLOOKUP($B24,Shortage!$A:$M,AJ$2,FALSE)="Shortage",1,IFERROR(ROUND(X24/L24,4),0)),IFERROR(ROUND(X24/L24,4),0))</f>
        <v>0</v>
      </c>
      <c r="AK24" s="297">
        <f>IFERROR(IF(VLOOKUP($B24,Shortage!$A:$M,AK$2,FALSE)="Shortage",1,IFERROR(ROUND(Y24/M24,4),0)),IFERROR(ROUND(Y24/M24,4),0))</f>
        <v>0</v>
      </c>
      <c r="AL24" s="297">
        <f>IFERROR(IF(VLOOKUP($B24,Shortage!$A:$M,AL$2,FALSE)="Shortage",1,IFERROR(ROUND(Z24/N24,4),0)),IFERROR(ROUND(Z24/N24,4),0))</f>
        <v>0</v>
      </c>
      <c r="AM24" s="297">
        <f>IFERROR(IF(VLOOKUP($B24,Shortage!$A:$M,AM$2,FALSE)="Shortage",1,IFERROR(ROUND(AA24/O24,4),0)),IFERROR(ROUND(AA24/O24,4),0))</f>
        <v>0</v>
      </c>
      <c r="AN24" s="298">
        <f>IFERROR(_xlfn.XLOOKUP(AB24,'2) หลักการคำนวน Table'!$C$3:$K$3,'2) หลักการคำนวน Table'!$C$3:$K$3,,1),INDEX('2) หลักการคำนวน Table'!$C$3:$K$3,1))</f>
        <v>0.9</v>
      </c>
      <c r="AO24" s="298">
        <f>IFERROR(
  _xlfn.XLOOKUP(AC24,'2) หลักการคำนวน Table'!$C$3:$K$3,'2) หลักการคำนวน Table'!$C$3:$K$3,,1),
  IF(AC24&lt;MIN('2) หลักการคำนวน Table'!$C$3:$K$3),
     MIN('2) หลักการคำนวน Table'!$C$3:$K$3),
     MAX('2) หลักการคำนวน Table'!$C$3:$K$3)
  )
)</f>
        <v>0.9</v>
      </c>
      <c r="AP24" s="298">
        <f>IFERROR(
  _xlfn.XLOOKUP(AD24,'2) หลักการคำนวน Table'!$C$3:$K$3,'2) หลักการคำนวน Table'!$C$3:$K$3,,1),
  IF(AD24&lt;MIN('2) หลักการคำนวน Table'!$C$3:$K$3),
     MIN('2) หลักการคำนวน Table'!$C$3:$K$3),
     MAX('2) หลักการคำนวน Table'!$C$3:$K$3)
  )
)</f>
        <v>0.9</v>
      </c>
      <c r="AQ24" s="298">
        <f>IFERROR(
  _xlfn.XLOOKUP(AE24,'2) หลักการคำนวน Table'!$C$3:$K$3,'2) หลักการคำนวน Table'!$C$3:$K$3,,1),
  IF(AE24&lt;MIN('2) หลักการคำนวน Table'!$C$3:$K$3),
     MIN('2) หลักการคำนวน Table'!$C$3:$K$3),
     MAX('2) หลักการคำนวน Table'!$C$3:$K$3)
  )
)</f>
        <v>0.9</v>
      </c>
      <c r="AR24" s="298">
        <f>IFERROR(
  _xlfn.XLOOKUP(AF24,'2) หลักการคำนวน Table'!$C$3:$K$3,'2) หลักการคำนวน Table'!$C$3:$K$3,,1),
  IF(AF24&lt;MIN('2) หลักการคำนวน Table'!$C$3:$K$3),
     MIN('2) หลักการคำนวน Table'!$C$3:$K$3),
     MAX('2) หลักการคำนวน Table'!$C$3:$K$3)
  )
)</f>
        <v>0.9</v>
      </c>
      <c r="AS24" s="298">
        <f>IFERROR(
  _xlfn.XLOOKUP(AG24,'2) หลักการคำนวน Table'!$C$3:$K$3,'2) หลักการคำนวน Table'!$C$3:$K$3,,1),
  IF(AG24&lt;MIN('2) หลักการคำนวน Table'!$C$3:$K$3),
     MIN('2) หลักการคำนวน Table'!$C$3:$K$3),
     MAX('2) หลักการคำนวน Table'!$C$3:$K$3)
  )
)</f>
        <v>0.9</v>
      </c>
      <c r="AT24" s="298">
        <f>IFERROR(
  _xlfn.XLOOKUP(AH24,'2) หลักการคำนวน Table'!$C$3:$K$3,'2) หลักการคำนวน Table'!$C$3:$K$3,,1),
  IF(AH24&lt;MIN('2) หลักการคำนวน Table'!$C$3:$K$3),
     MIN('2) หลักการคำนวน Table'!$C$3:$K$3),
     MAX('2) หลักการคำนวน Table'!$C$3:$K$3)
  )
)</f>
        <v>0.9</v>
      </c>
      <c r="AU24" s="298">
        <f>IFERROR(
  _xlfn.XLOOKUP(AI24,'2) หลักการคำนวน Table'!$C$3:$K$3,'2) หลักการคำนวน Table'!$C$3:$K$3,,1),
  IF(AI24&lt;MIN('2) หลักการคำนวน Table'!$C$3:$K$3),
     MIN('2) หลักการคำนวน Table'!$C$3:$K$3),
     MAX('2) หลักการคำนวน Table'!$C$3:$K$3)
  )
)</f>
        <v>0.9</v>
      </c>
      <c r="AV24" s="298">
        <f>IFERROR(
  _xlfn.XLOOKUP(AJ24,'2) หลักการคำนวน Table'!$C$3:$K$3,'2) หลักการคำนวน Table'!$C$3:$K$3,,1),
  IF(AJ24&lt;MIN('2) หลักการคำนวน Table'!$C$3:$K$3),
     MIN('2) หลักการคำนวน Table'!$C$3:$K$3),
     MAX('2) หลักการคำนวน Table'!$C$3:$K$3)
  )
)</f>
        <v>0.9</v>
      </c>
      <c r="AW24" s="298">
        <f>IFERROR(
  _xlfn.XLOOKUP(AK24,'2) หลักการคำนวน Table'!$C$3:$K$3,'2) หลักการคำนวน Table'!$C$3:$K$3,,1),
  IF(AK24&lt;MIN('2) หลักการคำนวน Table'!$C$3:$K$3),
     MIN('2) หลักการคำนวน Table'!$C$3:$K$3),
     MAX('2) หลักการคำนวน Table'!$C$3:$K$3)
  )
)</f>
        <v>0.9</v>
      </c>
      <c r="AX24" s="298">
        <f>IFERROR(
  _xlfn.XLOOKUP(AL24,'2) หลักการคำนวน Table'!$C$3:$K$3,'2) หลักการคำนวน Table'!$C$3:$K$3,,1),
  IF(AL24&lt;MIN('2) หลักการคำนวน Table'!$C$3:$K$3),
     MIN('2) หลักการคำนวน Table'!$C$3:$K$3),
     MAX('2) หลักการคำนวน Table'!$C$3:$K$3)
  )
)</f>
        <v>0.9</v>
      </c>
      <c r="AY24" s="298">
        <f>IFERROR(
  _xlfn.XLOOKUP(AM24,'2) หลักการคำนวน Table'!$C$3:$K$3,'2) หลักการคำนวน Table'!$C$3:$K$3,,1),
  IF(AM24&lt;MIN('2) หลักการคำนวน Table'!$C$3:$K$3),
     MIN('2) หลักการคำนวน Table'!$C$3:$K$3),
     MAX('2) หลักการคำนวน Table'!$C$3:$K$3)
  )
)</f>
        <v>0.9</v>
      </c>
      <c r="AZ24" s="299" cm="1">
        <f t="array" ref="AZ24">ROUND((_xlfn.XLOOKUP($C24,'2) หลักการคำนวน Table'!$A$4:$A$36,
_xlfn.XLOOKUP(AN24,'2)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A24" s="299" cm="1">
        <f t="array" ref="BA24">ROUND((_xlfn.XLOOKUP($C24,'2) หลักการคำนวน Table'!$A$4:$A$36,
_xlfn.XLOOKUP(AO24,'2)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B24" s="299" cm="1">
        <f t="array" ref="BB24">ROUND((_xlfn.XLOOKUP($C24,'2) หลักการคำนวน Table'!$A$4:$A$36,
_xlfn.XLOOKUP(AP24,'2)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C24" s="299" cm="1">
        <f t="array" ref="BC24">ROUND((_xlfn.XLOOKUP($C24,'2) หลักการคำนวน Table'!$A$4:$A$36,
_xlfn.XLOOKUP(AQ24,'2)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D24" s="299" cm="1">
        <f t="array" ref="BD24">ROUND((_xlfn.XLOOKUP($C24,'2) หลักการคำนวน Table'!$A$4:$A$36,
_xlfn.XLOOKUP(AR24,'2)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E24" s="299" cm="1">
        <f t="array" ref="BE24">ROUND((_xlfn.XLOOKUP($C24,'2) หลักการคำนวน Table'!$A$4:$A$36,
_xlfn.XLOOKUP(AS24,'2)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F24" s="299" cm="1">
        <f t="array" ref="BF24">ROUND((_xlfn.XLOOKUP($C24,'2) หลักการคำนวน Table'!$A$4:$A$36,
_xlfn.XLOOKUP(AT24,'2)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G24" s="299" cm="1">
        <f t="array" ref="BG24">ROUND((_xlfn.XLOOKUP($C24,'2) หลักการคำนวน Table'!$A$4:$A$36,
_xlfn.XLOOKUP(AU24,'2)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H24" s="299" cm="1">
        <f t="array" ref="BH24">ROUND((_xlfn.XLOOKUP($C24,'2) หลักการคำนวน Table'!$A$4:$A$36,
_xlfn.XLOOKUP(AV24,'2)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I24" s="299" cm="1">
        <f t="array" ref="BI24">ROUND((_xlfn.XLOOKUP($C24,'2) หลักการคำนวน Table'!$A$4:$A$36,
_xlfn.XLOOKUP(AW24,'2)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J24" s="299" cm="1">
        <f t="array" ref="BJ24">ROUND((_xlfn.XLOOKUP($C24,'2) หลักการคำนวน Table'!$A$4:$A$36,
_xlfn.XLOOKUP(AX24,'2)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K24" s="299" cm="1">
        <f t="array" ref="BK24">ROUND((_xlfn.XLOOKUP($C24,'2) หลักการคำนวน Table'!$A$4:$A$36,
_xlfn.XLOOKUP(AY24,'2)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545</v>
      </c>
      <c r="BM24" s="295">
        <v>222210</v>
      </c>
      <c r="BN24" s="300">
        <v>545</v>
      </c>
    </row>
    <row r="25" spans="1:66" ht="14.7" customHeight="1" x14ac:dyDescent="0.25">
      <c r="A25" s="126">
        <f>VLOOKUP(C25,ASTBase!E:S,13,FALSE)</f>
        <v>222208</v>
      </c>
      <c r="B25" s="126" t="s">
        <v>406</v>
      </c>
      <c r="C25" s="126">
        <v>5490000706</v>
      </c>
      <c r="D25" s="127">
        <v>2416.2000000000003</v>
      </c>
      <c r="E25" s="127">
        <v>2116.4299999999998</v>
      </c>
      <c r="F25" s="127">
        <v>2039.92</v>
      </c>
      <c r="G25" s="127">
        <v>2361.92</v>
      </c>
      <c r="H25" s="127">
        <v>2373.34</v>
      </c>
      <c r="I25" s="127">
        <v>2431.87</v>
      </c>
      <c r="J25" s="127">
        <v>2165.3199999999997</v>
      </c>
      <c r="K25" s="127">
        <v>2584.1799999999998</v>
      </c>
      <c r="L25" s="127">
        <v>2433</v>
      </c>
      <c r="M25" s="127">
        <v>2530.44</v>
      </c>
      <c r="N25" s="127">
        <v>2652.41</v>
      </c>
      <c r="O25" s="127">
        <v>2585.4</v>
      </c>
      <c r="P25" s="126">
        <v>2824.8799999999983</v>
      </c>
      <c r="AB25" s="297">
        <f>IFERROR(IF(VLOOKUP($B25,Shortage!$A:$M,AB$2,FALSE)="Shortage",1,IFERROR(ROUND(P25/D25,4),0)),IFERROR(ROUND(P25/D25,4),0))</f>
        <v>1</v>
      </c>
      <c r="AC25" s="297">
        <f>IFERROR(IF(VLOOKUP($B25,Shortage!$A:$M,AC$2,FALSE)="Shortage",1,IFERROR(ROUND(Q25/E25,4),0)),IFERROR(ROUND(Q25/E25,4),0))</f>
        <v>0</v>
      </c>
      <c r="AD25" s="297">
        <f>IFERROR(IF(VLOOKUP($B25,Shortage!$A:$M,AD$2,FALSE)="Shortage",1,IFERROR(ROUND(R25/F25,4),0)),IFERROR(ROUND(R25/F25,4),0))</f>
        <v>0</v>
      </c>
      <c r="AE25" s="297">
        <f>IFERROR(IF(VLOOKUP($B25,Shortage!$A:$M,AE$2,FALSE)="Shortage",1,IFERROR(ROUND(S25/G25,4),0)),IFERROR(ROUND(S25/G25,4),0))</f>
        <v>0</v>
      </c>
      <c r="AF25" s="297">
        <f>IFERROR(IF(VLOOKUP($B25,Shortage!$A:$M,AF$2,FALSE)="Shortage",1,IFERROR(ROUND(T25/H25,4),0)),IFERROR(ROUND(T25/H25,4),0))</f>
        <v>0</v>
      </c>
      <c r="AG25" s="297">
        <f>IFERROR(IF(VLOOKUP($B25,Shortage!$A:$M,AG$2,FALSE)="Shortage",1,IFERROR(ROUND(U25/I25,4),0)),IFERROR(ROUND(U25/I25,4),0))</f>
        <v>0</v>
      </c>
      <c r="AH25" s="297">
        <f>IFERROR(IF(VLOOKUP($B25,Shortage!$A:$M,AH$2,FALSE)="Shortage",1,IFERROR(ROUND(V25/J25,4),0)),IFERROR(ROUND(V25/J25,4),0))</f>
        <v>0</v>
      </c>
      <c r="AI25" s="297">
        <f>IFERROR(IF(VLOOKUP($B25,Shortage!$A:$M,AI$2,FALSE)="Shortage",1,IFERROR(ROUND(W25/K25,4),0)),IFERROR(ROUND(W25/K25,4),0))</f>
        <v>0</v>
      </c>
      <c r="AJ25" s="297">
        <f>IFERROR(IF(VLOOKUP($B25,Shortage!$A:$M,AJ$2,FALSE)="Shortage",1,IFERROR(ROUND(X25/L25,4),0)),IFERROR(ROUND(X25/L25,4),0))</f>
        <v>0</v>
      </c>
      <c r="AK25" s="297">
        <f>IFERROR(IF(VLOOKUP($B25,Shortage!$A:$M,AK$2,FALSE)="Shortage",1,IFERROR(ROUND(Y25/M25,4),0)),IFERROR(ROUND(Y25/M25,4),0))</f>
        <v>0</v>
      </c>
      <c r="AL25" s="297">
        <f>IFERROR(IF(VLOOKUP($B25,Shortage!$A:$M,AL$2,FALSE)="Shortage",1,IFERROR(ROUND(Z25/N25,4),0)),IFERROR(ROUND(Z25/N25,4),0))</f>
        <v>0</v>
      </c>
      <c r="AM25" s="297">
        <f>IFERROR(IF(VLOOKUP($B25,Shortage!$A:$M,AM$2,FALSE)="Shortage",1,IFERROR(ROUND(AA25/O25,4),0)),IFERROR(ROUND(AA25/O25,4),0))</f>
        <v>0</v>
      </c>
      <c r="AN25" s="298">
        <f>IFERROR(_xlfn.XLOOKUP(AB25,'2) หลักการคำนวน Table'!$C$3:$K$3,'2) หลักการคำนวน Table'!$C$3:$K$3,,1),INDEX('2) หลักการคำนวน Table'!$C$3:$K$3,1))</f>
        <v>1</v>
      </c>
      <c r="AO25" s="298">
        <f>IFERROR(
  _xlfn.XLOOKUP(AC25,'2) หลักการคำนวน Table'!$C$3:$K$3,'2) หลักการคำนวน Table'!$C$3:$K$3,,1),
  IF(AC25&lt;MIN('2) หลักการคำนวน Table'!$C$3:$K$3),
     MIN('2) หลักการคำนวน Table'!$C$3:$K$3),
     MAX('2) หลักการคำนวน Table'!$C$3:$K$3)
  )
)</f>
        <v>0.9</v>
      </c>
      <c r="AP25" s="298">
        <f>IFERROR(
  _xlfn.XLOOKUP(AD25,'2) หลักการคำนวน Table'!$C$3:$K$3,'2) หลักการคำนวน Table'!$C$3:$K$3,,1),
  IF(AD25&lt;MIN('2) หลักการคำนวน Table'!$C$3:$K$3),
     MIN('2) หลักการคำนวน Table'!$C$3:$K$3),
     MAX('2) หลักการคำนวน Table'!$C$3:$K$3)
  )
)</f>
        <v>0.9</v>
      </c>
      <c r="AQ25" s="298">
        <f>IFERROR(
  _xlfn.XLOOKUP(AE25,'2) หลักการคำนวน Table'!$C$3:$K$3,'2) หลักการคำนวน Table'!$C$3:$K$3,,1),
  IF(AE25&lt;MIN('2) หลักการคำนวน Table'!$C$3:$K$3),
     MIN('2) หลักการคำนวน Table'!$C$3:$K$3),
     MAX('2) หลักการคำนวน Table'!$C$3:$K$3)
  )
)</f>
        <v>0.9</v>
      </c>
      <c r="AR25" s="298">
        <f>IFERROR(
  _xlfn.XLOOKUP(AF25,'2) หลักการคำนวน Table'!$C$3:$K$3,'2) หลักการคำนวน Table'!$C$3:$K$3,,1),
  IF(AF25&lt;MIN('2) หลักการคำนวน Table'!$C$3:$K$3),
     MIN('2) หลักการคำนวน Table'!$C$3:$K$3),
     MAX('2) หลักการคำนวน Table'!$C$3:$K$3)
  )
)</f>
        <v>0.9</v>
      </c>
      <c r="AS25" s="298">
        <f>IFERROR(
  _xlfn.XLOOKUP(AG25,'2) หลักการคำนวน Table'!$C$3:$K$3,'2) หลักการคำนวน Table'!$C$3:$K$3,,1),
  IF(AG25&lt;MIN('2) หลักการคำนวน Table'!$C$3:$K$3),
     MIN('2) หลักการคำนวน Table'!$C$3:$K$3),
     MAX('2) หลักการคำนวน Table'!$C$3:$K$3)
  )
)</f>
        <v>0.9</v>
      </c>
      <c r="AT25" s="298">
        <f>IFERROR(
  _xlfn.XLOOKUP(AH25,'2) หลักการคำนวน Table'!$C$3:$K$3,'2) หลักการคำนวน Table'!$C$3:$K$3,,1),
  IF(AH25&lt;MIN('2) หลักการคำนวน Table'!$C$3:$K$3),
     MIN('2) หลักการคำนวน Table'!$C$3:$K$3),
     MAX('2) หลักการคำนวน Table'!$C$3:$K$3)
  )
)</f>
        <v>0.9</v>
      </c>
      <c r="AU25" s="298">
        <f>IFERROR(
  _xlfn.XLOOKUP(AI25,'2) หลักการคำนวน Table'!$C$3:$K$3,'2) หลักการคำนวน Table'!$C$3:$K$3,,1),
  IF(AI25&lt;MIN('2) หลักการคำนวน Table'!$C$3:$K$3),
     MIN('2) หลักการคำนวน Table'!$C$3:$K$3),
     MAX('2) หลักการคำนวน Table'!$C$3:$K$3)
  )
)</f>
        <v>0.9</v>
      </c>
      <c r="AV25" s="298">
        <f>IFERROR(
  _xlfn.XLOOKUP(AJ25,'2) หลักการคำนวน Table'!$C$3:$K$3,'2) หลักการคำนวน Table'!$C$3:$K$3,,1),
  IF(AJ25&lt;MIN('2) หลักการคำนวน Table'!$C$3:$K$3),
     MIN('2) หลักการคำนวน Table'!$C$3:$K$3),
     MAX('2) หลักการคำนวน Table'!$C$3:$K$3)
  )
)</f>
        <v>0.9</v>
      </c>
      <c r="AW25" s="298">
        <f>IFERROR(
  _xlfn.XLOOKUP(AK25,'2) หลักการคำนวน Table'!$C$3:$K$3,'2) หลักการคำนวน Table'!$C$3:$K$3,,1),
  IF(AK25&lt;MIN('2) หลักการคำนวน Table'!$C$3:$K$3),
     MIN('2) หลักการคำนวน Table'!$C$3:$K$3),
     MAX('2) หลักการคำนวน Table'!$C$3:$K$3)
  )
)</f>
        <v>0.9</v>
      </c>
      <c r="AX25" s="298">
        <f>IFERROR(
  _xlfn.XLOOKUP(AL25,'2) หลักการคำนวน Table'!$C$3:$K$3,'2) หลักการคำนวน Table'!$C$3:$K$3,,1),
  IF(AL25&lt;MIN('2) หลักการคำนวน Table'!$C$3:$K$3),
     MIN('2) หลักการคำนวน Table'!$C$3:$K$3),
     MAX('2) หลักการคำนวน Table'!$C$3:$K$3)
  )
)</f>
        <v>0.9</v>
      </c>
      <c r="AY25" s="298">
        <f>IFERROR(
  _xlfn.XLOOKUP(AM25,'2) หลักการคำนวน Table'!$C$3:$K$3,'2) หลักการคำนวน Table'!$C$3:$K$3,,1),
  IF(AM25&lt;MIN('2) หลักการคำนวน Table'!$C$3:$K$3),
     MIN('2) หลักการคำนวน Table'!$C$3:$K$3),
     MAX('2) หลักการคำนวน Table'!$C$3:$K$3)
  )
)</f>
        <v>0.9</v>
      </c>
      <c r="AZ25" s="299" cm="1">
        <f t="array" ref="AZ25">ROUND((_xlfn.XLOOKUP($C25,'2) หลักการคำนวน Table'!$A$4:$A$36,
_xlfn.XLOOKUP(AN25,'2)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202</v>
      </c>
      <c r="BA25" s="299" cm="1">
        <f t="array" ref="BA25">ROUND((_xlfn.XLOOKUP($C25,'2) หลักการคำนวน Table'!$A$4:$A$36,
_xlfn.XLOOKUP(AO25,'2)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182</v>
      </c>
      <c r="BB25" s="299" cm="1">
        <f t="array" ref="BB25">ROUND((_xlfn.XLOOKUP($C25,'2) หลักการคำนวน Table'!$A$4:$A$36,
_xlfn.XLOOKUP(AP25,'2)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182</v>
      </c>
      <c r="BC25" s="299" cm="1">
        <f t="array" ref="BC25">ROUND((_xlfn.XLOOKUP($C25,'2) หลักการคำนวน Table'!$A$4:$A$36,
_xlfn.XLOOKUP(AQ25,'2)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182</v>
      </c>
      <c r="BD25" s="299" cm="1">
        <f t="array" ref="BD25">ROUND((_xlfn.XLOOKUP($C25,'2) หลักการคำนวน Table'!$A$4:$A$36,
_xlfn.XLOOKUP(AR25,'2)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182</v>
      </c>
      <c r="BE25" s="299" cm="1">
        <f t="array" ref="BE25">ROUND((_xlfn.XLOOKUP($C25,'2) หลักการคำนวน Table'!$A$4:$A$36,
_xlfn.XLOOKUP(AS25,'2)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182</v>
      </c>
      <c r="BF25" s="299" cm="1">
        <f t="array" ref="BF25">ROUND((_xlfn.XLOOKUP($C25,'2) หลักการคำนวน Table'!$A$4:$A$36,
_xlfn.XLOOKUP(AT25,'2)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182</v>
      </c>
      <c r="BG25" s="299" cm="1">
        <f t="array" ref="BG25">ROUND((_xlfn.XLOOKUP($C25,'2) หลักการคำนวน Table'!$A$4:$A$36,
_xlfn.XLOOKUP(AU25,'2)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182</v>
      </c>
      <c r="BH25" s="299" cm="1">
        <f t="array" ref="BH25">ROUND((_xlfn.XLOOKUP($C25,'2) หลักการคำนวน Table'!$A$4:$A$36,
_xlfn.XLOOKUP(AV25,'2)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182</v>
      </c>
      <c r="BI25" s="299" cm="1">
        <f t="array" ref="BI25">ROUND((_xlfn.XLOOKUP($C25,'2) หลักการคำนวน Table'!$A$4:$A$36,
_xlfn.XLOOKUP(AW25,'2)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182</v>
      </c>
      <c r="BJ25" s="299" cm="1">
        <f t="array" ref="BJ25">ROUND((_xlfn.XLOOKUP($C25,'2) หลักการคำนวน Table'!$A$4:$A$36,
_xlfn.XLOOKUP(AX25,'2)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182</v>
      </c>
      <c r="BK25" s="299" cm="1">
        <f t="array" ref="BK25">ROUND((_xlfn.XLOOKUP($C25,'2) หลักการคำนวน Table'!$A$4:$A$36,
_xlfn.XLOOKUP(AY25,'2)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182</v>
      </c>
      <c r="BM25" s="295">
        <v>222210</v>
      </c>
      <c r="BN25" s="300">
        <v>202</v>
      </c>
    </row>
    <row r="26" spans="1:66" ht="14.7" customHeight="1" x14ac:dyDescent="0.25">
      <c r="A26" s="126">
        <f>VLOOKUP(C26,ASTBase!E:S,13,FALSE)</f>
        <v>222208</v>
      </c>
      <c r="B26" s="126" t="s">
        <v>409</v>
      </c>
      <c r="C26" s="126">
        <v>5490000706</v>
      </c>
      <c r="D26" s="127">
        <v>402.24</v>
      </c>
      <c r="E26" s="127">
        <v>422.47999999999996</v>
      </c>
      <c r="F26" s="127">
        <v>304.76</v>
      </c>
      <c r="G26" s="127">
        <v>504.51999999999992</v>
      </c>
      <c r="H26" s="127">
        <v>600.39999999999986</v>
      </c>
      <c r="I26" s="127">
        <v>511.03999999999991</v>
      </c>
      <c r="J26" s="127">
        <v>429.27999999999992</v>
      </c>
      <c r="K26" s="127">
        <v>280.64</v>
      </c>
      <c r="L26" s="127">
        <v>439.24</v>
      </c>
      <c r="M26" s="127">
        <v>984.52</v>
      </c>
      <c r="N26" s="127">
        <v>854.28</v>
      </c>
      <c r="O26" s="127">
        <v>1209</v>
      </c>
      <c r="P26" s="126">
        <v>643.39999999999964</v>
      </c>
      <c r="AB26" s="297">
        <f>IFERROR(IF(VLOOKUP($B26,Shortage!$A:$M,AB$2,FALSE)="Shortage",1,IFERROR(ROUND(P26/D26,4),0)),IFERROR(ROUND(P26/D26,4),0))</f>
        <v>1.5994999999999999</v>
      </c>
      <c r="AC26" s="297">
        <f>IFERROR(IF(VLOOKUP($B26,Shortage!$A:$M,AC$2,FALSE)="Shortage",1,IFERROR(ROUND(Q26/E26,4),0)),IFERROR(ROUND(Q26/E26,4),0))</f>
        <v>0</v>
      </c>
      <c r="AD26" s="297">
        <f>IFERROR(IF(VLOOKUP($B26,Shortage!$A:$M,AD$2,FALSE)="Shortage",1,IFERROR(ROUND(R26/F26,4),0)),IFERROR(ROUND(R26/F26,4),0))</f>
        <v>0</v>
      </c>
      <c r="AE26" s="297">
        <f>IFERROR(IF(VLOOKUP($B26,Shortage!$A:$M,AE$2,FALSE)="Shortage",1,IFERROR(ROUND(S26/G26,4),0)),IFERROR(ROUND(S26/G26,4),0))</f>
        <v>0</v>
      </c>
      <c r="AF26" s="297">
        <f>IFERROR(IF(VLOOKUP($B26,Shortage!$A:$M,AF$2,FALSE)="Shortage",1,IFERROR(ROUND(T26/H26,4),0)),IFERROR(ROUND(T26/H26,4),0))</f>
        <v>0</v>
      </c>
      <c r="AG26" s="297">
        <f>IFERROR(IF(VLOOKUP($B26,Shortage!$A:$M,AG$2,FALSE)="Shortage",1,IFERROR(ROUND(U26/I26,4),0)),IFERROR(ROUND(U26/I26,4),0))</f>
        <v>0</v>
      </c>
      <c r="AH26" s="297">
        <f>IFERROR(IF(VLOOKUP($B26,Shortage!$A:$M,AH$2,FALSE)="Shortage",1,IFERROR(ROUND(V26/J26,4),0)),IFERROR(ROUND(V26/J26,4),0))</f>
        <v>0</v>
      </c>
      <c r="AI26" s="297">
        <f>IFERROR(IF(VLOOKUP($B26,Shortage!$A:$M,AI$2,FALSE)="Shortage",1,IFERROR(ROUND(W26/K26,4),0)),IFERROR(ROUND(W26/K26,4),0))</f>
        <v>0</v>
      </c>
      <c r="AJ26" s="297">
        <f>IFERROR(IF(VLOOKUP($B26,Shortage!$A:$M,AJ$2,FALSE)="Shortage",1,IFERROR(ROUND(X26/L26,4),0)),IFERROR(ROUND(X26/L26,4),0))</f>
        <v>0</v>
      </c>
      <c r="AK26" s="297">
        <f>IFERROR(IF(VLOOKUP($B26,Shortage!$A:$M,AK$2,FALSE)="Shortage",1,IFERROR(ROUND(Y26/M26,4),0)),IFERROR(ROUND(Y26/M26,4),0))</f>
        <v>0</v>
      </c>
      <c r="AL26" s="297">
        <f>IFERROR(IF(VLOOKUP($B26,Shortage!$A:$M,AL$2,FALSE)="Shortage",1,IFERROR(ROUND(Z26/N26,4),0)),IFERROR(ROUND(Z26/N26,4),0))</f>
        <v>0</v>
      </c>
      <c r="AM26" s="297">
        <f>IFERROR(IF(VLOOKUP($B26,Shortage!$A:$M,AM$2,FALSE)="Shortage",1,IFERROR(ROUND(AA26/O26,4),0)),IFERROR(ROUND(AA26/O26,4),0))</f>
        <v>0</v>
      </c>
      <c r="AN26" s="298">
        <f>IFERROR(_xlfn.XLOOKUP(AB26,'2) หลักการคำนวน Table'!$C$3:$K$3,'2) หลักการคำนวน Table'!$C$3:$K$3,,1),INDEX('2) หลักการคำนวน Table'!$C$3:$K$3,1))</f>
        <v>20</v>
      </c>
      <c r="AO26" s="298">
        <f>IFERROR(
  _xlfn.XLOOKUP(AC26,'2) หลักการคำนวน Table'!$C$3:$K$3,'2) หลักการคำนวน Table'!$C$3:$K$3,,1),
  IF(AC26&lt;MIN('2) หลักการคำนวน Table'!$C$3:$K$3),
     MIN('2) หลักการคำนวน Table'!$C$3:$K$3),
     MAX('2) หลักการคำนวน Table'!$C$3:$K$3)
  )
)</f>
        <v>0.9</v>
      </c>
      <c r="AP26" s="298">
        <f>IFERROR(
  _xlfn.XLOOKUP(AD26,'2) หลักการคำนวน Table'!$C$3:$K$3,'2) หลักการคำนวน Table'!$C$3:$K$3,,1),
  IF(AD26&lt;MIN('2) หลักการคำนวน Table'!$C$3:$K$3),
     MIN('2) หลักการคำนวน Table'!$C$3:$K$3),
     MAX('2) หลักการคำนวน Table'!$C$3:$K$3)
  )
)</f>
        <v>0.9</v>
      </c>
      <c r="AQ26" s="298">
        <f>IFERROR(
  _xlfn.XLOOKUP(AE26,'2) หลักการคำนวน Table'!$C$3:$K$3,'2) หลักการคำนวน Table'!$C$3:$K$3,,1),
  IF(AE26&lt;MIN('2) หลักการคำนวน Table'!$C$3:$K$3),
     MIN('2) หลักการคำนวน Table'!$C$3:$K$3),
     MAX('2) หลักการคำนวน Table'!$C$3:$K$3)
  )
)</f>
        <v>0.9</v>
      </c>
      <c r="AR26" s="298">
        <f>IFERROR(
  _xlfn.XLOOKUP(AF26,'2) หลักการคำนวน Table'!$C$3:$K$3,'2) หลักการคำนวน Table'!$C$3:$K$3,,1),
  IF(AF26&lt;MIN('2) หลักการคำนวน Table'!$C$3:$K$3),
     MIN('2) หลักการคำนวน Table'!$C$3:$K$3),
     MAX('2) หลักการคำนวน Table'!$C$3:$K$3)
  )
)</f>
        <v>0.9</v>
      </c>
      <c r="AS26" s="298">
        <f>IFERROR(
  _xlfn.XLOOKUP(AG26,'2) หลักการคำนวน Table'!$C$3:$K$3,'2) หลักการคำนวน Table'!$C$3:$K$3,,1),
  IF(AG26&lt;MIN('2) หลักการคำนวน Table'!$C$3:$K$3),
     MIN('2) หลักการคำนวน Table'!$C$3:$K$3),
     MAX('2) หลักการคำนวน Table'!$C$3:$K$3)
  )
)</f>
        <v>0.9</v>
      </c>
      <c r="AT26" s="298">
        <f>IFERROR(
  _xlfn.XLOOKUP(AH26,'2) หลักการคำนวน Table'!$C$3:$K$3,'2) หลักการคำนวน Table'!$C$3:$K$3,,1),
  IF(AH26&lt;MIN('2) หลักการคำนวน Table'!$C$3:$K$3),
     MIN('2) หลักการคำนวน Table'!$C$3:$K$3),
     MAX('2) หลักการคำนวน Table'!$C$3:$K$3)
  )
)</f>
        <v>0.9</v>
      </c>
      <c r="AU26" s="298">
        <f>IFERROR(
  _xlfn.XLOOKUP(AI26,'2) หลักการคำนวน Table'!$C$3:$K$3,'2) หลักการคำนวน Table'!$C$3:$K$3,,1),
  IF(AI26&lt;MIN('2) หลักการคำนวน Table'!$C$3:$K$3),
     MIN('2) หลักการคำนวน Table'!$C$3:$K$3),
     MAX('2) หลักการคำนวน Table'!$C$3:$K$3)
  )
)</f>
        <v>0.9</v>
      </c>
      <c r="AV26" s="298">
        <f>IFERROR(
  _xlfn.XLOOKUP(AJ26,'2) หลักการคำนวน Table'!$C$3:$K$3,'2) หลักการคำนวน Table'!$C$3:$K$3,,1),
  IF(AJ26&lt;MIN('2) หลักการคำนวน Table'!$C$3:$K$3),
     MIN('2) หลักการคำนวน Table'!$C$3:$K$3),
     MAX('2) หลักการคำนวน Table'!$C$3:$K$3)
  )
)</f>
        <v>0.9</v>
      </c>
      <c r="AW26" s="298">
        <f>IFERROR(
  _xlfn.XLOOKUP(AK26,'2) หลักการคำนวน Table'!$C$3:$K$3,'2) หลักการคำนวน Table'!$C$3:$K$3,,1),
  IF(AK26&lt;MIN('2) หลักการคำนวน Table'!$C$3:$K$3),
     MIN('2) หลักการคำนวน Table'!$C$3:$K$3),
     MAX('2) หลักการคำนวน Table'!$C$3:$K$3)
  )
)</f>
        <v>0.9</v>
      </c>
      <c r="AX26" s="298">
        <f>IFERROR(
  _xlfn.XLOOKUP(AL26,'2) หลักการคำนวน Table'!$C$3:$K$3,'2) หลักการคำนวน Table'!$C$3:$K$3,,1),
  IF(AL26&lt;MIN('2) หลักการคำนวน Table'!$C$3:$K$3),
     MIN('2) หลักการคำนวน Table'!$C$3:$K$3),
     MAX('2) หลักการคำนวน Table'!$C$3:$K$3)
  )
)</f>
        <v>0.9</v>
      </c>
      <c r="AY26" s="298">
        <f>IFERROR(
  _xlfn.XLOOKUP(AM26,'2) หลักการคำนวน Table'!$C$3:$K$3,'2) หลักการคำนวน Table'!$C$3:$K$3,,1),
  IF(AM26&lt;MIN('2) หลักการคำนวน Table'!$C$3:$K$3),
     MIN('2) หลักการคำนวน Table'!$C$3:$K$3),
     MAX('2) หลักการคำนวน Table'!$C$3:$K$3)
  )
)</f>
        <v>0.9</v>
      </c>
      <c r="AZ26" s="299" cm="1">
        <f t="array" ref="AZ26">ROUND((_xlfn.XLOOKUP($C26,'2) หลักการคำนวน Table'!$A$4:$A$36,
_xlfn.XLOOKUP(AN26,'2)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525</v>
      </c>
      <c r="BA26" s="299" cm="1">
        <f t="array" ref="BA26">ROUND((_xlfn.XLOOKUP($C26,'2) หลักการคำนวน Table'!$A$4:$A$36,
_xlfn.XLOOKUP(AO26,'2)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364</v>
      </c>
      <c r="BB26" s="299" cm="1">
        <f t="array" ref="BB26">ROUND((_xlfn.XLOOKUP($C26,'2) หลักการคำนวน Table'!$A$4:$A$36,
_xlfn.XLOOKUP(AP26,'2)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364</v>
      </c>
      <c r="BC26" s="299" cm="1">
        <f t="array" ref="BC26">ROUND((_xlfn.XLOOKUP($C26,'2) หลักการคำนวน Table'!$A$4:$A$36,
_xlfn.XLOOKUP(AQ26,'2)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364</v>
      </c>
      <c r="BD26" s="299" cm="1">
        <f t="array" ref="BD26">ROUND((_xlfn.XLOOKUP($C26,'2) หลักการคำนวน Table'!$A$4:$A$36,
_xlfn.XLOOKUP(AR26,'2)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364</v>
      </c>
      <c r="BE26" s="299" cm="1">
        <f t="array" ref="BE26">ROUND((_xlfn.XLOOKUP($C26,'2) หลักการคำนวน Table'!$A$4:$A$36,
_xlfn.XLOOKUP(AS26,'2)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364</v>
      </c>
      <c r="BF26" s="299" cm="1">
        <f t="array" ref="BF26">ROUND((_xlfn.XLOOKUP($C26,'2) หลักการคำนวน Table'!$A$4:$A$36,
_xlfn.XLOOKUP(AT26,'2)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364</v>
      </c>
      <c r="BG26" s="299" cm="1">
        <f t="array" ref="BG26">ROUND((_xlfn.XLOOKUP($C26,'2) หลักการคำนวน Table'!$A$4:$A$36,
_xlfn.XLOOKUP(AU26,'2)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364</v>
      </c>
      <c r="BH26" s="299" cm="1">
        <f t="array" ref="BH26">ROUND((_xlfn.XLOOKUP($C26,'2) หลักการคำนวน Table'!$A$4:$A$36,
_xlfn.XLOOKUP(AV26,'2)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364</v>
      </c>
      <c r="BI26" s="299" cm="1">
        <f t="array" ref="BI26">ROUND((_xlfn.XLOOKUP($C26,'2) หลักการคำนวน Table'!$A$4:$A$36,
_xlfn.XLOOKUP(AW26,'2)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364</v>
      </c>
      <c r="BJ26" s="299" cm="1">
        <f t="array" ref="BJ26">ROUND((_xlfn.XLOOKUP($C26,'2) หลักการคำนวน Table'!$A$4:$A$36,
_xlfn.XLOOKUP(AX26,'2)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364</v>
      </c>
      <c r="BK26" s="299" cm="1">
        <f t="array" ref="BK26">ROUND((_xlfn.XLOOKUP($C26,'2) หลักการคำนวน Table'!$A$4:$A$36,
_xlfn.XLOOKUP(AY26,'2)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364</v>
      </c>
      <c r="BM26" s="295">
        <v>222210</v>
      </c>
      <c r="BN26" s="300">
        <v>525</v>
      </c>
    </row>
    <row r="27" spans="1:66" ht="14.7" customHeight="1" x14ac:dyDescent="0.25">
      <c r="A27" s="126">
        <f>VLOOKUP(C27,ASTBase!E:S,13,FALSE)</f>
        <v>222208</v>
      </c>
      <c r="B27" s="126" t="s">
        <v>410</v>
      </c>
      <c r="C27" s="126">
        <v>5490000706</v>
      </c>
      <c r="D27" s="127">
        <v>984.9</v>
      </c>
      <c r="E27" s="127">
        <v>943.52</v>
      </c>
      <c r="F27" s="127">
        <v>725.91000000000008</v>
      </c>
      <c r="G27" s="127">
        <v>1030.7</v>
      </c>
      <c r="H27" s="127">
        <v>1134.79</v>
      </c>
      <c r="I27" s="127">
        <v>1077.8400000000001</v>
      </c>
      <c r="J27" s="127">
        <v>687.34</v>
      </c>
      <c r="K27" s="127">
        <v>899.5</v>
      </c>
      <c r="L27" s="127">
        <v>868.27</v>
      </c>
      <c r="M27" s="127">
        <v>1531.2</v>
      </c>
      <c r="N27" s="127">
        <v>1570</v>
      </c>
      <c r="O27" s="127">
        <v>1135</v>
      </c>
      <c r="P27" s="126">
        <v>898.62999999999977</v>
      </c>
      <c r="AB27" s="297">
        <f>IFERROR(IF(VLOOKUP($B27,Shortage!$A:$M,AB$2,FALSE)="Shortage",1,IFERROR(ROUND(P27/D27,4),0)),IFERROR(ROUND(P27/D27,4),0))</f>
        <v>0.91239999999999999</v>
      </c>
      <c r="AC27" s="297">
        <f>IFERROR(IF(VLOOKUP($B27,Shortage!$A:$M,AC$2,FALSE)="Shortage",1,IFERROR(ROUND(Q27/E27,4),0)),IFERROR(ROUND(Q27/E27,4),0))</f>
        <v>0</v>
      </c>
      <c r="AD27" s="297">
        <f>IFERROR(IF(VLOOKUP($B27,Shortage!$A:$M,AD$2,FALSE)="Shortage",1,IFERROR(ROUND(R27/F27,4),0)),IFERROR(ROUND(R27/F27,4),0))</f>
        <v>0</v>
      </c>
      <c r="AE27" s="297">
        <f>IFERROR(IF(VLOOKUP($B27,Shortage!$A:$M,AE$2,FALSE)="Shortage",1,IFERROR(ROUND(S27/G27,4),0)),IFERROR(ROUND(S27/G27,4),0))</f>
        <v>0</v>
      </c>
      <c r="AF27" s="297">
        <f>IFERROR(IF(VLOOKUP($B27,Shortage!$A:$M,AF$2,FALSE)="Shortage",1,IFERROR(ROUND(T27/H27,4),0)),IFERROR(ROUND(T27/H27,4),0))</f>
        <v>0</v>
      </c>
      <c r="AG27" s="297">
        <f>IFERROR(IF(VLOOKUP($B27,Shortage!$A:$M,AG$2,FALSE)="Shortage",1,IFERROR(ROUND(U27/I27,4),0)),IFERROR(ROUND(U27/I27,4),0))</f>
        <v>0</v>
      </c>
      <c r="AH27" s="297">
        <f>IFERROR(IF(VLOOKUP($B27,Shortage!$A:$M,AH$2,FALSE)="Shortage",1,IFERROR(ROUND(V27/J27,4),0)),IFERROR(ROUND(V27/J27,4),0))</f>
        <v>0</v>
      </c>
      <c r="AI27" s="297">
        <f>IFERROR(IF(VLOOKUP($B27,Shortage!$A:$M,AI$2,FALSE)="Shortage",1,IFERROR(ROUND(W27/K27,4),0)),IFERROR(ROUND(W27/K27,4),0))</f>
        <v>0</v>
      </c>
      <c r="AJ27" s="297">
        <f>IFERROR(IF(VLOOKUP($B27,Shortage!$A:$M,AJ$2,FALSE)="Shortage",1,IFERROR(ROUND(X27/L27,4),0)),IFERROR(ROUND(X27/L27,4),0))</f>
        <v>0</v>
      </c>
      <c r="AK27" s="297">
        <f>IFERROR(IF(VLOOKUP($B27,Shortage!$A:$M,AK$2,FALSE)="Shortage",1,IFERROR(ROUND(Y27/M27,4),0)),IFERROR(ROUND(Y27/M27,4),0))</f>
        <v>0</v>
      </c>
      <c r="AL27" s="297">
        <f>IFERROR(IF(VLOOKUP($B27,Shortage!$A:$M,AL$2,FALSE)="Shortage",1,IFERROR(ROUND(Z27/N27,4),0)),IFERROR(ROUND(Z27/N27,4),0))</f>
        <v>0</v>
      </c>
      <c r="AM27" s="297">
        <f>IFERROR(IF(VLOOKUP($B27,Shortage!$A:$M,AM$2,FALSE)="Shortage",1,IFERROR(ROUND(AA27/O27,4),0)),IFERROR(ROUND(AA27/O27,4),0))</f>
        <v>0</v>
      </c>
      <c r="AN27" s="298">
        <f>IFERROR(_xlfn.XLOOKUP(AB27,'2) หลักการคำนวน Table'!$C$3:$K$3,'2) หลักการคำนวน Table'!$C$3:$K$3,,1),INDEX('2) หลักการคำนวน Table'!$C$3:$K$3,1))</f>
        <v>0.95</v>
      </c>
      <c r="AO27" s="298">
        <f>IFERROR(
  _xlfn.XLOOKUP(AC27,'2) หลักการคำนวน Table'!$C$3:$K$3,'2) หลักการคำนวน Table'!$C$3:$K$3,,1),
  IF(AC27&lt;MIN('2) หลักการคำนวน Table'!$C$3:$K$3),
     MIN('2) หลักการคำนวน Table'!$C$3:$K$3),
     MAX('2) หลักการคำนวน Table'!$C$3:$K$3)
  )
)</f>
        <v>0.9</v>
      </c>
      <c r="AP27" s="298">
        <f>IFERROR(
  _xlfn.XLOOKUP(AD27,'2) หลักการคำนวน Table'!$C$3:$K$3,'2) หลักการคำนวน Table'!$C$3:$K$3,,1),
  IF(AD27&lt;MIN('2) หลักการคำนวน Table'!$C$3:$K$3),
     MIN('2) หลักการคำนวน Table'!$C$3:$K$3),
     MAX('2) หลักการคำนวน Table'!$C$3:$K$3)
  )
)</f>
        <v>0.9</v>
      </c>
      <c r="AQ27" s="298">
        <f>IFERROR(
  _xlfn.XLOOKUP(AE27,'2) หลักการคำนวน Table'!$C$3:$K$3,'2) หลักการคำนวน Table'!$C$3:$K$3,,1),
  IF(AE27&lt;MIN('2) หลักการคำนวน Table'!$C$3:$K$3),
     MIN('2) หลักการคำนวน Table'!$C$3:$K$3),
     MAX('2) หลักการคำนวน Table'!$C$3:$K$3)
  )
)</f>
        <v>0.9</v>
      </c>
      <c r="AR27" s="298">
        <f>IFERROR(
  _xlfn.XLOOKUP(AF27,'2) หลักการคำนวน Table'!$C$3:$K$3,'2) หลักการคำนวน Table'!$C$3:$K$3,,1),
  IF(AF27&lt;MIN('2) หลักการคำนวน Table'!$C$3:$K$3),
     MIN('2) หลักการคำนวน Table'!$C$3:$K$3),
     MAX('2) หลักการคำนวน Table'!$C$3:$K$3)
  )
)</f>
        <v>0.9</v>
      </c>
      <c r="AS27" s="298">
        <f>IFERROR(
  _xlfn.XLOOKUP(AG27,'2) หลักการคำนวน Table'!$C$3:$K$3,'2) หลักการคำนวน Table'!$C$3:$K$3,,1),
  IF(AG27&lt;MIN('2) หลักการคำนวน Table'!$C$3:$K$3),
     MIN('2) หลักการคำนวน Table'!$C$3:$K$3),
     MAX('2) หลักการคำนวน Table'!$C$3:$K$3)
  )
)</f>
        <v>0.9</v>
      </c>
      <c r="AT27" s="298">
        <f>IFERROR(
  _xlfn.XLOOKUP(AH27,'2) หลักการคำนวน Table'!$C$3:$K$3,'2) หลักการคำนวน Table'!$C$3:$K$3,,1),
  IF(AH27&lt;MIN('2) หลักการคำนวน Table'!$C$3:$K$3),
     MIN('2) หลักการคำนวน Table'!$C$3:$K$3),
     MAX('2) หลักการคำนวน Table'!$C$3:$K$3)
  )
)</f>
        <v>0.9</v>
      </c>
      <c r="AU27" s="298">
        <f>IFERROR(
  _xlfn.XLOOKUP(AI27,'2) หลักการคำนวน Table'!$C$3:$K$3,'2) หลักการคำนวน Table'!$C$3:$K$3,,1),
  IF(AI27&lt;MIN('2) หลักการคำนวน Table'!$C$3:$K$3),
     MIN('2) หลักการคำนวน Table'!$C$3:$K$3),
     MAX('2) หลักการคำนวน Table'!$C$3:$K$3)
  )
)</f>
        <v>0.9</v>
      </c>
      <c r="AV27" s="298">
        <f>IFERROR(
  _xlfn.XLOOKUP(AJ27,'2) หลักการคำนวน Table'!$C$3:$K$3,'2) หลักการคำนวน Table'!$C$3:$K$3,,1),
  IF(AJ27&lt;MIN('2) หลักการคำนวน Table'!$C$3:$K$3),
     MIN('2) หลักการคำนวน Table'!$C$3:$K$3),
     MAX('2) หลักการคำนวน Table'!$C$3:$K$3)
  )
)</f>
        <v>0.9</v>
      </c>
      <c r="AW27" s="298">
        <f>IFERROR(
  _xlfn.XLOOKUP(AK27,'2) หลักการคำนวน Table'!$C$3:$K$3,'2) หลักการคำนวน Table'!$C$3:$K$3,,1),
  IF(AK27&lt;MIN('2) หลักการคำนวน Table'!$C$3:$K$3),
     MIN('2) หลักการคำนวน Table'!$C$3:$K$3),
     MAX('2) หลักการคำนวน Table'!$C$3:$K$3)
  )
)</f>
        <v>0.9</v>
      </c>
      <c r="AX27" s="298">
        <f>IFERROR(
  _xlfn.XLOOKUP(AL27,'2) หลักการคำนวน Table'!$C$3:$K$3,'2) หลักการคำนวน Table'!$C$3:$K$3,,1),
  IF(AL27&lt;MIN('2) หลักการคำนวน Table'!$C$3:$K$3),
     MIN('2) หลักการคำนวน Table'!$C$3:$K$3),
     MAX('2) หลักการคำนวน Table'!$C$3:$K$3)
  )
)</f>
        <v>0.9</v>
      </c>
      <c r="AY27" s="298">
        <f>IFERROR(
  _xlfn.XLOOKUP(AM27,'2) หลักการคำนวน Table'!$C$3:$K$3,'2) หลักการคำนวน Table'!$C$3:$K$3,,1),
  IF(AM27&lt;MIN('2) หลักการคำนวน Table'!$C$3:$K$3),
     MIN('2) หลักการคำนวน Table'!$C$3:$K$3),
     MAX('2) หลักการคำนวน Table'!$C$3:$K$3)
  )
)</f>
        <v>0.9</v>
      </c>
      <c r="AZ27" s="299" cm="1">
        <f t="array" ref="AZ27">ROUND((_xlfn.XLOOKUP($C27,'2) หลักการคำนวน Table'!$A$4:$A$36,
_xlfn.XLOOKUP(AN27,'2)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384</v>
      </c>
      <c r="BA27" s="299" cm="1">
        <f t="array" ref="BA27">ROUND((_xlfn.XLOOKUP($C27,'2) หลักการคำนวน Table'!$A$4:$A$36,
_xlfn.XLOOKUP(AO27,'2)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364</v>
      </c>
      <c r="BB27" s="299" cm="1">
        <f t="array" ref="BB27">ROUND((_xlfn.XLOOKUP($C27,'2) หลักการคำนวน Table'!$A$4:$A$36,
_xlfn.XLOOKUP(AP27,'2)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364</v>
      </c>
      <c r="BC27" s="299" cm="1">
        <f t="array" ref="BC27">ROUND((_xlfn.XLOOKUP($C27,'2) หลักการคำนวน Table'!$A$4:$A$36,
_xlfn.XLOOKUP(AQ27,'2)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364</v>
      </c>
      <c r="BD27" s="299" cm="1">
        <f t="array" ref="BD27">ROUND((_xlfn.XLOOKUP($C27,'2) หลักการคำนวน Table'!$A$4:$A$36,
_xlfn.XLOOKUP(AR27,'2)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364</v>
      </c>
      <c r="BE27" s="299" cm="1">
        <f t="array" ref="BE27">ROUND((_xlfn.XLOOKUP($C27,'2) หลักการคำนวน Table'!$A$4:$A$36,
_xlfn.XLOOKUP(AS27,'2)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364</v>
      </c>
      <c r="BF27" s="299" cm="1">
        <f t="array" ref="BF27">ROUND((_xlfn.XLOOKUP($C27,'2) หลักการคำนวน Table'!$A$4:$A$36,
_xlfn.XLOOKUP(AT27,'2)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364</v>
      </c>
      <c r="BG27" s="299" cm="1">
        <f t="array" ref="BG27">ROUND((_xlfn.XLOOKUP($C27,'2) หลักการคำนวน Table'!$A$4:$A$36,
_xlfn.XLOOKUP(AU27,'2)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364</v>
      </c>
      <c r="BH27" s="299" cm="1">
        <f t="array" ref="BH27">ROUND((_xlfn.XLOOKUP($C27,'2) หลักการคำนวน Table'!$A$4:$A$36,
_xlfn.XLOOKUP(AV27,'2)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364</v>
      </c>
      <c r="BI27" s="299" cm="1">
        <f t="array" ref="BI27">ROUND((_xlfn.XLOOKUP($C27,'2) หลักการคำนวน Table'!$A$4:$A$36,
_xlfn.XLOOKUP(AW27,'2)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364</v>
      </c>
      <c r="BJ27" s="299" cm="1">
        <f t="array" ref="BJ27">ROUND((_xlfn.XLOOKUP($C27,'2) หลักการคำนวน Table'!$A$4:$A$36,
_xlfn.XLOOKUP(AX27,'2)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364</v>
      </c>
      <c r="BK27" s="299" cm="1">
        <f t="array" ref="BK27">ROUND((_xlfn.XLOOKUP($C27,'2) หลักการคำนวน Table'!$A$4:$A$36,
_xlfn.XLOOKUP(AY27,'2)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364</v>
      </c>
      <c r="BM27" s="295">
        <v>222210</v>
      </c>
      <c r="BN27" s="300">
        <v>384</v>
      </c>
    </row>
    <row r="28" spans="1:66" ht="14.7" customHeight="1" x14ac:dyDescent="0.25">
      <c r="A28" s="126">
        <f>VLOOKUP(C28,ASTBase!E:S,13,FALSE)</f>
        <v>222208</v>
      </c>
      <c r="B28" s="126" t="s">
        <v>415</v>
      </c>
      <c r="C28" s="126">
        <v>5490000706</v>
      </c>
      <c r="D28" s="127">
        <v>216</v>
      </c>
      <c r="E28" s="127">
        <v>154.4</v>
      </c>
      <c r="F28" s="127">
        <v>213.2</v>
      </c>
      <c r="G28" s="127">
        <v>158</v>
      </c>
      <c r="H28" s="127">
        <v>321.8</v>
      </c>
      <c r="I28" s="127">
        <v>228.59999999999997</v>
      </c>
      <c r="J28" s="127">
        <v>183.6</v>
      </c>
      <c r="K28" s="127">
        <v>199.43999999999997</v>
      </c>
      <c r="L28" s="127">
        <v>344.62</v>
      </c>
      <c r="M28" s="127">
        <v>784.4</v>
      </c>
      <c r="N28" s="127">
        <v>838.8</v>
      </c>
      <c r="O28" s="127">
        <v>377</v>
      </c>
      <c r="P28" s="126">
        <v>232.20000000000002</v>
      </c>
      <c r="AB28" s="297">
        <f>IFERROR(IF(VLOOKUP($B28,Shortage!$A:$M,AB$2,FALSE)="Shortage",1,IFERROR(ROUND(P28/D28,4),0)),IFERROR(ROUND(P28/D28,4),0))</f>
        <v>1.075</v>
      </c>
      <c r="AC28" s="297">
        <f>IFERROR(IF(VLOOKUP($B28,Shortage!$A:$M,AC$2,FALSE)="Shortage",1,IFERROR(ROUND(Q28/E28,4),0)),IFERROR(ROUND(Q28/E28,4),0))</f>
        <v>0</v>
      </c>
      <c r="AD28" s="297">
        <f>IFERROR(IF(VLOOKUP($B28,Shortage!$A:$M,AD$2,FALSE)="Shortage",1,IFERROR(ROUND(R28/F28,4),0)),IFERROR(ROUND(R28/F28,4),0))</f>
        <v>0</v>
      </c>
      <c r="AE28" s="297">
        <f>IFERROR(IF(VLOOKUP($B28,Shortage!$A:$M,AE$2,FALSE)="Shortage",1,IFERROR(ROUND(S28/G28,4),0)),IFERROR(ROUND(S28/G28,4),0))</f>
        <v>0</v>
      </c>
      <c r="AF28" s="297">
        <f>IFERROR(IF(VLOOKUP($B28,Shortage!$A:$M,AF$2,FALSE)="Shortage",1,IFERROR(ROUND(T28/H28,4),0)),IFERROR(ROUND(T28/H28,4),0))</f>
        <v>0</v>
      </c>
      <c r="AG28" s="297">
        <f>IFERROR(IF(VLOOKUP($B28,Shortage!$A:$M,AG$2,FALSE)="Shortage",1,IFERROR(ROUND(U28/I28,4),0)),IFERROR(ROUND(U28/I28,4),0))</f>
        <v>0</v>
      </c>
      <c r="AH28" s="297">
        <f>IFERROR(IF(VLOOKUP($B28,Shortage!$A:$M,AH$2,FALSE)="Shortage",1,IFERROR(ROUND(V28/J28,4),0)),IFERROR(ROUND(V28/J28,4),0))</f>
        <v>0</v>
      </c>
      <c r="AI28" s="297">
        <f>IFERROR(IF(VLOOKUP($B28,Shortage!$A:$M,AI$2,FALSE)="Shortage",1,IFERROR(ROUND(W28/K28,4),0)),IFERROR(ROUND(W28/K28,4),0))</f>
        <v>0</v>
      </c>
      <c r="AJ28" s="297">
        <f>IFERROR(IF(VLOOKUP($B28,Shortage!$A:$M,AJ$2,FALSE)="Shortage",1,IFERROR(ROUND(X28/L28,4),0)),IFERROR(ROUND(X28/L28,4),0))</f>
        <v>0</v>
      </c>
      <c r="AK28" s="297">
        <f>IFERROR(IF(VLOOKUP($B28,Shortage!$A:$M,AK$2,FALSE)="Shortage",1,IFERROR(ROUND(Y28/M28,4),0)),IFERROR(ROUND(Y28/M28,4),0))</f>
        <v>0</v>
      </c>
      <c r="AL28" s="297">
        <f>IFERROR(IF(VLOOKUP($B28,Shortage!$A:$M,AL$2,FALSE)="Shortage",1,IFERROR(ROUND(Z28/N28,4),0)),IFERROR(ROUND(Z28/N28,4),0))</f>
        <v>0</v>
      </c>
      <c r="AM28" s="297">
        <f>IFERROR(IF(VLOOKUP($B28,Shortage!$A:$M,AM$2,FALSE)="Shortage",1,IFERROR(ROUND(AA28/O28,4),0)),IFERROR(ROUND(AA28/O28,4),0))</f>
        <v>0</v>
      </c>
      <c r="AN28" s="298">
        <f>IFERROR(_xlfn.XLOOKUP(AB28,'2) หลักการคำนวน Table'!$C$3:$K$3,'2) หลักการคำนวน Table'!$C$3:$K$3,,1),INDEX('2) หลักการคำนวน Table'!$C$3:$K$3,1))</f>
        <v>1.1000000000000001</v>
      </c>
      <c r="AO28" s="298">
        <f>IFERROR(
  _xlfn.XLOOKUP(AC28,'2) หลักการคำนวน Table'!$C$3:$K$3,'2) หลักการคำนวน Table'!$C$3:$K$3,,1),
  IF(AC28&lt;MIN('2) หลักการคำนวน Table'!$C$3:$K$3),
     MIN('2) หลักการคำนวน Table'!$C$3:$K$3),
     MAX('2) หลักการคำนวน Table'!$C$3:$K$3)
  )
)</f>
        <v>0.9</v>
      </c>
      <c r="AP28" s="298">
        <f>IFERROR(
  _xlfn.XLOOKUP(AD28,'2) หลักการคำนวน Table'!$C$3:$K$3,'2) หลักการคำนวน Table'!$C$3:$K$3,,1),
  IF(AD28&lt;MIN('2) หลักการคำนวน Table'!$C$3:$K$3),
     MIN('2) หลักการคำนวน Table'!$C$3:$K$3),
     MAX('2) หลักการคำนวน Table'!$C$3:$K$3)
  )
)</f>
        <v>0.9</v>
      </c>
      <c r="AQ28" s="298">
        <f>IFERROR(
  _xlfn.XLOOKUP(AE28,'2) หลักการคำนวน Table'!$C$3:$K$3,'2) หลักการคำนวน Table'!$C$3:$K$3,,1),
  IF(AE28&lt;MIN('2) หลักการคำนวน Table'!$C$3:$K$3),
     MIN('2) หลักการคำนวน Table'!$C$3:$K$3),
     MAX('2) หลักการคำนวน Table'!$C$3:$K$3)
  )
)</f>
        <v>0.9</v>
      </c>
      <c r="AR28" s="298">
        <f>IFERROR(
  _xlfn.XLOOKUP(AF28,'2) หลักการคำนวน Table'!$C$3:$K$3,'2) หลักการคำนวน Table'!$C$3:$K$3,,1),
  IF(AF28&lt;MIN('2) หลักการคำนวน Table'!$C$3:$K$3),
     MIN('2) หลักการคำนวน Table'!$C$3:$K$3),
     MAX('2) หลักการคำนวน Table'!$C$3:$K$3)
  )
)</f>
        <v>0.9</v>
      </c>
      <c r="AS28" s="298">
        <f>IFERROR(
  _xlfn.XLOOKUP(AG28,'2) หลักการคำนวน Table'!$C$3:$K$3,'2) หลักการคำนวน Table'!$C$3:$K$3,,1),
  IF(AG28&lt;MIN('2) หลักการคำนวน Table'!$C$3:$K$3),
     MIN('2) หลักการคำนวน Table'!$C$3:$K$3),
     MAX('2) หลักการคำนวน Table'!$C$3:$K$3)
  )
)</f>
        <v>0.9</v>
      </c>
      <c r="AT28" s="298">
        <f>IFERROR(
  _xlfn.XLOOKUP(AH28,'2) หลักการคำนวน Table'!$C$3:$K$3,'2) หลักการคำนวน Table'!$C$3:$K$3,,1),
  IF(AH28&lt;MIN('2) หลักการคำนวน Table'!$C$3:$K$3),
     MIN('2) หลักการคำนวน Table'!$C$3:$K$3),
     MAX('2) หลักการคำนวน Table'!$C$3:$K$3)
  )
)</f>
        <v>0.9</v>
      </c>
      <c r="AU28" s="298">
        <f>IFERROR(
  _xlfn.XLOOKUP(AI28,'2) หลักการคำนวน Table'!$C$3:$K$3,'2) หลักการคำนวน Table'!$C$3:$K$3,,1),
  IF(AI28&lt;MIN('2) หลักการคำนวน Table'!$C$3:$K$3),
     MIN('2) หลักการคำนวน Table'!$C$3:$K$3),
     MAX('2) หลักการคำนวน Table'!$C$3:$K$3)
  )
)</f>
        <v>0.9</v>
      </c>
      <c r="AV28" s="298">
        <f>IFERROR(
  _xlfn.XLOOKUP(AJ28,'2) หลักการคำนวน Table'!$C$3:$K$3,'2) หลักการคำนวน Table'!$C$3:$K$3,,1),
  IF(AJ28&lt;MIN('2) หลักการคำนวน Table'!$C$3:$K$3),
     MIN('2) หลักการคำนวน Table'!$C$3:$K$3),
     MAX('2) หลักการคำนวน Table'!$C$3:$K$3)
  )
)</f>
        <v>0.9</v>
      </c>
      <c r="AW28" s="298">
        <f>IFERROR(
  _xlfn.XLOOKUP(AK28,'2) หลักการคำนวน Table'!$C$3:$K$3,'2) หลักการคำนวน Table'!$C$3:$K$3,,1),
  IF(AK28&lt;MIN('2) หลักการคำนวน Table'!$C$3:$K$3),
     MIN('2) หลักการคำนวน Table'!$C$3:$K$3),
     MAX('2) หลักการคำนวน Table'!$C$3:$K$3)
  )
)</f>
        <v>0.9</v>
      </c>
      <c r="AX28" s="298">
        <f>IFERROR(
  _xlfn.XLOOKUP(AL28,'2) หลักการคำนวน Table'!$C$3:$K$3,'2) หลักการคำนวน Table'!$C$3:$K$3,,1),
  IF(AL28&lt;MIN('2) หลักการคำนวน Table'!$C$3:$K$3),
     MIN('2) หลักการคำนวน Table'!$C$3:$K$3),
     MAX('2) หลักการคำนวน Table'!$C$3:$K$3)
  )
)</f>
        <v>0.9</v>
      </c>
      <c r="AY28" s="298">
        <f>IFERROR(
  _xlfn.XLOOKUP(AM28,'2) หลักการคำนวน Table'!$C$3:$K$3,'2) หลักการคำนวน Table'!$C$3:$K$3,,1),
  IF(AM28&lt;MIN('2) หลักการคำนวน Table'!$C$3:$K$3),
     MIN('2) หลักการคำนวน Table'!$C$3:$K$3),
     MAX('2) หลักการคำนวน Table'!$C$3:$K$3)
  )
)</f>
        <v>0.9</v>
      </c>
      <c r="AZ28" s="299" cm="1">
        <f t="array" ref="AZ28">ROUND((_xlfn.XLOOKUP($C28,'2) หลักการคำนวน Table'!$A$4:$A$36,
_xlfn.XLOOKUP(AN28,'2)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178</v>
      </c>
      <c r="BA28" s="299" cm="1">
        <f t="array" ref="BA28">ROUND((_xlfn.XLOOKUP($C28,'2) หลักการคำนวน Table'!$A$4:$A$36,
_xlfn.XLOOKUP(AO28,'2)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145</v>
      </c>
      <c r="BB28" s="299" cm="1">
        <f t="array" ref="BB28">ROUND((_xlfn.XLOOKUP($C28,'2) หลักการคำนวน Table'!$A$4:$A$36,
_xlfn.XLOOKUP(AP28,'2)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145</v>
      </c>
      <c r="BC28" s="299" cm="1">
        <f t="array" ref="BC28">ROUND((_xlfn.XLOOKUP($C28,'2) หลักการคำนวน Table'!$A$4:$A$36,
_xlfn.XLOOKUP(AQ28,'2)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145</v>
      </c>
      <c r="BD28" s="299" cm="1">
        <f t="array" ref="BD28">ROUND((_xlfn.XLOOKUP($C28,'2) หลักการคำนวน Table'!$A$4:$A$36,
_xlfn.XLOOKUP(AR28,'2)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145</v>
      </c>
      <c r="BE28" s="299" cm="1">
        <f t="array" ref="BE28">ROUND((_xlfn.XLOOKUP($C28,'2) หลักการคำนวน Table'!$A$4:$A$36,
_xlfn.XLOOKUP(AS28,'2)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145</v>
      </c>
      <c r="BF28" s="299" cm="1">
        <f t="array" ref="BF28">ROUND((_xlfn.XLOOKUP($C28,'2) หลักการคำนวน Table'!$A$4:$A$36,
_xlfn.XLOOKUP(AT28,'2)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145</v>
      </c>
      <c r="BG28" s="299" cm="1">
        <f t="array" ref="BG28">ROUND((_xlfn.XLOOKUP($C28,'2) หลักการคำนวน Table'!$A$4:$A$36,
_xlfn.XLOOKUP(AU28,'2)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145</v>
      </c>
      <c r="BH28" s="299" cm="1">
        <f t="array" ref="BH28">ROUND((_xlfn.XLOOKUP($C28,'2) หลักการคำนวน Table'!$A$4:$A$36,
_xlfn.XLOOKUP(AV28,'2)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145</v>
      </c>
      <c r="BI28" s="299" cm="1">
        <f t="array" ref="BI28">ROUND((_xlfn.XLOOKUP($C28,'2) หลักการคำนวน Table'!$A$4:$A$36,
_xlfn.XLOOKUP(AW28,'2)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145</v>
      </c>
      <c r="BJ28" s="299" cm="1">
        <f t="array" ref="BJ28">ROUND((_xlfn.XLOOKUP($C28,'2) หลักการคำนวน Table'!$A$4:$A$36,
_xlfn.XLOOKUP(AX28,'2)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145</v>
      </c>
      <c r="BK28" s="299" cm="1">
        <f t="array" ref="BK28">ROUND((_xlfn.XLOOKUP($C28,'2) หลักการคำนวน Table'!$A$4:$A$36,
_xlfn.XLOOKUP(AY28,'2)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145</v>
      </c>
      <c r="BM28" s="295">
        <v>222210</v>
      </c>
      <c r="BN28" s="300">
        <v>178</v>
      </c>
    </row>
    <row r="29" spans="1:66" ht="14.7" customHeight="1" x14ac:dyDescent="0.25">
      <c r="A29" s="126">
        <f>VLOOKUP(C29,ASTBase!E:S,13,FALSE)</f>
        <v>222208</v>
      </c>
      <c r="B29" s="126" t="s">
        <v>414</v>
      </c>
      <c r="C29" s="126">
        <v>5490000706</v>
      </c>
      <c r="D29" s="127">
        <v>1756.8</v>
      </c>
      <c r="E29" s="127">
        <v>1697.6</v>
      </c>
      <c r="F29" s="127">
        <v>1652</v>
      </c>
      <c r="G29" s="127">
        <v>2190.8000000000002</v>
      </c>
      <c r="H29" s="127">
        <v>1716.7</v>
      </c>
      <c r="I29" s="127">
        <v>1866.4</v>
      </c>
      <c r="J29" s="127">
        <v>1718.3999999999999</v>
      </c>
      <c r="K29" s="127">
        <v>1706.4000000000003</v>
      </c>
      <c r="L29" s="127">
        <v>1858.8000000000002</v>
      </c>
      <c r="M29" s="127">
        <v>2062.8000000000002</v>
      </c>
      <c r="N29" s="127">
        <v>1554.6</v>
      </c>
      <c r="O29" s="127">
        <v>1981.8</v>
      </c>
      <c r="P29" s="126">
        <v>1960.8000000000004</v>
      </c>
      <c r="AB29" s="297">
        <f>IFERROR(IF(VLOOKUP($B29,Shortage!$A:$M,AB$2,FALSE)="Shortage",1,IFERROR(ROUND(P29/D29,4),0)),IFERROR(ROUND(P29/D29,4),0))</f>
        <v>1.1161000000000001</v>
      </c>
      <c r="AC29" s="297">
        <f>IFERROR(IF(VLOOKUP($B29,Shortage!$A:$M,AC$2,FALSE)="Shortage",1,IFERROR(ROUND(Q29/E29,4),0)),IFERROR(ROUND(Q29/E29,4),0))</f>
        <v>0</v>
      </c>
      <c r="AD29" s="297">
        <f>IFERROR(IF(VLOOKUP($B29,Shortage!$A:$M,AD$2,FALSE)="Shortage",1,IFERROR(ROUND(R29/F29,4),0)),IFERROR(ROUND(R29/F29,4),0))</f>
        <v>0</v>
      </c>
      <c r="AE29" s="297">
        <f>IFERROR(IF(VLOOKUP($B29,Shortage!$A:$M,AE$2,FALSE)="Shortage",1,IFERROR(ROUND(S29/G29,4),0)),IFERROR(ROUND(S29/G29,4),0))</f>
        <v>0</v>
      </c>
      <c r="AF29" s="297">
        <f>IFERROR(IF(VLOOKUP($B29,Shortage!$A:$M,AF$2,FALSE)="Shortage",1,IFERROR(ROUND(T29/H29,4),0)),IFERROR(ROUND(T29/H29,4),0))</f>
        <v>0</v>
      </c>
      <c r="AG29" s="297">
        <f>IFERROR(IF(VLOOKUP($B29,Shortage!$A:$M,AG$2,FALSE)="Shortage",1,IFERROR(ROUND(U29/I29,4),0)),IFERROR(ROUND(U29/I29,4),0))</f>
        <v>0</v>
      </c>
      <c r="AH29" s="297">
        <f>IFERROR(IF(VLOOKUP($B29,Shortage!$A:$M,AH$2,FALSE)="Shortage",1,IFERROR(ROUND(V29/J29,4),0)),IFERROR(ROUND(V29/J29,4),0))</f>
        <v>0</v>
      </c>
      <c r="AI29" s="297">
        <f>IFERROR(IF(VLOOKUP($B29,Shortage!$A:$M,AI$2,FALSE)="Shortage",1,IFERROR(ROUND(W29/K29,4),0)),IFERROR(ROUND(W29/K29,4),0))</f>
        <v>0</v>
      </c>
      <c r="AJ29" s="297">
        <f>IFERROR(IF(VLOOKUP($B29,Shortage!$A:$M,AJ$2,FALSE)="Shortage",1,IFERROR(ROUND(X29/L29,4),0)),IFERROR(ROUND(X29/L29,4),0))</f>
        <v>0</v>
      </c>
      <c r="AK29" s="297">
        <f>IFERROR(IF(VLOOKUP($B29,Shortage!$A:$M,AK$2,FALSE)="Shortage",1,IFERROR(ROUND(Y29/M29,4),0)),IFERROR(ROUND(Y29/M29,4),0))</f>
        <v>0</v>
      </c>
      <c r="AL29" s="297">
        <f>IFERROR(IF(VLOOKUP($B29,Shortage!$A:$M,AL$2,FALSE)="Shortage",1,IFERROR(ROUND(Z29/N29,4),0)),IFERROR(ROUND(Z29/N29,4),0))</f>
        <v>0</v>
      </c>
      <c r="AM29" s="297">
        <f>IFERROR(IF(VLOOKUP($B29,Shortage!$A:$M,AM$2,FALSE)="Shortage",1,IFERROR(ROUND(AA29/O29,4),0)),IFERROR(ROUND(AA29/O29,4),0))</f>
        <v>0</v>
      </c>
      <c r="AN29" s="298">
        <f>IFERROR(_xlfn.XLOOKUP(AB29,'2) หลักการคำนวน Table'!$C$3:$K$3,'2) หลักการคำนวน Table'!$C$3:$K$3,,1),INDEX('2) หลักการคำนวน Table'!$C$3:$K$3,1))</f>
        <v>1.1499999999999999</v>
      </c>
      <c r="AO29" s="298">
        <f>IFERROR(
  _xlfn.XLOOKUP(AC29,'2) หลักการคำนวน Table'!$C$3:$K$3,'2) หลักการคำนวน Table'!$C$3:$K$3,,1),
  IF(AC29&lt;MIN('2) หลักการคำนวน Table'!$C$3:$K$3),
     MIN('2) หลักการคำนวน Table'!$C$3:$K$3),
     MAX('2) หลักการคำนวน Table'!$C$3:$K$3)
  )
)</f>
        <v>0.9</v>
      </c>
      <c r="AP29" s="298">
        <f>IFERROR(
  _xlfn.XLOOKUP(AD29,'2) หลักการคำนวน Table'!$C$3:$K$3,'2) หลักการคำนวน Table'!$C$3:$K$3,,1),
  IF(AD29&lt;MIN('2) หลักการคำนวน Table'!$C$3:$K$3),
     MIN('2) หลักการคำนวน Table'!$C$3:$K$3),
     MAX('2) หลักการคำนวน Table'!$C$3:$K$3)
  )
)</f>
        <v>0.9</v>
      </c>
      <c r="AQ29" s="298">
        <f>IFERROR(
  _xlfn.XLOOKUP(AE29,'2) หลักการคำนวน Table'!$C$3:$K$3,'2) หลักการคำนวน Table'!$C$3:$K$3,,1),
  IF(AE29&lt;MIN('2) หลักการคำนวน Table'!$C$3:$K$3),
     MIN('2) หลักการคำนวน Table'!$C$3:$K$3),
     MAX('2) หลักการคำนวน Table'!$C$3:$K$3)
  )
)</f>
        <v>0.9</v>
      </c>
      <c r="AR29" s="298">
        <f>IFERROR(
  _xlfn.XLOOKUP(AF29,'2) หลักการคำนวน Table'!$C$3:$K$3,'2) หลักการคำนวน Table'!$C$3:$K$3,,1),
  IF(AF29&lt;MIN('2) หลักการคำนวน Table'!$C$3:$K$3),
     MIN('2) หลักการคำนวน Table'!$C$3:$K$3),
     MAX('2) หลักการคำนวน Table'!$C$3:$K$3)
  )
)</f>
        <v>0.9</v>
      </c>
      <c r="AS29" s="298">
        <f>IFERROR(
  _xlfn.XLOOKUP(AG29,'2) หลักการคำนวน Table'!$C$3:$K$3,'2) หลักการคำนวน Table'!$C$3:$K$3,,1),
  IF(AG29&lt;MIN('2) หลักการคำนวน Table'!$C$3:$K$3),
     MIN('2) หลักการคำนวน Table'!$C$3:$K$3),
     MAX('2) หลักการคำนวน Table'!$C$3:$K$3)
  )
)</f>
        <v>0.9</v>
      </c>
      <c r="AT29" s="298">
        <f>IFERROR(
  _xlfn.XLOOKUP(AH29,'2) หลักการคำนวน Table'!$C$3:$K$3,'2) หลักการคำนวน Table'!$C$3:$K$3,,1),
  IF(AH29&lt;MIN('2) หลักการคำนวน Table'!$C$3:$K$3),
     MIN('2) หลักการคำนวน Table'!$C$3:$K$3),
     MAX('2) หลักการคำนวน Table'!$C$3:$K$3)
  )
)</f>
        <v>0.9</v>
      </c>
      <c r="AU29" s="298">
        <f>IFERROR(
  _xlfn.XLOOKUP(AI29,'2) หลักการคำนวน Table'!$C$3:$K$3,'2) หลักการคำนวน Table'!$C$3:$K$3,,1),
  IF(AI29&lt;MIN('2) หลักการคำนวน Table'!$C$3:$K$3),
     MIN('2) หลักการคำนวน Table'!$C$3:$K$3),
     MAX('2) หลักการคำนวน Table'!$C$3:$K$3)
  )
)</f>
        <v>0.9</v>
      </c>
      <c r="AV29" s="298">
        <f>IFERROR(
  _xlfn.XLOOKUP(AJ29,'2) หลักการคำนวน Table'!$C$3:$K$3,'2) หลักการคำนวน Table'!$C$3:$K$3,,1),
  IF(AJ29&lt;MIN('2) หลักการคำนวน Table'!$C$3:$K$3),
     MIN('2) หลักการคำนวน Table'!$C$3:$K$3),
     MAX('2) หลักการคำนวน Table'!$C$3:$K$3)
  )
)</f>
        <v>0.9</v>
      </c>
      <c r="AW29" s="298">
        <f>IFERROR(
  _xlfn.XLOOKUP(AK29,'2) หลักการคำนวน Table'!$C$3:$K$3,'2) หลักการคำนวน Table'!$C$3:$K$3,,1),
  IF(AK29&lt;MIN('2) หลักการคำนวน Table'!$C$3:$K$3),
     MIN('2) หลักการคำนวน Table'!$C$3:$K$3),
     MAX('2) หลักการคำนวน Table'!$C$3:$K$3)
  )
)</f>
        <v>0.9</v>
      </c>
      <c r="AX29" s="298">
        <f>IFERROR(
  _xlfn.XLOOKUP(AL29,'2) หลักการคำนวน Table'!$C$3:$K$3,'2) หลักการคำนวน Table'!$C$3:$K$3,,1),
  IF(AL29&lt;MIN('2) หลักการคำนวน Table'!$C$3:$K$3),
     MIN('2) หลักการคำนวน Table'!$C$3:$K$3),
     MAX('2) หลักการคำนวน Table'!$C$3:$K$3)
  )
)</f>
        <v>0.9</v>
      </c>
      <c r="AY29" s="298">
        <f>IFERROR(
  _xlfn.XLOOKUP(AM29,'2) หลักการคำนวน Table'!$C$3:$K$3,'2) หลักการคำนวน Table'!$C$3:$K$3,,1),
  IF(AM29&lt;MIN('2) หลักการคำนวน Table'!$C$3:$K$3),
     MIN('2) หลักการคำนวน Table'!$C$3:$K$3),
     MAX('2) หลักการคำนวน Table'!$C$3:$K$3)
  )
)</f>
        <v>0.9</v>
      </c>
      <c r="AZ29" s="299" cm="1">
        <f t="array" ref="AZ29">ROUND((_xlfn.XLOOKUP($C29,'2) หลักการคำนวน Table'!$A$4:$A$36,
_xlfn.XLOOKUP(AN29,'2)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186</v>
      </c>
      <c r="BA29" s="299" cm="1">
        <f t="array" ref="BA29">ROUND((_xlfn.XLOOKUP($C29,'2) หลักการคำนวน Table'!$A$4:$A$36,
_xlfn.XLOOKUP(AO29,'2)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145</v>
      </c>
      <c r="BB29" s="299" cm="1">
        <f t="array" ref="BB29">ROUND((_xlfn.XLOOKUP($C29,'2) หลักการคำนวน Table'!$A$4:$A$36,
_xlfn.XLOOKUP(AP29,'2)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145</v>
      </c>
      <c r="BC29" s="299" cm="1">
        <f t="array" ref="BC29">ROUND((_xlfn.XLOOKUP($C29,'2) หลักการคำนวน Table'!$A$4:$A$36,
_xlfn.XLOOKUP(AQ29,'2)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145</v>
      </c>
      <c r="BD29" s="299" cm="1">
        <f t="array" ref="BD29">ROUND((_xlfn.XLOOKUP($C29,'2) หลักการคำนวน Table'!$A$4:$A$36,
_xlfn.XLOOKUP(AR29,'2)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145</v>
      </c>
      <c r="BE29" s="299" cm="1">
        <f t="array" ref="BE29">ROUND((_xlfn.XLOOKUP($C29,'2) หลักการคำนวน Table'!$A$4:$A$36,
_xlfn.XLOOKUP(AS29,'2)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145</v>
      </c>
      <c r="BF29" s="299" cm="1">
        <f t="array" ref="BF29">ROUND((_xlfn.XLOOKUP($C29,'2) หลักการคำนวน Table'!$A$4:$A$36,
_xlfn.XLOOKUP(AT29,'2)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145</v>
      </c>
      <c r="BG29" s="299" cm="1">
        <f t="array" ref="BG29">ROUND((_xlfn.XLOOKUP($C29,'2) หลักการคำนวน Table'!$A$4:$A$36,
_xlfn.XLOOKUP(AU29,'2)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145</v>
      </c>
      <c r="BH29" s="299" cm="1">
        <f t="array" ref="BH29">ROUND((_xlfn.XLOOKUP($C29,'2) หลักการคำนวน Table'!$A$4:$A$36,
_xlfn.XLOOKUP(AV29,'2)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145</v>
      </c>
      <c r="BI29" s="299" cm="1">
        <f t="array" ref="BI29">ROUND((_xlfn.XLOOKUP($C29,'2) หลักการคำนวน Table'!$A$4:$A$36,
_xlfn.XLOOKUP(AW29,'2)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145</v>
      </c>
      <c r="BJ29" s="299" cm="1">
        <f t="array" ref="BJ29">ROUND((_xlfn.XLOOKUP($C29,'2) หลักการคำนวน Table'!$A$4:$A$36,
_xlfn.XLOOKUP(AX29,'2)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145</v>
      </c>
      <c r="BK29" s="299" cm="1">
        <f t="array" ref="BK29">ROUND((_xlfn.XLOOKUP($C29,'2) หลักการคำนวน Table'!$A$4:$A$36,
_xlfn.XLOOKUP(AY29,'2)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145</v>
      </c>
      <c r="BM29" s="295">
        <v>222210</v>
      </c>
      <c r="BN29" s="300">
        <v>186</v>
      </c>
    </row>
    <row r="30" spans="1:66" ht="14.7" customHeight="1" x14ac:dyDescent="0.25">
      <c r="A30" s="126">
        <f>VLOOKUP(C30,ASTBase!E:S,13,FALSE)</f>
        <v>222208</v>
      </c>
      <c r="B30" s="126" t="s">
        <v>412</v>
      </c>
      <c r="C30" s="126">
        <v>5490000706</v>
      </c>
      <c r="D30" s="127">
        <v>1983.3999999986202</v>
      </c>
      <c r="E30" s="127">
        <v>1915.1499999984401</v>
      </c>
      <c r="F30" s="127">
        <v>1864.1499999818282</v>
      </c>
      <c r="G30" s="127">
        <v>2679.9999999603319</v>
      </c>
      <c r="H30" s="127">
        <v>2638.638888869551</v>
      </c>
      <c r="I30" s="127">
        <v>2268.3333332969128</v>
      </c>
      <c r="J30" s="127">
        <v>1882.4444444164521</v>
      </c>
      <c r="K30" s="127">
        <v>1897.6388888758531</v>
      </c>
      <c r="L30" s="127">
        <v>2659.544444405286</v>
      </c>
      <c r="M30" s="127">
        <v>4734.1777777734742</v>
      </c>
      <c r="N30" s="127">
        <v>3896.166666662275</v>
      </c>
      <c r="O30" s="127">
        <v>1950.4999999986201</v>
      </c>
      <c r="P30" s="126">
        <v>1852.8333333019045</v>
      </c>
      <c r="AB30" s="297">
        <f>IFERROR(IF(VLOOKUP($B30,Shortage!$A:$M,AB$2,FALSE)="Shortage",1,IFERROR(ROUND(P30/D30,4),0)),IFERROR(ROUND(P30/D30,4),0))</f>
        <v>1</v>
      </c>
      <c r="AC30" s="297">
        <f>IFERROR(IF(VLOOKUP($B30,Shortage!$A:$M,AC$2,FALSE)="Shortage",1,IFERROR(ROUND(Q30/E30,4),0)),IFERROR(ROUND(Q30/E30,4),0))</f>
        <v>0</v>
      </c>
      <c r="AD30" s="297">
        <f>IFERROR(IF(VLOOKUP($B30,Shortage!$A:$M,AD$2,FALSE)="Shortage",1,IFERROR(ROUND(R30/F30,4),0)),IFERROR(ROUND(R30/F30,4),0))</f>
        <v>0</v>
      </c>
      <c r="AE30" s="297">
        <f>IFERROR(IF(VLOOKUP($B30,Shortage!$A:$M,AE$2,FALSE)="Shortage",1,IFERROR(ROUND(S30/G30,4),0)),IFERROR(ROUND(S30/G30,4),0))</f>
        <v>0</v>
      </c>
      <c r="AF30" s="297">
        <f>IFERROR(IF(VLOOKUP($B30,Shortage!$A:$M,AF$2,FALSE)="Shortage",1,IFERROR(ROUND(T30/H30,4),0)),IFERROR(ROUND(T30/H30,4),0))</f>
        <v>0</v>
      </c>
      <c r="AG30" s="297">
        <f>IFERROR(IF(VLOOKUP($B30,Shortage!$A:$M,AG$2,FALSE)="Shortage",1,IFERROR(ROUND(U30/I30,4),0)),IFERROR(ROUND(U30/I30,4),0))</f>
        <v>0</v>
      </c>
      <c r="AH30" s="297">
        <f>IFERROR(IF(VLOOKUP($B30,Shortage!$A:$M,AH$2,FALSE)="Shortage",1,IFERROR(ROUND(V30/J30,4),0)),IFERROR(ROUND(V30/J30,4),0))</f>
        <v>0</v>
      </c>
      <c r="AI30" s="297">
        <f>IFERROR(IF(VLOOKUP($B30,Shortage!$A:$M,AI$2,FALSE)="Shortage",1,IFERROR(ROUND(W30/K30,4),0)),IFERROR(ROUND(W30/K30,4),0))</f>
        <v>0</v>
      </c>
      <c r="AJ30" s="297">
        <f>IFERROR(IF(VLOOKUP($B30,Shortage!$A:$M,AJ$2,FALSE)="Shortage",1,IFERROR(ROUND(X30/L30,4),0)),IFERROR(ROUND(X30/L30,4),0))</f>
        <v>0</v>
      </c>
      <c r="AK30" s="297">
        <f>IFERROR(IF(VLOOKUP($B30,Shortage!$A:$M,AK$2,FALSE)="Shortage",1,IFERROR(ROUND(Y30/M30,4),0)),IFERROR(ROUND(Y30/M30,4),0))</f>
        <v>0</v>
      </c>
      <c r="AL30" s="297">
        <f>IFERROR(IF(VLOOKUP($B30,Shortage!$A:$M,AL$2,FALSE)="Shortage",1,IFERROR(ROUND(Z30/N30,4),0)),IFERROR(ROUND(Z30/N30,4),0))</f>
        <v>0</v>
      </c>
      <c r="AM30" s="297">
        <f>IFERROR(IF(VLOOKUP($B30,Shortage!$A:$M,AM$2,FALSE)="Shortage",1,IFERROR(ROUND(AA30/O30,4),0)),IFERROR(ROUND(AA30/O30,4),0))</f>
        <v>0</v>
      </c>
      <c r="AN30" s="298">
        <f>IFERROR(_xlfn.XLOOKUP(AB30,'2) หลักการคำนวน Table'!$C$3:$K$3,'2) หลักการคำนวน Table'!$C$3:$K$3,,1),INDEX('2) หลักการคำนวน Table'!$C$3:$K$3,1))</f>
        <v>1</v>
      </c>
      <c r="AO30" s="298">
        <f>IFERROR(
  _xlfn.XLOOKUP(AC30,'2) หลักการคำนวน Table'!$C$3:$K$3,'2) หลักการคำนวน Table'!$C$3:$K$3,,1),
  IF(AC30&lt;MIN('2) หลักการคำนวน Table'!$C$3:$K$3),
     MIN('2) หลักการคำนวน Table'!$C$3:$K$3),
     MAX('2) หลักการคำนวน Table'!$C$3:$K$3)
  )
)</f>
        <v>0.9</v>
      </c>
      <c r="AP30" s="298">
        <f>IFERROR(
  _xlfn.XLOOKUP(AD30,'2) หลักการคำนวน Table'!$C$3:$K$3,'2) หลักการคำนวน Table'!$C$3:$K$3,,1),
  IF(AD30&lt;MIN('2) หลักการคำนวน Table'!$C$3:$K$3),
     MIN('2) หลักการคำนวน Table'!$C$3:$K$3),
     MAX('2) หลักการคำนวน Table'!$C$3:$K$3)
  )
)</f>
        <v>0.9</v>
      </c>
      <c r="AQ30" s="298">
        <f>IFERROR(
  _xlfn.XLOOKUP(AE30,'2) หลักการคำนวน Table'!$C$3:$K$3,'2) หลักการคำนวน Table'!$C$3:$K$3,,1),
  IF(AE30&lt;MIN('2) หลักการคำนวน Table'!$C$3:$K$3),
     MIN('2) หลักการคำนวน Table'!$C$3:$K$3),
     MAX('2) หลักการคำนวน Table'!$C$3:$K$3)
  )
)</f>
        <v>0.9</v>
      </c>
      <c r="AR30" s="298">
        <f>IFERROR(
  _xlfn.XLOOKUP(AF30,'2) หลักการคำนวน Table'!$C$3:$K$3,'2) หลักการคำนวน Table'!$C$3:$K$3,,1),
  IF(AF30&lt;MIN('2) หลักการคำนวน Table'!$C$3:$K$3),
     MIN('2) หลักการคำนวน Table'!$C$3:$K$3),
     MAX('2) หลักการคำนวน Table'!$C$3:$K$3)
  )
)</f>
        <v>0.9</v>
      </c>
      <c r="AS30" s="298">
        <f>IFERROR(
  _xlfn.XLOOKUP(AG30,'2) หลักการคำนวน Table'!$C$3:$K$3,'2) หลักการคำนวน Table'!$C$3:$K$3,,1),
  IF(AG30&lt;MIN('2) หลักการคำนวน Table'!$C$3:$K$3),
     MIN('2) หลักการคำนวน Table'!$C$3:$K$3),
     MAX('2) หลักการคำนวน Table'!$C$3:$K$3)
  )
)</f>
        <v>0.9</v>
      </c>
      <c r="AT30" s="298">
        <f>IFERROR(
  _xlfn.XLOOKUP(AH30,'2) หลักการคำนวน Table'!$C$3:$K$3,'2) หลักการคำนวน Table'!$C$3:$K$3,,1),
  IF(AH30&lt;MIN('2) หลักการคำนวน Table'!$C$3:$K$3),
     MIN('2) หลักการคำนวน Table'!$C$3:$K$3),
     MAX('2) หลักการคำนวน Table'!$C$3:$K$3)
  )
)</f>
        <v>0.9</v>
      </c>
      <c r="AU30" s="298">
        <f>IFERROR(
  _xlfn.XLOOKUP(AI30,'2) หลักการคำนวน Table'!$C$3:$K$3,'2) หลักการคำนวน Table'!$C$3:$K$3,,1),
  IF(AI30&lt;MIN('2) หลักการคำนวน Table'!$C$3:$K$3),
     MIN('2) หลักการคำนวน Table'!$C$3:$K$3),
     MAX('2) หลักการคำนวน Table'!$C$3:$K$3)
  )
)</f>
        <v>0.9</v>
      </c>
      <c r="AV30" s="298">
        <f>IFERROR(
  _xlfn.XLOOKUP(AJ30,'2) หลักการคำนวน Table'!$C$3:$K$3,'2) หลักการคำนวน Table'!$C$3:$K$3,,1),
  IF(AJ30&lt;MIN('2) หลักการคำนวน Table'!$C$3:$K$3),
     MIN('2) หลักการคำนวน Table'!$C$3:$K$3),
     MAX('2) หลักการคำนวน Table'!$C$3:$K$3)
  )
)</f>
        <v>0.9</v>
      </c>
      <c r="AW30" s="298">
        <f>IFERROR(
  _xlfn.XLOOKUP(AK30,'2) หลักการคำนวน Table'!$C$3:$K$3,'2) หลักการคำนวน Table'!$C$3:$K$3,,1),
  IF(AK30&lt;MIN('2) หลักการคำนวน Table'!$C$3:$K$3),
     MIN('2) หลักการคำนวน Table'!$C$3:$K$3),
     MAX('2) หลักการคำนวน Table'!$C$3:$K$3)
  )
)</f>
        <v>0.9</v>
      </c>
      <c r="AX30" s="298">
        <f>IFERROR(
  _xlfn.XLOOKUP(AL30,'2) หลักการคำนวน Table'!$C$3:$K$3,'2) หลักการคำนวน Table'!$C$3:$K$3,,1),
  IF(AL30&lt;MIN('2) หลักการคำนวน Table'!$C$3:$K$3),
     MIN('2) หลักการคำนวน Table'!$C$3:$K$3),
     MAX('2) หลักการคำนวน Table'!$C$3:$K$3)
  )
)</f>
        <v>0.9</v>
      </c>
      <c r="AY30" s="298">
        <f>IFERROR(
  _xlfn.XLOOKUP(AM30,'2) หลักการคำนวน Table'!$C$3:$K$3,'2) หลักการคำนวน Table'!$C$3:$K$3,,1),
  IF(AM30&lt;MIN('2) หลักการคำนวน Table'!$C$3:$K$3),
     MIN('2) หลักการคำนวน Table'!$C$3:$K$3),
     MAX('2) หลักการคำนวน Table'!$C$3:$K$3)
  )
)</f>
        <v>0.9</v>
      </c>
      <c r="AZ30" s="299" cm="1">
        <f t="array" ref="AZ30">ROUND((_xlfn.XLOOKUP($C30,'2) หลักการคำนวน Table'!$A$4:$A$36,
_xlfn.XLOOKUP(AN30,'2)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404</v>
      </c>
      <c r="BA30" s="299" cm="1">
        <f t="array" ref="BA30">ROUND((_xlfn.XLOOKUP($C30,'2) หลักการคำนวน Table'!$A$4:$A$36,
_xlfn.XLOOKUP(AO30,'2)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364</v>
      </c>
      <c r="BB30" s="299" cm="1">
        <f t="array" ref="BB30">ROUND((_xlfn.XLOOKUP($C30,'2) หลักการคำนวน Table'!$A$4:$A$36,
_xlfn.XLOOKUP(AP30,'2)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364</v>
      </c>
      <c r="BC30" s="299" cm="1">
        <f t="array" ref="BC30">ROUND((_xlfn.XLOOKUP($C30,'2) หลักการคำนวน Table'!$A$4:$A$36,
_xlfn.XLOOKUP(AQ30,'2)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364</v>
      </c>
      <c r="BD30" s="299" cm="1">
        <f t="array" ref="BD30">ROUND((_xlfn.XLOOKUP($C30,'2) หลักการคำนวน Table'!$A$4:$A$36,
_xlfn.XLOOKUP(AR30,'2)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364</v>
      </c>
      <c r="BE30" s="299" cm="1">
        <f t="array" ref="BE30">ROUND((_xlfn.XLOOKUP($C30,'2) หลักการคำนวน Table'!$A$4:$A$36,
_xlfn.XLOOKUP(AS30,'2)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364</v>
      </c>
      <c r="BF30" s="299" cm="1">
        <f t="array" ref="BF30">ROUND((_xlfn.XLOOKUP($C30,'2) หลักการคำนวน Table'!$A$4:$A$36,
_xlfn.XLOOKUP(AT30,'2)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364</v>
      </c>
      <c r="BG30" s="299" cm="1">
        <f t="array" ref="BG30">ROUND((_xlfn.XLOOKUP($C30,'2) หลักการคำนวน Table'!$A$4:$A$36,
_xlfn.XLOOKUP(AU30,'2)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364</v>
      </c>
      <c r="BH30" s="299" cm="1">
        <f t="array" ref="BH30">ROUND((_xlfn.XLOOKUP($C30,'2) หลักการคำนวน Table'!$A$4:$A$36,
_xlfn.XLOOKUP(AV30,'2)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364</v>
      </c>
      <c r="BI30" s="299" cm="1">
        <f t="array" ref="BI30">ROUND((_xlfn.XLOOKUP($C30,'2) หลักการคำนวน Table'!$A$4:$A$36,
_xlfn.XLOOKUP(AW30,'2)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364</v>
      </c>
      <c r="BJ30" s="299" cm="1">
        <f t="array" ref="BJ30">ROUND((_xlfn.XLOOKUP($C30,'2) หลักการคำนวน Table'!$A$4:$A$36,
_xlfn.XLOOKUP(AX30,'2)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364</v>
      </c>
      <c r="BK30" s="299" cm="1">
        <f t="array" ref="BK30">ROUND((_xlfn.XLOOKUP($C30,'2) หลักการคำนวน Table'!$A$4:$A$36,
_xlfn.XLOOKUP(AY30,'2)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364</v>
      </c>
      <c r="BM30" s="295">
        <v>222210</v>
      </c>
      <c r="BN30" s="300">
        <v>404</v>
      </c>
    </row>
    <row r="31" spans="1:66" ht="14.7" customHeight="1" x14ac:dyDescent="0.25">
      <c r="A31" s="126">
        <f>VLOOKUP(C31,ASTBase!E:S,13,FALSE)</f>
        <v>222208</v>
      </c>
      <c r="B31" s="126" t="s">
        <v>411</v>
      </c>
      <c r="C31" s="126">
        <v>5490000706</v>
      </c>
      <c r="D31" s="127">
        <v>138.39999999999998</v>
      </c>
      <c r="E31" s="127">
        <v>38</v>
      </c>
      <c r="F31" s="127">
        <v>75.400000000000006</v>
      </c>
      <c r="G31" s="127">
        <v>70</v>
      </c>
      <c r="H31" s="127">
        <v>86</v>
      </c>
      <c r="I31" s="127">
        <v>72.8</v>
      </c>
      <c r="J31" s="127">
        <v>110</v>
      </c>
      <c r="K31" s="127">
        <v>135.4</v>
      </c>
      <c r="L31" s="127">
        <v>135.4</v>
      </c>
      <c r="M31" s="127">
        <v>155.4</v>
      </c>
      <c r="N31" s="127">
        <v>122.8</v>
      </c>
      <c r="O31" s="127">
        <v>148</v>
      </c>
      <c r="P31" s="126">
        <v>37.799999999999997</v>
      </c>
      <c r="AB31" s="297">
        <f>IFERROR(IF(VLOOKUP($B31,Shortage!$A:$M,AB$2,FALSE)="Shortage",1,IFERROR(ROUND(P31/D31,4),0)),IFERROR(ROUND(P31/D31,4),0))</f>
        <v>0.27310000000000001</v>
      </c>
      <c r="AC31" s="297">
        <f>IFERROR(IF(VLOOKUP($B31,Shortage!$A:$M,AC$2,FALSE)="Shortage",1,IFERROR(ROUND(Q31/E31,4),0)),IFERROR(ROUND(Q31/E31,4),0))</f>
        <v>0</v>
      </c>
      <c r="AD31" s="297">
        <f>IFERROR(IF(VLOOKUP($B31,Shortage!$A:$M,AD$2,FALSE)="Shortage",1,IFERROR(ROUND(R31/F31,4),0)),IFERROR(ROUND(R31/F31,4),0))</f>
        <v>0</v>
      </c>
      <c r="AE31" s="297">
        <f>IFERROR(IF(VLOOKUP($B31,Shortage!$A:$M,AE$2,FALSE)="Shortage",1,IFERROR(ROUND(S31/G31,4),0)),IFERROR(ROUND(S31/G31,4),0))</f>
        <v>0</v>
      </c>
      <c r="AF31" s="297">
        <f>IFERROR(IF(VLOOKUP($B31,Shortage!$A:$M,AF$2,FALSE)="Shortage",1,IFERROR(ROUND(T31/H31,4),0)),IFERROR(ROUND(T31/H31,4),0))</f>
        <v>0</v>
      </c>
      <c r="AG31" s="297">
        <f>IFERROR(IF(VLOOKUP($B31,Shortage!$A:$M,AG$2,FALSE)="Shortage",1,IFERROR(ROUND(U31/I31,4),0)),IFERROR(ROUND(U31/I31,4),0))</f>
        <v>0</v>
      </c>
      <c r="AH31" s="297">
        <f>IFERROR(IF(VLOOKUP($B31,Shortage!$A:$M,AH$2,FALSE)="Shortage",1,IFERROR(ROUND(V31/J31,4),0)),IFERROR(ROUND(V31/J31,4),0))</f>
        <v>0</v>
      </c>
      <c r="AI31" s="297">
        <f>IFERROR(IF(VLOOKUP($B31,Shortage!$A:$M,AI$2,FALSE)="Shortage",1,IFERROR(ROUND(W31/K31,4),0)),IFERROR(ROUND(W31/K31,4),0))</f>
        <v>0</v>
      </c>
      <c r="AJ31" s="297">
        <f>IFERROR(IF(VLOOKUP($B31,Shortage!$A:$M,AJ$2,FALSE)="Shortage",1,IFERROR(ROUND(X31/L31,4),0)),IFERROR(ROUND(X31/L31,4),0))</f>
        <v>0</v>
      </c>
      <c r="AK31" s="297">
        <f>IFERROR(IF(VLOOKUP($B31,Shortage!$A:$M,AK$2,FALSE)="Shortage",1,IFERROR(ROUND(Y31/M31,4),0)),IFERROR(ROUND(Y31/M31,4),0))</f>
        <v>0</v>
      </c>
      <c r="AL31" s="297">
        <f>IFERROR(IF(VLOOKUP($B31,Shortage!$A:$M,AL$2,FALSE)="Shortage",1,IFERROR(ROUND(Z31/N31,4),0)),IFERROR(ROUND(Z31/N31,4),0))</f>
        <v>0</v>
      </c>
      <c r="AM31" s="297">
        <f>IFERROR(IF(VLOOKUP($B31,Shortage!$A:$M,AM$2,FALSE)="Shortage",1,IFERROR(ROUND(AA31/O31,4),0)),IFERROR(ROUND(AA31/O31,4),0))</f>
        <v>0</v>
      </c>
      <c r="AN31" s="298">
        <f>IFERROR(_xlfn.XLOOKUP(AB31,'2) หลักการคำนวน Table'!$C$3:$K$3,'2) หลักการคำนวน Table'!$C$3:$K$3,,1),INDEX('2) หลักการคำนวน Table'!$C$3:$K$3,1))</f>
        <v>0.9</v>
      </c>
      <c r="AO31" s="298">
        <f>IFERROR(
  _xlfn.XLOOKUP(AC31,'2) หลักการคำนวน Table'!$C$3:$K$3,'2) หลักการคำนวน Table'!$C$3:$K$3,,1),
  IF(AC31&lt;MIN('2) หลักการคำนวน Table'!$C$3:$K$3),
     MIN('2) หลักการคำนวน Table'!$C$3:$K$3),
     MAX('2) หลักการคำนวน Table'!$C$3:$K$3)
  )
)</f>
        <v>0.9</v>
      </c>
      <c r="AP31" s="298">
        <f>IFERROR(
  _xlfn.XLOOKUP(AD31,'2) หลักการคำนวน Table'!$C$3:$K$3,'2) หลักการคำนวน Table'!$C$3:$K$3,,1),
  IF(AD31&lt;MIN('2) หลักการคำนวน Table'!$C$3:$K$3),
     MIN('2) หลักการคำนวน Table'!$C$3:$K$3),
     MAX('2) หลักการคำนวน Table'!$C$3:$K$3)
  )
)</f>
        <v>0.9</v>
      </c>
      <c r="AQ31" s="298">
        <f>IFERROR(
  _xlfn.XLOOKUP(AE31,'2) หลักการคำนวน Table'!$C$3:$K$3,'2) หลักการคำนวน Table'!$C$3:$K$3,,1),
  IF(AE31&lt;MIN('2) หลักการคำนวน Table'!$C$3:$K$3),
     MIN('2) หลักการคำนวน Table'!$C$3:$K$3),
     MAX('2) หลักการคำนวน Table'!$C$3:$K$3)
  )
)</f>
        <v>0.9</v>
      </c>
      <c r="AR31" s="298">
        <f>IFERROR(
  _xlfn.XLOOKUP(AF31,'2) หลักการคำนวน Table'!$C$3:$K$3,'2) หลักการคำนวน Table'!$C$3:$K$3,,1),
  IF(AF31&lt;MIN('2) หลักการคำนวน Table'!$C$3:$K$3),
     MIN('2) หลักการคำนวน Table'!$C$3:$K$3),
     MAX('2) หลักการคำนวน Table'!$C$3:$K$3)
  )
)</f>
        <v>0.9</v>
      </c>
      <c r="AS31" s="298">
        <f>IFERROR(
  _xlfn.XLOOKUP(AG31,'2) หลักการคำนวน Table'!$C$3:$K$3,'2) หลักการคำนวน Table'!$C$3:$K$3,,1),
  IF(AG31&lt;MIN('2) หลักการคำนวน Table'!$C$3:$K$3),
     MIN('2) หลักการคำนวน Table'!$C$3:$K$3),
     MAX('2) หลักการคำนวน Table'!$C$3:$K$3)
  )
)</f>
        <v>0.9</v>
      </c>
      <c r="AT31" s="298">
        <f>IFERROR(
  _xlfn.XLOOKUP(AH31,'2) หลักการคำนวน Table'!$C$3:$K$3,'2) หลักการคำนวน Table'!$C$3:$K$3,,1),
  IF(AH31&lt;MIN('2) หลักการคำนวน Table'!$C$3:$K$3),
     MIN('2) หลักการคำนวน Table'!$C$3:$K$3),
     MAX('2) หลักการคำนวน Table'!$C$3:$K$3)
  )
)</f>
        <v>0.9</v>
      </c>
      <c r="AU31" s="298">
        <f>IFERROR(
  _xlfn.XLOOKUP(AI31,'2) หลักการคำนวน Table'!$C$3:$K$3,'2) หลักการคำนวน Table'!$C$3:$K$3,,1),
  IF(AI31&lt;MIN('2) หลักการคำนวน Table'!$C$3:$K$3),
     MIN('2) หลักการคำนวน Table'!$C$3:$K$3),
     MAX('2) หลักการคำนวน Table'!$C$3:$K$3)
  )
)</f>
        <v>0.9</v>
      </c>
      <c r="AV31" s="298">
        <f>IFERROR(
  _xlfn.XLOOKUP(AJ31,'2) หลักการคำนวน Table'!$C$3:$K$3,'2) หลักการคำนวน Table'!$C$3:$K$3,,1),
  IF(AJ31&lt;MIN('2) หลักการคำนวน Table'!$C$3:$K$3),
     MIN('2) หลักการคำนวน Table'!$C$3:$K$3),
     MAX('2) หลักการคำนวน Table'!$C$3:$K$3)
  )
)</f>
        <v>0.9</v>
      </c>
      <c r="AW31" s="298">
        <f>IFERROR(
  _xlfn.XLOOKUP(AK31,'2) หลักการคำนวน Table'!$C$3:$K$3,'2) หลักการคำนวน Table'!$C$3:$K$3,,1),
  IF(AK31&lt;MIN('2) หลักการคำนวน Table'!$C$3:$K$3),
     MIN('2) หลักการคำนวน Table'!$C$3:$K$3),
     MAX('2) หลักการคำนวน Table'!$C$3:$K$3)
  )
)</f>
        <v>0.9</v>
      </c>
      <c r="AX31" s="298">
        <f>IFERROR(
  _xlfn.XLOOKUP(AL31,'2) หลักการคำนวน Table'!$C$3:$K$3,'2) หลักการคำนวน Table'!$C$3:$K$3,,1),
  IF(AL31&lt;MIN('2) หลักการคำนวน Table'!$C$3:$K$3),
     MIN('2) หลักการคำนวน Table'!$C$3:$K$3),
     MAX('2) หลักการคำนวน Table'!$C$3:$K$3)
  )
)</f>
        <v>0.9</v>
      </c>
      <c r="AY31" s="298">
        <f>IFERROR(
  _xlfn.XLOOKUP(AM31,'2) หลักการคำนวน Table'!$C$3:$K$3,'2) หลักการคำนวน Table'!$C$3:$K$3,,1),
  IF(AM31&lt;MIN('2) หลักการคำนวน Table'!$C$3:$K$3),
     MIN('2) หลักการคำนวน Table'!$C$3:$K$3),
     MAX('2) หลักการคำนวน Table'!$C$3:$K$3)
  )
)</f>
        <v>0.9</v>
      </c>
      <c r="AZ31" s="299" cm="1">
        <f t="array" ref="AZ31">ROUND((_xlfn.XLOOKUP($C31,'2) หลักการคำนวน Table'!$A$4:$A$36,
_xlfn.XLOOKUP(AN31,'2)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A31" s="299" cm="1">
        <f t="array" ref="BA31">ROUND((_xlfn.XLOOKUP($C31,'2) หลักการคำนวน Table'!$A$4:$A$36,
_xlfn.XLOOKUP(AO31,'2)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B31" s="299" cm="1">
        <f t="array" ref="BB31">ROUND((_xlfn.XLOOKUP($C31,'2) หลักการคำนวน Table'!$A$4:$A$36,
_xlfn.XLOOKUP(AP31,'2)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C31" s="299" cm="1">
        <f t="array" ref="BC31">ROUND((_xlfn.XLOOKUP($C31,'2) หลักการคำนวน Table'!$A$4:$A$36,
_xlfn.XLOOKUP(AQ31,'2)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D31" s="299" cm="1">
        <f t="array" ref="BD31">ROUND((_xlfn.XLOOKUP($C31,'2) หลักการคำนวน Table'!$A$4:$A$36,
_xlfn.XLOOKUP(AR31,'2)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E31" s="299" cm="1">
        <f t="array" ref="BE31">ROUND((_xlfn.XLOOKUP($C31,'2) หลักการคำนวน Table'!$A$4:$A$36,
_xlfn.XLOOKUP(AS31,'2)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F31" s="299" cm="1">
        <f t="array" ref="BF31">ROUND((_xlfn.XLOOKUP($C31,'2) หลักการคำนวน Table'!$A$4:$A$36,
_xlfn.XLOOKUP(AT31,'2)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G31" s="299" cm="1">
        <f t="array" ref="BG31">ROUND((_xlfn.XLOOKUP($C31,'2) หลักการคำนวน Table'!$A$4:$A$36,
_xlfn.XLOOKUP(AU31,'2)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H31" s="299" cm="1">
        <f t="array" ref="BH31">ROUND((_xlfn.XLOOKUP($C31,'2) หลักการคำนวน Table'!$A$4:$A$36,
_xlfn.XLOOKUP(AV31,'2)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I31" s="299" cm="1">
        <f t="array" ref="BI31">ROUND((_xlfn.XLOOKUP($C31,'2) หลักการคำนวน Table'!$A$4:$A$36,
_xlfn.XLOOKUP(AW31,'2)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J31" s="299" cm="1">
        <f t="array" ref="BJ31">ROUND((_xlfn.XLOOKUP($C31,'2) หลักการคำนวน Table'!$A$4:$A$36,
_xlfn.XLOOKUP(AX31,'2)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K31" s="299" cm="1">
        <f t="array" ref="BK31">ROUND((_xlfn.XLOOKUP($C31,'2) หลักการคำนวน Table'!$A$4:$A$36,
_xlfn.XLOOKUP(AY31,'2)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364</v>
      </c>
      <c r="BM31" s="295">
        <v>222210</v>
      </c>
      <c r="BN31" s="300">
        <v>364</v>
      </c>
    </row>
    <row r="32" spans="1:66" ht="14.7" customHeight="1" x14ac:dyDescent="0.25">
      <c r="A32" s="126">
        <f>VLOOKUP(C32,ASTBase!E:S,13,FALSE)</f>
        <v>222208</v>
      </c>
      <c r="B32" s="126" t="s">
        <v>419</v>
      </c>
      <c r="C32" s="126">
        <v>5490000706</v>
      </c>
      <c r="D32" s="127">
        <v>31</v>
      </c>
      <c r="E32" s="127">
        <v>64</v>
      </c>
      <c r="F32" s="127">
        <v>22</v>
      </c>
      <c r="G32" s="127">
        <v>33</v>
      </c>
      <c r="H32" s="127">
        <v>61</v>
      </c>
      <c r="I32" s="127">
        <v>21</v>
      </c>
      <c r="J32" s="127">
        <v>22</v>
      </c>
      <c r="K32" s="127">
        <v>59</v>
      </c>
      <c r="L32" s="127">
        <v>20</v>
      </c>
      <c r="M32" s="127">
        <v>24</v>
      </c>
      <c r="N32" s="127">
        <v>30</v>
      </c>
      <c r="O32" s="127">
        <v>56</v>
      </c>
      <c r="P32" s="126">
        <v>26</v>
      </c>
      <c r="AB32" s="297">
        <f>IFERROR(IF(VLOOKUP($B32,Shortage!$A:$M,AB$2,FALSE)="Shortage",1,IFERROR(ROUND(P32/D32,4),0)),IFERROR(ROUND(P32/D32,4),0))</f>
        <v>0.8387</v>
      </c>
      <c r="AC32" s="297">
        <f>IFERROR(IF(VLOOKUP($B32,Shortage!$A:$M,AC$2,FALSE)="Shortage",1,IFERROR(ROUND(Q32/E32,4),0)),IFERROR(ROUND(Q32/E32,4),0))</f>
        <v>0</v>
      </c>
      <c r="AD32" s="297">
        <f>IFERROR(IF(VLOOKUP($B32,Shortage!$A:$M,AD$2,FALSE)="Shortage",1,IFERROR(ROUND(R32/F32,4),0)),IFERROR(ROUND(R32/F32,4),0))</f>
        <v>0</v>
      </c>
      <c r="AE32" s="297">
        <f>IFERROR(IF(VLOOKUP($B32,Shortage!$A:$M,AE$2,FALSE)="Shortage",1,IFERROR(ROUND(S32/G32,4),0)),IFERROR(ROUND(S32/G32,4),0))</f>
        <v>0</v>
      </c>
      <c r="AF32" s="297">
        <f>IFERROR(IF(VLOOKUP($B32,Shortage!$A:$M,AF$2,FALSE)="Shortage",1,IFERROR(ROUND(T32/H32,4),0)),IFERROR(ROUND(T32/H32,4),0))</f>
        <v>0</v>
      </c>
      <c r="AG32" s="297">
        <f>IFERROR(IF(VLOOKUP($B32,Shortage!$A:$M,AG$2,FALSE)="Shortage",1,IFERROR(ROUND(U32/I32,4),0)),IFERROR(ROUND(U32/I32,4),0))</f>
        <v>0</v>
      </c>
      <c r="AH32" s="297">
        <f>IFERROR(IF(VLOOKUP($B32,Shortage!$A:$M,AH$2,FALSE)="Shortage",1,IFERROR(ROUND(V32/J32,4),0)),IFERROR(ROUND(V32/J32,4),0))</f>
        <v>0</v>
      </c>
      <c r="AI32" s="297">
        <f>IFERROR(IF(VLOOKUP($B32,Shortage!$A:$M,AI$2,FALSE)="Shortage",1,IFERROR(ROUND(W32/K32,4),0)),IFERROR(ROUND(W32/K32,4),0))</f>
        <v>0</v>
      </c>
      <c r="AJ32" s="297">
        <f>IFERROR(IF(VLOOKUP($B32,Shortage!$A:$M,AJ$2,FALSE)="Shortage",1,IFERROR(ROUND(X32/L32,4),0)),IFERROR(ROUND(X32/L32,4),0))</f>
        <v>0</v>
      </c>
      <c r="AK32" s="297">
        <f>IFERROR(IF(VLOOKUP($B32,Shortage!$A:$M,AK$2,FALSE)="Shortage",1,IFERROR(ROUND(Y32/M32,4),0)),IFERROR(ROUND(Y32/M32,4),0))</f>
        <v>0</v>
      </c>
      <c r="AL32" s="297">
        <f>IFERROR(IF(VLOOKUP($B32,Shortage!$A:$M,AL$2,FALSE)="Shortage",1,IFERROR(ROUND(Z32/N32,4),0)),IFERROR(ROUND(Z32/N32,4),0))</f>
        <v>0</v>
      </c>
      <c r="AM32" s="297">
        <f>IFERROR(IF(VLOOKUP($B32,Shortage!$A:$M,AM$2,FALSE)="Shortage",1,IFERROR(ROUND(AA32/O32,4),0)),IFERROR(ROUND(AA32/O32,4),0))</f>
        <v>0</v>
      </c>
      <c r="AN32" s="298">
        <f>IFERROR(_xlfn.XLOOKUP(AB32,'2) หลักการคำนวน Table'!$C$3:$K$3,'2) หลักการคำนวน Table'!$C$3:$K$3,,1),INDEX('2) หลักการคำนวน Table'!$C$3:$K$3,1))</f>
        <v>0.9</v>
      </c>
      <c r="AO32" s="298">
        <f>IFERROR(
  _xlfn.XLOOKUP(AC32,'2) หลักการคำนวน Table'!$C$3:$K$3,'2) หลักการคำนวน Table'!$C$3:$K$3,,1),
  IF(AC32&lt;MIN('2) หลักการคำนวน Table'!$C$3:$K$3),
     MIN('2) หลักการคำนวน Table'!$C$3:$K$3),
     MAX('2) หลักการคำนวน Table'!$C$3:$K$3)
  )
)</f>
        <v>0.9</v>
      </c>
      <c r="AP32" s="298">
        <f>IFERROR(
  _xlfn.XLOOKUP(AD32,'2) หลักการคำนวน Table'!$C$3:$K$3,'2) หลักการคำนวน Table'!$C$3:$K$3,,1),
  IF(AD32&lt;MIN('2) หลักการคำนวน Table'!$C$3:$K$3),
     MIN('2) หลักการคำนวน Table'!$C$3:$K$3),
     MAX('2) หลักการคำนวน Table'!$C$3:$K$3)
  )
)</f>
        <v>0.9</v>
      </c>
      <c r="AQ32" s="298">
        <f>IFERROR(
  _xlfn.XLOOKUP(AE32,'2) หลักการคำนวน Table'!$C$3:$K$3,'2) หลักการคำนวน Table'!$C$3:$K$3,,1),
  IF(AE32&lt;MIN('2) หลักการคำนวน Table'!$C$3:$K$3),
     MIN('2) หลักการคำนวน Table'!$C$3:$K$3),
     MAX('2) หลักการคำนวน Table'!$C$3:$K$3)
  )
)</f>
        <v>0.9</v>
      </c>
      <c r="AR32" s="298">
        <f>IFERROR(
  _xlfn.XLOOKUP(AF32,'2) หลักการคำนวน Table'!$C$3:$K$3,'2) หลักการคำนวน Table'!$C$3:$K$3,,1),
  IF(AF32&lt;MIN('2) หลักการคำนวน Table'!$C$3:$K$3),
     MIN('2) หลักการคำนวน Table'!$C$3:$K$3),
     MAX('2) หลักการคำนวน Table'!$C$3:$K$3)
  )
)</f>
        <v>0.9</v>
      </c>
      <c r="AS32" s="298">
        <f>IFERROR(
  _xlfn.XLOOKUP(AG32,'2) หลักการคำนวน Table'!$C$3:$K$3,'2) หลักการคำนวน Table'!$C$3:$K$3,,1),
  IF(AG32&lt;MIN('2) หลักการคำนวน Table'!$C$3:$K$3),
     MIN('2) หลักการคำนวน Table'!$C$3:$K$3),
     MAX('2) หลักการคำนวน Table'!$C$3:$K$3)
  )
)</f>
        <v>0.9</v>
      </c>
      <c r="AT32" s="298">
        <f>IFERROR(
  _xlfn.XLOOKUP(AH32,'2) หลักการคำนวน Table'!$C$3:$K$3,'2) หลักการคำนวน Table'!$C$3:$K$3,,1),
  IF(AH32&lt;MIN('2) หลักการคำนวน Table'!$C$3:$K$3),
     MIN('2) หลักการคำนวน Table'!$C$3:$K$3),
     MAX('2) หลักการคำนวน Table'!$C$3:$K$3)
  )
)</f>
        <v>0.9</v>
      </c>
      <c r="AU32" s="298">
        <f>IFERROR(
  _xlfn.XLOOKUP(AI32,'2) หลักการคำนวน Table'!$C$3:$K$3,'2) หลักการคำนวน Table'!$C$3:$K$3,,1),
  IF(AI32&lt;MIN('2) หลักการคำนวน Table'!$C$3:$K$3),
     MIN('2) หลักการคำนวน Table'!$C$3:$K$3),
     MAX('2) หลักการคำนวน Table'!$C$3:$K$3)
  )
)</f>
        <v>0.9</v>
      </c>
      <c r="AV32" s="298">
        <f>IFERROR(
  _xlfn.XLOOKUP(AJ32,'2) หลักการคำนวน Table'!$C$3:$K$3,'2) หลักการคำนวน Table'!$C$3:$K$3,,1),
  IF(AJ32&lt;MIN('2) หลักการคำนวน Table'!$C$3:$K$3),
     MIN('2) หลักการคำนวน Table'!$C$3:$K$3),
     MAX('2) หลักการคำนวน Table'!$C$3:$K$3)
  )
)</f>
        <v>0.9</v>
      </c>
      <c r="AW32" s="298">
        <f>IFERROR(
  _xlfn.XLOOKUP(AK32,'2) หลักการคำนวน Table'!$C$3:$K$3,'2) หลักการคำนวน Table'!$C$3:$K$3,,1),
  IF(AK32&lt;MIN('2) หลักการคำนวน Table'!$C$3:$K$3),
     MIN('2) หลักการคำนวน Table'!$C$3:$K$3),
     MAX('2) หลักการคำนวน Table'!$C$3:$K$3)
  )
)</f>
        <v>0.9</v>
      </c>
      <c r="AX32" s="298">
        <f>IFERROR(
  _xlfn.XLOOKUP(AL32,'2) หลักการคำนวน Table'!$C$3:$K$3,'2) หลักการคำนวน Table'!$C$3:$K$3,,1),
  IF(AL32&lt;MIN('2) หลักการคำนวน Table'!$C$3:$K$3),
     MIN('2) หลักการคำนวน Table'!$C$3:$K$3),
     MAX('2) หลักการคำนวน Table'!$C$3:$K$3)
  )
)</f>
        <v>0.9</v>
      </c>
      <c r="AY32" s="298">
        <f>IFERROR(
  _xlfn.XLOOKUP(AM32,'2) หลักการคำนวน Table'!$C$3:$K$3,'2) หลักการคำนวน Table'!$C$3:$K$3,,1),
  IF(AM32&lt;MIN('2) หลักการคำนวน Table'!$C$3:$K$3),
     MIN('2) หลักการคำนวน Table'!$C$3:$K$3),
     MAX('2) หลักการคำนวน Table'!$C$3:$K$3)
  )
)</f>
        <v>0.9</v>
      </c>
      <c r="AZ32" s="299" cm="1">
        <f t="array" ref="AZ32">ROUND((_xlfn.XLOOKUP($C32,'2) หลักการคำนวน Table'!$A$4:$A$36,
_xlfn.XLOOKUP(AN32,'2)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A32" s="299" cm="1">
        <f t="array" ref="BA32">ROUND((_xlfn.XLOOKUP($C32,'2) หลักการคำนวน Table'!$A$4:$A$36,
_xlfn.XLOOKUP(AO32,'2)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B32" s="299" cm="1">
        <f t="array" ref="BB32">ROUND((_xlfn.XLOOKUP($C32,'2) หลักการคำนวน Table'!$A$4:$A$36,
_xlfn.XLOOKUP(AP32,'2)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C32" s="299" cm="1">
        <f t="array" ref="BC32">ROUND((_xlfn.XLOOKUP($C32,'2) หลักการคำนวน Table'!$A$4:$A$36,
_xlfn.XLOOKUP(AQ32,'2)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D32" s="299" cm="1">
        <f t="array" ref="BD32">ROUND((_xlfn.XLOOKUP($C32,'2) หลักการคำนวน Table'!$A$4:$A$36,
_xlfn.XLOOKUP(AR32,'2)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E32" s="299" cm="1">
        <f t="array" ref="BE32">ROUND((_xlfn.XLOOKUP($C32,'2) หลักการคำนวน Table'!$A$4:$A$36,
_xlfn.XLOOKUP(AS32,'2)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F32" s="299" cm="1">
        <f t="array" ref="BF32">ROUND((_xlfn.XLOOKUP($C32,'2) หลักการคำนวน Table'!$A$4:$A$36,
_xlfn.XLOOKUP(AT32,'2)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G32" s="299" cm="1">
        <f t="array" ref="BG32">ROUND((_xlfn.XLOOKUP($C32,'2) หลักการคำนวน Table'!$A$4:$A$36,
_xlfn.XLOOKUP(AU32,'2)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H32" s="299" cm="1">
        <f t="array" ref="BH32">ROUND((_xlfn.XLOOKUP($C32,'2) หลักการคำนวน Table'!$A$4:$A$36,
_xlfn.XLOOKUP(AV32,'2)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I32" s="299" cm="1">
        <f t="array" ref="BI32">ROUND((_xlfn.XLOOKUP($C32,'2) หลักการคำนวน Table'!$A$4:$A$36,
_xlfn.XLOOKUP(AW32,'2)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J32" s="299" cm="1">
        <f t="array" ref="BJ32">ROUND((_xlfn.XLOOKUP($C32,'2) หลักการคำนวน Table'!$A$4:$A$36,
_xlfn.XLOOKUP(AX32,'2)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K32" s="299" cm="1">
        <f t="array" ref="BK32">ROUND((_xlfn.XLOOKUP($C32,'2) หลักการคำนวน Table'!$A$4:$A$36,
_xlfn.XLOOKUP(AY32,'2)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36</v>
      </c>
      <c r="BM32" s="295">
        <v>222210</v>
      </c>
      <c r="BN32" s="300">
        <v>36</v>
      </c>
    </row>
    <row r="33" spans="1:66" ht="14.7" customHeight="1" x14ac:dyDescent="0.25">
      <c r="A33" s="126" t="e">
        <f>VLOOKUP(C33,ASTBase!E:S,13,FALSE)</f>
        <v>#N/A</v>
      </c>
      <c r="B33" s="126" t="s">
        <v>405</v>
      </c>
      <c r="C33" s="126">
        <v>5490000707</v>
      </c>
      <c r="D33" s="127">
        <v>133806.79999999999</v>
      </c>
      <c r="E33" s="127">
        <v>78183</v>
      </c>
      <c r="F33" s="127">
        <v>61205.600000000006</v>
      </c>
      <c r="G33" s="127">
        <v>82320</v>
      </c>
      <c r="H33" s="127">
        <v>112805.4</v>
      </c>
      <c r="I33" s="127">
        <v>84391.999999999985</v>
      </c>
      <c r="J33" s="127">
        <v>102297.59999999999</v>
      </c>
      <c r="K33" s="127">
        <v>147476.24</v>
      </c>
      <c r="L33" s="127">
        <v>109189.59999999999</v>
      </c>
      <c r="M33" s="127">
        <v>79863.999999999985</v>
      </c>
      <c r="N33" s="127">
        <v>79992.399999999994</v>
      </c>
      <c r="O33" s="127">
        <v>108467.59999999999</v>
      </c>
      <c r="P33" s="127">
        <v>93306</v>
      </c>
      <c r="AB33" s="297">
        <f>IFERROR(IF(VLOOKUP($B33,Shortage!$A:$M,AB$2,FALSE)="Shortage",1,IFERROR(ROUND(P33/D33,4),0)),IFERROR(ROUND(P33/D33,4),0))</f>
        <v>1</v>
      </c>
      <c r="AC33" s="297">
        <f>IFERROR(IF(VLOOKUP($B33,Shortage!$A:$M,AC$2,FALSE)="Shortage",1,IFERROR(ROUND(Q33/E33,4),0)),IFERROR(ROUND(Q33/E33,4),0))</f>
        <v>0</v>
      </c>
      <c r="AD33" s="297">
        <f>IFERROR(IF(VLOOKUP($B33,Shortage!$A:$M,AD$2,FALSE)="Shortage",1,IFERROR(ROUND(R33/F33,4),0)),IFERROR(ROUND(R33/F33,4),0))</f>
        <v>0</v>
      </c>
      <c r="AE33" s="297">
        <f>IFERROR(IF(VLOOKUP($B33,Shortage!$A:$M,AE$2,FALSE)="Shortage",1,IFERROR(ROUND(S33/G33,4),0)),IFERROR(ROUND(S33/G33,4),0))</f>
        <v>0</v>
      </c>
      <c r="AF33" s="297">
        <f>IFERROR(IF(VLOOKUP($B33,Shortage!$A:$M,AF$2,FALSE)="Shortage",1,IFERROR(ROUND(T33/H33,4),0)),IFERROR(ROUND(T33/H33,4),0))</f>
        <v>0</v>
      </c>
      <c r="AG33" s="297">
        <f>IFERROR(IF(VLOOKUP($B33,Shortage!$A:$M,AG$2,FALSE)="Shortage",1,IFERROR(ROUND(U33/I33,4),0)),IFERROR(ROUND(U33/I33,4),0))</f>
        <v>0</v>
      </c>
      <c r="AH33" s="297">
        <f>IFERROR(IF(VLOOKUP($B33,Shortage!$A:$M,AH$2,FALSE)="Shortage",1,IFERROR(ROUND(V33/J33,4),0)),IFERROR(ROUND(V33/J33,4),0))</f>
        <v>0</v>
      </c>
      <c r="AI33" s="297">
        <f>IFERROR(IF(VLOOKUP($B33,Shortage!$A:$M,AI$2,FALSE)="Shortage",1,IFERROR(ROUND(W33/K33,4),0)),IFERROR(ROUND(W33/K33,4),0))</f>
        <v>0</v>
      </c>
      <c r="AJ33" s="297">
        <f>IFERROR(IF(VLOOKUP($B33,Shortage!$A:$M,AJ$2,FALSE)="Shortage",1,IFERROR(ROUND(X33/L33,4),0)),IFERROR(ROUND(X33/L33,4),0))</f>
        <v>0</v>
      </c>
      <c r="AK33" s="297">
        <f>IFERROR(IF(VLOOKUP($B33,Shortage!$A:$M,AK$2,FALSE)="Shortage",1,IFERROR(ROUND(Y33/M33,4),0)),IFERROR(ROUND(Y33/M33,4),0))</f>
        <v>0</v>
      </c>
      <c r="AL33" s="297">
        <f>IFERROR(IF(VLOOKUP($B33,Shortage!$A:$M,AL$2,FALSE)="Shortage",1,IFERROR(ROUND(Z33/N33,4),0)),IFERROR(ROUND(Z33/N33,4),0))</f>
        <v>0</v>
      </c>
      <c r="AM33" s="297">
        <f>IFERROR(IF(VLOOKUP($B33,Shortage!$A:$M,AM$2,FALSE)="Shortage",1,IFERROR(ROUND(AA33/O33,4),0)),IFERROR(ROUND(AA33/O33,4),0))</f>
        <v>0</v>
      </c>
      <c r="AN33" s="298">
        <f>IFERROR(_xlfn.XLOOKUP(AB33,'2) หลักการคำนวน Table'!$C$3:$K$3,'2) หลักการคำนวน Table'!$C$3:$K$3,,1),INDEX('2) หลักการคำนวน Table'!$C$3:$K$3,1))</f>
        <v>1</v>
      </c>
      <c r="AO33" s="298">
        <f>IFERROR(
  _xlfn.XLOOKUP(AC33,'2) หลักการคำนวน Table'!$C$3:$K$3,'2) หลักการคำนวน Table'!$C$3:$K$3,,1),
  IF(AC33&lt;MIN('2) หลักการคำนวน Table'!$C$3:$K$3),
     MIN('2) หลักการคำนวน Table'!$C$3:$K$3),
     MAX('2) หลักการคำนวน Table'!$C$3:$K$3)
  )
)</f>
        <v>0.9</v>
      </c>
      <c r="AP33" s="298">
        <f>IFERROR(
  _xlfn.XLOOKUP(AD33,'2) หลักการคำนวน Table'!$C$3:$K$3,'2) หลักการคำนวน Table'!$C$3:$K$3,,1),
  IF(AD33&lt;MIN('2) หลักการคำนวน Table'!$C$3:$K$3),
     MIN('2) หลักการคำนวน Table'!$C$3:$K$3),
     MAX('2) หลักการคำนวน Table'!$C$3:$K$3)
  )
)</f>
        <v>0.9</v>
      </c>
      <c r="AQ33" s="298">
        <f>IFERROR(
  _xlfn.XLOOKUP(AE33,'2) หลักการคำนวน Table'!$C$3:$K$3,'2) หลักการคำนวน Table'!$C$3:$K$3,,1),
  IF(AE33&lt;MIN('2) หลักการคำนวน Table'!$C$3:$K$3),
     MIN('2) หลักการคำนวน Table'!$C$3:$K$3),
     MAX('2) หลักการคำนวน Table'!$C$3:$K$3)
  )
)</f>
        <v>0.9</v>
      </c>
      <c r="AR33" s="298">
        <f>IFERROR(
  _xlfn.XLOOKUP(AF33,'2) หลักการคำนวน Table'!$C$3:$K$3,'2) หลักการคำนวน Table'!$C$3:$K$3,,1),
  IF(AF33&lt;MIN('2) หลักการคำนวน Table'!$C$3:$K$3),
     MIN('2) หลักการคำนวน Table'!$C$3:$K$3),
     MAX('2) หลักการคำนวน Table'!$C$3:$K$3)
  )
)</f>
        <v>0.9</v>
      </c>
      <c r="AS33" s="298">
        <f>IFERROR(
  _xlfn.XLOOKUP(AG33,'2) หลักการคำนวน Table'!$C$3:$K$3,'2) หลักการคำนวน Table'!$C$3:$K$3,,1),
  IF(AG33&lt;MIN('2) หลักการคำนวน Table'!$C$3:$K$3),
     MIN('2) หลักการคำนวน Table'!$C$3:$K$3),
     MAX('2) หลักการคำนวน Table'!$C$3:$K$3)
  )
)</f>
        <v>0.9</v>
      </c>
      <c r="AT33" s="298">
        <f>IFERROR(
  _xlfn.XLOOKUP(AH33,'2) หลักการคำนวน Table'!$C$3:$K$3,'2) หลักการคำนวน Table'!$C$3:$K$3,,1),
  IF(AH33&lt;MIN('2) หลักการคำนวน Table'!$C$3:$K$3),
     MIN('2) หลักการคำนวน Table'!$C$3:$K$3),
     MAX('2) หลักการคำนวน Table'!$C$3:$K$3)
  )
)</f>
        <v>0.9</v>
      </c>
      <c r="AU33" s="298">
        <f>IFERROR(
  _xlfn.XLOOKUP(AI33,'2) หลักการคำนวน Table'!$C$3:$K$3,'2) หลักการคำนวน Table'!$C$3:$K$3,,1),
  IF(AI33&lt;MIN('2) หลักการคำนวน Table'!$C$3:$K$3),
     MIN('2) หลักการคำนวน Table'!$C$3:$K$3),
     MAX('2) หลักการคำนวน Table'!$C$3:$K$3)
  )
)</f>
        <v>0.9</v>
      </c>
      <c r="AV33" s="298">
        <f>IFERROR(
  _xlfn.XLOOKUP(AJ33,'2) หลักการคำนวน Table'!$C$3:$K$3,'2) หลักการคำนวน Table'!$C$3:$K$3,,1),
  IF(AJ33&lt;MIN('2) หลักการคำนวน Table'!$C$3:$K$3),
     MIN('2) หลักการคำนวน Table'!$C$3:$K$3),
     MAX('2) หลักการคำนวน Table'!$C$3:$K$3)
  )
)</f>
        <v>0.9</v>
      </c>
      <c r="AW33" s="298">
        <f>IFERROR(
  _xlfn.XLOOKUP(AK33,'2) หลักการคำนวน Table'!$C$3:$K$3,'2) หลักการคำนวน Table'!$C$3:$K$3,,1),
  IF(AK33&lt;MIN('2) หลักการคำนวน Table'!$C$3:$K$3),
     MIN('2) หลักการคำนวน Table'!$C$3:$K$3),
     MAX('2) หลักการคำนวน Table'!$C$3:$K$3)
  )
)</f>
        <v>0.9</v>
      </c>
      <c r="AX33" s="298">
        <f>IFERROR(
  _xlfn.XLOOKUP(AL33,'2) หลักการคำนวน Table'!$C$3:$K$3,'2) หลักการคำนวน Table'!$C$3:$K$3,,1),
  IF(AL33&lt;MIN('2) หลักการคำนวน Table'!$C$3:$K$3),
     MIN('2) หลักการคำนวน Table'!$C$3:$K$3),
     MAX('2) หลักการคำนวน Table'!$C$3:$K$3)
  )
)</f>
        <v>0.9</v>
      </c>
      <c r="AY33" s="298">
        <f>IFERROR(
  _xlfn.XLOOKUP(AM33,'2) หลักการคำนวน Table'!$C$3:$K$3,'2) หลักการคำนวน Table'!$C$3:$K$3,,1),
  IF(AM33&lt;MIN('2) หลักการคำนวน Table'!$C$3:$K$3),
     MIN('2) หลักการคำนวน Table'!$C$3:$K$3),
     MAX('2) หลักการคำนวน Table'!$C$3:$K$3)
  )
)</f>
        <v>0.9</v>
      </c>
      <c r="AZ33" s="299" t="e" cm="1">
        <f t="array" ref="AZ33">ROUND((_xlfn.XLOOKUP($C33,'2) หลักการคำนวน Table'!$A$4:$A$36,
_xlfn.XLOOKUP(AN33,'2)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A33" s="299" t="e" cm="1">
        <f t="array" ref="BA33">ROUND((_xlfn.XLOOKUP($C33,'2) หลักการคำนวน Table'!$A$4:$A$36,
_xlfn.XLOOKUP(AO33,'2)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B33" s="299" t="e" cm="1">
        <f t="array" ref="BB33">ROUND((_xlfn.XLOOKUP($C33,'2) หลักการคำนวน Table'!$A$4:$A$36,
_xlfn.XLOOKUP(AP33,'2)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C33" s="299" t="e" cm="1">
        <f t="array" ref="BC33">ROUND((_xlfn.XLOOKUP($C33,'2) หลักการคำนวน Table'!$A$4:$A$36,
_xlfn.XLOOKUP(AQ33,'2)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D33" s="299" t="e" cm="1">
        <f t="array" ref="BD33">ROUND((_xlfn.XLOOKUP($C33,'2) หลักการคำนวน Table'!$A$4:$A$36,
_xlfn.XLOOKUP(AR33,'2)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E33" s="299" t="e" cm="1">
        <f t="array" ref="BE33">ROUND((_xlfn.XLOOKUP($C33,'2) หลักการคำนวน Table'!$A$4:$A$36,
_xlfn.XLOOKUP(AS33,'2)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F33" s="299" t="e" cm="1">
        <f t="array" ref="BF33">ROUND((_xlfn.XLOOKUP($C33,'2) หลักการคำนวน Table'!$A$4:$A$36,
_xlfn.XLOOKUP(AT33,'2)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G33" s="299" t="e" cm="1">
        <f t="array" ref="BG33">ROUND((_xlfn.XLOOKUP($C33,'2) หลักการคำนวน Table'!$A$4:$A$36,
_xlfn.XLOOKUP(AU33,'2)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H33" s="299" t="e" cm="1">
        <f t="array" ref="BH33">ROUND((_xlfn.XLOOKUP($C33,'2) หลักการคำนวน Table'!$A$4:$A$36,
_xlfn.XLOOKUP(AV33,'2)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I33" s="299" t="e" cm="1">
        <f t="array" ref="BI33">ROUND((_xlfn.XLOOKUP($C33,'2) หลักการคำนวน Table'!$A$4:$A$36,
_xlfn.XLOOKUP(AW33,'2)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J33" s="299" t="e" cm="1">
        <f t="array" ref="BJ33">ROUND((_xlfn.XLOOKUP($C33,'2) หลักการคำนวน Table'!$A$4:$A$36,
_xlfn.XLOOKUP(AX33,'2)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K33" s="299" t="e" cm="1">
        <f t="array" ref="BK33">ROUND((_xlfn.XLOOKUP($C33,'2) หลักการคำนวน Table'!$A$4:$A$36,
_xlfn.XLOOKUP(AY33,'2)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M33" s="295">
        <v>222211</v>
      </c>
      <c r="BN33" s="300">
        <v>174</v>
      </c>
    </row>
    <row r="34" spans="1:66" ht="14.7" customHeight="1" x14ac:dyDescent="0.25">
      <c r="A34" s="126" t="e">
        <f>VLOOKUP(C34,ASTBase!E:S,13,FALSE)</f>
        <v>#N/A</v>
      </c>
      <c r="B34" s="126" t="s">
        <v>408</v>
      </c>
      <c r="C34" s="126">
        <v>5490000707</v>
      </c>
      <c r="D34" s="127">
        <v>10552.975999999999</v>
      </c>
      <c r="E34" s="127">
        <v>8800</v>
      </c>
      <c r="F34" s="127">
        <v>5037.84</v>
      </c>
      <c r="G34" s="127">
        <v>8800</v>
      </c>
      <c r="H34" s="127">
        <v>8110.9223999999986</v>
      </c>
      <c r="I34" s="127">
        <v>8000</v>
      </c>
      <c r="J34" s="127">
        <v>9600</v>
      </c>
      <c r="K34" s="127">
        <v>17443.736000000001</v>
      </c>
      <c r="L34" s="127">
        <v>9600</v>
      </c>
      <c r="M34" s="127">
        <v>4701.9839999999995</v>
      </c>
      <c r="N34" s="127">
        <v>4000</v>
      </c>
      <c r="O34" s="127">
        <v>7052.9760000000006</v>
      </c>
      <c r="P34" s="127">
        <v>15825.6</v>
      </c>
      <c r="AB34" s="297">
        <f>IFERROR(IF(VLOOKUP($B34,Shortage!$A:$M,AB$2,FALSE)="Shortage",1,IFERROR(ROUND(P34/D34,4),0)),IFERROR(ROUND(P34/D34,4),0))</f>
        <v>1.4996</v>
      </c>
      <c r="AC34" s="297">
        <f>IFERROR(IF(VLOOKUP($B34,Shortage!$A:$M,AC$2,FALSE)="Shortage",1,IFERROR(ROUND(Q34/E34,4),0)),IFERROR(ROUND(Q34/E34,4),0))</f>
        <v>0</v>
      </c>
      <c r="AD34" s="297">
        <f>IFERROR(IF(VLOOKUP($B34,Shortage!$A:$M,AD$2,FALSE)="Shortage",1,IFERROR(ROUND(R34/F34,4),0)),IFERROR(ROUND(R34/F34,4),0))</f>
        <v>0</v>
      </c>
      <c r="AE34" s="297">
        <f>IFERROR(IF(VLOOKUP($B34,Shortage!$A:$M,AE$2,FALSE)="Shortage",1,IFERROR(ROUND(S34/G34,4),0)),IFERROR(ROUND(S34/G34,4),0))</f>
        <v>0</v>
      </c>
      <c r="AF34" s="297">
        <f>IFERROR(IF(VLOOKUP($B34,Shortage!$A:$M,AF$2,FALSE)="Shortage",1,IFERROR(ROUND(T34/H34,4),0)),IFERROR(ROUND(T34/H34,4),0))</f>
        <v>0</v>
      </c>
      <c r="AG34" s="297">
        <f>IFERROR(IF(VLOOKUP($B34,Shortage!$A:$M,AG$2,FALSE)="Shortage",1,IFERROR(ROUND(U34/I34,4),0)),IFERROR(ROUND(U34/I34,4),0))</f>
        <v>0</v>
      </c>
      <c r="AH34" s="297">
        <f>IFERROR(IF(VLOOKUP($B34,Shortage!$A:$M,AH$2,FALSE)="Shortage",1,IFERROR(ROUND(V34/J34,4),0)),IFERROR(ROUND(V34/J34,4),0))</f>
        <v>0</v>
      </c>
      <c r="AI34" s="297">
        <f>IFERROR(IF(VLOOKUP($B34,Shortage!$A:$M,AI$2,FALSE)="Shortage",1,IFERROR(ROUND(W34/K34,4),0)),IFERROR(ROUND(W34/K34,4),0))</f>
        <v>0</v>
      </c>
      <c r="AJ34" s="297">
        <f>IFERROR(IF(VLOOKUP($B34,Shortage!$A:$M,AJ$2,FALSE)="Shortage",1,IFERROR(ROUND(X34/L34,4),0)),IFERROR(ROUND(X34/L34,4),0))</f>
        <v>0</v>
      </c>
      <c r="AK34" s="297">
        <f>IFERROR(IF(VLOOKUP($B34,Shortage!$A:$M,AK$2,FALSE)="Shortage",1,IFERROR(ROUND(Y34/M34,4),0)),IFERROR(ROUND(Y34/M34,4),0))</f>
        <v>0</v>
      </c>
      <c r="AL34" s="297">
        <f>IFERROR(IF(VLOOKUP($B34,Shortage!$A:$M,AL$2,FALSE)="Shortage",1,IFERROR(ROUND(Z34/N34,4),0)),IFERROR(ROUND(Z34/N34,4),0))</f>
        <v>0</v>
      </c>
      <c r="AM34" s="297">
        <f>IFERROR(IF(VLOOKUP($B34,Shortage!$A:$M,AM$2,FALSE)="Shortage",1,IFERROR(ROUND(AA34/O34,4),0)),IFERROR(ROUND(AA34/O34,4),0))</f>
        <v>0</v>
      </c>
      <c r="AN34" s="298">
        <f>IFERROR(_xlfn.XLOOKUP(AB34,'2) หลักการคำนวน Table'!$C$3:$K$3,'2) หลักการคำนวน Table'!$C$3:$K$3,,1),INDEX('2) หลักการคำนวน Table'!$C$3:$K$3,1))</f>
        <v>20</v>
      </c>
      <c r="AO34" s="298">
        <f>IFERROR(
  _xlfn.XLOOKUP(AC34,'2) หลักการคำนวน Table'!$C$3:$K$3,'2) หลักการคำนวน Table'!$C$3:$K$3,,1),
  IF(AC34&lt;MIN('2) หลักการคำนวน Table'!$C$3:$K$3),
     MIN('2) หลักการคำนวน Table'!$C$3:$K$3),
     MAX('2) หลักการคำนวน Table'!$C$3:$K$3)
  )
)</f>
        <v>0.9</v>
      </c>
      <c r="AP34" s="298">
        <f>IFERROR(
  _xlfn.XLOOKUP(AD34,'2) หลักการคำนวน Table'!$C$3:$K$3,'2) หลักการคำนวน Table'!$C$3:$K$3,,1),
  IF(AD34&lt;MIN('2) หลักการคำนวน Table'!$C$3:$K$3),
     MIN('2) หลักการคำนวน Table'!$C$3:$K$3),
     MAX('2) หลักการคำนวน Table'!$C$3:$K$3)
  )
)</f>
        <v>0.9</v>
      </c>
      <c r="AQ34" s="298">
        <f>IFERROR(
  _xlfn.XLOOKUP(AE34,'2) หลักการคำนวน Table'!$C$3:$K$3,'2) หลักการคำนวน Table'!$C$3:$K$3,,1),
  IF(AE34&lt;MIN('2) หลักการคำนวน Table'!$C$3:$K$3),
     MIN('2) หลักการคำนวน Table'!$C$3:$K$3),
     MAX('2) หลักการคำนวน Table'!$C$3:$K$3)
  )
)</f>
        <v>0.9</v>
      </c>
      <c r="AR34" s="298">
        <f>IFERROR(
  _xlfn.XLOOKUP(AF34,'2) หลักการคำนวน Table'!$C$3:$K$3,'2) หลักการคำนวน Table'!$C$3:$K$3,,1),
  IF(AF34&lt;MIN('2) หลักการคำนวน Table'!$C$3:$K$3),
     MIN('2) หลักการคำนวน Table'!$C$3:$K$3),
     MAX('2) หลักการคำนวน Table'!$C$3:$K$3)
  )
)</f>
        <v>0.9</v>
      </c>
      <c r="AS34" s="298">
        <f>IFERROR(
  _xlfn.XLOOKUP(AG34,'2) หลักการคำนวน Table'!$C$3:$K$3,'2) หลักการคำนวน Table'!$C$3:$K$3,,1),
  IF(AG34&lt;MIN('2) หลักการคำนวน Table'!$C$3:$K$3),
     MIN('2) หลักการคำนวน Table'!$C$3:$K$3),
     MAX('2) หลักการคำนวน Table'!$C$3:$K$3)
  )
)</f>
        <v>0.9</v>
      </c>
      <c r="AT34" s="298">
        <f>IFERROR(
  _xlfn.XLOOKUP(AH34,'2) หลักการคำนวน Table'!$C$3:$K$3,'2) หลักการคำนวน Table'!$C$3:$K$3,,1),
  IF(AH34&lt;MIN('2) หลักการคำนวน Table'!$C$3:$K$3),
     MIN('2) หลักการคำนวน Table'!$C$3:$K$3),
     MAX('2) หลักการคำนวน Table'!$C$3:$K$3)
  )
)</f>
        <v>0.9</v>
      </c>
      <c r="AU34" s="298">
        <f>IFERROR(
  _xlfn.XLOOKUP(AI34,'2) หลักการคำนวน Table'!$C$3:$K$3,'2) หลักการคำนวน Table'!$C$3:$K$3,,1),
  IF(AI34&lt;MIN('2) หลักการคำนวน Table'!$C$3:$K$3),
     MIN('2) หลักการคำนวน Table'!$C$3:$K$3),
     MAX('2) หลักการคำนวน Table'!$C$3:$K$3)
  )
)</f>
        <v>0.9</v>
      </c>
      <c r="AV34" s="298">
        <f>IFERROR(
  _xlfn.XLOOKUP(AJ34,'2) หลักการคำนวน Table'!$C$3:$K$3,'2) หลักการคำนวน Table'!$C$3:$K$3,,1),
  IF(AJ34&lt;MIN('2) หลักการคำนวน Table'!$C$3:$K$3),
     MIN('2) หลักการคำนวน Table'!$C$3:$K$3),
     MAX('2) หลักการคำนวน Table'!$C$3:$K$3)
  )
)</f>
        <v>0.9</v>
      </c>
      <c r="AW34" s="298">
        <f>IFERROR(
  _xlfn.XLOOKUP(AK34,'2) หลักการคำนวน Table'!$C$3:$K$3,'2) หลักการคำนวน Table'!$C$3:$K$3,,1),
  IF(AK34&lt;MIN('2) หลักการคำนวน Table'!$C$3:$K$3),
     MIN('2) หลักการคำนวน Table'!$C$3:$K$3),
     MAX('2) หลักการคำนวน Table'!$C$3:$K$3)
  )
)</f>
        <v>0.9</v>
      </c>
      <c r="AX34" s="298">
        <f>IFERROR(
  _xlfn.XLOOKUP(AL34,'2) หลักการคำนวน Table'!$C$3:$K$3,'2) หลักการคำนวน Table'!$C$3:$K$3,,1),
  IF(AL34&lt;MIN('2) หลักการคำนวน Table'!$C$3:$K$3),
     MIN('2) หลักการคำนวน Table'!$C$3:$K$3),
     MAX('2) หลักการคำนวน Table'!$C$3:$K$3)
  )
)</f>
        <v>0.9</v>
      </c>
      <c r="AY34" s="298">
        <f>IFERROR(
  _xlfn.XLOOKUP(AM34,'2) หลักการคำนวน Table'!$C$3:$K$3,'2) หลักการคำนวน Table'!$C$3:$K$3,,1),
  IF(AM34&lt;MIN('2) หลักการคำนวน Table'!$C$3:$K$3),
     MIN('2) หลักการคำนวน Table'!$C$3:$K$3),
     MAX('2) หลักการคำนวน Table'!$C$3:$K$3)
  )
)</f>
        <v>0.9</v>
      </c>
      <c r="AZ34" s="299" t="e" cm="1">
        <f t="array" ref="AZ34">ROUND((_xlfn.XLOOKUP($C34,'2) หลักการคำนวน Table'!$A$4:$A$36,
_xlfn.XLOOKUP(AN34,'2)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A34" s="299" t="e" cm="1">
        <f t="array" ref="BA34">ROUND((_xlfn.XLOOKUP($C34,'2) หลักการคำนวน Table'!$A$4:$A$36,
_xlfn.XLOOKUP(AO34,'2)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B34" s="299" t="e" cm="1">
        <f t="array" ref="BB34">ROUND((_xlfn.XLOOKUP($C34,'2) หลักการคำนวน Table'!$A$4:$A$36,
_xlfn.XLOOKUP(AP34,'2)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C34" s="299" t="e" cm="1">
        <f t="array" ref="BC34">ROUND((_xlfn.XLOOKUP($C34,'2) หลักการคำนวน Table'!$A$4:$A$36,
_xlfn.XLOOKUP(AQ34,'2)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D34" s="299" t="e" cm="1">
        <f t="array" ref="BD34">ROUND((_xlfn.XLOOKUP($C34,'2) หลักการคำนวน Table'!$A$4:$A$36,
_xlfn.XLOOKUP(AR34,'2)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E34" s="299" t="e" cm="1">
        <f t="array" ref="BE34">ROUND((_xlfn.XLOOKUP($C34,'2) หลักการคำนวน Table'!$A$4:$A$36,
_xlfn.XLOOKUP(AS34,'2)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F34" s="299" t="e" cm="1">
        <f t="array" ref="BF34">ROUND((_xlfn.XLOOKUP($C34,'2) หลักการคำนวน Table'!$A$4:$A$36,
_xlfn.XLOOKUP(AT34,'2)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G34" s="299" t="e" cm="1">
        <f t="array" ref="BG34">ROUND((_xlfn.XLOOKUP($C34,'2) หลักการคำนวน Table'!$A$4:$A$36,
_xlfn.XLOOKUP(AU34,'2)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H34" s="299" t="e" cm="1">
        <f t="array" ref="BH34">ROUND((_xlfn.XLOOKUP($C34,'2) หลักการคำนวน Table'!$A$4:$A$36,
_xlfn.XLOOKUP(AV34,'2)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I34" s="299" t="e" cm="1">
        <f t="array" ref="BI34">ROUND((_xlfn.XLOOKUP($C34,'2) หลักการคำนวน Table'!$A$4:$A$36,
_xlfn.XLOOKUP(AW34,'2)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J34" s="299" t="e" cm="1">
        <f t="array" ref="BJ34">ROUND((_xlfn.XLOOKUP($C34,'2) หลักการคำนวน Table'!$A$4:$A$36,
_xlfn.XLOOKUP(AX34,'2)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K34" s="299" t="e" cm="1">
        <f t="array" ref="BK34">ROUND((_xlfn.XLOOKUP($C34,'2) หลักการคำนวน Table'!$A$4:$A$36,
_xlfn.XLOOKUP(AY34,'2)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M34" s="295">
        <v>222211</v>
      </c>
      <c r="BN34" s="300">
        <v>378</v>
      </c>
    </row>
    <row r="35" spans="1:66" ht="14.7" customHeight="1" x14ac:dyDescent="0.25">
      <c r="A35" s="126" t="e">
        <f>VLOOKUP(C35,ASTBase!E:S,13,FALSE)</f>
        <v>#N/A</v>
      </c>
      <c r="B35" s="126" t="s">
        <v>416</v>
      </c>
      <c r="C35" s="126">
        <v>5490000707</v>
      </c>
      <c r="D35" s="127">
        <v>0</v>
      </c>
      <c r="E35" s="127">
        <v>0</v>
      </c>
      <c r="F35" s="127">
        <v>0</v>
      </c>
      <c r="G35" s="127">
        <v>46</v>
      </c>
      <c r="H35" s="127">
        <v>42</v>
      </c>
      <c r="I35" s="127">
        <v>46</v>
      </c>
      <c r="J35" s="127">
        <v>42</v>
      </c>
      <c r="K35" s="127">
        <v>46</v>
      </c>
      <c r="L35" s="127">
        <v>46</v>
      </c>
      <c r="M35" s="127">
        <v>42</v>
      </c>
      <c r="N35" s="127">
        <v>46</v>
      </c>
      <c r="O35" s="127">
        <v>44</v>
      </c>
      <c r="P35" s="127">
        <v>0</v>
      </c>
      <c r="AB35" s="297">
        <f>IFERROR(IF(VLOOKUP($B35,Shortage!$A:$M,AB$2,FALSE)="Shortage",1,IFERROR(ROUND(P35/D35,4),0)),IFERROR(ROUND(P35/D35,4),0))</f>
        <v>0</v>
      </c>
      <c r="AC35" s="297">
        <f>IFERROR(IF(VLOOKUP($B35,Shortage!$A:$M,AC$2,FALSE)="Shortage",1,IFERROR(ROUND(Q35/E35,4),0)),IFERROR(ROUND(Q35/E35,4),0))</f>
        <v>0</v>
      </c>
      <c r="AD35" s="297">
        <f>IFERROR(IF(VLOOKUP($B35,Shortage!$A:$M,AD$2,FALSE)="Shortage",1,IFERROR(ROUND(R35/F35,4),0)),IFERROR(ROUND(R35/F35,4),0))</f>
        <v>0</v>
      </c>
      <c r="AE35" s="297">
        <f>IFERROR(IF(VLOOKUP($B35,Shortage!$A:$M,AE$2,FALSE)="Shortage",1,IFERROR(ROUND(S35/G35,4),0)),IFERROR(ROUND(S35/G35,4),0))</f>
        <v>0</v>
      </c>
      <c r="AF35" s="297">
        <f>IFERROR(IF(VLOOKUP($B35,Shortage!$A:$M,AF$2,FALSE)="Shortage",1,IFERROR(ROUND(T35/H35,4),0)),IFERROR(ROUND(T35/H35,4),0))</f>
        <v>0</v>
      </c>
      <c r="AG35" s="297">
        <f>IFERROR(IF(VLOOKUP($B35,Shortage!$A:$M,AG$2,FALSE)="Shortage",1,IFERROR(ROUND(U35/I35,4),0)),IFERROR(ROUND(U35/I35,4),0))</f>
        <v>0</v>
      </c>
      <c r="AH35" s="297">
        <f>IFERROR(IF(VLOOKUP($B35,Shortage!$A:$M,AH$2,FALSE)="Shortage",1,IFERROR(ROUND(V35/J35,4),0)),IFERROR(ROUND(V35/J35,4),0))</f>
        <v>0</v>
      </c>
      <c r="AI35" s="297">
        <f>IFERROR(IF(VLOOKUP($B35,Shortage!$A:$M,AI$2,FALSE)="Shortage",1,IFERROR(ROUND(W35/K35,4),0)),IFERROR(ROUND(W35/K35,4),0))</f>
        <v>0</v>
      </c>
      <c r="AJ35" s="297">
        <f>IFERROR(IF(VLOOKUP($B35,Shortage!$A:$M,AJ$2,FALSE)="Shortage",1,IFERROR(ROUND(X35/L35,4),0)),IFERROR(ROUND(X35/L35,4),0))</f>
        <v>0</v>
      </c>
      <c r="AK35" s="297">
        <f>IFERROR(IF(VLOOKUP($B35,Shortage!$A:$M,AK$2,FALSE)="Shortage",1,IFERROR(ROUND(Y35/M35,4),0)),IFERROR(ROUND(Y35/M35,4),0))</f>
        <v>0</v>
      </c>
      <c r="AL35" s="297">
        <f>IFERROR(IF(VLOOKUP($B35,Shortage!$A:$M,AL$2,FALSE)="Shortage",1,IFERROR(ROUND(Z35/N35,4),0)),IFERROR(ROUND(Z35/N35,4),0))</f>
        <v>0</v>
      </c>
      <c r="AM35" s="297">
        <f>IFERROR(IF(VLOOKUP($B35,Shortage!$A:$M,AM$2,FALSE)="Shortage",1,IFERROR(ROUND(AA35/O35,4),0)),IFERROR(ROUND(AA35/O35,4),0))</f>
        <v>0</v>
      </c>
      <c r="AN35" s="298">
        <f>IFERROR(_xlfn.XLOOKUP(AB35,'2) หลักการคำนวน Table'!$C$3:$K$3,'2) หลักการคำนวน Table'!$C$3:$K$3,,1),INDEX('2) หลักการคำนวน Table'!$C$3:$K$3,1))</f>
        <v>0.9</v>
      </c>
      <c r="AO35" s="298">
        <f>IFERROR(
  _xlfn.XLOOKUP(AC35,'2) หลักการคำนวน Table'!$C$3:$K$3,'2) หลักการคำนวน Table'!$C$3:$K$3,,1),
  IF(AC35&lt;MIN('2) หลักการคำนวน Table'!$C$3:$K$3),
     MIN('2) หลักการคำนวน Table'!$C$3:$K$3),
     MAX('2) หลักการคำนวน Table'!$C$3:$K$3)
  )
)</f>
        <v>0.9</v>
      </c>
      <c r="AP35" s="298">
        <f>IFERROR(
  _xlfn.XLOOKUP(AD35,'2) หลักการคำนวน Table'!$C$3:$K$3,'2) หลักการคำนวน Table'!$C$3:$K$3,,1),
  IF(AD35&lt;MIN('2) หลักการคำนวน Table'!$C$3:$K$3),
     MIN('2) หลักการคำนวน Table'!$C$3:$K$3),
     MAX('2) หลักการคำนวน Table'!$C$3:$K$3)
  )
)</f>
        <v>0.9</v>
      </c>
      <c r="AQ35" s="298">
        <f>IFERROR(
  _xlfn.XLOOKUP(AE35,'2) หลักการคำนวน Table'!$C$3:$K$3,'2) หลักการคำนวน Table'!$C$3:$K$3,,1),
  IF(AE35&lt;MIN('2) หลักการคำนวน Table'!$C$3:$K$3),
     MIN('2) หลักการคำนวน Table'!$C$3:$K$3),
     MAX('2) หลักการคำนวน Table'!$C$3:$K$3)
  )
)</f>
        <v>0.9</v>
      </c>
      <c r="AR35" s="298">
        <f>IFERROR(
  _xlfn.XLOOKUP(AF35,'2) หลักการคำนวน Table'!$C$3:$K$3,'2) หลักการคำนวน Table'!$C$3:$K$3,,1),
  IF(AF35&lt;MIN('2) หลักการคำนวน Table'!$C$3:$K$3),
     MIN('2) หลักการคำนวน Table'!$C$3:$K$3),
     MAX('2) หลักการคำนวน Table'!$C$3:$K$3)
  )
)</f>
        <v>0.9</v>
      </c>
      <c r="AS35" s="298">
        <f>IFERROR(
  _xlfn.XLOOKUP(AG35,'2) หลักการคำนวน Table'!$C$3:$K$3,'2) หลักการคำนวน Table'!$C$3:$K$3,,1),
  IF(AG35&lt;MIN('2) หลักการคำนวน Table'!$C$3:$K$3),
     MIN('2) หลักการคำนวน Table'!$C$3:$K$3),
     MAX('2) หลักการคำนวน Table'!$C$3:$K$3)
  )
)</f>
        <v>0.9</v>
      </c>
      <c r="AT35" s="298">
        <f>IFERROR(
  _xlfn.XLOOKUP(AH35,'2) หลักการคำนวน Table'!$C$3:$K$3,'2) หลักการคำนวน Table'!$C$3:$K$3,,1),
  IF(AH35&lt;MIN('2) หลักการคำนวน Table'!$C$3:$K$3),
     MIN('2) หลักการคำนวน Table'!$C$3:$K$3),
     MAX('2) หลักการคำนวน Table'!$C$3:$K$3)
  )
)</f>
        <v>0.9</v>
      </c>
      <c r="AU35" s="298">
        <f>IFERROR(
  _xlfn.XLOOKUP(AI35,'2) หลักการคำนวน Table'!$C$3:$K$3,'2) หลักการคำนวน Table'!$C$3:$K$3,,1),
  IF(AI35&lt;MIN('2) หลักการคำนวน Table'!$C$3:$K$3),
     MIN('2) หลักการคำนวน Table'!$C$3:$K$3),
     MAX('2) หลักการคำนวน Table'!$C$3:$K$3)
  )
)</f>
        <v>0.9</v>
      </c>
      <c r="AV35" s="298">
        <f>IFERROR(
  _xlfn.XLOOKUP(AJ35,'2) หลักการคำนวน Table'!$C$3:$K$3,'2) หลักการคำนวน Table'!$C$3:$K$3,,1),
  IF(AJ35&lt;MIN('2) หลักการคำนวน Table'!$C$3:$K$3),
     MIN('2) หลักการคำนวน Table'!$C$3:$K$3),
     MAX('2) หลักการคำนวน Table'!$C$3:$K$3)
  )
)</f>
        <v>0.9</v>
      </c>
      <c r="AW35" s="298">
        <f>IFERROR(
  _xlfn.XLOOKUP(AK35,'2) หลักการคำนวน Table'!$C$3:$K$3,'2) หลักการคำนวน Table'!$C$3:$K$3,,1),
  IF(AK35&lt;MIN('2) หลักการคำนวน Table'!$C$3:$K$3),
     MIN('2) หลักการคำนวน Table'!$C$3:$K$3),
     MAX('2) หลักการคำนวน Table'!$C$3:$K$3)
  )
)</f>
        <v>0.9</v>
      </c>
      <c r="AX35" s="298">
        <f>IFERROR(
  _xlfn.XLOOKUP(AL35,'2) หลักการคำนวน Table'!$C$3:$K$3,'2) หลักการคำนวน Table'!$C$3:$K$3,,1),
  IF(AL35&lt;MIN('2) หลักการคำนวน Table'!$C$3:$K$3),
     MIN('2) หลักการคำนวน Table'!$C$3:$K$3),
     MAX('2) หลักการคำนวน Table'!$C$3:$K$3)
  )
)</f>
        <v>0.9</v>
      </c>
      <c r="AY35" s="298">
        <f>IFERROR(
  _xlfn.XLOOKUP(AM35,'2) หลักการคำนวน Table'!$C$3:$K$3,'2) หลักการคำนวน Table'!$C$3:$K$3,,1),
  IF(AM35&lt;MIN('2) หลักการคำนวน Table'!$C$3:$K$3),
     MIN('2) หลักการคำนวน Table'!$C$3:$K$3),
     MAX('2) หลักการคำนวน Table'!$C$3:$K$3)
  )
)</f>
        <v>0.9</v>
      </c>
      <c r="AZ35" s="299" t="e" cm="1">
        <f t="array" ref="AZ35">ROUND((_xlfn.XLOOKUP($C35,'2) หลักการคำนวน Table'!$A$4:$A$36,
_xlfn.XLOOKUP(AN35,'2)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A35" s="299" t="e" cm="1">
        <f t="array" ref="BA35">ROUND((_xlfn.XLOOKUP($C35,'2) หลักการคำนวน Table'!$A$4:$A$36,
_xlfn.XLOOKUP(AO35,'2)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B35" s="299" t="e" cm="1">
        <f t="array" ref="BB35">ROUND((_xlfn.XLOOKUP($C35,'2) หลักการคำนวน Table'!$A$4:$A$36,
_xlfn.XLOOKUP(AP35,'2)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C35" s="299" t="e" cm="1">
        <f t="array" ref="BC35">ROUND((_xlfn.XLOOKUP($C35,'2) หลักการคำนวน Table'!$A$4:$A$36,
_xlfn.XLOOKUP(AQ35,'2)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D35" s="299" t="e" cm="1">
        <f t="array" ref="BD35">ROUND((_xlfn.XLOOKUP($C35,'2) หลักการคำนวน Table'!$A$4:$A$36,
_xlfn.XLOOKUP(AR35,'2)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E35" s="299" t="e" cm="1">
        <f t="array" ref="BE35">ROUND((_xlfn.XLOOKUP($C35,'2) หลักการคำนวน Table'!$A$4:$A$36,
_xlfn.XLOOKUP(AS35,'2)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F35" s="299" t="e" cm="1">
        <f t="array" ref="BF35">ROUND((_xlfn.XLOOKUP($C35,'2) หลักการคำนวน Table'!$A$4:$A$36,
_xlfn.XLOOKUP(AT35,'2)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G35" s="299" t="e" cm="1">
        <f t="array" ref="BG35">ROUND((_xlfn.XLOOKUP($C35,'2) หลักการคำนวน Table'!$A$4:$A$36,
_xlfn.XLOOKUP(AU35,'2)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H35" s="299" t="e" cm="1">
        <f t="array" ref="BH35">ROUND((_xlfn.XLOOKUP($C35,'2) หลักการคำนวน Table'!$A$4:$A$36,
_xlfn.XLOOKUP(AV35,'2)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I35" s="299" t="e" cm="1">
        <f t="array" ref="BI35">ROUND((_xlfn.XLOOKUP($C35,'2) หลักการคำนวน Table'!$A$4:$A$36,
_xlfn.XLOOKUP(AW35,'2)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J35" s="299" t="e" cm="1">
        <f t="array" ref="BJ35">ROUND((_xlfn.XLOOKUP($C35,'2) หลักการคำนวน Table'!$A$4:$A$36,
_xlfn.XLOOKUP(AX35,'2)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K35" s="299" t="e" cm="1">
        <f t="array" ref="BK35">ROUND((_xlfn.XLOOKUP($C35,'2) หลักการคำนวน Table'!$A$4:$A$36,
_xlfn.XLOOKUP(AY35,'2)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M35" s="295">
        <v>222211</v>
      </c>
      <c r="BN35" s="300">
        <v>0</v>
      </c>
    </row>
    <row r="36" spans="1:66" ht="14.7" customHeight="1" x14ac:dyDescent="0.25">
      <c r="A36" s="126" t="e">
        <f>VLOOKUP(C36,ASTBase!E:S,13,FALSE)</f>
        <v>#N/A</v>
      </c>
      <c r="B36" s="126" t="s">
        <v>407</v>
      </c>
      <c r="C36" s="126">
        <v>5490000707</v>
      </c>
      <c r="D36" s="127">
        <v>1620</v>
      </c>
      <c r="E36" s="127">
        <v>1254.0000000000002</v>
      </c>
      <c r="F36" s="127">
        <v>1620</v>
      </c>
      <c r="G36" s="127">
        <v>1150</v>
      </c>
      <c r="H36" s="127">
        <v>1284.0000000000002</v>
      </c>
      <c r="I36" s="127">
        <v>1650</v>
      </c>
      <c r="J36" s="127">
        <v>1398</v>
      </c>
      <c r="K36" s="127">
        <v>2083.5</v>
      </c>
      <c r="L36" s="127">
        <v>840</v>
      </c>
      <c r="M36" s="127">
        <v>880</v>
      </c>
      <c r="N36" s="127">
        <v>680</v>
      </c>
      <c r="O36" s="127">
        <v>1840</v>
      </c>
      <c r="P36" s="127">
        <v>2119.9999999788001</v>
      </c>
      <c r="AB36" s="297">
        <f>IFERROR(IF(VLOOKUP($B36,Shortage!$A:$M,AB$2,FALSE)="Shortage",1,IFERROR(ROUND(P36/D36,4),0)),IFERROR(ROUND(P36/D36,4),0))</f>
        <v>1.3086</v>
      </c>
      <c r="AC36" s="297">
        <f>IFERROR(IF(VLOOKUP($B36,Shortage!$A:$M,AC$2,FALSE)="Shortage",1,IFERROR(ROUND(Q36/E36,4),0)),IFERROR(ROUND(Q36/E36,4),0))</f>
        <v>0</v>
      </c>
      <c r="AD36" s="297">
        <f>IFERROR(IF(VLOOKUP($B36,Shortage!$A:$M,AD$2,FALSE)="Shortage",1,IFERROR(ROUND(R36/F36,4),0)),IFERROR(ROUND(R36/F36,4),0))</f>
        <v>0</v>
      </c>
      <c r="AE36" s="297">
        <f>IFERROR(IF(VLOOKUP($B36,Shortage!$A:$M,AE$2,FALSE)="Shortage",1,IFERROR(ROUND(S36/G36,4),0)),IFERROR(ROUND(S36/G36,4),0))</f>
        <v>0</v>
      </c>
      <c r="AF36" s="297">
        <f>IFERROR(IF(VLOOKUP($B36,Shortage!$A:$M,AF$2,FALSE)="Shortage",1,IFERROR(ROUND(T36/H36,4),0)),IFERROR(ROUND(T36/H36,4),0))</f>
        <v>0</v>
      </c>
      <c r="AG36" s="297">
        <f>IFERROR(IF(VLOOKUP($B36,Shortage!$A:$M,AG$2,FALSE)="Shortage",1,IFERROR(ROUND(U36/I36,4),0)),IFERROR(ROUND(U36/I36,4),0))</f>
        <v>0</v>
      </c>
      <c r="AH36" s="297">
        <f>IFERROR(IF(VLOOKUP($B36,Shortage!$A:$M,AH$2,FALSE)="Shortage",1,IFERROR(ROUND(V36/J36,4),0)),IFERROR(ROUND(V36/J36,4),0))</f>
        <v>0</v>
      </c>
      <c r="AI36" s="297">
        <f>IFERROR(IF(VLOOKUP($B36,Shortage!$A:$M,AI$2,FALSE)="Shortage",1,IFERROR(ROUND(W36/K36,4),0)),IFERROR(ROUND(W36/K36,4),0))</f>
        <v>0</v>
      </c>
      <c r="AJ36" s="297">
        <f>IFERROR(IF(VLOOKUP($B36,Shortage!$A:$M,AJ$2,FALSE)="Shortage",1,IFERROR(ROUND(X36/L36,4),0)),IFERROR(ROUND(X36/L36,4),0))</f>
        <v>0</v>
      </c>
      <c r="AK36" s="297">
        <f>IFERROR(IF(VLOOKUP($B36,Shortage!$A:$M,AK$2,FALSE)="Shortage",1,IFERROR(ROUND(Y36/M36,4),0)),IFERROR(ROUND(Y36/M36,4),0))</f>
        <v>0</v>
      </c>
      <c r="AL36" s="297">
        <f>IFERROR(IF(VLOOKUP($B36,Shortage!$A:$M,AL$2,FALSE)="Shortage",1,IFERROR(ROUND(Z36/N36,4),0)),IFERROR(ROUND(Z36/N36,4),0))</f>
        <v>0</v>
      </c>
      <c r="AM36" s="297">
        <f>IFERROR(IF(VLOOKUP($B36,Shortage!$A:$M,AM$2,FALSE)="Shortage",1,IFERROR(ROUND(AA36/O36,4),0)),IFERROR(ROUND(AA36/O36,4),0))</f>
        <v>0</v>
      </c>
      <c r="AN36" s="298">
        <f>IFERROR(_xlfn.XLOOKUP(AB36,'2) หลักการคำนวน Table'!$C$3:$K$3,'2) หลักการคำนวน Table'!$C$3:$K$3,,1),INDEX('2) หลักการคำนวน Table'!$C$3:$K$3,1))</f>
        <v>20</v>
      </c>
      <c r="AO36" s="298">
        <f>IFERROR(
  _xlfn.XLOOKUP(AC36,'2) หลักการคำนวน Table'!$C$3:$K$3,'2) หลักการคำนวน Table'!$C$3:$K$3,,1),
  IF(AC36&lt;MIN('2) หลักการคำนวน Table'!$C$3:$K$3),
     MIN('2) หลักการคำนวน Table'!$C$3:$K$3),
     MAX('2) หลักการคำนวน Table'!$C$3:$K$3)
  )
)</f>
        <v>0.9</v>
      </c>
      <c r="AP36" s="298">
        <f>IFERROR(
  _xlfn.XLOOKUP(AD36,'2) หลักการคำนวน Table'!$C$3:$K$3,'2) หลักการคำนวน Table'!$C$3:$K$3,,1),
  IF(AD36&lt;MIN('2) หลักการคำนวน Table'!$C$3:$K$3),
     MIN('2) หลักการคำนวน Table'!$C$3:$K$3),
     MAX('2) หลักการคำนวน Table'!$C$3:$K$3)
  )
)</f>
        <v>0.9</v>
      </c>
      <c r="AQ36" s="298">
        <f>IFERROR(
  _xlfn.XLOOKUP(AE36,'2) หลักการคำนวน Table'!$C$3:$K$3,'2) หลักการคำนวน Table'!$C$3:$K$3,,1),
  IF(AE36&lt;MIN('2) หลักการคำนวน Table'!$C$3:$K$3),
     MIN('2) หลักการคำนวน Table'!$C$3:$K$3),
     MAX('2) หลักการคำนวน Table'!$C$3:$K$3)
  )
)</f>
        <v>0.9</v>
      </c>
      <c r="AR36" s="298">
        <f>IFERROR(
  _xlfn.XLOOKUP(AF36,'2) หลักการคำนวน Table'!$C$3:$K$3,'2) หลักการคำนวน Table'!$C$3:$K$3,,1),
  IF(AF36&lt;MIN('2) หลักการคำนวน Table'!$C$3:$K$3),
     MIN('2) หลักการคำนวน Table'!$C$3:$K$3),
     MAX('2) หลักการคำนวน Table'!$C$3:$K$3)
  )
)</f>
        <v>0.9</v>
      </c>
      <c r="AS36" s="298">
        <f>IFERROR(
  _xlfn.XLOOKUP(AG36,'2) หลักการคำนวน Table'!$C$3:$K$3,'2) หลักการคำนวน Table'!$C$3:$K$3,,1),
  IF(AG36&lt;MIN('2) หลักการคำนวน Table'!$C$3:$K$3),
     MIN('2) หลักการคำนวน Table'!$C$3:$K$3),
     MAX('2) หลักการคำนวน Table'!$C$3:$K$3)
  )
)</f>
        <v>0.9</v>
      </c>
      <c r="AT36" s="298">
        <f>IFERROR(
  _xlfn.XLOOKUP(AH36,'2) หลักการคำนวน Table'!$C$3:$K$3,'2) หลักการคำนวน Table'!$C$3:$K$3,,1),
  IF(AH36&lt;MIN('2) หลักการคำนวน Table'!$C$3:$K$3),
     MIN('2) หลักการคำนวน Table'!$C$3:$K$3),
     MAX('2) หลักการคำนวน Table'!$C$3:$K$3)
  )
)</f>
        <v>0.9</v>
      </c>
      <c r="AU36" s="298">
        <f>IFERROR(
  _xlfn.XLOOKUP(AI36,'2) หลักการคำนวน Table'!$C$3:$K$3,'2) หลักการคำนวน Table'!$C$3:$K$3,,1),
  IF(AI36&lt;MIN('2) หลักการคำนวน Table'!$C$3:$K$3),
     MIN('2) หลักการคำนวน Table'!$C$3:$K$3),
     MAX('2) หลักการคำนวน Table'!$C$3:$K$3)
  )
)</f>
        <v>0.9</v>
      </c>
      <c r="AV36" s="298">
        <f>IFERROR(
  _xlfn.XLOOKUP(AJ36,'2) หลักการคำนวน Table'!$C$3:$K$3,'2) หลักการคำนวน Table'!$C$3:$K$3,,1),
  IF(AJ36&lt;MIN('2) หลักการคำนวน Table'!$C$3:$K$3),
     MIN('2) หลักการคำนวน Table'!$C$3:$K$3),
     MAX('2) หลักการคำนวน Table'!$C$3:$K$3)
  )
)</f>
        <v>0.9</v>
      </c>
      <c r="AW36" s="298">
        <f>IFERROR(
  _xlfn.XLOOKUP(AK36,'2) หลักการคำนวน Table'!$C$3:$K$3,'2) หลักการคำนวน Table'!$C$3:$K$3,,1),
  IF(AK36&lt;MIN('2) หลักการคำนวน Table'!$C$3:$K$3),
     MIN('2) หลักการคำนวน Table'!$C$3:$K$3),
     MAX('2) หลักการคำนวน Table'!$C$3:$K$3)
  )
)</f>
        <v>0.9</v>
      </c>
      <c r="AX36" s="298">
        <f>IFERROR(
  _xlfn.XLOOKUP(AL36,'2) หลักการคำนวน Table'!$C$3:$K$3,'2) หลักการคำนวน Table'!$C$3:$K$3,,1),
  IF(AL36&lt;MIN('2) หลักการคำนวน Table'!$C$3:$K$3),
     MIN('2) หลักการคำนวน Table'!$C$3:$K$3),
     MAX('2) หลักการคำนวน Table'!$C$3:$K$3)
  )
)</f>
        <v>0.9</v>
      </c>
      <c r="AY36" s="298">
        <f>IFERROR(
  _xlfn.XLOOKUP(AM36,'2) หลักการคำนวน Table'!$C$3:$K$3,'2) หลักการคำนวน Table'!$C$3:$K$3,,1),
  IF(AM36&lt;MIN('2) หลักการคำนวน Table'!$C$3:$K$3),
     MIN('2) หลักการคำนวน Table'!$C$3:$K$3),
     MAX('2) หลักการคำนวน Table'!$C$3:$K$3)
  )
)</f>
        <v>0.9</v>
      </c>
      <c r="AZ36" s="299" t="e" cm="1">
        <f t="array" ref="AZ36">ROUND((_xlfn.XLOOKUP($C36,'2) หลักการคำนวน Table'!$A$4:$A$36,
_xlfn.XLOOKUP(AN36,'2)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A36" s="299" t="e" cm="1">
        <f t="array" ref="BA36">ROUND((_xlfn.XLOOKUP($C36,'2) หลักการคำนวน Table'!$A$4:$A$36,
_xlfn.XLOOKUP(AO36,'2)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B36" s="299" t="e" cm="1">
        <f t="array" ref="BB36">ROUND((_xlfn.XLOOKUP($C36,'2) หลักการคำนวน Table'!$A$4:$A$36,
_xlfn.XLOOKUP(AP36,'2)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C36" s="299" t="e" cm="1">
        <f t="array" ref="BC36">ROUND((_xlfn.XLOOKUP($C36,'2) หลักการคำนวน Table'!$A$4:$A$36,
_xlfn.XLOOKUP(AQ36,'2)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D36" s="299" t="e" cm="1">
        <f t="array" ref="BD36">ROUND((_xlfn.XLOOKUP($C36,'2) หลักการคำนวน Table'!$A$4:$A$36,
_xlfn.XLOOKUP(AR36,'2)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E36" s="299" t="e" cm="1">
        <f t="array" ref="BE36">ROUND((_xlfn.XLOOKUP($C36,'2) หลักการคำนวน Table'!$A$4:$A$36,
_xlfn.XLOOKUP(AS36,'2)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F36" s="299" t="e" cm="1">
        <f t="array" ref="BF36">ROUND((_xlfn.XLOOKUP($C36,'2) หลักการคำนวน Table'!$A$4:$A$36,
_xlfn.XLOOKUP(AT36,'2)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G36" s="299" t="e" cm="1">
        <f t="array" ref="BG36">ROUND((_xlfn.XLOOKUP($C36,'2) หลักการคำนวน Table'!$A$4:$A$36,
_xlfn.XLOOKUP(AU36,'2)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H36" s="299" t="e" cm="1">
        <f t="array" ref="BH36">ROUND((_xlfn.XLOOKUP($C36,'2) หลักการคำนวน Table'!$A$4:$A$36,
_xlfn.XLOOKUP(AV36,'2)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I36" s="299" t="e" cm="1">
        <f t="array" ref="BI36">ROUND((_xlfn.XLOOKUP($C36,'2) หลักการคำนวน Table'!$A$4:$A$36,
_xlfn.XLOOKUP(AW36,'2)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J36" s="299" t="e" cm="1">
        <f t="array" ref="BJ36">ROUND((_xlfn.XLOOKUP($C36,'2) หลักการคำนวน Table'!$A$4:$A$36,
_xlfn.XLOOKUP(AX36,'2)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K36" s="299" t="e" cm="1">
        <f t="array" ref="BK36">ROUND((_xlfn.XLOOKUP($C36,'2) หลักการคำนวน Table'!$A$4:$A$36,
_xlfn.XLOOKUP(AY36,'2)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M36" s="295">
        <v>222211</v>
      </c>
      <c r="BN36" s="292">
        <v>756</v>
      </c>
    </row>
    <row r="37" spans="1:66" ht="14.7" customHeight="1" x14ac:dyDescent="0.25">
      <c r="A37" s="126" t="e">
        <f>VLOOKUP(C37,ASTBase!E:S,13,FALSE)</f>
        <v>#N/A</v>
      </c>
      <c r="B37" s="126" t="s">
        <v>418</v>
      </c>
      <c r="C37" s="126">
        <v>5490000707</v>
      </c>
      <c r="D37" s="127">
        <v>0</v>
      </c>
      <c r="E37" s="127">
        <v>285.59999999999997</v>
      </c>
      <c r="F37" s="127">
        <v>142.79999999999998</v>
      </c>
      <c r="G37" s="127">
        <v>942.8</v>
      </c>
      <c r="H37" s="127">
        <v>885.59999999999991</v>
      </c>
      <c r="I37" s="127">
        <v>742.8</v>
      </c>
      <c r="J37" s="127">
        <v>748.51199999999994</v>
      </c>
      <c r="K37" s="127">
        <v>1538.6</v>
      </c>
      <c r="L37" s="127">
        <v>985.59999999999991</v>
      </c>
      <c r="M37" s="127">
        <v>885.59999999999991</v>
      </c>
      <c r="N37" s="127">
        <v>742.8</v>
      </c>
      <c r="O37" s="127">
        <v>1099.5999999999999</v>
      </c>
      <c r="P37" s="127">
        <v>2640</v>
      </c>
      <c r="AB37" s="297">
        <f>IFERROR(IF(VLOOKUP($B37,Shortage!$A:$M,AB$2,FALSE)="Shortage",1,IFERROR(ROUND(P37/D37,4),0)),IFERROR(ROUND(P37/D37,4),0))</f>
        <v>0</v>
      </c>
      <c r="AC37" s="297">
        <f>IFERROR(IF(VLOOKUP($B37,Shortage!$A:$M,AC$2,FALSE)="Shortage",1,IFERROR(ROUND(Q37/E37,4),0)),IFERROR(ROUND(Q37/E37,4),0))</f>
        <v>0</v>
      </c>
      <c r="AD37" s="297">
        <f>IFERROR(IF(VLOOKUP($B37,Shortage!$A:$M,AD$2,FALSE)="Shortage",1,IFERROR(ROUND(R37/F37,4),0)),IFERROR(ROUND(R37/F37,4),0))</f>
        <v>0</v>
      </c>
      <c r="AE37" s="297">
        <f>IFERROR(IF(VLOOKUP($B37,Shortage!$A:$M,AE$2,FALSE)="Shortage",1,IFERROR(ROUND(S37/G37,4),0)),IFERROR(ROUND(S37/G37,4),0))</f>
        <v>0</v>
      </c>
      <c r="AF37" s="297">
        <f>IFERROR(IF(VLOOKUP($B37,Shortage!$A:$M,AF$2,FALSE)="Shortage",1,IFERROR(ROUND(T37/H37,4),0)),IFERROR(ROUND(T37/H37,4),0))</f>
        <v>0</v>
      </c>
      <c r="AG37" s="297">
        <f>IFERROR(IF(VLOOKUP($B37,Shortage!$A:$M,AG$2,FALSE)="Shortage",1,IFERROR(ROUND(U37/I37,4),0)),IFERROR(ROUND(U37/I37,4),0))</f>
        <v>0</v>
      </c>
      <c r="AH37" s="297">
        <f>IFERROR(IF(VLOOKUP($B37,Shortage!$A:$M,AH$2,FALSE)="Shortage",1,IFERROR(ROUND(V37/J37,4),0)),IFERROR(ROUND(V37/J37,4),0))</f>
        <v>0</v>
      </c>
      <c r="AI37" s="297">
        <f>IFERROR(IF(VLOOKUP($B37,Shortage!$A:$M,AI$2,FALSE)="Shortage",1,IFERROR(ROUND(W37/K37,4),0)),IFERROR(ROUND(W37/K37,4),0))</f>
        <v>0</v>
      </c>
      <c r="AJ37" s="297">
        <f>IFERROR(IF(VLOOKUP($B37,Shortage!$A:$M,AJ$2,FALSE)="Shortage",1,IFERROR(ROUND(X37/L37,4),0)),IFERROR(ROUND(X37/L37,4),0))</f>
        <v>0</v>
      </c>
      <c r="AK37" s="297">
        <f>IFERROR(IF(VLOOKUP($B37,Shortage!$A:$M,AK$2,FALSE)="Shortage",1,IFERROR(ROUND(Y37/M37,4),0)),IFERROR(ROUND(Y37/M37,4),0))</f>
        <v>0</v>
      </c>
      <c r="AL37" s="297">
        <f>IFERROR(IF(VLOOKUP($B37,Shortage!$A:$M,AL$2,FALSE)="Shortage",1,IFERROR(ROUND(Z37/N37,4),0)),IFERROR(ROUND(Z37/N37,4),0))</f>
        <v>0</v>
      </c>
      <c r="AM37" s="297">
        <f>IFERROR(IF(VLOOKUP($B37,Shortage!$A:$M,AM$2,FALSE)="Shortage",1,IFERROR(ROUND(AA37/O37,4),0)),IFERROR(ROUND(AA37/O37,4),0))</f>
        <v>0</v>
      </c>
      <c r="AN37" s="298">
        <f>IFERROR(_xlfn.XLOOKUP(AB37,'2) หลักการคำนวน Table'!$C$3:$K$3,'2) หลักการคำนวน Table'!$C$3:$K$3,,1),INDEX('2) หลักการคำนวน Table'!$C$3:$K$3,1))</f>
        <v>0.9</v>
      </c>
      <c r="AO37" s="298">
        <f>IFERROR(
  _xlfn.XLOOKUP(AC37,'2) หลักการคำนวน Table'!$C$3:$K$3,'2) หลักการคำนวน Table'!$C$3:$K$3,,1),
  IF(AC37&lt;MIN('2) หลักการคำนวน Table'!$C$3:$K$3),
     MIN('2) หลักการคำนวน Table'!$C$3:$K$3),
     MAX('2) หลักการคำนวน Table'!$C$3:$K$3)
  )
)</f>
        <v>0.9</v>
      </c>
      <c r="AP37" s="298">
        <f>IFERROR(
  _xlfn.XLOOKUP(AD37,'2) หลักการคำนวน Table'!$C$3:$K$3,'2) หลักการคำนวน Table'!$C$3:$K$3,,1),
  IF(AD37&lt;MIN('2) หลักการคำนวน Table'!$C$3:$K$3),
     MIN('2) หลักการคำนวน Table'!$C$3:$K$3),
     MAX('2) หลักการคำนวน Table'!$C$3:$K$3)
  )
)</f>
        <v>0.9</v>
      </c>
      <c r="AQ37" s="298">
        <f>IFERROR(
  _xlfn.XLOOKUP(AE37,'2) หลักการคำนวน Table'!$C$3:$K$3,'2) หลักการคำนวน Table'!$C$3:$K$3,,1),
  IF(AE37&lt;MIN('2) หลักการคำนวน Table'!$C$3:$K$3),
     MIN('2) หลักการคำนวน Table'!$C$3:$K$3),
     MAX('2) หลักการคำนวน Table'!$C$3:$K$3)
  )
)</f>
        <v>0.9</v>
      </c>
      <c r="AR37" s="298">
        <f>IFERROR(
  _xlfn.XLOOKUP(AF37,'2) หลักการคำนวน Table'!$C$3:$K$3,'2) หลักการคำนวน Table'!$C$3:$K$3,,1),
  IF(AF37&lt;MIN('2) หลักการคำนวน Table'!$C$3:$K$3),
     MIN('2) หลักการคำนวน Table'!$C$3:$K$3),
     MAX('2) หลักการคำนวน Table'!$C$3:$K$3)
  )
)</f>
        <v>0.9</v>
      </c>
      <c r="AS37" s="298">
        <f>IFERROR(
  _xlfn.XLOOKUP(AG37,'2) หลักการคำนวน Table'!$C$3:$K$3,'2) หลักการคำนวน Table'!$C$3:$K$3,,1),
  IF(AG37&lt;MIN('2) หลักการคำนวน Table'!$C$3:$K$3),
     MIN('2) หลักการคำนวน Table'!$C$3:$K$3),
     MAX('2) หลักการคำนวน Table'!$C$3:$K$3)
  )
)</f>
        <v>0.9</v>
      </c>
      <c r="AT37" s="298">
        <f>IFERROR(
  _xlfn.XLOOKUP(AH37,'2) หลักการคำนวน Table'!$C$3:$K$3,'2) หลักการคำนวน Table'!$C$3:$K$3,,1),
  IF(AH37&lt;MIN('2) หลักการคำนวน Table'!$C$3:$K$3),
     MIN('2) หลักการคำนวน Table'!$C$3:$K$3),
     MAX('2) หลักการคำนวน Table'!$C$3:$K$3)
  )
)</f>
        <v>0.9</v>
      </c>
      <c r="AU37" s="298">
        <f>IFERROR(
  _xlfn.XLOOKUP(AI37,'2) หลักการคำนวน Table'!$C$3:$K$3,'2) หลักการคำนวน Table'!$C$3:$K$3,,1),
  IF(AI37&lt;MIN('2) หลักการคำนวน Table'!$C$3:$K$3),
     MIN('2) หลักการคำนวน Table'!$C$3:$K$3),
     MAX('2) หลักการคำนวน Table'!$C$3:$K$3)
  )
)</f>
        <v>0.9</v>
      </c>
      <c r="AV37" s="298">
        <f>IFERROR(
  _xlfn.XLOOKUP(AJ37,'2) หลักการคำนวน Table'!$C$3:$K$3,'2) หลักการคำนวน Table'!$C$3:$K$3,,1),
  IF(AJ37&lt;MIN('2) หลักการคำนวน Table'!$C$3:$K$3),
     MIN('2) หลักการคำนวน Table'!$C$3:$K$3),
     MAX('2) หลักการคำนวน Table'!$C$3:$K$3)
  )
)</f>
        <v>0.9</v>
      </c>
      <c r="AW37" s="298">
        <f>IFERROR(
  _xlfn.XLOOKUP(AK37,'2) หลักการคำนวน Table'!$C$3:$K$3,'2) หลักการคำนวน Table'!$C$3:$K$3,,1),
  IF(AK37&lt;MIN('2) หลักการคำนวน Table'!$C$3:$K$3),
     MIN('2) หลักการคำนวน Table'!$C$3:$K$3),
     MAX('2) หลักการคำนวน Table'!$C$3:$K$3)
  )
)</f>
        <v>0.9</v>
      </c>
      <c r="AX37" s="298">
        <f>IFERROR(
  _xlfn.XLOOKUP(AL37,'2) หลักการคำนวน Table'!$C$3:$K$3,'2) หลักการคำนวน Table'!$C$3:$K$3,,1),
  IF(AL37&lt;MIN('2) หลักการคำนวน Table'!$C$3:$K$3),
     MIN('2) หลักการคำนวน Table'!$C$3:$K$3),
     MAX('2) หลักการคำนวน Table'!$C$3:$K$3)
  )
)</f>
        <v>0.9</v>
      </c>
      <c r="AY37" s="298">
        <f>IFERROR(
  _xlfn.XLOOKUP(AM37,'2) หลักการคำนวน Table'!$C$3:$K$3,'2) หลักการคำนวน Table'!$C$3:$K$3,,1),
  IF(AM37&lt;MIN('2) หลักการคำนวน Table'!$C$3:$K$3),
     MIN('2) หลักการคำนวน Table'!$C$3:$K$3),
     MAX('2) หลักการคำนวน Table'!$C$3:$K$3)
  )
)</f>
        <v>0.9</v>
      </c>
      <c r="AZ37" s="299" t="e" cm="1">
        <f t="array" ref="AZ37">ROUND((_xlfn.XLOOKUP($C37,'2) หลักการคำนวน Table'!$A$4:$A$36,
_xlfn.XLOOKUP(AN37,'2)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A37" s="299" t="e" cm="1">
        <f t="array" ref="BA37">ROUND((_xlfn.XLOOKUP($C37,'2) หลักการคำนวน Table'!$A$4:$A$36,
_xlfn.XLOOKUP(AO37,'2)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B37" s="299" t="e" cm="1">
        <f t="array" ref="BB37">ROUND((_xlfn.XLOOKUP($C37,'2) หลักการคำนวน Table'!$A$4:$A$36,
_xlfn.XLOOKUP(AP37,'2)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C37" s="299" t="e" cm="1">
        <f t="array" ref="BC37">ROUND((_xlfn.XLOOKUP($C37,'2) หลักการคำนวน Table'!$A$4:$A$36,
_xlfn.XLOOKUP(AQ37,'2)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D37" s="299" t="e" cm="1">
        <f t="array" ref="BD37">ROUND((_xlfn.XLOOKUP($C37,'2) หลักการคำนวน Table'!$A$4:$A$36,
_xlfn.XLOOKUP(AR37,'2)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E37" s="299" t="e" cm="1">
        <f t="array" ref="BE37">ROUND((_xlfn.XLOOKUP($C37,'2) หลักการคำนวน Table'!$A$4:$A$36,
_xlfn.XLOOKUP(AS37,'2)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F37" s="299" t="e" cm="1">
        <f t="array" ref="BF37">ROUND((_xlfn.XLOOKUP($C37,'2) หลักการคำนวน Table'!$A$4:$A$36,
_xlfn.XLOOKUP(AT37,'2)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G37" s="299" t="e" cm="1">
        <f t="array" ref="BG37">ROUND((_xlfn.XLOOKUP($C37,'2) หลักการคำนวน Table'!$A$4:$A$36,
_xlfn.XLOOKUP(AU37,'2)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H37" s="299" t="e" cm="1">
        <f t="array" ref="BH37">ROUND((_xlfn.XLOOKUP($C37,'2) หลักการคำนวน Table'!$A$4:$A$36,
_xlfn.XLOOKUP(AV37,'2)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I37" s="299" t="e" cm="1">
        <f t="array" ref="BI37">ROUND((_xlfn.XLOOKUP($C37,'2) หลักการคำนวน Table'!$A$4:$A$36,
_xlfn.XLOOKUP(AW37,'2)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J37" s="299" t="e" cm="1">
        <f t="array" ref="BJ37">ROUND((_xlfn.XLOOKUP($C37,'2) หลักการคำนวน Table'!$A$4:$A$36,
_xlfn.XLOOKUP(AX37,'2)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K37" s="299" t="e" cm="1">
        <f t="array" ref="BK37">ROUND((_xlfn.XLOOKUP($C37,'2) หลักการคำนวน Table'!$A$4:$A$36,
_xlfn.XLOOKUP(AY37,'2)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M37" s="295">
        <v>222211</v>
      </c>
      <c r="BN37" s="300">
        <v>0</v>
      </c>
    </row>
    <row r="38" spans="1:66" ht="14.7" customHeight="1" x14ac:dyDescent="0.25">
      <c r="A38" s="126" t="e">
        <f>VLOOKUP(C38,ASTBase!E:S,13,FALSE)</f>
        <v>#N/A</v>
      </c>
      <c r="B38" s="126" t="s">
        <v>413</v>
      </c>
      <c r="C38" s="126">
        <v>5490000707</v>
      </c>
      <c r="D38" s="127">
        <v>3828.5</v>
      </c>
      <c r="E38" s="127">
        <v>2765</v>
      </c>
      <c r="F38" s="127">
        <v>1601.5</v>
      </c>
      <c r="G38" s="127">
        <v>1601.5</v>
      </c>
      <c r="H38" s="127">
        <v>1521.82</v>
      </c>
      <c r="I38" s="127">
        <v>1313.5</v>
      </c>
      <c r="J38" s="127">
        <v>1631.5</v>
      </c>
      <c r="K38" s="127">
        <v>3645.05</v>
      </c>
      <c r="L38" s="127">
        <v>2377.6999999999998</v>
      </c>
      <c r="M38" s="127">
        <v>1204</v>
      </c>
      <c r="N38" s="127">
        <v>1730.1</v>
      </c>
      <c r="O38" s="127">
        <v>1779.4</v>
      </c>
      <c r="P38" s="127">
        <v>6522.12</v>
      </c>
      <c r="AB38" s="297">
        <f>IFERROR(IF(VLOOKUP($B38,Shortage!$A:$M,AB$2,FALSE)="Shortage",1,IFERROR(ROUND(P38/D38,4),0)),IFERROR(ROUND(P38/D38,4),0))</f>
        <v>1.7036</v>
      </c>
      <c r="AC38" s="297">
        <f>IFERROR(IF(VLOOKUP($B38,Shortage!$A:$M,AC$2,FALSE)="Shortage",1,IFERROR(ROUND(Q38/E38,4),0)),IFERROR(ROUND(Q38/E38,4),0))</f>
        <v>0</v>
      </c>
      <c r="AD38" s="297">
        <f>IFERROR(IF(VLOOKUP($B38,Shortage!$A:$M,AD$2,FALSE)="Shortage",1,IFERROR(ROUND(R38/F38,4),0)),IFERROR(ROUND(R38/F38,4),0))</f>
        <v>0</v>
      </c>
      <c r="AE38" s="297">
        <f>IFERROR(IF(VLOOKUP($B38,Shortage!$A:$M,AE$2,FALSE)="Shortage",1,IFERROR(ROUND(S38/G38,4),0)),IFERROR(ROUND(S38/G38,4),0))</f>
        <v>0</v>
      </c>
      <c r="AF38" s="297">
        <f>IFERROR(IF(VLOOKUP($B38,Shortage!$A:$M,AF$2,FALSE)="Shortage",1,IFERROR(ROUND(T38/H38,4),0)),IFERROR(ROUND(T38/H38,4),0))</f>
        <v>0</v>
      </c>
      <c r="AG38" s="297">
        <f>IFERROR(IF(VLOOKUP($B38,Shortage!$A:$M,AG$2,FALSE)="Shortage",1,IFERROR(ROUND(U38/I38,4),0)),IFERROR(ROUND(U38/I38,4),0))</f>
        <v>0</v>
      </c>
      <c r="AH38" s="297">
        <f>IFERROR(IF(VLOOKUP($B38,Shortage!$A:$M,AH$2,FALSE)="Shortage",1,IFERROR(ROUND(V38/J38,4),0)),IFERROR(ROUND(V38/J38,4),0))</f>
        <v>0</v>
      </c>
      <c r="AI38" s="297">
        <f>IFERROR(IF(VLOOKUP($B38,Shortage!$A:$M,AI$2,FALSE)="Shortage",1,IFERROR(ROUND(W38/K38,4),0)),IFERROR(ROUND(W38/K38,4),0))</f>
        <v>0</v>
      </c>
      <c r="AJ38" s="297">
        <f>IFERROR(IF(VLOOKUP($B38,Shortage!$A:$M,AJ$2,FALSE)="Shortage",1,IFERROR(ROUND(X38/L38,4),0)),IFERROR(ROUND(X38/L38,4),0))</f>
        <v>0</v>
      </c>
      <c r="AK38" s="297">
        <f>IFERROR(IF(VLOOKUP($B38,Shortage!$A:$M,AK$2,FALSE)="Shortage",1,IFERROR(ROUND(Y38/M38,4),0)),IFERROR(ROUND(Y38/M38,4),0))</f>
        <v>0</v>
      </c>
      <c r="AL38" s="297">
        <f>IFERROR(IF(VLOOKUP($B38,Shortage!$A:$M,AL$2,FALSE)="Shortage",1,IFERROR(ROUND(Z38/N38,4),0)),IFERROR(ROUND(Z38/N38,4),0))</f>
        <v>0</v>
      </c>
      <c r="AM38" s="297">
        <f>IFERROR(IF(VLOOKUP($B38,Shortage!$A:$M,AM$2,FALSE)="Shortage",1,IFERROR(ROUND(AA38/O38,4),0)),IFERROR(ROUND(AA38/O38,4),0))</f>
        <v>0</v>
      </c>
      <c r="AN38" s="298">
        <f>IFERROR(_xlfn.XLOOKUP(AB38,'2) หลักการคำนวน Table'!$C$3:$K$3,'2) หลักการคำนวน Table'!$C$3:$K$3,,1),INDEX('2) หลักการคำนวน Table'!$C$3:$K$3,1))</f>
        <v>20</v>
      </c>
      <c r="AO38" s="298">
        <f>IFERROR(
  _xlfn.XLOOKUP(AC38,'2) หลักการคำนวน Table'!$C$3:$K$3,'2) หลักการคำนวน Table'!$C$3:$K$3,,1),
  IF(AC38&lt;MIN('2) หลักการคำนวน Table'!$C$3:$K$3),
     MIN('2) หลักการคำนวน Table'!$C$3:$K$3),
     MAX('2) หลักการคำนวน Table'!$C$3:$K$3)
  )
)</f>
        <v>0.9</v>
      </c>
      <c r="AP38" s="298">
        <f>IFERROR(
  _xlfn.XLOOKUP(AD38,'2) หลักการคำนวน Table'!$C$3:$K$3,'2) หลักการคำนวน Table'!$C$3:$K$3,,1),
  IF(AD38&lt;MIN('2) หลักการคำนวน Table'!$C$3:$K$3),
     MIN('2) หลักการคำนวน Table'!$C$3:$K$3),
     MAX('2) หลักการคำนวน Table'!$C$3:$K$3)
  )
)</f>
        <v>0.9</v>
      </c>
      <c r="AQ38" s="298">
        <f>IFERROR(
  _xlfn.XLOOKUP(AE38,'2) หลักการคำนวน Table'!$C$3:$K$3,'2) หลักการคำนวน Table'!$C$3:$K$3,,1),
  IF(AE38&lt;MIN('2) หลักการคำนวน Table'!$C$3:$K$3),
     MIN('2) หลักการคำนวน Table'!$C$3:$K$3),
     MAX('2) หลักการคำนวน Table'!$C$3:$K$3)
  )
)</f>
        <v>0.9</v>
      </c>
      <c r="AR38" s="298">
        <f>IFERROR(
  _xlfn.XLOOKUP(AF38,'2) หลักการคำนวน Table'!$C$3:$K$3,'2) หลักการคำนวน Table'!$C$3:$K$3,,1),
  IF(AF38&lt;MIN('2) หลักการคำนวน Table'!$C$3:$K$3),
     MIN('2) หลักการคำนวน Table'!$C$3:$K$3),
     MAX('2) หลักการคำนวน Table'!$C$3:$K$3)
  )
)</f>
        <v>0.9</v>
      </c>
      <c r="AS38" s="298">
        <f>IFERROR(
  _xlfn.XLOOKUP(AG38,'2) หลักการคำนวน Table'!$C$3:$K$3,'2) หลักการคำนวน Table'!$C$3:$K$3,,1),
  IF(AG38&lt;MIN('2) หลักการคำนวน Table'!$C$3:$K$3),
     MIN('2) หลักการคำนวน Table'!$C$3:$K$3),
     MAX('2) หลักการคำนวน Table'!$C$3:$K$3)
  )
)</f>
        <v>0.9</v>
      </c>
      <c r="AT38" s="298">
        <f>IFERROR(
  _xlfn.XLOOKUP(AH38,'2) หลักการคำนวน Table'!$C$3:$K$3,'2) หลักการคำนวน Table'!$C$3:$K$3,,1),
  IF(AH38&lt;MIN('2) หลักการคำนวน Table'!$C$3:$K$3),
     MIN('2) หลักการคำนวน Table'!$C$3:$K$3),
     MAX('2) หลักการคำนวน Table'!$C$3:$K$3)
  )
)</f>
        <v>0.9</v>
      </c>
      <c r="AU38" s="298">
        <f>IFERROR(
  _xlfn.XLOOKUP(AI38,'2) หลักการคำนวน Table'!$C$3:$K$3,'2) หลักการคำนวน Table'!$C$3:$K$3,,1),
  IF(AI38&lt;MIN('2) หลักการคำนวน Table'!$C$3:$K$3),
     MIN('2) หลักการคำนวน Table'!$C$3:$K$3),
     MAX('2) หลักการคำนวน Table'!$C$3:$K$3)
  )
)</f>
        <v>0.9</v>
      </c>
      <c r="AV38" s="298">
        <f>IFERROR(
  _xlfn.XLOOKUP(AJ38,'2) หลักการคำนวน Table'!$C$3:$K$3,'2) หลักการคำนวน Table'!$C$3:$K$3,,1),
  IF(AJ38&lt;MIN('2) หลักการคำนวน Table'!$C$3:$K$3),
     MIN('2) หลักการคำนวน Table'!$C$3:$K$3),
     MAX('2) หลักการคำนวน Table'!$C$3:$K$3)
  )
)</f>
        <v>0.9</v>
      </c>
      <c r="AW38" s="298">
        <f>IFERROR(
  _xlfn.XLOOKUP(AK38,'2) หลักการคำนวน Table'!$C$3:$K$3,'2) หลักการคำนวน Table'!$C$3:$K$3,,1),
  IF(AK38&lt;MIN('2) หลักการคำนวน Table'!$C$3:$K$3),
     MIN('2) หลักการคำนวน Table'!$C$3:$K$3),
     MAX('2) หลักการคำนวน Table'!$C$3:$K$3)
  )
)</f>
        <v>0.9</v>
      </c>
      <c r="AX38" s="298">
        <f>IFERROR(
  _xlfn.XLOOKUP(AL38,'2) หลักการคำนวน Table'!$C$3:$K$3,'2) หลักการคำนวน Table'!$C$3:$K$3,,1),
  IF(AL38&lt;MIN('2) หลักการคำนวน Table'!$C$3:$K$3),
     MIN('2) หลักการคำนวน Table'!$C$3:$K$3),
     MAX('2) หลักการคำนวน Table'!$C$3:$K$3)
  )
)</f>
        <v>0.9</v>
      </c>
      <c r="AY38" s="298">
        <f>IFERROR(
  _xlfn.XLOOKUP(AM38,'2) หลักการคำนวน Table'!$C$3:$K$3,'2) หลักการคำนวน Table'!$C$3:$K$3,,1),
  IF(AM38&lt;MIN('2) หลักการคำนวน Table'!$C$3:$K$3),
     MIN('2) หลักการคำนวน Table'!$C$3:$K$3),
     MAX('2) หลักการคำนวน Table'!$C$3:$K$3)
  )
)</f>
        <v>0.9</v>
      </c>
      <c r="AZ38" s="299" t="e" cm="1">
        <f t="array" ref="AZ38">ROUND((_xlfn.XLOOKUP($C38,'2) หลักการคำนวน Table'!$A$4:$A$36,
_xlfn.XLOOKUP(AN38,'2)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A38" s="299" t="e" cm="1">
        <f t="array" ref="BA38">ROUND((_xlfn.XLOOKUP($C38,'2) หลักการคำนวน Table'!$A$4:$A$36,
_xlfn.XLOOKUP(AO38,'2)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B38" s="299" t="e" cm="1">
        <f t="array" ref="BB38">ROUND((_xlfn.XLOOKUP($C38,'2) หลักการคำนวน Table'!$A$4:$A$36,
_xlfn.XLOOKUP(AP38,'2)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C38" s="299" t="e" cm="1">
        <f t="array" ref="BC38">ROUND((_xlfn.XLOOKUP($C38,'2) หลักการคำนวน Table'!$A$4:$A$36,
_xlfn.XLOOKUP(AQ38,'2)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D38" s="299" t="e" cm="1">
        <f t="array" ref="BD38">ROUND((_xlfn.XLOOKUP($C38,'2) หลักการคำนวน Table'!$A$4:$A$36,
_xlfn.XLOOKUP(AR38,'2)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E38" s="299" t="e" cm="1">
        <f t="array" ref="BE38">ROUND((_xlfn.XLOOKUP($C38,'2) หลักการคำนวน Table'!$A$4:$A$36,
_xlfn.XLOOKUP(AS38,'2)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F38" s="299" t="e" cm="1">
        <f t="array" ref="BF38">ROUND((_xlfn.XLOOKUP($C38,'2) หลักการคำนวน Table'!$A$4:$A$36,
_xlfn.XLOOKUP(AT38,'2)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G38" s="299" t="e" cm="1">
        <f t="array" ref="BG38">ROUND((_xlfn.XLOOKUP($C38,'2) หลักการคำนวน Table'!$A$4:$A$36,
_xlfn.XLOOKUP(AU38,'2)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H38" s="299" t="e" cm="1">
        <f t="array" ref="BH38">ROUND((_xlfn.XLOOKUP($C38,'2) หลักการคำนวน Table'!$A$4:$A$36,
_xlfn.XLOOKUP(AV38,'2)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I38" s="299" t="e" cm="1">
        <f t="array" ref="BI38">ROUND((_xlfn.XLOOKUP($C38,'2) หลักการคำนวน Table'!$A$4:$A$36,
_xlfn.XLOOKUP(AW38,'2)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J38" s="299" t="e" cm="1">
        <f t="array" ref="BJ38">ROUND((_xlfn.XLOOKUP($C38,'2) หลักการคำนวน Table'!$A$4:$A$36,
_xlfn.XLOOKUP(AX38,'2)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K38" s="299" t="e" cm="1">
        <f t="array" ref="BK38">ROUND((_xlfn.XLOOKUP($C38,'2) หลักการคำนวน Table'!$A$4:$A$36,
_xlfn.XLOOKUP(AY38,'2)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M38" s="295">
        <v>222211</v>
      </c>
      <c r="BN38" s="300">
        <v>1134</v>
      </c>
    </row>
    <row r="39" spans="1:66" ht="14.7" customHeight="1" x14ac:dyDescent="0.25">
      <c r="A39" s="126" t="e">
        <f>VLOOKUP(C39,ASTBase!E:S,13,FALSE)</f>
        <v>#N/A</v>
      </c>
      <c r="B39" s="126" t="s">
        <v>406</v>
      </c>
      <c r="C39" s="126">
        <v>5490000707</v>
      </c>
      <c r="D39" s="127">
        <v>84286.65</v>
      </c>
      <c r="E39" s="127">
        <v>65330</v>
      </c>
      <c r="F39" s="127">
        <v>55790</v>
      </c>
      <c r="G39" s="127">
        <v>64376.05</v>
      </c>
      <c r="H39" s="127">
        <v>67359.899999999994</v>
      </c>
      <c r="I39" s="127">
        <v>64923.3</v>
      </c>
      <c r="J39" s="127">
        <v>72680.850000000006</v>
      </c>
      <c r="K39" s="127">
        <v>140625.44</v>
      </c>
      <c r="L39" s="127">
        <v>79579.200000000012</v>
      </c>
      <c r="M39" s="127">
        <v>43508.844444444447</v>
      </c>
      <c r="N39" s="127">
        <v>45138.033333333333</v>
      </c>
      <c r="O39" s="127">
        <v>66401.55</v>
      </c>
      <c r="P39" s="127">
        <v>78368.2</v>
      </c>
      <c r="AB39" s="297">
        <f>IFERROR(IF(VLOOKUP($B39,Shortage!$A:$M,AB$2,FALSE)="Shortage",1,IFERROR(ROUND(P39/D39,4),0)),IFERROR(ROUND(P39/D39,4),0))</f>
        <v>1</v>
      </c>
      <c r="AC39" s="297">
        <f>IFERROR(IF(VLOOKUP($B39,Shortage!$A:$M,AC$2,FALSE)="Shortage",1,IFERROR(ROUND(Q39/E39,4),0)),IFERROR(ROUND(Q39/E39,4),0))</f>
        <v>0</v>
      </c>
      <c r="AD39" s="297">
        <f>IFERROR(IF(VLOOKUP($B39,Shortage!$A:$M,AD$2,FALSE)="Shortage",1,IFERROR(ROUND(R39/F39,4),0)),IFERROR(ROUND(R39/F39,4),0))</f>
        <v>0</v>
      </c>
      <c r="AE39" s="297">
        <f>IFERROR(IF(VLOOKUP($B39,Shortage!$A:$M,AE$2,FALSE)="Shortage",1,IFERROR(ROUND(S39/G39,4),0)),IFERROR(ROUND(S39/G39,4),0))</f>
        <v>0</v>
      </c>
      <c r="AF39" s="297">
        <f>IFERROR(IF(VLOOKUP($B39,Shortage!$A:$M,AF$2,FALSE)="Shortage",1,IFERROR(ROUND(T39/H39,4),0)),IFERROR(ROUND(T39/H39,4),0))</f>
        <v>0</v>
      </c>
      <c r="AG39" s="297">
        <f>IFERROR(IF(VLOOKUP($B39,Shortage!$A:$M,AG$2,FALSE)="Shortage",1,IFERROR(ROUND(U39/I39,4),0)),IFERROR(ROUND(U39/I39,4),0))</f>
        <v>0</v>
      </c>
      <c r="AH39" s="297">
        <f>IFERROR(IF(VLOOKUP($B39,Shortage!$A:$M,AH$2,FALSE)="Shortage",1,IFERROR(ROUND(V39/J39,4),0)),IFERROR(ROUND(V39/J39,4),0))</f>
        <v>0</v>
      </c>
      <c r="AI39" s="297">
        <f>IFERROR(IF(VLOOKUP($B39,Shortage!$A:$M,AI$2,FALSE)="Shortage",1,IFERROR(ROUND(W39/K39,4),0)),IFERROR(ROUND(W39/K39,4),0))</f>
        <v>0</v>
      </c>
      <c r="AJ39" s="297">
        <f>IFERROR(IF(VLOOKUP($B39,Shortage!$A:$M,AJ$2,FALSE)="Shortage",1,IFERROR(ROUND(X39/L39,4),0)),IFERROR(ROUND(X39/L39,4),0))</f>
        <v>0</v>
      </c>
      <c r="AK39" s="297">
        <f>IFERROR(IF(VLOOKUP($B39,Shortage!$A:$M,AK$2,FALSE)="Shortage",1,IFERROR(ROUND(Y39/M39,4),0)),IFERROR(ROUND(Y39/M39,4),0))</f>
        <v>0</v>
      </c>
      <c r="AL39" s="297">
        <f>IFERROR(IF(VLOOKUP($B39,Shortage!$A:$M,AL$2,FALSE)="Shortage",1,IFERROR(ROUND(Z39/N39,4),0)),IFERROR(ROUND(Z39/N39,4),0))</f>
        <v>0</v>
      </c>
      <c r="AM39" s="297">
        <f>IFERROR(IF(VLOOKUP($B39,Shortage!$A:$M,AM$2,FALSE)="Shortage",1,IFERROR(ROUND(AA39/O39,4),0)),IFERROR(ROUND(AA39/O39,4),0))</f>
        <v>0</v>
      </c>
      <c r="AN39" s="298">
        <f>IFERROR(_xlfn.XLOOKUP(AB39,'2) หลักการคำนวน Table'!$C$3:$K$3,'2) หลักการคำนวน Table'!$C$3:$K$3,,1),INDEX('2) หลักการคำนวน Table'!$C$3:$K$3,1))</f>
        <v>1</v>
      </c>
      <c r="AO39" s="298">
        <f>IFERROR(
  _xlfn.XLOOKUP(AC39,'2) หลักการคำนวน Table'!$C$3:$K$3,'2) หลักการคำนวน Table'!$C$3:$K$3,,1),
  IF(AC39&lt;MIN('2) หลักการคำนวน Table'!$C$3:$K$3),
     MIN('2) หลักการคำนวน Table'!$C$3:$K$3),
     MAX('2) หลักการคำนวน Table'!$C$3:$K$3)
  )
)</f>
        <v>0.9</v>
      </c>
      <c r="AP39" s="298">
        <f>IFERROR(
  _xlfn.XLOOKUP(AD39,'2) หลักการคำนวน Table'!$C$3:$K$3,'2) หลักการคำนวน Table'!$C$3:$K$3,,1),
  IF(AD39&lt;MIN('2) หลักการคำนวน Table'!$C$3:$K$3),
     MIN('2) หลักการคำนวน Table'!$C$3:$K$3),
     MAX('2) หลักการคำนวน Table'!$C$3:$K$3)
  )
)</f>
        <v>0.9</v>
      </c>
      <c r="AQ39" s="298">
        <f>IFERROR(
  _xlfn.XLOOKUP(AE39,'2) หลักการคำนวน Table'!$C$3:$K$3,'2) หลักการคำนวน Table'!$C$3:$K$3,,1),
  IF(AE39&lt;MIN('2) หลักการคำนวน Table'!$C$3:$K$3),
     MIN('2) หลักการคำนวน Table'!$C$3:$K$3),
     MAX('2) หลักการคำนวน Table'!$C$3:$K$3)
  )
)</f>
        <v>0.9</v>
      </c>
      <c r="AR39" s="298">
        <f>IFERROR(
  _xlfn.XLOOKUP(AF39,'2) หลักการคำนวน Table'!$C$3:$K$3,'2) หลักการคำนวน Table'!$C$3:$K$3,,1),
  IF(AF39&lt;MIN('2) หลักการคำนวน Table'!$C$3:$K$3),
     MIN('2) หลักการคำนวน Table'!$C$3:$K$3),
     MAX('2) หลักการคำนวน Table'!$C$3:$K$3)
  )
)</f>
        <v>0.9</v>
      </c>
      <c r="AS39" s="298">
        <f>IFERROR(
  _xlfn.XLOOKUP(AG39,'2) หลักการคำนวน Table'!$C$3:$K$3,'2) หลักการคำนวน Table'!$C$3:$K$3,,1),
  IF(AG39&lt;MIN('2) หลักการคำนวน Table'!$C$3:$K$3),
     MIN('2) หลักการคำนวน Table'!$C$3:$K$3),
     MAX('2) หลักการคำนวน Table'!$C$3:$K$3)
  )
)</f>
        <v>0.9</v>
      </c>
      <c r="AT39" s="298">
        <f>IFERROR(
  _xlfn.XLOOKUP(AH39,'2) หลักการคำนวน Table'!$C$3:$K$3,'2) หลักการคำนวน Table'!$C$3:$K$3,,1),
  IF(AH39&lt;MIN('2) หลักการคำนวน Table'!$C$3:$K$3),
     MIN('2) หลักการคำนวน Table'!$C$3:$K$3),
     MAX('2) หลักการคำนวน Table'!$C$3:$K$3)
  )
)</f>
        <v>0.9</v>
      </c>
      <c r="AU39" s="298">
        <f>IFERROR(
  _xlfn.XLOOKUP(AI39,'2) หลักการคำนวน Table'!$C$3:$K$3,'2) หลักการคำนวน Table'!$C$3:$K$3,,1),
  IF(AI39&lt;MIN('2) หลักการคำนวน Table'!$C$3:$K$3),
     MIN('2) หลักการคำนวน Table'!$C$3:$K$3),
     MAX('2) หลักการคำนวน Table'!$C$3:$K$3)
  )
)</f>
        <v>0.9</v>
      </c>
      <c r="AV39" s="298">
        <f>IFERROR(
  _xlfn.XLOOKUP(AJ39,'2) หลักการคำนวน Table'!$C$3:$K$3,'2) หลักการคำนวน Table'!$C$3:$K$3,,1),
  IF(AJ39&lt;MIN('2) หลักการคำนวน Table'!$C$3:$K$3),
     MIN('2) หลักการคำนวน Table'!$C$3:$K$3),
     MAX('2) หลักการคำนวน Table'!$C$3:$K$3)
  )
)</f>
        <v>0.9</v>
      </c>
      <c r="AW39" s="298">
        <f>IFERROR(
  _xlfn.XLOOKUP(AK39,'2) หลักการคำนวน Table'!$C$3:$K$3,'2) หลักการคำนวน Table'!$C$3:$K$3,,1),
  IF(AK39&lt;MIN('2) หลักการคำนวน Table'!$C$3:$K$3),
     MIN('2) หลักการคำนวน Table'!$C$3:$K$3),
     MAX('2) หลักการคำนวน Table'!$C$3:$K$3)
  )
)</f>
        <v>0.9</v>
      </c>
      <c r="AX39" s="298">
        <f>IFERROR(
  _xlfn.XLOOKUP(AL39,'2) หลักการคำนวน Table'!$C$3:$K$3,'2) หลักการคำนวน Table'!$C$3:$K$3,,1),
  IF(AL39&lt;MIN('2) หลักการคำนวน Table'!$C$3:$K$3),
     MIN('2) หลักการคำนวน Table'!$C$3:$K$3),
     MAX('2) หลักการคำนวน Table'!$C$3:$K$3)
  )
)</f>
        <v>0.9</v>
      </c>
      <c r="AY39" s="298">
        <f>IFERROR(
  _xlfn.XLOOKUP(AM39,'2) หลักการคำนวน Table'!$C$3:$K$3,'2) หลักการคำนวน Table'!$C$3:$K$3,,1),
  IF(AM39&lt;MIN('2) หลักการคำนวน Table'!$C$3:$K$3),
     MIN('2) หลักการคำนวน Table'!$C$3:$K$3),
     MAX('2) หลักการคำนวน Table'!$C$3:$K$3)
  )
)</f>
        <v>0.9</v>
      </c>
      <c r="AZ39" s="299" t="e" cm="1">
        <f t="array" ref="AZ39">ROUND((_xlfn.XLOOKUP($C39,'2) หลักการคำนวน Table'!$A$4:$A$36,
_xlfn.XLOOKUP(AN39,'2)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A39" s="299" t="e" cm="1">
        <f t="array" ref="BA39">ROUND((_xlfn.XLOOKUP($C39,'2) หลักการคำนวน Table'!$A$4:$A$36,
_xlfn.XLOOKUP(AO39,'2)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B39" s="299" t="e" cm="1">
        <f t="array" ref="BB39">ROUND((_xlfn.XLOOKUP($C39,'2) หลักการคำนวน Table'!$A$4:$A$36,
_xlfn.XLOOKUP(AP39,'2)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C39" s="299" t="e" cm="1">
        <f t="array" ref="BC39">ROUND((_xlfn.XLOOKUP($C39,'2) หลักการคำนวน Table'!$A$4:$A$36,
_xlfn.XLOOKUP(AQ39,'2)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D39" s="299" t="e" cm="1">
        <f t="array" ref="BD39">ROUND((_xlfn.XLOOKUP($C39,'2) หลักการคำนวน Table'!$A$4:$A$36,
_xlfn.XLOOKUP(AR39,'2)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E39" s="299" t="e" cm="1">
        <f t="array" ref="BE39">ROUND((_xlfn.XLOOKUP($C39,'2) หลักการคำนวน Table'!$A$4:$A$36,
_xlfn.XLOOKUP(AS39,'2)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F39" s="299" t="e" cm="1">
        <f t="array" ref="BF39">ROUND((_xlfn.XLOOKUP($C39,'2) หลักการคำนวน Table'!$A$4:$A$36,
_xlfn.XLOOKUP(AT39,'2)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G39" s="299" t="e" cm="1">
        <f t="array" ref="BG39">ROUND((_xlfn.XLOOKUP($C39,'2) หลักการคำนวน Table'!$A$4:$A$36,
_xlfn.XLOOKUP(AU39,'2)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H39" s="299" t="e" cm="1">
        <f t="array" ref="BH39">ROUND((_xlfn.XLOOKUP($C39,'2) หลักการคำนวน Table'!$A$4:$A$36,
_xlfn.XLOOKUP(AV39,'2)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I39" s="299" t="e" cm="1">
        <f t="array" ref="BI39">ROUND((_xlfn.XLOOKUP($C39,'2) หลักการคำนวน Table'!$A$4:$A$36,
_xlfn.XLOOKUP(AW39,'2)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J39" s="299" t="e" cm="1">
        <f t="array" ref="BJ39">ROUND((_xlfn.XLOOKUP($C39,'2) หลักการคำนวน Table'!$A$4:$A$36,
_xlfn.XLOOKUP(AX39,'2)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K39" s="299" t="e" cm="1">
        <f t="array" ref="BK39">ROUND((_xlfn.XLOOKUP($C39,'2) หลักการคำนวน Table'!$A$4:$A$36,
_xlfn.XLOOKUP(AY39,'2)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M39" s="295">
        <v>222211</v>
      </c>
      <c r="BN39" s="300">
        <v>291</v>
      </c>
    </row>
    <row r="40" spans="1:66" ht="14.7" customHeight="1" x14ac:dyDescent="0.25">
      <c r="A40" s="126" t="e">
        <f>VLOOKUP(C40,ASTBase!E:S,13,FALSE)</f>
        <v>#N/A</v>
      </c>
      <c r="B40" s="126" t="s">
        <v>409</v>
      </c>
      <c r="C40" s="126">
        <v>5490000707</v>
      </c>
      <c r="D40" s="127">
        <v>15906.85</v>
      </c>
      <c r="E40" s="127">
        <v>5438.45</v>
      </c>
      <c r="F40" s="127">
        <v>6742.55</v>
      </c>
      <c r="G40" s="127">
        <v>5580.7</v>
      </c>
      <c r="H40" s="127">
        <v>6552.55</v>
      </c>
      <c r="I40" s="127">
        <v>5558.85</v>
      </c>
      <c r="J40" s="127">
        <v>8282.65</v>
      </c>
      <c r="K40" s="127">
        <v>12804</v>
      </c>
      <c r="L40" s="127">
        <v>5214.45</v>
      </c>
      <c r="M40" s="127">
        <v>5920.7000000000007</v>
      </c>
      <c r="N40" s="127">
        <v>6397.5499999999993</v>
      </c>
      <c r="O40" s="127">
        <v>5600.7000000000007</v>
      </c>
      <c r="P40" s="127">
        <v>10627.2</v>
      </c>
      <c r="AB40" s="297">
        <f>IFERROR(IF(VLOOKUP($B40,Shortage!$A:$M,AB$2,FALSE)="Shortage",1,IFERROR(ROUND(P40/D40,4),0)),IFERROR(ROUND(P40/D40,4),0))</f>
        <v>0.66810000000000003</v>
      </c>
      <c r="AC40" s="297">
        <f>IFERROR(IF(VLOOKUP($B40,Shortage!$A:$M,AC$2,FALSE)="Shortage",1,IFERROR(ROUND(Q40/E40,4),0)),IFERROR(ROUND(Q40/E40,4),0))</f>
        <v>0</v>
      </c>
      <c r="AD40" s="297">
        <f>IFERROR(IF(VLOOKUP($B40,Shortage!$A:$M,AD$2,FALSE)="Shortage",1,IFERROR(ROUND(R40/F40,4),0)),IFERROR(ROUND(R40/F40,4),0))</f>
        <v>0</v>
      </c>
      <c r="AE40" s="297">
        <f>IFERROR(IF(VLOOKUP($B40,Shortage!$A:$M,AE$2,FALSE)="Shortage",1,IFERROR(ROUND(S40/G40,4),0)),IFERROR(ROUND(S40/G40,4),0))</f>
        <v>0</v>
      </c>
      <c r="AF40" s="297">
        <f>IFERROR(IF(VLOOKUP($B40,Shortage!$A:$M,AF$2,FALSE)="Shortage",1,IFERROR(ROUND(T40/H40,4),0)),IFERROR(ROUND(T40/H40,4),0))</f>
        <v>0</v>
      </c>
      <c r="AG40" s="297">
        <f>IFERROR(IF(VLOOKUP($B40,Shortage!$A:$M,AG$2,FALSE)="Shortage",1,IFERROR(ROUND(U40/I40,4),0)),IFERROR(ROUND(U40/I40,4),0))</f>
        <v>0</v>
      </c>
      <c r="AH40" s="297">
        <f>IFERROR(IF(VLOOKUP($B40,Shortage!$A:$M,AH$2,FALSE)="Shortage",1,IFERROR(ROUND(V40/J40,4),0)),IFERROR(ROUND(V40/J40,4),0))</f>
        <v>0</v>
      </c>
      <c r="AI40" s="297">
        <f>IFERROR(IF(VLOOKUP($B40,Shortage!$A:$M,AI$2,FALSE)="Shortage",1,IFERROR(ROUND(W40/K40,4),0)),IFERROR(ROUND(W40/K40,4),0))</f>
        <v>0</v>
      </c>
      <c r="AJ40" s="297">
        <f>IFERROR(IF(VLOOKUP($B40,Shortage!$A:$M,AJ$2,FALSE)="Shortage",1,IFERROR(ROUND(X40/L40,4),0)),IFERROR(ROUND(X40/L40,4),0))</f>
        <v>0</v>
      </c>
      <c r="AK40" s="297">
        <f>IFERROR(IF(VLOOKUP($B40,Shortage!$A:$M,AK$2,FALSE)="Shortage",1,IFERROR(ROUND(Y40/M40,4),0)),IFERROR(ROUND(Y40/M40,4),0))</f>
        <v>0</v>
      </c>
      <c r="AL40" s="297">
        <f>IFERROR(IF(VLOOKUP($B40,Shortage!$A:$M,AL$2,FALSE)="Shortage",1,IFERROR(ROUND(Z40/N40,4),0)),IFERROR(ROUND(Z40/N40,4),0))</f>
        <v>0</v>
      </c>
      <c r="AM40" s="297">
        <f>IFERROR(IF(VLOOKUP($B40,Shortage!$A:$M,AM$2,FALSE)="Shortage",1,IFERROR(ROUND(AA40/O40,4),0)),IFERROR(ROUND(AA40/O40,4),0))</f>
        <v>0</v>
      </c>
      <c r="AN40" s="298">
        <f>IFERROR(_xlfn.XLOOKUP(AB40,'2) หลักการคำนวน Table'!$C$3:$K$3,'2) หลักการคำนวน Table'!$C$3:$K$3,,1),INDEX('2) หลักการคำนวน Table'!$C$3:$K$3,1))</f>
        <v>0.9</v>
      </c>
      <c r="AO40" s="298">
        <f>IFERROR(
  _xlfn.XLOOKUP(AC40,'2) หลักการคำนวน Table'!$C$3:$K$3,'2) หลักการคำนวน Table'!$C$3:$K$3,,1),
  IF(AC40&lt;MIN('2) หลักการคำนวน Table'!$C$3:$K$3),
     MIN('2) หลักการคำนวน Table'!$C$3:$K$3),
     MAX('2) หลักการคำนวน Table'!$C$3:$K$3)
  )
)</f>
        <v>0.9</v>
      </c>
      <c r="AP40" s="298">
        <f>IFERROR(
  _xlfn.XLOOKUP(AD40,'2) หลักการคำนวน Table'!$C$3:$K$3,'2) หลักการคำนวน Table'!$C$3:$K$3,,1),
  IF(AD40&lt;MIN('2) หลักการคำนวน Table'!$C$3:$K$3),
     MIN('2) หลักการคำนวน Table'!$C$3:$K$3),
     MAX('2) หลักการคำนวน Table'!$C$3:$K$3)
  )
)</f>
        <v>0.9</v>
      </c>
      <c r="AQ40" s="298">
        <f>IFERROR(
  _xlfn.XLOOKUP(AE40,'2) หลักการคำนวน Table'!$C$3:$K$3,'2) หลักการคำนวน Table'!$C$3:$K$3,,1),
  IF(AE40&lt;MIN('2) หลักการคำนวน Table'!$C$3:$K$3),
     MIN('2) หลักการคำนวน Table'!$C$3:$K$3),
     MAX('2) หลักการคำนวน Table'!$C$3:$K$3)
  )
)</f>
        <v>0.9</v>
      </c>
      <c r="AR40" s="298">
        <f>IFERROR(
  _xlfn.XLOOKUP(AF40,'2) หลักการคำนวน Table'!$C$3:$K$3,'2) หลักการคำนวน Table'!$C$3:$K$3,,1),
  IF(AF40&lt;MIN('2) หลักการคำนวน Table'!$C$3:$K$3),
     MIN('2) หลักการคำนวน Table'!$C$3:$K$3),
     MAX('2) หลักการคำนวน Table'!$C$3:$K$3)
  )
)</f>
        <v>0.9</v>
      </c>
      <c r="AS40" s="298">
        <f>IFERROR(
  _xlfn.XLOOKUP(AG40,'2) หลักการคำนวน Table'!$C$3:$K$3,'2) หลักการคำนวน Table'!$C$3:$K$3,,1),
  IF(AG40&lt;MIN('2) หลักการคำนวน Table'!$C$3:$K$3),
     MIN('2) หลักการคำนวน Table'!$C$3:$K$3),
     MAX('2) หลักการคำนวน Table'!$C$3:$K$3)
  )
)</f>
        <v>0.9</v>
      </c>
      <c r="AT40" s="298">
        <f>IFERROR(
  _xlfn.XLOOKUP(AH40,'2) หลักการคำนวน Table'!$C$3:$K$3,'2) หลักการคำนวน Table'!$C$3:$K$3,,1),
  IF(AH40&lt;MIN('2) หลักการคำนวน Table'!$C$3:$K$3),
     MIN('2) หลักการคำนวน Table'!$C$3:$K$3),
     MAX('2) หลักการคำนวน Table'!$C$3:$K$3)
  )
)</f>
        <v>0.9</v>
      </c>
      <c r="AU40" s="298">
        <f>IFERROR(
  _xlfn.XLOOKUP(AI40,'2) หลักการคำนวน Table'!$C$3:$K$3,'2) หลักการคำนวน Table'!$C$3:$K$3,,1),
  IF(AI40&lt;MIN('2) หลักการคำนวน Table'!$C$3:$K$3),
     MIN('2) หลักการคำนวน Table'!$C$3:$K$3),
     MAX('2) หลักการคำนวน Table'!$C$3:$K$3)
  )
)</f>
        <v>0.9</v>
      </c>
      <c r="AV40" s="298">
        <f>IFERROR(
  _xlfn.XLOOKUP(AJ40,'2) หลักการคำนวน Table'!$C$3:$K$3,'2) หลักการคำนวน Table'!$C$3:$K$3,,1),
  IF(AJ40&lt;MIN('2) หลักการคำนวน Table'!$C$3:$K$3),
     MIN('2) หลักการคำนวน Table'!$C$3:$K$3),
     MAX('2) หลักการคำนวน Table'!$C$3:$K$3)
  )
)</f>
        <v>0.9</v>
      </c>
      <c r="AW40" s="298">
        <f>IFERROR(
  _xlfn.XLOOKUP(AK40,'2) หลักการคำนวน Table'!$C$3:$K$3,'2) หลักการคำนวน Table'!$C$3:$K$3,,1),
  IF(AK40&lt;MIN('2) หลักการคำนวน Table'!$C$3:$K$3),
     MIN('2) หลักการคำนวน Table'!$C$3:$K$3),
     MAX('2) หลักการคำนวน Table'!$C$3:$K$3)
  )
)</f>
        <v>0.9</v>
      </c>
      <c r="AX40" s="298">
        <f>IFERROR(
  _xlfn.XLOOKUP(AL40,'2) หลักการคำนวน Table'!$C$3:$K$3,'2) หลักการคำนวน Table'!$C$3:$K$3,,1),
  IF(AL40&lt;MIN('2) หลักการคำนวน Table'!$C$3:$K$3),
     MIN('2) หลักการคำนวน Table'!$C$3:$K$3),
     MAX('2) หลักการคำนวน Table'!$C$3:$K$3)
  )
)</f>
        <v>0.9</v>
      </c>
      <c r="AY40" s="298">
        <f>IFERROR(
  _xlfn.XLOOKUP(AM40,'2) หลักการคำนวน Table'!$C$3:$K$3,'2) หลักการคำนวน Table'!$C$3:$K$3,,1),
  IF(AM40&lt;MIN('2) หลักการคำนวน Table'!$C$3:$K$3),
     MIN('2) หลักการคำนวน Table'!$C$3:$K$3),
     MAX('2) หลักการคำนวน Table'!$C$3:$K$3)
  )
)</f>
        <v>0.9</v>
      </c>
      <c r="AZ40" s="299" t="e" cm="1">
        <f t="array" ref="AZ40">ROUND((_xlfn.XLOOKUP($C40,'2) หลักการคำนวน Table'!$A$4:$A$36,
_xlfn.XLOOKUP(AN40,'2)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A40" s="299" t="e" cm="1">
        <f t="array" ref="BA40">ROUND((_xlfn.XLOOKUP($C40,'2) หลักการคำนวน Table'!$A$4:$A$36,
_xlfn.XLOOKUP(AO40,'2)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B40" s="299" t="e" cm="1">
        <f t="array" ref="BB40">ROUND((_xlfn.XLOOKUP($C40,'2) หลักการคำนวน Table'!$A$4:$A$36,
_xlfn.XLOOKUP(AP40,'2)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C40" s="299" t="e" cm="1">
        <f t="array" ref="BC40">ROUND((_xlfn.XLOOKUP($C40,'2) หลักการคำนวน Table'!$A$4:$A$36,
_xlfn.XLOOKUP(AQ40,'2)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D40" s="299" t="e" cm="1">
        <f t="array" ref="BD40">ROUND((_xlfn.XLOOKUP($C40,'2) หลักการคำนวน Table'!$A$4:$A$36,
_xlfn.XLOOKUP(AR40,'2)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E40" s="299" t="e" cm="1">
        <f t="array" ref="BE40">ROUND((_xlfn.XLOOKUP($C40,'2) หลักการคำนวน Table'!$A$4:$A$36,
_xlfn.XLOOKUP(AS40,'2)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F40" s="299" t="e" cm="1">
        <f t="array" ref="BF40">ROUND((_xlfn.XLOOKUP($C40,'2) หลักการคำนวน Table'!$A$4:$A$36,
_xlfn.XLOOKUP(AT40,'2)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G40" s="299" t="e" cm="1">
        <f t="array" ref="BG40">ROUND((_xlfn.XLOOKUP($C40,'2) หลักการคำนวน Table'!$A$4:$A$36,
_xlfn.XLOOKUP(AU40,'2)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H40" s="299" t="e" cm="1">
        <f t="array" ref="BH40">ROUND((_xlfn.XLOOKUP($C40,'2) หลักการคำนวน Table'!$A$4:$A$36,
_xlfn.XLOOKUP(AV40,'2)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I40" s="299" t="e" cm="1">
        <f t="array" ref="BI40">ROUND((_xlfn.XLOOKUP($C40,'2) หลักการคำนวน Table'!$A$4:$A$36,
_xlfn.XLOOKUP(AW40,'2)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J40" s="299" t="e" cm="1">
        <f t="array" ref="BJ40">ROUND((_xlfn.XLOOKUP($C40,'2) หลักการคำนวน Table'!$A$4:$A$36,
_xlfn.XLOOKUP(AX40,'2)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K40" s="299" t="e" cm="1">
        <f t="array" ref="BK40">ROUND((_xlfn.XLOOKUP($C40,'2) หลักการคำนวน Table'!$A$4:$A$36,
_xlfn.XLOOKUP(AY40,'2)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M40" s="295">
        <v>222211</v>
      </c>
      <c r="BN40" s="300">
        <v>523</v>
      </c>
    </row>
    <row r="41" spans="1:66" ht="14.7" customHeight="1" x14ac:dyDescent="0.25">
      <c r="A41" s="126" t="e">
        <f>VLOOKUP(C41,ASTBase!E:S,13,FALSE)</f>
        <v>#N/A</v>
      </c>
      <c r="B41" s="126" t="s">
        <v>410</v>
      </c>
      <c r="C41" s="126">
        <v>5490000707</v>
      </c>
      <c r="D41" s="127">
        <v>6156.7000000000007</v>
      </c>
      <c r="E41" s="127">
        <v>6452.6</v>
      </c>
      <c r="F41" s="127">
        <v>8836.5</v>
      </c>
      <c r="G41" s="127">
        <v>6945.6</v>
      </c>
      <c r="H41" s="127">
        <v>7287</v>
      </c>
      <c r="I41" s="127">
        <v>6945.6</v>
      </c>
      <c r="J41" s="127">
        <v>7751.4</v>
      </c>
      <c r="K41" s="127">
        <v>14324.400000000001</v>
      </c>
      <c r="L41" s="127">
        <v>7551.26</v>
      </c>
      <c r="M41" s="127">
        <v>6925.84</v>
      </c>
      <c r="N41" s="127">
        <v>6296.72</v>
      </c>
      <c r="O41" s="127">
        <v>7526.1600000000008</v>
      </c>
      <c r="P41" s="127">
        <v>15300.4</v>
      </c>
      <c r="AB41" s="297">
        <f>IFERROR(IF(VLOOKUP($B41,Shortage!$A:$M,AB$2,FALSE)="Shortage",1,IFERROR(ROUND(P41/D41,4),0)),IFERROR(ROUND(P41/D41,4),0))</f>
        <v>2.4851999999999999</v>
      </c>
      <c r="AC41" s="297">
        <f>IFERROR(IF(VLOOKUP($B41,Shortage!$A:$M,AC$2,FALSE)="Shortage",1,IFERROR(ROUND(Q41/E41,4),0)),IFERROR(ROUND(Q41/E41,4),0))</f>
        <v>0</v>
      </c>
      <c r="AD41" s="297">
        <f>IFERROR(IF(VLOOKUP($B41,Shortage!$A:$M,AD$2,FALSE)="Shortage",1,IFERROR(ROUND(R41/F41,4),0)),IFERROR(ROUND(R41/F41,4),0))</f>
        <v>0</v>
      </c>
      <c r="AE41" s="297">
        <f>IFERROR(IF(VLOOKUP($B41,Shortage!$A:$M,AE$2,FALSE)="Shortage",1,IFERROR(ROUND(S41/G41,4),0)),IFERROR(ROUND(S41/G41,4),0))</f>
        <v>0</v>
      </c>
      <c r="AF41" s="297">
        <f>IFERROR(IF(VLOOKUP($B41,Shortage!$A:$M,AF$2,FALSE)="Shortage",1,IFERROR(ROUND(T41/H41,4),0)),IFERROR(ROUND(T41/H41,4),0))</f>
        <v>0</v>
      </c>
      <c r="AG41" s="297">
        <f>IFERROR(IF(VLOOKUP($B41,Shortage!$A:$M,AG$2,FALSE)="Shortage",1,IFERROR(ROUND(U41/I41,4),0)),IFERROR(ROUND(U41/I41,4),0))</f>
        <v>0</v>
      </c>
      <c r="AH41" s="297">
        <f>IFERROR(IF(VLOOKUP($B41,Shortage!$A:$M,AH$2,FALSE)="Shortage",1,IFERROR(ROUND(V41/J41,4),0)),IFERROR(ROUND(V41/J41,4),0))</f>
        <v>0</v>
      </c>
      <c r="AI41" s="297">
        <f>IFERROR(IF(VLOOKUP($B41,Shortage!$A:$M,AI$2,FALSE)="Shortage",1,IFERROR(ROUND(W41/K41,4),0)),IFERROR(ROUND(W41/K41,4),0))</f>
        <v>0</v>
      </c>
      <c r="AJ41" s="297">
        <f>IFERROR(IF(VLOOKUP($B41,Shortage!$A:$M,AJ$2,FALSE)="Shortage",1,IFERROR(ROUND(X41/L41,4),0)),IFERROR(ROUND(X41/L41,4),0))</f>
        <v>0</v>
      </c>
      <c r="AK41" s="297">
        <f>IFERROR(IF(VLOOKUP($B41,Shortage!$A:$M,AK$2,FALSE)="Shortage",1,IFERROR(ROUND(Y41/M41,4),0)),IFERROR(ROUND(Y41/M41,4),0))</f>
        <v>0</v>
      </c>
      <c r="AL41" s="297">
        <f>IFERROR(IF(VLOOKUP($B41,Shortage!$A:$M,AL$2,FALSE)="Shortage",1,IFERROR(ROUND(Z41/N41,4),0)),IFERROR(ROUND(Z41/N41,4),0))</f>
        <v>0</v>
      </c>
      <c r="AM41" s="297">
        <f>IFERROR(IF(VLOOKUP($B41,Shortage!$A:$M,AM$2,FALSE)="Shortage",1,IFERROR(ROUND(AA41/O41,4),0)),IFERROR(ROUND(AA41/O41,4),0))</f>
        <v>0</v>
      </c>
      <c r="AN41" s="298">
        <f>IFERROR(_xlfn.XLOOKUP(AB41,'2) หลักการคำนวน Table'!$C$3:$K$3,'2) หลักการคำนวน Table'!$C$3:$K$3,,1),INDEX('2) หลักการคำนวน Table'!$C$3:$K$3,1))</f>
        <v>20</v>
      </c>
      <c r="AO41" s="298">
        <f>IFERROR(
  _xlfn.XLOOKUP(AC41,'2) หลักการคำนวน Table'!$C$3:$K$3,'2) หลักการคำนวน Table'!$C$3:$K$3,,1),
  IF(AC41&lt;MIN('2) หลักการคำนวน Table'!$C$3:$K$3),
     MIN('2) หลักการคำนวน Table'!$C$3:$K$3),
     MAX('2) หลักการคำนวน Table'!$C$3:$K$3)
  )
)</f>
        <v>0.9</v>
      </c>
      <c r="AP41" s="298">
        <f>IFERROR(
  _xlfn.XLOOKUP(AD41,'2) หลักการคำนวน Table'!$C$3:$K$3,'2) หลักการคำนวน Table'!$C$3:$K$3,,1),
  IF(AD41&lt;MIN('2) หลักการคำนวน Table'!$C$3:$K$3),
     MIN('2) หลักการคำนวน Table'!$C$3:$K$3),
     MAX('2) หลักการคำนวน Table'!$C$3:$K$3)
  )
)</f>
        <v>0.9</v>
      </c>
      <c r="AQ41" s="298">
        <f>IFERROR(
  _xlfn.XLOOKUP(AE41,'2) หลักการคำนวน Table'!$C$3:$K$3,'2) หลักการคำนวน Table'!$C$3:$K$3,,1),
  IF(AE41&lt;MIN('2) หลักการคำนวน Table'!$C$3:$K$3),
     MIN('2) หลักการคำนวน Table'!$C$3:$K$3),
     MAX('2) หลักการคำนวน Table'!$C$3:$K$3)
  )
)</f>
        <v>0.9</v>
      </c>
      <c r="AR41" s="298">
        <f>IFERROR(
  _xlfn.XLOOKUP(AF41,'2) หลักการคำนวน Table'!$C$3:$K$3,'2) หลักการคำนวน Table'!$C$3:$K$3,,1),
  IF(AF41&lt;MIN('2) หลักการคำนวน Table'!$C$3:$K$3),
     MIN('2) หลักการคำนวน Table'!$C$3:$K$3),
     MAX('2) หลักการคำนวน Table'!$C$3:$K$3)
  )
)</f>
        <v>0.9</v>
      </c>
      <c r="AS41" s="298">
        <f>IFERROR(
  _xlfn.XLOOKUP(AG41,'2) หลักการคำนวน Table'!$C$3:$K$3,'2) หลักการคำนวน Table'!$C$3:$K$3,,1),
  IF(AG41&lt;MIN('2) หลักการคำนวน Table'!$C$3:$K$3),
     MIN('2) หลักการคำนวน Table'!$C$3:$K$3),
     MAX('2) หลักการคำนวน Table'!$C$3:$K$3)
  )
)</f>
        <v>0.9</v>
      </c>
      <c r="AT41" s="298">
        <f>IFERROR(
  _xlfn.XLOOKUP(AH41,'2) หลักการคำนวน Table'!$C$3:$K$3,'2) หลักการคำนวน Table'!$C$3:$K$3,,1),
  IF(AH41&lt;MIN('2) หลักการคำนวน Table'!$C$3:$K$3),
     MIN('2) หลักการคำนวน Table'!$C$3:$K$3),
     MAX('2) หลักการคำนวน Table'!$C$3:$K$3)
  )
)</f>
        <v>0.9</v>
      </c>
      <c r="AU41" s="298">
        <f>IFERROR(
  _xlfn.XLOOKUP(AI41,'2) หลักการคำนวน Table'!$C$3:$K$3,'2) หลักการคำนวน Table'!$C$3:$K$3,,1),
  IF(AI41&lt;MIN('2) หลักการคำนวน Table'!$C$3:$K$3),
     MIN('2) หลักการคำนวน Table'!$C$3:$K$3),
     MAX('2) หลักการคำนวน Table'!$C$3:$K$3)
  )
)</f>
        <v>0.9</v>
      </c>
      <c r="AV41" s="298">
        <f>IFERROR(
  _xlfn.XLOOKUP(AJ41,'2) หลักการคำนวน Table'!$C$3:$K$3,'2) หลักการคำนวน Table'!$C$3:$K$3,,1),
  IF(AJ41&lt;MIN('2) หลักการคำนวน Table'!$C$3:$K$3),
     MIN('2) หลักการคำนวน Table'!$C$3:$K$3),
     MAX('2) หลักการคำนวน Table'!$C$3:$K$3)
  )
)</f>
        <v>0.9</v>
      </c>
      <c r="AW41" s="298">
        <f>IFERROR(
  _xlfn.XLOOKUP(AK41,'2) หลักการคำนวน Table'!$C$3:$K$3,'2) หลักการคำนวน Table'!$C$3:$K$3,,1),
  IF(AK41&lt;MIN('2) หลักการคำนวน Table'!$C$3:$K$3),
     MIN('2) หลักการคำนวน Table'!$C$3:$K$3),
     MAX('2) หลักการคำนวน Table'!$C$3:$K$3)
  )
)</f>
        <v>0.9</v>
      </c>
      <c r="AX41" s="298">
        <f>IFERROR(
  _xlfn.XLOOKUP(AL41,'2) หลักการคำนวน Table'!$C$3:$K$3,'2) หลักการคำนวน Table'!$C$3:$K$3,,1),
  IF(AL41&lt;MIN('2) หลักการคำนวน Table'!$C$3:$K$3),
     MIN('2) หลักการคำนวน Table'!$C$3:$K$3),
     MAX('2) หลักการคำนวน Table'!$C$3:$K$3)
  )
)</f>
        <v>0.9</v>
      </c>
      <c r="AY41" s="298">
        <f>IFERROR(
  _xlfn.XLOOKUP(AM41,'2) หลักการคำนวน Table'!$C$3:$K$3,'2) หลักการคำนวน Table'!$C$3:$K$3,,1),
  IF(AM41&lt;MIN('2) หลักการคำนวน Table'!$C$3:$K$3),
     MIN('2) หลักการคำนวน Table'!$C$3:$K$3),
     MAX('2) หลักการคำนวน Table'!$C$3:$K$3)
  )
)</f>
        <v>0.9</v>
      </c>
      <c r="AZ41" s="299" t="e" cm="1">
        <f t="array" ref="AZ41">ROUND((_xlfn.XLOOKUP($C41,'2) หลักการคำนวน Table'!$A$4:$A$36,
_xlfn.XLOOKUP(AN41,'2)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A41" s="299" t="e" cm="1">
        <f t="array" ref="BA41">ROUND((_xlfn.XLOOKUP($C41,'2) หลักการคำนวน Table'!$A$4:$A$36,
_xlfn.XLOOKUP(AO41,'2)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B41" s="299" t="e" cm="1">
        <f t="array" ref="BB41">ROUND((_xlfn.XLOOKUP($C41,'2) หลักการคำนวน Table'!$A$4:$A$36,
_xlfn.XLOOKUP(AP41,'2)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C41" s="299" t="e" cm="1">
        <f t="array" ref="BC41">ROUND((_xlfn.XLOOKUP($C41,'2) หลักการคำนวน Table'!$A$4:$A$36,
_xlfn.XLOOKUP(AQ41,'2)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D41" s="299" t="e" cm="1">
        <f t="array" ref="BD41">ROUND((_xlfn.XLOOKUP($C41,'2) หลักการคำนวน Table'!$A$4:$A$36,
_xlfn.XLOOKUP(AR41,'2)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E41" s="299" t="e" cm="1">
        <f t="array" ref="BE41">ROUND((_xlfn.XLOOKUP($C41,'2) หลักการคำนวน Table'!$A$4:$A$36,
_xlfn.XLOOKUP(AS41,'2)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F41" s="299" t="e" cm="1">
        <f t="array" ref="BF41">ROUND((_xlfn.XLOOKUP($C41,'2) หลักการคำนวน Table'!$A$4:$A$36,
_xlfn.XLOOKUP(AT41,'2)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G41" s="299" t="e" cm="1">
        <f t="array" ref="BG41">ROUND((_xlfn.XLOOKUP($C41,'2) หลักการคำนวน Table'!$A$4:$A$36,
_xlfn.XLOOKUP(AU41,'2)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H41" s="299" t="e" cm="1">
        <f t="array" ref="BH41">ROUND((_xlfn.XLOOKUP($C41,'2) หลักการคำนวน Table'!$A$4:$A$36,
_xlfn.XLOOKUP(AV41,'2)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I41" s="299" t="e" cm="1">
        <f t="array" ref="BI41">ROUND((_xlfn.XLOOKUP($C41,'2) หลักการคำนวน Table'!$A$4:$A$36,
_xlfn.XLOOKUP(AW41,'2)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J41" s="299" t="e" cm="1">
        <f t="array" ref="BJ41">ROUND((_xlfn.XLOOKUP($C41,'2) หลักการคำนวน Table'!$A$4:$A$36,
_xlfn.XLOOKUP(AX41,'2)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K41" s="299" t="e" cm="1">
        <f t="array" ref="BK41">ROUND((_xlfn.XLOOKUP($C41,'2) หลักการคำนวน Table'!$A$4:$A$36,
_xlfn.XLOOKUP(AY41,'2)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M41" s="295">
        <v>222211</v>
      </c>
      <c r="BN41" s="300">
        <v>756</v>
      </c>
    </row>
    <row r="42" spans="1:66" ht="14.7" customHeight="1" x14ac:dyDescent="0.25">
      <c r="A42" s="126" t="e">
        <f>VLOOKUP(C42,ASTBase!E:S,13,FALSE)</f>
        <v>#N/A</v>
      </c>
      <c r="B42" s="126" t="s">
        <v>415</v>
      </c>
      <c r="C42" s="126">
        <v>5490000707</v>
      </c>
      <c r="D42" s="127">
        <v>12600</v>
      </c>
      <c r="E42" s="127">
        <v>5870</v>
      </c>
      <c r="F42" s="127">
        <v>6092.9000000000005</v>
      </c>
      <c r="G42" s="127">
        <v>5700</v>
      </c>
      <c r="H42" s="127">
        <v>5870</v>
      </c>
      <c r="I42" s="127">
        <v>6192.9000000000005</v>
      </c>
      <c r="J42" s="127">
        <v>6845.5999999999995</v>
      </c>
      <c r="K42" s="127">
        <v>17332.599999999999</v>
      </c>
      <c r="L42" s="127">
        <v>6445.6959999999999</v>
      </c>
      <c r="M42" s="127">
        <v>5700</v>
      </c>
      <c r="N42" s="127">
        <v>6140</v>
      </c>
      <c r="O42" s="127">
        <v>6709.8499999999995</v>
      </c>
      <c r="P42" s="127">
        <v>13296</v>
      </c>
      <c r="AB42" s="297">
        <f>IFERROR(IF(VLOOKUP($B42,Shortage!$A:$M,AB$2,FALSE)="Shortage",1,IFERROR(ROUND(P42/D42,4),0)),IFERROR(ROUND(P42/D42,4),0))</f>
        <v>1.0551999999999999</v>
      </c>
      <c r="AC42" s="297">
        <f>IFERROR(IF(VLOOKUP($B42,Shortage!$A:$M,AC$2,FALSE)="Shortage",1,IFERROR(ROUND(Q42/E42,4),0)),IFERROR(ROUND(Q42/E42,4),0))</f>
        <v>0</v>
      </c>
      <c r="AD42" s="297">
        <f>IFERROR(IF(VLOOKUP($B42,Shortage!$A:$M,AD$2,FALSE)="Shortage",1,IFERROR(ROUND(R42/F42,4),0)),IFERROR(ROUND(R42/F42,4),0))</f>
        <v>0</v>
      </c>
      <c r="AE42" s="297">
        <f>IFERROR(IF(VLOOKUP($B42,Shortage!$A:$M,AE$2,FALSE)="Shortage",1,IFERROR(ROUND(S42/G42,4),0)),IFERROR(ROUND(S42/G42,4),0))</f>
        <v>0</v>
      </c>
      <c r="AF42" s="297">
        <f>IFERROR(IF(VLOOKUP($B42,Shortage!$A:$M,AF$2,FALSE)="Shortage",1,IFERROR(ROUND(T42/H42,4),0)),IFERROR(ROUND(T42/H42,4),0))</f>
        <v>0</v>
      </c>
      <c r="AG42" s="297">
        <f>IFERROR(IF(VLOOKUP($B42,Shortage!$A:$M,AG$2,FALSE)="Shortage",1,IFERROR(ROUND(U42/I42,4),0)),IFERROR(ROUND(U42/I42,4),0))</f>
        <v>0</v>
      </c>
      <c r="AH42" s="297">
        <f>IFERROR(IF(VLOOKUP($B42,Shortage!$A:$M,AH$2,FALSE)="Shortage",1,IFERROR(ROUND(V42/J42,4),0)),IFERROR(ROUND(V42/J42,4),0))</f>
        <v>0</v>
      </c>
      <c r="AI42" s="297">
        <f>IFERROR(IF(VLOOKUP($B42,Shortage!$A:$M,AI$2,FALSE)="Shortage",1,IFERROR(ROUND(W42/K42,4),0)),IFERROR(ROUND(W42/K42,4),0))</f>
        <v>0</v>
      </c>
      <c r="AJ42" s="297">
        <f>IFERROR(IF(VLOOKUP($B42,Shortage!$A:$M,AJ$2,FALSE)="Shortage",1,IFERROR(ROUND(X42/L42,4),0)),IFERROR(ROUND(X42/L42,4),0))</f>
        <v>0</v>
      </c>
      <c r="AK42" s="297">
        <f>IFERROR(IF(VLOOKUP($B42,Shortage!$A:$M,AK$2,FALSE)="Shortage",1,IFERROR(ROUND(Y42/M42,4),0)),IFERROR(ROUND(Y42/M42,4),0))</f>
        <v>0</v>
      </c>
      <c r="AL42" s="297">
        <f>IFERROR(IF(VLOOKUP($B42,Shortage!$A:$M,AL$2,FALSE)="Shortage",1,IFERROR(ROUND(Z42/N42,4),0)),IFERROR(ROUND(Z42/N42,4),0))</f>
        <v>0</v>
      </c>
      <c r="AM42" s="297">
        <f>IFERROR(IF(VLOOKUP($B42,Shortage!$A:$M,AM$2,FALSE)="Shortage",1,IFERROR(ROUND(AA42/O42,4),0)),IFERROR(ROUND(AA42/O42,4),0))</f>
        <v>0</v>
      </c>
      <c r="AN42" s="298">
        <f>IFERROR(_xlfn.XLOOKUP(AB42,'2) หลักการคำนวน Table'!$C$3:$K$3,'2) หลักการคำนวน Table'!$C$3:$K$3,,1),INDEX('2) หลักการคำนวน Table'!$C$3:$K$3,1))</f>
        <v>1.06</v>
      </c>
      <c r="AO42" s="298">
        <f>IFERROR(
  _xlfn.XLOOKUP(AC42,'2) หลักการคำนวน Table'!$C$3:$K$3,'2) หลักการคำนวน Table'!$C$3:$K$3,,1),
  IF(AC42&lt;MIN('2) หลักการคำนวน Table'!$C$3:$K$3),
     MIN('2) หลักการคำนวน Table'!$C$3:$K$3),
     MAX('2) หลักการคำนวน Table'!$C$3:$K$3)
  )
)</f>
        <v>0.9</v>
      </c>
      <c r="AP42" s="298">
        <f>IFERROR(
  _xlfn.XLOOKUP(AD42,'2) หลักการคำนวน Table'!$C$3:$K$3,'2) หลักการคำนวน Table'!$C$3:$K$3,,1),
  IF(AD42&lt;MIN('2) หลักการคำนวน Table'!$C$3:$K$3),
     MIN('2) หลักการคำนวน Table'!$C$3:$K$3),
     MAX('2) หลักการคำนวน Table'!$C$3:$K$3)
  )
)</f>
        <v>0.9</v>
      </c>
      <c r="AQ42" s="298">
        <f>IFERROR(
  _xlfn.XLOOKUP(AE42,'2) หลักการคำนวน Table'!$C$3:$K$3,'2) หลักการคำนวน Table'!$C$3:$K$3,,1),
  IF(AE42&lt;MIN('2) หลักการคำนวน Table'!$C$3:$K$3),
     MIN('2) หลักการคำนวน Table'!$C$3:$K$3),
     MAX('2) หลักการคำนวน Table'!$C$3:$K$3)
  )
)</f>
        <v>0.9</v>
      </c>
      <c r="AR42" s="298">
        <f>IFERROR(
  _xlfn.XLOOKUP(AF42,'2) หลักการคำนวน Table'!$C$3:$K$3,'2) หลักการคำนวน Table'!$C$3:$K$3,,1),
  IF(AF42&lt;MIN('2) หลักการคำนวน Table'!$C$3:$K$3),
     MIN('2) หลักการคำนวน Table'!$C$3:$K$3),
     MAX('2) หลักการคำนวน Table'!$C$3:$K$3)
  )
)</f>
        <v>0.9</v>
      </c>
      <c r="AS42" s="298">
        <f>IFERROR(
  _xlfn.XLOOKUP(AG42,'2) หลักการคำนวน Table'!$C$3:$K$3,'2) หลักการคำนวน Table'!$C$3:$K$3,,1),
  IF(AG42&lt;MIN('2) หลักการคำนวน Table'!$C$3:$K$3),
     MIN('2) หลักการคำนวน Table'!$C$3:$K$3),
     MAX('2) หลักการคำนวน Table'!$C$3:$K$3)
  )
)</f>
        <v>0.9</v>
      </c>
      <c r="AT42" s="298">
        <f>IFERROR(
  _xlfn.XLOOKUP(AH42,'2) หลักการคำนวน Table'!$C$3:$K$3,'2) หลักการคำนวน Table'!$C$3:$K$3,,1),
  IF(AH42&lt;MIN('2) หลักการคำนวน Table'!$C$3:$K$3),
     MIN('2) หลักการคำนวน Table'!$C$3:$K$3),
     MAX('2) หลักการคำนวน Table'!$C$3:$K$3)
  )
)</f>
        <v>0.9</v>
      </c>
      <c r="AU42" s="298">
        <f>IFERROR(
  _xlfn.XLOOKUP(AI42,'2) หลักการคำนวน Table'!$C$3:$K$3,'2) หลักการคำนวน Table'!$C$3:$K$3,,1),
  IF(AI42&lt;MIN('2) หลักการคำนวน Table'!$C$3:$K$3),
     MIN('2) หลักการคำนวน Table'!$C$3:$K$3),
     MAX('2) หลักการคำนวน Table'!$C$3:$K$3)
  )
)</f>
        <v>0.9</v>
      </c>
      <c r="AV42" s="298">
        <f>IFERROR(
  _xlfn.XLOOKUP(AJ42,'2) หลักการคำนวน Table'!$C$3:$K$3,'2) หลักการคำนวน Table'!$C$3:$K$3,,1),
  IF(AJ42&lt;MIN('2) หลักการคำนวน Table'!$C$3:$K$3),
     MIN('2) หลักการคำนวน Table'!$C$3:$K$3),
     MAX('2) หลักการคำนวน Table'!$C$3:$K$3)
  )
)</f>
        <v>0.9</v>
      </c>
      <c r="AW42" s="298">
        <f>IFERROR(
  _xlfn.XLOOKUP(AK42,'2) หลักการคำนวน Table'!$C$3:$K$3,'2) หลักการคำนวน Table'!$C$3:$K$3,,1),
  IF(AK42&lt;MIN('2) หลักการคำนวน Table'!$C$3:$K$3),
     MIN('2) หลักการคำนวน Table'!$C$3:$K$3),
     MAX('2) หลักการคำนวน Table'!$C$3:$K$3)
  )
)</f>
        <v>0.9</v>
      </c>
      <c r="AX42" s="298">
        <f>IFERROR(
  _xlfn.XLOOKUP(AL42,'2) หลักการคำนวน Table'!$C$3:$K$3,'2) หลักการคำนวน Table'!$C$3:$K$3,,1),
  IF(AL42&lt;MIN('2) หลักการคำนวน Table'!$C$3:$K$3),
     MIN('2) หลักการคำนวน Table'!$C$3:$K$3),
     MAX('2) หลักการคำนวน Table'!$C$3:$K$3)
  )
)</f>
        <v>0.9</v>
      </c>
      <c r="AY42" s="298">
        <f>IFERROR(
  _xlfn.XLOOKUP(AM42,'2) หลักการคำนวน Table'!$C$3:$K$3,'2) หลักการคำนวน Table'!$C$3:$K$3,,1),
  IF(AM42&lt;MIN('2) หลักการคำนวน Table'!$C$3:$K$3),
     MIN('2) หลักการคำนวน Table'!$C$3:$K$3),
     MAX('2) หลักการคำนวน Table'!$C$3:$K$3)
  )
)</f>
        <v>0.9</v>
      </c>
      <c r="AZ42" s="299" t="e" cm="1">
        <f t="array" ref="AZ42">ROUND((_xlfn.XLOOKUP($C42,'2) หลักการคำนวน Table'!$A$4:$A$36,
_xlfn.XLOOKUP(AN42,'2)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A42" s="299" t="e" cm="1">
        <f t="array" ref="BA42">ROUND((_xlfn.XLOOKUP($C42,'2) หลักการคำนวน Table'!$A$4:$A$36,
_xlfn.XLOOKUP(AO42,'2)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B42" s="299" t="e" cm="1">
        <f t="array" ref="BB42">ROUND((_xlfn.XLOOKUP($C42,'2) หลักการคำนวน Table'!$A$4:$A$36,
_xlfn.XLOOKUP(AP42,'2)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C42" s="299" t="e" cm="1">
        <f t="array" ref="BC42">ROUND((_xlfn.XLOOKUP($C42,'2) หลักการคำนวน Table'!$A$4:$A$36,
_xlfn.XLOOKUP(AQ42,'2)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D42" s="299" t="e" cm="1">
        <f t="array" ref="BD42">ROUND((_xlfn.XLOOKUP($C42,'2) หลักการคำนวน Table'!$A$4:$A$36,
_xlfn.XLOOKUP(AR42,'2)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E42" s="299" t="e" cm="1">
        <f t="array" ref="BE42">ROUND((_xlfn.XLOOKUP($C42,'2) หลักการคำนวน Table'!$A$4:$A$36,
_xlfn.XLOOKUP(AS42,'2)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F42" s="299" t="e" cm="1">
        <f t="array" ref="BF42">ROUND((_xlfn.XLOOKUP($C42,'2) หลักการคำนวน Table'!$A$4:$A$36,
_xlfn.XLOOKUP(AT42,'2)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G42" s="299" t="e" cm="1">
        <f t="array" ref="BG42">ROUND((_xlfn.XLOOKUP($C42,'2) หลักการคำนวน Table'!$A$4:$A$36,
_xlfn.XLOOKUP(AU42,'2)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H42" s="299" t="e" cm="1">
        <f t="array" ref="BH42">ROUND((_xlfn.XLOOKUP($C42,'2) หลักการคำนวน Table'!$A$4:$A$36,
_xlfn.XLOOKUP(AV42,'2)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I42" s="299" t="e" cm="1">
        <f t="array" ref="BI42">ROUND((_xlfn.XLOOKUP($C42,'2) หลักการคำนวน Table'!$A$4:$A$36,
_xlfn.XLOOKUP(AW42,'2)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J42" s="299" t="e" cm="1">
        <f t="array" ref="BJ42">ROUND((_xlfn.XLOOKUP($C42,'2) หลักการคำนวน Table'!$A$4:$A$36,
_xlfn.XLOOKUP(AX42,'2)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K42" s="299" t="e" cm="1">
        <f t="array" ref="BK42">ROUND((_xlfn.XLOOKUP($C42,'2) หลักการคำนวน Table'!$A$4:$A$36,
_xlfn.XLOOKUP(AY42,'2)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M42" s="295">
        <v>222211</v>
      </c>
      <c r="BN42" s="300">
        <v>251</v>
      </c>
    </row>
    <row r="43" spans="1:66" ht="14.7" customHeight="1" x14ac:dyDescent="0.25">
      <c r="A43" s="126" t="e">
        <f>VLOOKUP(C43,ASTBase!E:S,13,FALSE)</f>
        <v>#N/A</v>
      </c>
      <c r="B43" s="126" t="s">
        <v>414</v>
      </c>
      <c r="C43" s="126">
        <v>5490000707</v>
      </c>
      <c r="D43" s="127">
        <v>4728</v>
      </c>
      <c r="E43" s="127">
        <v>6655</v>
      </c>
      <c r="F43" s="127">
        <v>5985</v>
      </c>
      <c r="G43" s="127">
        <v>6355</v>
      </c>
      <c r="H43" s="127">
        <v>6045</v>
      </c>
      <c r="I43" s="127">
        <v>6355</v>
      </c>
      <c r="J43" s="127">
        <v>8026.4</v>
      </c>
      <c r="K43" s="127">
        <v>10079.200000000001</v>
      </c>
      <c r="L43" s="127">
        <v>6781.2</v>
      </c>
      <c r="M43" s="127">
        <v>4900</v>
      </c>
      <c r="N43" s="127">
        <v>5445</v>
      </c>
      <c r="O43" s="127">
        <v>6585</v>
      </c>
      <c r="P43" s="127">
        <v>6816.0000000000009</v>
      </c>
      <c r="AB43" s="297">
        <f>IFERROR(IF(VLOOKUP($B43,Shortage!$A:$M,AB$2,FALSE)="Shortage",1,IFERROR(ROUND(P43/D43,4),0)),IFERROR(ROUND(P43/D43,4),0))</f>
        <v>1.4416</v>
      </c>
      <c r="AC43" s="297">
        <f>IFERROR(IF(VLOOKUP($B43,Shortage!$A:$M,AC$2,FALSE)="Shortage",1,IFERROR(ROUND(Q43/E43,4),0)),IFERROR(ROUND(Q43/E43,4),0))</f>
        <v>0</v>
      </c>
      <c r="AD43" s="297">
        <f>IFERROR(IF(VLOOKUP($B43,Shortage!$A:$M,AD$2,FALSE)="Shortage",1,IFERROR(ROUND(R43/F43,4),0)),IFERROR(ROUND(R43/F43,4),0))</f>
        <v>0</v>
      </c>
      <c r="AE43" s="297">
        <f>IFERROR(IF(VLOOKUP($B43,Shortage!$A:$M,AE$2,FALSE)="Shortage",1,IFERROR(ROUND(S43/G43,4),0)),IFERROR(ROUND(S43/G43,4),0))</f>
        <v>0</v>
      </c>
      <c r="AF43" s="297">
        <f>IFERROR(IF(VLOOKUP($B43,Shortage!$A:$M,AF$2,FALSE)="Shortage",1,IFERROR(ROUND(T43/H43,4),0)),IFERROR(ROUND(T43/H43,4),0))</f>
        <v>0</v>
      </c>
      <c r="AG43" s="297">
        <f>IFERROR(IF(VLOOKUP($B43,Shortage!$A:$M,AG$2,FALSE)="Shortage",1,IFERROR(ROUND(U43/I43,4),0)),IFERROR(ROUND(U43/I43,4),0))</f>
        <v>0</v>
      </c>
      <c r="AH43" s="297">
        <f>IFERROR(IF(VLOOKUP($B43,Shortage!$A:$M,AH$2,FALSE)="Shortage",1,IFERROR(ROUND(V43/J43,4),0)),IFERROR(ROUND(V43/J43,4),0))</f>
        <v>0</v>
      </c>
      <c r="AI43" s="297">
        <f>IFERROR(IF(VLOOKUP($B43,Shortage!$A:$M,AI$2,FALSE)="Shortage",1,IFERROR(ROUND(W43/K43,4),0)),IFERROR(ROUND(W43/K43,4),0))</f>
        <v>0</v>
      </c>
      <c r="AJ43" s="297">
        <f>IFERROR(IF(VLOOKUP($B43,Shortage!$A:$M,AJ$2,FALSE)="Shortage",1,IFERROR(ROUND(X43/L43,4),0)),IFERROR(ROUND(X43/L43,4),0))</f>
        <v>0</v>
      </c>
      <c r="AK43" s="297">
        <f>IFERROR(IF(VLOOKUP($B43,Shortage!$A:$M,AK$2,FALSE)="Shortage",1,IFERROR(ROUND(Y43/M43,4),0)),IFERROR(ROUND(Y43/M43,4),0))</f>
        <v>0</v>
      </c>
      <c r="AL43" s="297">
        <f>IFERROR(IF(VLOOKUP($B43,Shortage!$A:$M,AL$2,FALSE)="Shortage",1,IFERROR(ROUND(Z43/N43,4),0)),IFERROR(ROUND(Z43/N43,4),0))</f>
        <v>0</v>
      </c>
      <c r="AM43" s="297">
        <f>IFERROR(IF(VLOOKUP($B43,Shortage!$A:$M,AM$2,FALSE)="Shortage",1,IFERROR(ROUND(AA43/O43,4),0)),IFERROR(ROUND(AA43/O43,4),0))</f>
        <v>0</v>
      </c>
      <c r="AN43" s="298">
        <f>IFERROR(_xlfn.XLOOKUP(AB43,'2) หลักการคำนวน Table'!$C$3:$K$3,'2) หลักการคำนวน Table'!$C$3:$K$3,,1),INDEX('2) หลักการคำนวน Table'!$C$3:$K$3,1))</f>
        <v>20</v>
      </c>
      <c r="AO43" s="298">
        <f>IFERROR(
  _xlfn.XLOOKUP(AC43,'2) หลักการคำนวน Table'!$C$3:$K$3,'2) หลักการคำนวน Table'!$C$3:$K$3,,1),
  IF(AC43&lt;MIN('2) หลักการคำนวน Table'!$C$3:$K$3),
     MIN('2) หลักการคำนวน Table'!$C$3:$K$3),
     MAX('2) หลักการคำนวน Table'!$C$3:$K$3)
  )
)</f>
        <v>0.9</v>
      </c>
      <c r="AP43" s="298">
        <f>IFERROR(
  _xlfn.XLOOKUP(AD43,'2) หลักการคำนวน Table'!$C$3:$K$3,'2) หลักการคำนวน Table'!$C$3:$K$3,,1),
  IF(AD43&lt;MIN('2) หลักการคำนวน Table'!$C$3:$K$3),
     MIN('2) หลักการคำนวน Table'!$C$3:$K$3),
     MAX('2) หลักการคำนวน Table'!$C$3:$K$3)
  )
)</f>
        <v>0.9</v>
      </c>
      <c r="AQ43" s="298">
        <f>IFERROR(
  _xlfn.XLOOKUP(AE43,'2) หลักการคำนวน Table'!$C$3:$K$3,'2) หลักการคำนวน Table'!$C$3:$K$3,,1),
  IF(AE43&lt;MIN('2) หลักการคำนวน Table'!$C$3:$K$3),
     MIN('2) หลักการคำนวน Table'!$C$3:$K$3),
     MAX('2) หลักการคำนวน Table'!$C$3:$K$3)
  )
)</f>
        <v>0.9</v>
      </c>
      <c r="AR43" s="298">
        <f>IFERROR(
  _xlfn.XLOOKUP(AF43,'2) หลักการคำนวน Table'!$C$3:$K$3,'2) หลักการคำนวน Table'!$C$3:$K$3,,1),
  IF(AF43&lt;MIN('2) หลักการคำนวน Table'!$C$3:$K$3),
     MIN('2) หลักการคำนวน Table'!$C$3:$K$3),
     MAX('2) หลักการคำนวน Table'!$C$3:$K$3)
  )
)</f>
        <v>0.9</v>
      </c>
      <c r="AS43" s="298">
        <f>IFERROR(
  _xlfn.XLOOKUP(AG43,'2) หลักการคำนวน Table'!$C$3:$K$3,'2) หลักการคำนวน Table'!$C$3:$K$3,,1),
  IF(AG43&lt;MIN('2) หลักการคำนวน Table'!$C$3:$K$3),
     MIN('2) หลักการคำนวน Table'!$C$3:$K$3),
     MAX('2) หลักการคำนวน Table'!$C$3:$K$3)
  )
)</f>
        <v>0.9</v>
      </c>
      <c r="AT43" s="298">
        <f>IFERROR(
  _xlfn.XLOOKUP(AH43,'2) หลักการคำนวน Table'!$C$3:$K$3,'2) หลักการคำนวน Table'!$C$3:$K$3,,1),
  IF(AH43&lt;MIN('2) หลักการคำนวน Table'!$C$3:$K$3),
     MIN('2) หลักการคำนวน Table'!$C$3:$K$3),
     MAX('2) หลักการคำนวน Table'!$C$3:$K$3)
  )
)</f>
        <v>0.9</v>
      </c>
      <c r="AU43" s="298">
        <f>IFERROR(
  _xlfn.XLOOKUP(AI43,'2) หลักการคำนวน Table'!$C$3:$K$3,'2) หลักการคำนวน Table'!$C$3:$K$3,,1),
  IF(AI43&lt;MIN('2) หลักการคำนวน Table'!$C$3:$K$3),
     MIN('2) หลักการคำนวน Table'!$C$3:$K$3),
     MAX('2) หลักการคำนวน Table'!$C$3:$K$3)
  )
)</f>
        <v>0.9</v>
      </c>
      <c r="AV43" s="298">
        <f>IFERROR(
  _xlfn.XLOOKUP(AJ43,'2) หลักการคำนวน Table'!$C$3:$K$3,'2) หลักการคำนวน Table'!$C$3:$K$3,,1),
  IF(AJ43&lt;MIN('2) หลักการคำนวน Table'!$C$3:$K$3),
     MIN('2) หลักการคำนวน Table'!$C$3:$K$3),
     MAX('2) หลักการคำนวน Table'!$C$3:$K$3)
  )
)</f>
        <v>0.9</v>
      </c>
      <c r="AW43" s="298">
        <f>IFERROR(
  _xlfn.XLOOKUP(AK43,'2) หลักการคำนวน Table'!$C$3:$K$3,'2) หลักการคำนวน Table'!$C$3:$K$3,,1),
  IF(AK43&lt;MIN('2) หลักการคำนวน Table'!$C$3:$K$3),
     MIN('2) หลักการคำนวน Table'!$C$3:$K$3),
     MAX('2) หลักการคำนวน Table'!$C$3:$K$3)
  )
)</f>
        <v>0.9</v>
      </c>
      <c r="AX43" s="298">
        <f>IFERROR(
  _xlfn.XLOOKUP(AL43,'2) หลักการคำนวน Table'!$C$3:$K$3,'2) หลักการคำนวน Table'!$C$3:$K$3,,1),
  IF(AL43&lt;MIN('2) หลักการคำนวน Table'!$C$3:$K$3),
     MIN('2) หลักการคำนวน Table'!$C$3:$K$3),
     MAX('2) หลักการคำนวน Table'!$C$3:$K$3)
  )
)</f>
        <v>0.9</v>
      </c>
      <c r="AY43" s="298">
        <f>IFERROR(
  _xlfn.XLOOKUP(AM43,'2) หลักการคำนวน Table'!$C$3:$K$3,'2) หลักการคำนวน Table'!$C$3:$K$3,,1),
  IF(AM43&lt;MIN('2) หลักการคำนวน Table'!$C$3:$K$3),
     MIN('2) หลักการคำนวน Table'!$C$3:$K$3),
     MAX('2) หลักการคำนวน Table'!$C$3:$K$3)
  )
)</f>
        <v>0.9</v>
      </c>
      <c r="AZ43" s="299" t="e" cm="1">
        <f t="array" ref="AZ43">ROUND((_xlfn.XLOOKUP($C43,'2) หลักการคำนวน Table'!$A$4:$A$36,
_xlfn.XLOOKUP(AN43,'2)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A43" s="299" t="e" cm="1">
        <f t="array" ref="BA43">ROUND((_xlfn.XLOOKUP($C43,'2) หลักการคำนวน Table'!$A$4:$A$36,
_xlfn.XLOOKUP(AO43,'2)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B43" s="299" t="e" cm="1">
        <f t="array" ref="BB43">ROUND((_xlfn.XLOOKUP($C43,'2) หลักการคำนวน Table'!$A$4:$A$36,
_xlfn.XLOOKUP(AP43,'2)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C43" s="299" t="e" cm="1">
        <f t="array" ref="BC43">ROUND((_xlfn.XLOOKUP($C43,'2) หลักการคำนวน Table'!$A$4:$A$36,
_xlfn.XLOOKUP(AQ43,'2)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D43" s="299" t="e" cm="1">
        <f t="array" ref="BD43">ROUND((_xlfn.XLOOKUP($C43,'2) หลักการคำนวน Table'!$A$4:$A$36,
_xlfn.XLOOKUP(AR43,'2)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E43" s="299" t="e" cm="1">
        <f t="array" ref="BE43">ROUND((_xlfn.XLOOKUP($C43,'2) หลักการคำนวน Table'!$A$4:$A$36,
_xlfn.XLOOKUP(AS43,'2)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F43" s="299" t="e" cm="1">
        <f t="array" ref="BF43">ROUND((_xlfn.XLOOKUP($C43,'2) หลักการคำนวน Table'!$A$4:$A$36,
_xlfn.XLOOKUP(AT43,'2)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G43" s="299" t="e" cm="1">
        <f t="array" ref="BG43">ROUND((_xlfn.XLOOKUP($C43,'2) หลักการคำนวน Table'!$A$4:$A$36,
_xlfn.XLOOKUP(AU43,'2)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H43" s="299" t="e" cm="1">
        <f t="array" ref="BH43">ROUND((_xlfn.XLOOKUP($C43,'2) หลักการคำนวน Table'!$A$4:$A$36,
_xlfn.XLOOKUP(AV43,'2)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I43" s="299" t="e" cm="1">
        <f t="array" ref="BI43">ROUND((_xlfn.XLOOKUP($C43,'2) หลักการคำนวน Table'!$A$4:$A$36,
_xlfn.XLOOKUP(AW43,'2)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J43" s="299" t="e" cm="1">
        <f t="array" ref="BJ43">ROUND((_xlfn.XLOOKUP($C43,'2) หลักการคำนวน Table'!$A$4:$A$36,
_xlfn.XLOOKUP(AX43,'2)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K43" s="299" t="e" cm="1">
        <f t="array" ref="BK43">ROUND((_xlfn.XLOOKUP($C43,'2) หลักการคำนวน Table'!$A$4:$A$36,
_xlfn.XLOOKUP(AY43,'2)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M43" s="295">
        <v>222211</v>
      </c>
      <c r="BN43" s="300">
        <v>302</v>
      </c>
    </row>
    <row r="44" spans="1:66" ht="14.7" customHeight="1" x14ac:dyDescent="0.25">
      <c r="A44" s="126" t="e">
        <f>VLOOKUP(C44,ASTBase!E:S,13,FALSE)</f>
        <v>#N/A</v>
      </c>
      <c r="B44" s="126" t="s">
        <v>412</v>
      </c>
      <c r="C44" s="126">
        <v>5490000707</v>
      </c>
      <c r="D44" s="127">
        <v>14012</v>
      </c>
      <c r="E44" s="127">
        <v>13642</v>
      </c>
      <c r="F44" s="127">
        <v>10776.999999914651</v>
      </c>
      <c r="G44" s="127">
        <v>12582</v>
      </c>
      <c r="H44" s="127">
        <v>10716.999999914651</v>
      </c>
      <c r="I44" s="127">
        <v>12652</v>
      </c>
      <c r="J44" s="127">
        <v>14520.400000000001</v>
      </c>
      <c r="K44" s="127">
        <v>14664.8</v>
      </c>
      <c r="L44" s="127">
        <v>10786.999999914651</v>
      </c>
      <c r="M44" s="127">
        <v>8542</v>
      </c>
      <c r="N44" s="127">
        <v>8542</v>
      </c>
      <c r="O44" s="127">
        <v>13652</v>
      </c>
      <c r="P44" s="127">
        <v>16469.999999777949</v>
      </c>
      <c r="AB44" s="297">
        <f>IFERROR(IF(VLOOKUP($B44,Shortage!$A:$M,AB$2,FALSE)="Shortage",1,IFERROR(ROUND(P44/D44,4),0)),IFERROR(ROUND(P44/D44,4),0))</f>
        <v>1</v>
      </c>
      <c r="AC44" s="297">
        <f>IFERROR(IF(VLOOKUP($B44,Shortage!$A:$M,AC$2,FALSE)="Shortage",1,IFERROR(ROUND(Q44/E44,4),0)),IFERROR(ROUND(Q44/E44,4),0))</f>
        <v>0</v>
      </c>
      <c r="AD44" s="297">
        <f>IFERROR(IF(VLOOKUP($B44,Shortage!$A:$M,AD$2,FALSE)="Shortage",1,IFERROR(ROUND(R44/F44,4),0)),IFERROR(ROUND(R44/F44,4),0))</f>
        <v>0</v>
      </c>
      <c r="AE44" s="297">
        <f>IFERROR(IF(VLOOKUP($B44,Shortage!$A:$M,AE$2,FALSE)="Shortage",1,IFERROR(ROUND(S44/G44,4),0)),IFERROR(ROUND(S44/G44,4),0))</f>
        <v>0</v>
      </c>
      <c r="AF44" s="297">
        <f>IFERROR(IF(VLOOKUP($B44,Shortage!$A:$M,AF$2,FALSE)="Shortage",1,IFERROR(ROUND(T44/H44,4),0)),IFERROR(ROUND(T44/H44,4),0))</f>
        <v>0</v>
      </c>
      <c r="AG44" s="297">
        <f>IFERROR(IF(VLOOKUP($B44,Shortage!$A:$M,AG$2,FALSE)="Shortage",1,IFERROR(ROUND(U44/I44,4),0)),IFERROR(ROUND(U44/I44,4),0))</f>
        <v>0</v>
      </c>
      <c r="AH44" s="297">
        <f>IFERROR(IF(VLOOKUP($B44,Shortage!$A:$M,AH$2,FALSE)="Shortage",1,IFERROR(ROUND(V44/J44,4),0)),IFERROR(ROUND(V44/J44,4),0))</f>
        <v>0</v>
      </c>
      <c r="AI44" s="297">
        <f>IFERROR(IF(VLOOKUP($B44,Shortage!$A:$M,AI$2,FALSE)="Shortage",1,IFERROR(ROUND(W44/K44,4),0)),IFERROR(ROUND(W44/K44,4),0))</f>
        <v>0</v>
      </c>
      <c r="AJ44" s="297">
        <f>IFERROR(IF(VLOOKUP($B44,Shortage!$A:$M,AJ$2,FALSE)="Shortage",1,IFERROR(ROUND(X44/L44,4),0)),IFERROR(ROUND(X44/L44,4),0))</f>
        <v>0</v>
      </c>
      <c r="AK44" s="297">
        <f>IFERROR(IF(VLOOKUP($B44,Shortage!$A:$M,AK$2,FALSE)="Shortage",1,IFERROR(ROUND(Y44/M44,4),0)),IFERROR(ROUND(Y44/M44,4),0))</f>
        <v>0</v>
      </c>
      <c r="AL44" s="297">
        <f>IFERROR(IF(VLOOKUP($B44,Shortage!$A:$M,AL$2,FALSE)="Shortage",1,IFERROR(ROUND(Z44/N44,4),0)),IFERROR(ROUND(Z44/N44,4),0))</f>
        <v>0</v>
      </c>
      <c r="AM44" s="297">
        <f>IFERROR(IF(VLOOKUP($B44,Shortage!$A:$M,AM$2,FALSE)="Shortage",1,IFERROR(ROUND(AA44/O44,4),0)),IFERROR(ROUND(AA44/O44,4),0))</f>
        <v>0</v>
      </c>
      <c r="AN44" s="298">
        <f>IFERROR(_xlfn.XLOOKUP(AB44,'2) หลักการคำนวน Table'!$C$3:$K$3,'2) หลักการคำนวน Table'!$C$3:$K$3,,1),INDEX('2) หลักการคำนวน Table'!$C$3:$K$3,1))</f>
        <v>1</v>
      </c>
      <c r="AO44" s="298">
        <f>IFERROR(
  _xlfn.XLOOKUP(AC44,'2) หลักการคำนวน Table'!$C$3:$K$3,'2) หลักการคำนวน Table'!$C$3:$K$3,,1),
  IF(AC44&lt;MIN('2) หลักการคำนวน Table'!$C$3:$K$3),
     MIN('2) หลักการคำนวน Table'!$C$3:$K$3),
     MAX('2) หลักการคำนวน Table'!$C$3:$K$3)
  )
)</f>
        <v>0.9</v>
      </c>
      <c r="AP44" s="298">
        <f>IFERROR(
  _xlfn.XLOOKUP(AD44,'2) หลักการคำนวน Table'!$C$3:$K$3,'2) หลักการคำนวน Table'!$C$3:$K$3,,1),
  IF(AD44&lt;MIN('2) หลักการคำนวน Table'!$C$3:$K$3),
     MIN('2) หลักการคำนวน Table'!$C$3:$K$3),
     MAX('2) หลักการคำนวน Table'!$C$3:$K$3)
  )
)</f>
        <v>0.9</v>
      </c>
      <c r="AQ44" s="298">
        <f>IFERROR(
  _xlfn.XLOOKUP(AE44,'2) หลักการคำนวน Table'!$C$3:$K$3,'2) หลักการคำนวน Table'!$C$3:$K$3,,1),
  IF(AE44&lt;MIN('2) หลักการคำนวน Table'!$C$3:$K$3),
     MIN('2) หลักการคำนวน Table'!$C$3:$K$3),
     MAX('2) หลักการคำนวน Table'!$C$3:$K$3)
  )
)</f>
        <v>0.9</v>
      </c>
      <c r="AR44" s="298">
        <f>IFERROR(
  _xlfn.XLOOKUP(AF44,'2) หลักการคำนวน Table'!$C$3:$K$3,'2) หลักการคำนวน Table'!$C$3:$K$3,,1),
  IF(AF44&lt;MIN('2) หลักการคำนวน Table'!$C$3:$K$3),
     MIN('2) หลักการคำนวน Table'!$C$3:$K$3),
     MAX('2) หลักการคำนวน Table'!$C$3:$K$3)
  )
)</f>
        <v>0.9</v>
      </c>
      <c r="AS44" s="298">
        <f>IFERROR(
  _xlfn.XLOOKUP(AG44,'2) หลักการคำนวน Table'!$C$3:$K$3,'2) หลักการคำนวน Table'!$C$3:$K$3,,1),
  IF(AG44&lt;MIN('2) หลักการคำนวน Table'!$C$3:$K$3),
     MIN('2) หลักการคำนวน Table'!$C$3:$K$3),
     MAX('2) หลักการคำนวน Table'!$C$3:$K$3)
  )
)</f>
        <v>0.9</v>
      </c>
      <c r="AT44" s="298">
        <f>IFERROR(
  _xlfn.XLOOKUP(AH44,'2) หลักการคำนวน Table'!$C$3:$K$3,'2) หลักการคำนวน Table'!$C$3:$K$3,,1),
  IF(AH44&lt;MIN('2) หลักการคำนวน Table'!$C$3:$K$3),
     MIN('2) หลักการคำนวน Table'!$C$3:$K$3),
     MAX('2) หลักการคำนวน Table'!$C$3:$K$3)
  )
)</f>
        <v>0.9</v>
      </c>
      <c r="AU44" s="298">
        <f>IFERROR(
  _xlfn.XLOOKUP(AI44,'2) หลักการคำนวน Table'!$C$3:$K$3,'2) หลักการคำนวน Table'!$C$3:$K$3,,1),
  IF(AI44&lt;MIN('2) หลักการคำนวน Table'!$C$3:$K$3),
     MIN('2) หลักการคำนวน Table'!$C$3:$K$3),
     MAX('2) หลักการคำนวน Table'!$C$3:$K$3)
  )
)</f>
        <v>0.9</v>
      </c>
      <c r="AV44" s="298">
        <f>IFERROR(
  _xlfn.XLOOKUP(AJ44,'2) หลักการคำนวน Table'!$C$3:$K$3,'2) หลักการคำนวน Table'!$C$3:$K$3,,1),
  IF(AJ44&lt;MIN('2) หลักการคำนวน Table'!$C$3:$K$3),
     MIN('2) หลักการคำนวน Table'!$C$3:$K$3),
     MAX('2) หลักการคำนวน Table'!$C$3:$K$3)
  )
)</f>
        <v>0.9</v>
      </c>
      <c r="AW44" s="298">
        <f>IFERROR(
  _xlfn.XLOOKUP(AK44,'2) หลักการคำนวน Table'!$C$3:$K$3,'2) หลักการคำนวน Table'!$C$3:$K$3,,1),
  IF(AK44&lt;MIN('2) หลักการคำนวน Table'!$C$3:$K$3),
     MIN('2) หลักการคำนวน Table'!$C$3:$K$3),
     MAX('2) หลักการคำนวน Table'!$C$3:$K$3)
  )
)</f>
        <v>0.9</v>
      </c>
      <c r="AX44" s="298">
        <f>IFERROR(
  _xlfn.XLOOKUP(AL44,'2) หลักการคำนวน Table'!$C$3:$K$3,'2) หลักการคำนวน Table'!$C$3:$K$3,,1),
  IF(AL44&lt;MIN('2) หลักการคำนวน Table'!$C$3:$K$3),
     MIN('2) หลักการคำนวน Table'!$C$3:$K$3),
     MAX('2) หลักการคำนวน Table'!$C$3:$K$3)
  )
)</f>
        <v>0.9</v>
      </c>
      <c r="AY44" s="298">
        <f>IFERROR(
  _xlfn.XLOOKUP(AM44,'2) หลักการคำนวน Table'!$C$3:$K$3,'2) หลักการคำนวน Table'!$C$3:$K$3,,1),
  IF(AM44&lt;MIN('2) หลักการคำนวน Table'!$C$3:$K$3),
     MIN('2) หลักการคำนวน Table'!$C$3:$K$3),
     MAX('2) หลักการคำนวน Table'!$C$3:$K$3)
  )
)</f>
        <v>0.9</v>
      </c>
      <c r="AZ44" s="299" t="e" cm="1">
        <f t="array" ref="AZ44">ROUND((_xlfn.XLOOKUP($C44,'2) หลักการคำนวน Table'!$A$4:$A$36,
_xlfn.XLOOKUP(AN44,'2)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A44" s="299" t="e" cm="1">
        <f t="array" ref="BA44">ROUND((_xlfn.XLOOKUP($C44,'2) หลักการคำนวน Table'!$A$4:$A$36,
_xlfn.XLOOKUP(AO44,'2)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B44" s="299" t="e" cm="1">
        <f t="array" ref="BB44">ROUND((_xlfn.XLOOKUP($C44,'2) หลักการคำนวน Table'!$A$4:$A$36,
_xlfn.XLOOKUP(AP44,'2)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C44" s="299" t="e" cm="1">
        <f t="array" ref="BC44">ROUND((_xlfn.XLOOKUP($C44,'2) หลักการคำนวน Table'!$A$4:$A$36,
_xlfn.XLOOKUP(AQ44,'2)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D44" s="299" t="e" cm="1">
        <f t="array" ref="BD44">ROUND((_xlfn.XLOOKUP($C44,'2) หลักการคำนวน Table'!$A$4:$A$36,
_xlfn.XLOOKUP(AR44,'2)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E44" s="299" t="e" cm="1">
        <f t="array" ref="BE44">ROUND((_xlfn.XLOOKUP($C44,'2) หลักการคำนวน Table'!$A$4:$A$36,
_xlfn.XLOOKUP(AS44,'2)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F44" s="299" t="e" cm="1">
        <f t="array" ref="BF44">ROUND((_xlfn.XLOOKUP($C44,'2) หลักการคำนวน Table'!$A$4:$A$36,
_xlfn.XLOOKUP(AT44,'2)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G44" s="299" t="e" cm="1">
        <f t="array" ref="BG44">ROUND((_xlfn.XLOOKUP($C44,'2) หลักการคำนวน Table'!$A$4:$A$36,
_xlfn.XLOOKUP(AU44,'2)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H44" s="299" t="e" cm="1">
        <f t="array" ref="BH44">ROUND((_xlfn.XLOOKUP($C44,'2) หลักการคำนวน Table'!$A$4:$A$36,
_xlfn.XLOOKUP(AV44,'2)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I44" s="299" t="e" cm="1">
        <f t="array" ref="BI44">ROUND((_xlfn.XLOOKUP($C44,'2) หลักการคำนวน Table'!$A$4:$A$36,
_xlfn.XLOOKUP(AW44,'2)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J44" s="299" t="e" cm="1">
        <f t="array" ref="BJ44">ROUND((_xlfn.XLOOKUP($C44,'2) หลักการคำนวน Table'!$A$4:$A$36,
_xlfn.XLOOKUP(AX44,'2)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K44" s="299" t="e" cm="1">
        <f t="array" ref="BK44">ROUND((_xlfn.XLOOKUP($C44,'2) หลักการคำนวน Table'!$A$4:$A$36,
_xlfn.XLOOKUP(AY44,'2)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M44" s="295">
        <v>222211</v>
      </c>
      <c r="BN44" s="300">
        <v>581</v>
      </c>
    </row>
    <row r="45" spans="1:66" ht="14.7" customHeight="1" x14ac:dyDescent="0.25">
      <c r="A45" s="126" t="e">
        <f>VLOOKUP(C45,ASTBase!E:S,13,FALSE)</f>
        <v>#N/A</v>
      </c>
      <c r="B45" s="126" t="s">
        <v>411</v>
      </c>
      <c r="C45" s="126">
        <v>5490000707</v>
      </c>
      <c r="D45" s="127">
        <v>12583</v>
      </c>
      <c r="E45" s="127">
        <v>12058</v>
      </c>
      <c r="F45" s="127">
        <v>12687.5</v>
      </c>
      <c r="G45" s="127">
        <v>11865</v>
      </c>
      <c r="H45" s="127">
        <v>10395</v>
      </c>
      <c r="I45" s="127">
        <v>12311.25</v>
      </c>
      <c r="J45" s="127">
        <v>14070</v>
      </c>
      <c r="K45" s="127">
        <v>42563.1</v>
      </c>
      <c r="L45" s="127">
        <v>10046.4</v>
      </c>
      <c r="M45" s="127">
        <v>9638.125</v>
      </c>
      <c r="N45" s="127">
        <v>8936.6666666666679</v>
      </c>
      <c r="O45" s="127">
        <v>12057.5</v>
      </c>
      <c r="P45" s="127">
        <v>20667.78</v>
      </c>
      <c r="AB45" s="297">
        <f>IFERROR(IF(VLOOKUP($B45,Shortage!$A:$M,AB$2,FALSE)="Shortage",1,IFERROR(ROUND(P45/D45,4),0)),IFERROR(ROUND(P45/D45,4),0))</f>
        <v>1.6425000000000001</v>
      </c>
      <c r="AC45" s="297">
        <f>IFERROR(IF(VLOOKUP($B45,Shortage!$A:$M,AC$2,FALSE)="Shortage",1,IFERROR(ROUND(Q45/E45,4),0)),IFERROR(ROUND(Q45/E45,4),0))</f>
        <v>0</v>
      </c>
      <c r="AD45" s="297">
        <f>IFERROR(IF(VLOOKUP($B45,Shortage!$A:$M,AD$2,FALSE)="Shortage",1,IFERROR(ROUND(R45/F45,4),0)),IFERROR(ROUND(R45/F45,4),0))</f>
        <v>0</v>
      </c>
      <c r="AE45" s="297">
        <f>IFERROR(IF(VLOOKUP($B45,Shortage!$A:$M,AE$2,FALSE)="Shortage",1,IFERROR(ROUND(S45/G45,4),0)),IFERROR(ROUND(S45/G45,4),0))</f>
        <v>0</v>
      </c>
      <c r="AF45" s="297">
        <f>IFERROR(IF(VLOOKUP($B45,Shortage!$A:$M,AF$2,FALSE)="Shortage",1,IFERROR(ROUND(T45/H45,4),0)),IFERROR(ROUND(T45/H45,4),0))</f>
        <v>0</v>
      </c>
      <c r="AG45" s="297">
        <f>IFERROR(IF(VLOOKUP($B45,Shortage!$A:$M,AG$2,FALSE)="Shortage",1,IFERROR(ROUND(U45/I45,4),0)),IFERROR(ROUND(U45/I45,4),0))</f>
        <v>0</v>
      </c>
      <c r="AH45" s="297">
        <f>IFERROR(IF(VLOOKUP($B45,Shortage!$A:$M,AH$2,FALSE)="Shortage",1,IFERROR(ROUND(V45/J45,4),0)),IFERROR(ROUND(V45/J45,4),0))</f>
        <v>0</v>
      </c>
      <c r="AI45" s="297">
        <f>IFERROR(IF(VLOOKUP($B45,Shortage!$A:$M,AI$2,FALSE)="Shortage",1,IFERROR(ROUND(W45/K45,4),0)),IFERROR(ROUND(W45/K45,4),0))</f>
        <v>0</v>
      </c>
      <c r="AJ45" s="297">
        <f>IFERROR(IF(VLOOKUP($B45,Shortage!$A:$M,AJ$2,FALSE)="Shortage",1,IFERROR(ROUND(X45/L45,4),0)),IFERROR(ROUND(X45/L45,4),0))</f>
        <v>0</v>
      </c>
      <c r="AK45" s="297">
        <f>IFERROR(IF(VLOOKUP($B45,Shortage!$A:$M,AK$2,FALSE)="Shortage",1,IFERROR(ROUND(Y45/M45,4),0)),IFERROR(ROUND(Y45/M45,4),0))</f>
        <v>0</v>
      </c>
      <c r="AL45" s="297">
        <f>IFERROR(IF(VLOOKUP($B45,Shortage!$A:$M,AL$2,FALSE)="Shortage",1,IFERROR(ROUND(Z45/N45,4),0)),IFERROR(ROUND(Z45/N45,4),0))</f>
        <v>0</v>
      </c>
      <c r="AM45" s="297">
        <f>IFERROR(IF(VLOOKUP($B45,Shortage!$A:$M,AM$2,FALSE)="Shortage",1,IFERROR(ROUND(AA45/O45,4),0)),IFERROR(ROUND(AA45/O45,4),0))</f>
        <v>0</v>
      </c>
      <c r="AN45" s="298">
        <f>IFERROR(_xlfn.XLOOKUP(AB45,'2) หลักการคำนวน Table'!$C$3:$K$3,'2) หลักการคำนวน Table'!$C$3:$K$3,,1),INDEX('2) หลักการคำนวน Table'!$C$3:$K$3,1))</f>
        <v>20</v>
      </c>
      <c r="AO45" s="298">
        <f>IFERROR(
  _xlfn.XLOOKUP(AC45,'2) หลักการคำนวน Table'!$C$3:$K$3,'2) หลักการคำนวน Table'!$C$3:$K$3,,1),
  IF(AC45&lt;MIN('2) หลักการคำนวน Table'!$C$3:$K$3),
     MIN('2) หลักการคำนวน Table'!$C$3:$K$3),
     MAX('2) หลักการคำนวน Table'!$C$3:$K$3)
  )
)</f>
        <v>0.9</v>
      </c>
      <c r="AP45" s="298">
        <f>IFERROR(
  _xlfn.XLOOKUP(AD45,'2) หลักการคำนวน Table'!$C$3:$K$3,'2) หลักการคำนวน Table'!$C$3:$K$3,,1),
  IF(AD45&lt;MIN('2) หลักการคำนวน Table'!$C$3:$K$3),
     MIN('2) หลักการคำนวน Table'!$C$3:$K$3),
     MAX('2) หลักการคำนวน Table'!$C$3:$K$3)
  )
)</f>
        <v>0.9</v>
      </c>
      <c r="AQ45" s="298">
        <f>IFERROR(
  _xlfn.XLOOKUP(AE45,'2) หลักการคำนวน Table'!$C$3:$K$3,'2) หลักการคำนวน Table'!$C$3:$K$3,,1),
  IF(AE45&lt;MIN('2) หลักการคำนวน Table'!$C$3:$K$3),
     MIN('2) หลักการคำนวน Table'!$C$3:$K$3),
     MAX('2) หลักการคำนวน Table'!$C$3:$K$3)
  )
)</f>
        <v>0.9</v>
      </c>
      <c r="AR45" s="298">
        <f>IFERROR(
  _xlfn.XLOOKUP(AF45,'2) หลักการคำนวน Table'!$C$3:$K$3,'2) หลักการคำนวน Table'!$C$3:$K$3,,1),
  IF(AF45&lt;MIN('2) หลักการคำนวน Table'!$C$3:$K$3),
     MIN('2) หลักการคำนวน Table'!$C$3:$K$3),
     MAX('2) หลักการคำนวน Table'!$C$3:$K$3)
  )
)</f>
        <v>0.9</v>
      </c>
      <c r="AS45" s="298">
        <f>IFERROR(
  _xlfn.XLOOKUP(AG45,'2) หลักการคำนวน Table'!$C$3:$K$3,'2) หลักการคำนวน Table'!$C$3:$K$3,,1),
  IF(AG45&lt;MIN('2) หลักการคำนวน Table'!$C$3:$K$3),
     MIN('2) หลักการคำนวน Table'!$C$3:$K$3),
     MAX('2) หลักการคำนวน Table'!$C$3:$K$3)
  )
)</f>
        <v>0.9</v>
      </c>
      <c r="AT45" s="298">
        <f>IFERROR(
  _xlfn.XLOOKUP(AH45,'2) หลักการคำนวน Table'!$C$3:$K$3,'2) หลักการคำนวน Table'!$C$3:$K$3,,1),
  IF(AH45&lt;MIN('2) หลักการคำนวน Table'!$C$3:$K$3),
     MIN('2) หลักการคำนวน Table'!$C$3:$K$3),
     MAX('2) หลักการคำนวน Table'!$C$3:$K$3)
  )
)</f>
        <v>0.9</v>
      </c>
      <c r="AU45" s="298">
        <f>IFERROR(
  _xlfn.XLOOKUP(AI45,'2) หลักการคำนวน Table'!$C$3:$K$3,'2) หลักการคำนวน Table'!$C$3:$K$3,,1),
  IF(AI45&lt;MIN('2) หลักการคำนวน Table'!$C$3:$K$3),
     MIN('2) หลักการคำนวน Table'!$C$3:$K$3),
     MAX('2) หลักการคำนวน Table'!$C$3:$K$3)
  )
)</f>
        <v>0.9</v>
      </c>
      <c r="AV45" s="298">
        <f>IFERROR(
  _xlfn.XLOOKUP(AJ45,'2) หลักการคำนวน Table'!$C$3:$K$3,'2) หลักการคำนวน Table'!$C$3:$K$3,,1),
  IF(AJ45&lt;MIN('2) หลักการคำนวน Table'!$C$3:$K$3),
     MIN('2) หลักการคำนวน Table'!$C$3:$K$3),
     MAX('2) หลักการคำนวน Table'!$C$3:$K$3)
  )
)</f>
        <v>0.9</v>
      </c>
      <c r="AW45" s="298">
        <f>IFERROR(
  _xlfn.XLOOKUP(AK45,'2) หลักการคำนวน Table'!$C$3:$K$3,'2) หลักการคำนวน Table'!$C$3:$K$3,,1),
  IF(AK45&lt;MIN('2) หลักการคำนวน Table'!$C$3:$K$3),
     MIN('2) หลักการคำนวน Table'!$C$3:$K$3),
     MAX('2) หลักการคำนวน Table'!$C$3:$K$3)
  )
)</f>
        <v>0.9</v>
      </c>
      <c r="AX45" s="298">
        <f>IFERROR(
  _xlfn.XLOOKUP(AL45,'2) หลักการคำนวน Table'!$C$3:$K$3,'2) หลักการคำนวน Table'!$C$3:$K$3,,1),
  IF(AL45&lt;MIN('2) หลักการคำนวน Table'!$C$3:$K$3),
     MIN('2) หลักการคำนวน Table'!$C$3:$K$3),
     MAX('2) หลักการคำนวน Table'!$C$3:$K$3)
  )
)</f>
        <v>0.9</v>
      </c>
      <c r="AY45" s="298">
        <f>IFERROR(
  _xlfn.XLOOKUP(AM45,'2) หลักการคำนวน Table'!$C$3:$K$3,'2) หลักการคำนวน Table'!$C$3:$K$3,,1),
  IF(AM45&lt;MIN('2) หลักการคำนวน Table'!$C$3:$K$3),
     MIN('2) หลักการคำนวน Table'!$C$3:$K$3),
     MAX('2) หลักการคำนวน Table'!$C$3:$K$3)
  )
)</f>
        <v>0.9</v>
      </c>
      <c r="AZ45" s="299" t="e" cm="1">
        <f t="array" ref="AZ45">ROUND((_xlfn.XLOOKUP($C45,'2) หลักการคำนวน Table'!$A$4:$A$36,
_xlfn.XLOOKUP(AN45,'2)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A45" s="299" t="e" cm="1">
        <f t="array" ref="BA45">ROUND((_xlfn.XLOOKUP($C45,'2) หลักการคำนวน Table'!$A$4:$A$36,
_xlfn.XLOOKUP(AO45,'2)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B45" s="299" t="e" cm="1">
        <f t="array" ref="BB45">ROUND((_xlfn.XLOOKUP($C45,'2) หลักการคำนวน Table'!$A$4:$A$36,
_xlfn.XLOOKUP(AP45,'2)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C45" s="299" t="e" cm="1">
        <f t="array" ref="BC45">ROUND((_xlfn.XLOOKUP($C45,'2) หลักการคำนวน Table'!$A$4:$A$36,
_xlfn.XLOOKUP(AQ45,'2)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D45" s="299" t="e" cm="1">
        <f t="array" ref="BD45">ROUND((_xlfn.XLOOKUP($C45,'2) หลักการคำนวน Table'!$A$4:$A$36,
_xlfn.XLOOKUP(AR45,'2)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E45" s="299" t="e" cm="1">
        <f t="array" ref="BE45">ROUND((_xlfn.XLOOKUP($C45,'2) หลักการคำนวน Table'!$A$4:$A$36,
_xlfn.XLOOKUP(AS45,'2)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F45" s="299" t="e" cm="1">
        <f t="array" ref="BF45">ROUND((_xlfn.XLOOKUP($C45,'2) หลักการคำนวน Table'!$A$4:$A$36,
_xlfn.XLOOKUP(AT45,'2)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G45" s="299" t="e" cm="1">
        <f t="array" ref="BG45">ROUND((_xlfn.XLOOKUP($C45,'2) หลักการคำนวน Table'!$A$4:$A$36,
_xlfn.XLOOKUP(AU45,'2)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H45" s="299" t="e" cm="1">
        <f t="array" ref="BH45">ROUND((_xlfn.XLOOKUP($C45,'2) หลักการคำนวน Table'!$A$4:$A$36,
_xlfn.XLOOKUP(AV45,'2)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I45" s="299" t="e" cm="1">
        <f t="array" ref="BI45">ROUND((_xlfn.XLOOKUP($C45,'2) หลักการคำนวน Table'!$A$4:$A$36,
_xlfn.XLOOKUP(AW45,'2)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J45" s="299" t="e" cm="1">
        <f t="array" ref="BJ45">ROUND((_xlfn.XLOOKUP($C45,'2) หลักการคำนวน Table'!$A$4:$A$36,
_xlfn.XLOOKUP(AX45,'2)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K45" s="299" t="e" cm="1">
        <f t="array" ref="BK45">ROUND((_xlfn.XLOOKUP($C45,'2) หลักการคำนวน Table'!$A$4:$A$36,
_xlfn.XLOOKUP(AY45,'2)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M45" s="295">
        <v>222211</v>
      </c>
      <c r="BN45" s="300">
        <v>756</v>
      </c>
    </row>
    <row r="46" spans="1:66" ht="14.7" customHeight="1" x14ac:dyDescent="0.25">
      <c r="A46" s="126" t="e">
        <f>VLOOKUP(C46,ASTBase!E:S,13,FALSE)</f>
        <v>#N/A</v>
      </c>
      <c r="B46" s="126" t="s">
        <v>417</v>
      </c>
      <c r="C46" s="126">
        <v>5490000707</v>
      </c>
      <c r="D46" s="127">
        <v>0</v>
      </c>
      <c r="E46" s="127">
        <v>0</v>
      </c>
      <c r="F46" s="127">
        <v>0</v>
      </c>
      <c r="G46" s="127">
        <v>8</v>
      </c>
      <c r="H46" s="127">
        <v>6</v>
      </c>
      <c r="I46" s="127">
        <v>6</v>
      </c>
      <c r="J46" s="127">
        <v>8</v>
      </c>
      <c r="K46" s="127">
        <v>6</v>
      </c>
      <c r="L46" s="127">
        <v>6</v>
      </c>
      <c r="M46" s="127">
        <v>8</v>
      </c>
      <c r="N46" s="127">
        <v>6</v>
      </c>
      <c r="O46" s="127">
        <v>6</v>
      </c>
      <c r="P46" s="127">
        <v>0</v>
      </c>
      <c r="AB46" s="297">
        <f>IFERROR(IF(VLOOKUP($B46,Shortage!$A:$M,AB$2,FALSE)="Shortage",1,IFERROR(ROUND(P46/D46,4),0)),IFERROR(ROUND(P46/D46,4),0))</f>
        <v>0</v>
      </c>
      <c r="AC46" s="297">
        <f>IFERROR(IF(VLOOKUP($B46,Shortage!$A:$M,AC$2,FALSE)="Shortage",1,IFERROR(ROUND(Q46/E46,4),0)),IFERROR(ROUND(Q46/E46,4),0))</f>
        <v>0</v>
      </c>
      <c r="AD46" s="297">
        <f>IFERROR(IF(VLOOKUP($B46,Shortage!$A:$M,AD$2,FALSE)="Shortage",1,IFERROR(ROUND(R46/F46,4),0)),IFERROR(ROUND(R46/F46,4),0))</f>
        <v>0</v>
      </c>
      <c r="AE46" s="297">
        <f>IFERROR(IF(VLOOKUP($B46,Shortage!$A:$M,AE$2,FALSE)="Shortage",1,IFERROR(ROUND(S46/G46,4),0)),IFERROR(ROUND(S46/G46,4),0))</f>
        <v>0</v>
      </c>
      <c r="AF46" s="297">
        <f>IFERROR(IF(VLOOKUP($B46,Shortage!$A:$M,AF$2,FALSE)="Shortage",1,IFERROR(ROUND(T46/H46,4),0)),IFERROR(ROUND(T46/H46,4),0))</f>
        <v>0</v>
      </c>
      <c r="AG46" s="297">
        <f>IFERROR(IF(VLOOKUP($B46,Shortage!$A:$M,AG$2,FALSE)="Shortage",1,IFERROR(ROUND(U46/I46,4),0)),IFERROR(ROUND(U46/I46,4),0))</f>
        <v>0</v>
      </c>
      <c r="AH46" s="297">
        <f>IFERROR(IF(VLOOKUP($B46,Shortage!$A:$M,AH$2,FALSE)="Shortage",1,IFERROR(ROUND(V46/J46,4),0)),IFERROR(ROUND(V46/J46,4),0))</f>
        <v>0</v>
      </c>
      <c r="AI46" s="297">
        <f>IFERROR(IF(VLOOKUP($B46,Shortage!$A:$M,AI$2,FALSE)="Shortage",1,IFERROR(ROUND(W46/K46,4),0)),IFERROR(ROUND(W46/K46,4),0))</f>
        <v>0</v>
      </c>
      <c r="AJ46" s="297">
        <f>IFERROR(IF(VLOOKUP($B46,Shortage!$A:$M,AJ$2,FALSE)="Shortage",1,IFERROR(ROUND(X46/L46,4),0)),IFERROR(ROUND(X46/L46,4),0))</f>
        <v>0</v>
      </c>
      <c r="AK46" s="297">
        <f>IFERROR(IF(VLOOKUP($B46,Shortage!$A:$M,AK$2,FALSE)="Shortage",1,IFERROR(ROUND(Y46/M46,4),0)),IFERROR(ROUND(Y46/M46,4),0))</f>
        <v>0</v>
      </c>
      <c r="AL46" s="297">
        <f>IFERROR(IF(VLOOKUP($B46,Shortage!$A:$M,AL$2,FALSE)="Shortage",1,IFERROR(ROUND(Z46/N46,4),0)),IFERROR(ROUND(Z46/N46,4),0))</f>
        <v>0</v>
      </c>
      <c r="AM46" s="297">
        <f>IFERROR(IF(VLOOKUP($B46,Shortage!$A:$M,AM$2,FALSE)="Shortage",1,IFERROR(ROUND(AA46/O46,4),0)),IFERROR(ROUND(AA46/O46,4),0))</f>
        <v>0</v>
      </c>
      <c r="AN46" s="298">
        <f>IFERROR(_xlfn.XLOOKUP(AB46,'2) หลักการคำนวน Table'!$C$3:$K$3,'2) หลักการคำนวน Table'!$C$3:$K$3,,1),INDEX('2) หลักการคำนวน Table'!$C$3:$K$3,1))</f>
        <v>0.9</v>
      </c>
      <c r="AO46" s="298">
        <f>IFERROR(
  _xlfn.XLOOKUP(AC46,'2) หลักการคำนวน Table'!$C$3:$K$3,'2) หลักการคำนวน Table'!$C$3:$K$3,,1),
  IF(AC46&lt;MIN('2) หลักการคำนวน Table'!$C$3:$K$3),
     MIN('2) หลักการคำนวน Table'!$C$3:$K$3),
     MAX('2) หลักการคำนวน Table'!$C$3:$K$3)
  )
)</f>
        <v>0.9</v>
      </c>
      <c r="AP46" s="298">
        <f>IFERROR(
  _xlfn.XLOOKUP(AD46,'2) หลักการคำนวน Table'!$C$3:$K$3,'2) หลักการคำนวน Table'!$C$3:$K$3,,1),
  IF(AD46&lt;MIN('2) หลักการคำนวน Table'!$C$3:$K$3),
     MIN('2) หลักการคำนวน Table'!$C$3:$K$3),
     MAX('2) หลักการคำนวน Table'!$C$3:$K$3)
  )
)</f>
        <v>0.9</v>
      </c>
      <c r="AQ46" s="298">
        <f>IFERROR(
  _xlfn.XLOOKUP(AE46,'2) หลักการคำนวน Table'!$C$3:$K$3,'2) หลักการคำนวน Table'!$C$3:$K$3,,1),
  IF(AE46&lt;MIN('2) หลักการคำนวน Table'!$C$3:$K$3),
     MIN('2) หลักการคำนวน Table'!$C$3:$K$3),
     MAX('2) หลักการคำนวน Table'!$C$3:$K$3)
  )
)</f>
        <v>0.9</v>
      </c>
      <c r="AR46" s="298">
        <f>IFERROR(
  _xlfn.XLOOKUP(AF46,'2) หลักการคำนวน Table'!$C$3:$K$3,'2) หลักการคำนวน Table'!$C$3:$K$3,,1),
  IF(AF46&lt;MIN('2) หลักการคำนวน Table'!$C$3:$K$3),
     MIN('2) หลักการคำนวน Table'!$C$3:$K$3),
     MAX('2) หลักการคำนวน Table'!$C$3:$K$3)
  )
)</f>
        <v>0.9</v>
      </c>
      <c r="AS46" s="298">
        <f>IFERROR(
  _xlfn.XLOOKUP(AG46,'2) หลักการคำนวน Table'!$C$3:$K$3,'2) หลักการคำนวน Table'!$C$3:$K$3,,1),
  IF(AG46&lt;MIN('2) หลักการคำนวน Table'!$C$3:$K$3),
     MIN('2) หลักการคำนวน Table'!$C$3:$K$3),
     MAX('2) หลักการคำนวน Table'!$C$3:$K$3)
  )
)</f>
        <v>0.9</v>
      </c>
      <c r="AT46" s="298">
        <f>IFERROR(
  _xlfn.XLOOKUP(AH46,'2) หลักการคำนวน Table'!$C$3:$K$3,'2) หลักการคำนวน Table'!$C$3:$K$3,,1),
  IF(AH46&lt;MIN('2) หลักการคำนวน Table'!$C$3:$K$3),
     MIN('2) หลักการคำนวน Table'!$C$3:$K$3),
     MAX('2) หลักการคำนวน Table'!$C$3:$K$3)
  )
)</f>
        <v>0.9</v>
      </c>
      <c r="AU46" s="298">
        <f>IFERROR(
  _xlfn.XLOOKUP(AI46,'2) หลักการคำนวน Table'!$C$3:$K$3,'2) หลักการคำนวน Table'!$C$3:$K$3,,1),
  IF(AI46&lt;MIN('2) หลักการคำนวน Table'!$C$3:$K$3),
     MIN('2) หลักการคำนวน Table'!$C$3:$K$3),
     MAX('2) หลักการคำนวน Table'!$C$3:$K$3)
  )
)</f>
        <v>0.9</v>
      </c>
      <c r="AV46" s="298">
        <f>IFERROR(
  _xlfn.XLOOKUP(AJ46,'2) หลักการคำนวน Table'!$C$3:$K$3,'2) หลักการคำนวน Table'!$C$3:$K$3,,1),
  IF(AJ46&lt;MIN('2) หลักการคำนวน Table'!$C$3:$K$3),
     MIN('2) หลักการคำนวน Table'!$C$3:$K$3),
     MAX('2) หลักการคำนวน Table'!$C$3:$K$3)
  )
)</f>
        <v>0.9</v>
      </c>
      <c r="AW46" s="298">
        <f>IFERROR(
  _xlfn.XLOOKUP(AK46,'2) หลักการคำนวน Table'!$C$3:$K$3,'2) หลักการคำนวน Table'!$C$3:$K$3,,1),
  IF(AK46&lt;MIN('2) หลักการคำนวน Table'!$C$3:$K$3),
     MIN('2) หลักการคำนวน Table'!$C$3:$K$3),
     MAX('2) หลักการคำนวน Table'!$C$3:$K$3)
  )
)</f>
        <v>0.9</v>
      </c>
      <c r="AX46" s="298">
        <f>IFERROR(
  _xlfn.XLOOKUP(AL46,'2) หลักการคำนวน Table'!$C$3:$K$3,'2) หลักการคำนวน Table'!$C$3:$K$3,,1),
  IF(AL46&lt;MIN('2) หลักการคำนวน Table'!$C$3:$K$3),
     MIN('2) หลักการคำนวน Table'!$C$3:$K$3),
     MAX('2) หลักการคำนวน Table'!$C$3:$K$3)
  )
)</f>
        <v>0.9</v>
      </c>
      <c r="AY46" s="298">
        <f>IFERROR(
  _xlfn.XLOOKUP(AM46,'2) หลักการคำนวน Table'!$C$3:$K$3,'2) หลักการคำนวน Table'!$C$3:$K$3,,1),
  IF(AM46&lt;MIN('2) หลักการคำนวน Table'!$C$3:$K$3),
     MIN('2) หลักการคำนวน Table'!$C$3:$K$3),
     MAX('2) หลักการคำนวน Table'!$C$3:$K$3)
  )
)</f>
        <v>0.9</v>
      </c>
      <c r="AZ46" s="299" t="e" cm="1">
        <f t="array" ref="AZ46">ROUND((_xlfn.XLOOKUP($C46,'2) หลักการคำนวน Table'!$A$4:$A$36,
_xlfn.XLOOKUP(AN46,'2)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A46" s="299" t="e" cm="1">
        <f t="array" ref="BA46">ROUND((_xlfn.XLOOKUP($C46,'2) หลักการคำนวน Table'!$A$4:$A$36,
_xlfn.XLOOKUP(AO46,'2)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B46" s="299" t="e" cm="1">
        <f t="array" ref="BB46">ROUND((_xlfn.XLOOKUP($C46,'2) หลักการคำนวน Table'!$A$4:$A$36,
_xlfn.XLOOKUP(AP46,'2)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C46" s="299" t="e" cm="1">
        <f t="array" ref="BC46">ROUND((_xlfn.XLOOKUP($C46,'2) หลักการคำนวน Table'!$A$4:$A$36,
_xlfn.XLOOKUP(AQ46,'2)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D46" s="299" t="e" cm="1">
        <f t="array" ref="BD46">ROUND((_xlfn.XLOOKUP($C46,'2) หลักการคำนวน Table'!$A$4:$A$36,
_xlfn.XLOOKUP(AR46,'2)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E46" s="299" t="e" cm="1">
        <f t="array" ref="BE46">ROUND((_xlfn.XLOOKUP($C46,'2) หลักการคำนวน Table'!$A$4:$A$36,
_xlfn.XLOOKUP(AS46,'2)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F46" s="299" t="e" cm="1">
        <f t="array" ref="BF46">ROUND((_xlfn.XLOOKUP($C46,'2) หลักการคำนวน Table'!$A$4:$A$36,
_xlfn.XLOOKUP(AT46,'2)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G46" s="299" t="e" cm="1">
        <f t="array" ref="BG46">ROUND((_xlfn.XLOOKUP($C46,'2) หลักการคำนวน Table'!$A$4:$A$36,
_xlfn.XLOOKUP(AU46,'2)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H46" s="299" t="e" cm="1">
        <f t="array" ref="BH46">ROUND((_xlfn.XLOOKUP($C46,'2) หลักการคำนวน Table'!$A$4:$A$36,
_xlfn.XLOOKUP(AV46,'2)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I46" s="299" t="e" cm="1">
        <f t="array" ref="BI46">ROUND((_xlfn.XLOOKUP($C46,'2) หลักการคำนวน Table'!$A$4:$A$36,
_xlfn.XLOOKUP(AW46,'2)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J46" s="299" t="e" cm="1">
        <f t="array" ref="BJ46">ROUND((_xlfn.XLOOKUP($C46,'2) หลักการคำนวน Table'!$A$4:$A$36,
_xlfn.XLOOKUP(AX46,'2)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K46" s="299" t="e" cm="1">
        <f t="array" ref="BK46">ROUND((_xlfn.XLOOKUP($C46,'2) หลักการคำนวน Table'!$A$4:$A$36,
_xlfn.XLOOKUP(AY46,'2)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M46" s="295">
        <v>222211</v>
      </c>
      <c r="BN46" s="300">
        <v>0</v>
      </c>
    </row>
    <row r="47" spans="1:66" ht="14.7" customHeight="1" x14ac:dyDescent="0.25">
      <c r="A47" s="126" t="e">
        <f>VLOOKUP(C47,ASTBase!E:S,13,FALSE)</f>
        <v>#N/A</v>
      </c>
      <c r="B47" s="126" t="s">
        <v>405</v>
      </c>
      <c r="C47" s="126">
        <v>5490000701</v>
      </c>
      <c r="D47" s="127">
        <v>23542</v>
      </c>
      <c r="E47" s="127">
        <v>19080</v>
      </c>
      <c r="F47" s="127">
        <v>20868</v>
      </c>
      <c r="G47" s="127">
        <v>21960</v>
      </c>
      <c r="H47" s="127">
        <v>22590</v>
      </c>
      <c r="I47" s="127">
        <v>29242</v>
      </c>
      <c r="J47" s="127">
        <v>22460</v>
      </c>
      <c r="K47" s="127">
        <v>21760</v>
      </c>
      <c r="L47" s="127">
        <v>24730</v>
      </c>
      <c r="M47" s="127">
        <v>23520</v>
      </c>
      <c r="N47" s="127">
        <v>22878</v>
      </c>
      <c r="O47" s="127">
        <v>24370</v>
      </c>
      <c r="P47" s="126">
        <v>29164</v>
      </c>
      <c r="AB47" s="297">
        <f>IFERROR(IF(VLOOKUP($B47,Shortage!$A:$M,AB$2,FALSE)="Shortage",1,IFERROR(ROUND(P47/D47,4),0)),IFERROR(ROUND(P47/D47,4),0))</f>
        <v>1</v>
      </c>
      <c r="AC47" s="297">
        <f>IFERROR(IF(VLOOKUP($B47,Shortage!$A:$M,AC$2,FALSE)="Shortage",1,IFERROR(ROUND(Q47/E47,4),0)),IFERROR(ROUND(Q47/E47,4),0))</f>
        <v>0</v>
      </c>
      <c r="AD47" s="297">
        <f>IFERROR(IF(VLOOKUP($B47,Shortage!$A:$M,AD$2,FALSE)="Shortage",1,IFERROR(ROUND(R47/F47,4),0)),IFERROR(ROUND(R47/F47,4),0))</f>
        <v>0</v>
      </c>
      <c r="AE47" s="297">
        <f>IFERROR(IF(VLOOKUP($B47,Shortage!$A:$M,AE$2,FALSE)="Shortage",1,IFERROR(ROUND(S47/G47,4),0)),IFERROR(ROUND(S47/G47,4),0))</f>
        <v>0</v>
      </c>
      <c r="AF47" s="297">
        <f>IFERROR(IF(VLOOKUP($B47,Shortage!$A:$M,AF$2,FALSE)="Shortage",1,IFERROR(ROUND(T47/H47,4),0)),IFERROR(ROUND(T47/H47,4),0))</f>
        <v>0</v>
      </c>
      <c r="AG47" s="297">
        <f>IFERROR(IF(VLOOKUP($B47,Shortage!$A:$M,AG$2,FALSE)="Shortage",1,IFERROR(ROUND(U47/I47,4),0)),IFERROR(ROUND(U47/I47,4),0))</f>
        <v>0</v>
      </c>
      <c r="AH47" s="297">
        <f>IFERROR(IF(VLOOKUP($B47,Shortage!$A:$M,AH$2,FALSE)="Shortage",1,IFERROR(ROUND(V47/J47,4),0)),IFERROR(ROUND(V47/J47,4),0))</f>
        <v>0</v>
      </c>
      <c r="AI47" s="297">
        <f>IFERROR(IF(VLOOKUP($B47,Shortage!$A:$M,AI$2,FALSE)="Shortage",1,IFERROR(ROUND(W47/K47,4),0)),IFERROR(ROUND(W47/K47,4),0))</f>
        <v>0</v>
      </c>
      <c r="AJ47" s="297">
        <f>IFERROR(IF(VLOOKUP($B47,Shortage!$A:$M,AJ$2,FALSE)="Shortage",1,IFERROR(ROUND(X47/L47,4),0)),IFERROR(ROUND(X47/L47,4),0))</f>
        <v>0</v>
      </c>
      <c r="AK47" s="297">
        <f>IFERROR(IF(VLOOKUP($B47,Shortage!$A:$M,AK$2,FALSE)="Shortage",1,IFERROR(ROUND(Y47/M47,4),0)),IFERROR(ROUND(Y47/M47,4),0))</f>
        <v>0</v>
      </c>
      <c r="AL47" s="297">
        <f>IFERROR(IF(VLOOKUP($B47,Shortage!$A:$M,AL$2,FALSE)="Shortage",1,IFERROR(ROUND(Z47/N47,4),0)),IFERROR(ROUND(Z47/N47,4),0))</f>
        <v>0</v>
      </c>
      <c r="AM47" s="297">
        <f>IFERROR(IF(VLOOKUP($B47,Shortage!$A:$M,AM$2,FALSE)="Shortage",1,IFERROR(ROUND(AA47/O47,4),0)),IFERROR(ROUND(AA47/O47,4),0))</f>
        <v>0</v>
      </c>
      <c r="AN47" s="298">
        <f>IFERROR(_xlfn.XLOOKUP(AB47,'2) หลักการคำนวน Table'!$C$3:$K$3,'2) หลักการคำนวน Table'!$C$3:$K$3,,1),INDEX('2) หลักการคำนวน Table'!$C$3:$K$3,1))</f>
        <v>1</v>
      </c>
      <c r="AO47" s="298">
        <f>IFERROR(
  _xlfn.XLOOKUP(AC47,'2) หลักการคำนวน Table'!$C$3:$K$3,'2) หลักการคำนวน Table'!$C$3:$K$3,,1),
  IF(AC47&lt;MIN('2) หลักการคำนวน Table'!$C$3:$K$3),
     MIN('2) หลักการคำนวน Table'!$C$3:$K$3),
     MAX('2) หลักการคำนวน Table'!$C$3:$K$3)
  )
)</f>
        <v>0.9</v>
      </c>
      <c r="AP47" s="298">
        <f>IFERROR(
  _xlfn.XLOOKUP(AD47,'2) หลักการคำนวน Table'!$C$3:$K$3,'2) หลักการคำนวน Table'!$C$3:$K$3,,1),
  IF(AD47&lt;MIN('2) หลักการคำนวน Table'!$C$3:$K$3),
     MIN('2) หลักการคำนวน Table'!$C$3:$K$3),
     MAX('2) หลักการคำนวน Table'!$C$3:$K$3)
  )
)</f>
        <v>0.9</v>
      </c>
      <c r="AQ47" s="298">
        <f>IFERROR(
  _xlfn.XLOOKUP(AE47,'2) หลักการคำนวน Table'!$C$3:$K$3,'2) หลักการคำนวน Table'!$C$3:$K$3,,1),
  IF(AE47&lt;MIN('2) หลักการคำนวน Table'!$C$3:$K$3),
     MIN('2) หลักการคำนวน Table'!$C$3:$K$3),
     MAX('2) หลักการคำนวน Table'!$C$3:$K$3)
  )
)</f>
        <v>0.9</v>
      </c>
      <c r="AR47" s="298">
        <f>IFERROR(
  _xlfn.XLOOKUP(AF47,'2) หลักการคำนวน Table'!$C$3:$K$3,'2) หลักการคำนวน Table'!$C$3:$K$3,,1),
  IF(AF47&lt;MIN('2) หลักการคำนวน Table'!$C$3:$K$3),
     MIN('2) หลักการคำนวน Table'!$C$3:$K$3),
     MAX('2) หลักการคำนวน Table'!$C$3:$K$3)
  )
)</f>
        <v>0.9</v>
      </c>
      <c r="AS47" s="298">
        <f>IFERROR(
  _xlfn.XLOOKUP(AG47,'2) หลักการคำนวน Table'!$C$3:$K$3,'2) หลักการคำนวน Table'!$C$3:$K$3,,1),
  IF(AG47&lt;MIN('2) หลักการคำนวน Table'!$C$3:$K$3),
     MIN('2) หลักการคำนวน Table'!$C$3:$K$3),
     MAX('2) หลักการคำนวน Table'!$C$3:$K$3)
  )
)</f>
        <v>0.9</v>
      </c>
      <c r="AT47" s="298">
        <f>IFERROR(
  _xlfn.XLOOKUP(AH47,'2) หลักการคำนวน Table'!$C$3:$K$3,'2) หลักการคำนวน Table'!$C$3:$K$3,,1),
  IF(AH47&lt;MIN('2) หลักการคำนวน Table'!$C$3:$K$3),
     MIN('2) หลักการคำนวน Table'!$C$3:$K$3),
     MAX('2) หลักการคำนวน Table'!$C$3:$K$3)
  )
)</f>
        <v>0.9</v>
      </c>
      <c r="AU47" s="298">
        <f>IFERROR(
  _xlfn.XLOOKUP(AI47,'2) หลักการคำนวน Table'!$C$3:$K$3,'2) หลักการคำนวน Table'!$C$3:$K$3,,1),
  IF(AI47&lt;MIN('2) หลักการคำนวน Table'!$C$3:$K$3),
     MIN('2) หลักการคำนวน Table'!$C$3:$K$3),
     MAX('2) หลักการคำนวน Table'!$C$3:$K$3)
  )
)</f>
        <v>0.9</v>
      </c>
      <c r="AV47" s="298">
        <f>IFERROR(
  _xlfn.XLOOKUP(AJ47,'2) หลักการคำนวน Table'!$C$3:$K$3,'2) หลักการคำนวน Table'!$C$3:$K$3,,1),
  IF(AJ47&lt;MIN('2) หลักการคำนวน Table'!$C$3:$K$3),
     MIN('2) หลักการคำนวน Table'!$C$3:$K$3),
     MAX('2) หลักการคำนวน Table'!$C$3:$K$3)
  )
)</f>
        <v>0.9</v>
      </c>
      <c r="AW47" s="298">
        <f>IFERROR(
  _xlfn.XLOOKUP(AK47,'2) หลักการคำนวน Table'!$C$3:$K$3,'2) หลักการคำนวน Table'!$C$3:$K$3,,1),
  IF(AK47&lt;MIN('2) หลักการคำนวน Table'!$C$3:$K$3),
     MIN('2) หลักการคำนวน Table'!$C$3:$K$3),
     MAX('2) หลักการคำนวน Table'!$C$3:$K$3)
  )
)</f>
        <v>0.9</v>
      </c>
      <c r="AX47" s="298">
        <f>IFERROR(
  _xlfn.XLOOKUP(AL47,'2) หลักการคำนวน Table'!$C$3:$K$3,'2) หลักการคำนวน Table'!$C$3:$K$3,,1),
  IF(AL47&lt;MIN('2) หลักการคำนวน Table'!$C$3:$K$3),
     MIN('2) หลักการคำนวน Table'!$C$3:$K$3),
     MAX('2) หลักการคำนวน Table'!$C$3:$K$3)
  )
)</f>
        <v>0.9</v>
      </c>
      <c r="AY47" s="298">
        <f>IFERROR(
  _xlfn.XLOOKUP(AM47,'2) หลักการคำนวน Table'!$C$3:$K$3,'2) หลักการคำนวน Table'!$C$3:$K$3,,1),
  IF(AM47&lt;MIN('2) หลักการคำนวน Table'!$C$3:$K$3),
     MIN('2) หลักการคำนวน Table'!$C$3:$K$3),
     MAX('2) หลักการคำนวน Table'!$C$3:$K$3)
  )
)</f>
        <v>0.9</v>
      </c>
      <c r="AZ47" s="299" t="e" cm="1">
        <f t="array" ref="AZ47">ROUND((_xlfn.XLOOKUP($C47,'2) หลักการคำนวน Table'!$A$4:$A$36,
_xlfn.XLOOKUP(AN47,'2)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A47" s="299" t="e" cm="1">
        <f t="array" ref="BA47">ROUND((_xlfn.XLOOKUP($C47,'2) หลักการคำนวน Table'!$A$4:$A$36,
_xlfn.XLOOKUP(AO47,'2)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B47" s="299" t="e" cm="1">
        <f t="array" ref="BB47">ROUND((_xlfn.XLOOKUP($C47,'2) หลักการคำนวน Table'!$A$4:$A$36,
_xlfn.XLOOKUP(AP47,'2)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C47" s="299" t="e" cm="1">
        <f t="array" ref="BC47">ROUND((_xlfn.XLOOKUP($C47,'2) หลักการคำนวน Table'!$A$4:$A$36,
_xlfn.XLOOKUP(AQ47,'2)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D47" s="299" t="e" cm="1">
        <f t="array" ref="BD47">ROUND((_xlfn.XLOOKUP($C47,'2) หลักการคำนวน Table'!$A$4:$A$36,
_xlfn.XLOOKUP(AR47,'2)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E47" s="299" t="e" cm="1">
        <f t="array" ref="BE47">ROUND((_xlfn.XLOOKUP($C47,'2) หลักการคำนวน Table'!$A$4:$A$36,
_xlfn.XLOOKUP(AS47,'2)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F47" s="299" t="e" cm="1">
        <f t="array" ref="BF47">ROUND((_xlfn.XLOOKUP($C47,'2) หลักการคำนวน Table'!$A$4:$A$36,
_xlfn.XLOOKUP(AT47,'2)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G47" s="299" t="e" cm="1">
        <f t="array" ref="BG47">ROUND((_xlfn.XLOOKUP($C47,'2) หลักการคำนวน Table'!$A$4:$A$36,
_xlfn.XLOOKUP(AU47,'2)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H47" s="299" t="e" cm="1">
        <f t="array" ref="BH47">ROUND((_xlfn.XLOOKUP($C47,'2) หลักการคำนวน Table'!$A$4:$A$36,
_xlfn.XLOOKUP(AV47,'2)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I47" s="299" t="e" cm="1">
        <f t="array" ref="BI47">ROUND((_xlfn.XLOOKUP($C47,'2) หลักการคำนวน Table'!$A$4:$A$36,
_xlfn.XLOOKUP(AW47,'2)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J47" s="299" t="e" cm="1">
        <f t="array" ref="BJ47">ROUND((_xlfn.XLOOKUP($C47,'2) หลักการคำนวน Table'!$A$4:$A$36,
_xlfn.XLOOKUP(AX47,'2)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K47" s="299" t="e" cm="1">
        <f t="array" ref="BK47">ROUND((_xlfn.XLOOKUP($C47,'2) หลักการคำนวน Table'!$A$4:$A$36,
_xlfn.XLOOKUP(AY47,'2)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M47" s="295">
        <v>222212</v>
      </c>
      <c r="BN47" s="300">
        <v>155</v>
      </c>
    </row>
    <row r="48" spans="1:66" ht="14.7" customHeight="1" x14ac:dyDescent="0.25">
      <c r="A48" s="126" t="e">
        <f>VLOOKUP(C48,ASTBase!E:S,13,FALSE)</f>
        <v>#N/A</v>
      </c>
      <c r="B48" s="126" t="s">
        <v>408</v>
      </c>
      <c r="C48" s="126">
        <v>5490000701</v>
      </c>
      <c r="D48" s="127">
        <v>1150</v>
      </c>
      <c r="E48" s="127">
        <v>900</v>
      </c>
      <c r="F48" s="127">
        <v>1000</v>
      </c>
      <c r="G48" s="127">
        <v>900</v>
      </c>
      <c r="H48" s="127">
        <v>1010</v>
      </c>
      <c r="I48" s="127">
        <v>1010</v>
      </c>
      <c r="J48" s="127">
        <v>1000</v>
      </c>
      <c r="K48" s="127">
        <v>900</v>
      </c>
      <c r="L48" s="127">
        <v>1000</v>
      </c>
      <c r="M48" s="127">
        <v>1000</v>
      </c>
      <c r="N48" s="127">
        <v>1000</v>
      </c>
      <c r="O48" s="127">
        <v>1210</v>
      </c>
      <c r="P48" s="126">
        <v>1360.7999999999997</v>
      </c>
      <c r="AB48" s="297">
        <f>IFERROR(IF(VLOOKUP($B48,Shortage!$A:$M,AB$2,FALSE)="Shortage",1,IFERROR(ROUND(P48/D48,4),0)),IFERROR(ROUND(P48/D48,4),0))</f>
        <v>1.1833</v>
      </c>
      <c r="AC48" s="297">
        <f>IFERROR(IF(VLOOKUP($B48,Shortage!$A:$M,AC$2,FALSE)="Shortage",1,IFERROR(ROUND(Q48/E48,4),0)),IFERROR(ROUND(Q48/E48,4),0))</f>
        <v>0</v>
      </c>
      <c r="AD48" s="297">
        <f>IFERROR(IF(VLOOKUP($B48,Shortage!$A:$M,AD$2,FALSE)="Shortage",1,IFERROR(ROUND(R48/F48,4),0)),IFERROR(ROUND(R48/F48,4),0))</f>
        <v>0</v>
      </c>
      <c r="AE48" s="297">
        <f>IFERROR(IF(VLOOKUP($B48,Shortage!$A:$M,AE$2,FALSE)="Shortage",1,IFERROR(ROUND(S48/G48,4),0)),IFERROR(ROUND(S48/G48,4),0))</f>
        <v>0</v>
      </c>
      <c r="AF48" s="297">
        <f>IFERROR(IF(VLOOKUP($B48,Shortage!$A:$M,AF$2,FALSE)="Shortage",1,IFERROR(ROUND(T48/H48,4),0)),IFERROR(ROUND(T48/H48,4),0))</f>
        <v>0</v>
      </c>
      <c r="AG48" s="297">
        <f>IFERROR(IF(VLOOKUP($B48,Shortage!$A:$M,AG$2,FALSE)="Shortage",1,IFERROR(ROUND(U48/I48,4),0)),IFERROR(ROUND(U48/I48,4),0))</f>
        <v>0</v>
      </c>
      <c r="AH48" s="297">
        <f>IFERROR(IF(VLOOKUP($B48,Shortage!$A:$M,AH$2,FALSE)="Shortage",1,IFERROR(ROUND(V48/J48,4),0)),IFERROR(ROUND(V48/J48,4),0))</f>
        <v>0</v>
      </c>
      <c r="AI48" s="297">
        <f>IFERROR(IF(VLOOKUP($B48,Shortage!$A:$M,AI$2,FALSE)="Shortage",1,IFERROR(ROUND(W48/K48,4),0)),IFERROR(ROUND(W48/K48,4),0))</f>
        <v>0</v>
      </c>
      <c r="AJ48" s="297">
        <f>IFERROR(IF(VLOOKUP($B48,Shortage!$A:$M,AJ$2,FALSE)="Shortage",1,IFERROR(ROUND(X48/L48,4),0)),IFERROR(ROUND(X48/L48,4),0))</f>
        <v>0</v>
      </c>
      <c r="AK48" s="297">
        <f>IFERROR(IF(VLOOKUP($B48,Shortage!$A:$M,AK$2,FALSE)="Shortage",1,IFERROR(ROUND(Y48/M48,4),0)),IFERROR(ROUND(Y48/M48,4),0))</f>
        <v>0</v>
      </c>
      <c r="AL48" s="297">
        <f>IFERROR(IF(VLOOKUP($B48,Shortage!$A:$M,AL$2,FALSE)="Shortage",1,IFERROR(ROUND(Z48/N48,4),0)),IFERROR(ROUND(Z48/N48,4),0))</f>
        <v>0</v>
      </c>
      <c r="AM48" s="297">
        <f>IFERROR(IF(VLOOKUP($B48,Shortage!$A:$M,AM$2,FALSE)="Shortage",1,IFERROR(ROUND(AA48/O48,4),0)),IFERROR(ROUND(AA48/O48,4),0))</f>
        <v>0</v>
      </c>
      <c r="AN48" s="298">
        <f>IFERROR(_xlfn.XLOOKUP(AB48,'2) หลักการคำนวน Table'!$C$3:$K$3,'2) หลักการคำนวน Table'!$C$3:$K$3,,1),INDEX('2) หลักการคำนวน Table'!$C$3:$K$3,1))</f>
        <v>1.2</v>
      </c>
      <c r="AO48" s="298">
        <f>IFERROR(
  _xlfn.XLOOKUP(AC48,'2) หลักการคำนวน Table'!$C$3:$K$3,'2) หลักการคำนวน Table'!$C$3:$K$3,,1),
  IF(AC48&lt;MIN('2) หลักการคำนวน Table'!$C$3:$K$3),
     MIN('2) หลักการคำนวน Table'!$C$3:$K$3),
     MAX('2) หลักการคำนวน Table'!$C$3:$K$3)
  )
)</f>
        <v>0.9</v>
      </c>
      <c r="AP48" s="298">
        <f>IFERROR(
  _xlfn.XLOOKUP(AD48,'2) หลักการคำนวน Table'!$C$3:$K$3,'2) หลักการคำนวน Table'!$C$3:$K$3,,1),
  IF(AD48&lt;MIN('2) หลักการคำนวน Table'!$C$3:$K$3),
     MIN('2) หลักการคำนวน Table'!$C$3:$K$3),
     MAX('2) หลักการคำนวน Table'!$C$3:$K$3)
  )
)</f>
        <v>0.9</v>
      </c>
      <c r="AQ48" s="298">
        <f>IFERROR(
  _xlfn.XLOOKUP(AE48,'2) หลักการคำนวน Table'!$C$3:$K$3,'2) หลักการคำนวน Table'!$C$3:$K$3,,1),
  IF(AE48&lt;MIN('2) หลักการคำนวน Table'!$C$3:$K$3),
     MIN('2) หลักการคำนวน Table'!$C$3:$K$3),
     MAX('2) หลักการคำนวน Table'!$C$3:$K$3)
  )
)</f>
        <v>0.9</v>
      </c>
      <c r="AR48" s="298">
        <f>IFERROR(
  _xlfn.XLOOKUP(AF48,'2) หลักการคำนวน Table'!$C$3:$K$3,'2) หลักการคำนวน Table'!$C$3:$K$3,,1),
  IF(AF48&lt;MIN('2) หลักการคำนวน Table'!$C$3:$K$3),
     MIN('2) หลักการคำนวน Table'!$C$3:$K$3),
     MAX('2) หลักการคำนวน Table'!$C$3:$K$3)
  )
)</f>
        <v>0.9</v>
      </c>
      <c r="AS48" s="298">
        <f>IFERROR(
  _xlfn.XLOOKUP(AG48,'2) หลักการคำนวน Table'!$C$3:$K$3,'2) หลักการคำนวน Table'!$C$3:$K$3,,1),
  IF(AG48&lt;MIN('2) หลักการคำนวน Table'!$C$3:$K$3),
     MIN('2) หลักการคำนวน Table'!$C$3:$K$3),
     MAX('2) หลักการคำนวน Table'!$C$3:$K$3)
  )
)</f>
        <v>0.9</v>
      </c>
      <c r="AT48" s="298">
        <f>IFERROR(
  _xlfn.XLOOKUP(AH48,'2) หลักการคำนวน Table'!$C$3:$K$3,'2) หลักการคำนวน Table'!$C$3:$K$3,,1),
  IF(AH48&lt;MIN('2) หลักการคำนวน Table'!$C$3:$K$3),
     MIN('2) หลักการคำนวน Table'!$C$3:$K$3),
     MAX('2) หลักการคำนวน Table'!$C$3:$K$3)
  )
)</f>
        <v>0.9</v>
      </c>
      <c r="AU48" s="298">
        <f>IFERROR(
  _xlfn.XLOOKUP(AI48,'2) หลักการคำนวน Table'!$C$3:$K$3,'2) หลักการคำนวน Table'!$C$3:$K$3,,1),
  IF(AI48&lt;MIN('2) หลักการคำนวน Table'!$C$3:$K$3),
     MIN('2) หลักการคำนวน Table'!$C$3:$K$3),
     MAX('2) หลักการคำนวน Table'!$C$3:$K$3)
  )
)</f>
        <v>0.9</v>
      </c>
      <c r="AV48" s="298">
        <f>IFERROR(
  _xlfn.XLOOKUP(AJ48,'2) หลักการคำนวน Table'!$C$3:$K$3,'2) หลักการคำนวน Table'!$C$3:$K$3,,1),
  IF(AJ48&lt;MIN('2) หลักการคำนวน Table'!$C$3:$K$3),
     MIN('2) หลักการคำนวน Table'!$C$3:$K$3),
     MAX('2) หลักการคำนวน Table'!$C$3:$K$3)
  )
)</f>
        <v>0.9</v>
      </c>
      <c r="AW48" s="298">
        <f>IFERROR(
  _xlfn.XLOOKUP(AK48,'2) หลักการคำนวน Table'!$C$3:$K$3,'2) หลักการคำนวน Table'!$C$3:$K$3,,1),
  IF(AK48&lt;MIN('2) หลักการคำนวน Table'!$C$3:$K$3),
     MIN('2) หลักการคำนวน Table'!$C$3:$K$3),
     MAX('2) หลักการคำนวน Table'!$C$3:$K$3)
  )
)</f>
        <v>0.9</v>
      </c>
      <c r="AX48" s="298">
        <f>IFERROR(
  _xlfn.XLOOKUP(AL48,'2) หลักการคำนวน Table'!$C$3:$K$3,'2) หลักการคำนวน Table'!$C$3:$K$3,,1),
  IF(AL48&lt;MIN('2) หลักการคำนวน Table'!$C$3:$K$3),
     MIN('2) หลักการคำนวน Table'!$C$3:$K$3),
     MAX('2) หลักการคำนวน Table'!$C$3:$K$3)
  )
)</f>
        <v>0.9</v>
      </c>
      <c r="AY48" s="298">
        <f>IFERROR(
  _xlfn.XLOOKUP(AM48,'2) หลักการคำนวน Table'!$C$3:$K$3,'2) หลักการคำนวน Table'!$C$3:$K$3,,1),
  IF(AM48&lt;MIN('2) หลักการคำนวน Table'!$C$3:$K$3),
     MIN('2) หลักการคำนวน Table'!$C$3:$K$3),
     MAX('2) หลักการคำนวน Table'!$C$3:$K$3)
  )
)</f>
        <v>0.9</v>
      </c>
      <c r="AZ48" s="299" t="e" cm="1">
        <f t="array" ref="AZ48">ROUND((_xlfn.XLOOKUP($C48,'2) หลักการคำนวน Table'!$A$4:$A$36,
_xlfn.XLOOKUP(AN48,'2)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A48" s="299" t="e" cm="1">
        <f t="array" ref="BA48">ROUND((_xlfn.XLOOKUP($C48,'2) หลักการคำนวน Table'!$A$4:$A$36,
_xlfn.XLOOKUP(AO48,'2)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B48" s="299" t="e" cm="1">
        <f t="array" ref="BB48">ROUND((_xlfn.XLOOKUP($C48,'2) หลักการคำนวน Table'!$A$4:$A$36,
_xlfn.XLOOKUP(AP48,'2)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C48" s="299" t="e" cm="1">
        <f t="array" ref="BC48">ROUND((_xlfn.XLOOKUP($C48,'2) หลักการคำนวน Table'!$A$4:$A$36,
_xlfn.XLOOKUP(AQ48,'2)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D48" s="299" t="e" cm="1">
        <f t="array" ref="BD48">ROUND((_xlfn.XLOOKUP($C48,'2) หลักการคำนวน Table'!$A$4:$A$36,
_xlfn.XLOOKUP(AR48,'2)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E48" s="299" t="e" cm="1">
        <f t="array" ref="BE48">ROUND((_xlfn.XLOOKUP($C48,'2) หลักการคำนวน Table'!$A$4:$A$36,
_xlfn.XLOOKUP(AS48,'2)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F48" s="299" t="e" cm="1">
        <f t="array" ref="BF48">ROUND((_xlfn.XLOOKUP($C48,'2) หลักการคำนวน Table'!$A$4:$A$36,
_xlfn.XLOOKUP(AT48,'2)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G48" s="299" t="e" cm="1">
        <f t="array" ref="BG48">ROUND((_xlfn.XLOOKUP($C48,'2) หลักการคำนวน Table'!$A$4:$A$36,
_xlfn.XLOOKUP(AU48,'2)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H48" s="299" t="e" cm="1">
        <f t="array" ref="BH48">ROUND((_xlfn.XLOOKUP($C48,'2) หลักการคำนวน Table'!$A$4:$A$36,
_xlfn.XLOOKUP(AV48,'2)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I48" s="299" t="e" cm="1">
        <f t="array" ref="BI48">ROUND((_xlfn.XLOOKUP($C48,'2) หลักการคำนวน Table'!$A$4:$A$36,
_xlfn.XLOOKUP(AW48,'2)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J48" s="299" t="e" cm="1">
        <f t="array" ref="BJ48">ROUND((_xlfn.XLOOKUP($C48,'2) หลักการคำนวน Table'!$A$4:$A$36,
_xlfn.XLOOKUP(AX48,'2)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K48" s="299" t="e" cm="1">
        <f t="array" ref="BK48">ROUND((_xlfn.XLOOKUP($C48,'2) หลักการคำนวน Table'!$A$4:$A$36,
_xlfn.XLOOKUP(AY48,'2)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M48" s="295">
        <v>222212</v>
      </c>
      <c r="BN48" s="300">
        <v>309</v>
      </c>
    </row>
    <row r="49" spans="1:66" ht="14.7" customHeight="1" x14ac:dyDescent="0.25">
      <c r="A49" s="126" t="e">
        <f>VLOOKUP(C49,ASTBase!E:S,13,FALSE)</f>
        <v>#N/A</v>
      </c>
      <c r="B49" s="126" t="s">
        <v>416</v>
      </c>
      <c r="C49" s="126">
        <v>5490000701</v>
      </c>
      <c r="D49" s="127">
        <v>0</v>
      </c>
      <c r="E49" s="127">
        <v>0</v>
      </c>
      <c r="F49" s="127">
        <v>0</v>
      </c>
      <c r="G49" s="127">
        <v>0</v>
      </c>
      <c r="H49" s="127">
        <v>0</v>
      </c>
      <c r="I49" s="127">
        <v>0</v>
      </c>
      <c r="J49" s="127">
        <v>0</v>
      </c>
      <c r="K49" s="127">
        <v>0</v>
      </c>
      <c r="L49" s="127">
        <v>0</v>
      </c>
      <c r="M49" s="127">
        <v>0</v>
      </c>
      <c r="N49" s="127">
        <v>0</v>
      </c>
      <c r="O49" s="127">
        <v>0</v>
      </c>
      <c r="P49" s="126">
        <v>0</v>
      </c>
      <c r="AB49" s="297">
        <f>IFERROR(IF(VLOOKUP($B49,Shortage!$A:$M,AB$2,FALSE)="Shortage",1,IFERROR(ROUND(P49/D49,4),0)),IFERROR(ROUND(P49/D49,4),0))</f>
        <v>0</v>
      </c>
      <c r="AC49" s="297">
        <f>IFERROR(IF(VLOOKUP($B49,Shortage!$A:$M,AC$2,FALSE)="Shortage",1,IFERROR(ROUND(Q49/E49,4),0)),IFERROR(ROUND(Q49/E49,4),0))</f>
        <v>0</v>
      </c>
      <c r="AD49" s="297">
        <f>IFERROR(IF(VLOOKUP($B49,Shortage!$A:$M,AD$2,FALSE)="Shortage",1,IFERROR(ROUND(R49/F49,4),0)),IFERROR(ROUND(R49/F49,4),0))</f>
        <v>0</v>
      </c>
      <c r="AE49" s="297">
        <f>IFERROR(IF(VLOOKUP($B49,Shortage!$A:$M,AE$2,FALSE)="Shortage",1,IFERROR(ROUND(S49/G49,4),0)),IFERROR(ROUND(S49/G49,4),0))</f>
        <v>0</v>
      </c>
      <c r="AF49" s="297">
        <f>IFERROR(IF(VLOOKUP($B49,Shortage!$A:$M,AF$2,FALSE)="Shortage",1,IFERROR(ROUND(T49/H49,4),0)),IFERROR(ROUND(T49/H49,4),0))</f>
        <v>0</v>
      </c>
      <c r="AG49" s="297">
        <f>IFERROR(IF(VLOOKUP($B49,Shortage!$A:$M,AG$2,FALSE)="Shortage",1,IFERROR(ROUND(U49/I49,4),0)),IFERROR(ROUND(U49/I49,4),0))</f>
        <v>0</v>
      </c>
      <c r="AH49" s="297">
        <f>IFERROR(IF(VLOOKUP($B49,Shortage!$A:$M,AH$2,FALSE)="Shortage",1,IFERROR(ROUND(V49/J49,4),0)),IFERROR(ROUND(V49/J49,4),0))</f>
        <v>0</v>
      </c>
      <c r="AI49" s="297">
        <f>IFERROR(IF(VLOOKUP($B49,Shortage!$A:$M,AI$2,FALSE)="Shortage",1,IFERROR(ROUND(W49/K49,4),0)),IFERROR(ROUND(W49/K49,4),0))</f>
        <v>0</v>
      </c>
      <c r="AJ49" s="297">
        <f>IFERROR(IF(VLOOKUP($B49,Shortage!$A:$M,AJ$2,FALSE)="Shortage",1,IFERROR(ROUND(X49/L49,4),0)),IFERROR(ROUND(X49/L49,4),0))</f>
        <v>0</v>
      </c>
      <c r="AK49" s="297">
        <f>IFERROR(IF(VLOOKUP($B49,Shortage!$A:$M,AK$2,FALSE)="Shortage",1,IFERROR(ROUND(Y49/M49,4),0)),IFERROR(ROUND(Y49/M49,4),0))</f>
        <v>0</v>
      </c>
      <c r="AL49" s="297">
        <f>IFERROR(IF(VLOOKUP($B49,Shortage!$A:$M,AL$2,FALSE)="Shortage",1,IFERROR(ROUND(Z49/N49,4),0)),IFERROR(ROUND(Z49/N49,4),0))</f>
        <v>0</v>
      </c>
      <c r="AM49" s="297">
        <f>IFERROR(IF(VLOOKUP($B49,Shortage!$A:$M,AM$2,FALSE)="Shortage",1,IFERROR(ROUND(AA49/O49,4),0)),IFERROR(ROUND(AA49/O49,4),0))</f>
        <v>0</v>
      </c>
      <c r="AN49" s="298">
        <f>IFERROR(_xlfn.XLOOKUP(AB49,'2) หลักการคำนวน Table'!$C$3:$K$3,'2) หลักการคำนวน Table'!$C$3:$K$3,,1),INDEX('2) หลักการคำนวน Table'!$C$3:$K$3,1))</f>
        <v>0.9</v>
      </c>
      <c r="AO49" s="298">
        <f>IFERROR(
  _xlfn.XLOOKUP(AC49,'2) หลักการคำนวน Table'!$C$3:$K$3,'2) หลักการคำนวน Table'!$C$3:$K$3,,1),
  IF(AC49&lt;MIN('2) หลักการคำนวน Table'!$C$3:$K$3),
     MIN('2) หลักการคำนวน Table'!$C$3:$K$3),
     MAX('2) หลักการคำนวน Table'!$C$3:$K$3)
  )
)</f>
        <v>0.9</v>
      </c>
      <c r="AP49" s="298">
        <f>IFERROR(
  _xlfn.XLOOKUP(AD49,'2) หลักการคำนวน Table'!$C$3:$K$3,'2) หลักการคำนวน Table'!$C$3:$K$3,,1),
  IF(AD49&lt;MIN('2) หลักการคำนวน Table'!$C$3:$K$3),
     MIN('2) หลักการคำนวน Table'!$C$3:$K$3),
     MAX('2) หลักการคำนวน Table'!$C$3:$K$3)
  )
)</f>
        <v>0.9</v>
      </c>
      <c r="AQ49" s="298">
        <f>IFERROR(
  _xlfn.XLOOKUP(AE49,'2) หลักการคำนวน Table'!$C$3:$K$3,'2) หลักการคำนวน Table'!$C$3:$K$3,,1),
  IF(AE49&lt;MIN('2) หลักการคำนวน Table'!$C$3:$K$3),
     MIN('2) หลักการคำนวน Table'!$C$3:$K$3),
     MAX('2) หลักการคำนวน Table'!$C$3:$K$3)
  )
)</f>
        <v>0.9</v>
      </c>
      <c r="AR49" s="298">
        <f>IFERROR(
  _xlfn.XLOOKUP(AF49,'2) หลักการคำนวน Table'!$C$3:$K$3,'2) หลักการคำนวน Table'!$C$3:$K$3,,1),
  IF(AF49&lt;MIN('2) หลักการคำนวน Table'!$C$3:$K$3),
     MIN('2) หลักการคำนวน Table'!$C$3:$K$3),
     MAX('2) หลักการคำนวน Table'!$C$3:$K$3)
  )
)</f>
        <v>0.9</v>
      </c>
      <c r="AS49" s="298">
        <f>IFERROR(
  _xlfn.XLOOKUP(AG49,'2) หลักการคำนวน Table'!$C$3:$K$3,'2) หลักการคำนวน Table'!$C$3:$K$3,,1),
  IF(AG49&lt;MIN('2) หลักการคำนวน Table'!$C$3:$K$3),
     MIN('2) หลักการคำนวน Table'!$C$3:$K$3),
     MAX('2) หลักการคำนวน Table'!$C$3:$K$3)
  )
)</f>
        <v>0.9</v>
      </c>
      <c r="AT49" s="298">
        <f>IFERROR(
  _xlfn.XLOOKUP(AH49,'2) หลักการคำนวน Table'!$C$3:$K$3,'2) หลักการคำนวน Table'!$C$3:$K$3,,1),
  IF(AH49&lt;MIN('2) หลักการคำนวน Table'!$C$3:$K$3),
     MIN('2) หลักการคำนวน Table'!$C$3:$K$3),
     MAX('2) หลักการคำนวน Table'!$C$3:$K$3)
  )
)</f>
        <v>0.9</v>
      </c>
      <c r="AU49" s="298">
        <f>IFERROR(
  _xlfn.XLOOKUP(AI49,'2) หลักการคำนวน Table'!$C$3:$K$3,'2) หลักการคำนวน Table'!$C$3:$K$3,,1),
  IF(AI49&lt;MIN('2) หลักการคำนวน Table'!$C$3:$K$3),
     MIN('2) หลักการคำนวน Table'!$C$3:$K$3),
     MAX('2) หลักการคำนวน Table'!$C$3:$K$3)
  )
)</f>
        <v>0.9</v>
      </c>
      <c r="AV49" s="298">
        <f>IFERROR(
  _xlfn.XLOOKUP(AJ49,'2) หลักการคำนวน Table'!$C$3:$K$3,'2) หลักการคำนวน Table'!$C$3:$K$3,,1),
  IF(AJ49&lt;MIN('2) หลักการคำนวน Table'!$C$3:$K$3),
     MIN('2) หลักการคำนวน Table'!$C$3:$K$3),
     MAX('2) หลักการคำนวน Table'!$C$3:$K$3)
  )
)</f>
        <v>0.9</v>
      </c>
      <c r="AW49" s="298">
        <f>IFERROR(
  _xlfn.XLOOKUP(AK49,'2) หลักการคำนวน Table'!$C$3:$K$3,'2) หลักการคำนวน Table'!$C$3:$K$3,,1),
  IF(AK49&lt;MIN('2) หลักการคำนวน Table'!$C$3:$K$3),
     MIN('2) หลักการคำนวน Table'!$C$3:$K$3),
     MAX('2) หลักการคำนวน Table'!$C$3:$K$3)
  )
)</f>
        <v>0.9</v>
      </c>
      <c r="AX49" s="298">
        <f>IFERROR(
  _xlfn.XLOOKUP(AL49,'2) หลักการคำนวน Table'!$C$3:$K$3,'2) หลักการคำนวน Table'!$C$3:$K$3,,1),
  IF(AL49&lt;MIN('2) หลักการคำนวน Table'!$C$3:$K$3),
     MIN('2) หลักการคำนวน Table'!$C$3:$K$3),
     MAX('2) หลักการคำนวน Table'!$C$3:$K$3)
  )
)</f>
        <v>0.9</v>
      </c>
      <c r="AY49" s="298">
        <f>IFERROR(
  _xlfn.XLOOKUP(AM49,'2) หลักการคำนวน Table'!$C$3:$K$3,'2) หลักการคำนวน Table'!$C$3:$K$3,,1),
  IF(AM49&lt;MIN('2) หลักการคำนวน Table'!$C$3:$K$3),
     MIN('2) หลักการคำนวน Table'!$C$3:$K$3),
     MAX('2) หลักการคำนวน Table'!$C$3:$K$3)
  )
)</f>
        <v>0.9</v>
      </c>
      <c r="AZ49" s="299" t="e" cm="1">
        <f t="array" ref="AZ49">ROUND((_xlfn.XLOOKUP($C49,'2) หลักการคำนวน Table'!$A$4:$A$36,
_xlfn.XLOOKUP(AN49,'2)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A49" s="299" t="e" cm="1">
        <f t="array" ref="BA49">ROUND((_xlfn.XLOOKUP($C49,'2) หลักการคำนวน Table'!$A$4:$A$36,
_xlfn.XLOOKUP(AO49,'2)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B49" s="299" t="e" cm="1">
        <f t="array" ref="BB49">ROUND((_xlfn.XLOOKUP($C49,'2) หลักการคำนวน Table'!$A$4:$A$36,
_xlfn.XLOOKUP(AP49,'2)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C49" s="299" t="e" cm="1">
        <f t="array" ref="BC49">ROUND((_xlfn.XLOOKUP($C49,'2) หลักการคำนวน Table'!$A$4:$A$36,
_xlfn.XLOOKUP(AQ49,'2)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D49" s="299" t="e" cm="1">
        <f t="array" ref="BD49">ROUND((_xlfn.XLOOKUP($C49,'2) หลักการคำนวน Table'!$A$4:$A$36,
_xlfn.XLOOKUP(AR49,'2)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E49" s="299" t="e" cm="1">
        <f t="array" ref="BE49">ROUND((_xlfn.XLOOKUP($C49,'2) หลักการคำนวน Table'!$A$4:$A$36,
_xlfn.XLOOKUP(AS49,'2)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F49" s="299" t="e" cm="1">
        <f t="array" ref="BF49">ROUND((_xlfn.XLOOKUP($C49,'2) หลักการคำนวน Table'!$A$4:$A$36,
_xlfn.XLOOKUP(AT49,'2)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G49" s="299" t="e" cm="1">
        <f t="array" ref="BG49">ROUND((_xlfn.XLOOKUP($C49,'2) หลักการคำนวน Table'!$A$4:$A$36,
_xlfn.XLOOKUP(AU49,'2)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H49" s="299" t="e" cm="1">
        <f t="array" ref="BH49">ROUND((_xlfn.XLOOKUP($C49,'2) หลักการคำนวน Table'!$A$4:$A$36,
_xlfn.XLOOKUP(AV49,'2)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I49" s="299" t="e" cm="1">
        <f t="array" ref="BI49">ROUND((_xlfn.XLOOKUP($C49,'2) หลักการคำนวน Table'!$A$4:$A$36,
_xlfn.XLOOKUP(AW49,'2)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J49" s="299" t="e" cm="1">
        <f t="array" ref="BJ49">ROUND((_xlfn.XLOOKUP($C49,'2) หลักการคำนวน Table'!$A$4:$A$36,
_xlfn.XLOOKUP(AX49,'2)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K49" s="299" t="e" cm="1">
        <f t="array" ref="BK49">ROUND((_xlfn.XLOOKUP($C49,'2) หลักการคำนวน Table'!$A$4:$A$36,
_xlfn.XLOOKUP(AY49,'2)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M49" s="295">
        <v>222212</v>
      </c>
      <c r="BN49" s="300">
        <v>0</v>
      </c>
    </row>
    <row r="50" spans="1:66" ht="14.7" customHeight="1" x14ac:dyDescent="0.25">
      <c r="A50" s="126" t="e">
        <f>VLOOKUP(C50,ASTBase!E:S,13,FALSE)</f>
        <v>#N/A</v>
      </c>
      <c r="B50" s="126" t="s">
        <v>407</v>
      </c>
      <c r="C50" s="126">
        <v>5490000701</v>
      </c>
      <c r="D50" s="127">
        <v>11500</v>
      </c>
      <c r="E50" s="127">
        <v>8500</v>
      </c>
      <c r="F50" s="127">
        <v>9500</v>
      </c>
      <c r="G50" s="127">
        <v>8500</v>
      </c>
      <c r="H50" s="127">
        <v>10000</v>
      </c>
      <c r="I50" s="127">
        <v>10000</v>
      </c>
      <c r="J50" s="127">
        <v>10000</v>
      </c>
      <c r="K50" s="127">
        <v>9500</v>
      </c>
      <c r="L50" s="127">
        <v>11000</v>
      </c>
      <c r="M50" s="127">
        <v>8500</v>
      </c>
      <c r="N50" s="127">
        <v>9500</v>
      </c>
      <c r="O50" s="127">
        <v>9500</v>
      </c>
      <c r="P50" s="126">
        <v>11726.999999884772</v>
      </c>
      <c r="AB50" s="297">
        <f>IFERROR(IF(VLOOKUP($B50,Shortage!$A:$M,AB$2,FALSE)="Shortage",1,IFERROR(ROUND(P50/D50,4),0)),IFERROR(ROUND(P50/D50,4),0))</f>
        <v>1.0197000000000001</v>
      </c>
      <c r="AC50" s="297">
        <f>IFERROR(IF(VLOOKUP($B50,Shortage!$A:$M,AC$2,FALSE)="Shortage",1,IFERROR(ROUND(Q50/E50,4),0)),IFERROR(ROUND(Q50/E50,4),0))</f>
        <v>0</v>
      </c>
      <c r="AD50" s="297">
        <f>IFERROR(IF(VLOOKUP($B50,Shortage!$A:$M,AD$2,FALSE)="Shortage",1,IFERROR(ROUND(R50/F50,4),0)),IFERROR(ROUND(R50/F50,4),0))</f>
        <v>0</v>
      </c>
      <c r="AE50" s="297">
        <f>IFERROR(IF(VLOOKUP($B50,Shortage!$A:$M,AE$2,FALSE)="Shortage",1,IFERROR(ROUND(S50/G50,4),0)),IFERROR(ROUND(S50/G50,4),0))</f>
        <v>0</v>
      </c>
      <c r="AF50" s="297">
        <f>IFERROR(IF(VLOOKUP($B50,Shortage!$A:$M,AF$2,FALSE)="Shortage",1,IFERROR(ROUND(T50/H50,4),0)),IFERROR(ROUND(T50/H50,4),0))</f>
        <v>0</v>
      </c>
      <c r="AG50" s="297">
        <f>IFERROR(IF(VLOOKUP($B50,Shortage!$A:$M,AG$2,FALSE)="Shortage",1,IFERROR(ROUND(U50/I50,4),0)),IFERROR(ROUND(U50/I50,4),0))</f>
        <v>0</v>
      </c>
      <c r="AH50" s="297">
        <f>IFERROR(IF(VLOOKUP($B50,Shortage!$A:$M,AH$2,FALSE)="Shortage",1,IFERROR(ROUND(V50/J50,4),0)),IFERROR(ROUND(V50/J50,4),0))</f>
        <v>0</v>
      </c>
      <c r="AI50" s="297">
        <f>IFERROR(IF(VLOOKUP($B50,Shortage!$A:$M,AI$2,FALSE)="Shortage",1,IFERROR(ROUND(W50/K50,4),0)),IFERROR(ROUND(W50/K50,4),0))</f>
        <v>0</v>
      </c>
      <c r="AJ50" s="297">
        <f>IFERROR(IF(VLOOKUP($B50,Shortage!$A:$M,AJ$2,FALSE)="Shortage",1,IFERROR(ROUND(X50/L50,4),0)),IFERROR(ROUND(X50/L50,4),0))</f>
        <v>0</v>
      </c>
      <c r="AK50" s="297">
        <f>IFERROR(IF(VLOOKUP($B50,Shortage!$A:$M,AK$2,FALSE)="Shortage",1,IFERROR(ROUND(Y50/M50,4),0)),IFERROR(ROUND(Y50/M50,4),0))</f>
        <v>0</v>
      </c>
      <c r="AL50" s="297">
        <f>IFERROR(IF(VLOOKUP($B50,Shortage!$A:$M,AL$2,FALSE)="Shortage",1,IFERROR(ROUND(Z50/N50,4),0)),IFERROR(ROUND(Z50/N50,4),0))</f>
        <v>0</v>
      </c>
      <c r="AM50" s="297">
        <f>IFERROR(IF(VLOOKUP($B50,Shortage!$A:$M,AM$2,FALSE)="Shortage",1,IFERROR(ROUND(AA50/O50,4),0)),IFERROR(ROUND(AA50/O50,4),0))</f>
        <v>0</v>
      </c>
      <c r="AN50" s="298">
        <f>IFERROR(_xlfn.XLOOKUP(AB50,'2) หลักการคำนวน Table'!$C$3:$K$3,'2) หลักการคำนวน Table'!$C$3:$K$3,,1),INDEX('2) หลักการคำนวน Table'!$C$3:$K$3,1))</f>
        <v>1.03</v>
      </c>
      <c r="AO50" s="298">
        <f>IFERROR(
  _xlfn.XLOOKUP(AC50,'2) หลักการคำนวน Table'!$C$3:$K$3,'2) หลักการคำนวน Table'!$C$3:$K$3,,1),
  IF(AC50&lt;MIN('2) หลักการคำนวน Table'!$C$3:$K$3),
     MIN('2) หลักการคำนวน Table'!$C$3:$K$3),
     MAX('2) หลักการคำนวน Table'!$C$3:$K$3)
  )
)</f>
        <v>0.9</v>
      </c>
      <c r="AP50" s="298">
        <f>IFERROR(
  _xlfn.XLOOKUP(AD50,'2) หลักการคำนวน Table'!$C$3:$K$3,'2) หลักการคำนวน Table'!$C$3:$K$3,,1),
  IF(AD50&lt;MIN('2) หลักการคำนวน Table'!$C$3:$K$3),
     MIN('2) หลักการคำนวน Table'!$C$3:$K$3),
     MAX('2) หลักการคำนวน Table'!$C$3:$K$3)
  )
)</f>
        <v>0.9</v>
      </c>
      <c r="AQ50" s="298">
        <f>IFERROR(
  _xlfn.XLOOKUP(AE50,'2) หลักการคำนวน Table'!$C$3:$K$3,'2) หลักการคำนวน Table'!$C$3:$K$3,,1),
  IF(AE50&lt;MIN('2) หลักการคำนวน Table'!$C$3:$K$3),
     MIN('2) หลักการคำนวน Table'!$C$3:$K$3),
     MAX('2) หลักการคำนวน Table'!$C$3:$K$3)
  )
)</f>
        <v>0.9</v>
      </c>
      <c r="AR50" s="298">
        <f>IFERROR(
  _xlfn.XLOOKUP(AF50,'2) หลักการคำนวน Table'!$C$3:$K$3,'2) หลักการคำนวน Table'!$C$3:$K$3,,1),
  IF(AF50&lt;MIN('2) หลักการคำนวน Table'!$C$3:$K$3),
     MIN('2) หลักการคำนวน Table'!$C$3:$K$3),
     MAX('2) หลักการคำนวน Table'!$C$3:$K$3)
  )
)</f>
        <v>0.9</v>
      </c>
      <c r="AS50" s="298">
        <f>IFERROR(
  _xlfn.XLOOKUP(AG50,'2) หลักการคำนวน Table'!$C$3:$K$3,'2) หลักการคำนวน Table'!$C$3:$K$3,,1),
  IF(AG50&lt;MIN('2) หลักการคำนวน Table'!$C$3:$K$3),
     MIN('2) หลักการคำนวน Table'!$C$3:$K$3),
     MAX('2) หลักการคำนวน Table'!$C$3:$K$3)
  )
)</f>
        <v>0.9</v>
      </c>
      <c r="AT50" s="298">
        <f>IFERROR(
  _xlfn.XLOOKUP(AH50,'2) หลักการคำนวน Table'!$C$3:$K$3,'2) หลักการคำนวน Table'!$C$3:$K$3,,1),
  IF(AH50&lt;MIN('2) หลักการคำนวน Table'!$C$3:$K$3),
     MIN('2) หลักการคำนวน Table'!$C$3:$K$3),
     MAX('2) หลักการคำนวน Table'!$C$3:$K$3)
  )
)</f>
        <v>0.9</v>
      </c>
      <c r="AU50" s="298">
        <f>IFERROR(
  _xlfn.XLOOKUP(AI50,'2) หลักการคำนวน Table'!$C$3:$K$3,'2) หลักการคำนวน Table'!$C$3:$K$3,,1),
  IF(AI50&lt;MIN('2) หลักการคำนวน Table'!$C$3:$K$3),
     MIN('2) หลักการคำนวน Table'!$C$3:$K$3),
     MAX('2) หลักการคำนวน Table'!$C$3:$K$3)
  )
)</f>
        <v>0.9</v>
      </c>
      <c r="AV50" s="298">
        <f>IFERROR(
  _xlfn.XLOOKUP(AJ50,'2) หลักการคำนวน Table'!$C$3:$K$3,'2) หลักการคำนวน Table'!$C$3:$K$3,,1),
  IF(AJ50&lt;MIN('2) หลักการคำนวน Table'!$C$3:$K$3),
     MIN('2) หลักการคำนวน Table'!$C$3:$K$3),
     MAX('2) หลักการคำนวน Table'!$C$3:$K$3)
  )
)</f>
        <v>0.9</v>
      </c>
      <c r="AW50" s="298">
        <f>IFERROR(
  _xlfn.XLOOKUP(AK50,'2) หลักการคำนวน Table'!$C$3:$K$3,'2) หลักการคำนวน Table'!$C$3:$K$3,,1),
  IF(AK50&lt;MIN('2) หลักการคำนวน Table'!$C$3:$K$3),
     MIN('2) หลักการคำนวน Table'!$C$3:$K$3),
     MAX('2) หลักการคำนวน Table'!$C$3:$K$3)
  )
)</f>
        <v>0.9</v>
      </c>
      <c r="AX50" s="298">
        <f>IFERROR(
  _xlfn.XLOOKUP(AL50,'2) หลักการคำนวน Table'!$C$3:$K$3,'2) หลักการคำนวน Table'!$C$3:$K$3,,1),
  IF(AL50&lt;MIN('2) หลักการคำนวน Table'!$C$3:$K$3),
     MIN('2) หลักการคำนวน Table'!$C$3:$K$3),
     MAX('2) หลักการคำนวน Table'!$C$3:$K$3)
  )
)</f>
        <v>0.9</v>
      </c>
      <c r="AY50" s="298">
        <f>IFERROR(
  _xlfn.XLOOKUP(AM50,'2) หลักการคำนวน Table'!$C$3:$K$3,'2) หลักการคำนวน Table'!$C$3:$K$3,,1),
  IF(AM50&lt;MIN('2) หลักการคำนวน Table'!$C$3:$K$3),
     MIN('2) หลักการคำนวน Table'!$C$3:$K$3),
     MAX('2) หลักการคำนวน Table'!$C$3:$K$3)
  )
)</f>
        <v>0.9</v>
      </c>
      <c r="AZ50" s="299" t="e" cm="1">
        <f t="array" ref="AZ50">ROUND((_xlfn.XLOOKUP($C50,'2) หลักการคำนวน Table'!$A$4:$A$36,
_xlfn.XLOOKUP(AN50,'2)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A50" s="299" t="e" cm="1">
        <f t="array" ref="BA50">ROUND((_xlfn.XLOOKUP($C50,'2) หลักการคำนวน Table'!$A$4:$A$36,
_xlfn.XLOOKUP(AO50,'2)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B50" s="299" t="e" cm="1">
        <f t="array" ref="BB50">ROUND((_xlfn.XLOOKUP($C50,'2) หลักการคำนวน Table'!$A$4:$A$36,
_xlfn.XLOOKUP(AP50,'2)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C50" s="299" t="e" cm="1">
        <f t="array" ref="BC50">ROUND((_xlfn.XLOOKUP($C50,'2) หลักการคำนวน Table'!$A$4:$A$36,
_xlfn.XLOOKUP(AQ50,'2)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D50" s="299" t="e" cm="1">
        <f t="array" ref="BD50">ROUND((_xlfn.XLOOKUP($C50,'2) หลักการคำนวน Table'!$A$4:$A$36,
_xlfn.XLOOKUP(AR50,'2)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E50" s="299" t="e" cm="1">
        <f t="array" ref="BE50">ROUND((_xlfn.XLOOKUP($C50,'2) หลักการคำนวน Table'!$A$4:$A$36,
_xlfn.XLOOKUP(AS50,'2)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F50" s="299" t="e" cm="1">
        <f t="array" ref="BF50">ROUND((_xlfn.XLOOKUP($C50,'2) หลักการคำนวน Table'!$A$4:$A$36,
_xlfn.XLOOKUP(AT50,'2)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G50" s="299" t="e" cm="1">
        <f t="array" ref="BG50">ROUND((_xlfn.XLOOKUP($C50,'2) หลักการคำนวน Table'!$A$4:$A$36,
_xlfn.XLOOKUP(AU50,'2)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H50" s="299" t="e" cm="1">
        <f t="array" ref="BH50">ROUND((_xlfn.XLOOKUP($C50,'2) หลักการคำนวน Table'!$A$4:$A$36,
_xlfn.XLOOKUP(AV50,'2)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I50" s="299" t="e" cm="1">
        <f t="array" ref="BI50">ROUND((_xlfn.XLOOKUP($C50,'2) หลักการคำนวน Table'!$A$4:$A$36,
_xlfn.XLOOKUP(AW50,'2)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J50" s="299" t="e" cm="1">
        <f t="array" ref="BJ50">ROUND((_xlfn.XLOOKUP($C50,'2) หลักการคำนวน Table'!$A$4:$A$36,
_xlfn.XLOOKUP(AX50,'2)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K50" s="299" t="e" cm="1">
        <f t="array" ref="BK50">ROUND((_xlfn.XLOOKUP($C50,'2) หลักการคำนวน Table'!$A$4:$A$36,
_xlfn.XLOOKUP(AY50,'2)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M50" s="295">
        <v>222212</v>
      </c>
      <c r="BN50" s="300">
        <v>531</v>
      </c>
    </row>
    <row r="51" spans="1:66" ht="14.7" customHeight="1" x14ac:dyDescent="0.25">
      <c r="A51" s="126" t="e">
        <f>VLOOKUP(C51,ASTBase!E:S,13,FALSE)</f>
        <v>#N/A</v>
      </c>
      <c r="B51" s="126" t="s">
        <v>418</v>
      </c>
      <c r="C51" s="126">
        <v>5490000701</v>
      </c>
      <c r="D51" s="127">
        <v>400</v>
      </c>
      <c r="E51" s="127">
        <v>300</v>
      </c>
      <c r="F51" s="127">
        <v>300</v>
      </c>
      <c r="G51" s="127">
        <v>300</v>
      </c>
      <c r="H51" s="127">
        <v>400</v>
      </c>
      <c r="I51" s="127">
        <v>400</v>
      </c>
      <c r="J51" s="127">
        <v>300</v>
      </c>
      <c r="K51" s="127">
        <v>300</v>
      </c>
      <c r="L51" s="127">
        <v>400</v>
      </c>
      <c r="M51" s="127">
        <v>300</v>
      </c>
      <c r="N51" s="127">
        <v>300</v>
      </c>
      <c r="O51" s="127">
        <v>300</v>
      </c>
      <c r="P51" s="126">
        <v>1363.5599999999997</v>
      </c>
      <c r="AB51" s="297">
        <f>IFERROR(IF(VLOOKUP($B51,Shortage!$A:$M,AB$2,FALSE)="Shortage",1,IFERROR(ROUND(P51/D51,4),0)),IFERROR(ROUND(P51/D51,4),0))</f>
        <v>3.4089</v>
      </c>
      <c r="AC51" s="297">
        <f>IFERROR(IF(VLOOKUP($B51,Shortage!$A:$M,AC$2,FALSE)="Shortage",1,IFERROR(ROUND(Q51/E51,4),0)),IFERROR(ROUND(Q51/E51,4),0))</f>
        <v>0</v>
      </c>
      <c r="AD51" s="297">
        <f>IFERROR(IF(VLOOKUP($B51,Shortage!$A:$M,AD$2,FALSE)="Shortage",1,IFERROR(ROUND(R51/F51,4),0)),IFERROR(ROUND(R51/F51,4),0))</f>
        <v>0</v>
      </c>
      <c r="AE51" s="297">
        <f>IFERROR(IF(VLOOKUP($B51,Shortage!$A:$M,AE$2,FALSE)="Shortage",1,IFERROR(ROUND(S51/G51,4),0)),IFERROR(ROUND(S51/G51,4),0))</f>
        <v>0</v>
      </c>
      <c r="AF51" s="297">
        <f>IFERROR(IF(VLOOKUP($B51,Shortage!$A:$M,AF$2,FALSE)="Shortage",1,IFERROR(ROUND(T51/H51,4),0)),IFERROR(ROUND(T51/H51,4),0))</f>
        <v>0</v>
      </c>
      <c r="AG51" s="297">
        <f>IFERROR(IF(VLOOKUP($B51,Shortage!$A:$M,AG$2,FALSE)="Shortage",1,IFERROR(ROUND(U51/I51,4),0)),IFERROR(ROUND(U51/I51,4),0))</f>
        <v>0</v>
      </c>
      <c r="AH51" s="297">
        <f>IFERROR(IF(VLOOKUP($B51,Shortage!$A:$M,AH$2,FALSE)="Shortage",1,IFERROR(ROUND(V51/J51,4),0)),IFERROR(ROUND(V51/J51,4),0))</f>
        <v>0</v>
      </c>
      <c r="AI51" s="297">
        <f>IFERROR(IF(VLOOKUP($B51,Shortage!$A:$M,AI$2,FALSE)="Shortage",1,IFERROR(ROUND(W51/K51,4),0)),IFERROR(ROUND(W51/K51,4),0))</f>
        <v>0</v>
      </c>
      <c r="AJ51" s="297">
        <f>IFERROR(IF(VLOOKUP($B51,Shortage!$A:$M,AJ$2,FALSE)="Shortage",1,IFERROR(ROUND(X51/L51,4),0)),IFERROR(ROUND(X51/L51,4),0))</f>
        <v>0</v>
      </c>
      <c r="AK51" s="297">
        <f>IFERROR(IF(VLOOKUP($B51,Shortage!$A:$M,AK$2,FALSE)="Shortage",1,IFERROR(ROUND(Y51/M51,4),0)),IFERROR(ROUND(Y51/M51,4),0))</f>
        <v>0</v>
      </c>
      <c r="AL51" s="297">
        <f>IFERROR(IF(VLOOKUP($B51,Shortage!$A:$M,AL$2,FALSE)="Shortage",1,IFERROR(ROUND(Z51/N51,4),0)),IFERROR(ROUND(Z51/N51,4),0))</f>
        <v>0</v>
      </c>
      <c r="AM51" s="297">
        <f>IFERROR(IF(VLOOKUP($B51,Shortage!$A:$M,AM$2,FALSE)="Shortage",1,IFERROR(ROUND(AA51/O51,4),0)),IFERROR(ROUND(AA51/O51,4),0))</f>
        <v>0</v>
      </c>
      <c r="AN51" s="298">
        <f>IFERROR(_xlfn.XLOOKUP(AB51,'2) หลักการคำนวน Table'!$C$3:$K$3,'2) หลักการคำนวน Table'!$C$3:$K$3,,1),INDEX('2) หลักการคำนวน Table'!$C$3:$K$3,1))</f>
        <v>20</v>
      </c>
      <c r="AO51" s="298">
        <f>IFERROR(
  _xlfn.XLOOKUP(AC51,'2) หลักการคำนวน Table'!$C$3:$K$3,'2) หลักการคำนวน Table'!$C$3:$K$3,,1),
  IF(AC51&lt;MIN('2) หลักการคำนวน Table'!$C$3:$K$3),
     MIN('2) หลักการคำนวน Table'!$C$3:$K$3),
     MAX('2) หลักการคำนวน Table'!$C$3:$K$3)
  )
)</f>
        <v>0.9</v>
      </c>
      <c r="AP51" s="298">
        <f>IFERROR(
  _xlfn.XLOOKUP(AD51,'2) หลักการคำนวน Table'!$C$3:$K$3,'2) หลักการคำนวน Table'!$C$3:$K$3,,1),
  IF(AD51&lt;MIN('2) หลักการคำนวน Table'!$C$3:$K$3),
     MIN('2) หลักการคำนวน Table'!$C$3:$K$3),
     MAX('2) หลักการคำนวน Table'!$C$3:$K$3)
  )
)</f>
        <v>0.9</v>
      </c>
      <c r="AQ51" s="298">
        <f>IFERROR(
  _xlfn.XLOOKUP(AE51,'2) หลักการคำนวน Table'!$C$3:$K$3,'2) หลักการคำนวน Table'!$C$3:$K$3,,1),
  IF(AE51&lt;MIN('2) หลักการคำนวน Table'!$C$3:$K$3),
     MIN('2) หลักการคำนวน Table'!$C$3:$K$3),
     MAX('2) หลักการคำนวน Table'!$C$3:$K$3)
  )
)</f>
        <v>0.9</v>
      </c>
      <c r="AR51" s="298">
        <f>IFERROR(
  _xlfn.XLOOKUP(AF51,'2) หลักการคำนวน Table'!$C$3:$K$3,'2) หลักการคำนวน Table'!$C$3:$K$3,,1),
  IF(AF51&lt;MIN('2) หลักการคำนวน Table'!$C$3:$K$3),
     MIN('2) หลักการคำนวน Table'!$C$3:$K$3),
     MAX('2) หลักการคำนวน Table'!$C$3:$K$3)
  )
)</f>
        <v>0.9</v>
      </c>
      <c r="AS51" s="298">
        <f>IFERROR(
  _xlfn.XLOOKUP(AG51,'2) หลักการคำนวน Table'!$C$3:$K$3,'2) หลักการคำนวน Table'!$C$3:$K$3,,1),
  IF(AG51&lt;MIN('2) หลักการคำนวน Table'!$C$3:$K$3),
     MIN('2) หลักการคำนวน Table'!$C$3:$K$3),
     MAX('2) หลักการคำนวน Table'!$C$3:$K$3)
  )
)</f>
        <v>0.9</v>
      </c>
      <c r="AT51" s="298">
        <f>IFERROR(
  _xlfn.XLOOKUP(AH51,'2) หลักการคำนวน Table'!$C$3:$K$3,'2) หลักการคำนวน Table'!$C$3:$K$3,,1),
  IF(AH51&lt;MIN('2) หลักการคำนวน Table'!$C$3:$K$3),
     MIN('2) หลักการคำนวน Table'!$C$3:$K$3),
     MAX('2) หลักการคำนวน Table'!$C$3:$K$3)
  )
)</f>
        <v>0.9</v>
      </c>
      <c r="AU51" s="298">
        <f>IFERROR(
  _xlfn.XLOOKUP(AI51,'2) หลักการคำนวน Table'!$C$3:$K$3,'2) หลักการคำนวน Table'!$C$3:$K$3,,1),
  IF(AI51&lt;MIN('2) หลักการคำนวน Table'!$C$3:$K$3),
     MIN('2) หลักการคำนวน Table'!$C$3:$K$3),
     MAX('2) หลักการคำนวน Table'!$C$3:$K$3)
  )
)</f>
        <v>0.9</v>
      </c>
      <c r="AV51" s="298">
        <f>IFERROR(
  _xlfn.XLOOKUP(AJ51,'2) หลักการคำนวน Table'!$C$3:$K$3,'2) หลักการคำนวน Table'!$C$3:$K$3,,1),
  IF(AJ51&lt;MIN('2) หลักการคำนวน Table'!$C$3:$K$3),
     MIN('2) หลักการคำนวน Table'!$C$3:$K$3),
     MAX('2) หลักการคำนวน Table'!$C$3:$K$3)
  )
)</f>
        <v>0.9</v>
      </c>
      <c r="AW51" s="298">
        <f>IFERROR(
  _xlfn.XLOOKUP(AK51,'2) หลักการคำนวน Table'!$C$3:$K$3,'2) หลักการคำนวน Table'!$C$3:$K$3,,1),
  IF(AK51&lt;MIN('2) หลักการคำนวน Table'!$C$3:$K$3),
     MIN('2) หลักการคำนวน Table'!$C$3:$K$3),
     MAX('2) หลักการคำนวน Table'!$C$3:$K$3)
  )
)</f>
        <v>0.9</v>
      </c>
      <c r="AX51" s="298">
        <f>IFERROR(
  _xlfn.XLOOKUP(AL51,'2) หลักการคำนวน Table'!$C$3:$K$3,'2) หลักการคำนวน Table'!$C$3:$K$3,,1),
  IF(AL51&lt;MIN('2) หลักการคำนวน Table'!$C$3:$K$3),
     MIN('2) หลักการคำนวน Table'!$C$3:$K$3),
     MAX('2) หลักการคำนวน Table'!$C$3:$K$3)
  )
)</f>
        <v>0.9</v>
      </c>
      <c r="AY51" s="298">
        <f>IFERROR(
  _xlfn.XLOOKUP(AM51,'2) หลักการคำนวน Table'!$C$3:$K$3,'2) หลักการคำนวน Table'!$C$3:$K$3,,1),
  IF(AM51&lt;MIN('2) หลักการคำนวน Table'!$C$3:$K$3),
     MIN('2) หลักการคำนวน Table'!$C$3:$K$3),
     MAX('2) หลักการคำนวน Table'!$C$3:$K$3)
  )
)</f>
        <v>0.9</v>
      </c>
      <c r="AZ51" s="299" t="e" cm="1">
        <f t="array" ref="AZ51">ROUND((_xlfn.XLOOKUP($C51,'2) หลักการคำนวน Table'!$A$4:$A$36,
_xlfn.XLOOKUP(AN51,'2)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A51" s="299" t="e" cm="1">
        <f t="array" ref="BA51">ROUND((_xlfn.XLOOKUP($C51,'2) หลักการคำนวน Table'!$A$4:$A$36,
_xlfn.XLOOKUP(AO51,'2)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B51" s="299" t="e" cm="1">
        <f t="array" ref="BB51">ROUND((_xlfn.XLOOKUP($C51,'2) หลักการคำนวน Table'!$A$4:$A$36,
_xlfn.XLOOKUP(AP51,'2)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C51" s="299" t="e" cm="1">
        <f t="array" ref="BC51">ROUND((_xlfn.XLOOKUP($C51,'2) หลักการคำนวน Table'!$A$4:$A$36,
_xlfn.XLOOKUP(AQ51,'2)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D51" s="299" t="e" cm="1">
        <f t="array" ref="BD51">ROUND((_xlfn.XLOOKUP($C51,'2) หลักการคำนวน Table'!$A$4:$A$36,
_xlfn.XLOOKUP(AR51,'2)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E51" s="299" t="e" cm="1">
        <f t="array" ref="BE51">ROUND((_xlfn.XLOOKUP($C51,'2) หลักการคำนวน Table'!$A$4:$A$36,
_xlfn.XLOOKUP(AS51,'2)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F51" s="299" t="e" cm="1">
        <f t="array" ref="BF51">ROUND((_xlfn.XLOOKUP($C51,'2) หลักการคำนวน Table'!$A$4:$A$36,
_xlfn.XLOOKUP(AT51,'2)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G51" s="299" t="e" cm="1">
        <f t="array" ref="BG51">ROUND((_xlfn.XLOOKUP($C51,'2) หลักการคำนวน Table'!$A$4:$A$36,
_xlfn.XLOOKUP(AU51,'2)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H51" s="299" t="e" cm="1">
        <f t="array" ref="BH51">ROUND((_xlfn.XLOOKUP($C51,'2) หลักการคำนวน Table'!$A$4:$A$36,
_xlfn.XLOOKUP(AV51,'2)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I51" s="299" t="e" cm="1">
        <f t="array" ref="BI51">ROUND((_xlfn.XLOOKUP($C51,'2) หลักการคำนวน Table'!$A$4:$A$36,
_xlfn.XLOOKUP(AW51,'2)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J51" s="299" t="e" cm="1">
        <f t="array" ref="BJ51">ROUND((_xlfn.XLOOKUP($C51,'2) หลักการคำนวน Table'!$A$4:$A$36,
_xlfn.XLOOKUP(AX51,'2)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K51" s="299" t="e" cm="1">
        <f t="array" ref="BK51">ROUND((_xlfn.XLOOKUP($C51,'2) หลักการคำนวน Table'!$A$4:$A$36,
_xlfn.XLOOKUP(AY51,'2)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M51" s="295">
        <v>222212</v>
      </c>
      <c r="BN51" s="300">
        <v>670</v>
      </c>
    </row>
    <row r="52" spans="1:66" ht="14.7" customHeight="1" x14ac:dyDescent="0.25">
      <c r="A52" s="126" t="e">
        <f>VLOOKUP(C52,ASTBase!E:S,13,FALSE)</f>
        <v>#N/A</v>
      </c>
      <c r="B52" s="126" t="s">
        <v>413</v>
      </c>
      <c r="C52" s="126">
        <v>5490000701</v>
      </c>
      <c r="D52" s="127">
        <v>5090.5320000000002</v>
      </c>
      <c r="E52" s="127">
        <v>3916.2919999999999</v>
      </c>
      <c r="F52" s="127">
        <v>4222.692</v>
      </c>
      <c r="G52" s="127">
        <v>4176.9319999999998</v>
      </c>
      <c r="H52" s="127">
        <v>4822.692</v>
      </c>
      <c r="I52" s="127">
        <v>5190.5320000000002</v>
      </c>
      <c r="J52" s="127">
        <v>4522.692</v>
      </c>
      <c r="K52" s="127">
        <v>3622.692</v>
      </c>
      <c r="L52" s="127">
        <v>5145.8824000000004</v>
      </c>
      <c r="M52" s="127">
        <v>5610.692</v>
      </c>
      <c r="N52" s="127">
        <v>6463.3320000000003</v>
      </c>
      <c r="O52" s="127">
        <v>6363.3320000000003</v>
      </c>
      <c r="P52" s="126">
        <v>6175.4628000000012</v>
      </c>
      <c r="AB52" s="297">
        <f>IFERROR(IF(VLOOKUP($B52,Shortage!$A:$M,AB$2,FALSE)="Shortage",1,IFERROR(ROUND(P52/D52,4),0)),IFERROR(ROUND(P52/D52,4),0))</f>
        <v>1.2131000000000001</v>
      </c>
      <c r="AC52" s="297">
        <f>IFERROR(IF(VLOOKUP($B52,Shortage!$A:$M,AC$2,FALSE)="Shortage",1,IFERROR(ROUND(Q52/E52,4),0)),IFERROR(ROUND(Q52/E52,4),0))</f>
        <v>0</v>
      </c>
      <c r="AD52" s="297">
        <f>IFERROR(IF(VLOOKUP($B52,Shortage!$A:$M,AD$2,FALSE)="Shortage",1,IFERROR(ROUND(R52/F52,4),0)),IFERROR(ROUND(R52/F52,4),0))</f>
        <v>0</v>
      </c>
      <c r="AE52" s="297">
        <f>IFERROR(IF(VLOOKUP($B52,Shortage!$A:$M,AE$2,FALSE)="Shortage",1,IFERROR(ROUND(S52/G52,4),0)),IFERROR(ROUND(S52/G52,4),0))</f>
        <v>0</v>
      </c>
      <c r="AF52" s="297">
        <f>IFERROR(IF(VLOOKUP($B52,Shortage!$A:$M,AF$2,FALSE)="Shortage",1,IFERROR(ROUND(T52/H52,4),0)),IFERROR(ROUND(T52/H52,4),0))</f>
        <v>0</v>
      </c>
      <c r="AG52" s="297">
        <f>IFERROR(IF(VLOOKUP($B52,Shortage!$A:$M,AG$2,FALSE)="Shortage",1,IFERROR(ROUND(U52/I52,4),0)),IFERROR(ROUND(U52/I52,4),0))</f>
        <v>0</v>
      </c>
      <c r="AH52" s="297">
        <f>IFERROR(IF(VLOOKUP($B52,Shortage!$A:$M,AH$2,FALSE)="Shortage",1,IFERROR(ROUND(V52/J52,4),0)),IFERROR(ROUND(V52/J52,4),0))</f>
        <v>0</v>
      </c>
      <c r="AI52" s="297">
        <f>IFERROR(IF(VLOOKUP($B52,Shortage!$A:$M,AI$2,FALSE)="Shortage",1,IFERROR(ROUND(W52/K52,4),0)),IFERROR(ROUND(W52/K52,4),0))</f>
        <v>0</v>
      </c>
      <c r="AJ52" s="297">
        <f>IFERROR(IF(VLOOKUP($B52,Shortage!$A:$M,AJ$2,FALSE)="Shortage",1,IFERROR(ROUND(X52/L52,4),0)),IFERROR(ROUND(X52/L52,4),0))</f>
        <v>0</v>
      </c>
      <c r="AK52" s="297">
        <f>IFERROR(IF(VLOOKUP($B52,Shortage!$A:$M,AK$2,FALSE)="Shortage",1,IFERROR(ROUND(Y52/M52,4),0)),IFERROR(ROUND(Y52/M52,4),0))</f>
        <v>0</v>
      </c>
      <c r="AL52" s="297">
        <f>IFERROR(IF(VLOOKUP($B52,Shortage!$A:$M,AL$2,FALSE)="Shortage",1,IFERROR(ROUND(Z52/N52,4),0)),IFERROR(ROUND(Z52/N52,4),0))</f>
        <v>0</v>
      </c>
      <c r="AM52" s="297">
        <f>IFERROR(IF(VLOOKUP($B52,Shortage!$A:$M,AM$2,FALSE)="Shortage",1,IFERROR(ROUND(AA52/O52,4),0)),IFERROR(ROUND(AA52/O52,4),0))</f>
        <v>0</v>
      </c>
      <c r="AN52" s="298">
        <f>IFERROR(_xlfn.XLOOKUP(AB52,'2) หลักการคำนวน Table'!$C$3:$K$3,'2) หลักการคำนวน Table'!$C$3:$K$3,,1),INDEX('2) หลักการคำนวน Table'!$C$3:$K$3,1))</f>
        <v>20</v>
      </c>
      <c r="AO52" s="298">
        <f>IFERROR(
  _xlfn.XLOOKUP(AC52,'2) หลักการคำนวน Table'!$C$3:$K$3,'2) หลักการคำนวน Table'!$C$3:$K$3,,1),
  IF(AC52&lt;MIN('2) หลักการคำนวน Table'!$C$3:$K$3),
     MIN('2) หลักการคำนวน Table'!$C$3:$K$3),
     MAX('2) หลักการคำนวน Table'!$C$3:$K$3)
  )
)</f>
        <v>0.9</v>
      </c>
      <c r="AP52" s="298">
        <f>IFERROR(
  _xlfn.XLOOKUP(AD52,'2) หลักการคำนวน Table'!$C$3:$K$3,'2) หลักการคำนวน Table'!$C$3:$K$3,,1),
  IF(AD52&lt;MIN('2) หลักการคำนวน Table'!$C$3:$K$3),
     MIN('2) หลักการคำนวน Table'!$C$3:$K$3),
     MAX('2) หลักการคำนวน Table'!$C$3:$K$3)
  )
)</f>
        <v>0.9</v>
      </c>
      <c r="AQ52" s="298">
        <f>IFERROR(
  _xlfn.XLOOKUP(AE52,'2) หลักการคำนวน Table'!$C$3:$K$3,'2) หลักการคำนวน Table'!$C$3:$K$3,,1),
  IF(AE52&lt;MIN('2) หลักการคำนวน Table'!$C$3:$K$3),
     MIN('2) หลักการคำนวน Table'!$C$3:$K$3),
     MAX('2) หลักการคำนวน Table'!$C$3:$K$3)
  )
)</f>
        <v>0.9</v>
      </c>
      <c r="AR52" s="298">
        <f>IFERROR(
  _xlfn.XLOOKUP(AF52,'2) หลักการคำนวน Table'!$C$3:$K$3,'2) หลักการคำนวน Table'!$C$3:$K$3,,1),
  IF(AF52&lt;MIN('2) หลักการคำนวน Table'!$C$3:$K$3),
     MIN('2) หลักการคำนวน Table'!$C$3:$K$3),
     MAX('2) หลักการคำนวน Table'!$C$3:$K$3)
  )
)</f>
        <v>0.9</v>
      </c>
      <c r="AS52" s="298">
        <f>IFERROR(
  _xlfn.XLOOKUP(AG52,'2) หลักการคำนวน Table'!$C$3:$K$3,'2) หลักการคำนวน Table'!$C$3:$K$3,,1),
  IF(AG52&lt;MIN('2) หลักการคำนวน Table'!$C$3:$K$3),
     MIN('2) หลักการคำนวน Table'!$C$3:$K$3),
     MAX('2) หลักการคำนวน Table'!$C$3:$K$3)
  )
)</f>
        <v>0.9</v>
      </c>
      <c r="AT52" s="298">
        <f>IFERROR(
  _xlfn.XLOOKUP(AH52,'2) หลักการคำนวน Table'!$C$3:$K$3,'2) หลักการคำนวน Table'!$C$3:$K$3,,1),
  IF(AH52&lt;MIN('2) หลักการคำนวน Table'!$C$3:$K$3),
     MIN('2) หลักการคำนวน Table'!$C$3:$K$3),
     MAX('2) หลักการคำนวน Table'!$C$3:$K$3)
  )
)</f>
        <v>0.9</v>
      </c>
      <c r="AU52" s="298">
        <f>IFERROR(
  _xlfn.XLOOKUP(AI52,'2) หลักการคำนวน Table'!$C$3:$K$3,'2) หลักการคำนวน Table'!$C$3:$K$3,,1),
  IF(AI52&lt;MIN('2) หลักการคำนวน Table'!$C$3:$K$3),
     MIN('2) หลักการคำนวน Table'!$C$3:$K$3),
     MAX('2) หลักการคำนวน Table'!$C$3:$K$3)
  )
)</f>
        <v>0.9</v>
      </c>
      <c r="AV52" s="298">
        <f>IFERROR(
  _xlfn.XLOOKUP(AJ52,'2) หลักการคำนวน Table'!$C$3:$K$3,'2) หลักการคำนวน Table'!$C$3:$K$3,,1),
  IF(AJ52&lt;MIN('2) หลักการคำนวน Table'!$C$3:$K$3),
     MIN('2) หลักการคำนวน Table'!$C$3:$K$3),
     MAX('2) หลักการคำนวน Table'!$C$3:$K$3)
  )
)</f>
        <v>0.9</v>
      </c>
      <c r="AW52" s="298">
        <f>IFERROR(
  _xlfn.XLOOKUP(AK52,'2) หลักการคำนวน Table'!$C$3:$K$3,'2) หลักการคำนวน Table'!$C$3:$K$3,,1),
  IF(AK52&lt;MIN('2) หลักการคำนวน Table'!$C$3:$K$3),
     MIN('2) หลักการคำนวน Table'!$C$3:$K$3),
     MAX('2) หลักการคำนวน Table'!$C$3:$K$3)
  )
)</f>
        <v>0.9</v>
      </c>
      <c r="AX52" s="298">
        <f>IFERROR(
  _xlfn.XLOOKUP(AL52,'2) หลักการคำนวน Table'!$C$3:$K$3,'2) หลักการคำนวน Table'!$C$3:$K$3,,1),
  IF(AL52&lt;MIN('2) หลักการคำนวน Table'!$C$3:$K$3),
     MIN('2) หลักการคำนวน Table'!$C$3:$K$3),
     MAX('2) หลักการคำนวน Table'!$C$3:$K$3)
  )
)</f>
        <v>0.9</v>
      </c>
      <c r="AY52" s="298">
        <f>IFERROR(
  _xlfn.XLOOKUP(AM52,'2) หลักการคำนวน Table'!$C$3:$K$3,'2) หลักการคำนวน Table'!$C$3:$K$3,,1),
  IF(AM52&lt;MIN('2) หลักการคำนวน Table'!$C$3:$K$3),
     MIN('2) หลักการคำนวน Table'!$C$3:$K$3),
     MAX('2) หลักการคำนวน Table'!$C$3:$K$3)
  )
)</f>
        <v>0.9</v>
      </c>
      <c r="AZ52" s="299" t="e" cm="1">
        <f t="array" ref="AZ52">ROUND((_xlfn.XLOOKUP($C52,'2) หลักการคำนวน Table'!$A$4:$A$36,
_xlfn.XLOOKUP(AN52,'2)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A52" s="299" t="e" cm="1">
        <f t="array" ref="BA52">ROUND((_xlfn.XLOOKUP($C52,'2) หลักการคำนวน Table'!$A$4:$A$36,
_xlfn.XLOOKUP(AO52,'2)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B52" s="299" t="e" cm="1">
        <f t="array" ref="BB52">ROUND((_xlfn.XLOOKUP($C52,'2) หลักการคำนวน Table'!$A$4:$A$36,
_xlfn.XLOOKUP(AP52,'2)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C52" s="299" t="e" cm="1">
        <f t="array" ref="BC52">ROUND((_xlfn.XLOOKUP($C52,'2) หลักการคำนวน Table'!$A$4:$A$36,
_xlfn.XLOOKUP(AQ52,'2)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D52" s="299" t="e" cm="1">
        <f t="array" ref="BD52">ROUND((_xlfn.XLOOKUP($C52,'2) หลักการคำนวน Table'!$A$4:$A$36,
_xlfn.XLOOKUP(AR52,'2)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E52" s="299" t="e" cm="1">
        <f t="array" ref="BE52">ROUND((_xlfn.XLOOKUP($C52,'2) หลักการคำนวน Table'!$A$4:$A$36,
_xlfn.XLOOKUP(AS52,'2)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F52" s="299" t="e" cm="1">
        <f t="array" ref="BF52">ROUND((_xlfn.XLOOKUP($C52,'2) หลักการคำนวน Table'!$A$4:$A$36,
_xlfn.XLOOKUP(AT52,'2)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G52" s="299" t="e" cm="1">
        <f t="array" ref="BG52">ROUND((_xlfn.XLOOKUP($C52,'2) หลักการคำนวน Table'!$A$4:$A$36,
_xlfn.XLOOKUP(AU52,'2)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H52" s="299" t="e" cm="1">
        <f t="array" ref="BH52">ROUND((_xlfn.XLOOKUP($C52,'2) หลักการคำนวน Table'!$A$4:$A$36,
_xlfn.XLOOKUP(AV52,'2)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I52" s="299" t="e" cm="1">
        <f t="array" ref="BI52">ROUND((_xlfn.XLOOKUP($C52,'2) หลักการคำนวน Table'!$A$4:$A$36,
_xlfn.XLOOKUP(AW52,'2)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J52" s="299" t="e" cm="1">
        <f t="array" ref="BJ52">ROUND((_xlfn.XLOOKUP($C52,'2) หลักการคำนวน Table'!$A$4:$A$36,
_xlfn.XLOOKUP(AX52,'2)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K52" s="299" t="e" cm="1">
        <f t="array" ref="BK52">ROUND((_xlfn.XLOOKUP($C52,'2) หลักการคำนวน Table'!$A$4:$A$36,
_xlfn.XLOOKUP(AY52,'2)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M52" s="295">
        <v>222212</v>
      </c>
      <c r="BN52" s="300">
        <v>1005</v>
      </c>
    </row>
    <row r="53" spans="1:66" ht="14.7" customHeight="1" x14ac:dyDescent="0.25">
      <c r="A53" s="126" t="e">
        <f>VLOOKUP(C53,ASTBase!E:S,13,FALSE)</f>
        <v>#N/A</v>
      </c>
      <c r="B53" s="126" t="s">
        <v>406</v>
      </c>
      <c r="C53" s="126">
        <v>5490000701</v>
      </c>
      <c r="D53" s="127">
        <v>12700</v>
      </c>
      <c r="E53" s="127">
        <v>10000</v>
      </c>
      <c r="F53" s="127">
        <v>11200</v>
      </c>
      <c r="G53" s="127">
        <v>11200</v>
      </c>
      <c r="H53" s="127">
        <v>12500</v>
      </c>
      <c r="I53" s="127">
        <v>13000</v>
      </c>
      <c r="J53" s="127">
        <v>11200</v>
      </c>
      <c r="K53" s="127">
        <v>11200</v>
      </c>
      <c r="L53" s="127">
        <v>12300</v>
      </c>
      <c r="M53" s="127">
        <v>10500</v>
      </c>
      <c r="N53" s="127">
        <v>11200</v>
      </c>
      <c r="O53" s="127">
        <v>11000</v>
      </c>
      <c r="P53" s="126">
        <v>13403.78</v>
      </c>
      <c r="AB53" s="297">
        <f>IFERROR(IF(VLOOKUP($B53,Shortage!$A:$M,AB$2,FALSE)="Shortage",1,IFERROR(ROUND(P53/D53,4),0)),IFERROR(ROUND(P53/D53,4),0))</f>
        <v>1</v>
      </c>
      <c r="AC53" s="297">
        <f>IFERROR(IF(VLOOKUP($B53,Shortage!$A:$M,AC$2,FALSE)="Shortage",1,IFERROR(ROUND(Q53/E53,4),0)),IFERROR(ROUND(Q53/E53,4),0))</f>
        <v>0</v>
      </c>
      <c r="AD53" s="297">
        <f>IFERROR(IF(VLOOKUP($B53,Shortage!$A:$M,AD$2,FALSE)="Shortage",1,IFERROR(ROUND(R53/F53,4),0)),IFERROR(ROUND(R53/F53,4),0))</f>
        <v>0</v>
      </c>
      <c r="AE53" s="297">
        <f>IFERROR(IF(VLOOKUP($B53,Shortage!$A:$M,AE$2,FALSE)="Shortage",1,IFERROR(ROUND(S53/G53,4),0)),IFERROR(ROUND(S53/G53,4),0))</f>
        <v>0</v>
      </c>
      <c r="AF53" s="297">
        <f>IFERROR(IF(VLOOKUP($B53,Shortage!$A:$M,AF$2,FALSE)="Shortage",1,IFERROR(ROUND(T53/H53,4),0)),IFERROR(ROUND(T53/H53,4),0))</f>
        <v>0</v>
      </c>
      <c r="AG53" s="297">
        <f>IFERROR(IF(VLOOKUP($B53,Shortage!$A:$M,AG$2,FALSE)="Shortage",1,IFERROR(ROUND(U53/I53,4),0)),IFERROR(ROUND(U53/I53,4),0))</f>
        <v>0</v>
      </c>
      <c r="AH53" s="297">
        <f>IFERROR(IF(VLOOKUP($B53,Shortage!$A:$M,AH$2,FALSE)="Shortage",1,IFERROR(ROUND(V53/J53,4),0)),IFERROR(ROUND(V53/J53,4),0))</f>
        <v>0</v>
      </c>
      <c r="AI53" s="297">
        <f>IFERROR(IF(VLOOKUP($B53,Shortage!$A:$M,AI$2,FALSE)="Shortage",1,IFERROR(ROUND(W53/K53,4),0)),IFERROR(ROUND(W53/K53,4),0))</f>
        <v>0</v>
      </c>
      <c r="AJ53" s="297">
        <f>IFERROR(IF(VLOOKUP($B53,Shortage!$A:$M,AJ$2,FALSE)="Shortage",1,IFERROR(ROUND(X53/L53,4),0)),IFERROR(ROUND(X53/L53,4),0))</f>
        <v>0</v>
      </c>
      <c r="AK53" s="297">
        <f>IFERROR(IF(VLOOKUP($B53,Shortage!$A:$M,AK$2,FALSE)="Shortage",1,IFERROR(ROUND(Y53/M53,4),0)),IFERROR(ROUND(Y53/M53,4),0))</f>
        <v>0</v>
      </c>
      <c r="AL53" s="297">
        <f>IFERROR(IF(VLOOKUP($B53,Shortage!$A:$M,AL$2,FALSE)="Shortage",1,IFERROR(ROUND(Z53/N53,4),0)),IFERROR(ROUND(Z53/N53,4),0))</f>
        <v>0</v>
      </c>
      <c r="AM53" s="297">
        <f>IFERROR(IF(VLOOKUP($B53,Shortage!$A:$M,AM$2,FALSE)="Shortage",1,IFERROR(ROUND(AA53/O53,4),0)),IFERROR(ROUND(AA53/O53,4),0))</f>
        <v>0</v>
      </c>
      <c r="AN53" s="298">
        <f>IFERROR(_xlfn.XLOOKUP(AB53,'2) หลักการคำนวน Table'!$C$3:$K$3,'2) หลักการคำนวน Table'!$C$3:$K$3,,1),INDEX('2) หลักการคำนวน Table'!$C$3:$K$3,1))</f>
        <v>1</v>
      </c>
      <c r="AO53" s="298">
        <f>IFERROR(
  _xlfn.XLOOKUP(AC53,'2) หลักการคำนวน Table'!$C$3:$K$3,'2) หลักการคำนวน Table'!$C$3:$K$3,,1),
  IF(AC53&lt;MIN('2) หลักการคำนวน Table'!$C$3:$K$3),
     MIN('2) หลักการคำนวน Table'!$C$3:$K$3),
     MAX('2) หลักการคำนวน Table'!$C$3:$K$3)
  )
)</f>
        <v>0.9</v>
      </c>
      <c r="AP53" s="298">
        <f>IFERROR(
  _xlfn.XLOOKUP(AD53,'2) หลักการคำนวน Table'!$C$3:$K$3,'2) หลักการคำนวน Table'!$C$3:$K$3,,1),
  IF(AD53&lt;MIN('2) หลักการคำนวน Table'!$C$3:$K$3),
     MIN('2) หลักการคำนวน Table'!$C$3:$K$3),
     MAX('2) หลักการคำนวน Table'!$C$3:$K$3)
  )
)</f>
        <v>0.9</v>
      </c>
      <c r="AQ53" s="298">
        <f>IFERROR(
  _xlfn.XLOOKUP(AE53,'2) หลักการคำนวน Table'!$C$3:$K$3,'2) หลักการคำนวน Table'!$C$3:$K$3,,1),
  IF(AE53&lt;MIN('2) หลักการคำนวน Table'!$C$3:$K$3),
     MIN('2) หลักการคำนวน Table'!$C$3:$K$3),
     MAX('2) หลักการคำนวน Table'!$C$3:$K$3)
  )
)</f>
        <v>0.9</v>
      </c>
      <c r="AR53" s="298">
        <f>IFERROR(
  _xlfn.XLOOKUP(AF53,'2) หลักการคำนวน Table'!$C$3:$K$3,'2) หลักการคำนวน Table'!$C$3:$K$3,,1),
  IF(AF53&lt;MIN('2) หลักการคำนวน Table'!$C$3:$K$3),
     MIN('2) หลักการคำนวน Table'!$C$3:$K$3),
     MAX('2) หลักการคำนวน Table'!$C$3:$K$3)
  )
)</f>
        <v>0.9</v>
      </c>
      <c r="AS53" s="298">
        <f>IFERROR(
  _xlfn.XLOOKUP(AG53,'2) หลักการคำนวน Table'!$C$3:$K$3,'2) หลักการคำนวน Table'!$C$3:$K$3,,1),
  IF(AG53&lt;MIN('2) หลักการคำนวน Table'!$C$3:$K$3),
     MIN('2) หลักการคำนวน Table'!$C$3:$K$3),
     MAX('2) หลักการคำนวน Table'!$C$3:$K$3)
  )
)</f>
        <v>0.9</v>
      </c>
      <c r="AT53" s="298">
        <f>IFERROR(
  _xlfn.XLOOKUP(AH53,'2) หลักการคำนวน Table'!$C$3:$K$3,'2) หลักการคำนวน Table'!$C$3:$K$3,,1),
  IF(AH53&lt;MIN('2) หลักการคำนวน Table'!$C$3:$K$3),
     MIN('2) หลักการคำนวน Table'!$C$3:$K$3),
     MAX('2) หลักการคำนวน Table'!$C$3:$K$3)
  )
)</f>
        <v>0.9</v>
      </c>
      <c r="AU53" s="298">
        <f>IFERROR(
  _xlfn.XLOOKUP(AI53,'2) หลักการคำนวน Table'!$C$3:$K$3,'2) หลักการคำนวน Table'!$C$3:$K$3,,1),
  IF(AI53&lt;MIN('2) หลักการคำนวน Table'!$C$3:$K$3),
     MIN('2) หลักการคำนวน Table'!$C$3:$K$3),
     MAX('2) หลักการคำนวน Table'!$C$3:$K$3)
  )
)</f>
        <v>0.9</v>
      </c>
      <c r="AV53" s="298">
        <f>IFERROR(
  _xlfn.XLOOKUP(AJ53,'2) หลักการคำนวน Table'!$C$3:$K$3,'2) หลักการคำนวน Table'!$C$3:$K$3,,1),
  IF(AJ53&lt;MIN('2) หลักการคำนวน Table'!$C$3:$K$3),
     MIN('2) หลักการคำนวน Table'!$C$3:$K$3),
     MAX('2) หลักการคำนวน Table'!$C$3:$K$3)
  )
)</f>
        <v>0.9</v>
      </c>
      <c r="AW53" s="298">
        <f>IFERROR(
  _xlfn.XLOOKUP(AK53,'2) หลักการคำนวน Table'!$C$3:$K$3,'2) หลักการคำนวน Table'!$C$3:$K$3,,1),
  IF(AK53&lt;MIN('2) หลักการคำนวน Table'!$C$3:$K$3),
     MIN('2) หลักการคำนวน Table'!$C$3:$K$3),
     MAX('2) หลักการคำนวน Table'!$C$3:$K$3)
  )
)</f>
        <v>0.9</v>
      </c>
      <c r="AX53" s="298">
        <f>IFERROR(
  _xlfn.XLOOKUP(AL53,'2) หลักการคำนวน Table'!$C$3:$K$3,'2) หลักการคำนวน Table'!$C$3:$K$3,,1),
  IF(AL53&lt;MIN('2) หลักการคำนวน Table'!$C$3:$K$3),
     MIN('2) หลักการคำนวน Table'!$C$3:$K$3),
     MAX('2) หลักการคำนวน Table'!$C$3:$K$3)
  )
)</f>
        <v>0.9</v>
      </c>
      <c r="AY53" s="298">
        <f>IFERROR(
  _xlfn.XLOOKUP(AM53,'2) หลักการคำนวน Table'!$C$3:$K$3,'2) หลักการคำนวน Table'!$C$3:$K$3,,1),
  IF(AM53&lt;MIN('2) หลักการคำนวน Table'!$C$3:$K$3),
     MIN('2) หลักการคำนวน Table'!$C$3:$K$3),
     MAX('2) หลักการคำนวน Table'!$C$3:$K$3)
  )
)</f>
        <v>0.9</v>
      </c>
      <c r="AZ53" s="299" t="e" cm="1">
        <f t="array" ref="AZ53">ROUND((_xlfn.XLOOKUP($C53,'2) หลักการคำนวน Table'!$A$4:$A$36,
_xlfn.XLOOKUP(AN53,'2)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A53" s="299" t="e" cm="1">
        <f t="array" ref="BA53">ROUND((_xlfn.XLOOKUP($C53,'2) หลักการคำนวน Table'!$A$4:$A$36,
_xlfn.XLOOKUP(AO53,'2)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B53" s="299" t="e" cm="1">
        <f t="array" ref="BB53">ROUND((_xlfn.XLOOKUP($C53,'2) หลักการคำนวน Table'!$A$4:$A$36,
_xlfn.XLOOKUP(AP53,'2)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C53" s="299" t="e" cm="1">
        <f t="array" ref="BC53">ROUND((_xlfn.XLOOKUP($C53,'2) หลักการคำนวน Table'!$A$4:$A$36,
_xlfn.XLOOKUP(AQ53,'2)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D53" s="299" t="e" cm="1">
        <f t="array" ref="BD53">ROUND((_xlfn.XLOOKUP($C53,'2) หลักการคำนวน Table'!$A$4:$A$36,
_xlfn.XLOOKUP(AR53,'2)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E53" s="299" t="e" cm="1">
        <f t="array" ref="BE53">ROUND((_xlfn.XLOOKUP($C53,'2) หลักการคำนวน Table'!$A$4:$A$36,
_xlfn.XLOOKUP(AS53,'2)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F53" s="299" t="e" cm="1">
        <f t="array" ref="BF53">ROUND((_xlfn.XLOOKUP($C53,'2) หลักการคำนวน Table'!$A$4:$A$36,
_xlfn.XLOOKUP(AT53,'2)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G53" s="299" t="e" cm="1">
        <f t="array" ref="BG53">ROUND((_xlfn.XLOOKUP($C53,'2) หลักการคำนวน Table'!$A$4:$A$36,
_xlfn.XLOOKUP(AU53,'2)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H53" s="299" t="e" cm="1">
        <f t="array" ref="BH53">ROUND((_xlfn.XLOOKUP($C53,'2) หลักการคำนวน Table'!$A$4:$A$36,
_xlfn.XLOOKUP(AV53,'2)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I53" s="299" t="e" cm="1">
        <f t="array" ref="BI53">ROUND((_xlfn.XLOOKUP($C53,'2) หลักการคำนวน Table'!$A$4:$A$36,
_xlfn.XLOOKUP(AW53,'2)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J53" s="299" t="e" cm="1">
        <f t="array" ref="BJ53">ROUND((_xlfn.XLOOKUP($C53,'2) หลักการคำนวน Table'!$A$4:$A$36,
_xlfn.XLOOKUP(AX53,'2)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K53" s="299" t="e" cm="1">
        <f t="array" ref="BK53">ROUND((_xlfn.XLOOKUP($C53,'2) หลักการคำนวน Table'!$A$4:$A$36,
_xlfn.XLOOKUP(AY53,'2)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M53" s="295">
        <v>222212</v>
      </c>
      <c r="BN53" s="300">
        <v>258</v>
      </c>
    </row>
    <row r="54" spans="1:66" ht="14.7" customHeight="1" x14ac:dyDescent="0.25">
      <c r="A54" s="126" t="e">
        <f>VLOOKUP(C54,ASTBase!E:S,13,FALSE)</f>
        <v>#N/A</v>
      </c>
      <c r="B54" s="126" t="s">
        <v>409</v>
      </c>
      <c r="C54" s="126">
        <v>5490000701</v>
      </c>
      <c r="D54" s="127">
        <v>2773.8240000000001</v>
      </c>
      <c r="E54" s="127">
        <v>1756.912</v>
      </c>
      <c r="F54" s="127">
        <v>2003.8240000000001</v>
      </c>
      <c r="G54" s="127">
        <v>1993.8240000000001</v>
      </c>
      <c r="H54" s="127">
        <v>2683.8240000000001</v>
      </c>
      <c r="I54" s="127">
        <v>3003.8240000000001</v>
      </c>
      <c r="J54" s="127">
        <v>1816.912</v>
      </c>
      <c r="K54" s="127">
        <v>1793.8240000000001</v>
      </c>
      <c r="L54" s="127">
        <v>2673.8240000000001</v>
      </c>
      <c r="M54" s="127">
        <v>3633.8240000000001</v>
      </c>
      <c r="N54" s="127">
        <v>3875.8240000000001</v>
      </c>
      <c r="O54" s="127">
        <v>3713.8240000000001</v>
      </c>
      <c r="P54" s="126">
        <v>1683.6480000000001</v>
      </c>
      <c r="AB54" s="297">
        <f>IFERROR(IF(VLOOKUP($B54,Shortage!$A:$M,AB$2,FALSE)="Shortage",1,IFERROR(ROUND(P54/D54,4),0)),IFERROR(ROUND(P54/D54,4),0))</f>
        <v>0.60699999999999998</v>
      </c>
      <c r="AC54" s="297">
        <f>IFERROR(IF(VLOOKUP($B54,Shortage!$A:$M,AC$2,FALSE)="Shortage",1,IFERROR(ROUND(Q54/E54,4),0)),IFERROR(ROUND(Q54/E54,4),0))</f>
        <v>0</v>
      </c>
      <c r="AD54" s="297">
        <f>IFERROR(IF(VLOOKUP($B54,Shortage!$A:$M,AD$2,FALSE)="Shortage",1,IFERROR(ROUND(R54/F54,4),0)),IFERROR(ROUND(R54/F54,4),0))</f>
        <v>0</v>
      </c>
      <c r="AE54" s="297">
        <f>IFERROR(IF(VLOOKUP($B54,Shortage!$A:$M,AE$2,FALSE)="Shortage",1,IFERROR(ROUND(S54/G54,4),0)),IFERROR(ROUND(S54/G54,4),0))</f>
        <v>0</v>
      </c>
      <c r="AF54" s="297">
        <f>IFERROR(IF(VLOOKUP($B54,Shortage!$A:$M,AF$2,FALSE)="Shortage",1,IFERROR(ROUND(T54/H54,4),0)),IFERROR(ROUND(T54/H54,4),0))</f>
        <v>0</v>
      </c>
      <c r="AG54" s="297">
        <f>IFERROR(IF(VLOOKUP($B54,Shortage!$A:$M,AG$2,FALSE)="Shortage",1,IFERROR(ROUND(U54/I54,4),0)),IFERROR(ROUND(U54/I54,4),0))</f>
        <v>0</v>
      </c>
      <c r="AH54" s="297">
        <f>IFERROR(IF(VLOOKUP($B54,Shortage!$A:$M,AH$2,FALSE)="Shortage",1,IFERROR(ROUND(V54/J54,4),0)),IFERROR(ROUND(V54/J54,4),0))</f>
        <v>0</v>
      </c>
      <c r="AI54" s="297">
        <f>IFERROR(IF(VLOOKUP($B54,Shortage!$A:$M,AI$2,FALSE)="Shortage",1,IFERROR(ROUND(W54/K54,4),0)),IFERROR(ROUND(W54/K54,4),0))</f>
        <v>0</v>
      </c>
      <c r="AJ54" s="297">
        <f>IFERROR(IF(VLOOKUP($B54,Shortage!$A:$M,AJ$2,FALSE)="Shortage",1,IFERROR(ROUND(X54/L54,4),0)),IFERROR(ROUND(X54/L54,4),0))</f>
        <v>0</v>
      </c>
      <c r="AK54" s="297">
        <f>IFERROR(IF(VLOOKUP($B54,Shortage!$A:$M,AK$2,FALSE)="Shortage",1,IFERROR(ROUND(Y54/M54,4),0)),IFERROR(ROUND(Y54/M54,4),0))</f>
        <v>0</v>
      </c>
      <c r="AL54" s="297">
        <f>IFERROR(IF(VLOOKUP($B54,Shortage!$A:$M,AL$2,FALSE)="Shortage",1,IFERROR(ROUND(Z54/N54,4),0)),IFERROR(ROUND(Z54/N54,4),0))</f>
        <v>0</v>
      </c>
      <c r="AM54" s="297">
        <f>IFERROR(IF(VLOOKUP($B54,Shortage!$A:$M,AM$2,FALSE)="Shortage",1,IFERROR(ROUND(AA54/O54,4),0)),IFERROR(ROUND(AA54/O54,4),0))</f>
        <v>0</v>
      </c>
      <c r="AN54" s="298">
        <f>IFERROR(_xlfn.XLOOKUP(AB54,'2) หลักการคำนวน Table'!$C$3:$K$3,'2) หลักการคำนวน Table'!$C$3:$K$3,,1),INDEX('2) หลักการคำนวน Table'!$C$3:$K$3,1))</f>
        <v>0.9</v>
      </c>
      <c r="AO54" s="298">
        <f>IFERROR(
  _xlfn.XLOOKUP(AC54,'2) หลักการคำนวน Table'!$C$3:$K$3,'2) หลักการคำนวน Table'!$C$3:$K$3,,1),
  IF(AC54&lt;MIN('2) หลักการคำนวน Table'!$C$3:$K$3),
     MIN('2) หลักการคำนวน Table'!$C$3:$K$3),
     MAX('2) หลักการคำนวน Table'!$C$3:$K$3)
  )
)</f>
        <v>0.9</v>
      </c>
      <c r="AP54" s="298">
        <f>IFERROR(
  _xlfn.XLOOKUP(AD54,'2) หลักการคำนวน Table'!$C$3:$K$3,'2) หลักการคำนวน Table'!$C$3:$K$3,,1),
  IF(AD54&lt;MIN('2) หลักการคำนวน Table'!$C$3:$K$3),
     MIN('2) หลักการคำนวน Table'!$C$3:$K$3),
     MAX('2) หลักการคำนวน Table'!$C$3:$K$3)
  )
)</f>
        <v>0.9</v>
      </c>
      <c r="AQ54" s="298">
        <f>IFERROR(
  _xlfn.XLOOKUP(AE54,'2) หลักการคำนวน Table'!$C$3:$K$3,'2) หลักการคำนวน Table'!$C$3:$K$3,,1),
  IF(AE54&lt;MIN('2) หลักการคำนวน Table'!$C$3:$K$3),
     MIN('2) หลักการคำนวน Table'!$C$3:$K$3),
     MAX('2) หลักการคำนวน Table'!$C$3:$K$3)
  )
)</f>
        <v>0.9</v>
      </c>
      <c r="AR54" s="298">
        <f>IFERROR(
  _xlfn.XLOOKUP(AF54,'2) หลักการคำนวน Table'!$C$3:$K$3,'2) หลักการคำนวน Table'!$C$3:$K$3,,1),
  IF(AF54&lt;MIN('2) หลักการคำนวน Table'!$C$3:$K$3),
     MIN('2) หลักการคำนวน Table'!$C$3:$K$3),
     MAX('2) หลักการคำนวน Table'!$C$3:$K$3)
  )
)</f>
        <v>0.9</v>
      </c>
      <c r="AS54" s="298">
        <f>IFERROR(
  _xlfn.XLOOKUP(AG54,'2) หลักการคำนวน Table'!$C$3:$K$3,'2) หลักการคำนวน Table'!$C$3:$K$3,,1),
  IF(AG54&lt;MIN('2) หลักการคำนวน Table'!$C$3:$K$3),
     MIN('2) หลักการคำนวน Table'!$C$3:$K$3),
     MAX('2) หลักการคำนวน Table'!$C$3:$K$3)
  )
)</f>
        <v>0.9</v>
      </c>
      <c r="AT54" s="298">
        <f>IFERROR(
  _xlfn.XLOOKUP(AH54,'2) หลักการคำนวน Table'!$C$3:$K$3,'2) หลักการคำนวน Table'!$C$3:$K$3,,1),
  IF(AH54&lt;MIN('2) หลักการคำนวน Table'!$C$3:$K$3),
     MIN('2) หลักการคำนวน Table'!$C$3:$K$3),
     MAX('2) หลักการคำนวน Table'!$C$3:$K$3)
  )
)</f>
        <v>0.9</v>
      </c>
      <c r="AU54" s="298">
        <f>IFERROR(
  _xlfn.XLOOKUP(AI54,'2) หลักการคำนวน Table'!$C$3:$K$3,'2) หลักการคำนวน Table'!$C$3:$K$3,,1),
  IF(AI54&lt;MIN('2) หลักการคำนวน Table'!$C$3:$K$3),
     MIN('2) หลักการคำนวน Table'!$C$3:$K$3),
     MAX('2) หลักการคำนวน Table'!$C$3:$K$3)
  )
)</f>
        <v>0.9</v>
      </c>
      <c r="AV54" s="298">
        <f>IFERROR(
  _xlfn.XLOOKUP(AJ54,'2) หลักการคำนวน Table'!$C$3:$K$3,'2) หลักการคำนวน Table'!$C$3:$K$3,,1),
  IF(AJ54&lt;MIN('2) หลักการคำนวน Table'!$C$3:$K$3),
     MIN('2) หลักการคำนวน Table'!$C$3:$K$3),
     MAX('2) หลักการคำนวน Table'!$C$3:$K$3)
  )
)</f>
        <v>0.9</v>
      </c>
      <c r="AW54" s="298">
        <f>IFERROR(
  _xlfn.XLOOKUP(AK54,'2) หลักการคำนวน Table'!$C$3:$K$3,'2) หลักการคำนวน Table'!$C$3:$K$3,,1),
  IF(AK54&lt;MIN('2) หลักการคำนวน Table'!$C$3:$K$3),
     MIN('2) หลักการคำนวน Table'!$C$3:$K$3),
     MAX('2) หลักการคำนวน Table'!$C$3:$K$3)
  )
)</f>
        <v>0.9</v>
      </c>
      <c r="AX54" s="298">
        <f>IFERROR(
  _xlfn.XLOOKUP(AL54,'2) หลักการคำนวน Table'!$C$3:$K$3,'2) หลักการคำนวน Table'!$C$3:$K$3,,1),
  IF(AL54&lt;MIN('2) หลักการคำนวน Table'!$C$3:$K$3),
     MIN('2) หลักการคำนวน Table'!$C$3:$K$3),
     MAX('2) หลักการคำนวน Table'!$C$3:$K$3)
  )
)</f>
        <v>0.9</v>
      </c>
      <c r="AY54" s="298">
        <f>IFERROR(
  _xlfn.XLOOKUP(AM54,'2) หลักการคำนวน Table'!$C$3:$K$3,'2) หลักการคำนวน Table'!$C$3:$K$3,,1),
  IF(AM54&lt;MIN('2) หลักการคำนวน Table'!$C$3:$K$3),
     MIN('2) หลักการคำนวน Table'!$C$3:$K$3),
     MAX('2) หลักการคำนวน Table'!$C$3:$K$3)
  )
)</f>
        <v>0.9</v>
      </c>
      <c r="AZ54" s="299" t="e" cm="1">
        <f t="array" ref="AZ54">ROUND((_xlfn.XLOOKUP($C54,'2) หลักการคำนวน Table'!$A$4:$A$36,
_xlfn.XLOOKUP(AN54,'2)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A54" s="299" t="e" cm="1">
        <f t="array" ref="BA54">ROUND((_xlfn.XLOOKUP($C54,'2) หลักการคำนวน Table'!$A$4:$A$36,
_xlfn.XLOOKUP(AO54,'2)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B54" s="299" t="e" cm="1">
        <f t="array" ref="BB54">ROUND((_xlfn.XLOOKUP($C54,'2) หลักการคำนวน Table'!$A$4:$A$36,
_xlfn.XLOOKUP(AP54,'2)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C54" s="299" t="e" cm="1">
        <f t="array" ref="BC54">ROUND((_xlfn.XLOOKUP($C54,'2) หลักการคำนวน Table'!$A$4:$A$36,
_xlfn.XLOOKUP(AQ54,'2)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D54" s="299" t="e" cm="1">
        <f t="array" ref="BD54">ROUND((_xlfn.XLOOKUP($C54,'2) หลักการคำนวน Table'!$A$4:$A$36,
_xlfn.XLOOKUP(AR54,'2)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E54" s="299" t="e" cm="1">
        <f t="array" ref="BE54">ROUND((_xlfn.XLOOKUP($C54,'2) หลักการคำนวน Table'!$A$4:$A$36,
_xlfn.XLOOKUP(AS54,'2)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F54" s="299" t="e" cm="1">
        <f t="array" ref="BF54">ROUND((_xlfn.XLOOKUP($C54,'2) หลักการคำนวน Table'!$A$4:$A$36,
_xlfn.XLOOKUP(AT54,'2)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G54" s="299" t="e" cm="1">
        <f t="array" ref="BG54">ROUND((_xlfn.XLOOKUP($C54,'2) หลักการคำนวน Table'!$A$4:$A$36,
_xlfn.XLOOKUP(AU54,'2)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H54" s="299" t="e" cm="1">
        <f t="array" ref="BH54">ROUND((_xlfn.XLOOKUP($C54,'2) หลักการคำนวน Table'!$A$4:$A$36,
_xlfn.XLOOKUP(AV54,'2)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I54" s="299" t="e" cm="1">
        <f t="array" ref="BI54">ROUND((_xlfn.XLOOKUP($C54,'2) หลักการคำนวน Table'!$A$4:$A$36,
_xlfn.XLOOKUP(AW54,'2)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J54" s="299" t="e" cm="1">
        <f t="array" ref="BJ54">ROUND((_xlfn.XLOOKUP($C54,'2) หลักการคำนวน Table'!$A$4:$A$36,
_xlfn.XLOOKUP(AX54,'2)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K54" s="299" t="e" cm="1">
        <f t="array" ref="BK54">ROUND((_xlfn.XLOOKUP($C54,'2) หลักการคำนวน Table'!$A$4:$A$36,
_xlfn.XLOOKUP(AY54,'2)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M54" s="295">
        <v>222212</v>
      </c>
      <c r="BN54" s="300">
        <v>464</v>
      </c>
    </row>
    <row r="55" spans="1:66" ht="14.7" customHeight="1" x14ac:dyDescent="0.25">
      <c r="A55" s="126" t="e">
        <f>VLOOKUP(C55,ASTBase!E:S,13,FALSE)</f>
        <v>#N/A</v>
      </c>
      <c r="B55" s="126" t="s">
        <v>410</v>
      </c>
      <c r="C55" s="126">
        <v>5490000701</v>
      </c>
      <c r="D55" s="127">
        <v>2206</v>
      </c>
      <c r="E55" s="127">
        <v>1618</v>
      </c>
      <c r="F55" s="127">
        <v>1698</v>
      </c>
      <c r="G55" s="127">
        <v>1772</v>
      </c>
      <c r="H55" s="127">
        <v>2372</v>
      </c>
      <c r="I55" s="127">
        <v>2532</v>
      </c>
      <c r="J55" s="127">
        <v>1688</v>
      </c>
      <c r="K55" s="127">
        <v>1940</v>
      </c>
      <c r="L55" s="127">
        <v>2210</v>
      </c>
      <c r="M55" s="127">
        <v>2190</v>
      </c>
      <c r="N55" s="127">
        <v>2200</v>
      </c>
      <c r="O55" s="127">
        <v>2074</v>
      </c>
      <c r="P55" s="126">
        <v>1525.6</v>
      </c>
      <c r="AB55" s="297">
        <f>IFERROR(IF(VLOOKUP($B55,Shortage!$A:$M,AB$2,FALSE)="Shortage",1,IFERROR(ROUND(P55/D55,4),0)),IFERROR(ROUND(P55/D55,4),0))</f>
        <v>0.69159999999999999</v>
      </c>
      <c r="AC55" s="297">
        <f>IFERROR(IF(VLOOKUP($B55,Shortage!$A:$M,AC$2,FALSE)="Shortage",1,IFERROR(ROUND(Q55/E55,4),0)),IFERROR(ROUND(Q55/E55,4),0))</f>
        <v>0</v>
      </c>
      <c r="AD55" s="297">
        <f>IFERROR(IF(VLOOKUP($B55,Shortage!$A:$M,AD$2,FALSE)="Shortage",1,IFERROR(ROUND(R55/F55,4),0)),IFERROR(ROUND(R55/F55,4),0))</f>
        <v>0</v>
      </c>
      <c r="AE55" s="297">
        <f>IFERROR(IF(VLOOKUP($B55,Shortage!$A:$M,AE$2,FALSE)="Shortage",1,IFERROR(ROUND(S55/G55,4),0)),IFERROR(ROUND(S55/G55,4),0))</f>
        <v>0</v>
      </c>
      <c r="AF55" s="297">
        <f>IFERROR(IF(VLOOKUP($B55,Shortage!$A:$M,AF$2,FALSE)="Shortage",1,IFERROR(ROUND(T55/H55,4),0)),IFERROR(ROUND(T55/H55,4),0))</f>
        <v>0</v>
      </c>
      <c r="AG55" s="297">
        <f>IFERROR(IF(VLOOKUP($B55,Shortage!$A:$M,AG$2,FALSE)="Shortage",1,IFERROR(ROUND(U55/I55,4),0)),IFERROR(ROUND(U55/I55,4),0))</f>
        <v>0</v>
      </c>
      <c r="AH55" s="297">
        <f>IFERROR(IF(VLOOKUP($B55,Shortage!$A:$M,AH$2,FALSE)="Shortage",1,IFERROR(ROUND(V55/J55,4),0)),IFERROR(ROUND(V55/J55,4),0))</f>
        <v>0</v>
      </c>
      <c r="AI55" s="297">
        <f>IFERROR(IF(VLOOKUP($B55,Shortage!$A:$M,AI$2,FALSE)="Shortage",1,IFERROR(ROUND(W55/K55,4),0)),IFERROR(ROUND(W55/K55,4),0))</f>
        <v>0</v>
      </c>
      <c r="AJ55" s="297">
        <f>IFERROR(IF(VLOOKUP($B55,Shortage!$A:$M,AJ$2,FALSE)="Shortage",1,IFERROR(ROUND(X55/L55,4),0)),IFERROR(ROUND(X55/L55,4),0))</f>
        <v>0</v>
      </c>
      <c r="AK55" s="297">
        <f>IFERROR(IF(VLOOKUP($B55,Shortage!$A:$M,AK$2,FALSE)="Shortage",1,IFERROR(ROUND(Y55/M55,4),0)),IFERROR(ROUND(Y55/M55,4),0))</f>
        <v>0</v>
      </c>
      <c r="AL55" s="297">
        <f>IFERROR(IF(VLOOKUP($B55,Shortage!$A:$M,AL$2,FALSE)="Shortage",1,IFERROR(ROUND(Z55/N55,4),0)),IFERROR(ROUND(Z55/N55,4),0))</f>
        <v>0</v>
      </c>
      <c r="AM55" s="297">
        <f>IFERROR(IF(VLOOKUP($B55,Shortage!$A:$M,AM$2,FALSE)="Shortage",1,IFERROR(ROUND(AA55/O55,4),0)),IFERROR(ROUND(AA55/O55,4),0))</f>
        <v>0</v>
      </c>
      <c r="AN55" s="298">
        <f>IFERROR(_xlfn.XLOOKUP(AB55,'2) หลักการคำนวน Table'!$C$3:$K$3,'2) หลักการคำนวน Table'!$C$3:$K$3,,1),INDEX('2) หลักการคำนวน Table'!$C$3:$K$3,1))</f>
        <v>0.9</v>
      </c>
      <c r="AO55" s="298">
        <f>IFERROR(
  _xlfn.XLOOKUP(AC55,'2) หลักการคำนวน Table'!$C$3:$K$3,'2) หลักการคำนวน Table'!$C$3:$K$3,,1),
  IF(AC55&lt;MIN('2) หลักการคำนวน Table'!$C$3:$K$3),
     MIN('2) หลักการคำนวน Table'!$C$3:$K$3),
     MAX('2) หลักการคำนวน Table'!$C$3:$K$3)
  )
)</f>
        <v>0.9</v>
      </c>
      <c r="AP55" s="298">
        <f>IFERROR(
  _xlfn.XLOOKUP(AD55,'2) หลักการคำนวน Table'!$C$3:$K$3,'2) หลักการคำนวน Table'!$C$3:$K$3,,1),
  IF(AD55&lt;MIN('2) หลักการคำนวน Table'!$C$3:$K$3),
     MIN('2) หลักการคำนวน Table'!$C$3:$K$3),
     MAX('2) หลักการคำนวน Table'!$C$3:$K$3)
  )
)</f>
        <v>0.9</v>
      </c>
      <c r="AQ55" s="298">
        <f>IFERROR(
  _xlfn.XLOOKUP(AE55,'2) หลักการคำนวน Table'!$C$3:$K$3,'2) หลักการคำนวน Table'!$C$3:$K$3,,1),
  IF(AE55&lt;MIN('2) หลักการคำนวน Table'!$C$3:$K$3),
     MIN('2) หลักการคำนวน Table'!$C$3:$K$3),
     MAX('2) หลักการคำนวน Table'!$C$3:$K$3)
  )
)</f>
        <v>0.9</v>
      </c>
      <c r="AR55" s="298">
        <f>IFERROR(
  _xlfn.XLOOKUP(AF55,'2) หลักการคำนวน Table'!$C$3:$K$3,'2) หลักการคำนวน Table'!$C$3:$K$3,,1),
  IF(AF55&lt;MIN('2) หลักการคำนวน Table'!$C$3:$K$3),
     MIN('2) หลักการคำนวน Table'!$C$3:$K$3),
     MAX('2) หลักการคำนวน Table'!$C$3:$K$3)
  )
)</f>
        <v>0.9</v>
      </c>
      <c r="AS55" s="298">
        <f>IFERROR(
  _xlfn.XLOOKUP(AG55,'2) หลักการคำนวน Table'!$C$3:$K$3,'2) หลักการคำนวน Table'!$C$3:$K$3,,1),
  IF(AG55&lt;MIN('2) หลักการคำนวน Table'!$C$3:$K$3),
     MIN('2) หลักการคำนวน Table'!$C$3:$K$3),
     MAX('2) หลักการคำนวน Table'!$C$3:$K$3)
  )
)</f>
        <v>0.9</v>
      </c>
      <c r="AT55" s="298">
        <f>IFERROR(
  _xlfn.XLOOKUP(AH55,'2) หลักการคำนวน Table'!$C$3:$K$3,'2) หลักการคำนวน Table'!$C$3:$K$3,,1),
  IF(AH55&lt;MIN('2) หลักการคำนวน Table'!$C$3:$K$3),
     MIN('2) หลักการคำนวน Table'!$C$3:$K$3),
     MAX('2) หลักการคำนวน Table'!$C$3:$K$3)
  )
)</f>
        <v>0.9</v>
      </c>
      <c r="AU55" s="298">
        <f>IFERROR(
  _xlfn.XLOOKUP(AI55,'2) หลักการคำนวน Table'!$C$3:$K$3,'2) หลักการคำนวน Table'!$C$3:$K$3,,1),
  IF(AI55&lt;MIN('2) หลักการคำนวน Table'!$C$3:$K$3),
     MIN('2) หลักการคำนวน Table'!$C$3:$K$3),
     MAX('2) หลักการคำนวน Table'!$C$3:$K$3)
  )
)</f>
        <v>0.9</v>
      </c>
      <c r="AV55" s="298">
        <f>IFERROR(
  _xlfn.XLOOKUP(AJ55,'2) หลักการคำนวน Table'!$C$3:$K$3,'2) หลักการคำนวน Table'!$C$3:$K$3,,1),
  IF(AJ55&lt;MIN('2) หลักการคำนวน Table'!$C$3:$K$3),
     MIN('2) หลักการคำนวน Table'!$C$3:$K$3),
     MAX('2) หลักการคำนวน Table'!$C$3:$K$3)
  )
)</f>
        <v>0.9</v>
      </c>
      <c r="AW55" s="298">
        <f>IFERROR(
  _xlfn.XLOOKUP(AK55,'2) หลักการคำนวน Table'!$C$3:$K$3,'2) หลักการคำนวน Table'!$C$3:$K$3,,1),
  IF(AK55&lt;MIN('2) หลักการคำนวน Table'!$C$3:$K$3),
     MIN('2) หลักการคำนวน Table'!$C$3:$K$3),
     MAX('2) หลักการคำนวน Table'!$C$3:$K$3)
  )
)</f>
        <v>0.9</v>
      </c>
      <c r="AX55" s="298">
        <f>IFERROR(
  _xlfn.XLOOKUP(AL55,'2) หลักการคำนวน Table'!$C$3:$K$3,'2) หลักการคำนวน Table'!$C$3:$K$3,,1),
  IF(AL55&lt;MIN('2) หลักการคำนวน Table'!$C$3:$K$3),
     MIN('2) หลักการคำนวน Table'!$C$3:$K$3),
     MAX('2) หลักการคำนวน Table'!$C$3:$K$3)
  )
)</f>
        <v>0.9</v>
      </c>
      <c r="AY55" s="298">
        <f>IFERROR(
  _xlfn.XLOOKUP(AM55,'2) หลักการคำนวน Table'!$C$3:$K$3,'2) หลักการคำนวน Table'!$C$3:$K$3,,1),
  IF(AM55&lt;MIN('2) หลักการคำนวน Table'!$C$3:$K$3),
     MIN('2) หลักการคำนวน Table'!$C$3:$K$3),
     MAX('2) หลักการคำนวน Table'!$C$3:$K$3)
  )
)</f>
        <v>0.9</v>
      </c>
      <c r="AZ55" s="299" t="e" cm="1">
        <f t="array" ref="AZ55">ROUND((_xlfn.XLOOKUP($C55,'2) หลักการคำนวน Table'!$A$4:$A$36,
_xlfn.XLOOKUP(AN55,'2)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A55" s="299" t="e" cm="1">
        <f t="array" ref="BA55">ROUND((_xlfn.XLOOKUP($C55,'2) หลักการคำนวน Table'!$A$4:$A$36,
_xlfn.XLOOKUP(AO55,'2)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B55" s="299" t="e" cm="1">
        <f t="array" ref="BB55">ROUND((_xlfn.XLOOKUP($C55,'2) หลักการคำนวน Table'!$A$4:$A$36,
_xlfn.XLOOKUP(AP55,'2)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C55" s="299" t="e" cm="1">
        <f t="array" ref="BC55">ROUND((_xlfn.XLOOKUP($C55,'2) หลักการคำนวน Table'!$A$4:$A$36,
_xlfn.XLOOKUP(AQ55,'2)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D55" s="299" t="e" cm="1">
        <f t="array" ref="BD55">ROUND((_xlfn.XLOOKUP($C55,'2) หลักการคำนวน Table'!$A$4:$A$36,
_xlfn.XLOOKUP(AR55,'2)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E55" s="299" t="e" cm="1">
        <f t="array" ref="BE55">ROUND((_xlfn.XLOOKUP($C55,'2) หลักการคำนวน Table'!$A$4:$A$36,
_xlfn.XLOOKUP(AS55,'2)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F55" s="299" t="e" cm="1">
        <f t="array" ref="BF55">ROUND((_xlfn.XLOOKUP($C55,'2) หลักการคำนวน Table'!$A$4:$A$36,
_xlfn.XLOOKUP(AT55,'2)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G55" s="299" t="e" cm="1">
        <f t="array" ref="BG55">ROUND((_xlfn.XLOOKUP($C55,'2) หลักการคำนวน Table'!$A$4:$A$36,
_xlfn.XLOOKUP(AU55,'2)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H55" s="299" t="e" cm="1">
        <f t="array" ref="BH55">ROUND((_xlfn.XLOOKUP($C55,'2) หลักการคำนวน Table'!$A$4:$A$36,
_xlfn.XLOOKUP(AV55,'2)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I55" s="299" t="e" cm="1">
        <f t="array" ref="BI55">ROUND((_xlfn.XLOOKUP($C55,'2) หลักการคำนวน Table'!$A$4:$A$36,
_xlfn.XLOOKUP(AW55,'2)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J55" s="299" t="e" cm="1">
        <f t="array" ref="BJ55">ROUND((_xlfn.XLOOKUP($C55,'2) หลักการคำนวน Table'!$A$4:$A$36,
_xlfn.XLOOKUP(AX55,'2)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K55" s="299" t="e" cm="1">
        <f t="array" ref="BK55">ROUND((_xlfn.XLOOKUP($C55,'2) หลักการคำนวน Table'!$A$4:$A$36,
_xlfn.XLOOKUP(AY55,'2)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M55" s="295">
        <v>222212</v>
      </c>
      <c r="BN55" s="300">
        <v>464</v>
      </c>
    </row>
    <row r="56" spans="1:66" ht="14.7" customHeight="1" x14ac:dyDescent="0.25">
      <c r="A56" s="126" t="e">
        <f>VLOOKUP(C56,ASTBase!E:S,13,FALSE)</f>
        <v>#N/A</v>
      </c>
      <c r="B56" s="126" t="s">
        <v>415</v>
      </c>
      <c r="C56" s="126">
        <v>5490000701</v>
      </c>
      <c r="D56" s="127">
        <v>1191.2</v>
      </c>
      <c r="E56" s="127">
        <v>692</v>
      </c>
      <c r="F56" s="127">
        <v>822.4</v>
      </c>
      <c r="G56" s="127">
        <v>941.2</v>
      </c>
      <c r="H56" s="127">
        <v>996.59999999999991</v>
      </c>
      <c r="I56" s="127">
        <v>1300</v>
      </c>
      <c r="J56" s="127">
        <v>1022</v>
      </c>
      <c r="K56" s="127">
        <v>942.4</v>
      </c>
      <c r="L56" s="127">
        <v>1258.4000000000001</v>
      </c>
      <c r="M56" s="127">
        <v>1920</v>
      </c>
      <c r="N56" s="127">
        <v>1940</v>
      </c>
      <c r="O56" s="127">
        <v>1974.2</v>
      </c>
      <c r="P56" s="126">
        <v>840.60000000000014</v>
      </c>
      <c r="AB56" s="297">
        <f>IFERROR(IF(VLOOKUP($B56,Shortage!$A:$M,AB$2,FALSE)="Shortage",1,IFERROR(ROUND(P56/D56,4),0)),IFERROR(ROUND(P56/D56,4),0))</f>
        <v>0.70569999999999999</v>
      </c>
      <c r="AC56" s="297">
        <f>IFERROR(IF(VLOOKUP($B56,Shortage!$A:$M,AC$2,FALSE)="Shortage",1,IFERROR(ROUND(Q56/E56,4),0)),IFERROR(ROUND(Q56/E56,4),0))</f>
        <v>0</v>
      </c>
      <c r="AD56" s="297">
        <f>IFERROR(IF(VLOOKUP($B56,Shortage!$A:$M,AD$2,FALSE)="Shortage",1,IFERROR(ROUND(R56/F56,4),0)),IFERROR(ROUND(R56/F56,4),0))</f>
        <v>0</v>
      </c>
      <c r="AE56" s="297">
        <f>IFERROR(IF(VLOOKUP($B56,Shortage!$A:$M,AE$2,FALSE)="Shortage",1,IFERROR(ROUND(S56/G56,4),0)),IFERROR(ROUND(S56/G56,4),0))</f>
        <v>0</v>
      </c>
      <c r="AF56" s="297">
        <f>IFERROR(IF(VLOOKUP($B56,Shortage!$A:$M,AF$2,FALSE)="Shortage",1,IFERROR(ROUND(T56/H56,4),0)),IFERROR(ROUND(T56/H56,4),0))</f>
        <v>0</v>
      </c>
      <c r="AG56" s="297">
        <f>IFERROR(IF(VLOOKUP($B56,Shortage!$A:$M,AG$2,FALSE)="Shortage",1,IFERROR(ROUND(U56/I56,4),0)),IFERROR(ROUND(U56/I56,4),0))</f>
        <v>0</v>
      </c>
      <c r="AH56" s="297">
        <f>IFERROR(IF(VLOOKUP($B56,Shortage!$A:$M,AH$2,FALSE)="Shortage",1,IFERROR(ROUND(V56/J56,4),0)),IFERROR(ROUND(V56/J56,4),0))</f>
        <v>0</v>
      </c>
      <c r="AI56" s="297">
        <f>IFERROR(IF(VLOOKUP($B56,Shortage!$A:$M,AI$2,FALSE)="Shortage",1,IFERROR(ROUND(W56/K56,4),0)),IFERROR(ROUND(W56/K56,4),0))</f>
        <v>0</v>
      </c>
      <c r="AJ56" s="297">
        <f>IFERROR(IF(VLOOKUP($B56,Shortage!$A:$M,AJ$2,FALSE)="Shortage",1,IFERROR(ROUND(X56/L56,4),0)),IFERROR(ROUND(X56/L56,4),0))</f>
        <v>0</v>
      </c>
      <c r="AK56" s="297">
        <f>IFERROR(IF(VLOOKUP($B56,Shortage!$A:$M,AK$2,FALSE)="Shortage",1,IFERROR(ROUND(Y56/M56,4),0)),IFERROR(ROUND(Y56/M56,4),0))</f>
        <v>0</v>
      </c>
      <c r="AL56" s="297">
        <f>IFERROR(IF(VLOOKUP($B56,Shortage!$A:$M,AL$2,FALSE)="Shortage",1,IFERROR(ROUND(Z56/N56,4),0)),IFERROR(ROUND(Z56/N56,4),0))</f>
        <v>0</v>
      </c>
      <c r="AM56" s="297">
        <f>IFERROR(IF(VLOOKUP($B56,Shortage!$A:$M,AM$2,FALSE)="Shortage",1,IFERROR(ROUND(AA56/O56,4),0)),IFERROR(ROUND(AA56/O56,4),0))</f>
        <v>0</v>
      </c>
      <c r="AN56" s="298">
        <f>IFERROR(_xlfn.XLOOKUP(AB56,'2) หลักการคำนวน Table'!$C$3:$K$3,'2) หลักการคำนวน Table'!$C$3:$K$3,,1),INDEX('2) หลักการคำนวน Table'!$C$3:$K$3,1))</f>
        <v>0.9</v>
      </c>
      <c r="AO56" s="298">
        <f>IFERROR(
  _xlfn.XLOOKUP(AC56,'2) หลักการคำนวน Table'!$C$3:$K$3,'2) หลักการคำนวน Table'!$C$3:$K$3,,1),
  IF(AC56&lt;MIN('2) หลักการคำนวน Table'!$C$3:$K$3),
     MIN('2) หลักการคำนวน Table'!$C$3:$K$3),
     MAX('2) หลักการคำนวน Table'!$C$3:$K$3)
  )
)</f>
        <v>0.9</v>
      </c>
      <c r="AP56" s="298">
        <f>IFERROR(
  _xlfn.XLOOKUP(AD56,'2) หลักการคำนวน Table'!$C$3:$K$3,'2) หลักการคำนวน Table'!$C$3:$K$3,,1),
  IF(AD56&lt;MIN('2) หลักการคำนวน Table'!$C$3:$K$3),
     MIN('2) หลักการคำนวน Table'!$C$3:$K$3),
     MAX('2) หลักการคำนวน Table'!$C$3:$K$3)
  )
)</f>
        <v>0.9</v>
      </c>
      <c r="AQ56" s="298">
        <f>IFERROR(
  _xlfn.XLOOKUP(AE56,'2) หลักการคำนวน Table'!$C$3:$K$3,'2) หลักการคำนวน Table'!$C$3:$K$3,,1),
  IF(AE56&lt;MIN('2) หลักการคำนวน Table'!$C$3:$K$3),
     MIN('2) หลักการคำนวน Table'!$C$3:$K$3),
     MAX('2) หลักการคำนวน Table'!$C$3:$K$3)
  )
)</f>
        <v>0.9</v>
      </c>
      <c r="AR56" s="298">
        <f>IFERROR(
  _xlfn.XLOOKUP(AF56,'2) หลักการคำนวน Table'!$C$3:$K$3,'2) หลักการคำนวน Table'!$C$3:$K$3,,1),
  IF(AF56&lt;MIN('2) หลักการคำนวน Table'!$C$3:$K$3),
     MIN('2) หลักการคำนวน Table'!$C$3:$K$3),
     MAX('2) หลักการคำนวน Table'!$C$3:$K$3)
  )
)</f>
        <v>0.9</v>
      </c>
      <c r="AS56" s="298">
        <f>IFERROR(
  _xlfn.XLOOKUP(AG56,'2) หลักการคำนวน Table'!$C$3:$K$3,'2) หลักการคำนวน Table'!$C$3:$K$3,,1),
  IF(AG56&lt;MIN('2) หลักการคำนวน Table'!$C$3:$K$3),
     MIN('2) หลักการคำนวน Table'!$C$3:$K$3),
     MAX('2) หลักการคำนวน Table'!$C$3:$K$3)
  )
)</f>
        <v>0.9</v>
      </c>
      <c r="AT56" s="298">
        <f>IFERROR(
  _xlfn.XLOOKUP(AH56,'2) หลักการคำนวน Table'!$C$3:$K$3,'2) หลักการคำนวน Table'!$C$3:$K$3,,1),
  IF(AH56&lt;MIN('2) หลักการคำนวน Table'!$C$3:$K$3),
     MIN('2) หลักการคำนวน Table'!$C$3:$K$3),
     MAX('2) หลักการคำนวน Table'!$C$3:$K$3)
  )
)</f>
        <v>0.9</v>
      </c>
      <c r="AU56" s="298">
        <f>IFERROR(
  _xlfn.XLOOKUP(AI56,'2) หลักการคำนวน Table'!$C$3:$K$3,'2) หลักการคำนวน Table'!$C$3:$K$3,,1),
  IF(AI56&lt;MIN('2) หลักการคำนวน Table'!$C$3:$K$3),
     MIN('2) หลักการคำนวน Table'!$C$3:$K$3),
     MAX('2) หลักการคำนวน Table'!$C$3:$K$3)
  )
)</f>
        <v>0.9</v>
      </c>
      <c r="AV56" s="298">
        <f>IFERROR(
  _xlfn.XLOOKUP(AJ56,'2) หลักการคำนวน Table'!$C$3:$K$3,'2) หลักการคำนวน Table'!$C$3:$K$3,,1),
  IF(AJ56&lt;MIN('2) หลักการคำนวน Table'!$C$3:$K$3),
     MIN('2) หลักการคำนวน Table'!$C$3:$K$3),
     MAX('2) หลักการคำนวน Table'!$C$3:$K$3)
  )
)</f>
        <v>0.9</v>
      </c>
      <c r="AW56" s="298">
        <f>IFERROR(
  _xlfn.XLOOKUP(AK56,'2) หลักการคำนวน Table'!$C$3:$K$3,'2) หลักการคำนวน Table'!$C$3:$K$3,,1),
  IF(AK56&lt;MIN('2) หลักการคำนวน Table'!$C$3:$K$3),
     MIN('2) หลักการคำนวน Table'!$C$3:$K$3),
     MAX('2) หลักการคำนวน Table'!$C$3:$K$3)
  )
)</f>
        <v>0.9</v>
      </c>
      <c r="AX56" s="298">
        <f>IFERROR(
  _xlfn.XLOOKUP(AL56,'2) หลักการคำนวน Table'!$C$3:$K$3,'2) หลักการคำนวน Table'!$C$3:$K$3,,1),
  IF(AL56&lt;MIN('2) หลักการคำนวน Table'!$C$3:$K$3),
     MIN('2) หลักการคำนวน Table'!$C$3:$K$3),
     MAX('2) หลักการคำนวน Table'!$C$3:$K$3)
  )
)</f>
        <v>0.9</v>
      </c>
      <c r="AY56" s="298">
        <f>IFERROR(
  _xlfn.XLOOKUP(AM56,'2) หลักการคำนวน Table'!$C$3:$K$3,'2) หลักการคำนวน Table'!$C$3:$K$3,,1),
  IF(AM56&lt;MIN('2) หลักการคำนวน Table'!$C$3:$K$3),
     MIN('2) หลักการคำนวน Table'!$C$3:$K$3),
     MAX('2) หลักการคำนวน Table'!$C$3:$K$3)
  )
)</f>
        <v>0.9</v>
      </c>
      <c r="AZ56" s="299" t="e" cm="1">
        <f t="array" ref="AZ56">ROUND((_xlfn.XLOOKUP($C56,'2) หลักการคำนวน Table'!$A$4:$A$36,
_xlfn.XLOOKUP(AN56,'2)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A56" s="299" t="e" cm="1">
        <f t="array" ref="BA56">ROUND((_xlfn.XLOOKUP($C56,'2) หลักการคำนวน Table'!$A$4:$A$36,
_xlfn.XLOOKUP(AO56,'2)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B56" s="299" t="e" cm="1">
        <f t="array" ref="BB56">ROUND((_xlfn.XLOOKUP($C56,'2) หลักการคำนวน Table'!$A$4:$A$36,
_xlfn.XLOOKUP(AP56,'2)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C56" s="299" t="e" cm="1">
        <f t="array" ref="BC56">ROUND((_xlfn.XLOOKUP($C56,'2) หลักการคำนวน Table'!$A$4:$A$36,
_xlfn.XLOOKUP(AQ56,'2)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D56" s="299" t="e" cm="1">
        <f t="array" ref="BD56">ROUND((_xlfn.XLOOKUP($C56,'2) หลักการคำนวน Table'!$A$4:$A$36,
_xlfn.XLOOKUP(AR56,'2)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E56" s="299" t="e" cm="1">
        <f t="array" ref="BE56">ROUND((_xlfn.XLOOKUP($C56,'2) หลักการคำนวน Table'!$A$4:$A$36,
_xlfn.XLOOKUP(AS56,'2)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F56" s="299" t="e" cm="1">
        <f t="array" ref="BF56">ROUND((_xlfn.XLOOKUP($C56,'2) หลักการคำนวน Table'!$A$4:$A$36,
_xlfn.XLOOKUP(AT56,'2)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G56" s="299" t="e" cm="1">
        <f t="array" ref="BG56">ROUND((_xlfn.XLOOKUP($C56,'2) หลักการคำนวน Table'!$A$4:$A$36,
_xlfn.XLOOKUP(AU56,'2)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H56" s="299" t="e" cm="1">
        <f t="array" ref="BH56">ROUND((_xlfn.XLOOKUP($C56,'2) หลักการคำนวน Table'!$A$4:$A$36,
_xlfn.XLOOKUP(AV56,'2)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I56" s="299" t="e" cm="1">
        <f t="array" ref="BI56">ROUND((_xlfn.XLOOKUP($C56,'2) หลักการคำนวน Table'!$A$4:$A$36,
_xlfn.XLOOKUP(AW56,'2)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J56" s="299" t="e" cm="1">
        <f t="array" ref="BJ56">ROUND((_xlfn.XLOOKUP($C56,'2) หลักการคำนวน Table'!$A$4:$A$36,
_xlfn.XLOOKUP(AX56,'2)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K56" s="299" t="e" cm="1">
        <f t="array" ref="BK56">ROUND((_xlfn.XLOOKUP($C56,'2) หลักการคำนวน Table'!$A$4:$A$36,
_xlfn.XLOOKUP(AY56,'2)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M56" s="295">
        <v>222212</v>
      </c>
      <c r="BN56" s="300">
        <v>186</v>
      </c>
    </row>
    <row r="57" spans="1:66" ht="14.7" customHeight="1" x14ac:dyDescent="0.25">
      <c r="A57" s="126" t="e">
        <f>VLOOKUP(C57,ASTBase!E:S,13,FALSE)</f>
        <v>#N/A</v>
      </c>
      <c r="B57" s="126" t="s">
        <v>414</v>
      </c>
      <c r="C57" s="126">
        <v>5490000701</v>
      </c>
      <c r="D57" s="127">
        <v>5400</v>
      </c>
      <c r="E57" s="127">
        <v>3950</v>
      </c>
      <c r="F57" s="127">
        <v>4200</v>
      </c>
      <c r="G57" s="127">
        <v>4900</v>
      </c>
      <c r="H57" s="127">
        <v>5300</v>
      </c>
      <c r="I57" s="127">
        <v>5300</v>
      </c>
      <c r="J57" s="127">
        <v>4200</v>
      </c>
      <c r="K57" s="127">
        <v>4250</v>
      </c>
      <c r="L57" s="127">
        <v>5100</v>
      </c>
      <c r="M57" s="127">
        <v>5317</v>
      </c>
      <c r="N57" s="127">
        <v>4900</v>
      </c>
      <c r="O57" s="127">
        <v>4700</v>
      </c>
      <c r="P57" s="126">
        <v>5018.4000000000005</v>
      </c>
      <c r="AB57" s="297">
        <f>IFERROR(IF(VLOOKUP($B57,Shortage!$A:$M,AB$2,FALSE)="Shortage",1,IFERROR(ROUND(P57/D57,4),0)),IFERROR(ROUND(P57/D57,4),0))</f>
        <v>0.92930000000000001</v>
      </c>
      <c r="AC57" s="297">
        <f>IFERROR(IF(VLOOKUP($B57,Shortage!$A:$M,AC$2,FALSE)="Shortage",1,IFERROR(ROUND(Q57/E57,4),0)),IFERROR(ROUND(Q57/E57,4),0))</f>
        <v>0</v>
      </c>
      <c r="AD57" s="297">
        <f>IFERROR(IF(VLOOKUP($B57,Shortage!$A:$M,AD$2,FALSE)="Shortage",1,IFERROR(ROUND(R57/F57,4),0)),IFERROR(ROUND(R57/F57,4),0))</f>
        <v>0</v>
      </c>
      <c r="AE57" s="297">
        <f>IFERROR(IF(VLOOKUP($B57,Shortage!$A:$M,AE$2,FALSE)="Shortage",1,IFERROR(ROUND(S57/G57,4),0)),IFERROR(ROUND(S57/G57,4),0))</f>
        <v>0</v>
      </c>
      <c r="AF57" s="297">
        <f>IFERROR(IF(VLOOKUP($B57,Shortage!$A:$M,AF$2,FALSE)="Shortage",1,IFERROR(ROUND(T57/H57,4),0)),IFERROR(ROUND(T57/H57,4),0))</f>
        <v>0</v>
      </c>
      <c r="AG57" s="297">
        <f>IFERROR(IF(VLOOKUP($B57,Shortage!$A:$M,AG$2,FALSE)="Shortage",1,IFERROR(ROUND(U57/I57,4),0)),IFERROR(ROUND(U57/I57,4),0))</f>
        <v>0</v>
      </c>
      <c r="AH57" s="297">
        <f>IFERROR(IF(VLOOKUP($B57,Shortage!$A:$M,AH$2,FALSE)="Shortage",1,IFERROR(ROUND(V57/J57,4),0)),IFERROR(ROUND(V57/J57,4),0))</f>
        <v>0</v>
      </c>
      <c r="AI57" s="297">
        <f>IFERROR(IF(VLOOKUP($B57,Shortage!$A:$M,AI$2,FALSE)="Shortage",1,IFERROR(ROUND(W57/K57,4),0)),IFERROR(ROUND(W57/K57,4),0))</f>
        <v>0</v>
      </c>
      <c r="AJ57" s="297">
        <f>IFERROR(IF(VLOOKUP($B57,Shortage!$A:$M,AJ$2,FALSE)="Shortage",1,IFERROR(ROUND(X57/L57,4),0)),IFERROR(ROUND(X57/L57,4),0))</f>
        <v>0</v>
      </c>
      <c r="AK57" s="297">
        <f>IFERROR(IF(VLOOKUP($B57,Shortage!$A:$M,AK$2,FALSE)="Shortage",1,IFERROR(ROUND(Y57/M57,4),0)),IFERROR(ROUND(Y57/M57,4),0))</f>
        <v>0</v>
      </c>
      <c r="AL57" s="297">
        <f>IFERROR(IF(VLOOKUP($B57,Shortage!$A:$M,AL$2,FALSE)="Shortage",1,IFERROR(ROUND(Z57/N57,4),0)),IFERROR(ROUND(Z57/N57,4),0))</f>
        <v>0</v>
      </c>
      <c r="AM57" s="297">
        <f>IFERROR(IF(VLOOKUP($B57,Shortage!$A:$M,AM$2,FALSE)="Shortage",1,IFERROR(ROUND(AA57/O57,4),0)),IFERROR(ROUND(AA57/O57,4),0))</f>
        <v>0</v>
      </c>
      <c r="AN57" s="298">
        <f>IFERROR(_xlfn.XLOOKUP(AB57,'2) หลักการคำนวน Table'!$C$3:$K$3,'2) หลักการคำนวน Table'!$C$3:$K$3,,1),INDEX('2) หลักการคำนวน Table'!$C$3:$K$3,1))</f>
        <v>0.95</v>
      </c>
      <c r="AO57" s="298">
        <f>IFERROR(
  _xlfn.XLOOKUP(AC57,'2) หลักการคำนวน Table'!$C$3:$K$3,'2) หลักการคำนวน Table'!$C$3:$K$3,,1),
  IF(AC57&lt;MIN('2) หลักการคำนวน Table'!$C$3:$K$3),
     MIN('2) หลักการคำนวน Table'!$C$3:$K$3),
     MAX('2) หลักการคำนวน Table'!$C$3:$K$3)
  )
)</f>
        <v>0.9</v>
      </c>
      <c r="AP57" s="298">
        <f>IFERROR(
  _xlfn.XLOOKUP(AD57,'2) หลักการคำนวน Table'!$C$3:$K$3,'2) หลักการคำนวน Table'!$C$3:$K$3,,1),
  IF(AD57&lt;MIN('2) หลักการคำนวน Table'!$C$3:$K$3),
     MIN('2) หลักการคำนวน Table'!$C$3:$K$3),
     MAX('2) หลักการคำนวน Table'!$C$3:$K$3)
  )
)</f>
        <v>0.9</v>
      </c>
      <c r="AQ57" s="298">
        <f>IFERROR(
  _xlfn.XLOOKUP(AE57,'2) หลักการคำนวน Table'!$C$3:$K$3,'2) หลักการคำนวน Table'!$C$3:$K$3,,1),
  IF(AE57&lt;MIN('2) หลักการคำนวน Table'!$C$3:$K$3),
     MIN('2) หลักการคำนวน Table'!$C$3:$K$3),
     MAX('2) หลักการคำนวน Table'!$C$3:$K$3)
  )
)</f>
        <v>0.9</v>
      </c>
      <c r="AR57" s="298">
        <f>IFERROR(
  _xlfn.XLOOKUP(AF57,'2) หลักการคำนวน Table'!$C$3:$K$3,'2) หลักการคำนวน Table'!$C$3:$K$3,,1),
  IF(AF57&lt;MIN('2) หลักการคำนวน Table'!$C$3:$K$3),
     MIN('2) หลักการคำนวน Table'!$C$3:$K$3),
     MAX('2) หลักการคำนวน Table'!$C$3:$K$3)
  )
)</f>
        <v>0.9</v>
      </c>
      <c r="AS57" s="298">
        <f>IFERROR(
  _xlfn.XLOOKUP(AG57,'2) หลักการคำนวน Table'!$C$3:$K$3,'2) หลักการคำนวน Table'!$C$3:$K$3,,1),
  IF(AG57&lt;MIN('2) หลักการคำนวน Table'!$C$3:$K$3),
     MIN('2) หลักการคำนวน Table'!$C$3:$K$3),
     MAX('2) หลักการคำนวน Table'!$C$3:$K$3)
  )
)</f>
        <v>0.9</v>
      </c>
      <c r="AT57" s="298">
        <f>IFERROR(
  _xlfn.XLOOKUP(AH57,'2) หลักการคำนวน Table'!$C$3:$K$3,'2) หลักการคำนวน Table'!$C$3:$K$3,,1),
  IF(AH57&lt;MIN('2) หลักการคำนวน Table'!$C$3:$K$3),
     MIN('2) หลักการคำนวน Table'!$C$3:$K$3),
     MAX('2) หลักการคำนวน Table'!$C$3:$K$3)
  )
)</f>
        <v>0.9</v>
      </c>
      <c r="AU57" s="298">
        <f>IFERROR(
  _xlfn.XLOOKUP(AI57,'2) หลักการคำนวน Table'!$C$3:$K$3,'2) หลักการคำนวน Table'!$C$3:$K$3,,1),
  IF(AI57&lt;MIN('2) หลักการคำนวน Table'!$C$3:$K$3),
     MIN('2) หลักการคำนวน Table'!$C$3:$K$3),
     MAX('2) หลักการคำนวน Table'!$C$3:$K$3)
  )
)</f>
        <v>0.9</v>
      </c>
      <c r="AV57" s="298">
        <f>IFERROR(
  _xlfn.XLOOKUP(AJ57,'2) หลักการคำนวน Table'!$C$3:$K$3,'2) หลักการคำนวน Table'!$C$3:$K$3,,1),
  IF(AJ57&lt;MIN('2) หลักการคำนวน Table'!$C$3:$K$3),
     MIN('2) หลักการคำนวน Table'!$C$3:$K$3),
     MAX('2) หลักการคำนวน Table'!$C$3:$K$3)
  )
)</f>
        <v>0.9</v>
      </c>
      <c r="AW57" s="298">
        <f>IFERROR(
  _xlfn.XLOOKUP(AK57,'2) หลักการคำนวน Table'!$C$3:$K$3,'2) หลักการคำนวน Table'!$C$3:$K$3,,1),
  IF(AK57&lt;MIN('2) หลักการคำนวน Table'!$C$3:$K$3),
     MIN('2) หลักการคำนวน Table'!$C$3:$K$3),
     MAX('2) หลักการคำนวน Table'!$C$3:$K$3)
  )
)</f>
        <v>0.9</v>
      </c>
      <c r="AX57" s="298">
        <f>IFERROR(
  _xlfn.XLOOKUP(AL57,'2) หลักการคำนวน Table'!$C$3:$K$3,'2) หลักการคำนวน Table'!$C$3:$K$3,,1),
  IF(AL57&lt;MIN('2) หลักการคำนวน Table'!$C$3:$K$3),
     MIN('2) หลักการคำนวน Table'!$C$3:$K$3),
     MAX('2) หลักการคำนวน Table'!$C$3:$K$3)
  )
)</f>
        <v>0.9</v>
      </c>
      <c r="AY57" s="298">
        <f>IFERROR(
  _xlfn.XLOOKUP(AM57,'2) หลักการคำนวน Table'!$C$3:$K$3,'2) หลักการคำนวน Table'!$C$3:$K$3,,1),
  IF(AM57&lt;MIN('2) หลักการคำนวน Table'!$C$3:$K$3),
     MIN('2) หลักการคำนวน Table'!$C$3:$K$3),
     MAX('2) หลักการคำนวน Table'!$C$3:$K$3)
  )
)</f>
        <v>0.9</v>
      </c>
      <c r="AZ57" s="299" t="e" cm="1">
        <f t="array" ref="AZ57">ROUND((_xlfn.XLOOKUP($C57,'2) หลักการคำนวน Table'!$A$4:$A$36,
_xlfn.XLOOKUP(AN57,'2)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A57" s="299" t="e" cm="1">
        <f t="array" ref="BA57">ROUND((_xlfn.XLOOKUP($C57,'2) หลักการคำนวน Table'!$A$4:$A$36,
_xlfn.XLOOKUP(AO57,'2)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B57" s="299" t="e" cm="1">
        <f t="array" ref="BB57">ROUND((_xlfn.XLOOKUP($C57,'2) หลักการคำนวน Table'!$A$4:$A$36,
_xlfn.XLOOKUP(AP57,'2)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C57" s="299" t="e" cm="1">
        <f t="array" ref="BC57">ROUND((_xlfn.XLOOKUP($C57,'2) หลักการคำนวน Table'!$A$4:$A$36,
_xlfn.XLOOKUP(AQ57,'2)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D57" s="299" t="e" cm="1">
        <f t="array" ref="BD57">ROUND((_xlfn.XLOOKUP($C57,'2) หลักการคำนวน Table'!$A$4:$A$36,
_xlfn.XLOOKUP(AR57,'2)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E57" s="299" t="e" cm="1">
        <f t="array" ref="BE57">ROUND((_xlfn.XLOOKUP($C57,'2) หลักการคำนวน Table'!$A$4:$A$36,
_xlfn.XLOOKUP(AS57,'2)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F57" s="299" t="e" cm="1">
        <f t="array" ref="BF57">ROUND((_xlfn.XLOOKUP($C57,'2) หลักการคำนวน Table'!$A$4:$A$36,
_xlfn.XLOOKUP(AT57,'2)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G57" s="299" t="e" cm="1">
        <f t="array" ref="BG57">ROUND((_xlfn.XLOOKUP($C57,'2) หลักการคำนวน Table'!$A$4:$A$36,
_xlfn.XLOOKUP(AU57,'2)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H57" s="299" t="e" cm="1">
        <f t="array" ref="BH57">ROUND((_xlfn.XLOOKUP($C57,'2) หลักการคำนวน Table'!$A$4:$A$36,
_xlfn.XLOOKUP(AV57,'2)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I57" s="299" t="e" cm="1">
        <f t="array" ref="BI57">ROUND((_xlfn.XLOOKUP($C57,'2) หลักการคำนวน Table'!$A$4:$A$36,
_xlfn.XLOOKUP(AW57,'2)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J57" s="299" t="e" cm="1">
        <f t="array" ref="BJ57">ROUND((_xlfn.XLOOKUP($C57,'2) หลักการคำนวน Table'!$A$4:$A$36,
_xlfn.XLOOKUP(AX57,'2)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K57" s="299" t="e" cm="1">
        <f t="array" ref="BK57">ROUND((_xlfn.XLOOKUP($C57,'2) หลักการคำนวน Table'!$A$4:$A$36,
_xlfn.XLOOKUP(AY57,'2)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M57" s="295">
        <v>222212</v>
      </c>
      <c r="BN57" s="300">
        <v>196</v>
      </c>
    </row>
    <row r="58" spans="1:66" ht="14.7" customHeight="1" x14ac:dyDescent="0.25">
      <c r="A58" s="126" t="e">
        <f>VLOOKUP(C58,ASTBase!E:S,13,FALSE)</f>
        <v>#N/A</v>
      </c>
      <c r="B58" s="126" t="s">
        <v>412</v>
      </c>
      <c r="C58" s="126">
        <v>5490000701</v>
      </c>
      <c r="D58" s="127">
        <v>23198.999999923486</v>
      </c>
      <c r="E58" s="127">
        <v>15573.999999921976</v>
      </c>
      <c r="F58" s="127">
        <v>16050.999999902717</v>
      </c>
      <c r="G58" s="127">
        <v>17220.999999919579</v>
      </c>
      <c r="H58" s="127">
        <v>22306.999999893174</v>
      </c>
      <c r="I58" s="127">
        <v>23430.999999902539</v>
      </c>
      <c r="J58" s="127">
        <v>17303.999999913263</v>
      </c>
      <c r="K58" s="127">
        <v>19258.999999913092</v>
      </c>
      <c r="L58" s="127">
        <v>23842.999999907723</v>
      </c>
      <c r="M58" s="127">
        <v>27037.999999917429</v>
      </c>
      <c r="N58" s="127">
        <v>27622.999999909101</v>
      </c>
      <c r="O58" s="127">
        <v>26458.227778974186</v>
      </c>
      <c r="P58" s="126">
        <v>18027.999999756998</v>
      </c>
      <c r="AB58" s="297">
        <f>IFERROR(IF(VLOOKUP($B58,Shortage!$A:$M,AB$2,FALSE)="Shortage",1,IFERROR(ROUND(P58/D58,4),0)),IFERROR(ROUND(P58/D58,4),0))</f>
        <v>1</v>
      </c>
      <c r="AC58" s="297">
        <f>IFERROR(IF(VLOOKUP($B58,Shortage!$A:$M,AC$2,FALSE)="Shortage",1,IFERROR(ROUND(Q58/E58,4),0)),IFERROR(ROUND(Q58/E58,4),0))</f>
        <v>0</v>
      </c>
      <c r="AD58" s="297">
        <f>IFERROR(IF(VLOOKUP($B58,Shortage!$A:$M,AD$2,FALSE)="Shortage",1,IFERROR(ROUND(R58/F58,4),0)),IFERROR(ROUND(R58/F58,4),0))</f>
        <v>0</v>
      </c>
      <c r="AE58" s="297">
        <f>IFERROR(IF(VLOOKUP($B58,Shortage!$A:$M,AE$2,FALSE)="Shortage",1,IFERROR(ROUND(S58/G58,4),0)),IFERROR(ROUND(S58/G58,4),0))</f>
        <v>0</v>
      </c>
      <c r="AF58" s="297">
        <f>IFERROR(IF(VLOOKUP($B58,Shortage!$A:$M,AF$2,FALSE)="Shortage",1,IFERROR(ROUND(T58/H58,4),0)),IFERROR(ROUND(T58/H58,4),0))</f>
        <v>0</v>
      </c>
      <c r="AG58" s="297">
        <f>IFERROR(IF(VLOOKUP($B58,Shortage!$A:$M,AG$2,FALSE)="Shortage",1,IFERROR(ROUND(U58/I58,4),0)),IFERROR(ROUND(U58/I58,4),0))</f>
        <v>0</v>
      </c>
      <c r="AH58" s="297">
        <f>IFERROR(IF(VLOOKUP($B58,Shortage!$A:$M,AH$2,FALSE)="Shortage",1,IFERROR(ROUND(V58/J58,4),0)),IFERROR(ROUND(V58/J58,4),0))</f>
        <v>0</v>
      </c>
      <c r="AI58" s="297">
        <f>IFERROR(IF(VLOOKUP($B58,Shortage!$A:$M,AI$2,FALSE)="Shortage",1,IFERROR(ROUND(W58/K58,4),0)),IFERROR(ROUND(W58/K58,4),0))</f>
        <v>0</v>
      </c>
      <c r="AJ58" s="297">
        <f>IFERROR(IF(VLOOKUP($B58,Shortage!$A:$M,AJ$2,FALSE)="Shortage",1,IFERROR(ROUND(X58/L58,4),0)),IFERROR(ROUND(X58/L58,4),0))</f>
        <v>0</v>
      </c>
      <c r="AK58" s="297">
        <f>IFERROR(IF(VLOOKUP($B58,Shortage!$A:$M,AK$2,FALSE)="Shortage",1,IFERROR(ROUND(Y58/M58,4),0)),IFERROR(ROUND(Y58/M58,4),0))</f>
        <v>0</v>
      </c>
      <c r="AL58" s="297">
        <f>IFERROR(IF(VLOOKUP($B58,Shortage!$A:$M,AL$2,FALSE)="Shortage",1,IFERROR(ROUND(Z58/N58,4),0)),IFERROR(ROUND(Z58/N58,4),0))</f>
        <v>0</v>
      </c>
      <c r="AM58" s="297">
        <f>IFERROR(IF(VLOOKUP($B58,Shortage!$A:$M,AM$2,FALSE)="Shortage",1,IFERROR(ROUND(AA58/O58,4),0)),IFERROR(ROUND(AA58/O58,4),0))</f>
        <v>0</v>
      </c>
      <c r="AN58" s="298">
        <f>IFERROR(_xlfn.XLOOKUP(AB58,'2) หลักการคำนวน Table'!$C$3:$K$3,'2) หลักการคำนวน Table'!$C$3:$K$3,,1),INDEX('2) หลักการคำนวน Table'!$C$3:$K$3,1))</f>
        <v>1</v>
      </c>
      <c r="AO58" s="298">
        <f>IFERROR(
  _xlfn.XLOOKUP(AC58,'2) หลักการคำนวน Table'!$C$3:$K$3,'2) หลักการคำนวน Table'!$C$3:$K$3,,1),
  IF(AC58&lt;MIN('2) หลักการคำนวน Table'!$C$3:$K$3),
     MIN('2) หลักการคำนวน Table'!$C$3:$K$3),
     MAX('2) หลักการคำนวน Table'!$C$3:$K$3)
  )
)</f>
        <v>0.9</v>
      </c>
      <c r="AP58" s="298">
        <f>IFERROR(
  _xlfn.XLOOKUP(AD58,'2) หลักการคำนวน Table'!$C$3:$K$3,'2) หลักการคำนวน Table'!$C$3:$K$3,,1),
  IF(AD58&lt;MIN('2) หลักการคำนวน Table'!$C$3:$K$3),
     MIN('2) หลักการคำนวน Table'!$C$3:$K$3),
     MAX('2) หลักการคำนวน Table'!$C$3:$K$3)
  )
)</f>
        <v>0.9</v>
      </c>
      <c r="AQ58" s="298">
        <f>IFERROR(
  _xlfn.XLOOKUP(AE58,'2) หลักการคำนวน Table'!$C$3:$K$3,'2) หลักการคำนวน Table'!$C$3:$K$3,,1),
  IF(AE58&lt;MIN('2) หลักการคำนวน Table'!$C$3:$K$3),
     MIN('2) หลักการคำนวน Table'!$C$3:$K$3),
     MAX('2) หลักการคำนวน Table'!$C$3:$K$3)
  )
)</f>
        <v>0.9</v>
      </c>
      <c r="AR58" s="298">
        <f>IFERROR(
  _xlfn.XLOOKUP(AF58,'2) หลักการคำนวน Table'!$C$3:$K$3,'2) หลักการคำนวน Table'!$C$3:$K$3,,1),
  IF(AF58&lt;MIN('2) หลักการคำนวน Table'!$C$3:$K$3),
     MIN('2) หลักการคำนวน Table'!$C$3:$K$3),
     MAX('2) หลักการคำนวน Table'!$C$3:$K$3)
  )
)</f>
        <v>0.9</v>
      </c>
      <c r="AS58" s="298">
        <f>IFERROR(
  _xlfn.XLOOKUP(AG58,'2) หลักการคำนวน Table'!$C$3:$K$3,'2) หลักการคำนวน Table'!$C$3:$K$3,,1),
  IF(AG58&lt;MIN('2) หลักการคำนวน Table'!$C$3:$K$3),
     MIN('2) หลักการคำนวน Table'!$C$3:$K$3),
     MAX('2) หลักการคำนวน Table'!$C$3:$K$3)
  )
)</f>
        <v>0.9</v>
      </c>
      <c r="AT58" s="298">
        <f>IFERROR(
  _xlfn.XLOOKUP(AH58,'2) หลักการคำนวน Table'!$C$3:$K$3,'2) หลักการคำนวน Table'!$C$3:$K$3,,1),
  IF(AH58&lt;MIN('2) หลักการคำนวน Table'!$C$3:$K$3),
     MIN('2) หลักการคำนวน Table'!$C$3:$K$3),
     MAX('2) หลักการคำนวน Table'!$C$3:$K$3)
  )
)</f>
        <v>0.9</v>
      </c>
      <c r="AU58" s="298">
        <f>IFERROR(
  _xlfn.XLOOKUP(AI58,'2) หลักการคำนวน Table'!$C$3:$K$3,'2) หลักการคำนวน Table'!$C$3:$K$3,,1),
  IF(AI58&lt;MIN('2) หลักการคำนวน Table'!$C$3:$K$3),
     MIN('2) หลักการคำนวน Table'!$C$3:$K$3),
     MAX('2) หลักการคำนวน Table'!$C$3:$K$3)
  )
)</f>
        <v>0.9</v>
      </c>
      <c r="AV58" s="298">
        <f>IFERROR(
  _xlfn.XLOOKUP(AJ58,'2) หลักการคำนวน Table'!$C$3:$K$3,'2) หลักการคำนวน Table'!$C$3:$K$3,,1),
  IF(AJ58&lt;MIN('2) หลักการคำนวน Table'!$C$3:$K$3),
     MIN('2) หลักการคำนวน Table'!$C$3:$K$3),
     MAX('2) หลักการคำนวน Table'!$C$3:$K$3)
  )
)</f>
        <v>0.9</v>
      </c>
      <c r="AW58" s="298">
        <f>IFERROR(
  _xlfn.XLOOKUP(AK58,'2) หลักการคำนวน Table'!$C$3:$K$3,'2) หลักการคำนวน Table'!$C$3:$K$3,,1),
  IF(AK58&lt;MIN('2) หลักการคำนวน Table'!$C$3:$K$3),
     MIN('2) หลักการคำนวน Table'!$C$3:$K$3),
     MAX('2) หลักการคำนวน Table'!$C$3:$K$3)
  )
)</f>
        <v>0.9</v>
      </c>
      <c r="AX58" s="298">
        <f>IFERROR(
  _xlfn.XLOOKUP(AL58,'2) หลักการคำนวน Table'!$C$3:$K$3,'2) หลักการคำนวน Table'!$C$3:$K$3,,1),
  IF(AL58&lt;MIN('2) หลักการคำนวน Table'!$C$3:$K$3),
     MIN('2) หลักการคำนวน Table'!$C$3:$K$3),
     MAX('2) หลักการคำนวน Table'!$C$3:$K$3)
  )
)</f>
        <v>0.9</v>
      </c>
      <c r="AY58" s="298">
        <f>IFERROR(
  _xlfn.XLOOKUP(AM58,'2) หลักการคำนวน Table'!$C$3:$K$3,'2) หลักการคำนวน Table'!$C$3:$K$3,,1),
  IF(AM58&lt;MIN('2) หลักการคำนวน Table'!$C$3:$K$3),
     MIN('2) หลักการคำนวน Table'!$C$3:$K$3),
     MAX('2) หลักการคำนวน Table'!$C$3:$K$3)
  )
)</f>
        <v>0.9</v>
      </c>
      <c r="AZ58" s="299" t="e" cm="1">
        <f t="array" ref="AZ58">ROUND((_xlfn.XLOOKUP($C58,'2) หลักการคำนวน Table'!$A$4:$A$36,
_xlfn.XLOOKUP(AN58,'2)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A58" s="299" t="e" cm="1">
        <f t="array" ref="BA58">ROUND((_xlfn.XLOOKUP($C58,'2) หลักการคำนวน Table'!$A$4:$A$36,
_xlfn.XLOOKUP(AO58,'2)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B58" s="299" t="e" cm="1">
        <f t="array" ref="BB58">ROUND((_xlfn.XLOOKUP($C58,'2) หลักการคำนวน Table'!$A$4:$A$36,
_xlfn.XLOOKUP(AP58,'2)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C58" s="299" t="e" cm="1">
        <f t="array" ref="BC58">ROUND((_xlfn.XLOOKUP($C58,'2) หลักการคำนวน Table'!$A$4:$A$36,
_xlfn.XLOOKUP(AQ58,'2)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D58" s="299" t="e" cm="1">
        <f t="array" ref="BD58">ROUND((_xlfn.XLOOKUP($C58,'2) หลักการคำนวน Table'!$A$4:$A$36,
_xlfn.XLOOKUP(AR58,'2)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E58" s="299" t="e" cm="1">
        <f t="array" ref="BE58">ROUND((_xlfn.XLOOKUP($C58,'2) หลักการคำนวน Table'!$A$4:$A$36,
_xlfn.XLOOKUP(AS58,'2)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F58" s="299" t="e" cm="1">
        <f t="array" ref="BF58">ROUND((_xlfn.XLOOKUP($C58,'2) หลักการคำนวน Table'!$A$4:$A$36,
_xlfn.XLOOKUP(AT58,'2)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G58" s="299" t="e" cm="1">
        <f t="array" ref="BG58">ROUND((_xlfn.XLOOKUP($C58,'2) หลักการคำนวน Table'!$A$4:$A$36,
_xlfn.XLOOKUP(AU58,'2)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H58" s="299" t="e" cm="1">
        <f t="array" ref="BH58">ROUND((_xlfn.XLOOKUP($C58,'2) หลักการคำนวน Table'!$A$4:$A$36,
_xlfn.XLOOKUP(AV58,'2)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I58" s="299" t="e" cm="1">
        <f t="array" ref="BI58">ROUND((_xlfn.XLOOKUP($C58,'2) หลักการคำนวน Table'!$A$4:$A$36,
_xlfn.XLOOKUP(AW58,'2)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J58" s="299" t="e" cm="1">
        <f t="array" ref="BJ58">ROUND((_xlfn.XLOOKUP($C58,'2) หลักการคำนวน Table'!$A$4:$A$36,
_xlfn.XLOOKUP(AX58,'2)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K58" s="299" t="e" cm="1">
        <f t="array" ref="BK58">ROUND((_xlfn.XLOOKUP($C58,'2) หลักการคำนวน Table'!$A$4:$A$36,
_xlfn.XLOOKUP(AY58,'2)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M58" s="295">
        <v>222212</v>
      </c>
      <c r="BN58" s="300">
        <v>515</v>
      </c>
    </row>
    <row r="59" spans="1:66" ht="14.7" customHeight="1" x14ac:dyDescent="0.25">
      <c r="A59" s="126" t="e">
        <f>VLOOKUP(C59,ASTBase!E:S,13,FALSE)</f>
        <v>#N/A</v>
      </c>
      <c r="B59" s="126" t="s">
        <v>411</v>
      </c>
      <c r="C59" s="126">
        <v>5490000701</v>
      </c>
      <c r="D59" s="127">
        <v>400</v>
      </c>
      <c r="E59" s="127">
        <v>300</v>
      </c>
      <c r="F59" s="127">
        <v>300</v>
      </c>
      <c r="G59" s="127">
        <v>400</v>
      </c>
      <c r="H59" s="127">
        <v>400</v>
      </c>
      <c r="I59" s="127">
        <v>450</v>
      </c>
      <c r="J59" s="127">
        <v>300</v>
      </c>
      <c r="K59" s="127">
        <v>300</v>
      </c>
      <c r="L59" s="127">
        <v>400</v>
      </c>
      <c r="M59" s="127">
        <v>250</v>
      </c>
      <c r="N59" s="127">
        <v>300</v>
      </c>
      <c r="O59" s="127">
        <v>342</v>
      </c>
      <c r="P59" s="126">
        <v>676.98</v>
      </c>
      <c r="AB59" s="297">
        <f>IFERROR(IF(VLOOKUP($B59,Shortage!$A:$M,AB$2,FALSE)="Shortage",1,IFERROR(ROUND(P59/D59,4),0)),IFERROR(ROUND(P59/D59,4),0))</f>
        <v>1.6924999999999999</v>
      </c>
      <c r="AC59" s="297">
        <f>IFERROR(IF(VLOOKUP($B59,Shortage!$A:$M,AC$2,FALSE)="Shortage",1,IFERROR(ROUND(Q59/E59,4),0)),IFERROR(ROUND(Q59/E59,4),0))</f>
        <v>0</v>
      </c>
      <c r="AD59" s="297">
        <f>IFERROR(IF(VLOOKUP($B59,Shortage!$A:$M,AD$2,FALSE)="Shortage",1,IFERROR(ROUND(R59/F59,4),0)),IFERROR(ROUND(R59/F59,4),0))</f>
        <v>0</v>
      </c>
      <c r="AE59" s="297">
        <f>IFERROR(IF(VLOOKUP($B59,Shortage!$A:$M,AE$2,FALSE)="Shortage",1,IFERROR(ROUND(S59/G59,4),0)),IFERROR(ROUND(S59/G59,4),0))</f>
        <v>0</v>
      </c>
      <c r="AF59" s="297">
        <f>IFERROR(IF(VLOOKUP($B59,Shortage!$A:$M,AF$2,FALSE)="Shortage",1,IFERROR(ROUND(T59/H59,4),0)),IFERROR(ROUND(T59/H59,4),0))</f>
        <v>0</v>
      </c>
      <c r="AG59" s="297">
        <f>IFERROR(IF(VLOOKUP($B59,Shortage!$A:$M,AG$2,FALSE)="Shortage",1,IFERROR(ROUND(U59/I59,4),0)),IFERROR(ROUND(U59/I59,4),0))</f>
        <v>0</v>
      </c>
      <c r="AH59" s="297">
        <f>IFERROR(IF(VLOOKUP($B59,Shortage!$A:$M,AH$2,FALSE)="Shortage",1,IFERROR(ROUND(V59/J59,4),0)),IFERROR(ROUND(V59/J59,4),0))</f>
        <v>0</v>
      </c>
      <c r="AI59" s="297">
        <f>IFERROR(IF(VLOOKUP($B59,Shortage!$A:$M,AI$2,FALSE)="Shortage",1,IFERROR(ROUND(W59/K59,4),0)),IFERROR(ROUND(W59/K59,4),0))</f>
        <v>0</v>
      </c>
      <c r="AJ59" s="297">
        <f>IFERROR(IF(VLOOKUP($B59,Shortage!$A:$M,AJ$2,FALSE)="Shortage",1,IFERROR(ROUND(X59/L59,4),0)),IFERROR(ROUND(X59/L59,4),0))</f>
        <v>0</v>
      </c>
      <c r="AK59" s="297">
        <f>IFERROR(IF(VLOOKUP($B59,Shortage!$A:$M,AK$2,FALSE)="Shortage",1,IFERROR(ROUND(Y59/M59,4),0)),IFERROR(ROUND(Y59/M59,4),0))</f>
        <v>0</v>
      </c>
      <c r="AL59" s="297">
        <f>IFERROR(IF(VLOOKUP($B59,Shortage!$A:$M,AL$2,FALSE)="Shortage",1,IFERROR(ROUND(Z59/N59,4),0)),IFERROR(ROUND(Z59/N59,4),0))</f>
        <v>0</v>
      </c>
      <c r="AM59" s="297">
        <f>IFERROR(IF(VLOOKUP($B59,Shortage!$A:$M,AM$2,FALSE)="Shortage",1,IFERROR(ROUND(AA59/O59,4),0)),IFERROR(ROUND(AA59/O59,4),0))</f>
        <v>0</v>
      </c>
      <c r="AN59" s="298">
        <f>IFERROR(_xlfn.XLOOKUP(AB59,'2) หลักการคำนวน Table'!$C$3:$K$3,'2) หลักการคำนวน Table'!$C$3:$K$3,,1),INDEX('2) หลักการคำนวน Table'!$C$3:$K$3,1))</f>
        <v>20</v>
      </c>
      <c r="AO59" s="298">
        <f>IFERROR(
  _xlfn.XLOOKUP(AC59,'2) หลักการคำนวน Table'!$C$3:$K$3,'2) หลักการคำนวน Table'!$C$3:$K$3,,1),
  IF(AC59&lt;MIN('2) หลักการคำนวน Table'!$C$3:$K$3),
     MIN('2) หลักการคำนวน Table'!$C$3:$K$3),
     MAX('2) หลักการคำนวน Table'!$C$3:$K$3)
  )
)</f>
        <v>0.9</v>
      </c>
      <c r="AP59" s="298">
        <f>IFERROR(
  _xlfn.XLOOKUP(AD59,'2) หลักการคำนวน Table'!$C$3:$K$3,'2) หลักการคำนวน Table'!$C$3:$K$3,,1),
  IF(AD59&lt;MIN('2) หลักการคำนวน Table'!$C$3:$K$3),
     MIN('2) หลักการคำนวน Table'!$C$3:$K$3),
     MAX('2) หลักการคำนวน Table'!$C$3:$K$3)
  )
)</f>
        <v>0.9</v>
      </c>
      <c r="AQ59" s="298">
        <f>IFERROR(
  _xlfn.XLOOKUP(AE59,'2) หลักการคำนวน Table'!$C$3:$K$3,'2) หลักการคำนวน Table'!$C$3:$K$3,,1),
  IF(AE59&lt;MIN('2) หลักการคำนวน Table'!$C$3:$K$3),
     MIN('2) หลักการคำนวน Table'!$C$3:$K$3),
     MAX('2) หลักการคำนวน Table'!$C$3:$K$3)
  )
)</f>
        <v>0.9</v>
      </c>
      <c r="AR59" s="298">
        <f>IFERROR(
  _xlfn.XLOOKUP(AF59,'2) หลักการคำนวน Table'!$C$3:$K$3,'2) หลักการคำนวน Table'!$C$3:$K$3,,1),
  IF(AF59&lt;MIN('2) หลักการคำนวน Table'!$C$3:$K$3),
     MIN('2) หลักการคำนวน Table'!$C$3:$K$3),
     MAX('2) หลักการคำนวน Table'!$C$3:$K$3)
  )
)</f>
        <v>0.9</v>
      </c>
      <c r="AS59" s="298">
        <f>IFERROR(
  _xlfn.XLOOKUP(AG59,'2) หลักการคำนวน Table'!$C$3:$K$3,'2) หลักการคำนวน Table'!$C$3:$K$3,,1),
  IF(AG59&lt;MIN('2) หลักการคำนวน Table'!$C$3:$K$3),
     MIN('2) หลักการคำนวน Table'!$C$3:$K$3),
     MAX('2) หลักการคำนวน Table'!$C$3:$K$3)
  )
)</f>
        <v>0.9</v>
      </c>
      <c r="AT59" s="298">
        <f>IFERROR(
  _xlfn.XLOOKUP(AH59,'2) หลักการคำนวน Table'!$C$3:$K$3,'2) หลักการคำนวน Table'!$C$3:$K$3,,1),
  IF(AH59&lt;MIN('2) หลักการคำนวน Table'!$C$3:$K$3),
     MIN('2) หลักการคำนวน Table'!$C$3:$K$3),
     MAX('2) หลักการคำนวน Table'!$C$3:$K$3)
  )
)</f>
        <v>0.9</v>
      </c>
      <c r="AU59" s="298">
        <f>IFERROR(
  _xlfn.XLOOKUP(AI59,'2) หลักการคำนวน Table'!$C$3:$K$3,'2) หลักการคำนวน Table'!$C$3:$K$3,,1),
  IF(AI59&lt;MIN('2) หลักการคำนวน Table'!$C$3:$K$3),
     MIN('2) หลักการคำนวน Table'!$C$3:$K$3),
     MAX('2) หลักการคำนวน Table'!$C$3:$K$3)
  )
)</f>
        <v>0.9</v>
      </c>
      <c r="AV59" s="298">
        <f>IFERROR(
  _xlfn.XLOOKUP(AJ59,'2) หลักการคำนวน Table'!$C$3:$K$3,'2) หลักการคำนวน Table'!$C$3:$K$3,,1),
  IF(AJ59&lt;MIN('2) หลักการคำนวน Table'!$C$3:$K$3),
     MIN('2) หลักการคำนวน Table'!$C$3:$K$3),
     MAX('2) หลักการคำนวน Table'!$C$3:$K$3)
  )
)</f>
        <v>0.9</v>
      </c>
      <c r="AW59" s="298">
        <f>IFERROR(
  _xlfn.XLOOKUP(AK59,'2) หลักการคำนวน Table'!$C$3:$K$3,'2) หลักการคำนวน Table'!$C$3:$K$3,,1),
  IF(AK59&lt;MIN('2) หลักการคำนวน Table'!$C$3:$K$3),
     MIN('2) หลักการคำนวน Table'!$C$3:$K$3),
     MAX('2) หลักการคำนวน Table'!$C$3:$K$3)
  )
)</f>
        <v>0.9</v>
      </c>
      <c r="AX59" s="298">
        <f>IFERROR(
  _xlfn.XLOOKUP(AL59,'2) หลักการคำนวน Table'!$C$3:$K$3,'2) หลักการคำนวน Table'!$C$3:$K$3,,1),
  IF(AL59&lt;MIN('2) หลักการคำนวน Table'!$C$3:$K$3),
     MIN('2) หลักการคำนวน Table'!$C$3:$K$3),
     MAX('2) หลักการคำนวน Table'!$C$3:$K$3)
  )
)</f>
        <v>0.9</v>
      </c>
      <c r="AY59" s="298">
        <f>IFERROR(
  _xlfn.XLOOKUP(AM59,'2) หลักการคำนวน Table'!$C$3:$K$3,'2) หลักการคำนวน Table'!$C$3:$K$3,,1),
  IF(AM59&lt;MIN('2) หลักการคำนวน Table'!$C$3:$K$3),
     MIN('2) หลักการคำนวน Table'!$C$3:$K$3),
     MAX('2) หลักการคำนวน Table'!$C$3:$K$3)
  )
)</f>
        <v>0.9</v>
      </c>
      <c r="AZ59" s="299" t="e" cm="1">
        <f t="array" ref="AZ59">ROUND((_xlfn.XLOOKUP($C59,'2) หลักการคำนวน Table'!$A$4:$A$36,
_xlfn.XLOOKUP(AN59,'2)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A59" s="299" t="e" cm="1">
        <f t="array" ref="BA59">ROUND((_xlfn.XLOOKUP($C59,'2) หลักการคำนวน Table'!$A$4:$A$36,
_xlfn.XLOOKUP(AO59,'2)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B59" s="299" t="e" cm="1">
        <f t="array" ref="BB59">ROUND((_xlfn.XLOOKUP($C59,'2) หลักการคำนวน Table'!$A$4:$A$36,
_xlfn.XLOOKUP(AP59,'2)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C59" s="299" t="e" cm="1">
        <f t="array" ref="BC59">ROUND((_xlfn.XLOOKUP($C59,'2) หลักการคำนวน Table'!$A$4:$A$36,
_xlfn.XLOOKUP(AQ59,'2)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D59" s="299" t="e" cm="1">
        <f t="array" ref="BD59">ROUND((_xlfn.XLOOKUP($C59,'2) หลักการคำนวน Table'!$A$4:$A$36,
_xlfn.XLOOKUP(AR59,'2)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E59" s="299" t="e" cm="1">
        <f t="array" ref="BE59">ROUND((_xlfn.XLOOKUP($C59,'2) หลักการคำนวน Table'!$A$4:$A$36,
_xlfn.XLOOKUP(AS59,'2)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F59" s="299" t="e" cm="1">
        <f t="array" ref="BF59">ROUND((_xlfn.XLOOKUP($C59,'2) หลักการคำนวน Table'!$A$4:$A$36,
_xlfn.XLOOKUP(AT59,'2)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G59" s="299" t="e" cm="1">
        <f t="array" ref="BG59">ROUND((_xlfn.XLOOKUP($C59,'2) หลักการคำนวน Table'!$A$4:$A$36,
_xlfn.XLOOKUP(AU59,'2)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H59" s="299" t="e" cm="1">
        <f t="array" ref="BH59">ROUND((_xlfn.XLOOKUP($C59,'2) หลักการคำนวน Table'!$A$4:$A$36,
_xlfn.XLOOKUP(AV59,'2)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I59" s="299" t="e" cm="1">
        <f t="array" ref="BI59">ROUND((_xlfn.XLOOKUP($C59,'2) หลักการคำนวน Table'!$A$4:$A$36,
_xlfn.XLOOKUP(AW59,'2)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J59" s="299" t="e" cm="1">
        <f t="array" ref="BJ59">ROUND((_xlfn.XLOOKUP($C59,'2) หลักการคำนวน Table'!$A$4:$A$36,
_xlfn.XLOOKUP(AX59,'2)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K59" s="299" t="e" cm="1">
        <f t="array" ref="BK59">ROUND((_xlfn.XLOOKUP($C59,'2) หลักการคำนวน Table'!$A$4:$A$36,
_xlfn.XLOOKUP(AY59,'2)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M59" s="295">
        <v>222212</v>
      </c>
      <c r="BN59" s="300">
        <v>670</v>
      </c>
    </row>
    <row r="60" spans="1:66" ht="14.7" customHeight="1" x14ac:dyDescent="0.25">
      <c r="A60" s="126" t="e">
        <f>VLOOKUP(C60,ASTBase!E:S,13,FALSE)</f>
        <v>#N/A</v>
      </c>
      <c r="B60" s="126" t="s">
        <v>419</v>
      </c>
      <c r="C60" s="126">
        <v>5490000701</v>
      </c>
      <c r="D60" s="127">
        <v>260</v>
      </c>
      <c r="E60" s="127">
        <v>160</v>
      </c>
      <c r="F60" s="127">
        <v>160</v>
      </c>
      <c r="G60" s="127">
        <v>120</v>
      </c>
      <c r="H60" s="127">
        <v>200</v>
      </c>
      <c r="I60" s="127">
        <v>320</v>
      </c>
      <c r="J60" s="127">
        <v>120</v>
      </c>
      <c r="K60" s="127">
        <v>160</v>
      </c>
      <c r="L60" s="127">
        <v>320</v>
      </c>
      <c r="M60" s="127">
        <v>200</v>
      </c>
      <c r="N60" s="127">
        <v>200</v>
      </c>
      <c r="O60" s="127">
        <v>260</v>
      </c>
      <c r="P60" s="126">
        <v>241</v>
      </c>
      <c r="AB60" s="297">
        <f>IFERROR(IF(VLOOKUP($B60,Shortage!$A:$M,AB$2,FALSE)="Shortage",1,IFERROR(ROUND(P60/D60,4),0)),IFERROR(ROUND(P60/D60,4),0))</f>
        <v>0.92689999999999995</v>
      </c>
      <c r="AC60" s="297">
        <f>IFERROR(IF(VLOOKUP($B60,Shortage!$A:$M,AC$2,FALSE)="Shortage",1,IFERROR(ROUND(Q60/E60,4),0)),IFERROR(ROUND(Q60/E60,4),0))</f>
        <v>0</v>
      </c>
      <c r="AD60" s="297">
        <f>IFERROR(IF(VLOOKUP($B60,Shortage!$A:$M,AD$2,FALSE)="Shortage",1,IFERROR(ROUND(R60/F60,4),0)),IFERROR(ROUND(R60/F60,4),0))</f>
        <v>0</v>
      </c>
      <c r="AE60" s="297">
        <f>IFERROR(IF(VLOOKUP($B60,Shortage!$A:$M,AE$2,FALSE)="Shortage",1,IFERROR(ROUND(S60/G60,4),0)),IFERROR(ROUND(S60/G60,4),0))</f>
        <v>0</v>
      </c>
      <c r="AF60" s="297">
        <f>IFERROR(IF(VLOOKUP($B60,Shortage!$A:$M,AF$2,FALSE)="Shortage",1,IFERROR(ROUND(T60/H60,4),0)),IFERROR(ROUND(T60/H60,4),0))</f>
        <v>0</v>
      </c>
      <c r="AG60" s="297">
        <f>IFERROR(IF(VLOOKUP($B60,Shortage!$A:$M,AG$2,FALSE)="Shortage",1,IFERROR(ROUND(U60/I60,4),0)),IFERROR(ROUND(U60/I60,4),0))</f>
        <v>0</v>
      </c>
      <c r="AH60" s="297">
        <f>IFERROR(IF(VLOOKUP($B60,Shortage!$A:$M,AH$2,FALSE)="Shortage",1,IFERROR(ROUND(V60/J60,4),0)),IFERROR(ROUND(V60/J60,4),0))</f>
        <v>0</v>
      </c>
      <c r="AI60" s="297">
        <f>IFERROR(IF(VLOOKUP($B60,Shortage!$A:$M,AI$2,FALSE)="Shortage",1,IFERROR(ROUND(W60/K60,4),0)),IFERROR(ROUND(W60/K60,4),0))</f>
        <v>0</v>
      </c>
      <c r="AJ60" s="297">
        <f>IFERROR(IF(VLOOKUP($B60,Shortage!$A:$M,AJ$2,FALSE)="Shortage",1,IFERROR(ROUND(X60/L60,4),0)),IFERROR(ROUND(X60/L60,4),0))</f>
        <v>0</v>
      </c>
      <c r="AK60" s="297">
        <f>IFERROR(IF(VLOOKUP($B60,Shortage!$A:$M,AK$2,FALSE)="Shortage",1,IFERROR(ROUND(Y60/M60,4),0)),IFERROR(ROUND(Y60/M60,4),0))</f>
        <v>0</v>
      </c>
      <c r="AL60" s="297">
        <f>IFERROR(IF(VLOOKUP($B60,Shortage!$A:$M,AL$2,FALSE)="Shortage",1,IFERROR(ROUND(Z60/N60,4),0)),IFERROR(ROUND(Z60/N60,4),0))</f>
        <v>0</v>
      </c>
      <c r="AM60" s="297">
        <f>IFERROR(IF(VLOOKUP($B60,Shortage!$A:$M,AM$2,FALSE)="Shortage",1,IFERROR(ROUND(AA60/O60,4),0)),IFERROR(ROUND(AA60/O60,4),0))</f>
        <v>0</v>
      </c>
      <c r="AN60" s="298">
        <f>IFERROR(_xlfn.XLOOKUP(AB60,'2) หลักการคำนวน Table'!$C$3:$K$3,'2) หลักการคำนวน Table'!$C$3:$K$3,,1),INDEX('2) หลักการคำนวน Table'!$C$3:$K$3,1))</f>
        <v>0.95</v>
      </c>
      <c r="AO60" s="298">
        <f>IFERROR(
  _xlfn.XLOOKUP(AC60,'2) หลักการคำนวน Table'!$C$3:$K$3,'2) หลักการคำนวน Table'!$C$3:$K$3,,1),
  IF(AC60&lt;MIN('2) หลักการคำนวน Table'!$C$3:$K$3),
     MIN('2) หลักการคำนวน Table'!$C$3:$K$3),
     MAX('2) หลักการคำนวน Table'!$C$3:$K$3)
  )
)</f>
        <v>0.9</v>
      </c>
      <c r="AP60" s="298">
        <f>IFERROR(
  _xlfn.XLOOKUP(AD60,'2) หลักการคำนวน Table'!$C$3:$K$3,'2) หลักการคำนวน Table'!$C$3:$K$3,,1),
  IF(AD60&lt;MIN('2) หลักการคำนวน Table'!$C$3:$K$3),
     MIN('2) หลักการคำนวน Table'!$C$3:$K$3),
     MAX('2) หลักการคำนวน Table'!$C$3:$K$3)
  )
)</f>
        <v>0.9</v>
      </c>
      <c r="AQ60" s="298">
        <f>IFERROR(
  _xlfn.XLOOKUP(AE60,'2) หลักการคำนวน Table'!$C$3:$K$3,'2) หลักการคำนวน Table'!$C$3:$K$3,,1),
  IF(AE60&lt;MIN('2) หลักการคำนวน Table'!$C$3:$K$3),
     MIN('2) หลักการคำนวน Table'!$C$3:$K$3),
     MAX('2) หลักการคำนวน Table'!$C$3:$K$3)
  )
)</f>
        <v>0.9</v>
      </c>
      <c r="AR60" s="298">
        <f>IFERROR(
  _xlfn.XLOOKUP(AF60,'2) หลักการคำนวน Table'!$C$3:$K$3,'2) หลักการคำนวน Table'!$C$3:$K$3,,1),
  IF(AF60&lt;MIN('2) หลักการคำนวน Table'!$C$3:$K$3),
     MIN('2) หลักการคำนวน Table'!$C$3:$K$3),
     MAX('2) หลักการคำนวน Table'!$C$3:$K$3)
  )
)</f>
        <v>0.9</v>
      </c>
      <c r="AS60" s="298">
        <f>IFERROR(
  _xlfn.XLOOKUP(AG60,'2) หลักการคำนวน Table'!$C$3:$K$3,'2) หลักการคำนวน Table'!$C$3:$K$3,,1),
  IF(AG60&lt;MIN('2) หลักการคำนวน Table'!$C$3:$K$3),
     MIN('2) หลักการคำนวน Table'!$C$3:$K$3),
     MAX('2) หลักการคำนวน Table'!$C$3:$K$3)
  )
)</f>
        <v>0.9</v>
      </c>
      <c r="AT60" s="298">
        <f>IFERROR(
  _xlfn.XLOOKUP(AH60,'2) หลักการคำนวน Table'!$C$3:$K$3,'2) หลักการคำนวน Table'!$C$3:$K$3,,1),
  IF(AH60&lt;MIN('2) หลักการคำนวน Table'!$C$3:$K$3),
     MIN('2) หลักการคำนวน Table'!$C$3:$K$3),
     MAX('2) หลักการคำนวน Table'!$C$3:$K$3)
  )
)</f>
        <v>0.9</v>
      </c>
      <c r="AU60" s="298">
        <f>IFERROR(
  _xlfn.XLOOKUP(AI60,'2) หลักการคำนวน Table'!$C$3:$K$3,'2) หลักการคำนวน Table'!$C$3:$K$3,,1),
  IF(AI60&lt;MIN('2) หลักการคำนวน Table'!$C$3:$K$3),
     MIN('2) หลักการคำนวน Table'!$C$3:$K$3),
     MAX('2) หลักการคำนวน Table'!$C$3:$K$3)
  )
)</f>
        <v>0.9</v>
      </c>
      <c r="AV60" s="298">
        <f>IFERROR(
  _xlfn.XLOOKUP(AJ60,'2) หลักการคำนวน Table'!$C$3:$K$3,'2) หลักการคำนวน Table'!$C$3:$K$3,,1),
  IF(AJ60&lt;MIN('2) หลักการคำนวน Table'!$C$3:$K$3),
     MIN('2) หลักการคำนวน Table'!$C$3:$K$3),
     MAX('2) หลักการคำนวน Table'!$C$3:$K$3)
  )
)</f>
        <v>0.9</v>
      </c>
      <c r="AW60" s="298">
        <f>IFERROR(
  _xlfn.XLOOKUP(AK60,'2) หลักการคำนวน Table'!$C$3:$K$3,'2) หลักการคำนวน Table'!$C$3:$K$3,,1),
  IF(AK60&lt;MIN('2) หลักการคำนวน Table'!$C$3:$K$3),
     MIN('2) หลักการคำนวน Table'!$C$3:$K$3),
     MAX('2) หลักการคำนวน Table'!$C$3:$K$3)
  )
)</f>
        <v>0.9</v>
      </c>
      <c r="AX60" s="298">
        <f>IFERROR(
  _xlfn.XLOOKUP(AL60,'2) หลักการคำนวน Table'!$C$3:$K$3,'2) หลักการคำนวน Table'!$C$3:$K$3,,1),
  IF(AL60&lt;MIN('2) หลักการคำนวน Table'!$C$3:$K$3),
     MIN('2) หลักการคำนวน Table'!$C$3:$K$3),
     MAX('2) หลักการคำนวน Table'!$C$3:$K$3)
  )
)</f>
        <v>0.9</v>
      </c>
      <c r="AY60" s="298">
        <f>IFERROR(
  _xlfn.XLOOKUP(AM60,'2) หลักการคำนวน Table'!$C$3:$K$3,'2) หลักการคำนวน Table'!$C$3:$K$3,,1),
  IF(AM60&lt;MIN('2) หลักการคำนวน Table'!$C$3:$K$3),
     MIN('2) หลักการคำนวน Table'!$C$3:$K$3),
     MAX('2) หลักการคำนวน Table'!$C$3:$K$3)
  )
)</f>
        <v>0.9</v>
      </c>
      <c r="AZ60" s="299" t="e" cm="1">
        <f t="array" ref="AZ60">ROUND((_xlfn.XLOOKUP($C60,'2) หลักการคำนวน Table'!$A$4:$A$36,
_xlfn.XLOOKUP(AN60,'2)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A60" s="299" t="e" cm="1">
        <f t="array" ref="BA60">ROUND((_xlfn.XLOOKUP($C60,'2) หลักการคำนวน Table'!$A$4:$A$36,
_xlfn.XLOOKUP(AO60,'2)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B60" s="299" t="e" cm="1">
        <f t="array" ref="BB60">ROUND((_xlfn.XLOOKUP($C60,'2) หลักการคำนวน Table'!$A$4:$A$36,
_xlfn.XLOOKUP(AP60,'2)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C60" s="299" t="e" cm="1">
        <f t="array" ref="BC60">ROUND((_xlfn.XLOOKUP($C60,'2) หลักการคำนวน Table'!$A$4:$A$36,
_xlfn.XLOOKUP(AQ60,'2)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D60" s="299" t="e" cm="1">
        <f t="array" ref="BD60">ROUND((_xlfn.XLOOKUP($C60,'2) หลักการคำนวน Table'!$A$4:$A$36,
_xlfn.XLOOKUP(AR60,'2)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E60" s="299" t="e" cm="1">
        <f t="array" ref="BE60">ROUND((_xlfn.XLOOKUP($C60,'2) หลักการคำนวน Table'!$A$4:$A$36,
_xlfn.XLOOKUP(AS60,'2)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F60" s="299" t="e" cm="1">
        <f t="array" ref="BF60">ROUND((_xlfn.XLOOKUP($C60,'2) หลักการคำนวน Table'!$A$4:$A$36,
_xlfn.XLOOKUP(AT60,'2)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G60" s="299" t="e" cm="1">
        <f t="array" ref="BG60">ROUND((_xlfn.XLOOKUP($C60,'2) หลักการคำนวน Table'!$A$4:$A$36,
_xlfn.XLOOKUP(AU60,'2)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H60" s="299" t="e" cm="1">
        <f t="array" ref="BH60">ROUND((_xlfn.XLOOKUP($C60,'2) หลักการคำนวน Table'!$A$4:$A$36,
_xlfn.XLOOKUP(AV60,'2)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I60" s="299" t="e" cm="1">
        <f t="array" ref="BI60">ROUND((_xlfn.XLOOKUP($C60,'2) หลักการคำนวน Table'!$A$4:$A$36,
_xlfn.XLOOKUP(AW60,'2)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J60" s="299" t="e" cm="1">
        <f t="array" ref="BJ60">ROUND((_xlfn.XLOOKUP($C60,'2) หลักการคำนวน Table'!$A$4:$A$36,
_xlfn.XLOOKUP(AX60,'2)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K60" s="299" t="e" cm="1">
        <f t="array" ref="BK60">ROUND((_xlfn.XLOOKUP($C60,'2) หลักการคำนวน Table'!$A$4:$A$36,
_xlfn.XLOOKUP(AY60,'2)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M60" s="295">
        <v>222212</v>
      </c>
      <c r="BN60" s="300">
        <v>49</v>
      </c>
    </row>
    <row r="61" spans="1:66" ht="14.7" customHeight="1" x14ac:dyDescent="0.25">
      <c r="A61" s="126" t="e">
        <f>VLOOKUP(C61,ASTBase!E:S,13,FALSE)</f>
        <v>#N/A</v>
      </c>
      <c r="B61" s="126" t="s">
        <v>405</v>
      </c>
      <c r="C61" s="126">
        <v>5490000721</v>
      </c>
      <c r="D61" s="127">
        <v>364.40000000000003</v>
      </c>
      <c r="E61" s="127">
        <v>1189.4000000000001</v>
      </c>
      <c r="F61" s="127">
        <v>553.20000000000005</v>
      </c>
      <c r="G61" s="127">
        <v>1280</v>
      </c>
      <c r="H61" s="127">
        <v>1042</v>
      </c>
      <c r="I61" s="127">
        <v>712.39999999999986</v>
      </c>
      <c r="J61" s="127">
        <v>875.2</v>
      </c>
      <c r="K61" s="127">
        <v>2202.8000000000002</v>
      </c>
      <c r="L61" s="127">
        <v>2359.2000000000003</v>
      </c>
      <c r="M61" s="127">
        <v>894.8</v>
      </c>
      <c r="N61" s="127">
        <v>1688.2</v>
      </c>
      <c r="O61" s="127">
        <v>1538</v>
      </c>
      <c r="P61" s="126">
        <v>2033.2000000000005</v>
      </c>
      <c r="AB61" s="297">
        <f>IFERROR(IF(VLOOKUP($B61,Shortage!$A:$M,AB$2,FALSE)="Shortage",1,IFERROR(ROUND(P61/D61,4),0)),IFERROR(ROUND(P61/D61,4),0))</f>
        <v>1</v>
      </c>
      <c r="AC61" s="297">
        <f>IFERROR(IF(VLOOKUP($B61,Shortage!$A:$M,AC$2,FALSE)="Shortage",1,IFERROR(ROUND(Q61/E61,4),0)),IFERROR(ROUND(Q61/E61,4),0))</f>
        <v>0</v>
      </c>
      <c r="AD61" s="297">
        <f>IFERROR(IF(VLOOKUP($B61,Shortage!$A:$M,AD$2,FALSE)="Shortage",1,IFERROR(ROUND(R61/F61,4),0)),IFERROR(ROUND(R61/F61,4),0))</f>
        <v>0</v>
      </c>
      <c r="AE61" s="297">
        <f>IFERROR(IF(VLOOKUP($B61,Shortage!$A:$M,AE$2,FALSE)="Shortage",1,IFERROR(ROUND(S61/G61,4),0)),IFERROR(ROUND(S61/G61,4),0))</f>
        <v>0</v>
      </c>
      <c r="AF61" s="297">
        <f>IFERROR(IF(VLOOKUP($B61,Shortage!$A:$M,AF$2,FALSE)="Shortage",1,IFERROR(ROUND(T61/H61,4),0)),IFERROR(ROUND(T61/H61,4),0))</f>
        <v>0</v>
      </c>
      <c r="AG61" s="297">
        <f>IFERROR(IF(VLOOKUP($B61,Shortage!$A:$M,AG$2,FALSE)="Shortage",1,IFERROR(ROUND(U61/I61,4),0)),IFERROR(ROUND(U61/I61,4),0))</f>
        <v>0</v>
      </c>
      <c r="AH61" s="297">
        <f>IFERROR(IF(VLOOKUP($B61,Shortage!$A:$M,AH$2,FALSE)="Shortage",1,IFERROR(ROUND(V61/J61,4),0)),IFERROR(ROUND(V61/J61,4),0))</f>
        <v>0</v>
      </c>
      <c r="AI61" s="297">
        <f>IFERROR(IF(VLOOKUP($B61,Shortage!$A:$M,AI$2,FALSE)="Shortage",1,IFERROR(ROUND(W61/K61,4),0)),IFERROR(ROUND(W61/K61,4),0))</f>
        <v>0</v>
      </c>
      <c r="AJ61" s="297">
        <f>IFERROR(IF(VLOOKUP($B61,Shortage!$A:$M,AJ$2,FALSE)="Shortage",1,IFERROR(ROUND(X61/L61,4),0)),IFERROR(ROUND(X61/L61,4),0))</f>
        <v>0</v>
      </c>
      <c r="AK61" s="297">
        <f>IFERROR(IF(VLOOKUP($B61,Shortage!$A:$M,AK$2,FALSE)="Shortage",1,IFERROR(ROUND(Y61/M61,4),0)),IFERROR(ROUND(Y61/M61,4),0))</f>
        <v>0</v>
      </c>
      <c r="AL61" s="297">
        <f>IFERROR(IF(VLOOKUP($B61,Shortage!$A:$M,AL$2,FALSE)="Shortage",1,IFERROR(ROUND(Z61/N61,4),0)),IFERROR(ROUND(Z61/N61,4),0))</f>
        <v>0</v>
      </c>
      <c r="AM61" s="297">
        <f>IFERROR(IF(VLOOKUP($B61,Shortage!$A:$M,AM$2,FALSE)="Shortage",1,IFERROR(ROUND(AA61/O61,4),0)),IFERROR(ROUND(AA61/O61,4),0))</f>
        <v>0</v>
      </c>
      <c r="AN61" s="298">
        <f>IFERROR(_xlfn.XLOOKUP(AB61,'2) หลักการคำนวน Table'!$C$3:$K$3,'2) หลักการคำนวน Table'!$C$3:$K$3,,1),INDEX('2) หลักการคำนวน Table'!$C$3:$K$3,1))</f>
        <v>1</v>
      </c>
      <c r="AO61" s="298">
        <f>IFERROR(
  _xlfn.XLOOKUP(AC61,'2) หลักการคำนวน Table'!$C$3:$K$3,'2) หลักการคำนวน Table'!$C$3:$K$3,,1),
  IF(AC61&lt;MIN('2) หลักการคำนวน Table'!$C$3:$K$3),
     MIN('2) หลักการคำนวน Table'!$C$3:$K$3),
     MAX('2) หลักการคำนวน Table'!$C$3:$K$3)
  )
)</f>
        <v>0.9</v>
      </c>
      <c r="AP61" s="298">
        <f>IFERROR(
  _xlfn.XLOOKUP(AD61,'2) หลักการคำนวน Table'!$C$3:$K$3,'2) หลักการคำนวน Table'!$C$3:$K$3,,1),
  IF(AD61&lt;MIN('2) หลักการคำนวน Table'!$C$3:$K$3),
     MIN('2) หลักการคำนวน Table'!$C$3:$K$3),
     MAX('2) หลักการคำนวน Table'!$C$3:$K$3)
  )
)</f>
        <v>0.9</v>
      </c>
      <c r="AQ61" s="298">
        <f>IFERROR(
  _xlfn.XLOOKUP(AE61,'2) หลักการคำนวน Table'!$C$3:$K$3,'2) หลักการคำนวน Table'!$C$3:$K$3,,1),
  IF(AE61&lt;MIN('2) หลักการคำนวน Table'!$C$3:$K$3),
     MIN('2) หลักการคำนวน Table'!$C$3:$K$3),
     MAX('2) หลักการคำนวน Table'!$C$3:$K$3)
  )
)</f>
        <v>0.9</v>
      </c>
      <c r="AR61" s="298">
        <f>IFERROR(
  _xlfn.XLOOKUP(AF61,'2) หลักการคำนวน Table'!$C$3:$K$3,'2) หลักการคำนวน Table'!$C$3:$K$3,,1),
  IF(AF61&lt;MIN('2) หลักการคำนวน Table'!$C$3:$K$3),
     MIN('2) หลักการคำนวน Table'!$C$3:$K$3),
     MAX('2) หลักการคำนวน Table'!$C$3:$K$3)
  )
)</f>
        <v>0.9</v>
      </c>
      <c r="AS61" s="298">
        <f>IFERROR(
  _xlfn.XLOOKUP(AG61,'2) หลักการคำนวน Table'!$C$3:$K$3,'2) หลักการคำนวน Table'!$C$3:$K$3,,1),
  IF(AG61&lt;MIN('2) หลักการคำนวน Table'!$C$3:$K$3),
     MIN('2) หลักการคำนวน Table'!$C$3:$K$3),
     MAX('2) หลักการคำนวน Table'!$C$3:$K$3)
  )
)</f>
        <v>0.9</v>
      </c>
      <c r="AT61" s="298">
        <f>IFERROR(
  _xlfn.XLOOKUP(AH61,'2) หลักการคำนวน Table'!$C$3:$K$3,'2) หลักการคำนวน Table'!$C$3:$K$3,,1),
  IF(AH61&lt;MIN('2) หลักการคำนวน Table'!$C$3:$K$3),
     MIN('2) หลักการคำนวน Table'!$C$3:$K$3),
     MAX('2) หลักการคำนวน Table'!$C$3:$K$3)
  )
)</f>
        <v>0.9</v>
      </c>
      <c r="AU61" s="298">
        <f>IFERROR(
  _xlfn.XLOOKUP(AI61,'2) หลักการคำนวน Table'!$C$3:$K$3,'2) หลักการคำนวน Table'!$C$3:$K$3,,1),
  IF(AI61&lt;MIN('2) หลักการคำนวน Table'!$C$3:$K$3),
     MIN('2) หลักการคำนวน Table'!$C$3:$K$3),
     MAX('2) หลักการคำนวน Table'!$C$3:$K$3)
  )
)</f>
        <v>0.9</v>
      </c>
      <c r="AV61" s="298">
        <f>IFERROR(
  _xlfn.XLOOKUP(AJ61,'2) หลักการคำนวน Table'!$C$3:$K$3,'2) หลักการคำนวน Table'!$C$3:$K$3,,1),
  IF(AJ61&lt;MIN('2) หลักการคำนวน Table'!$C$3:$K$3),
     MIN('2) หลักการคำนวน Table'!$C$3:$K$3),
     MAX('2) หลักการคำนวน Table'!$C$3:$K$3)
  )
)</f>
        <v>0.9</v>
      </c>
      <c r="AW61" s="298">
        <f>IFERROR(
  _xlfn.XLOOKUP(AK61,'2) หลักการคำนวน Table'!$C$3:$K$3,'2) หลักการคำนวน Table'!$C$3:$K$3,,1),
  IF(AK61&lt;MIN('2) หลักการคำนวน Table'!$C$3:$K$3),
     MIN('2) หลักการคำนวน Table'!$C$3:$K$3),
     MAX('2) หลักการคำนวน Table'!$C$3:$K$3)
  )
)</f>
        <v>0.9</v>
      </c>
      <c r="AX61" s="298">
        <f>IFERROR(
  _xlfn.XLOOKUP(AL61,'2) หลักการคำนวน Table'!$C$3:$K$3,'2) หลักการคำนวน Table'!$C$3:$K$3,,1),
  IF(AL61&lt;MIN('2) หลักการคำนวน Table'!$C$3:$K$3),
     MIN('2) หลักการคำนวน Table'!$C$3:$K$3),
     MAX('2) หลักการคำนวน Table'!$C$3:$K$3)
  )
)</f>
        <v>0.9</v>
      </c>
      <c r="AY61" s="298">
        <f>IFERROR(
  _xlfn.XLOOKUP(AM61,'2) หลักการคำนวน Table'!$C$3:$K$3,'2) หลักการคำนวน Table'!$C$3:$K$3,,1),
  IF(AM61&lt;MIN('2) หลักการคำนวน Table'!$C$3:$K$3),
     MIN('2) หลักการคำนวน Table'!$C$3:$K$3),
     MAX('2) หลักการคำนวน Table'!$C$3:$K$3)
  )
)</f>
        <v>0.9</v>
      </c>
      <c r="AZ61" s="299" t="e" cm="1">
        <f t="array" ref="AZ61">ROUND((_xlfn.XLOOKUP($C61,'2) หลักการคำนวน Table'!$A$4:$A$36,
_xlfn.XLOOKUP(AN61,'2)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A61" s="299" t="e" cm="1">
        <f t="array" ref="BA61">ROUND((_xlfn.XLOOKUP($C61,'2) หลักการคำนวน Table'!$A$4:$A$36,
_xlfn.XLOOKUP(AO61,'2)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B61" s="299" t="e" cm="1">
        <f t="array" ref="BB61">ROUND((_xlfn.XLOOKUP($C61,'2) หลักการคำนวน Table'!$A$4:$A$36,
_xlfn.XLOOKUP(AP61,'2)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C61" s="299" t="e" cm="1">
        <f t="array" ref="BC61">ROUND((_xlfn.XLOOKUP($C61,'2) หลักการคำนวน Table'!$A$4:$A$36,
_xlfn.XLOOKUP(AQ61,'2)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D61" s="299" t="e" cm="1">
        <f t="array" ref="BD61">ROUND((_xlfn.XLOOKUP($C61,'2) หลักการคำนวน Table'!$A$4:$A$36,
_xlfn.XLOOKUP(AR61,'2)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E61" s="299" t="e" cm="1">
        <f t="array" ref="BE61">ROUND((_xlfn.XLOOKUP($C61,'2) หลักการคำนวน Table'!$A$4:$A$36,
_xlfn.XLOOKUP(AS61,'2)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F61" s="299" t="e" cm="1">
        <f t="array" ref="BF61">ROUND((_xlfn.XLOOKUP($C61,'2) หลักการคำนวน Table'!$A$4:$A$36,
_xlfn.XLOOKUP(AT61,'2)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G61" s="299" t="e" cm="1">
        <f t="array" ref="BG61">ROUND((_xlfn.XLOOKUP($C61,'2) หลักการคำนวน Table'!$A$4:$A$36,
_xlfn.XLOOKUP(AU61,'2)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H61" s="299" t="e" cm="1">
        <f t="array" ref="BH61">ROUND((_xlfn.XLOOKUP($C61,'2) หลักการคำนวน Table'!$A$4:$A$36,
_xlfn.XLOOKUP(AV61,'2)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I61" s="299" t="e" cm="1">
        <f t="array" ref="BI61">ROUND((_xlfn.XLOOKUP($C61,'2) หลักการคำนวน Table'!$A$4:$A$36,
_xlfn.XLOOKUP(AW61,'2)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J61" s="299" t="e" cm="1">
        <f t="array" ref="BJ61">ROUND((_xlfn.XLOOKUP($C61,'2) หลักการคำนวน Table'!$A$4:$A$36,
_xlfn.XLOOKUP(AX61,'2)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K61" s="299" t="e" cm="1">
        <f t="array" ref="BK61">ROUND((_xlfn.XLOOKUP($C61,'2) หลักการคำนวน Table'!$A$4:$A$36,
_xlfn.XLOOKUP(AY61,'2)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M61" s="295">
        <v>222218</v>
      </c>
      <c r="BN61" s="300">
        <v>167</v>
      </c>
    </row>
    <row r="62" spans="1:66" ht="14.7" customHeight="1" x14ac:dyDescent="0.25">
      <c r="A62" s="126" t="e">
        <f>VLOOKUP(C62,ASTBase!E:S,13,FALSE)</f>
        <v>#N/A</v>
      </c>
      <c r="B62" s="126" t="s">
        <v>408</v>
      </c>
      <c r="C62" s="126">
        <v>5490000721</v>
      </c>
      <c r="D62" s="127">
        <v>10.08</v>
      </c>
      <c r="E62" s="127">
        <v>0</v>
      </c>
      <c r="F62" s="127">
        <v>10.08</v>
      </c>
      <c r="G62" s="127">
        <v>0</v>
      </c>
      <c r="H62" s="127">
        <v>20.16</v>
      </c>
      <c r="I62" s="127">
        <v>10.08</v>
      </c>
      <c r="J62" s="127">
        <v>10</v>
      </c>
      <c r="K62" s="127">
        <v>0</v>
      </c>
      <c r="L62" s="127">
        <v>10</v>
      </c>
      <c r="M62" s="127">
        <v>0</v>
      </c>
      <c r="N62" s="127">
        <v>0</v>
      </c>
      <c r="O62" s="127">
        <v>10.08</v>
      </c>
      <c r="AB62" s="297">
        <f>IFERROR(IF(VLOOKUP($B62,Shortage!$A:$M,AB$2,FALSE)="Shortage",1,IFERROR(ROUND(P62/D62,4),0)),IFERROR(ROUND(P62/D62,4),0))</f>
        <v>0</v>
      </c>
      <c r="AC62" s="297">
        <f>IFERROR(IF(VLOOKUP($B62,Shortage!$A:$M,AC$2,FALSE)="Shortage",1,IFERROR(ROUND(Q62/E62,4),0)),IFERROR(ROUND(Q62/E62,4),0))</f>
        <v>0</v>
      </c>
      <c r="AD62" s="297">
        <f>IFERROR(IF(VLOOKUP($B62,Shortage!$A:$M,AD$2,FALSE)="Shortage",1,IFERROR(ROUND(R62/F62,4),0)),IFERROR(ROUND(R62/F62,4),0))</f>
        <v>0</v>
      </c>
      <c r="AE62" s="297">
        <f>IFERROR(IF(VLOOKUP($B62,Shortage!$A:$M,AE$2,FALSE)="Shortage",1,IFERROR(ROUND(S62/G62,4),0)),IFERROR(ROUND(S62/G62,4),0))</f>
        <v>0</v>
      </c>
      <c r="AF62" s="297">
        <f>IFERROR(IF(VLOOKUP($B62,Shortage!$A:$M,AF$2,FALSE)="Shortage",1,IFERROR(ROUND(T62/H62,4),0)),IFERROR(ROUND(T62/H62,4),0))</f>
        <v>0</v>
      </c>
      <c r="AG62" s="297">
        <f>IFERROR(IF(VLOOKUP($B62,Shortage!$A:$M,AG$2,FALSE)="Shortage",1,IFERROR(ROUND(U62/I62,4),0)),IFERROR(ROUND(U62/I62,4),0))</f>
        <v>0</v>
      </c>
      <c r="AH62" s="297">
        <f>IFERROR(IF(VLOOKUP($B62,Shortage!$A:$M,AH$2,FALSE)="Shortage",1,IFERROR(ROUND(V62/J62,4),0)),IFERROR(ROUND(V62/J62,4),0))</f>
        <v>0</v>
      </c>
      <c r="AI62" s="297">
        <f>IFERROR(IF(VLOOKUP($B62,Shortage!$A:$M,AI$2,FALSE)="Shortage",1,IFERROR(ROUND(W62/K62,4),0)),IFERROR(ROUND(W62/K62,4),0))</f>
        <v>0</v>
      </c>
      <c r="AJ62" s="297">
        <f>IFERROR(IF(VLOOKUP($B62,Shortage!$A:$M,AJ$2,FALSE)="Shortage",1,IFERROR(ROUND(X62/L62,4),0)),IFERROR(ROUND(X62/L62,4),0))</f>
        <v>0</v>
      </c>
      <c r="AK62" s="297">
        <f>IFERROR(IF(VLOOKUP($B62,Shortage!$A:$M,AK$2,FALSE)="Shortage",1,IFERROR(ROUND(Y62/M62,4),0)),IFERROR(ROUND(Y62/M62,4),0))</f>
        <v>0</v>
      </c>
      <c r="AL62" s="297">
        <f>IFERROR(IF(VLOOKUP($B62,Shortage!$A:$M,AL$2,FALSE)="Shortage",1,IFERROR(ROUND(Z62/N62,4),0)),IFERROR(ROUND(Z62/N62,4),0))</f>
        <v>0</v>
      </c>
      <c r="AM62" s="297">
        <f>IFERROR(IF(VLOOKUP($B62,Shortage!$A:$M,AM$2,FALSE)="Shortage",1,IFERROR(ROUND(AA62/O62,4),0)),IFERROR(ROUND(AA62/O62,4),0))</f>
        <v>0</v>
      </c>
      <c r="AN62" s="298">
        <f>IFERROR(_xlfn.XLOOKUP(AB62,'2) หลักการคำนวน Table'!$C$3:$K$3,'2) หลักการคำนวน Table'!$C$3:$K$3,,1),INDEX('2) หลักการคำนวน Table'!$C$3:$K$3,1))</f>
        <v>0.9</v>
      </c>
      <c r="AO62" s="298">
        <f>IFERROR(
  _xlfn.XLOOKUP(AC62,'2) หลักการคำนวน Table'!$C$3:$K$3,'2) หลักการคำนวน Table'!$C$3:$K$3,,1),
  IF(AC62&lt;MIN('2) หลักการคำนวน Table'!$C$3:$K$3),
     MIN('2) หลักการคำนวน Table'!$C$3:$K$3),
     MAX('2) หลักการคำนวน Table'!$C$3:$K$3)
  )
)</f>
        <v>0.9</v>
      </c>
      <c r="AP62" s="298">
        <f>IFERROR(
  _xlfn.XLOOKUP(AD62,'2) หลักการคำนวน Table'!$C$3:$K$3,'2) หลักการคำนวน Table'!$C$3:$K$3,,1),
  IF(AD62&lt;MIN('2) หลักการคำนวน Table'!$C$3:$K$3),
     MIN('2) หลักการคำนวน Table'!$C$3:$K$3),
     MAX('2) หลักการคำนวน Table'!$C$3:$K$3)
  )
)</f>
        <v>0.9</v>
      </c>
      <c r="AQ62" s="298">
        <f>IFERROR(
  _xlfn.XLOOKUP(AE62,'2) หลักการคำนวน Table'!$C$3:$K$3,'2) หลักการคำนวน Table'!$C$3:$K$3,,1),
  IF(AE62&lt;MIN('2) หลักการคำนวน Table'!$C$3:$K$3),
     MIN('2) หลักการคำนวน Table'!$C$3:$K$3),
     MAX('2) หลักการคำนวน Table'!$C$3:$K$3)
  )
)</f>
        <v>0.9</v>
      </c>
      <c r="AR62" s="298">
        <f>IFERROR(
  _xlfn.XLOOKUP(AF62,'2) หลักการคำนวน Table'!$C$3:$K$3,'2) หลักการคำนวน Table'!$C$3:$K$3,,1),
  IF(AF62&lt;MIN('2) หลักการคำนวน Table'!$C$3:$K$3),
     MIN('2) หลักการคำนวน Table'!$C$3:$K$3),
     MAX('2) หลักการคำนวน Table'!$C$3:$K$3)
  )
)</f>
        <v>0.9</v>
      </c>
      <c r="AS62" s="298">
        <f>IFERROR(
  _xlfn.XLOOKUP(AG62,'2) หลักการคำนวน Table'!$C$3:$K$3,'2) หลักการคำนวน Table'!$C$3:$K$3,,1),
  IF(AG62&lt;MIN('2) หลักการคำนวน Table'!$C$3:$K$3),
     MIN('2) หลักการคำนวน Table'!$C$3:$K$3),
     MAX('2) หลักการคำนวน Table'!$C$3:$K$3)
  )
)</f>
        <v>0.9</v>
      </c>
      <c r="AT62" s="298">
        <f>IFERROR(
  _xlfn.XLOOKUP(AH62,'2) หลักการคำนวน Table'!$C$3:$K$3,'2) หลักการคำนวน Table'!$C$3:$K$3,,1),
  IF(AH62&lt;MIN('2) หลักการคำนวน Table'!$C$3:$K$3),
     MIN('2) หลักการคำนวน Table'!$C$3:$K$3),
     MAX('2) หลักการคำนวน Table'!$C$3:$K$3)
  )
)</f>
        <v>0.9</v>
      </c>
      <c r="AU62" s="298">
        <f>IFERROR(
  _xlfn.XLOOKUP(AI62,'2) หลักการคำนวน Table'!$C$3:$K$3,'2) หลักการคำนวน Table'!$C$3:$K$3,,1),
  IF(AI62&lt;MIN('2) หลักการคำนวน Table'!$C$3:$K$3),
     MIN('2) หลักการคำนวน Table'!$C$3:$K$3),
     MAX('2) หลักการคำนวน Table'!$C$3:$K$3)
  )
)</f>
        <v>0.9</v>
      </c>
      <c r="AV62" s="298">
        <f>IFERROR(
  _xlfn.XLOOKUP(AJ62,'2) หลักการคำนวน Table'!$C$3:$K$3,'2) หลักการคำนวน Table'!$C$3:$K$3,,1),
  IF(AJ62&lt;MIN('2) หลักการคำนวน Table'!$C$3:$K$3),
     MIN('2) หลักการคำนวน Table'!$C$3:$K$3),
     MAX('2) หลักการคำนวน Table'!$C$3:$K$3)
  )
)</f>
        <v>0.9</v>
      </c>
      <c r="AW62" s="298">
        <f>IFERROR(
  _xlfn.XLOOKUP(AK62,'2) หลักการคำนวน Table'!$C$3:$K$3,'2) หลักการคำนวน Table'!$C$3:$K$3,,1),
  IF(AK62&lt;MIN('2) หลักการคำนวน Table'!$C$3:$K$3),
     MIN('2) หลักการคำนวน Table'!$C$3:$K$3),
     MAX('2) หลักการคำนวน Table'!$C$3:$K$3)
  )
)</f>
        <v>0.9</v>
      </c>
      <c r="AX62" s="298">
        <f>IFERROR(
  _xlfn.XLOOKUP(AL62,'2) หลักการคำนวน Table'!$C$3:$K$3,'2) หลักการคำนวน Table'!$C$3:$K$3,,1),
  IF(AL62&lt;MIN('2) หลักการคำนวน Table'!$C$3:$K$3),
     MIN('2) หลักการคำนวน Table'!$C$3:$K$3),
     MAX('2) หลักการคำนวน Table'!$C$3:$K$3)
  )
)</f>
        <v>0.9</v>
      </c>
      <c r="AY62" s="298">
        <f>IFERROR(
  _xlfn.XLOOKUP(AM62,'2) หลักการคำนวน Table'!$C$3:$K$3,'2) หลักการคำนวน Table'!$C$3:$K$3,,1),
  IF(AM62&lt;MIN('2) หลักการคำนวน Table'!$C$3:$K$3),
     MIN('2) หลักการคำนวน Table'!$C$3:$K$3),
     MAX('2) หลักการคำนวน Table'!$C$3:$K$3)
  )
)</f>
        <v>0.9</v>
      </c>
      <c r="AZ62" s="299" t="e" cm="1">
        <f t="array" ref="AZ62">ROUND((_xlfn.XLOOKUP($C62,'2) หลักการคำนวน Table'!$A$4:$A$36,
_xlfn.XLOOKUP(AN62,'2)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A62" s="299" t="e" cm="1">
        <f t="array" ref="BA62">ROUND((_xlfn.XLOOKUP($C62,'2) หลักการคำนวน Table'!$A$4:$A$36,
_xlfn.XLOOKUP(AO62,'2)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B62" s="299" t="e" cm="1">
        <f t="array" ref="BB62">ROUND((_xlfn.XLOOKUP($C62,'2) หลักการคำนวน Table'!$A$4:$A$36,
_xlfn.XLOOKUP(AP62,'2)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C62" s="299" t="e" cm="1">
        <f t="array" ref="BC62">ROUND((_xlfn.XLOOKUP($C62,'2) หลักการคำนวน Table'!$A$4:$A$36,
_xlfn.XLOOKUP(AQ62,'2)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D62" s="299" t="e" cm="1">
        <f t="array" ref="BD62">ROUND((_xlfn.XLOOKUP($C62,'2) หลักการคำนวน Table'!$A$4:$A$36,
_xlfn.XLOOKUP(AR62,'2)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E62" s="299" t="e" cm="1">
        <f t="array" ref="BE62">ROUND((_xlfn.XLOOKUP($C62,'2) หลักการคำนวน Table'!$A$4:$A$36,
_xlfn.XLOOKUP(AS62,'2)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F62" s="299" t="e" cm="1">
        <f t="array" ref="BF62">ROUND((_xlfn.XLOOKUP($C62,'2) หลักการคำนวน Table'!$A$4:$A$36,
_xlfn.XLOOKUP(AT62,'2)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G62" s="299" t="e" cm="1">
        <f t="array" ref="BG62">ROUND((_xlfn.XLOOKUP($C62,'2) หลักการคำนวน Table'!$A$4:$A$36,
_xlfn.XLOOKUP(AU62,'2)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H62" s="299" t="e" cm="1">
        <f t="array" ref="BH62">ROUND((_xlfn.XLOOKUP($C62,'2) หลักการคำนวน Table'!$A$4:$A$36,
_xlfn.XLOOKUP(AV62,'2)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I62" s="299" t="e" cm="1">
        <f t="array" ref="BI62">ROUND((_xlfn.XLOOKUP($C62,'2) หลักการคำนวน Table'!$A$4:$A$36,
_xlfn.XLOOKUP(AW62,'2)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J62" s="299" t="e" cm="1">
        <f t="array" ref="BJ62">ROUND((_xlfn.XLOOKUP($C62,'2) หลักการคำนวน Table'!$A$4:$A$36,
_xlfn.XLOOKUP(AX62,'2)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K62" s="299" t="e" cm="1">
        <f t="array" ref="BK62">ROUND((_xlfn.XLOOKUP($C62,'2) หลักการคำนวน Table'!$A$4:$A$36,
_xlfn.XLOOKUP(AY62,'2) หลักการคำนวน Table'!$C$3:$K$3,'2) หลักการคำนวน Table'!$C$4:$K$36,,-1)))*(_xlfn.XLOOKUP($C62,'2) หลักการคำนวน Table'!$A$4:$A$36, _xlfn.XLOOKUP($B62,'2) หลักการคำนวน Table'!$L$3:$Z$3,'2) หลักการคำนวน Table'!$L$4:$Z$36))),0)</f>
        <v>#N/A</v>
      </c>
      <c r="BM62" s="295">
        <v>222218</v>
      </c>
      <c r="BN62" s="300">
        <v>250</v>
      </c>
    </row>
    <row r="63" spans="1:66" ht="14.7" customHeight="1" x14ac:dyDescent="0.25">
      <c r="A63" s="126" t="e">
        <f>VLOOKUP(C63,ASTBase!E:S,13,FALSE)</f>
        <v>#N/A</v>
      </c>
      <c r="B63" s="126" t="s">
        <v>416</v>
      </c>
      <c r="C63" s="126">
        <v>5490000721</v>
      </c>
      <c r="D63" s="127">
        <v>30</v>
      </c>
      <c r="E63" s="127">
        <v>30</v>
      </c>
      <c r="F63" s="127">
        <v>30</v>
      </c>
      <c r="G63" s="127">
        <v>30</v>
      </c>
      <c r="H63" s="127">
        <v>35</v>
      </c>
      <c r="I63" s="127">
        <v>35</v>
      </c>
      <c r="J63" s="127">
        <v>35</v>
      </c>
      <c r="K63" s="127">
        <v>35</v>
      </c>
      <c r="L63" s="127">
        <v>35</v>
      </c>
      <c r="M63" s="127">
        <v>35</v>
      </c>
      <c r="N63" s="127">
        <v>35</v>
      </c>
      <c r="O63" s="127">
        <v>35</v>
      </c>
      <c r="P63" s="126">
        <v>25.999999999439993</v>
      </c>
      <c r="AB63" s="297">
        <f>IFERROR(IF(VLOOKUP($B63,Shortage!$A:$M,AB$2,FALSE)="Shortage",1,IFERROR(ROUND(P63/D63,4),0)),IFERROR(ROUND(P63/D63,4),0))</f>
        <v>0.86670000000000003</v>
      </c>
      <c r="AC63" s="297">
        <f>IFERROR(IF(VLOOKUP($B63,Shortage!$A:$M,AC$2,FALSE)="Shortage",1,IFERROR(ROUND(Q63/E63,4),0)),IFERROR(ROUND(Q63/E63,4),0))</f>
        <v>0</v>
      </c>
      <c r="AD63" s="297">
        <f>IFERROR(IF(VLOOKUP($B63,Shortage!$A:$M,AD$2,FALSE)="Shortage",1,IFERROR(ROUND(R63/F63,4),0)),IFERROR(ROUND(R63/F63,4),0))</f>
        <v>0</v>
      </c>
      <c r="AE63" s="297">
        <f>IFERROR(IF(VLOOKUP($B63,Shortage!$A:$M,AE$2,FALSE)="Shortage",1,IFERROR(ROUND(S63/G63,4),0)),IFERROR(ROUND(S63/G63,4),0))</f>
        <v>0</v>
      </c>
      <c r="AF63" s="297">
        <f>IFERROR(IF(VLOOKUP($B63,Shortage!$A:$M,AF$2,FALSE)="Shortage",1,IFERROR(ROUND(T63/H63,4),0)),IFERROR(ROUND(T63/H63,4),0))</f>
        <v>0</v>
      </c>
      <c r="AG63" s="297">
        <f>IFERROR(IF(VLOOKUP($B63,Shortage!$A:$M,AG$2,FALSE)="Shortage",1,IFERROR(ROUND(U63/I63,4),0)),IFERROR(ROUND(U63/I63,4),0))</f>
        <v>0</v>
      </c>
      <c r="AH63" s="297">
        <f>IFERROR(IF(VLOOKUP($B63,Shortage!$A:$M,AH$2,FALSE)="Shortage",1,IFERROR(ROUND(V63/J63,4),0)),IFERROR(ROUND(V63/J63,4),0))</f>
        <v>0</v>
      </c>
      <c r="AI63" s="297">
        <f>IFERROR(IF(VLOOKUP($B63,Shortage!$A:$M,AI$2,FALSE)="Shortage",1,IFERROR(ROUND(W63/K63,4),0)),IFERROR(ROUND(W63/K63,4),0))</f>
        <v>0</v>
      </c>
      <c r="AJ63" s="297">
        <f>IFERROR(IF(VLOOKUP($B63,Shortage!$A:$M,AJ$2,FALSE)="Shortage",1,IFERROR(ROUND(X63/L63,4),0)),IFERROR(ROUND(X63/L63,4),0))</f>
        <v>0</v>
      </c>
      <c r="AK63" s="297">
        <f>IFERROR(IF(VLOOKUP($B63,Shortage!$A:$M,AK$2,FALSE)="Shortage",1,IFERROR(ROUND(Y63/M63,4),0)),IFERROR(ROUND(Y63/M63,4),0))</f>
        <v>0</v>
      </c>
      <c r="AL63" s="297">
        <f>IFERROR(IF(VLOOKUP($B63,Shortage!$A:$M,AL$2,FALSE)="Shortage",1,IFERROR(ROUND(Z63/N63,4),0)),IFERROR(ROUND(Z63/N63,4),0))</f>
        <v>0</v>
      </c>
      <c r="AM63" s="297">
        <f>IFERROR(IF(VLOOKUP($B63,Shortage!$A:$M,AM$2,FALSE)="Shortage",1,IFERROR(ROUND(AA63/O63,4),0)),IFERROR(ROUND(AA63/O63,4),0))</f>
        <v>0</v>
      </c>
      <c r="AN63" s="298">
        <f>IFERROR(_xlfn.XLOOKUP(AB63,'2) หลักการคำนวน Table'!$C$3:$K$3,'2) หลักการคำนวน Table'!$C$3:$K$3,,1),INDEX('2) หลักการคำนวน Table'!$C$3:$K$3,1))</f>
        <v>0.9</v>
      </c>
      <c r="AO63" s="298">
        <f>IFERROR(
  _xlfn.XLOOKUP(AC63,'2) หลักการคำนวน Table'!$C$3:$K$3,'2) หลักการคำนวน Table'!$C$3:$K$3,,1),
  IF(AC63&lt;MIN('2) หลักการคำนวน Table'!$C$3:$K$3),
     MIN('2) หลักการคำนวน Table'!$C$3:$K$3),
     MAX('2) หลักการคำนวน Table'!$C$3:$K$3)
  )
)</f>
        <v>0.9</v>
      </c>
      <c r="AP63" s="298">
        <f>IFERROR(
  _xlfn.XLOOKUP(AD63,'2) หลักการคำนวน Table'!$C$3:$K$3,'2) หลักการคำนวน Table'!$C$3:$K$3,,1),
  IF(AD63&lt;MIN('2) หลักการคำนวน Table'!$C$3:$K$3),
     MIN('2) หลักการคำนวน Table'!$C$3:$K$3),
     MAX('2) หลักการคำนวน Table'!$C$3:$K$3)
  )
)</f>
        <v>0.9</v>
      </c>
      <c r="AQ63" s="298">
        <f>IFERROR(
  _xlfn.XLOOKUP(AE63,'2) หลักการคำนวน Table'!$C$3:$K$3,'2) หลักการคำนวน Table'!$C$3:$K$3,,1),
  IF(AE63&lt;MIN('2) หลักการคำนวน Table'!$C$3:$K$3),
     MIN('2) หลักการคำนวน Table'!$C$3:$K$3),
     MAX('2) หลักการคำนวน Table'!$C$3:$K$3)
  )
)</f>
        <v>0.9</v>
      </c>
      <c r="AR63" s="298">
        <f>IFERROR(
  _xlfn.XLOOKUP(AF63,'2) หลักการคำนวน Table'!$C$3:$K$3,'2) หลักการคำนวน Table'!$C$3:$K$3,,1),
  IF(AF63&lt;MIN('2) หลักการคำนวน Table'!$C$3:$K$3),
     MIN('2) หลักการคำนวน Table'!$C$3:$K$3),
     MAX('2) หลักการคำนวน Table'!$C$3:$K$3)
  )
)</f>
        <v>0.9</v>
      </c>
      <c r="AS63" s="298">
        <f>IFERROR(
  _xlfn.XLOOKUP(AG63,'2) หลักการคำนวน Table'!$C$3:$K$3,'2) หลักการคำนวน Table'!$C$3:$K$3,,1),
  IF(AG63&lt;MIN('2) หลักการคำนวน Table'!$C$3:$K$3),
     MIN('2) หลักการคำนวน Table'!$C$3:$K$3),
     MAX('2) หลักการคำนวน Table'!$C$3:$K$3)
  )
)</f>
        <v>0.9</v>
      </c>
      <c r="AT63" s="298">
        <f>IFERROR(
  _xlfn.XLOOKUP(AH63,'2) หลักการคำนวน Table'!$C$3:$K$3,'2) หลักการคำนวน Table'!$C$3:$K$3,,1),
  IF(AH63&lt;MIN('2) หลักการคำนวน Table'!$C$3:$K$3),
     MIN('2) หลักการคำนวน Table'!$C$3:$K$3),
     MAX('2) หลักการคำนวน Table'!$C$3:$K$3)
  )
)</f>
        <v>0.9</v>
      </c>
      <c r="AU63" s="298">
        <f>IFERROR(
  _xlfn.XLOOKUP(AI63,'2) หลักการคำนวน Table'!$C$3:$K$3,'2) หลักการคำนวน Table'!$C$3:$K$3,,1),
  IF(AI63&lt;MIN('2) หลักการคำนวน Table'!$C$3:$K$3),
     MIN('2) หลักการคำนวน Table'!$C$3:$K$3),
     MAX('2) หลักการคำนวน Table'!$C$3:$K$3)
  )
)</f>
        <v>0.9</v>
      </c>
      <c r="AV63" s="298">
        <f>IFERROR(
  _xlfn.XLOOKUP(AJ63,'2) หลักการคำนวน Table'!$C$3:$K$3,'2) หลักการคำนวน Table'!$C$3:$K$3,,1),
  IF(AJ63&lt;MIN('2) หลักการคำนวน Table'!$C$3:$K$3),
     MIN('2) หลักการคำนวน Table'!$C$3:$K$3),
     MAX('2) หลักการคำนวน Table'!$C$3:$K$3)
  )
)</f>
        <v>0.9</v>
      </c>
      <c r="AW63" s="298">
        <f>IFERROR(
  _xlfn.XLOOKUP(AK63,'2) หลักการคำนวน Table'!$C$3:$K$3,'2) หลักการคำนวน Table'!$C$3:$K$3,,1),
  IF(AK63&lt;MIN('2) หลักการคำนวน Table'!$C$3:$K$3),
     MIN('2) หลักการคำนวน Table'!$C$3:$K$3),
     MAX('2) หลักการคำนวน Table'!$C$3:$K$3)
  )
)</f>
        <v>0.9</v>
      </c>
      <c r="AX63" s="298">
        <f>IFERROR(
  _xlfn.XLOOKUP(AL63,'2) หลักการคำนวน Table'!$C$3:$K$3,'2) หลักการคำนวน Table'!$C$3:$K$3,,1),
  IF(AL63&lt;MIN('2) หลักการคำนวน Table'!$C$3:$K$3),
     MIN('2) หลักการคำนวน Table'!$C$3:$K$3),
     MAX('2) หลักการคำนวน Table'!$C$3:$K$3)
  )
)</f>
        <v>0.9</v>
      </c>
      <c r="AY63" s="298">
        <f>IFERROR(
  _xlfn.XLOOKUP(AM63,'2) หลักการคำนวน Table'!$C$3:$K$3,'2) หลักการคำนวน Table'!$C$3:$K$3,,1),
  IF(AM63&lt;MIN('2) หลักการคำนวน Table'!$C$3:$K$3),
     MIN('2) หลักการคำนวน Table'!$C$3:$K$3),
     MAX('2) หลักการคำนวน Table'!$C$3:$K$3)
  )
)</f>
        <v>0.9</v>
      </c>
      <c r="AZ63" s="299" t="e" cm="1">
        <f t="array" ref="AZ63">ROUND((_xlfn.XLOOKUP($C63,'2) หลักการคำนวน Table'!$A$4:$A$36,
_xlfn.XLOOKUP(AN63,'2)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A63" s="299" t="e" cm="1">
        <f t="array" ref="BA63">ROUND((_xlfn.XLOOKUP($C63,'2) หลักการคำนวน Table'!$A$4:$A$36,
_xlfn.XLOOKUP(AO63,'2)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B63" s="299" t="e" cm="1">
        <f t="array" ref="BB63">ROUND((_xlfn.XLOOKUP($C63,'2) หลักการคำนวน Table'!$A$4:$A$36,
_xlfn.XLOOKUP(AP63,'2)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C63" s="299" t="e" cm="1">
        <f t="array" ref="BC63">ROUND((_xlfn.XLOOKUP($C63,'2) หลักการคำนวน Table'!$A$4:$A$36,
_xlfn.XLOOKUP(AQ63,'2)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D63" s="299" t="e" cm="1">
        <f t="array" ref="BD63">ROUND((_xlfn.XLOOKUP($C63,'2) หลักการคำนวน Table'!$A$4:$A$36,
_xlfn.XLOOKUP(AR63,'2)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E63" s="299" t="e" cm="1">
        <f t="array" ref="BE63">ROUND((_xlfn.XLOOKUP($C63,'2) หลักการคำนวน Table'!$A$4:$A$36,
_xlfn.XLOOKUP(AS63,'2)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F63" s="299" t="e" cm="1">
        <f t="array" ref="BF63">ROUND((_xlfn.XLOOKUP($C63,'2) หลักการคำนวน Table'!$A$4:$A$36,
_xlfn.XLOOKUP(AT63,'2)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G63" s="299" t="e" cm="1">
        <f t="array" ref="BG63">ROUND((_xlfn.XLOOKUP($C63,'2) หลักการคำนวน Table'!$A$4:$A$36,
_xlfn.XLOOKUP(AU63,'2)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H63" s="299" t="e" cm="1">
        <f t="array" ref="BH63">ROUND((_xlfn.XLOOKUP($C63,'2) หลักการคำนวน Table'!$A$4:$A$36,
_xlfn.XLOOKUP(AV63,'2)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I63" s="299" t="e" cm="1">
        <f t="array" ref="BI63">ROUND((_xlfn.XLOOKUP($C63,'2) หลักการคำนวน Table'!$A$4:$A$36,
_xlfn.XLOOKUP(AW63,'2)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J63" s="299" t="e" cm="1">
        <f t="array" ref="BJ63">ROUND((_xlfn.XLOOKUP($C63,'2) หลักการคำนวน Table'!$A$4:$A$36,
_xlfn.XLOOKUP(AX63,'2)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K63" s="299" t="e" cm="1">
        <f t="array" ref="BK63">ROUND((_xlfn.XLOOKUP($C63,'2) หลักการคำนวน Table'!$A$4:$A$36,
_xlfn.XLOOKUP(AY63,'2) หลักการคำนวน Table'!$C$3:$K$3,'2) หลักการคำนวน Table'!$C$4:$K$36,,-1)))*(_xlfn.XLOOKUP($C63,'2) หลักการคำนวน Table'!$A$4:$A$36, _xlfn.XLOOKUP($B63,'2) หลักการคำนวน Table'!$L$3:$Z$3,'2) หลักการคำนวน Table'!$L$4:$Z$36))),0)</f>
        <v>#N/A</v>
      </c>
      <c r="BM63" s="295">
        <v>222218</v>
      </c>
      <c r="BN63" s="300">
        <v>100</v>
      </c>
    </row>
    <row r="64" spans="1:66" ht="14.7" customHeight="1" x14ac:dyDescent="0.25">
      <c r="A64" s="126" t="e">
        <f>VLOOKUP(C64,ASTBase!E:S,13,FALSE)</f>
        <v>#N/A</v>
      </c>
      <c r="B64" s="126" t="s">
        <v>407</v>
      </c>
      <c r="C64" s="126">
        <v>5490000721</v>
      </c>
      <c r="D64" s="127">
        <v>129.99999999894999</v>
      </c>
      <c r="E64" s="127">
        <v>139.99999999936003</v>
      </c>
      <c r="F64" s="127">
        <v>152.99999999883005</v>
      </c>
      <c r="G64" s="127">
        <v>143.99999999899998</v>
      </c>
      <c r="H64" s="127">
        <v>120.99999999914002</v>
      </c>
      <c r="I64" s="127">
        <v>129.99999999903997</v>
      </c>
      <c r="J64" s="127">
        <v>155.99999999969</v>
      </c>
      <c r="K64" s="127">
        <v>151.99999999984999</v>
      </c>
      <c r="L64" s="127">
        <v>163.99999999816006</v>
      </c>
      <c r="M64" s="127">
        <v>93.999999999440021</v>
      </c>
      <c r="N64" s="127">
        <v>151.99999999967</v>
      </c>
      <c r="O64" s="127">
        <v>155.99999999932001</v>
      </c>
      <c r="P64" s="126">
        <v>166.99999999844994</v>
      </c>
      <c r="AB64" s="297">
        <f>IFERROR(IF(VLOOKUP($B64,Shortage!$A:$M,AB$2,FALSE)="Shortage",1,IFERROR(ROUND(P64/D64,4),0)),IFERROR(ROUND(P64/D64,4),0))</f>
        <v>1.2846</v>
      </c>
      <c r="AC64" s="297">
        <f>IFERROR(IF(VLOOKUP($B64,Shortage!$A:$M,AC$2,FALSE)="Shortage",1,IFERROR(ROUND(Q64/E64,4),0)),IFERROR(ROUND(Q64/E64,4),0))</f>
        <v>0</v>
      </c>
      <c r="AD64" s="297">
        <f>IFERROR(IF(VLOOKUP($B64,Shortage!$A:$M,AD$2,FALSE)="Shortage",1,IFERROR(ROUND(R64/F64,4),0)),IFERROR(ROUND(R64/F64,4),0))</f>
        <v>0</v>
      </c>
      <c r="AE64" s="297">
        <f>IFERROR(IF(VLOOKUP($B64,Shortage!$A:$M,AE$2,FALSE)="Shortage",1,IFERROR(ROUND(S64/G64,4),0)),IFERROR(ROUND(S64/G64,4),0))</f>
        <v>0</v>
      </c>
      <c r="AF64" s="297">
        <f>IFERROR(IF(VLOOKUP($B64,Shortage!$A:$M,AF$2,FALSE)="Shortage",1,IFERROR(ROUND(T64/H64,4),0)),IFERROR(ROUND(T64/H64,4),0))</f>
        <v>0</v>
      </c>
      <c r="AG64" s="297">
        <f>IFERROR(IF(VLOOKUP($B64,Shortage!$A:$M,AG$2,FALSE)="Shortage",1,IFERROR(ROUND(U64/I64,4),0)),IFERROR(ROUND(U64/I64,4),0))</f>
        <v>0</v>
      </c>
      <c r="AH64" s="297">
        <f>IFERROR(IF(VLOOKUP($B64,Shortage!$A:$M,AH$2,FALSE)="Shortage",1,IFERROR(ROUND(V64/J64,4),0)),IFERROR(ROUND(V64/J64,4),0))</f>
        <v>0</v>
      </c>
      <c r="AI64" s="297">
        <f>IFERROR(IF(VLOOKUP($B64,Shortage!$A:$M,AI$2,FALSE)="Shortage",1,IFERROR(ROUND(W64/K64,4),0)),IFERROR(ROUND(W64/K64,4),0))</f>
        <v>0</v>
      </c>
      <c r="AJ64" s="297">
        <f>IFERROR(IF(VLOOKUP($B64,Shortage!$A:$M,AJ$2,FALSE)="Shortage",1,IFERROR(ROUND(X64/L64,4),0)),IFERROR(ROUND(X64/L64,4),0))</f>
        <v>0</v>
      </c>
      <c r="AK64" s="297">
        <f>IFERROR(IF(VLOOKUP($B64,Shortage!$A:$M,AK$2,FALSE)="Shortage",1,IFERROR(ROUND(Y64/M64,4),0)),IFERROR(ROUND(Y64/M64,4),0))</f>
        <v>0</v>
      </c>
      <c r="AL64" s="297">
        <f>IFERROR(IF(VLOOKUP($B64,Shortage!$A:$M,AL$2,FALSE)="Shortage",1,IFERROR(ROUND(Z64/N64,4),0)),IFERROR(ROUND(Z64/N64,4),0))</f>
        <v>0</v>
      </c>
      <c r="AM64" s="297">
        <f>IFERROR(IF(VLOOKUP($B64,Shortage!$A:$M,AM$2,FALSE)="Shortage",1,IFERROR(ROUND(AA64/O64,4),0)),IFERROR(ROUND(AA64/O64,4),0))</f>
        <v>0</v>
      </c>
      <c r="AN64" s="298">
        <f>IFERROR(_xlfn.XLOOKUP(AB64,'2) หลักการคำนวน Table'!$C$3:$K$3,'2) หลักการคำนวน Table'!$C$3:$K$3,,1),INDEX('2) หลักการคำนวน Table'!$C$3:$K$3,1))</f>
        <v>20</v>
      </c>
      <c r="AO64" s="298">
        <f>IFERROR(
  _xlfn.XLOOKUP(AC64,'2) หลักการคำนวน Table'!$C$3:$K$3,'2) หลักการคำนวน Table'!$C$3:$K$3,,1),
  IF(AC64&lt;MIN('2) หลักการคำนวน Table'!$C$3:$K$3),
     MIN('2) หลักการคำนวน Table'!$C$3:$K$3),
     MAX('2) หลักการคำนวน Table'!$C$3:$K$3)
  )
)</f>
        <v>0.9</v>
      </c>
      <c r="AP64" s="298">
        <f>IFERROR(
  _xlfn.XLOOKUP(AD64,'2) หลักการคำนวน Table'!$C$3:$K$3,'2) หลักการคำนวน Table'!$C$3:$K$3,,1),
  IF(AD64&lt;MIN('2) หลักการคำนวน Table'!$C$3:$K$3),
     MIN('2) หลักการคำนวน Table'!$C$3:$K$3),
     MAX('2) หลักการคำนวน Table'!$C$3:$K$3)
  )
)</f>
        <v>0.9</v>
      </c>
      <c r="AQ64" s="298">
        <f>IFERROR(
  _xlfn.XLOOKUP(AE64,'2) หลักการคำนวน Table'!$C$3:$K$3,'2) หลักการคำนวน Table'!$C$3:$K$3,,1),
  IF(AE64&lt;MIN('2) หลักการคำนวน Table'!$C$3:$K$3),
     MIN('2) หลักการคำนวน Table'!$C$3:$K$3),
     MAX('2) หลักการคำนวน Table'!$C$3:$K$3)
  )
)</f>
        <v>0.9</v>
      </c>
      <c r="AR64" s="298">
        <f>IFERROR(
  _xlfn.XLOOKUP(AF64,'2) หลักการคำนวน Table'!$C$3:$K$3,'2) หลักการคำนวน Table'!$C$3:$K$3,,1),
  IF(AF64&lt;MIN('2) หลักการคำนวน Table'!$C$3:$K$3),
     MIN('2) หลักการคำนวน Table'!$C$3:$K$3),
     MAX('2) หลักการคำนวน Table'!$C$3:$K$3)
  )
)</f>
        <v>0.9</v>
      </c>
      <c r="AS64" s="298">
        <f>IFERROR(
  _xlfn.XLOOKUP(AG64,'2) หลักการคำนวน Table'!$C$3:$K$3,'2) หลักการคำนวน Table'!$C$3:$K$3,,1),
  IF(AG64&lt;MIN('2) หลักการคำนวน Table'!$C$3:$K$3),
     MIN('2) หลักการคำนวน Table'!$C$3:$K$3),
     MAX('2) หลักการคำนวน Table'!$C$3:$K$3)
  )
)</f>
        <v>0.9</v>
      </c>
      <c r="AT64" s="298">
        <f>IFERROR(
  _xlfn.XLOOKUP(AH64,'2) หลักการคำนวน Table'!$C$3:$K$3,'2) หลักการคำนวน Table'!$C$3:$K$3,,1),
  IF(AH64&lt;MIN('2) หลักการคำนวน Table'!$C$3:$K$3),
     MIN('2) หลักการคำนวน Table'!$C$3:$K$3),
     MAX('2) หลักการคำนวน Table'!$C$3:$K$3)
  )
)</f>
        <v>0.9</v>
      </c>
      <c r="AU64" s="298">
        <f>IFERROR(
  _xlfn.XLOOKUP(AI64,'2) หลักการคำนวน Table'!$C$3:$K$3,'2) หลักการคำนวน Table'!$C$3:$K$3,,1),
  IF(AI64&lt;MIN('2) หลักการคำนวน Table'!$C$3:$K$3),
     MIN('2) หลักการคำนวน Table'!$C$3:$K$3),
     MAX('2) หลักการคำนวน Table'!$C$3:$K$3)
  )
)</f>
        <v>0.9</v>
      </c>
      <c r="AV64" s="298">
        <f>IFERROR(
  _xlfn.XLOOKUP(AJ64,'2) หลักการคำนวน Table'!$C$3:$K$3,'2) หลักการคำนวน Table'!$C$3:$K$3,,1),
  IF(AJ64&lt;MIN('2) หลักการคำนวน Table'!$C$3:$K$3),
     MIN('2) หลักการคำนวน Table'!$C$3:$K$3),
     MAX('2) หลักการคำนวน Table'!$C$3:$K$3)
  )
)</f>
        <v>0.9</v>
      </c>
      <c r="AW64" s="298">
        <f>IFERROR(
  _xlfn.XLOOKUP(AK64,'2) หลักการคำนวน Table'!$C$3:$K$3,'2) หลักการคำนวน Table'!$C$3:$K$3,,1),
  IF(AK64&lt;MIN('2) หลักการคำนวน Table'!$C$3:$K$3),
     MIN('2) หลักการคำนวน Table'!$C$3:$K$3),
     MAX('2) หลักการคำนวน Table'!$C$3:$K$3)
  )
)</f>
        <v>0.9</v>
      </c>
      <c r="AX64" s="298">
        <f>IFERROR(
  _xlfn.XLOOKUP(AL64,'2) หลักการคำนวน Table'!$C$3:$K$3,'2) หลักการคำนวน Table'!$C$3:$K$3,,1),
  IF(AL64&lt;MIN('2) หลักการคำนวน Table'!$C$3:$K$3),
     MIN('2) หลักการคำนวน Table'!$C$3:$K$3),
     MAX('2) หลักการคำนวน Table'!$C$3:$K$3)
  )
)</f>
        <v>0.9</v>
      </c>
      <c r="AY64" s="298">
        <f>IFERROR(
  _xlfn.XLOOKUP(AM64,'2) หลักการคำนวน Table'!$C$3:$K$3,'2) หลักการคำนวน Table'!$C$3:$K$3,,1),
  IF(AM64&lt;MIN('2) หลักการคำนวน Table'!$C$3:$K$3),
     MIN('2) หลักการคำนวน Table'!$C$3:$K$3),
     MAX('2) หลักการคำนวน Table'!$C$3:$K$3)
  )
)</f>
        <v>0.9</v>
      </c>
      <c r="AZ64" s="299" t="e" cm="1">
        <f t="array" ref="AZ64">ROUND((_xlfn.XLOOKUP($C64,'2) หลักการคำนวน Table'!$A$4:$A$36,
_xlfn.XLOOKUP(AN64,'2)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A64" s="299" t="e" cm="1">
        <f t="array" ref="BA64">ROUND((_xlfn.XLOOKUP($C64,'2) หลักการคำนวน Table'!$A$4:$A$36,
_xlfn.XLOOKUP(AO64,'2)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B64" s="299" t="e" cm="1">
        <f t="array" ref="BB64">ROUND((_xlfn.XLOOKUP($C64,'2) หลักการคำนวน Table'!$A$4:$A$36,
_xlfn.XLOOKUP(AP64,'2)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C64" s="299" t="e" cm="1">
        <f t="array" ref="BC64">ROUND((_xlfn.XLOOKUP($C64,'2) หลักการคำนวน Table'!$A$4:$A$36,
_xlfn.XLOOKUP(AQ64,'2)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D64" s="299" t="e" cm="1">
        <f t="array" ref="BD64">ROUND((_xlfn.XLOOKUP($C64,'2) หลักการคำนวน Table'!$A$4:$A$36,
_xlfn.XLOOKUP(AR64,'2)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E64" s="299" t="e" cm="1">
        <f t="array" ref="BE64">ROUND((_xlfn.XLOOKUP($C64,'2) หลักการคำนวน Table'!$A$4:$A$36,
_xlfn.XLOOKUP(AS64,'2)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F64" s="299" t="e" cm="1">
        <f t="array" ref="BF64">ROUND((_xlfn.XLOOKUP($C64,'2) หลักการคำนวน Table'!$A$4:$A$36,
_xlfn.XLOOKUP(AT64,'2)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G64" s="299" t="e" cm="1">
        <f t="array" ref="BG64">ROUND((_xlfn.XLOOKUP($C64,'2) หลักการคำนวน Table'!$A$4:$A$36,
_xlfn.XLOOKUP(AU64,'2)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H64" s="299" t="e" cm="1">
        <f t="array" ref="BH64">ROUND((_xlfn.XLOOKUP($C64,'2) หลักการคำนวน Table'!$A$4:$A$36,
_xlfn.XLOOKUP(AV64,'2)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I64" s="299" t="e" cm="1">
        <f t="array" ref="BI64">ROUND((_xlfn.XLOOKUP($C64,'2) หลักการคำนวน Table'!$A$4:$A$36,
_xlfn.XLOOKUP(AW64,'2)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J64" s="299" t="e" cm="1">
        <f t="array" ref="BJ64">ROUND((_xlfn.XLOOKUP($C64,'2) หลักการคำนวน Table'!$A$4:$A$36,
_xlfn.XLOOKUP(AX64,'2)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K64" s="299" t="e" cm="1">
        <f t="array" ref="BK64">ROUND((_xlfn.XLOOKUP($C64,'2) หลักการคำนวน Table'!$A$4:$A$36,
_xlfn.XLOOKUP(AY64,'2) หลักการคำนวน Table'!$C$3:$K$3,'2) หลักการคำนวน Table'!$C$4:$K$36,,-1)))*(_xlfn.XLOOKUP($C64,'2) หลักการคำนวน Table'!$A$4:$A$36, _xlfn.XLOOKUP($B64,'2) หลักการคำนวน Table'!$L$3:$Z$3,'2) หลักการคำนวน Table'!$L$4:$Z$36))),0)</f>
        <v>#N/A</v>
      </c>
      <c r="BM64" s="295">
        <v>222218</v>
      </c>
      <c r="BN64" s="300">
        <v>722</v>
      </c>
    </row>
    <row r="65" spans="1:66" ht="14.7" customHeight="1" x14ac:dyDescent="0.25">
      <c r="A65" s="126" t="e">
        <f>VLOOKUP(C65,ASTBase!E:S,13,FALSE)</f>
        <v>#N/A</v>
      </c>
      <c r="B65" s="126" t="s">
        <v>418</v>
      </c>
      <c r="C65" s="126">
        <v>5490000721</v>
      </c>
      <c r="D65" s="127">
        <v>400</v>
      </c>
      <c r="E65" s="127">
        <v>400</v>
      </c>
      <c r="F65" s="127">
        <v>420</v>
      </c>
      <c r="G65" s="127">
        <v>420</v>
      </c>
      <c r="H65" s="127">
        <v>420</v>
      </c>
      <c r="I65" s="127">
        <v>420</v>
      </c>
      <c r="J65" s="127">
        <v>420</v>
      </c>
      <c r="K65" s="127">
        <v>420</v>
      </c>
      <c r="L65" s="127">
        <v>420</v>
      </c>
      <c r="M65" s="127">
        <v>420</v>
      </c>
      <c r="N65" s="127">
        <v>420</v>
      </c>
      <c r="O65" s="127">
        <v>420</v>
      </c>
      <c r="P65" s="126">
        <v>417.09599999999983</v>
      </c>
      <c r="AB65" s="297">
        <f>IFERROR(IF(VLOOKUP($B65,Shortage!$A:$M,AB$2,FALSE)="Shortage",1,IFERROR(ROUND(P65/D65,4),0)),IFERROR(ROUND(P65/D65,4),0))</f>
        <v>1.0427</v>
      </c>
      <c r="AC65" s="297">
        <f>IFERROR(IF(VLOOKUP($B65,Shortage!$A:$M,AC$2,FALSE)="Shortage",1,IFERROR(ROUND(Q65/E65,4),0)),IFERROR(ROUND(Q65/E65,4),0))</f>
        <v>0</v>
      </c>
      <c r="AD65" s="297">
        <f>IFERROR(IF(VLOOKUP($B65,Shortage!$A:$M,AD$2,FALSE)="Shortage",1,IFERROR(ROUND(R65/F65,4),0)),IFERROR(ROUND(R65/F65,4),0))</f>
        <v>0</v>
      </c>
      <c r="AE65" s="297">
        <f>IFERROR(IF(VLOOKUP($B65,Shortage!$A:$M,AE$2,FALSE)="Shortage",1,IFERROR(ROUND(S65/G65,4),0)),IFERROR(ROUND(S65/G65,4),0))</f>
        <v>0</v>
      </c>
      <c r="AF65" s="297">
        <f>IFERROR(IF(VLOOKUP($B65,Shortage!$A:$M,AF$2,FALSE)="Shortage",1,IFERROR(ROUND(T65/H65,4),0)),IFERROR(ROUND(T65/H65,4),0))</f>
        <v>0</v>
      </c>
      <c r="AG65" s="297">
        <f>IFERROR(IF(VLOOKUP($B65,Shortage!$A:$M,AG$2,FALSE)="Shortage",1,IFERROR(ROUND(U65/I65,4),0)),IFERROR(ROUND(U65/I65,4),0))</f>
        <v>0</v>
      </c>
      <c r="AH65" s="297">
        <f>IFERROR(IF(VLOOKUP($B65,Shortage!$A:$M,AH$2,FALSE)="Shortage",1,IFERROR(ROUND(V65/J65,4),0)),IFERROR(ROUND(V65/J65,4),0))</f>
        <v>0</v>
      </c>
      <c r="AI65" s="297">
        <f>IFERROR(IF(VLOOKUP($B65,Shortage!$A:$M,AI$2,FALSE)="Shortage",1,IFERROR(ROUND(W65/K65,4),0)),IFERROR(ROUND(W65/K65,4),0))</f>
        <v>0</v>
      </c>
      <c r="AJ65" s="297">
        <f>IFERROR(IF(VLOOKUP($B65,Shortage!$A:$M,AJ$2,FALSE)="Shortage",1,IFERROR(ROUND(X65/L65,4),0)),IFERROR(ROUND(X65/L65,4),0))</f>
        <v>0</v>
      </c>
      <c r="AK65" s="297">
        <f>IFERROR(IF(VLOOKUP($B65,Shortage!$A:$M,AK$2,FALSE)="Shortage",1,IFERROR(ROUND(Y65/M65,4),0)),IFERROR(ROUND(Y65/M65,4),0))</f>
        <v>0</v>
      </c>
      <c r="AL65" s="297">
        <f>IFERROR(IF(VLOOKUP($B65,Shortage!$A:$M,AL$2,FALSE)="Shortage",1,IFERROR(ROUND(Z65/N65,4),0)),IFERROR(ROUND(Z65/N65,4),0))</f>
        <v>0</v>
      </c>
      <c r="AM65" s="297">
        <f>IFERROR(IF(VLOOKUP($B65,Shortage!$A:$M,AM$2,FALSE)="Shortage",1,IFERROR(ROUND(AA65/O65,4),0)),IFERROR(ROUND(AA65/O65,4),0))</f>
        <v>0</v>
      </c>
      <c r="AN65" s="298">
        <f>IFERROR(_xlfn.XLOOKUP(AB65,'2) หลักการคำนวน Table'!$C$3:$K$3,'2) หลักการคำนวน Table'!$C$3:$K$3,,1),INDEX('2) หลักการคำนวน Table'!$C$3:$K$3,1))</f>
        <v>1.06</v>
      </c>
      <c r="AO65" s="298">
        <f>IFERROR(
  _xlfn.XLOOKUP(AC65,'2) หลักการคำนวน Table'!$C$3:$K$3,'2) หลักการคำนวน Table'!$C$3:$K$3,,1),
  IF(AC65&lt;MIN('2) หลักการคำนวน Table'!$C$3:$K$3),
     MIN('2) หลักการคำนวน Table'!$C$3:$K$3),
     MAX('2) หลักการคำนวน Table'!$C$3:$K$3)
  )
)</f>
        <v>0.9</v>
      </c>
      <c r="AP65" s="298">
        <f>IFERROR(
  _xlfn.XLOOKUP(AD65,'2) หลักการคำนวน Table'!$C$3:$K$3,'2) หลักการคำนวน Table'!$C$3:$K$3,,1),
  IF(AD65&lt;MIN('2) หลักการคำนวน Table'!$C$3:$K$3),
     MIN('2) หลักการคำนวน Table'!$C$3:$K$3),
     MAX('2) หลักการคำนวน Table'!$C$3:$K$3)
  )
)</f>
        <v>0.9</v>
      </c>
      <c r="AQ65" s="298">
        <f>IFERROR(
  _xlfn.XLOOKUP(AE65,'2) หลักการคำนวน Table'!$C$3:$K$3,'2) หลักการคำนวน Table'!$C$3:$K$3,,1),
  IF(AE65&lt;MIN('2) หลักการคำนวน Table'!$C$3:$K$3),
     MIN('2) หลักการคำนวน Table'!$C$3:$K$3),
     MAX('2) หลักการคำนวน Table'!$C$3:$K$3)
  )
)</f>
        <v>0.9</v>
      </c>
      <c r="AR65" s="298">
        <f>IFERROR(
  _xlfn.XLOOKUP(AF65,'2) หลักการคำนวน Table'!$C$3:$K$3,'2) หลักการคำนวน Table'!$C$3:$K$3,,1),
  IF(AF65&lt;MIN('2) หลักการคำนวน Table'!$C$3:$K$3),
     MIN('2) หลักการคำนวน Table'!$C$3:$K$3),
     MAX('2) หลักการคำนวน Table'!$C$3:$K$3)
  )
)</f>
        <v>0.9</v>
      </c>
      <c r="AS65" s="298">
        <f>IFERROR(
  _xlfn.XLOOKUP(AG65,'2) หลักการคำนวน Table'!$C$3:$K$3,'2) หลักการคำนวน Table'!$C$3:$K$3,,1),
  IF(AG65&lt;MIN('2) หลักการคำนวน Table'!$C$3:$K$3),
     MIN('2) หลักการคำนวน Table'!$C$3:$K$3),
     MAX('2) หลักการคำนวน Table'!$C$3:$K$3)
  )
)</f>
        <v>0.9</v>
      </c>
      <c r="AT65" s="298">
        <f>IFERROR(
  _xlfn.XLOOKUP(AH65,'2) หลักการคำนวน Table'!$C$3:$K$3,'2) หลักการคำนวน Table'!$C$3:$K$3,,1),
  IF(AH65&lt;MIN('2) หลักการคำนวน Table'!$C$3:$K$3),
     MIN('2) หลักการคำนวน Table'!$C$3:$K$3),
     MAX('2) หลักการคำนวน Table'!$C$3:$K$3)
  )
)</f>
        <v>0.9</v>
      </c>
      <c r="AU65" s="298">
        <f>IFERROR(
  _xlfn.XLOOKUP(AI65,'2) หลักการคำนวน Table'!$C$3:$K$3,'2) หลักการคำนวน Table'!$C$3:$K$3,,1),
  IF(AI65&lt;MIN('2) หลักการคำนวน Table'!$C$3:$K$3),
     MIN('2) หลักการคำนวน Table'!$C$3:$K$3),
     MAX('2) หลักการคำนวน Table'!$C$3:$K$3)
  )
)</f>
        <v>0.9</v>
      </c>
      <c r="AV65" s="298">
        <f>IFERROR(
  _xlfn.XLOOKUP(AJ65,'2) หลักการคำนวน Table'!$C$3:$K$3,'2) หลักการคำนวน Table'!$C$3:$K$3,,1),
  IF(AJ65&lt;MIN('2) หลักการคำนวน Table'!$C$3:$K$3),
     MIN('2) หลักการคำนวน Table'!$C$3:$K$3),
     MAX('2) หลักการคำนวน Table'!$C$3:$K$3)
  )
)</f>
        <v>0.9</v>
      </c>
      <c r="AW65" s="298">
        <f>IFERROR(
  _xlfn.XLOOKUP(AK65,'2) หลักการคำนวน Table'!$C$3:$K$3,'2) หลักการคำนวน Table'!$C$3:$K$3,,1),
  IF(AK65&lt;MIN('2) หลักการคำนวน Table'!$C$3:$K$3),
     MIN('2) หลักการคำนวน Table'!$C$3:$K$3),
     MAX('2) หลักการคำนวน Table'!$C$3:$K$3)
  )
)</f>
        <v>0.9</v>
      </c>
      <c r="AX65" s="298">
        <f>IFERROR(
  _xlfn.XLOOKUP(AL65,'2) หลักการคำนวน Table'!$C$3:$K$3,'2) หลักการคำนวน Table'!$C$3:$K$3,,1),
  IF(AL65&lt;MIN('2) หลักการคำนวน Table'!$C$3:$K$3),
     MIN('2) หลักการคำนวน Table'!$C$3:$K$3),
     MAX('2) หลักการคำนวน Table'!$C$3:$K$3)
  )
)</f>
        <v>0.9</v>
      </c>
      <c r="AY65" s="298">
        <f>IFERROR(
  _xlfn.XLOOKUP(AM65,'2) หลักการคำนวน Table'!$C$3:$K$3,'2) หลักการคำนวน Table'!$C$3:$K$3,,1),
  IF(AM65&lt;MIN('2) หลักการคำนวน Table'!$C$3:$K$3),
     MIN('2) หลักการคำนวน Table'!$C$3:$K$3),
     MAX('2) หลักการคำนวน Table'!$C$3:$K$3)
  )
)</f>
        <v>0.9</v>
      </c>
      <c r="AZ65" s="299" t="e" cm="1">
        <f t="array" ref="AZ65">ROUND((_xlfn.XLOOKUP($C65,'2) หลักการคำนวน Table'!$A$4:$A$36,
_xlfn.XLOOKUP(AN65,'2)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A65" s="299" t="e" cm="1">
        <f t="array" ref="BA65">ROUND((_xlfn.XLOOKUP($C65,'2) หลักการคำนวน Table'!$A$4:$A$36,
_xlfn.XLOOKUP(AO65,'2)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B65" s="299" t="e" cm="1">
        <f t="array" ref="BB65">ROUND((_xlfn.XLOOKUP($C65,'2) หลักการคำนวน Table'!$A$4:$A$36,
_xlfn.XLOOKUP(AP65,'2)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C65" s="299" t="e" cm="1">
        <f t="array" ref="BC65">ROUND((_xlfn.XLOOKUP($C65,'2) หลักการคำนวน Table'!$A$4:$A$36,
_xlfn.XLOOKUP(AQ65,'2)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D65" s="299" t="e" cm="1">
        <f t="array" ref="BD65">ROUND((_xlfn.XLOOKUP($C65,'2) หลักการคำนวน Table'!$A$4:$A$36,
_xlfn.XLOOKUP(AR65,'2)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E65" s="299" t="e" cm="1">
        <f t="array" ref="BE65">ROUND((_xlfn.XLOOKUP($C65,'2) หลักการคำนวน Table'!$A$4:$A$36,
_xlfn.XLOOKUP(AS65,'2)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F65" s="299" t="e" cm="1">
        <f t="array" ref="BF65">ROUND((_xlfn.XLOOKUP($C65,'2) หลักการคำนวน Table'!$A$4:$A$36,
_xlfn.XLOOKUP(AT65,'2)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G65" s="299" t="e" cm="1">
        <f t="array" ref="BG65">ROUND((_xlfn.XLOOKUP($C65,'2) หลักการคำนวน Table'!$A$4:$A$36,
_xlfn.XLOOKUP(AU65,'2)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H65" s="299" t="e" cm="1">
        <f t="array" ref="BH65">ROUND((_xlfn.XLOOKUP($C65,'2) หลักการคำนวน Table'!$A$4:$A$36,
_xlfn.XLOOKUP(AV65,'2)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I65" s="299" t="e" cm="1">
        <f t="array" ref="BI65">ROUND((_xlfn.XLOOKUP($C65,'2) หลักการคำนวน Table'!$A$4:$A$36,
_xlfn.XLOOKUP(AW65,'2)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J65" s="299" t="e" cm="1">
        <f t="array" ref="BJ65">ROUND((_xlfn.XLOOKUP($C65,'2) หลักการคำนวน Table'!$A$4:$A$36,
_xlfn.XLOOKUP(AX65,'2)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K65" s="299" t="e" cm="1">
        <f t="array" ref="BK65">ROUND((_xlfn.XLOOKUP($C65,'2) หลักการคำนวน Table'!$A$4:$A$36,
_xlfn.XLOOKUP(AY65,'2) หลักการคำนวน Table'!$C$3:$K$3,'2) หลักการคำนวน Table'!$C$4:$K$36,,-1)))*(_xlfn.XLOOKUP($C65,'2) หลักการคำนวน Table'!$A$4:$A$36, _xlfn.XLOOKUP($B65,'2) หลักการคำนวน Table'!$L$3:$Z$3,'2) หลักการคำนวน Table'!$L$4:$Z$36))),0)</f>
        <v>#N/A</v>
      </c>
      <c r="BM65" s="295">
        <v>222218</v>
      </c>
      <c r="BN65" s="300">
        <v>600</v>
      </c>
    </row>
    <row r="66" spans="1:66" ht="14.7" customHeight="1" x14ac:dyDescent="0.25">
      <c r="A66" s="126" t="e">
        <f>VLOOKUP(C66,ASTBase!E:S,13,FALSE)</f>
        <v>#N/A</v>
      </c>
      <c r="B66" s="126" t="s">
        <v>413</v>
      </c>
      <c r="C66" s="126">
        <v>5490000721</v>
      </c>
      <c r="D66" s="127">
        <v>66.636399999999995</v>
      </c>
      <c r="E66" s="127">
        <v>98.0642</v>
      </c>
      <c r="F66" s="127">
        <v>79.516400000000004</v>
      </c>
      <c r="G66" s="127">
        <v>67.636399999999995</v>
      </c>
      <c r="H66" s="127">
        <v>89.971199999999996</v>
      </c>
      <c r="I66" s="127">
        <v>102.04679999999999</v>
      </c>
      <c r="J66" s="127">
        <v>131.14800000000002</v>
      </c>
      <c r="K66" s="127">
        <v>135.4332</v>
      </c>
      <c r="L66" s="127">
        <v>155.7234</v>
      </c>
      <c r="M66" s="127">
        <v>221</v>
      </c>
      <c r="N66" s="127">
        <v>211.7612</v>
      </c>
      <c r="O66" s="127">
        <v>103.14699999999999</v>
      </c>
      <c r="P66" s="126">
        <v>38.108399999999996</v>
      </c>
      <c r="AB66" s="297">
        <f>IFERROR(IF(VLOOKUP($B66,Shortage!$A:$M,AB$2,FALSE)="Shortage",1,IFERROR(ROUND(P66/D66,4),0)),IFERROR(ROUND(P66/D66,4),0))</f>
        <v>0.57189999999999996</v>
      </c>
      <c r="AC66" s="297">
        <f>IFERROR(IF(VLOOKUP($B66,Shortage!$A:$M,AC$2,FALSE)="Shortage",1,IFERROR(ROUND(Q66/E66,4),0)),IFERROR(ROUND(Q66/E66,4),0))</f>
        <v>0</v>
      </c>
      <c r="AD66" s="297">
        <f>IFERROR(IF(VLOOKUP($B66,Shortage!$A:$M,AD$2,FALSE)="Shortage",1,IFERROR(ROUND(R66/F66,4),0)),IFERROR(ROUND(R66/F66,4),0))</f>
        <v>0</v>
      </c>
      <c r="AE66" s="297">
        <f>IFERROR(IF(VLOOKUP($B66,Shortage!$A:$M,AE$2,FALSE)="Shortage",1,IFERROR(ROUND(S66/G66,4),0)),IFERROR(ROUND(S66/G66,4),0))</f>
        <v>0</v>
      </c>
      <c r="AF66" s="297">
        <f>IFERROR(IF(VLOOKUP($B66,Shortage!$A:$M,AF$2,FALSE)="Shortage",1,IFERROR(ROUND(T66/H66,4),0)),IFERROR(ROUND(T66/H66,4),0))</f>
        <v>0</v>
      </c>
      <c r="AG66" s="297">
        <f>IFERROR(IF(VLOOKUP($B66,Shortage!$A:$M,AG$2,FALSE)="Shortage",1,IFERROR(ROUND(U66/I66,4),0)),IFERROR(ROUND(U66/I66,4),0))</f>
        <v>0</v>
      </c>
      <c r="AH66" s="297">
        <f>IFERROR(IF(VLOOKUP($B66,Shortage!$A:$M,AH$2,FALSE)="Shortage",1,IFERROR(ROUND(V66/J66,4),0)),IFERROR(ROUND(V66/J66,4),0))</f>
        <v>0</v>
      </c>
      <c r="AI66" s="297">
        <f>IFERROR(IF(VLOOKUP($B66,Shortage!$A:$M,AI$2,FALSE)="Shortage",1,IFERROR(ROUND(W66/K66,4),0)),IFERROR(ROUND(W66/K66,4),0))</f>
        <v>0</v>
      </c>
      <c r="AJ66" s="297">
        <f>IFERROR(IF(VLOOKUP($B66,Shortage!$A:$M,AJ$2,FALSE)="Shortage",1,IFERROR(ROUND(X66/L66,4),0)),IFERROR(ROUND(X66/L66,4),0))</f>
        <v>0</v>
      </c>
      <c r="AK66" s="297">
        <f>IFERROR(IF(VLOOKUP($B66,Shortage!$A:$M,AK$2,FALSE)="Shortage",1,IFERROR(ROUND(Y66/M66,4),0)),IFERROR(ROUND(Y66/M66,4),0))</f>
        <v>0</v>
      </c>
      <c r="AL66" s="297">
        <f>IFERROR(IF(VLOOKUP($B66,Shortage!$A:$M,AL$2,FALSE)="Shortage",1,IFERROR(ROUND(Z66/N66,4),0)),IFERROR(ROUND(Z66/N66,4),0))</f>
        <v>0</v>
      </c>
      <c r="AM66" s="297">
        <f>IFERROR(IF(VLOOKUP($B66,Shortage!$A:$M,AM$2,FALSE)="Shortage",1,IFERROR(ROUND(AA66/O66,4),0)),IFERROR(ROUND(AA66/O66,4),0))</f>
        <v>0</v>
      </c>
      <c r="AN66" s="298">
        <f>IFERROR(_xlfn.XLOOKUP(AB66,'2) หลักการคำนวน Table'!$C$3:$K$3,'2) หลักการคำนวน Table'!$C$3:$K$3,,1),INDEX('2) หลักการคำนวน Table'!$C$3:$K$3,1))</f>
        <v>0.9</v>
      </c>
      <c r="AO66" s="298">
        <f>IFERROR(
  _xlfn.XLOOKUP(AC66,'2) หลักการคำนวน Table'!$C$3:$K$3,'2) หลักการคำนวน Table'!$C$3:$K$3,,1),
  IF(AC66&lt;MIN('2) หลักการคำนวน Table'!$C$3:$K$3),
     MIN('2) หลักการคำนวน Table'!$C$3:$K$3),
     MAX('2) หลักการคำนวน Table'!$C$3:$K$3)
  )
)</f>
        <v>0.9</v>
      </c>
      <c r="AP66" s="298">
        <f>IFERROR(
  _xlfn.XLOOKUP(AD66,'2) หลักการคำนวน Table'!$C$3:$K$3,'2) หลักการคำนวน Table'!$C$3:$K$3,,1),
  IF(AD66&lt;MIN('2) หลักการคำนวน Table'!$C$3:$K$3),
     MIN('2) หลักการคำนวน Table'!$C$3:$K$3),
     MAX('2) หลักการคำนวน Table'!$C$3:$K$3)
  )
)</f>
        <v>0.9</v>
      </c>
      <c r="AQ66" s="298">
        <f>IFERROR(
  _xlfn.XLOOKUP(AE66,'2) หลักการคำนวน Table'!$C$3:$K$3,'2) หลักการคำนวน Table'!$C$3:$K$3,,1),
  IF(AE66&lt;MIN('2) หลักการคำนวน Table'!$C$3:$K$3),
     MIN('2) หลักการคำนวน Table'!$C$3:$K$3),
     MAX('2) หลักการคำนวน Table'!$C$3:$K$3)
  )
)</f>
        <v>0.9</v>
      </c>
      <c r="AR66" s="298">
        <f>IFERROR(
  _xlfn.XLOOKUP(AF66,'2) หลักการคำนวน Table'!$C$3:$K$3,'2) หลักการคำนวน Table'!$C$3:$K$3,,1),
  IF(AF66&lt;MIN('2) หลักการคำนวน Table'!$C$3:$K$3),
     MIN('2) หลักการคำนวน Table'!$C$3:$K$3),
     MAX('2) หลักการคำนวน Table'!$C$3:$K$3)
  )
)</f>
        <v>0.9</v>
      </c>
      <c r="AS66" s="298">
        <f>IFERROR(
  _xlfn.XLOOKUP(AG66,'2) หลักการคำนวน Table'!$C$3:$K$3,'2) หลักการคำนวน Table'!$C$3:$K$3,,1),
  IF(AG66&lt;MIN('2) หลักการคำนวน Table'!$C$3:$K$3),
     MIN('2) หลักการคำนวน Table'!$C$3:$K$3),
     MAX('2) หลักการคำนวน Table'!$C$3:$K$3)
  )
)</f>
        <v>0.9</v>
      </c>
      <c r="AT66" s="298">
        <f>IFERROR(
  _xlfn.XLOOKUP(AH66,'2) หลักการคำนวน Table'!$C$3:$K$3,'2) หลักการคำนวน Table'!$C$3:$K$3,,1),
  IF(AH66&lt;MIN('2) หลักการคำนวน Table'!$C$3:$K$3),
     MIN('2) หลักการคำนวน Table'!$C$3:$K$3),
     MAX('2) หลักการคำนวน Table'!$C$3:$K$3)
  )
)</f>
        <v>0.9</v>
      </c>
      <c r="AU66" s="298">
        <f>IFERROR(
  _xlfn.XLOOKUP(AI66,'2) หลักการคำนวน Table'!$C$3:$K$3,'2) หลักการคำนวน Table'!$C$3:$K$3,,1),
  IF(AI66&lt;MIN('2) หลักการคำนวน Table'!$C$3:$K$3),
     MIN('2) หลักการคำนวน Table'!$C$3:$K$3),
     MAX('2) หลักการคำนวน Table'!$C$3:$K$3)
  )
)</f>
        <v>0.9</v>
      </c>
      <c r="AV66" s="298">
        <f>IFERROR(
  _xlfn.XLOOKUP(AJ66,'2) หลักการคำนวน Table'!$C$3:$K$3,'2) หลักการคำนวน Table'!$C$3:$K$3,,1),
  IF(AJ66&lt;MIN('2) หลักการคำนวน Table'!$C$3:$K$3),
     MIN('2) หลักการคำนวน Table'!$C$3:$K$3),
     MAX('2) หลักการคำนวน Table'!$C$3:$K$3)
  )
)</f>
        <v>0.9</v>
      </c>
      <c r="AW66" s="298">
        <f>IFERROR(
  _xlfn.XLOOKUP(AK66,'2) หลักการคำนวน Table'!$C$3:$K$3,'2) หลักการคำนวน Table'!$C$3:$K$3,,1),
  IF(AK66&lt;MIN('2) หลักการคำนวน Table'!$C$3:$K$3),
     MIN('2) หลักการคำนวน Table'!$C$3:$K$3),
     MAX('2) หลักการคำนวน Table'!$C$3:$K$3)
  )
)</f>
        <v>0.9</v>
      </c>
      <c r="AX66" s="298">
        <f>IFERROR(
  _xlfn.XLOOKUP(AL66,'2) หลักการคำนวน Table'!$C$3:$K$3,'2) หลักการคำนวน Table'!$C$3:$K$3,,1),
  IF(AL66&lt;MIN('2) หลักการคำนวน Table'!$C$3:$K$3),
     MIN('2) หลักการคำนวน Table'!$C$3:$K$3),
     MAX('2) หลักการคำนวน Table'!$C$3:$K$3)
  )
)</f>
        <v>0.9</v>
      </c>
      <c r="AY66" s="298">
        <f>IFERROR(
  _xlfn.XLOOKUP(AM66,'2) หลักการคำนวน Table'!$C$3:$K$3,'2) หลักการคำนวน Table'!$C$3:$K$3,,1),
  IF(AM66&lt;MIN('2) หลักการคำนวน Table'!$C$3:$K$3),
     MIN('2) หลักการคำนวน Table'!$C$3:$K$3),
     MAX('2) หลักการคำนวน Table'!$C$3:$K$3)
  )
)</f>
        <v>0.9</v>
      </c>
      <c r="AZ66" s="299" t="e" cm="1">
        <f t="array" ref="AZ66">ROUND((_xlfn.XLOOKUP($C66,'2) หลักการคำนวน Table'!$A$4:$A$36,
_xlfn.XLOOKUP(AN66,'2)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A66" s="299" t="e" cm="1">
        <f t="array" ref="BA66">ROUND((_xlfn.XLOOKUP($C66,'2) หลักการคำนวน Table'!$A$4:$A$36,
_xlfn.XLOOKUP(AO66,'2)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B66" s="299" t="e" cm="1">
        <f t="array" ref="BB66">ROUND((_xlfn.XLOOKUP($C66,'2) หลักการคำนวน Table'!$A$4:$A$36,
_xlfn.XLOOKUP(AP66,'2)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C66" s="299" t="e" cm="1">
        <f t="array" ref="BC66">ROUND((_xlfn.XLOOKUP($C66,'2) หลักการคำนวน Table'!$A$4:$A$36,
_xlfn.XLOOKUP(AQ66,'2)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D66" s="299" t="e" cm="1">
        <f t="array" ref="BD66">ROUND((_xlfn.XLOOKUP($C66,'2) หลักการคำนวน Table'!$A$4:$A$36,
_xlfn.XLOOKUP(AR66,'2)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E66" s="299" t="e" cm="1">
        <f t="array" ref="BE66">ROUND((_xlfn.XLOOKUP($C66,'2) หลักการคำนวน Table'!$A$4:$A$36,
_xlfn.XLOOKUP(AS66,'2)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F66" s="299" t="e" cm="1">
        <f t="array" ref="BF66">ROUND((_xlfn.XLOOKUP($C66,'2) หลักการคำนวน Table'!$A$4:$A$36,
_xlfn.XLOOKUP(AT66,'2)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G66" s="299" t="e" cm="1">
        <f t="array" ref="BG66">ROUND((_xlfn.XLOOKUP($C66,'2) หลักการคำนวน Table'!$A$4:$A$36,
_xlfn.XLOOKUP(AU66,'2)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H66" s="299" t="e" cm="1">
        <f t="array" ref="BH66">ROUND((_xlfn.XLOOKUP($C66,'2) หลักการคำนวน Table'!$A$4:$A$36,
_xlfn.XLOOKUP(AV66,'2)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I66" s="299" t="e" cm="1">
        <f t="array" ref="BI66">ROUND((_xlfn.XLOOKUP($C66,'2) หลักการคำนวน Table'!$A$4:$A$36,
_xlfn.XLOOKUP(AW66,'2)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J66" s="299" t="e" cm="1">
        <f t="array" ref="BJ66">ROUND((_xlfn.XLOOKUP($C66,'2) หลักการคำนวน Table'!$A$4:$A$36,
_xlfn.XLOOKUP(AX66,'2)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K66" s="299" t="e" cm="1">
        <f t="array" ref="BK66">ROUND((_xlfn.XLOOKUP($C66,'2) หลักการคำนวน Table'!$A$4:$A$36,
_xlfn.XLOOKUP(AY66,'2) หลักการคำนวน Table'!$C$3:$K$3,'2) หลักการคำนวน Table'!$C$4:$K$36,,-1)))*(_xlfn.XLOOKUP($C66,'2) หลักการคำนวน Table'!$A$4:$A$36, _xlfn.XLOOKUP($B66,'2) หลักการคำนวน Table'!$L$3:$Z$3,'2) หลักการคำนวน Table'!$L$4:$Z$36))),0)</f>
        <v>#N/A</v>
      </c>
      <c r="BM66" s="295">
        <v>222218</v>
      </c>
      <c r="BN66" s="300">
        <v>750</v>
      </c>
    </row>
    <row r="67" spans="1:66" ht="14.7" customHeight="1" x14ac:dyDescent="0.25">
      <c r="A67" s="126" t="e">
        <f>VLOOKUP(C67,ASTBase!E:S,13,FALSE)</f>
        <v>#N/A</v>
      </c>
      <c r="B67" s="126" t="s">
        <v>406</v>
      </c>
      <c r="C67" s="126">
        <v>5490000721</v>
      </c>
      <c r="D67" s="127">
        <v>313.5</v>
      </c>
      <c r="E67" s="127">
        <v>676.19999999999993</v>
      </c>
      <c r="F67" s="127">
        <v>344.18</v>
      </c>
      <c r="G67" s="127">
        <v>518.53</v>
      </c>
      <c r="H67" s="127">
        <v>271.2</v>
      </c>
      <c r="I67" s="127">
        <v>534.4</v>
      </c>
      <c r="J67" s="127">
        <v>531.80000000000007</v>
      </c>
      <c r="K67" s="127">
        <v>954.89999999999986</v>
      </c>
      <c r="L67" s="127">
        <v>1058.8000000000002</v>
      </c>
      <c r="M67" s="127">
        <v>229.2</v>
      </c>
      <c r="N67" s="127">
        <v>626</v>
      </c>
      <c r="O67" s="127">
        <v>640.79999999999995</v>
      </c>
      <c r="P67" s="126">
        <v>785.5</v>
      </c>
      <c r="AB67" s="297">
        <f>IFERROR(IF(VLOOKUP($B67,Shortage!$A:$M,AB$2,FALSE)="Shortage",1,IFERROR(ROUND(P67/D67,4),0)),IFERROR(ROUND(P67/D67,4),0))</f>
        <v>1</v>
      </c>
      <c r="AC67" s="297">
        <f>IFERROR(IF(VLOOKUP($B67,Shortage!$A:$M,AC$2,FALSE)="Shortage",1,IFERROR(ROUND(Q67/E67,4),0)),IFERROR(ROUND(Q67/E67,4),0))</f>
        <v>0</v>
      </c>
      <c r="AD67" s="297">
        <f>IFERROR(IF(VLOOKUP($B67,Shortage!$A:$M,AD$2,FALSE)="Shortage",1,IFERROR(ROUND(R67/F67,4),0)),IFERROR(ROUND(R67/F67,4),0))</f>
        <v>0</v>
      </c>
      <c r="AE67" s="297">
        <f>IFERROR(IF(VLOOKUP($B67,Shortage!$A:$M,AE$2,FALSE)="Shortage",1,IFERROR(ROUND(S67/G67,4),0)),IFERROR(ROUND(S67/G67,4),0))</f>
        <v>0</v>
      </c>
      <c r="AF67" s="297">
        <f>IFERROR(IF(VLOOKUP($B67,Shortage!$A:$M,AF$2,FALSE)="Shortage",1,IFERROR(ROUND(T67/H67,4),0)),IFERROR(ROUND(T67/H67,4),0))</f>
        <v>0</v>
      </c>
      <c r="AG67" s="297">
        <f>IFERROR(IF(VLOOKUP($B67,Shortage!$A:$M,AG$2,FALSE)="Shortage",1,IFERROR(ROUND(U67/I67,4),0)),IFERROR(ROUND(U67/I67,4),0))</f>
        <v>0</v>
      </c>
      <c r="AH67" s="297">
        <f>IFERROR(IF(VLOOKUP($B67,Shortage!$A:$M,AH$2,FALSE)="Shortage",1,IFERROR(ROUND(V67/J67,4),0)),IFERROR(ROUND(V67/J67,4),0))</f>
        <v>0</v>
      </c>
      <c r="AI67" s="297">
        <f>IFERROR(IF(VLOOKUP($B67,Shortage!$A:$M,AI$2,FALSE)="Shortage",1,IFERROR(ROUND(W67/K67,4),0)),IFERROR(ROUND(W67/K67,4),0))</f>
        <v>0</v>
      </c>
      <c r="AJ67" s="297">
        <f>IFERROR(IF(VLOOKUP($B67,Shortage!$A:$M,AJ$2,FALSE)="Shortage",1,IFERROR(ROUND(X67/L67,4),0)),IFERROR(ROUND(X67/L67,4),0))</f>
        <v>0</v>
      </c>
      <c r="AK67" s="297">
        <f>IFERROR(IF(VLOOKUP($B67,Shortage!$A:$M,AK$2,FALSE)="Shortage",1,IFERROR(ROUND(Y67/M67,4),0)),IFERROR(ROUND(Y67/M67,4),0))</f>
        <v>0</v>
      </c>
      <c r="AL67" s="297">
        <f>IFERROR(IF(VLOOKUP($B67,Shortage!$A:$M,AL$2,FALSE)="Shortage",1,IFERROR(ROUND(Z67/N67,4),0)),IFERROR(ROUND(Z67/N67,4),0))</f>
        <v>0</v>
      </c>
      <c r="AM67" s="297">
        <f>IFERROR(IF(VLOOKUP($B67,Shortage!$A:$M,AM$2,FALSE)="Shortage",1,IFERROR(ROUND(AA67/O67,4),0)),IFERROR(ROUND(AA67/O67,4),0))</f>
        <v>0</v>
      </c>
      <c r="AN67" s="298">
        <f>IFERROR(_xlfn.XLOOKUP(AB67,'2) หลักการคำนวน Table'!$C$3:$K$3,'2) หลักการคำนวน Table'!$C$3:$K$3,,1),INDEX('2) หลักการคำนวน Table'!$C$3:$K$3,1))</f>
        <v>1</v>
      </c>
      <c r="AO67" s="298">
        <f>IFERROR(
  _xlfn.XLOOKUP(AC67,'2) หลักการคำนวน Table'!$C$3:$K$3,'2) หลักการคำนวน Table'!$C$3:$K$3,,1),
  IF(AC67&lt;MIN('2) หลักการคำนวน Table'!$C$3:$K$3),
     MIN('2) หลักการคำนวน Table'!$C$3:$K$3),
     MAX('2) หลักการคำนวน Table'!$C$3:$K$3)
  )
)</f>
        <v>0.9</v>
      </c>
      <c r="AP67" s="298">
        <f>IFERROR(
  _xlfn.XLOOKUP(AD67,'2) หลักการคำนวน Table'!$C$3:$K$3,'2) หลักการคำนวน Table'!$C$3:$K$3,,1),
  IF(AD67&lt;MIN('2) หลักการคำนวน Table'!$C$3:$K$3),
     MIN('2) หลักการคำนวน Table'!$C$3:$K$3),
     MAX('2) หลักการคำนวน Table'!$C$3:$K$3)
  )
)</f>
        <v>0.9</v>
      </c>
      <c r="AQ67" s="298">
        <f>IFERROR(
  _xlfn.XLOOKUP(AE67,'2) หลักการคำนวน Table'!$C$3:$K$3,'2) หลักการคำนวน Table'!$C$3:$K$3,,1),
  IF(AE67&lt;MIN('2) หลักการคำนวน Table'!$C$3:$K$3),
     MIN('2) หลักการคำนวน Table'!$C$3:$K$3),
     MAX('2) หลักการคำนวน Table'!$C$3:$K$3)
  )
)</f>
        <v>0.9</v>
      </c>
      <c r="AR67" s="298">
        <f>IFERROR(
  _xlfn.XLOOKUP(AF67,'2) หลักการคำนวน Table'!$C$3:$K$3,'2) หลักการคำนวน Table'!$C$3:$K$3,,1),
  IF(AF67&lt;MIN('2) หลักการคำนวน Table'!$C$3:$K$3),
     MIN('2) หลักการคำนวน Table'!$C$3:$K$3),
     MAX('2) หลักการคำนวน Table'!$C$3:$K$3)
  )
)</f>
        <v>0.9</v>
      </c>
      <c r="AS67" s="298">
        <f>IFERROR(
  _xlfn.XLOOKUP(AG67,'2) หลักการคำนวน Table'!$C$3:$K$3,'2) หลักการคำนวน Table'!$C$3:$K$3,,1),
  IF(AG67&lt;MIN('2) หลักการคำนวน Table'!$C$3:$K$3),
     MIN('2) หลักการคำนวน Table'!$C$3:$K$3),
     MAX('2) หลักการคำนวน Table'!$C$3:$K$3)
  )
)</f>
        <v>0.9</v>
      </c>
      <c r="AT67" s="298">
        <f>IFERROR(
  _xlfn.XLOOKUP(AH67,'2) หลักการคำนวน Table'!$C$3:$K$3,'2) หลักการคำนวน Table'!$C$3:$K$3,,1),
  IF(AH67&lt;MIN('2) หลักการคำนวน Table'!$C$3:$K$3),
     MIN('2) หลักการคำนวน Table'!$C$3:$K$3),
     MAX('2) หลักการคำนวน Table'!$C$3:$K$3)
  )
)</f>
        <v>0.9</v>
      </c>
      <c r="AU67" s="298">
        <f>IFERROR(
  _xlfn.XLOOKUP(AI67,'2) หลักการคำนวน Table'!$C$3:$K$3,'2) หลักการคำนวน Table'!$C$3:$K$3,,1),
  IF(AI67&lt;MIN('2) หลักการคำนวน Table'!$C$3:$K$3),
     MIN('2) หลักการคำนวน Table'!$C$3:$K$3),
     MAX('2) หลักการคำนวน Table'!$C$3:$K$3)
  )
)</f>
        <v>0.9</v>
      </c>
      <c r="AV67" s="298">
        <f>IFERROR(
  _xlfn.XLOOKUP(AJ67,'2) หลักการคำนวน Table'!$C$3:$K$3,'2) หลักการคำนวน Table'!$C$3:$K$3,,1),
  IF(AJ67&lt;MIN('2) หลักการคำนวน Table'!$C$3:$K$3),
     MIN('2) หลักการคำนวน Table'!$C$3:$K$3),
     MAX('2) หลักการคำนวน Table'!$C$3:$K$3)
  )
)</f>
        <v>0.9</v>
      </c>
      <c r="AW67" s="298">
        <f>IFERROR(
  _xlfn.XLOOKUP(AK67,'2) หลักการคำนวน Table'!$C$3:$K$3,'2) หลักการคำนวน Table'!$C$3:$K$3,,1),
  IF(AK67&lt;MIN('2) หลักการคำนวน Table'!$C$3:$K$3),
     MIN('2) หลักการคำนวน Table'!$C$3:$K$3),
     MAX('2) หลักการคำนวน Table'!$C$3:$K$3)
  )
)</f>
        <v>0.9</v>
      </c>
      <c r="AX67" s="298">
        <f>IFERROR(
  _xlfn.XLOOKUP(AL67,'2) หลักการคำนวน Table'!$C$3:$K$3,'2) หลักการคำนวน Table'!$C$3:$K$3,,1),
  IF(AL67&lt;MIN('2) หลักการคำนวน Table'!$C$3:$K$3),
     MIN('2) หลักการคำนวน Table'!$C$3:$K$3),
     MAX('2) หลักการคำนวน Table'!$C$3:$K$3)
  )
)</f>
        <v>0.9</v>
      </c>
      <c r="AY67" s="298">
        <f>IFERROR(
  _xlfn.XLOOKUP(AM67,'2) หลักการคำนวน Table'!$C$3:$K$3,'2) หลักการคำนวน Table'!$C$3:$K$3,,1),
  IF(AM67&lt;MIN('2) หลักการคำนวน Table'!$C$3:$K$3),
     MIN('2) หลักการคำนวน Table'!$C$3:$K$3),
     MAX('2) หลักการคำนวน Table'!$C$3:$K$3)
  )
)</f>
        <v>0.9</v>
      </c>
      <c r="AZ67" s="299" t="e" cm="1">
        <f t="array" ref="AZ67">ROUND((_xlfn.XLOOKUP($C67,'2) หลักการคำนวน Table'!$A$4:$A$36,
_xlfn.XLOOKUP(AN67,'2)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A67" s="299" t="e" cm="1">
        <f t="array" ref="BA67">ROUND((_xlfn.XLOOKUP($C67,'2) หลักการคำนวน Table'!$A$4:$A$36,
_xlfn.XLOOKUP(AO67,'2)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B67" s="299" t="e" cm="1">
        <f t="array" ref="BB67">ROUND((_xlfn.XLOOKUP($C67,'2) หลักการคำนวน Table'!$A$4:$A$36,
_xlfn.XLOOKUP(AP67,'2)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C67" s="299" t="e" cm="1">
        <f t="array" ref="BC67">ROUND((_xlfn.XLOOKUP($C67,'2) หลักการคำนวน Table'!$A$4:$A$36,
_xlfn.XLOOKUP(AQ67,'2)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D67" s="299" t="e" cm="1">
        <f t="array" ref="BD67">ROUND((_xlfn.XLOOKUP($C67,'2) หลักการคำนวน Table'!$A$4:$A$36,
_xlfn.XLOOKUP(AR67,'2)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E67" s="299" t="e" cm="1">
        <f t="array" ref="BE67">ROUND((_xlfn.XLOOKUP($C67,'2) หลักการคำนวน Table'!$A$4:$A$36,
_xlfn.XLOOKUP(AS67,'2)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F67" s="299" t="e" cm="1">
        <f t="array" ref="BF67">ROUND((_xlfn.XLOOKUP($C67,'2) หลักการคำนวน Table'!$A$4:$A$36,
_xlfn.XLOOKUP(AT67,'2)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G67" s="299" t="e" cm="1">
        <f t="array" ref="BG67">ROUND((_xlfn.XLOOKUP($C67,'2) หลักการคำนวน Table'!$A$4:$A$36,
_xlfn.XLOOKUP(AU67,'2)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H67" s="299" t="e" cm="1">
        <f t="array" ref="BH67">ROUND((_xlfn.XLOOKUP($C67,'2) หลักการคำนวน Table'!$A$4:$A$36,
_xlfn.XLOOKUP(AV67,'2)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I67" s="299" t="e" cm="1">
        <f t="array" ref="BI67">ROUND((_xlfn.XLOOKUP($C67,'2) หลักการคำนวน Table'!$A$4:$A$36,
_xlfn.XLOOKUP(AW67,'2)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J67" s="299" t="e" cm="1">
        <f t="array" ref="BJ67">ROUND((_xlfn.XLOOKUP($C67,'2) หลักการคำนวน Table'!$A$4:$A$36,
_xlfn.XLOOKUP(AX67,'2)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K67" s="299" t="e" cm="1">
        <f t="array" ref="BK67">ROUND((_xlfn.XLOOKUP($C67,'2) หลักการคำนวน Table'!$A$4:$A$36,
_xlfn.XLOOKUP(AY67,'2) หลักการคำนวน Table'!$C$3:$K$3,'2) หลักการคำนวน Table'!$C$4:$K$36,,-1)))*(_xlfn.XLOOKUP($C67,'2) หลักการคำนวน Table'!$A$4:$A$36, _xlfn.XLOOKUP($B67,'2) หลักการคำนวน Table'!$L$3:$Z$3,'2) หลักการคำนวน Table'!$L$4:$Z$36))),0)</f>
        <v>#N/A</v>
      </c>
      <c r="BM67" s="295">
        <v>222218</v>
      </c>
      <c r="BN67" s="300">
        <v>278</v>
      </c>
    </row>
    <row r="68" spans="1:66" ht="14.7" customHeight="1" x14ac:dyDescent="0.25">
      <c r="A68" s="126" t="e">
        <f>VLOOKUP(C68,ASTBase!E:S,13,FALSE)</f>
        <v>#N/A</v>
      </c>
      <c r="B68" s="126" t="s">
        <v>409</v>
      </c>
      <c r="C68" s="126">
        <v>5490000721</v>
      </c>
      <c r="D68" s="127">
        <v>44.36</v>
      </c>
      <c r="E68" s="127">
        <v>57.2</v>
      </c>
      <c r="F68" s="127">
        <v>36.159999999999997</v>
      </c>
      <c r="G68" s="127">
        <v>64.52000000000001</v>
      </c>
      <c r="H68" s="127">
        <v>26.96</v>
      </c>
      <c r="I68" s="127">
        <v>52</v>
      </c>
      <c r="J68" s="127">
        <v>47.68</v>
      </c>
      <c r="K68" s="127">
        <v>25.08</v>
      </c>
      <c r="L68" s="127">
        <v>61.44</v>
      </c>
      <c r="M68" s="127">
        <v>53</v>
      </c>
      <c r="N68" s="127">
        <v>50.120000000000005</v>
      </c>
      <c r="O68" s="127">
        <v>31.32</v>
      </c>
      <c r="P68" s="126">
        <v>24.48</v>
      </c>
      <c r="AB68" s="297">
        <f>IFERROR(IF(VLOOKUP($B68,Shortage!$A:$M,AB$2,FALSE)="Shortage",1,IFERROR(ROUND(P68/D68,4),0)),IFERROR(ROUND(P68/D68,4),0))</f>
        <v>0.55179999999999996</v>
      </c>
      <c r="AC68" s="297">
        <f>IFERROR(IF(VLOOKUP($B68,Shortage!$A:$M,AC$2,FALSE)="Shortage",1,IFERROR(ROUND(Q68/E68,4),0)),IFERROR(ROUND(Q68/E68,4),0))</f>
        <v>0</v>
      </c>
      <c r="AD68" s="297">
        <f>IFERROR(IF(VLOOKUP($B68,Shortage!$A:$M,AD$2,FALSE)="Shortage",1,IFERROR(ROUND(R68/F68,4),0)),IFERROR(ROUND(R68/F68,4),0))</f>
        <v>0</v>
      </c>
      <c r="AE68" s="297">
        <f>IFERROR(IF(VLOOKUP($B68,Shortage!$A:$M,AE$2,FALSE)="Shortage",1,IFERROR(ROUND(S68/G68,4),0)),IFERROR(ROUND(S68/G68,4),0))</f>
        <v>0</v>
      </c>
      <c r="AF68" s="297">
        <f>IFERROR(IF(VLOOKUP($B68,Shortage!$A:$M,AF$2,FALSE)="Shortage",1,IFERROR(ROUND(T68/H68,4),0)),IFERROR(ROUND(T68/H68,4),0))</f>
        <v>0</v>
      </c>
      <c r="AG68" s="297">
        <f>IFERROR(IF(VLOOKUP($B68,Shortage!$A:$M,AG$2,FALSE)="Shortage",1,IFERROR(ROUND(U68/I68,4),0)),IFERROR(ROUND(U68/I68,4),0))</f>
        <v>0</v>
      </c>
      <c r="AH68" s="297">
        <f>IFERROR(IF(VLOOKUP($B68,Shortage!$A:$M,AH$2,FALSE)="Shortage",1,IFERROR(ROUND(V68/J68,4),0)),IFERROR(ROUND(V68/J68,4),0))</f>
        <v>0</v>
      </c>
      <c r="AI68" s="297">
        <f>IFERROR(IF(VLOOKUP($B68,Shortage!$A:$M,AI$2,FALSE)="Shortage",1,IFERROR(ROUND(W68/K68,4),0)),IFERROR(ROUND(W68/K68,4),0))</f>
        <v>0</v>
      </c>
      <c r="AJ68" s="297">
        <f>IFERROR(IF(VLOOKUP($B68,Shortage!$A:$M,AJ$2,FALSE)="Shortage",1,IFERROR(ROUND(X68/L68,4),0)),IFERROR(ROUND(X68/L68,4),0))</f>
        <v>0</v>
      </c>
      <c r="AK68" s="297">
        <f>IFERROR(IF(VLOOKUP($B68,Shortage!$A:$M,AK$2,FALSE)="Shortage",1,IFERROR(ROUND(Y68/M68,4),0)),IFERROR(ROUND(Y68/M68,4),0))</f>
        <v>0</v>
      </c>
      <c r="AL68" s="297">
        <f>IFERROR(IF(VLOOKUP($B68,Shortage!$A:$M,AL$2,FALSE)="Shortage",1,IFERROR(ROUND(Z68/N68,4),0)),IFERROR(ROUND(Z68/N68,4),0))</f>
        <v>0</v>
      </c>
      <c r="AM68" s="297">
        <f>IFERROR(IF(VLOOKUP($B68,Shortage!$A:$M,AM$2,FALSE)="Shortage",1,IFERROR(ROUND(AA68/O68,4),0)),IFERROR(ROUND(AA68/O68,4),0))</f>
        <v>0</v>
      </c>
      <c r="AN68" s="298">
        <f>IFERROR(_xlfn.XLOOKUP(AB68,'2) หลักการคำนวน Table'!$C$3:$K$3,'2) หลักการคำนวน Table'!$C$3:$K$3,,1),INDEX('2) หลักการคำนวน Table'!$C$3:$K$3,1))</f>
        <v>0.9</v>
      </c>
      <c r="AO68" s="298">
        <f>IFERROR(
  _xlfn.XLOOKUP(AC68,'2) หลักการคำนวน Table'!$C$3:$K$3,'2) หลักการคำนวน Table'!$C$3:$K$3,,1),
  IF(AC68&lt;MIN('2) หลักการคำนวน Table'!$C$3:$K$3),
     MIN('2) หลักการคำนวน Table'!$C$3:$K$3),
     MAX('2) หลักการคำนวน Table'!$C$3:$K$3)
  )
)</f>
        <v>0.9</v>
      </c>
      <c r="AP68" s="298">
        <f>IFERROR(
  _xlfn.XLOOKUP(AD68,'2) หลักการคำนวน Table'!$C$3:$K$3,'2) หลักการคำนวน Table'!$C$3:$K$3,,1),
  IF(AD68&lt;MIN('2) หลักการคำนวน Table'!$C$3:$K$3),
     MIN('2) หลักการคำนวน Table'!$C$3:$K$3),
     MAX('2) หลักการคำนวน Table'!$C$3:$K$3)
  )
)</f>
        <v>0.9</v>
      </c>
      <c r="AQ68" s="298">
        <f>IFERROR(
  _xlfn.XLOOKUP(AE68,'2) หลักการคำนวน Table'!$C$3:$K$3,'2) หลักการคำนวน Table'!$C$3:$K$3,,1),
  IF(AE68&lt;MIN('2) หลักการคำนวน Table'!$C$3:$K$3),
     MIN('2) หลักการคำนวน Table'!$C$3:$K$3),
     MAX('2) หลักการคำนวน Table'!$C$3:$K$3)
  )
)</f>
        <v>0.9</v>
      </c>
      <c r="AR68" s="298">
        <f>IFERROR(
  _xlfn.XLOOKUP(AF68,'2) หลักการคำนวน Table'!$C$3:$K$3,'2) หลักการคำนวน Table'!$C$3:$K$3,,1),
  IF(AF68&lt;MIN('2) หลักการคำนวน Table'!$C$3:$K$3),
     MIN('2) หลักการคำนวน Table'!$C$3:$K$3),
     MAX('2) หลักการคำนวน Table'!$C$3:$K$3)
  )
)</f>
        <v>0.9</v>
      </c>
      <c r="AS68" s="298">
        <f>IFERROR(
  _xlfn.XLOOKUP(AG68,'2) หลักการคำนวน Table'!$C$3:$K$3,'2) หลักการคำนวน Table'!$C$3:$K$3,,1),
  IF(AG68&lt;MIN('2) หลักการคำนวน Table'!$C$3:$K$3),
     MIN('2) หลักการคำนวน Table'!$C$3:$K$3),
     MAX('2) หลักการคำนวน Table'!$C$3:$K$3)
  )
)</f>
        <v>0.9</v>
      </c>
      <c r="AT68" s="298">
        <f>IFERROR(
  _xlfn.XLOOKUP(AH68,'2) หลักการคำนวน Table'!$C$3:$K$3,'2) หลักการคำนวน Table'!$C$3:$K$3,,1),
  IF(AH68&lt;MIN('2) หลักการคำนวน Table'!$C$3:$K$3),
     MIN('2) หลักการคำนวน Table'!$C$3:$K$3),
     MAX('2) หลักการคำนวน Table'!$C$3:$K$3)
  )
)</f>
        <v>0.9</v>
      </c>
      <c r="AU68" s="298">
        <f>IFERROR(
  _xlfn.XLOOKUP(AI68,'2) หลักการคำนวน Table'!$C$3:$K$3,'2) หลักการคำนวน Table'!$C$3:$K$3,,1),
  IF(AI68&lt;MIN('2) หลักการคำนวน Table'!$C$3:$K$3),
     MIN('2) หลักการคำนวน Table'!$C$3:$K$3),
     MAX('2) หลักการคำนวน Table'!$C$3:$K$3)
  )
)</f>
        <v>0.9</v>
      </c>
      <c r="AV68" s="298">
        <f>IFERROR(
  _xlfn.XLOOKUP(AJ68,'2) หลักการคำนวน Table'!$C$3:$K$3,'2) หลักการคำนวน Table'!$C$3:$K$3,,1),
  IF(AJ68&lt;MIN('2) หลักการคำนวน Table'!$C$3:$K$3),
     MIN('2) หลักการคำนวน Table'!$C$3:$K$3),
     MAX('2) หลักการคำนวน Table'!$C$3:$K$3)
  )
)</f>
        <v>0.9</v>
      </c>
      <c r="AW68" s="298">
        <f>IFERROR(
  _xlfn.XLOOKUP(AK68,'2) หลักการคำนวน Table'!$C$3:$K$3,'2) หลักการคำนวน Table'!$C$3:$K$3,,1),
  IF(AK68&lt;MIN('2) หลักการคำนวน Table'!$C$3:$K$3),
     MIN('2) หลักการคำนวน Table'!$C$3:$K$3),
     MAX('2) หลักการคำนวน Table'!$C$3:$K$3)
  )
)</f>
        <v>0.9</v>
      </c>
      <c r="AX68" s="298">
        <f>IFERROR(
  _xlfn.XLOOKUP(AL68,'2) หลักการคำนวน Table'!$C$3:$K$3,'2) หลักการคำนวน Table'!$C$3:$K$3,,1),
  IF(AL68&lt;MIN('2) หลักการคำนวน Table'!$C$3:$K$3),
     MIN('2) หลักการคำนวน Table'!$C$3:$K$3),
     MAX('2) หลักการคำนวน Table'!$C$3:$K$3)
  )
)</f>
        <v>0.9</v>
      </c>
      <c r="AY68" s="298">
        <f>IFERROR(
  _xlfn.XLOOKUP(AM68,'2) หลักการคำนวน Table'!$C$3:$K$3,'2) หลักการคำนวน Table'!$C$3:$K$3,,1),
  IF(AM68&lt;MIN('2) หลักการคำนวน Table'!$C$3:$K$3),
     MIN('2) หลักการคำนวน Table'!$C$3:$K$3),
     MAX('2) หลักการคำนวน Table'!$C$3:$K$3)
  )
)</f>
        <v>0.9</v>
      </c>
      <c r="AZ68" s="299" t="e" cm="1">
        <f t="array" ref="AZ68">ROUND((_xlfn.XLOOKUP($C68,'2) หลักการคำนวน Table'!$A$4:$A$36,
_xlfn.XLOOKUP(AN68,'2)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A68" s="299" t="e" cm="1">
        <f t="array" ref="BA68">ROUND((_xlfn.XLOOKUP($C68,'2) หลักการคำนวน Table'!$A$4:$A$36,
_xlfn.XLOOKUP(AO68,'2)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B68" s="299" t="e" cm="1">
        <f t="array" ref="BB68">ROUND((_xlfn.XLOOKUP($C68,'2) หลักการคำนวน Table'!$A$4:$A$36,
_xlfn.XLOOKUP(AP68,'2)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C68" s="299" t="e" cm="1">
        <f t="array" ref="BC68">ROUND((_xlfn.XLOOKUP($C68,'2) หลักการคำนวน Table'!$A$4:$A$36,
_xlfn.XLOOKUP(AQ68,'2)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D68" s="299" t="e" cm="1">
        <f t="array" ref="BD68">ROUND((_xlfn.XLOOKUP($C68,'2) หลักการคำนวน Table'!$A$4:$A$36,
_xlfn.XLOOKUP(AR68,'2)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E68" s="299" t="e" cm="1">
        <f t="array" ref="BE68">ROUND((_xlfn.XLOOKUP($C68,'2) หลักการคำนวน Table'!$A$4:$A$36,
_xlfn.XLOOKUP(AS68,'2)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F68" s="299" t="e" cm="1">
        <f t="array" ref="BF68">ROUND((_xlfn.XLOOKUP($C68,'2) หลักการคำนวน Table'!$A$4:$A$36,
_xlfn.XLOOKUP(AT68,'2)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G68" s="299" t="e" cm="1">
        <f t="array" ref="BG68">ROUND((_xlfn.XLOOKUP($C68,'2) หลักการคำนวน Table'!$A$4:$A$36,
_xlfn.XLOOKUP(AU68,'2)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H68" s="299" t="e" cm="1">
        <f t="array" ref="BH68">ROUND((_xlfn.XLOOKUP($C68,'2) หลักการคำนวน Table'!$A$4:$A$36,
_xlfn.XLOOKUP(AV68,'2)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I68" s="299" t="e" cm="1">
        <f t="array" ref="BI68">ROUND((_xlfn.XLOOKUP($C68,'2) หลักการคำนวน Table'!$A$4:$A$36,
_xlfn.XLOOKUP(AW68,'2)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J68" s="299" t="e" cm="1">
        <f t="array" ref="BJ68">ROUND((_xlfn.XLOOKUP($C68,'2) หลักการคำนวน Table'!$A$4:$A$36,
_xlfn.XLOOKUP(AX68,'2)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K68" s="299" t="e" cm="1">
        <f t="array" ref="BK68">ROUND((_xlfn.XLOOKUP($C68,'2) หลักการคำนวน Table'!$A$4:$A$36,
_xlfn.XLOOKUP(AY68,'2) หลักการคำนวน Table'!$C$3:$K$3,'2) หลักการคำนวน Table'!$C$4:$K$36,,-1)))*(_xlfn.XLOOKUP($C68,'2) หลักการคำนวน Table'!$A$4:$A$36, _xlfn.XLOOKUP($B68,'2) หลักการคำนวน Table'!$L$3:$Z$3,'2) หลักการคำนวน Table'!$L$4:$Z$36))),0)</f>
        <v>#N/A</v>
      </c>
      <c r="BM68" s="295">
        <v>222218</v>
      </c>
      <c r="BN68" s="300">
        <v>500</v>
      </c>
    </row>
    <row r="69" spans="1:66" ht="14.7" customHeight="1" x14ac:dyDescent="0.25">
      <c r="A69" s="126" t="e">
        <f>VLOOKUP(C69,ASTBase!E:S,13,FALSE)</f>
        <v>#N/A</v>
      </c>
      <c r="B69" s="126" t="s">
        <v>410</v>
      </c>
      <c r="C69" s="126">
        <v>5490000721</v>
      </c>
      <c r="D69" s="127">
        <v>92</v>
      </c>
      <c r="E69" s="127">
        <v>114.8</v>
      </c>
      <c r="F69" s="127">
        <v>70.58</v>
      </c>
      <c r="G69" s="127">
        <v>88</v>
      </c>
      <c r="H69" s="127">
        <v>80.88</v>
      </c>
      <c r="I69" s="127">
        <v>136</v>
      </c>
      <c r="J69" s="127">
        <v>77</v>
      </c>
      <c r="K69" s="127">
        <v>81</v>
      </c>
      <c r="L69" s="127">
        <v>105</v>
      </c>
      <c r="M69" s="127">
        <v>81</v>
      </c>
      <c r="N69" s="127">
        <v>92.52</v>
      </c>
      <c r="O69" s="127">
        <v>81</v>
      </c>
      <c r="P69" s="126">
        <v>43.5</v>
      </c>
      <c r="AB69" s="297">
        <f>IFERROR(IF(VLOOKUP($B69,Shortage!$A:$M,AB$2,FALSE)="Shortage",1,IFERROR(ROUND(P69/D69,4),0)),IFERROR(ROUND(P69/D69,4),0))</f>
        <v>0.4728</v>
      </c>
      <c r="AC69" s="297">
        <f>IFERROR(IF(VLOOKUP($B69,Shortage!$A:$M,AC$2,FALSE)="Shortage",1,IFERROR(ROUND(Q69/E69,4),0)),IFERROR(ROUND(Q69/E69,4),0))</f>
        <v>0</v>
      </c>
      <c r="AD69" s="297">
        <f>IFERROR(IF(VLOOKUP($B69,Shortage!$A:$M,AD$2,FALSE)="Shortage",1,IFERROR(ROUND(R69/F69,4),0)),IFERROR(ROUND(R69/F69,4),0))</f>
        <v>0</v>
      </c>
      <c r="AE69" s="297">
        <f>IFERROR(IF(VLOOKUP($B69,Shortage!$A:$M,AE$2,FALSE)="Shortage",1,IFERROR(ROUND(S69/G69,4),0)),IFERROR(ROUND(S69/G69,4),0))</f>
        <v>0</v>
      </c>
      <c r="AF69" s="297">
        <f>IFERROR(IF(VLOOKUP($B69,Shortage!$A:$M,AF$2,FALSE)="Shortage",1,IFERROR(ROUND(T69/H69,4),0)),IFERROR(ROUND(T69/H69,4),0))</f>
        <v>0</v>
      </c>
      <c r="AG69" s="297">
        <f>IFERROR(IF(VLOOKUP($B69,Shortage!$A:$M,AG$2,FALSE)="Shortage",1,IFERROR(ROUND(U69/I69,4),0)),IFERROR(ROUND(U69/I69,4),0))</f>
        <v>0</v>
      </c>
      <c r="AH69" s="297">
        <f>IFERROR(IF(VLOOKUP($B69,Shortage!$A:$M,AH$2,FALSE)="Shortage",1,IFERROR(ROUND(V69/J69,4),0)),IFERROR(ROUND(V69/J69,4),0))</f>
        <v>0</v>
      </c>
      <c r="AI69" s="297">
        <f>IFERROR(IF(VLOOKUP($B69,Shortage!$A:$M,AI$2,FALSE)="Shortage",1,IFERROR(ROUND(W69/K69,4),0)),IFERROR(ROUND(W69/K69,4),0))</f>
        <v>0</v>
      </c>
      <c r="AJ69" s="297">
        <f>IFERROR(IF(VLOOKUP($B69,Shortage!$A:$M,AJ$2,FALSE)="Shortage",1,IFERROR(ROUND(X69/L69,4),0)),IFERROR(ROUND(X69/L69,4),0))</f>
        <v>0</v>
      </c>
      <c r="AK69" s="297">
        <f>IFERROR(IF(VLOOKUP($B69,Shortage!$A:$M,AK$2,FALSE)="Shortage",1,IFERROR(ROUND(Y69/M69,4),0)),IFERROR(ROUND(Y69/M69,4),0))</f>
        <v>0</v>
      </c>
      <c r="AL69" s="297">
        <f>IFERROR(IF(VLOOKUP($B69,Shortage!$A:$M,AL$2,FALSE)="Shortage",1,IFERROR(ROUND(Z69/N69,4),0)),IFERROR(ROUND(Z69/N69,4),0))</f>
        <v>0</v>
      </c>
      <c r="AM69" s="297">
        <f>IFERROR(IF(VLOOKUP($B69,Shortage!$A:$M,AM$2,FALSE)="Shortage",1,IFERROR(ROUND(AA69/O69,4),0)),IFERROR(ROUND(AA69/O69,4),0))</f>
        <v>0</v>
      </c>
      <c r="AN69" s="298">
        <f>IFERROR(_xlfn.XLOOKUP(AB69,'2) หลักการคำนวน Table'!$C$3:$K$3,'2) หลักการคำนวน Table'!$C$3:$K$3,,1),INDEX('2) หลักการคำนวน Table'!$C$3:$K$3,1))</f>
        <v>0.9</v>
      </c>
      <c r="AO69" s="298">
        <f>IFERROR(
  _xlfn.XLOOKUP(AC69,'2) หลักการคำนวน Table'!$C$3:$K$3,'2) หลักการคำนวน Table'!$C$3:$K$3,,1),
  IF(AC69&lt;MIN('2) หลักการคำนวน Table'!$C$3:$K$3),
     MIN('2) หลักการคำนวน Table'!$C$3:$K$3),
     MAX('2) หลักการคำนวน Table'!$C$3:$K$3)
  )
)</f>
        <v>0.9</v>
      </c>
      <c r="AP69" s="298">
        <f>IFERROR(
  _xlfn.XLOOKUP(AD69,'2) หลักการคำนวน Table'!$C$3:$K$3,'2) หลักการคำนวน Table'!$C$3:$K$3,,1),
  IF(AD69&lt;MIN('2) หลักการคำนวน Table'!$C$3:$K$3),
     MIN('2) หลักการคำนวน Table'!$C$3:$K$3),
     MAX('2) หลักการคำนวน Table'!$C$3:$K$3)
  )
)</f>
        <v>0.9</v>
      </c>
      <c r="AQ69" s="298">
        <f>IFERROR(
  _xlfn.XLOOKUP(AE69,'2) หลักการคำนวน Table'!$C$3:$K$3,'2) หลักการคำนวน Table'!$C$3:$K$3,,1),
  IF(AE69&lt;MIN('2) หลักการคำนวน Table'!$C$3:$K$3),
     MIN('2) หลักการคำนวน Table'!$C$3:$K$3),
     MAX('2) หลักการคำนวน Table'!$C$3:$K$3)
  )
)</f>
        <v>0.9</v>
      </c>
      <c r="AR69" s="298">
        <f>IFERROR(
  _xlfn.XLOOKUP(AF69,'2) หลักการคำนวน Table'!$C$3:$K$3,'2) หลักการคำนวน Table'!$C$3:$K$3,,1),
  IF(AF69&lt;MIN('2) หลักการคำนวน Table'!$C$3:$K$3),
     MIN('2) หลักการคำนวน Table'!$C$3:$K$3),
     MAX('2) หลักการคำนวน Table'!$C$3:$K$3)
  )
)</f>
        <v>0.9</v>
      </c>
      <c r="AS69" s="298">
        <f>IFERROR(
  _xlfn.XLOOKUP(AG69,'2) หลักการคำนวน Table'!$C$3:$K$3,'2) หลักการคำนวน Table'!$C$3:$K$3,,1),
  IF(AG69&lt;MIN('2) หลักการคำนวน Table'!$C$3:$K$3),
     MIN('2) หลักการคำนวน Table'!$C$3:$K$3),
     MAX('2) หลักการคำนวน Table'!$C$3:$K$3)
  )
)</f>
        <v>0.9</v>
      </c>
      <c r="AT69" s="298">
        <f>IFERROR(
  _xlfn.XLOOKUP(AH69,'2) หลักการคำนวน Table'!$C$3:$K$3,'2) หลักการคำนวน Table'!$C$3:$K$3,,1),
  IF(AH69&lt;MIN('2) หลักการคำนวน Table'!$C$3:$K$3),
     MIN('2) หลักการคำนวน Table'!$C$3:$K$3),
     MAX('2) หลักการคำนวน Table'!$C$3:$K$3)
  )
)</f>
        <v>0.9</v>
      </c>
      <c r="AU69" s="298">
        <f>IFERROR(
  _xlfn.XLOOKUP(AI69,'2) หลักการคำนวน Table'!$C$3:$K$3,'2) หลักการคำนวน Table'!$C$3:$K$3,,1),
  IF(AI69&lt;MIN('2) หลักการคำนวน Table'!$C$3:$K$3),
     MIN('2) หลักการคำนวน Table'!$C$3:$K$3),
     MAX('2) หลักการคำนวน Table'!$C$3:$K$3)
  )
)</f>
        <v>0.9</v>
      </c>
      <c r="AV69" s="298">
        <f>IFERROR(
  _xlfn.XLOOKUP(AJ69,'2) หลักการคำนวน Table'!$C$3:$K$3,'2) หลักการคำนวน Table'!$C$3:$K$3,,1),
  IF(AJ69&lt;MIN('2) หลักการคำนวน Table'!$C$3:$K$3),
     MIN('2) หลักการคำนวน Table'!$C$3:$K$3),
     MAX('2) หลักการคำนวน Table'!$C$3:$K$3)
  )
)</f>
        <v>0.9</v>
      </c>
      <c r="AW69" s="298">
        <f>IFERROR(
  _xlfn.XLOOKUP(AK69,'2) หลักการคำนวน Table'!$C$3:$K$3,'2) หลักการคำนวน Table'!$C$3:$K$3,,1),
  IF(AK69&lt;MIN('2) หลักการคำนวน Table'!$C$3:$K$3),
     MIN('2) หลักการคำนวน Table'!$C$3:$K$3),
     MAX('2) หลักการคำนวน Table'!$C$3:$K$3)
  )
)</f>
        <v>0.9</v>
      </c>
      <c r="AX69" s="298">
        <f>IFERROR(
  _xlfn.XLOOKUP(AL69,'2) หลักการคำนวน Table'!$C$3:$K$3,'2) หลักการคำนวน Table'!$C$3:$K$3,,1),
  IF(AL69&lt;MIN('2) หลักการคำนวน Table'!$C$3:$K$3),
     MIN('2) หลักการคำนวน Table'!$C$3:$K$3),
     MAX('2) หลักการคำนวน Table'!$C$3:$K$3)
  )
)</f>
        <v>0.9</v>
      </c>
      <c r="AY69" s="298">
        <f>IFERROR(
  _xlfn.XLOOKUP(AM69,'2) หลักการคำนวน Table'!$C$3:$K$3,'2) หลักการคำนวน Table'!$C$3:$K$3,,1),
  IF(AM69&lt;MIN('2) หลักการคำนวน Table'!$C$3:$K$3),
     MIN('2) หลักการคำนวน Table'!$C$3:$K$3),
     MAX('2) หลักการคำนวน Table'!$C$3:$K$3)
  )
)</f>
        <v>0.9</v>
      </c>
      <c r="AZ69" s="299" t="e" cm="1">
        <f t="array" ref="AZ69">ROUND((_xlfn.XLOOKUP($C69,'2) หลักการคำนวน Table'!$A$4:$A$36,
_xlfn.XLOOKUP(AN69,'2)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A69" s="299" t="e" cm="1">
        <f t="array" ref="BA69">ROUND((_xlfn.XLOOKUP($C69,'2) หลักการคำนวน Table'!$A$4:$A$36,
_xlfn.XLOOKUP(AO69,'2)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B69" s="299" t="e" cm="1">
        <f t="array" ref="BB69">ROUND((_xlfn.XLOOKUP($C69,'2) หลักการคำนวน Table'!$A$4:$A$36,
_xlfn.XLOOKUP(AP69,'2)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C69" s="299" t="e" cm="1">
        <f t="array" ref="BC69">ROUND((_xlfn.XLOOKUP($C69,'2) หลักการคำนวน Table'!$A$4:$A$36,
_xlfn.XLOOKUP(AQ69,'2)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D69" s="299" t="e" cm="1">
        <f t="array" ref="BD69">ROUND((_xlfn.XLOOKUP($C69,'2) หลักการคำนวน Table'!$A$4:$A$36,
_xlfn.XLOOKUP(AR69,'2)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E69" s="299" t="e" cm="1">
        <f t="array" ref="BE69">ROUND((_xlfn.XLOOKUP($C69,'2) หลักการคำนวน Table'!$A$4:$A$36,
_xlfn.XLOOKUP(AS69,'2)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F69" s="299" t="e" cm="1">
        <f t="array" ref="BF69">ROUND((_xlfn.XLOOKUP($C69,'2) หลักการคำนวน Table'!$A$4:$A$36,
_xlfn.XLOOKUP(AT69,'2)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G69" s="299" t="e" cm="1">
        <f t="array" ref="BG69">ROUND((_xlfn.XLOOKUP($C69,'2) หลักการคำนวน Table'!$A$4:$A$36,
_xlfn.XLOOKUP(AU69,'2)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H69" s="299" t="e" cm="1">
        <f t="array" ref="BH69">ROUND((_xlfn.XLOOKUP($C69,'2) หลักการคำนวน Table'!$A$4:$A$36,
_xlfn.XLOOKUP(AV69,'2)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I69" s="299" t="e" cm="1">
        <f t="array" ref="BI69">ROUND((_xlfn.XLOOKUP($C69,'2) หลักการคำนวน Table'!$A$4:$A$36,
_xlfn.XLOOKUP(AW69,'2)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J69" s="299" t="e" cm="1">
        <f t="array" ref="BJ69">ROUND((_xlfn.XLOOKUP($C69,'2) หลักการคำนวน Table'!$A$4:$A$36,
_xlfn.XLOOKUP(AX69,'2)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K69" s="299" t="e" cm="1">
        <f t="array" ref="BK69">ROUND((_xlfn.XLOOKUP($C69,'2) หลักการคำนวน Table'!$A$4:$A$36,
_xlfn.XLOOKUP(AY69,'2) หลักการคำนวน Table'!$C$3:$K$3,'2) หลักการคำนวน Table'!$C$4:$K$36,,-1)))*(_xlfn.XLOOKUP($C69,'2) หลักการคำนวน Table'!$A$4:$A$36, _xlfn.XLOOKUP($B69,'2) หลักการคำนวน Table'!$L$3:$Z$3,'2) หลักการคำนวน Table'!$L$4:$Z$36))),0)</f>
        <v>#N/A</v>
      </c>
      <c r="BM69" s="295">
        <v>222218</v>
      </c>
      <c r="BN69" s="300">
        <v>500</v>
      </c>
    </row>
    <row r="70" spans="1:66" ht="14.7" customHeight="1" x14ac:dyDescent="0.25">
      <c r="A70" s="126" t="e">
        <f>VLOOKUP(C70,ASTBase!E:S,13,FALSE)</f>
        <v>#N/A</v>
      </c>
      <c r="B70" s="126" t="s">
        <v>415</v>
      </c>
      <c r="C70" s="126">
        <v>5490000721</v>
      </c>
      <c r="D70" s="127">
        <v>8</v>
      </c>
      <c r="E70" s="127">
        <v>10</v>
      </c>
      <c r="F70" s="127">
        <v>18</v>
      </c>
      <c r="G70" s="127">
        <v>8</v>
      </c>
      <c r="H70" s="127">
        <v>13</v>
      </c>
      <c r="I70" s="127">
        <v>26</v>
      </c>
      <c r="J70" s="127">
        <v>21.799999999999997</v>
      </c>
      <c r="K70" s="127">
        <v>16.799999999999997</v>
      </c>
      <c r="L70" s="127">
        <v>37</v>
      </c>
      <c r="M70" s="127">
        <v>9</v>
      </c>
      <c r="N70" s="127">
        <v>30</v>
      </c>
      <c r="O70" s="127">
        <v>10</v>
      </c>
      <c r="P70" s="126">
        <v>10.799999999999999</v>
      </c>
      <c r="AB70" s="297">
        <f>IFERROR(IF(VLOOKUP($B70,Shortage!$A:$M,AB$2,FALSE)="Shortage",1,IFERROR(ROUND(P70/D70,4),0)),IFERROR(ROUND(P70/D70,4),0))</f>
        <v>1.35</v>
      </c>
      <c r="AC70" s="297">
        <f>IFERROR(IF(VLOOKUP($B70,Shortage!$A:$M,AC$2,FALSE)="Shortage",1,IFERROR(ROUND(Q70/E70,4),0)),IFERROR(ROUND(Q70/E70,4),0))</f>
        <v>0</v>
      </c>
      <c r="AD70" s="297">
        <f>IFERROR(IF(VLOOKUP($B70,Shortage!$A:$M,AD$2,FALSE)="Shortage",1,IFERROR(ROUND(R70/F70,4),0)),IFERROR(ROUND(R70/F70,4),0))</f>
        <v>0</v>
      </c>
      <c r="AE70" s="297">
        <f>IFERROR(IF(VLOOKUP($B70,Shortage!$A:$M,AE$2,FALSE)="Shortage",1,IFERROR(ROUND(S70/G70,4),0)),IFERROR(ROUND(S70/G70,4),0))</f>
        <v>0</v>
      </c>
      <c r="AF70" s="297">
        <f>IFERROR(IF(VLOOKUP($B70,Shortage!$A:$M,AF$2,FALSE)="Shortage",1,IFERROR(ROUND(T70/H70,4),0)),IFERROR(ROUND(T70/H70,4),0))</f>
        <v>0</v>
      </c>
      <c r="AG70" s="297">
        <f>IFERROR(IF(VLOOKUP($B70,Shortage!$A:$M,AG$2,FALSE)="Shortage",1,IFERROR(ROUND(U70/I70,4),0)),IFERROR(ROUND(U70/I70,4),0))</f>
        <v>0</v>
      </c>
      <c r="AH70" s="297">
        <f>IFERROR(IF(VLOOKUP($B70,Shortage!$A:$M,AH$2,FALSE)="Shortage",1,IFERROR(ROUND(V70/J70,4),0)),IFERROR(ROUND(V70/J70,4),0))</f>
        <v>0</v>
      </c>
      <c r="AI70" s="297">
        <f>IFERROR(IF(VLOOKUP($B70,Shortage!$A:$M,AI$2,FALSE)="Shortage",1,IFERROR(ROUND(W70/K70,4),0)),IFERROR(ROUND(W70/K70,4),0))</f>
        <v>0</v>
      </c>
      <c r="AJ70" s="297">
        <f>IFERROR(IF(VLOOKUP($B70,Shortage!$A:$M,AJ$2,FALSE)="Shortage",1,IFERROR(ROUND(X70/L70,4),0)),IFERROR(ROUND(X70/L70,4),0))</f>
        <v>0</v>
      </c>
      <c r="AK70" s="297">
        <f>IFERROR(IF(VLOOKUP($B70,Shortage!$A:$M,AK$2,FALSE)="Shortage",1,IFERROR(ROUND(Y70/M70,4),0)),IFERROR(ROUND(Y70/M70,4),0))</f>
        <v>0</v>
      </c>
      <c r="AL70" s="297">
        <f>IFERROR(IF(VLOOKUP($B70,Shortage!$A:$M,AL$2,FALSE)="Shortage",1,IFERROR(ROUND(Z70/N70,4),0)),IFERROR(ROUND(Z70/N70,4),0))</f>
        <v>0</v>
      </c>
      <c r="AM70" s="297">
        <f>IFERROR(IF(VLOOKUP($B70,Shortage!$A:$M,AM$2,FALSE)="Shortage",1,IFERROR(ROUND(AA70/O70,4),0)),IFERROR(ROUND(AA70/O70,4),0))</f>
        <v>0</v>
      </c>
      <c r="AN70" s="298">
        <f>IFERROR(_xlfn.XLOOKUP(AB70,'2) หลักการคำนวน Table'!$C$3:$K$3,'2) หลักการคำนวน Table'!$C$3:$K$3,,1),INDEX('2) หลักการคำนวน Table'!$C$3:$K$3,1))</f>
        <v>20</v>
      </c>
      <c r="AO70" s="298">
        <f>IFERROR(
  _xlfn.XLOOKUP(AC70,'2) หลักการคำนวน Table'!$C$3:$K$3,'2) หลักการคำนวน Table'!$C$3:$K$3,,1),
  IF(AC70&lt;MIN('2) หลักการคำนวน Table'!$C$3:$K$3),
     MIN('2) หลักการคำนวน Table'!$C$3:$K$3),
     MAX('2) หลักการคำนวน Table'!$C$3:$K$3)
  )
)</f>
        <v>0.9</v>
      </c>
      <c r="AP70" s="298">
        <f>IFERROR(
  _xlfn.XLOOKUP(AD70,'2) หลักการคำนวน Table'!$C$3:$K$3,'2) หลักการคำนวน Table'!$C$3:$K$3,,1),
  IF(AD70&lt;MIN('2) หลักการคำนวน Table'!$C$3:$K$3),
     MIN('2) หลักการคำนวน Table'!$C$3:$K$3),
     MAX('2) หลักการคำนวน Table'!$C$3:$K$3)
  )
)</f>
        <v>0.9</v>
      </c>
      <c r="AQ70" s="298">
        <f>IFERROR(
  _xlfn.XLOOKUP(AE70,'2) หลักการคำนวน Table'!$C$3:$K$3,'2) หลักการคำนวน Table'!$C$3:$K$3,,1),
  IF(AE70&lt;MIN('2) หลักการคำนวน Table'!$C$3:$K$3),
     MIN('2) หลักการคำนวน Table'!$C$3:$K$3),
     MAX('2) หลักการคำนวน Table'!$C$3:$K$3)
  )
)</f>
        <v>0.9</v>
      </c>
      <c r="AR70" s="298">
        <f>IFERROR(
  _xlfn.XLOOKUP(AF70,'2) หลักการคำนวน Table'!$C$3:$K$3,'2) หลักการคำนวน Table'!$C$3:$K$3,,1),
  IF(AF70&lt;MIN('2) หลักการคำนวน Table'!$C$3:$K$3),
     MIN('2) หลักการคำนวน Table'!$C$3:$K$3),
     MAX('2) หลักการคำนวน Table'!$C$3:$K$3)
  )
)</f>
        <v>0.9</v>
      </c>
      <c r="AS70" s="298">
        <f>IFERROR(
  _xlfn.XLOOKUP(AG70,'2) หลักการคำนวน Table'!$C$3:$K$3,'2) หลักการคำนวน Table'!$C$3:$K$3,,1),
  IF(AG70&lt;MIN('2) หลักการคำนวน Table'!$C$3:$K$3),
     MIN('2) หลักการคำนวน Table'!$C$3:$K$3),
     MAX('2) หลักการคำนวน Table'!$C$3:$K$3)
  )
)</f>
        <v>0.9</v>
      </c>
      <c r="AT70" s="298">
        <f>IFERROR(
  _xlfn.XLOOKUP(AH70,'2) หลักการคำนวน Table'!$C$3:$K$3,'2) หลักการคำนวน Table'!$C$3:$K$3,,1),
  IF(AH70&lt;MIN('2) หลักการคำนวน Table'!$C$3:$K$3),
     MIN('2) หลักการคำนวน Table'!$C$3:$K$3),
     MAX('2) หลักการคำนวน Table'!$C$3:$K$3)
  )
)</f>
        <v>0.9</v>
      </c>
      <c r="AU70" s="298">
        <f>IFERROR(
  _xlfn.XLOOKUP(AI70,'2) หลักการคำนวน Table'!$C$3:$K$3,'2) หลักการคำนวน Table'!$C$3:$K$3,,1),
  IF(AI70&lt;MIN('2) หลักการคำนวน Table'!$C$3:$K$3),
     MIN('2) หลักการคำนวน Table'!$C$3:$K$3),
     MAX('2) หลักการคำนวน Table'!$C$3:$K$3)
  )
)</f>
        <v>0.9</v>
      </c>
      <c r="AV70" s="298">
        <f>IFERROR(
  _xlfn.XLOOKUP(AJ70,'2) หลักการคำนวน Table'!$C$3:$K$3,'2) หลักการคำนวน Table'!$C$3:$K$3,,1),
  IF(AJ70&lt;MIN('2) หลักการคำนวน Table'!$C$3:$K$3),
     MIN('2) หลักการคำนวน Table'!$C$3:$K$3),
     MAX('2) หลักการคำนวน Table'!$C$3:$K$3)
  )
)</f>
        <v>0.9</v>
      </c>
      <c r="AW70" s="298">
        <f>IFERROR(
  _xlfn.XLOOKUP(AK70,'2) หลักการคำนวน Table'!$C$3:$K$3,'2) หลักการคำนวน Table'!$C$3:$K$3,,1),
  IF(AK70&lt;MIN('2) หลักการคำนวน Table'!$C$3:$K$3),
     MIN('2) หลักการคำนวน Table'!$C$3:$K$3),
     MAX('2) หลักการคำนวน Table'!$C$3:$K$3)
  )
)</f>
        <v>0.9</v>
      </c>
      <c r="AX70" s="298">
        <f>IFERROR(
  _xlfn.XLOOKUP(AL70,'2) หลักการคำนวน Table'!$C$3:$K$3,'2) หลักการคำนวน Table'!$C$3:$K$3,,1),
  IF(AL70&lt;MIN('2) หลักการคำนวน Table'!$C$3:$K$3),
     MIN('2) หลักการคำนวน Table'!$C$3:$K$3),
     MAX('2) หลักการคำนวน Table'!$C$3:$K$3)
  )
)</f>
        <v>0.9</v>
      </c>
      <c r="AY70" s="298">
        <f>IFERROR(
  _xlfn.XLOOKUP(AM70,'2) หลักการคำนวน Table'!$C$3:$K$3,'2) หลักการคำนวน Table'!$C$3:$K$3,,1),
  IF(AM70&lt;MIN('2) หลักการคำนวน Table'!$C$3:$K$3),
     MIN('2) หลักการคำนวน Table'!$C$3:$K$3),
     MAX('2) หลักการคำนวน Table'!$C$3:$K$3)
  )
)</f>
        <v>0.9</v>
      </c>
      <c r="AZ70" s="299" t="e" cm="1">
        <f t="array" ref="AZ70">ROUND((_xlfn.XLOOKUP($C70,'2) หลักการคำนวน Table'!$A$4:$A$36,
_xlfn.XLOOKUP(AN70,'2)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A70" s="299" t="e" cm="1">
        <f t="array" ref="BA70">ROUND((_xlfn.XLOOKUP($C70,'2) หลักการคำนวน Table'!$A$4:$A$36,
_xlfn.XLOOKUP(AO70,'2)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B70" s="299" t="e" cm="1">
        <f t="array" ref="BB70">ROUND((_xlfn.XLOOKUP($C70,'2) หลักการคำนวน Table'!$A$4:$A$36,
_xlfn.XLOOKUP(AP70,'2)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C70" s="299" t="e" cm="1">
        <f t="array" ref="BC70">ROUND((_xlfn.XLOOKUP($C70,'2) หลักการคำนวน Table'!$A$4:$A$36,
_xlfn.XLOOKUP(AQ70,'2)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D70" s="299" t="e" cm="1">
        <f t="array" ref="BD70">ROUND((_xlfn.XLOOKUP($C70,'2) หลักการคำนวน Table'!$A$4:$A$36,
_xlfn.XLOOKUP(AR70,'2)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E70" s="299" t="e" cm="1">
        <f t="array" ref="BE70">ROUND((_xlfn.XLOOKUP($C70,'2) หลักการคำนวน Table'!$A$4:$A$36,
_xlfn.XLOOKUP(AS70,'2)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F70" s="299" t="e" cm="1">
        <f t="array" ref="BF70">ROUND((_xlfn.XLOOKUP($C70,'2) หลักการคำนวน Table'!$A$4:$A$36,
_xlfn.XLOOKUP(AT70,'2)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G70" s="299" t="e" cm="1">
        <f t="array" ref="BG70">ROUND((_xlfn.XLOOKUP($C70,'2) หลักการคำนวน Table'!$A$4:$A$36,
_xlfn.XLOOKUP(AU70,'2)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H70" s="299" t="e" cm="1">
        <f t="array" ref="BH70">ROUND((_xlfn.XLOOKUP($C70,'2) หลักการคำนวน Table'!$A$4:$A$36,
_xlfn.XLOOKUP(AV70,'2)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I70" s="299" t="e" cm="1">
        <f t="array" ref="BI70">ROUND((_xlfn.XLOOKUP($C70,'2) หลักการคำนวน Table'!$A$4:$A$36,
_xlfn.XLOOKUP(AW70,'2)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J70" s="299" t="e" cm="1">
        <f t="array" ref="BJ70">ROUND((_xlfn.XLOOKUP($C70,'2) หลักการคำนวน Table'!$A$4:$A$36,
_xlfn.XLOOKUP(AX70,'2)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K70" s="299" t="e" cm="1">
        <f t="array" ref="BK70">ROUND((_xlfn.XLOOKUP($C70,'2) หลักการคำนวน Table'!$A$4:$A$36,
_xlfn.XLOOKUP(AY70,'2) หลักการคำนวน Table'!$C$3:$K$3,'2) หลักการคำนวน Table'!$C$4:$K$36,,-1)))*(_xlfn.XLOOKUP($C70,'2) หลักการคำนวน Table'!$A$4:$A$36, _xlfn.XLOOKUP($B70,'2) หลักการคำนวน Table'!$L$3:$Z$3,'2) หลักการคำนวน Table'!$L$4:$Z$36))),0)</f>
        <v>#N/A</v>
      </c>
      <c r="BM70" s="295">
        <v>222218</v>
      </c>
      <c r="BN70" s="300">
        <v>289</v>
      </c>
    </row>
    <row r="71" spans="1:66" ht="14.7" customHeight="1" x14ac:dyDescent="0.25">
      <c r="A71" s="126" t="e">
        <f>VLOOKUP(C71,ASTBase!E:S,13,FALSE)</f>
        <v>#N/A</v>
      </c>
      <c r="B71" s="126" t="s">
        <v>414</v>
      </c>
      <c r="C71" s="126">
        <v>5490000721</v>
      </c>
      <c r="D71" s="127">
        <v>93</v>
      </c>
      <c r="E71" s="127">
        <v>170.6</v>
      </c>
      <c r="F71" s="127">
        <v>118</v>
      </c>
      <c r="G71" s="127">
        <v>123.6</v>
      </c>
      <c r="H71" s="127">
        <v>175.80000000000004</v>
      </c>
      <c r="I71" s="127">
        <v>132</v>
      </c>
      <c r="J71" s="127">
        <v>167.79999999999998</v>
      </c>
      <c r="K71" s="127">
        <v>152.20000000000002</v>
      </c>
      <c r="L71" s="127">
        <v>112.6</v>
      </c>
      <c r="M71" s="127">
        <v>139.6</v>
      </c>
      <c r="N71" s="127">
        <v>65.800000000000011</v>
      </c>
      <c r="O71" s="127">
        <v>149.4</v>
      </c>
      <c r="P71" s="126">
        <v>100.80000000000001</v>
      </c>
      <c r="AB71" s="297">
        <f>IFERROR(IF(VLOOKUP($B71,Shortage!$A:$M,AB$2,FALSE)="Shortage",1,IFERROR(ROUND(P71/D71,4),0)),IFERROR(ROUND(P71/D71,4),0))</f>
        <v>1.0839000000000001</v>
      </c>
      <c r="AC71" s="297">
        <f>IFERROR(IF(VLOOKUP($B71,Shortage!$A:$M,AC$2,FALSE)="Shortage",1,IFERROR(ROUND(Q71/E71,4),0)),IFERROR(ROUND(Q71/E71,4),0))</f>
        <v>0</v>
      </c>
      <c r="AD71" s="297">
        <f>IFERROR(IF(VLOOKUP($B71,Shortage!$A:$M,AD$2,FALSE)="Shortage",1,IFERROR(ROUND(R71/F71,4),0)),IFERROR(ROUND(R71/F71,4),0))</f>
        <v>0</v>
      </c>
      <c r="AE71" s="297">
        <f>IFERROR(IF(VLOOKUP($B71,Shortage!$A:$M,AE$2,FALSE)="Shortage",1,IFERROR(ROUND(S71/G71,4),0)),IFERROR(ROUND(S71/G71,4),0))</f>
        <v>0</v>
      </c>
      <c r="AF71" s="297">
        <f>IFERROR(IF(VLOOKUP($B71,Shortage!$A:$M,AF$2,FALSE)="Shortage",1,IFERROR(ROUND(T71/H71,4),0)),IFERROR(ROUND(T71/H71,4),0))</f>
        <v>0</v>
      </c>
      <c r="AG71" s="297">
        <f>IFERROR(IF(VLOOKUP($B71,Shortage!$A:$M,AG$2,FALSE)="Shortage",1,IFERROR(ROUND(U71/I71,4),0)),IFERROR(ROUND(U71/I71,4),0))</f>
        <v>0</v>
      </c>
      <c r="AH71" s="297">
        <f>IFERROR(IF(VLOOKUP($B71,Shortage!$A:$M,AH$2,FALSE)="Shortage",1,IFERROR(ROUND(V71/J71,4),0)),IFERROR(ROUND(V71/J71,4),0))</f>
        <v>0</v>
      </c>
      <c r="AI71" s="297">
        <f>IFERROR(IF(VLOOKUP($B71,Shortage!$A:$M,AI$2,FALSE)="Shortage",1,IFERROR(ROUND(W71/K71,4),0)),IFERROR(ROUND(W71/K71,4),0))</f>
        <v>0</v>
      </c>
      <c r="AJ71" s="297">
        <f>IFERROR(IF(VLOOKUP($B71,Shortage!$A:$M,AJ$2,FALSE)="Shortage",1,IFERROR(ROUND(X71/L71,4),0)),IFERROR(ROUND(X71/L71,4),0))</f>
        <v>0</v>
      </c>
      <c r="AK71" s="297">
        <f>IFERROR(IF(VLOOKUP($B71,Shortage!$A:$M,AK$2,FALSE)="Shortage",1,IFERROR(ROUND(Y71/M71,4),0)),IFERROR(ROUND(Y71/M71,4),0))</f>
        <v>0</v>
      </c>
      <c r="AL71" s="297">
        <f>IFERROR(IF(VLOOKUP($B71,Shortage!$A:$M,AL$2,FALSE)="Shortage",1,IFERROR(ROUND(Z71/N71,4),0)),IFERROR(ROUND(Z71/N71,4),0))</f>
        <v>0</v>
      </c>
      <c r="AM71" s="297">
        <f>IFERROR(IF(VLOOKUP($B71,Shortage!$A:$M,AM$2,FALSE)="Shortage",1,IFERROR(ROUND(AA71/O71,4),0)),IFERROR(ROUND(AA71/O71,4),0))</f>
        <v>0</v>
      </c>
      <c r="AN71" s="298">
        <f>IFERROR(_xlfn.XLOOKUP(AB71,'2) หลักการคำนวน Table'!$C$3:$K$3,'2) หลักการคำนวน Table'!$C$3:$K$3,,1),INDEX('2) หลักการคำนวน Table'!$C$3:$K$3,1))</f>
        <v>1.1000000000000001</v>
      </c>
      <c r="AO71" s="298">
        <f>IFERROR(
  _xlfn.XLOOKUP(AC71,'2) หลักการคำนวน Table'!$C$3:$K$3,'2) หลักการคำนวน Table'!$C$3:$K$3,,1),
  IF(AC71&lt;MIN('2) หลักการคำนวน Table'!$C$3:$K$3),
     MIN('2) หลักการคำนวน Table'!$C$3:$K$3),
     MAX('2) หลักการคำนวน Table'!$C$3:$K$3)
  )
)</f>
        <v>0.9</v>
      </c>
      <c r="AP71" s="298">
        <f>IFERROR(
  _xlfn.XLOOKUP(AD71,'2) หลักการคำนวน Table'!$C$3:$K$3,'2) หลักการคำนวน Table'!$C$3:$K$3,,1),
  IF(AD71&lt;MIN('2) หลักการคำนวน Table'!$C$3:$K$3),
     MIN('2) หลักการคำนวน Table'!$C$3:$K$3),
     MAX('2) หลักการคำนวน Table'!$C$3:$K$3)
  )
)</f>
        <v>0.9</v>
      </c>
      <c r="AQ71" s="298">
        <f>IFERROR(
  _xlfn.XLOOKUP(AE71,'2) หลักการคำนวน Table'!$C$3:$K$3,'2) หลักการคำนวน Table'!$C$3:$K$3,,1),
  IF(AE71&lt;MIN('2) หลักการคำนวน Table'!$C$3:$K$3),
     MIN('2) หลักการคำนวน Table'!$C$3:$K$3),
     MAX('2) หลักการคำนวน Table'!$C$3:$K$3)
  )
)</f>
        <v>0.9</v>
      </c>
      <c r="AR71" s="298">
        <f>IFERROR(
  _xlfn.XLOOKUP(AF71,'2) หลักการคำนวน Table'!$C$3:$K$3,'2) หลักการคำนวน Table'!$C$3:$K$3,,1),
  IF(AF71&lt;MIN('2) หลักการคำนวน Table'!$C$3:$K$3),
     MIN('2) หลักการคำนวน Table'!$C$3:$K$3),
     MAX('2) หลักการคำนวน Table'!$C$3:$K$3)
  )
)</f>
        <v>0.9</v>
      </c>
      <c r="AS71" s="298">
        <f>IFERROR(
  _xlfn.XLOOKUP(AG71,'2) หลักการคำนวน Table'!$C$3:$K$3,'2) หลักการคำนวน Table'!$C$3:$K$3,,1),
  IF(AG71&lt;MIN('2) หลักการคำนวน Table'!$C$3:$K$3),
     MIN('2) หลักการคำนวน Table'!$C$3:$K$3),
     MAX('2) หลักการคำนวน Table'!$C$3:$K$3)
  )
)</f>
        <v>0.9</v>
      </c>
      <c r="AT71" s="298">
        <f>IFERROR(
  _xlfn.XLOOKUP(AH71,'2) หลักการคำนวน Table'!$C$3:$K$3,'2) หลักการคำนวน Table'!$C$3:$K$3,,1),
  IF(AH71&lt;MIN('2) หลักการคำนวน Table'!$C$3:$K$3),
     MIN('2) หลักการคำนวน Table'!$C$3:$K$3),
     MAX('2) หลักการคำนวน Table'!$C$3:$K$3)
  )
)</f>
        <v>0.9</v>
      </c>
      <c r="AU71" s="298">
        <f>IFERROR(
  _xlfn.XLOOKUP(AI71,'2) หลักการคำนวน Table'!$C$3:$K$3,'2) หลักการคำนวน Table'!$C$3:$K$3,,1),
  IF(AI71&lt;MIN('2) หลักการคำนวน Table'!$C$3:$K$3),
     MIN('2) หลักการคำนวน Table'!$C$3:$K$3),
     MAX('2) หลักการคำนวน Table'!$C$3:$K$3)
  )
)</f>
        <v>0.9</v>
      </c>
      <c r="AV71" s="298">
        <f>IFERROR(
  _xlfn.XLOOKUP(AJ71,'2) หลักการคำนวน Table'!$C$3:$K$3,'2) หลักการคำนวน Table'!$C$3:$K$3,,1),
  IF(AJ71&lt;MIN('2) หลักการคำนวน Table'!$C$3:$K$3),
     MIN('2) หลักการคำนวน Table'!$C$3:$K$3),
     MAX('2) หลักการคำนวน Table'!$C$3:$K$3)
  )
)</f>
        <v>0.9</v>
      </c>
      <c r="AW71" s="298">
        <f>IFERROR(
  _xlfn.XLOOKUP(AK71,'2) หลักการคำนวน Table'!$C$3:$K$3,'2) หลักการคำนวน Table'!$C$3:$K$3,,1),
  IF(AK71&lt;MIN('2) หลักการคำนวน Table'!$C$3:$K$3),
     MIN('2) หลักการคำนวน Table'!$C$3:$K$3),
     MAX('2) หลักการคำนวน Table'!$C$3:$K$3)
  )
)</f>
        <v>0.9</v>
      </c>
      <c r="AX71" s="298">
        <f>IFERROR(
  _xlfn.XLOOKUP(AL71,'2) หลักการคำนวน Table'!$C$3:$K$3,'2) หลักการคำนวน Table'!$C$3:$K$3,,1),
  IF(AL71&lt;MIN('2) หลักการคำนวน Table'!$C$3:$K$3),
     MIN('2) หลักการคำนวน Table'!$C$3:$K$3),
     MAX('2) หลักการคำนวน Table'!$C$3:$K$3)
  )
)</f>
        <v>0.9</v>
      </c>
      <c r="AY71" s="298">
        <f>IFERROR(
  _xlfn.XLOOKUP(AM71,'2) หลักการคำนวน Table'!$C$3:$K$3,'2) หลักการคำนวน Table'!$C$3:$K$3,,1),
  IF(AM71&lt;MIN('2) หลักการคำนวน Table'!$C$3:$K$3),
     MIN('2) หลักการคำนวน Table'!$C$3:$K$3),
     MAX('2) หลักการคำนวน Table'!$C$3:$K$3)
  )
)</f>
        <v>0.9</v>
      </c>
      <c r="AZ71" s="299" t="e" cm="1">
        <f t="array" ref="AZ71">ROUND((_xlfn.XLOOKUP($C71,'2) หลักการคำนวน Table'!$A$4:$A$36,
_xlfn.XLOOKUP(AN71,'2)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A71" s="299" t="e" cm="1">
        <f t="array" ref="BA71">ROUND((_xlfn.XLOOKUP($C71,'2) หลักการคำนวน Table'!$A$4:$A$36,
_xlfn.XLOOKUP(AO71,'2)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B71" s="299" t="e" cm="1">
        <f t="array" ref="BB71">ROUND((_xlfn.XLOOKUP($C71,'2) หลักการคำนวน Table'!$A$4:$A$36,
_xlfn.XLOOKUP(AP71,'2)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C71" s="299" t="e" cm="1">
        <f t="array" ref="BC71">ROUND((_xlfn.XLOOKUP($C71,'2) หลักการคำนวน Table'!$A$4:$A$36,
_xlfn.XLOOKUP(AQ71,'2)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D71" s="299" t="e" cm="1">
        <f t="array" ref="BD71">ROUND((_xlfn.XLOOKUP($C71,'2) หลักการคำนวน Table'!$A$4:$A$36,
_xlfn.XLOOKUP(AR71,'2)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E71" s="299" t="e" cm="1">
        <f t="array" ref="BE71">ROUND((_xlfn.XLOOKUP($C71,'2) หลักการคำนวน Table'!$A$4:$A$36,
_xlfn.XLOOKUP(AS71,'2)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F71" s="299" t="e" cm="1">
        <f t="array" ref="BF71">ROUND((_xlfn.XLOOKUP($C71,'2) หลักการคำนวน Table'!$A$4:$A$36,
_xlfn.XLOOKUP(AT71,'2)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G71" s="299" t="e" cm="1">
        <f t="array" ref="BG71">ROUND((_xlfn.XLOOKUP($C71,'2) หลักการคำนวน Table'!$A$4:$A$36,
_xlfn.XLOOKUP(AU71,'2)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H71" s="299" t="e" cm="1">
        <f t="array" ref="BH71">ROUND((_xlfn.XLOOKUP($C71,'2) หลักการคำนวน Table'!$A$4:$A$36,
_xlfn.XLOOKUP(AV71,'2)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I71" s="299" t="e" cm="1">
        <f t="array" ref="BI71">ROUND((_xlfn.XLOOKUP($C71,'2) หลักการคำนวน Table'!$A$4:$A$36,
_xlfn.XLOOKUP(AW71,'2)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J71" s="299" t="e" cm="1">
        <f t="array" ref="BJ71">ROUND((_xlfn.XLOOKUP($C71,'2) หลักการคำนวน Table'!$A$4:$A$36,
_xlfn.XLOOKUP(AX71,'2)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K71" s="299" t="e" cm="1">
        <f t="array" ref="BK71">ROUND((_xlfn.XLOOKUP($C71,'2) หลักการคำนวน Table'!$A$4:$A$36,
_xlfn.XLOOKUP(AY71,'2) หลักการคำนวน Table'!$C$3:$K$3,'2) หลักการคำนวน Table'!$C$4:$K$36,,-1)))*(_xlfn.XLOOKUP($C71,'2) หลักการคำนวน Table'!$A$4:$A$36, _xlfn.XLOOKUP($B71,'2) หลักการคำนวน Table'!$L$3:$Z$3,'2) หลักการคำนวน Table'!$L$4:$Z$36))),0)</f>
        <v>#N/A</v>
      </c>
      <c r="BM71" s="295">
        <v>222218</v>
      </c>
      <c r="BN71" s="300">
        <v>244</v>
      </c>
    </row>
    <row r="72" spans="1:66" ht="14.7" customHeight="1" x14ac:dyDescent="0.25">
      <c r="A72" s="126" t="e">
        <f>VLOOKUP(C72,ASTBase!E:S,13,FALSE)</f>
        <v>#N/A</v>
      </c>
      <c r="B72" s="126" t="s">
        <v>412</v>
      </c>
      <c r="C72" s="126">
        <v>5490000721</v>
      </c>
      <c r="D72" s="127">
        <v>141.99999999950001</v>
      </c>
      <c r="E72" s="127">
        <v>290.81666666464605</v>
      </c>
      <c r="F72" s="127">
        <v>170.99999999914402</v>
      </c>
      <c r="G72" s="127">
        <v>122.43333333280302</v>
      </c>
      <c r="H72" s="127">
        <v>220.86666666543601</v>
      </c>
      <c r="I72" s="127">
        <v>124.499999999528</v>
      </c>
      <c r="J72" s="127">
        <v>249.99999999866003</v>
      </c>
      <c r="K72" s="127">
        <v>264.45555555356304</v>
      </c>
      <c r="L72" s="127">
        <v>299.555555553104</v>
      </c>
      <c r="M72" s="127">
        <v>94</v>
      </c>
      <c r="N72" s="127">
        <v>214.99999999884398</v>
      </c>
      <c r="O72" s="127">
        <v>176.999999998872</v>
      </c>
      <c r="P72" s="126">
        <v>124.99999999861203</v>
      </c>
      <c r="AB72" s="297">
        <f>IFERROR(IF(VLOOKUP($B72,Shortage!$A:$M,AB$2,FALSE)="Shortage",1,IFERROR(ROUND(P72/D72,4),0)),IFERROR(ROUND(P72/D72,4),0))</f>
        <v>1</v>
      </c>
      <c r="AC72" s="297">
        <f>IFERROR(IF(VLOOKUP($B72,Shortage!$A:$M,AC$2,FALSE)="Shortage",1,IFERROR(ROUND(Q72/E72,4),0)),IFERROR(ROUND(Q72/E72,4),0))</f>
        <v>0</v>
      </c>
      <c r="AD72" s="297">
        <f>IFERROR(IF(VLOOKUP($B72,Shortage!$A:$M,AD$2,FALSE)="Shortage",1,IFERROR(ROUND(R72/F72,4),0)),IFERROR(ROUND(R72/F72,4),0))</f>
        <v>0</v>
      </c>
      <c r="AE72" s="297">
        <f>IFERROR(IF(VLOOKUP($B72,Shortage!$A:$M,AE$2,FALSE)="Shortage",1,IFERROR(ROUND(S72/G72,4),0)),IFERROR(ROUND(S72/G72,4),0))</f>
        <v>0</v>
      </c>
      <c r="AF72" s="297">
        <f>IFERROR(IF(VLOOKUP($B72,Shortage!$A:$M,AF$2,FALSE)="Shortage",1,IFERROR(ROUND(T72/H72,4),0)),IFERROR(ROUND(T72/H72,4),0))</f>
        <v>0</v>
      </c>
      <c r="AG72" s="297">
        <f>IFERROR(IF(VLOOKUP($B72,Shortage!$A:$M,AG$2,FALSE)="Shortage",1,IFERROR(ROUND(U72/I72,4),0)),IFERROR(ROUND(U72/I72,4),0))</f>
        <v>0</v>
      </c>
      <c r="AH72" s="297">
        <f>IFERROR(IF(VLOOKUP($B72,Shortage!$A:$M,AH$2,FALSE)="Shortage",1,IFERROR(ROUND(V72/J72,4),0)),IFERROR(ROUND(V72/J72,4),0))</f>
        <v>0</v>
      </c>
      <c r="AI72" s="297">
        <f>IFERROR(IF(VLOOKUP($B72,Shortage!$A:$M,AI$2,FALSE)="Shortage",1,IFERROR(ROUND(W72/K72,4),0)),IFERROR(ROUND(W72/K72,4),0))</f>
        <v>0</v>
      </c>
      <c r="AJ72" s="297">
        <f>IFERROR(IF(VLOOKUP($B72,Shortage!$A:$M,AJ$2,FALSE)="Shortage",1,IFERROR(ROUND(X72/L72,4),0)),IFERROR(ROUND(X72/L72,4),0))</f>
        <v>0</v>
      </c>
      <c r="AK72" s="297">
        <f>IFERROR(IF(VLOOKUP($B72,Shortage!$A:$M,AK$2,FALSE)="Shortage",1,IFERROR(ROUND(Y72/M72,4),0)),IFERROR(ROUND(Y72/M72,4),0))</f>
        <v>0</v>
      </c>
      <c r="AL72" s="297">
        <f>IFERROR(IF(VLOOKUP($B72,Shortage!$A:$M,AL$2,FALSE)="Shortage",1,IFERROR(ROUND(Z72/N72,4),0)),IFERROR(ROUND(Z72/N72,4),0))</f>
        <v>0</v>
      </c>
      <c r="AM72" s="297">
        <f>IFERROR(IF(VLOOKUP($B72,Shortage!$A:$M,AM$2,FALSE)="Shortage",1,IFERROR(ROUND(AA72/O72,4),0)),IFERROR(ROUND(AA72/O72,4),0))</f>
        <v>0</v>
      </c>
      <c r="AN72" s="298">
        <f>IFERROR(_xlfn.XLOOKUP(AB72,'2) หลักการคำนวน Table'!$C$3:$K$3,'2) หลักการคำนวน Table'!$C$3:$K$3,,1),INDEX('2) หลักการคำนวน Table'!$C$3:$K$3,1))</f>
        <v>1</v>
      </c>
      <c r="AO72" s="298">
        <f>IFERROR(
  _xlfn.XLOOKUP(AC72,'2) หลักการคำนวน Table'!$C$3:$K$3,'2) หลักการคำนวน Table'!$C$3:$K$3,,1),
  IF(AC72&lt;MIN('2) หลักการคำนวน Table'!$C$3:$K$3),
     MIN('2) หลักการคำนวน Table'!$C$3:$K$3),
     MAX('2) หลักการคำนวน Table'!$C$3:$K$3)
  )
)</f>
        <v>0.9</v>
      </c>
      <c r="AP72" s="298">
        <f>IFERROR(
  _xlfn.XLOOKUP(AD72,'2) หลักการคำนวน Table'!$C$3:$K$3,'2) หลักการคำนวน Table'!$C$3:$K$3,,1),
  IF(AD72&lt;MIN('2) หลักการคำนวน Table'!$C$3:$K$3),
     MIN('2) หลักการคำนวน Table'!$C$3:$K$3),
     MAX('2) หลักการคำนวน Table'!$C$3:$K$3)
  )
)</f>
        <v>0.9</v>
      </c>
      <c r="AQ72" s="298">
        <f>IFERROR(
  _xlfn.XLOOKUP(AE72,'2) หลักการคำนวน Table'!$C$3:$K$3,'2) หลักการคำนวน Table'!$C$3:$K$3,,1),
  IF(AE72&lt;MIN('2) หลักการคำนวน Table'!$C$3:$K$3),
     MIN('2) หลักการคำนวน Table'!$C$3:$K$3),
     MAX('2) หลักการคำนวน Table'!$C$3:$K$3)
  )
)</f>
        <v>0.9</v>
      </c>
      <c r="AR72" s="298">
        <f>IFERROR(
  _xlfn.XLOOKUP(AF72,'2) หลักการคำนวน Table'!$C$3:$K$3,'2) หลักการคำนวน Table'!$C$3:$K$3,,1),
  IF(AF72&lt;MIN('2) หลักการคำนวน Table'!$C$3:$K$3),
     MIN('2) หลักการคำนวน Table'!$C$3:$K$3),
     MAX('2) หลักการคำนวน Table'!$C$3:$K$3)
  )
)</f>
        <v>0.9</v>
      </c>
      <c r="AS72" s="298">
        <f>IFERROR(
  _xlfn.XLOOKUP(AG72,'2) หลักการคำนวน Table'!$C$3:$K$3,'2) หลักการคำนวน Table'!$C$3:$K$3,,1),
  IF(AG72&lt;MIN('2) หลักการคำนวน Table'!$C$3:$K$3),
     MIN('2) หลักการคำนวน Table'!$C$3:$K$3),
     MAX('2) หลักการคำนวน Table'!$C$3:$K$3)
  )
)</f>
        <v>0.9</v>
      </c>
      <c r="AT72" s="298">
        <f>IFERROR(
  _xlfn.XLOOKUP(AH72,'2) หลักการคำนวน Table'!$C$3:$K$3,'2) หลักการคำนวน Table'!$C$3:$K$3,,1),
  IF(AH72&lt;MIN('2) หลักการคำนวน Table'!$C$3:$K$3),
     MIN('2) หลักการคำนวน Table'!$C$3:$K$3),
     MAX('2) หลักการคำนวน Table'!$C$3:$K$3)
  )
)</f>
        <v>0.9</v>
      </c>
      <c r="AU72" s="298">
        <f>IFERROR(
  _xlfn.XLOOKUP(AI72,'2) หลักการคำนวน Table'!$C$3:$K$3,'2) หลักการคำนวน Table'!$C$3:$K$3,,1),
  IF(AI72&lt;MIN('2) หลักการคำนวน Table'!$C$3:$K$3),
     MIN('2) หลักการคำนวน Table'!$C$3:$K$3),
     MAX('2) หลักการคำนวน Table'!$C$3:$K$3)
  )
)</f>
        <v>0.9</v>
      </c>
      <c r="AV72" s="298">
        <f>IFERROR(
  _xlfn.XLOOKUP(AJ72,'2) หลักการคำนวน Table'!$C$3:$K$3,'2) หลักการคำนวน Table'!$C$3:$K$3,,1),
  IF(AJ72&lt;MIN('2) หลักการคำนวน Table'!$C$3:$K$3),
     MIN('2) หลักการคำนวน Table'!$C$3:$K$3),
     MAX('2) หลักการคำนวน Table'!$C$3:$K$3)
  )
)</f>
        <v>0.9</v>
      </c>
      <c r="AW72" s="298">
        <f>IFERROR(
  _xlfn.XLOOKUP(AK72,'2) หลักการคำนวน Table'!$C$3:$K$3,'2) หลักการคำนวน Table'!$C$3:$K$3,,1),
  IF(AK72&lt;MIN('2) หลักการคำนวน Table'!$C$3:$K$3),
     MIN('2) หลักการคำนวน Table'!$C$3:$K$3),
     MAX('2) หลักการคำนวน Table'!$C$3:$K$3)
  )
)</f>
        <v>0.9</v>
      </c>
      <c r="AX72" s="298">
        <f>IFERROR(
  _xlfn.XLOOKUP(AL72,'2) หลักการคำนวน Table'!$C$3:$K$3,'2) หลักการคำนวน Table'!$C$3:$K$3,,1),
  IF(AL72&lt;MIN('2) หลักการคำนวน Table'!$C$3:$K$3),
     MIN('2) หลักการคำนวน Table'!$C$3:$K$3),
     MAX('2) หลักการคำนวน Table'!$C$3:$K$3)
  )
)</f>
        <v>0.9</v>
      </c>
      <c r="AY72" s="298">
        <f>IFERROR(
  _xlfn.XLOOKUP(AM72,'2) หลักการคำนวน Table'!$C$3:$K$3,'2) หลักการคำนวน Table'!$C$3:$K$3,,1),
  IF(AM72&lt;MIN('2) หลักการคำนวน Table'!$C$3:$K$3),
     MIN('2) หลักการคำนวน Table'!$C$3:$K$3),
     MAX('2) หลักการคำนวน Table'!$C$3:$K$3)
  )
)</f>
        <v>0.9</v>
      </c>
      <c r="AZ72" s="299" t="e" cm="1">
        <f t="array" ref="AZ72">ROUND((_xlfn.XLOOKUP($C72,'2) หลักการคำนวน Table'!$A$4:$A$36,
_xlfn.XLOOKUP(AN72,'2)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A72" s="299" t="e" cm="1">
        <f t="array" ref="BA72">ROUND((_xlfn.XLOOKUP($C72,'2) หลักการคำนวน Table'!$A$4:$A$36,
_xlfn.XLOOKUP(AO72,'2)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B72" s="299" t="e" cm="1">
        <f t="array" ref="BB72">ROUND((_xlfn.XLOOKUP($C72,'2) หลักการคำนวน Table'!$A$4:$A$36,
_xlfn.XLOOKUP(AP72,'2)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C72" s="299" t="e" cm="1">
        <f t="array" ref="BC72">ROUND((_xlfn.XLOOKUP($C72,'2) หลักการคำนวน Table'!$A$4:$A$36,
_xlfn.XLOOKUP(AQ72,'2)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D72" s="299" t="e" cm="1">
        <f t="array" ref="BD72">ROUND((_xlfn.XLOOKUP($C72,'2) หลักการคำนวน Table'!$A$4:$A$36,
_xlfn.XLOOKUP(AR72,'2)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E72" s="299" t="e" cm="1">
        <f t="array" ref="BE72">ROUND((_xlfn.XLOOKUP($C72,'2) หลักการคำนวน Table'!$A$4:$A$36,
_xlfn.XLOOKUP(AS72,'2)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F72" s="299" t="e" cm="1">
        <f t="array" ref="BF72">ROUND((_xlfn.XLOOKUP($C72,'2) หลักการคำนวน Table'!$A$4:$A$36,
_xlfn.XLOOKUP(AT72,'2)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G72" s="299" t="e" cm="1">
        <f t="array" ref="BG72">ROUND((_xlfn.XLOOKUP($C72,'2) หลักการคำนวน Table'!$A$4:$A$36,
_xlfn.XLOOKUP(AU72,'2)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H72" s="299" t="e" cm="1">
        <f t="array" ref="BH72">ROUND((_xlfn.XLOOKUP($C72,'2) หลักการคำนวน Table'!$A$4:$A$36,
_xlfn.XLOOKUP(AV72,'2)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I72" s="299" t="e" cm="1">
        <f t="array" ref="BI72">ROUND((_xlfn.XLOOKUP($C72,'2) หลักการคำนวน Table'!$A$4:$A$36,
_xlfn.XLOOKUP(AW72,'2)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J72" s="299" t="e" cm="1">
        <f t="array" ref="BJ72">ROUND((_xlfn.XLOOKUP($C72,'2) หลักการคำนวน Table'!$A$4:$A$36,
_xlfn.XLOOKUP(AX72,'2)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K72" s="299" t="e" cm="1">
        <f t="array" ref="BK72">ROUND((_xlfn.XLOOKUP($C72,'2) หลักการคำนวน Table'!$A$4:$A$36,
_xlfn.XLOOKUP(AY72,'2) หลักการคำนวน Table'!$C$3:$K$3,'2) หลักการคำนวน Table'!$C$4:$K$36,,-1)))*(_xlfn.XLOOKUP($C72,'2) หลักการคำนวน Table'!$A$4:$A$36, _xlfn.XLOOKUP($B72,'2) หลักการคำนวน Table'!$L$3:$Z$3,'2) หลักการคำนวน Table'!$L$4:$Z$36))),0)</f>
        <v>#N/A</v>
      </c>
      <c r="BM72" s="295">
        <v>222218</v>
      </c>
      <c r="BN72" s="300">
        <v>556</v>
      </c>
    </row>
    <row r="73" spans="1:66" ht="14.7" customHeight="1" x14ac:dyDescent="0.25">
      <c r="A73" s="126" t="e">
        <f>VLOOKUP(C73,ASTBase!E:S,13,FALSE)</f>
        <v>#N/A</v>
      </c>
      <c r="B73" s="126" t="s">
        <v>411</v>
      </c>
      <c r="C73" s="126">
        <v>5490000721</v>
      </c>
      <c r="D73" s="127">
        <v>0</v>
      </c>
      <c r="E73" s="127">
        <v>0</v>
      </c>
      <c r="F73" s="127">
        <v>0</v>
      </c>
      <c r="G73" s="127">
        <v>30</v>
      </c>
      <c r="H73" s="127">
        <v>11</v>
      </c>
      <c r="I73" s="127">
        <v>15</v>
      </c>
      <c r="J73" s="127">
        <v>14</v>
      </c>
      <c r="K73" s="127">
        <v>14</v>
      </c>
      <c r="L73" s="127">
        <v>19</v>
      </c>
      <c r="M73" s="127">
        <v>19</v>
      </c>
      <c r="N73" s="127">
        <v>9</v>
      </c>
      <c r="O73" s="127">
        <v>19</v>
      </c>
      <c r="AB73" s="297">
        <f>IFERROR(IF(VLOOKUP($B73,Shortage!$A:$M,AB$2,FALSE)="Shortage",1,IFERROR(ROUND(P73/D73,4),0)),IFERROR(ROUND(P73/D73,4),0))</f>
        <v>0</v>
      </c>
      <c r="AC73" s="297">
        <f>IFERROR(IF(VLOOKUP($B73,Shortage!$A:$M,AC$2,FALSE)="Shortage",1,IFERROR(ROUND(Q73/E73,4),0)),IFERROR(ROUND(Q73/E73,4),0))</f>
        <v>0</v>
      </c>
      <c r="AD73" s="297">
        <f>IFERROR(IF(VLOOKUP($B73,Shortage!$A:$M,AD$2,FALSE)="Shortage",1,IFERROR(ROUND(R73/F73,4),0)),IFERROR(ROUND(R73/F73,4),0))</f>
        <v>0</v>
      </c>
      <c r="AE73" s="297">
        <f>IFERROR(IF(VLOOKUP($B73,Shortage!$A:$M,AE$2,FALSE)="Shortage",1,IFERROR(ROUND(S73/G73,4),0)),IFERROR(ROUND(S73/G73,4),0))</f>
        <v>0</v>
      </c>
      <c r="AF73" s="297">
        <f>IFERROR(IF(VLOOKUP($B73,Shortage!$A:$M,AF$2,FALSE)="Shortage",1,IFERROR(ROUND(T73/H73,4),0)),IFERROR(ROUND(T73/H73,4),0))</f>
        <v>0</v>
      </c>
      <c r="AG73" s="297">
        <f>IFERROR(IF(VLOOKUP($B73,Shortage!$A:$M,AG$2,FALSE)="Shortage",1,IFERROR(ROUND(U73/I73,4),0)),IFERROR(ROUND(U73/I73,4),0))</f>
        <v>0</v>
      </c>
      <c r="AH73" s="297">
        <f>IFERROR(IF(VLOOKUP($B73,Shortage!$A:$M,AH$2,FALSE)="Shortage",1,IFERROR(ROUND(V73/J73,4),0)),IFERROR(ROUND(V73/J73,4),0))</f>
        <v>0</v>
      </c>
      <c r="AI73" s="297">
        <f>IFERROR(IF(VLOOKUP($B73,Shortage!$A:$M,AI$2,FALSE)="Shortage",1,IFERROR(ROUND(W73/K73,4),0)),IFERROR(ROUND(W73/K73,4),0))</f>
        <v>0</v>
      </c>
      <c r="AJ73" s="297">
        <f>IFERROR(IF(VLOOKUP($B73,Shortage!$A:$M,AJ$2,FALSE)="Shortage",1,IFERROR(ROUND(X73/L73,4),0)),IFERROR(ROUND(X73/L73,4),0))</f>
        <v>0</v>
      </c>
      <c r="AK73" s="297">
        <f>IFERROR(IF(VLOOKUP($B73,Shortage!$A:$M,AK$2,FALSE)="Shortage",1,IFERROR(ROUND(Y73/M73,4),0)),IFERROR(ROUND(Y73/M73,4),0))</f>
        <v>0</v>
      </c>
      <c r="AL73" s="297">
        <f>IFERROR(IF(VLOOKUP($B73,Shortage!$A:$M,AL$2,FALSE)="Shortage",1,IFERROR(ROUND(Z73/N73,4),0)),IFERROR(ROUND(Z73/N73,4),0))</f>
        <v>0</v>
      </c>
      <c r="AM73" s="297">
        <f>IFERROR(IF(VLOOKUP($B73,Shortage!$A:$M,AM$2,FALSE)="Shortage",1,IFERROR(ROUND(AA73/O73,4),0)),IFERROR(ROUND(AA73/O73,4),0))</f>
        <v>0</v>
      </c>
      <c r="AN73" s="298">
        <f>IFERROR(_xlfn.XLOOKUP(AB73,'2) หลักการคำนวน Table'!$C$3:$K$3,'2) หลักการคำนวน Table'!$C$3:$K$3,,1),INDEX('2) หลักการคำนวน Table'!$C$3:$K$3,1))</f>
        <v>0.9</v>
      </c>
      <c r="AO73" s="298">
        <f>IFERROR(
  _xlfn.XLOOKUP(AC73,'2) หลักการคำนวน Table'!$C$3:$K$3,'2) หลักการคำนวน Table'!$C$3:$K$3,,1),
  IF(AC73&lt;MIN('2) หลักการคำนวน Table'!$C$3:$K$3),
     MIN('2) หลักการคำนวน Table'!$C$3:$K$3),
     MAX('2) หลักการคำนวน Table'!$C$3:$K$3)
  )
)</f>
        <v>0.9</v>
      </c>
      <c r="AP73" s="298">
        <f>IFERROR(
  _xlfn.XLOOKUP(AD73,'2) หลักการคำนวน Table'!$C$3:$K$3,'2) หลักการคำนวน Table'!$C$3:$K$3,,1),
  IF(AD73&lt;MIN('2) หลักการคำนวน Table'!$C$3:$K$3),
     MIN('2) หลักการคำนวน Table'!$C$3:$K$3),
     MAX('2) หลักการคำนวน Table'!$C$3:$K$3)
  )
)</f>
        <v>0.9</v>
      </c>
      <c r="AQ73" s="298">
        <f>IFERROR(
  _xlfn.XLOOKUP(AE73,'2) หลักการคำนวน Table'!$C$3:$K$3,'2) หลักการคำนวน Table'!$C$3:$K$3,,1),
  IF(AE73&lt;MIN('2) หลักการคำนวน Table'!$C$3:$K$3),
     MIN('2) หลักการคำนวน Table'!$C$3:$K$3),
     MAX('2) หลักการคำนวน Table'!$C$3:$K$3)
  )
)</f>
        <v>0.9</v>
      </c>
      <c r="AR73" s="298">
        <f>IFERROR(
  _xlfn.XLOOKUP(AF73,'2) หลักการคำนวน Table'!$C$3:$K$3,'2) หลักการคำนวน Table'!$C$3:$K$3,,1),
  IF(AF73&lt;MIN('2) หลักการคำนวน Table'!$C$3:$K$3),
     MIN('2) หลักการคำนวน Table'!$C$3:$K$3),
     MAX('2) หลักการคำนวน Table'!$C$3:$K$3)
  )
)</f>
        <v>0.9</v>
      </c>
      <c r="AS73" s="298">
        <f>IFERROR(
  _xlfn.XLOOKUP(AG73,'2) หลักการคำนวน Table'!$C$3:$K$3,'2) หลักการคำนวน Table'!$C$3:$K$3,,1),
  IF(AG73&lt;MIN('2) หลักการคำนวน Table'!$C$3:$K$3),
     MIN('2) หลักการคำนวน Table'!$C$3:$K$3),
     MAX('2) หลักการคำนวน Table'!$C$3:$K$3)
  )
)</f>
        <v>0.9</v>
      </c>
      <c r="AT73" s="298">
        <f>IFERROR(
  _xlfn.XLOOKUP(AH73,'2) หลักการคำนวน Table'!$C$3:$K$3,'2) หลักการคำนวน Table'!$C$3:$K$3,,1),
  IF(AH73&lt;MIN('2) หลักการคำนวน Table'!$C$3:$K$3),
     MIN('2) หลักการคำนวน Table'!$C$3:$K$3),
     MAX('2) หลักการคำนวน Table'!$C$3:$K$3)
  )
)</f>
        <v>0.9</v>
      </c>
      <c r="AU73" s="298">
        <f>IFERROR(
  _xlfn.XLOOKUP(AI73,'2) หลักการคำนวน Table'!$C$3:$K$3,'2) หลักการคำนวน Table'!$C$3:$K$3,,1),
  IF(AI73&lt;MIN('2) หลักการคำนวน Table'!$C$3:$K$3),
     MIN('2) หลักการคำนวน Table'!$C$3:$K$3),
     MAX('2) หลักการคำนวน Table'!$C$3:$K$3)
  )
)</f>
        <v>0.9</v>
      </c>
      <c r="AV73" s="298">
        <f>IFERROR(
  _xlfn.XLOOKUP(AJ73,'2) หลักการคำนวน Table'!$C$3:$K$3,'2) หลักการคำนวน Table'!$C$3:$K$3,,1),
  IF(AJ73&lt;MIN('2) หลักการคำนวน Table'!$C$3:$K$3),
     MIN('2) หลักการคำนวน Table'!$C$3:$K$3),
     MAX('2) หลักการคำนวน Table'!$C$3:$K$3)
  )
)</f>
        <v>0.9</v>
      </c>
      <c r="AW73" s="298">
        <f>IFERROR(
  _xlfn.XLOOKUP(AK73,'2) หลักการคำนวน Table'!$C$3:$K$3,'2) หลักการคำนวน Table'!$C$3:$K$3,,1),
  IF(AK73&lt;MIN('2) หลักการคำนวน Table'!$C$3:$K$3),
     MIN('2) หลักการคำนวน Table'!$C$3:$K$3),
     MAX('2) หลักการคำนวน Table'!$C$3:$K$3)
  )
)</f>
        <v>0.9</v>
      </c>
      <c r="AX73" s="298">
        <f>IFERROR(
  _xlfn.XLOOKUP(AL73,'2) หลักการคำนวน Table'!$C$3:$K$3,'2) หลักการคำนวน Table'!$C$3:$K$3,,1),
  IF(AL73&lt;MIN('2) หลักการคำนวน Table'!$C$3:$K$3),
     MIN('2) หลักการคำนวน Table'!$C$3:$K$3),
     MAX('2) หลักการคำนวน Table'!$C$3:$K$3)
  )
)</f>
        <v>0.9</v>
      </c>
      <c r="AY73" s="298">
        <f>IFERROR(
  _xlfn.XLOOKUP(AM73,'2) หลักการคำนวน Table'!$C$3:$K$3,'2) หลักการคำนวน Table'!$C$3:$K$3,,1),
  IF(AM73&lt;MIN('2) หลักการคำนวน Table'!$C$3:$K$3),
     MIN('2) หลักการคำนวน Table'!$C$3:$K$3),
     MAX('2) หลักการคำนวน Table'!$C$3:$K$3)
  )
)</f>
        <v>0.9</v>
      </c>
      <c r="AZ73" s="299" t="e" cm="1">
        <f t="array" ref="AZ73">ROUND((_xlfn.XLOOKUP($C73,'2) หลักการคำนวน Table'!$A$4:$A$36,
_xlfn.XLOOKUP(AN73,'2)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A73" s="299" t="e" cm="1">
        <f t="array" ref="BA73">ROUND((_xlfn.XLOOKUP($C73,'2) หลักการคำนวน Table'!$A$4:$A$36,
_xlfn.XLOOKUP(AO73,'2)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B73" s="299" t="e" cm="1">
        <f t="array" ref="BB73">ROUND((_xlfn.XLOOKUP($C73,'2) หลักการคำนวน Table'!$A$4:$A$36,
_xlfn.XLOOKUP(AP73,'2)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C73" s="299" t="e" cm="1">
        <f t="array" ref="BC73">ROUND((_xlfn.XLOOKUP($C73,'2) หลักการคำนวน Table'!$A$4:$A$36,
_xlfn.XLOOKUP(AQ73,'2)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D73" s="299" t="e" cm="1">
        <f t="array" ref="BD73">ROUND((_xlfn.XLOOKUP($C73,'2) หลักการคำนวน Table'!$A$4:$A$36,
_xlfn.XLOOKUP(AR73,'2)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E73" s="299" t="e" cm="1">
        <f t="array" ref="BE73">ROUND((_xlfn.XLOOKUP($C73,'2) หลักการคำนวน Table'!$A$4:$A$36,
_xlfn.XLOOKUP(AS73,'2)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F73" s="299" t="e" cm="1">
        <f t="array" ref="BF73">ROUND((_xlfn.XLOOKUP($C73,'2) หลักการคำนวน Table'!$A$4:$A$36,
_xlfn.XLOOKUP(AT73,'2)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G73" s="299" t="e" cm="1">
        <f t="array" ref="BG73">ROUND((_xlfn.XLOOKUP($C73,'2) หลักการคำนวน Table'!$A$4:$A$36,
_xlfn.XLOOKUP(AU73,'2)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H73" s="299" t="e" cm="1">
        <f t="array" ref="BH73">ROUND((_xlfn.XLOOKUP($C73,'2) หลักการคำนวน Table'!$A$4:$A$36,
_xlfn.XLOOKUP(AV73,'2)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I73" s="299" t="e" cm="1">
        <f t="array" ref="BI73">ROUND((_xlfn.XLOOKUP($C73,'2) หลักการคำนวน Table'!$A$4:$A$36,
_xlfn.XLOOKUP(AW73,'2)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J73" s="299" t="e" cm="1">
        <f t="array" ref="BJ73">ROUND((_xlfn.XLOOKUP($C73,'2) หลักการคำนวน Table'!$A$4:$A$36,
_xlfn.XLOOKUP(AX73,'2)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K73" s="299" t="e" cm="1">
        <f t="array" ref="BK73">ROUND((_xlfn.XLOOKUP($C73,'2) หลักการคำนวน Table'!$A$4:$A$36,
_xlfn.XLOOKUP(AY73,'2) หลักการคำนวน Table'!$C$3:$K$3,'2) หลักการคำนวน Table'!$C$4:$K$36,,-1)))*(_xlfn.XLOOKUP($C73,'2) หลักการคำนวน Table'!$A$4:$A$36, _xlfn.XLOOKUP($B73,'2) หลักการคำนวน Table'!$L$3:$Z$3,'2) หลักการคำนวน Table'!$L$4:$Z$36))),0)</f>
        <v>#N/A</v>
      </c>
      <c r="BM73" s="295">
        <v>222218</v>
      </c>
      <c r="BN73" s="300">
        <v>0</v>
      </c>
    </row>
    <row r="74" spans="1:66" ht="14.7" customHeight="1" x14ac:dyDescent="0.25">
      <c r="A74" s="126" t="e">
        <f>VLOOKUP(C74,ASTBase!E:S,13,FALSE)</f>
        <v>#N/A</v>
      </c>
      <c r="B74" s="126" t="s">
        <v>417</v>
      </c>
      <c r="C74" s="126">
        <v>5490000721</v>
      </c>
      <c r="D74" s="127">
        <v>2</v>
      </c>
      <c r="E74" s="127">
        <v>2</v>
      </c>
      <c r="F74" s="127">
        <v>2</v>
      </c>
      <c r="G74" s="127">
        <v>2</v>
      </c>
      <c r="H74" s="127">
        <v>2</v>
      </c>
      <c r="I74" s="127">
        <v>2</v>
      </c>
      <c r="J74" s="127">
        <v>2</v>
      </c>
      <c r="K74" s="127">
        <v>2</v>
      </c>
      <c r="L74" s="127">
        <v>2</v>
      </c>
      <c r="M74" s="127">
        <v>2</v>
      </c>
      <c r="N74" s="127">
        <v>2</v>
      </c>
      <c r="O74" s="127">
        <v>2</v>
      </c>
      <c r="P74" s="126">
        <v>0.99999999993599997</v>
      </c>
      <c r="AB74" s="297">
        <f>IFERROR(IF(VLOOKUP($B74,Shortage!$A:$M,AB$2,FALSE)="Shortage",1,IFERROR(ROUND(P74/D74,4),0)),IFERROR(ROUND(P74/D74,4),0))</f>
        <v>0.5</v>
      </c>
      <c r="AC74" s="297">
        <f>IFERROR(IF(VLOOKUP($B74,Shortage!$A:$M,AC$2,FALSE)="Shortage",1,IFERROR(ROUND(Q74/E74,4),0)),IFERROR(ROUND(Q74/E74,4),0))</f>
        <v>0</v>
      </c>
      <c r="AD74" s="297">
        <f>IFERROR(IF(VLOOKUP($B74,Shortage!$A:$M,AD$2,FALSE)="Shortage",1,IFERROR(ROUND(R74/F74,4),0)),IFERROR(ROUND(R74/F74,4),0))</f>
        <v>0</v>
      </c>
      <c r="AE74" s="297">
        <f>IFERROR(IF(VLOOKUP($B74,Shortage!$A:$M,AE$2,FALSE)="Shortage",1,IFERROR(ROUND(S74/G74,4),0)),IFERROR(ROUND(S74/G74,4),0))</f>
        <v>0</v>
      </c>
      <c r="AF74" s="297">
        <f>IFERROR(IF(VLOOKUP($B74,Shortage!$A:$M,AF$2,FALSE)="Shortage",1,IFERROR(ROUND(T74/H74,4),0)),IFERROR(ROUND(T74/H74,4),0))</f>
        <v>0</v>
      </c>
      <c r="AG74" s="297">
        <f>IFERROR(IF(VLOOKUP($B74,Shortage!$A:$M,AG$2,FALSE)="Shortage",1,IFERROR(ROUND(U74/I74,4),0)),IFERROR(ROUND(U74/I74,4),0))</f>
        <v>0</v>
      </c>
      <c r="AH74" s="297">
        <f>IFERROR(IF(VLOOKUP($B74,Shortage!$A:$M,AH$2,FALSE)="Shortage",1,IFERROR(ROUND(V74/J74,4),0)),IFERROR(ROUND(V74/J74,4),0))</f>
        <v>0</v>
      </c>
      <c r="AI74" s="297">
        <f>IFERROR(IF(VLOOKUP($B74,Shortage!$A:$M,AI$2,FALSE)="Shortage",1,IFERROR(ROUND(W74/K74,4),0)),IFERROR(ROUND(W74/K74,4),0))</f>
        <v>0</v>
      </c>
      <c r="AJ74" s="297">
        <f>IFERROR(IF(VLOOKUP($B74,Shortage!$A:$M,AJ$2,FALSE)="Shortage",1,IFERROR(ROUND(X74/L74,4),0)),IFERROR(ROUND(X74/L74,4),0))</f>
        <v>0</v>
      </c>
      <c r="AK74" s="297">
        <f>IFERROR(IF(VLOOKUP($B74,Shortage!$A:$M,AK$2,FALSE)="Shortage",1,IFERROR(ROUND(Y74/M74,4),0)),IFERROR(ROUND(Y74/M74,4),0))</f>
        <v>0</v>
      </c>
      <c r="AL74" s="297">
        <f>IFERROR(IF(VLOOKUP($B74,Shortage!$A:$M,AL$2,FALSE)="Shortage",1,IFERROR(ROUND(Z74/N74,4),0)),IFERROR(ROUND(Z74/N74,4),0))</f>
        <v>0</v>
      </c>
      <c r="AM74" s="297">
        <f>IFERROR(IF(VLOOKUP($B74,Shortage!$A:$M,AM$2,FALSE)="Shortage",1,IFERROR(ROUND(AA74/O74,4),0)),IFERROR(ROUND(AA74/O74,4),0))</f>
        <v>0</v>
      </c>
      <c r="AN74" s="298">
        <f>IFERROR(_xlfn.XLOOKUP(AB74,'2) หลักการคำนวน Table'!$C$3:$K$3,'2) หลักการคำนวน Table'!$C$3:$K$3,,1),INDEX('2) หลักการคำนวน Table'!$C$3:$K$3,1))</f>
        <v>0.9</v>
      </c>
      <c r="AO74" s="298">
        <f>IFERROR(
  _xlfn.XLOOKUP(AC74,'2) หลักการคำนวน Table'!$C$3:$K$3,'2) หลักการคำนวน Table'!$C$3:$K$3,,1),
  IF(AC74&lt;MIN('2) หลักการคำนวน Table'!$C$3:$K$3),
     MIN('2) หลักการคำนวน Table'!$C$3:$K$3),
     MAX('2) หลักการคำนวน Table'!$C$3:$K$3)
  )
)</f>
        <v>0.9</v>
      </c>
      <c r="AP74" s="298">
        <f>IFERROR(
  _xlfn.XLOOKUP(AD74,'2) หลักการคำนวน Table'!$C$3:$K$3,'2) หลักการคำนวน Table'!$C$3:$K$3,,1),
  IF(AD74&lt;MIN('2) หลักการคำนวน Table'!$C$3:$K$3),
     MIN('2) หลักการคำนวน Table'!$C$3:$K$3),
     MAX('2) หลักการคำนวน Table'!$C$3:$K$3)
  )
)</f>
        <v>0.9</v>
      </c>
      <c r="AQ74" s="298">
        <f>IFERROR(
  _xlfn.XLOOKUP(AE74,'2) หลักการคำนวน Table'!$C$3:$K$3,'2) หลักการคำนวน Table'!$C$3:$K$3,,1),
  IF(AE74&lt;MIN('2) หลักการคำนวน Table'!$C$3:$K$3),
     MIN('2) หลักการคำนวน Table'!$C$3:$K$3),
     MAX('2) หลักการคำนวน Table'!$C$3:$K$3)
  )
)</f>
        <v>0.9</v>
      </c>
      <c r="AR74" s="298">
        <f>IFERROR(
  _xlfn.XLOOKUP(AF74,'2) หลักการคำนวน Table'!$C$3:$K$3,'2) หลักการคำนวน Table'!$C$3:$K$3,,1),
  IF(AF74&lt;MIN('2) หลักการคำนวน Table'!$C$3:$K$3),
     MIN('2) หลักการคำนวน Table'!$C$3:$K$3),
     MAX('2) หลักการคำนวน Table'!$C$3:$K$3)
  )
)</f>
        <v>0.9</v>
      </c>
      <c r="AS74" s="298">
        <f>IFERROR(
  _xlfn.XLOOKUP(AG74,'2) หลักการคำนวน Table'!$C$3:$K$3,'2) หลักการคำนวน Table'!$C$3:$K$3,,1),
  IF(AG74&lt;MIN('2) หลักการคำนวน Table'!$C$3:$K$3),
     MIN('2) หลักการคำนวน Table'!$C$3:$K$3),
     MAX('2) หลักการคำนวน Table'!$C$3:$K$3)
  )
)</f>
        <v>0.9</v>
      </c>
      <c r="AT74" s="298">
        <f>IFERROR(
  _xlfn.XLOOKUP(AH74,'2) หลักการคำนวน Table'!$C$3:$K$3,'2) หลักการคำนวน Table'!$C$3:$K$3,,1),
  IF(AH74&lt;MIN('2) หลักการคำนวน Table'!$C$3:$K$3),
     MIN('2) หลักการคำนวน Table'!$C$3:$K$3),
     MAX('2) หลักการคำนวน Table'!$C$3:$K$3)
  )
)</f>
        <v>0.9</v>
      </c>
      <c r="AU74" s="298">
        <f>IFERROR(
  _xlfn.XLOOKUP(AI74,'2) หลักการคำนวน Table'!$C$3:$K$3,'2) หลักการคำนวน Table'!$C$3:$K$3,,1),
  IF(AI74&lt;MIN('2) หลักการคำนวน Table'!$C$3:$K$3),
     MIN('2) หลักการคำนวน Table'!$C$3:$K$3),
     MAX('2) หลักการคำนวน Table'!$C$3:$K$3)
  )
)</f>
        <v>0.9</v>
      </c>
      <c r="AV74" s="298">
        <f>IFERROR(
  _xlfn.XLOOKUP(AJ74,'2) หลักการคำนวน Table'!$C$3:$K$3,'2) หลักการคำนวน Table'!$C$3:$K$3,,1),
  IF(AJ74&lt;MIN('2) หลักการคำนวน Table'!$C$3:$K$3),
     MIN('2) หลักการคำนวน Table'!$C$3:$K$3),
     MAX('2) หลักการคำนวน Table'!$C$3:$K$3)
  )
)</f>
        <v>0.9</v>
      </c>
      <c r="AW74" s="298">
        <f>IFERROR(
  _xlfn.XLOOKUP(AK74,'2) หลักการคำนวน Table'!$C$3:$K$3,'2) หลักการคำนวน Table'!$C$3:$K$3,,1),
  IF(AK74&lt;MIN('2) หลักการคำนวน Table'!$C$3:$K$3),
     MIN('2) หลักการคำนวน Table'!$C$3:$K$3),
     MAX('2) หลักการคำนวน Table'!$C$3:$K$3)
  )
)</f>
        <v>0.9</v>
      </c>
      <c r="AX74" s="298">
        <f>IFERROR(
  _xlfn.XLOOKUP(AL74,'2) หลักการคำนวน Table'!$C$3:$K$3,'2) หลักการคำนวน Table'!$C$3:$K$3,,1),
  IF(AL74&lt;MIN('2) หลักการคำนวน Table'!$C$3:$K$3),
     MIN('2) หลักการคำนวน Table'!$C$3:$K$3),
     MAX('2) หลักการคำนวน Table'!$C$3:$K$3)
  )
)</f>
        <v>0.9</v>
      </c>
      <c r="AY74" s="298">
        <f>IFERROR(
  _xlfn.XLOOKUP(AM74,'2) หลักการคำนวน Table'!$C$3:$K$3,'2) หลักการคำนวน Table'!$C$3:$K$3,,1),
  IF(AM74&lt;MIN('2) หลักการคำนวน Table'!$C$3:$K$3),
     MIN('2) หลักการคำนวน Table'!$C$3:$K$3),
     MAX('2) หลักการคำนวน Table'!$C$3:$K$3)
  )
)</f>
        <v>0.9</v>
      </c>
      <c r="AZ74" s="299" t="e" cm="1">
        <f t="array" ref="AZ74">ROUND((_xlfn.XLOOKUP($C74,'2) หลักการคำนวน Table'!$A$4:$A$36,
_xlfn.XLOOKUP(AN74,'2)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A74" s="299" t="e" cm="1">
        <f t="array" ref="BA74">ROUND((_xlfn.XLOOKUP($C74,'2) หลักการคำนวน Table'!$A$4:$A$36,
_xlfn.XLOOKUP(AO74,'2)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B74" s="299" t="e" cm="1">
        <f t="array" ref="BB74">ROUND((_xlfn.XLOOKUP($C74,'2) หลักการคำนวน Table'!$A$4:$A$36,
_xlfn.XLOOKUP(AP74,'2)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C74" s="299" t="e" cm="1">
        <f t="array" ref="BC74">ROUND((_xlfn.XLOOKUP($C74,'2) หลักการคำนวน Table'!$A$4:$A$36,
_xlfn.XLOOKUP(AQ74,'2)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D74" s="299" t="e" cm="1">
        <f t="array" ref="BD74">ROUND((_xlfn.XLOOKUP($C74,'2) หลักการคำนวน Table'!$A$4:$A$36,
_xlfn.XLOOKUP(AR74,'2)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E74" s="299" t="e" cm="1">
        <f t="array" ref="BE74">ROUND((_xlfn.XLOOKUP($C74,'2) หลักการคำนวน Table'!$A$4:$A$36,
_xlfn.XLOOKUP(AS74,'2)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F74" s="299" t="e" cm="1">
        <f t="array" ref="BF74">ROUND((_xlfn.XLOOKUP($C74,'2) หลักการคำนวน Table'!$A$4:$A$36,
_xlfn.XLOOKUP(AT74,'2)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G74" s="299" t="e" cm="1">
        <f t="array" ref="BG74">ROUND((_xlfn.XLOOKUP($C74,'2) หลักการคำนวน Table'!$A$4:$A$36,
_xlfn.XLOOKUP(AU74,'2)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H74" s="299" t="e" cm="1">
        <f t="array" ref="BH74">ROUND((_xlfn.XLOOKUP($C74,'2) หลักการคำนวน Table'!$A$4:$A$36,
_xlfn.XLOOKUP(AV74,'2)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I74" s="299" t="e" cm="1">
        <f t="array" ref="BI74">ROUND((_xlfn.XLOOKUP($C74,'2) หลักการคำนวน Table'!$A$4:$A$36,
_xlfn.XLOOKUP(AW74,'2)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J74" s="299" t="e" cm="1">
        <f t="array" ref="BJ74">ROUND((_xlfn.XLOOKUP($C74,'2) หลักการคำนวน Table'!$A$4:$A$36,
_xlfn.XLOOKUP(AX74,'2)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K74" s="299" t="e" cm="1">
        <f t="array" ref="BK74">ROUND((_xlfn.XLOOKUP($C74,'2) หลักการคำนวน Table'!$A$4:$A$36,
_xlfn.XLOOKUP(AY74,'2) หลักการคำนวน Table'!$C$3:$K$3,'2) หลักการคำนวน Table'!$C$4:$K$36,,-1)))*(_xlfn.XLOOKUP($C74,'2) หลักการคำนวน Table'!$A$4:$A$36, _xlfn.XLOOKUP($B74,'2) หลักการคำนวน Table'!$L$3:$Z$3,'2) หลักการคำนวน Table'!$L$4:$Z$36))),0)</f>
        <v>#N/A</v>
      </c>
      <c r="BM74" s="295">
        <v>222218</v>
      </c>
      <c r="BN74" s="300">
        <v>50</v>
      </c>
    </row>
    <row r="75" spans="1:66" ht="14.7" customHeight="1" x14ac:dyDescent="0.25">
      <c r="A75" s="126" t="e">
        <f>VLOOKUP(C75,ASTBase!E:S,13,FALSE)</f>
        <v>#N/A</v>
      </c>
      <c r="B75" s="126" t="s">
        <v>419</v>
      </c>
      <c r="C75" s="126">
        <v>5490000721</v>
      </c>
      <c r="D75" s="127">
        <v>12</v>
      </c>
      <c r="E75" s="127">
        <v>12</v>
      </c>
      <c r="F75" s="127">
        <v>12</v>
      </c>
      <c r="G75" s="127">
        <v>12</v>
      </c>
      <c r="H75" s="127">
        <v>12</v>
      </c>
      <c r="I75" s="127">
        <v>12</v>
      </c>
      <c r="J75" s="127">
        <v>12</v>
      </c>
      <c r="K75" s="127">
        <v>12</v>
      </c>
      <c r="L75" s="127">
        <v>12</v>
      </c>
      <c r="M75" s="127">
        <v>12</v>
      </c>
      <c r="N75" s="127">
        <v>12</v>
      </c>
      <c r="O75" s="127">
        <v>12</v>
      </c>
      <c r="P75" s="126">
        <v>9</v>
      </c>
      <c r="AB75" s="297">
        <f>IFERROR(IF(VLOOKUP($B75,Shortage!$A:$M,AB$2,FALSE)="Shortage",1,IFERROR(ROUND(P75/D75,4),0)),IFERROR(ROUND(P75/D75,4),0))</f>
        <v>0.75</v>
      </c>
      <c r="AC75" s="297">
        <f>IFERROR(IF(VLOOKUP($B75,Shortage!$A:$M,AC$2,FALSE)="Shortage",1,IFERROR(ROUND(Q75/E75,4),0)),IFERROR(ROUND(Q75/E75,4),0))</f>
        <v>0</v>
      </c>
      <c r="AD75" s="297">
        <f>IFERROR(IF(VLOOKUP($B75,Shortage!$A:$M,AD$2,FALSE)="Shortage",1,IFERROR(ROUND(R75/F75,4),0)),IFERROR(ROUND(R75/F75,4),0))</f>
        <v>0</v>
      </c>
      <c r="AE75" s="297">
        <f>IFERROR(IF(VLOOKUP($B75,Shortage!$A:$M,AE$2,FALSE)="Shortage",1,IFERROR(ROUND(S75/G75,4),0)),IFERROR(ROUND(S75/G75,4),0))</f>
        <v>0</v>
      </c>
      <c r="AF75" s="297">
        <f>IFERROR(IF(VLOOKUP($B75,Shortage!$A:$M,AF$2,FALSE)="Shortage",1,IFERROR(ROUND(T75/H75,4),0)),IFERROR(ROUND(T75/H75,4),0))</f>
        <v>0</v>
      </c>
      <c r="AG75" s="297">
        <f>IFERROR(IF(VLOOKUP($B75,Shortage!$A:$M,AG$2,FALSE)="Shortage",1,IFERROR(ROUND(U75/I75,4),0)),IFERROR(ROUND(U75/I75,4),0))</f>
        <v>0</v>
      </c>
      <c r="AH75" s="297">
        <f>IFERROR(IF(VLOOKUP($B75,Shortage!$A:$M,AH$2,FALSE)="Shortage",1,IFERROR(ROUND(V75/J75,4),0)),IFERROR(ROUND(V75/J75,4),0))</f>
        <v>0</v>
      </c>
      <c r="AI75" s="297">
        <f>IFERROR(IF(VLOOKUP($B75,Shortage!$A:$M,AI$2,FALSE)="Shortage",1,IFERROR(ROUND(W75/K75,4),0)),IFERROR(ROUND(W75/K75,4),0))</f>
        <v>0</v>
      </c>
      <c r="AJ75" s="297">
        <f>IFERROR(IF(VLOOKUP($B75,Shortage!$A:$M,AJ$2,FALSE)="Shortage",1,IFERROR(ROUND(X75/L75,4),0)),IFERROR(ROUND(X75/L75,4),0))</f>
        <v>0</v>
      </c>
      <c r="AK75" s="297">
        <f>IFERROR(IF(VLOOKUP($B75,Shortage!$A:$M,AK$2,FALSE)="Shortage",1,IFERROR(ROUND(Y75/M75,4),0)),IFERROR(ROUND(Y75/M75,4),0))</f>
        <v>0</v>
      </c>
      <c r="AL75" s="297">
        <f>IFERROR(IF(VLOOKUP($B75,Shortage!$A:$M,AL$2,FALSE)="Shortage",1,IFERROR(ROUND(Z75/N75,4),0)),IFERROR(ROUND(Z75/N75,4),0))</f>
        <v>0</v>
      </c>
      <c r="AM75" s="297">
        <f>IFERROR(IF(VLOOKUP($B75,Shortage!$A:$M,AM$2,FALSE)="Shortage",1,IFERROR(ROUND(AA75/O75,4),0)),IFERROR(ROUND(AA75/O75,4),0))</f>
        <v>0</v>
      </c>
      <c r="AN75" s="298">
        <f>IFERROR(_xlfn.XLOOKUP(AB75,'2) หลักการคำนวน Table'!$C$3:$K$3,'2) หลักการคำนวน Table'!$C$3:$K$3,,1),INDEX('2) หลักการคำนวน Table'!$C$3:$K$3,1))</f>
        <v>0.9</v>
      </c>
      <c r="AO75" s="298">
        <f>IFERROR(
  _xlfn.XLOOKUP(AC75,'2) หลักการคำนวน Table'!$C$3:$K$3,'2) หลักการคำนวน Table'!$C$3:$K$3,,1),
  IF(AC75&lt;MIN('2) หลักการคำนวน Table'!$C$3:$K$3),
     MIN('2) หลักการคำนวน Table'!$C$3:$K$3),
     MAX('2) หลักการคำนวน Table'!$C$3:$K$3)
  )
)</f>
        <v>0.9</v>
      </c>
      <c r="AP75" s="298">
        <f>IFERROR(
  _xlfn.XLOOKUP(AD75,'2) หลักการคำนวน Table'!$C$3:$K$3,'2) หลักการคำนวน Table'!$C$3:$K$3,,1),
  IF(AD75&lt;MIN('2) หลักการคำนวน Table'!$C$3:$K$3),
     MIN('2) หลักการคำนวน Table'!$C$3:$K$3),
     MAX('2) หลักการคำนวน Table'!$C$3:$K$3)
  )
)</f>
        <v>0.9</v>
      </c>
      <c r="AQ75" s="298">
        <f>IFERROR(
  _xlfn.XLOOKUP(AE75,'2) หลักการคำนวน Table'!$C$3:$K$3,'2) หลักการคำนวน Table'!$C$3:$K$3,,1),
  IF(AE75&lt;MIN('2) หลักการคำนวน Table'!$C$3:$K$3),
     MIN('2) หลักการคำนวน Table'!$C$3:$K$3),
     MAX('2) หลักการคำนวน Table'!$C$3:$K$3)
  )
)</f>
        <v>0.9</v>
      </c>
      <c r="AR75" s="298">
        <f>IFERROR(
  _xlfn.XLOOKUP(AF75,'2) หลักการคำนวน Table'!$C$3:$K$3,'2) หลักการคำนวน Table'!$C$3:$K$3,,1),
  IF(AF75&lt;MIN('2) หลักการคำนวน Table'!$C$3:$K$3),
     MIN('2) หลักการคำนวน Table'!$C$3:$K$3),
     MAX('2) หลักการคำนวน Table'!$C$3:$K$3)
  )
)</f>
        <v>0.9</v>
      </c>
      <c r="AS75" s="298">
        <f>IFERROR(
  _xlfn.XLOOKUP(AG75,'2) หลักการคำนวน Table'!$C$3:$K$3,'2) หลักการคำนวน Table'!$C$3:$K$3,,1),
  IF(AG75&lt;MIN('2) หลักการคำนวน Table'!$C$3:$K$3),
     MIN('2) หลักการคำนวน Table'!$C$3:$K$3),
     MAX('2) หลักการคำนวน Table'!$C$3:$K$3)
  )
)</f>
        <v>0.9</v>
      </c>
      <c r="AT75" s="298">
        <f>IFERROR(
  _xlfn.XLOOKUP(AH75,'2) หลักการคำนวน Table'!$C$3:$K$3,'2) หลักการคำนวน Table'!$C$3:$K$3,,1),
  IF(AH75&lt;MIN('2) หลักการคำนวน Table'!$C$3:$K$3),
     MIN('2) หลักการคำนวน Table'!$C$3:$K$3),
     MAX('2) หลักการคำนวน Table'!$C$3:$K$3)
  )
)</f>
        <v>0.9</v>
      </c>
      <c r="AU75" s="298">
        <f>IFERROR(
  _xlfn.XLOOKUP(AI75,'2) หลักการคำนวน Table'!$C$3:$K$3,'2) หลักการคำนวน Table'!$C$3:$K$3,,1),
  IF(AI75&lt;MIN('2) หลักการคำนวน Table'!$C$3:$K$3),
     MIN('2) หลักการคำนวน Table'!$C$3:$K$3),
     MAX('2) หลักการคำนวน Table'!$C$3:$K$3)
  )
)</f>
        <v>0.9</v>
      </c>
      <c r="AV75" s="298">
        <f>IFERROR(
  _xlfn.XLOOKUP(AJ75,'2) หลักการคำนวน Table'!$C$3:$K$3,'2) หลักการคำนวน Table'!$C$3:$K$3,,1),
  IF(AJ75&lt;MIN('2) หลักการคำนวน Table'!$C$3:$K$3),
     MIN('2) หลักการคำนวน Table'!$C$3:$K$3),
     MAX('2) หลักการคำนวน Table'!$C$3:$K$3)
  )
)</f>
        <v>0.9</v>
      </c>
      <c r="AW75" s="298">
        <f>IFERROR(
  _xlfn.XLOOKUP(AK75,'2) หลักการคำนวน Table'!$C$3:$K$3,'2) หลักการคำนวน Table'!$C$3:$K$3,,1),
  IF(AK75&lt;MIN('2) หลักการคำนวน Table'!$C$3:$K$3),
     MIN('2) หลักการคำนวน Table'!$C$3:$K$3),
     MAX('2) หลักการคำนวน Table'!$C$3:$K$3)
  )
)</f>
        <v>0.9</v>
      </c>
      <c r="AX75" s="298">
        <f>IFERROR(
  _xlfn.XLOOKUP(AL75,'2) หลักการคำนวน Table'!$C$3:$K$3,'2) หลักการคำนวน Table'!$C$3:$K$3,,1),
  IF(AL75&lt;MIN('2) หลักการคำนวน Table'!$C$3:$K$3),
     MIN('2) หลักการคำนวน Table'!$C$3:$K$3),
     MAX('2) หลักการคำนวน Table'!$C$3:$K$3)
  )
)</f>
        <v>0.9</v>
      </c>
      <c r="AY75" s="298">
        <f>IFERROR(
  _xlfn.XLOOKUP(AM75,'2) หลักการคำนวน Table'!$C$3:$K$3,'2) หลักการคำนวน Table'!$C$3:$K$3,,1),
  IF(AM75&lt;MIN('2) หลักการคำนวน Table'!$C$3:$K$3),
     MIN('2) หลักการคำนวน Table'!$C$3:$K$3),
     MAX('2) หลักการคำนวน Table'!$C$3:$K$3)
  )
)</f>
        <v>0.9</v>
      </c>
      <c r="AZ75" s="299" t="e" cm="1">
        <f t="array" ref="AZ75">ROUND((_xlfn.XLOOKUP($C75,'2) หลักการคำนวน Table'!$A$4:$A$36,
_xlfn.XLOOKUP(AN75,'2)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A75" s="299" t="e" cm="1">
        <f t="array" ref="BA75">ROUND((_xlfn.XLOOKUP($C75,'2) หลักการคำนวน Table'!$A$4:$A$36,
_xlfn.XLOOKUP(AO75,'2)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B75" s="299" t="e" cm="1">
        <f t="array" ref="BB75">ROUND((_xlfn.XLOOKUP($C75,'2) หลักการคำนวน Table'!$A$4:$A$36,
_xlfn.XLOOKUP(AP75,'2)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C75" s="299" t="e" cm="1">
        <f t="array" ref="BC75">ROUND((_xlfn.XLOOKUP($C75,'2) หลักการคำนวน Table'!$A$4:$A$36,
_xlfn.XLOOKUP(AQ75,'2)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D75" s="299" t="e" cm="1">
        <f t="array" ref="BD75">ROUND((_xlfn.XLOOKUP($C75,'2) หลักการคำนวน Table'!$A$4:$A$36,
_xlfn.XLOOKUP(AR75,'2)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E75" s="299" t="e" cm="1">
        <f t="array" ref="BE75">ROUND((_xlfn.XLOOKUP($C75,'2) หลักการคำนวน Table'!$A$4:$A$36,
_xlfn.XLOOKUP(AS75,'2)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F75" s="299" t="e" cm="1">
        <f t="array" ref="BF75">ROUND((_xlfn.XLOOKUP($C75,'2) หลักการคำนวน Table'!$A$4:$A$36,
_xlfn.XLOOKUP(AT75,'2)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G75" s="299" t="e" cm="1">
        <f t="array" ref="BG75">ROUND((_xlfn.XLOOKUP($C75,'2) หลักการคำนวน Table'!$A$4:$A$36,
_xlfn.XLOOKUP(AU75,'2)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H75" s="299" t="e" cm="1">
        <f t="array" ref="BH75">ROUND((_xlfn.XLOOKUP($C75,'2) หลักการคำนวน Table'!$A$4:$A$36,
_xlfn.XLOOKUP(AV75,'2)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I75" s="299" t="e" cm="1">
        <f t="array" ref="BI75">ROUND((_xlfn.XLOOKUP($C75,'2) หลักการคำนวน Table'!$A$4:$A$36,
_xlfn.XLOOKUP(AW75,'2)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J75" s="299" t="e" cm="1">
        <f t="array" ref="BJ75">ROUND((_xlfn.XLOOKUP($C75,'2) หลักการคำนวน Table'!$A$4:$A$36,
_xlfn.XLOOKUP(AX75,'2)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K75" s="299" t="e" cm="1">
        <f t="array" ref="BK75">ROUND((_xlfn.XLOOKUP($C75,'2) หลักการคำนวน Table'!$A$4:$A$36,
_xlfn.XLOOKUP(AY75,'2) หลักการคำนวน Table'!$C$3:$K$3,'2) หลักการคำนวน Table'!$C$4:$K$36,,-1)))*(_xlfn.XLOOKUP($C75,'2) หลักการคำนวน Table'!$A$4:$A$36, _xlfn.XLOOKUP($B75,'2) หลักการคำนวน Table'!$L$3:$Z$3,'2) หลักการคำนวน Table'!$L$4:$Z$36))),0)</f>
        <v>#N/A</v>
      </c>
      <c r="BM75" s="295">
        <v>222218</v>
      </c>
      <c r="BN75" s="300">
        <v>50</v>
      </c>
    </row>
    <row r="76" spans="1:66" ht="14.7" customHeight="1" x14ac:dyDescent="0.25">
      <c r="A76" s="126" t="e">
        <f>VLOOKUP(C76,ASTBase!E:S,13,FALSE)</f>
        <v>#N/A</v>
      </c>
      <c r="B76" s="126" t="s">
        <v>405</v>
      </c>
      <c r="C76" s="126">
        <v>5490000719</v>
      </c>
      <c r="D76" s="127">
        <v>291000</v>
      </c>
      <c r="E76" s="127">
        <v>276000</v>
      </c>
      <c r="F76" s="127">
        <v>278000</v>
      </c>
      <c r="G76" s="127">
        <v>281000</v>
      </c>
      <c r="H76" s="127">
        <v>278000</v>
      </c>
      <c r="I76" s="127">
        <v>277000</v>
      </c>
      <c r="J76" s="127">
        <v>278000</v>
      </c>
      <c r="K76" s="127">
        <v>287000</v>
      </c>
      <c r="L76" s="127">
        <v>324360</v>
      </c>
      <c r="M76" s="127">
        <v>284000</v>
      </c>
      <c r="N76" s="127">
        <v>280000</v>
      </c>
      <c r="O76" s="127">
        <v>280000</v>
      </c>
      <c r="P76" s="126">
        <v>280928</v>
      </c>
      <c r="AB76" s="297">
        <f>IFERROR(IF(VLOOKUP($B76,Shortage!$A:$M,AB$2,FALSE)="Shortage",1,IFERROR(ROUND(P76/D76,4),0)),IFERROR(ROUND(P76/D76,4),0))</f>
        <v>1</v>
      </c>
      <c r="AC76" s="297">
        <f>IFERROR(IF(VLOOKUP($B76,Shortage!$A:$M,AC$2,FALSE)="Shortage",1,IFERROR(ROUND(Q76/E76,4),0)),IFERROR(ROUND(Q76/E76,4),0))</f>
        <v>0</v>
      </c>
      <c r="AD76" s="297">
        <f>IFERROR(IF(VLOOKUP($B76,Shortage!$A:$M,AD$2,FALSE)="Shortage",1,IFERROR(ROUND(R76/F76,4),0)),IFERROR(ROUND(R76/F76,4),0))</f>
        <v>0</v>
      </c>
      <c r="AE76" s="297">
        <f>IFERROR(IF(VLOOKUP($B76,Shortage!$A:$M,AE$2,FALSE)="Shortage",1,IFERROR(ROUND(S76/G76,4),0)),IFERROR(ROUND(S76/G76,4),0))</f>
        <v>0</v>
      </c>
      <c r="AF76" s="297">
        <f>IFERROR(IF(VLOOKUP($B76,Shortage!$A:$M,AF$2,FALSE)="Shortage",1,IFERROR(ROUND(T76/H76,4),0)),IFERROR(ROUND(T76/H76,4),0))</f>
        <v>0</v>
      </c>
      <c r="AG76" s="297">
        <f>IFERROR(IF(VLOOKUP($B76,Shortage!$A:$M,AG$2,FALSE)="Shortage",1,IFERROR(ROUND(U76/I76,4),0)),IFERROR(ROUND(U76/I76,4),0))</f>
        <v>0</v>
      </c>
      <c r="AH76" s="297">
        <f>IFERROR(IF(VLOOKUP($B76,Shortage!$A:$M,AH$2,FALSE)="Shortage",1,IFERROR(ROUND(V76/J76,4),0)),IFERROR(ROUND(V76/J76,4),0))</f>
        <v>0</v>
      </c>
      <c r="AI76" s="297">
        <f>IFERROR(IF(VLOOKUP($B76,Shortage!$A:$M,AI$2,FALSE)="Shortage",1,IFERROR(ROUND(W76/K76,4),0)),IFERROR(ROUND(W76/K76,4),0))</f>
        <v>0</v>
      </c>
      <c r="AJ76" s="297">
        <f>IFERROR(IF(VLOOKUP($B76,Shortage!$A:$M,AJ$2,FALSE)="Shortage",1,IFERROR(ROUND(X76/L76,4),0)),IFERROR(ROUND(X76/L76,4),0))</f>
        <v>0</v>
      </c>
      <c r="AK76" s="297">
        <f>IFERROR(IF(VLOOKUP($B76,Shortage!$A:$M,AK$2,FALSE)="Shortage",1,IFERROR(ROUND(Y76/M76,4),0)),IFERROR(ROUND(Y76/M76,4),0))</f>
        <v>0</v>
      </c>
      <c r="AL76" s="297">
        <f>IFERROR(IF(VLOOKUP($B76,Shortage!$A:$M,AL$2,FALSE)="Shortage",1,IFERROR(ROUND(Z76/N76,4),0)),IFERROR(ROUND(Z76/N76,4),0))</f>
        <v>0</v>
      </c>
      <c r="AM76" s="297">
        <f>IFERROR(IF(VLOOKUP($B76,Shortage!$A:$M,AM$2,FALSE)="Shortage",1,IFERROR(ROUND(AA76/O76,4),0)),IFERROR(ROUND(AA76/O76,4),0))</f>
        <v>0</v>
      </c>
      <c r="AN76" s="298">
        <f>IFERROR(_xlfn.XLOOKUP(AB76,'2) หลักการคำนวน Table'!$C$3:$K$3,'2) หลักการคำนวน Table'!$C$3:$K$3,,1),INDEX('2) หลักการคำนวน Table'!$C$3:$K$3,1))</f>
        <v>1</v>
      </c>
      <c r="AO76" s="298">
        <f>IFERROR(
  _xlfn.XLOOKUP(AC76,'2) หลักการคำนวน Table'!$C$3:$K$3,'2) หลักการคำนวน Table'!$C$3:$K$3,,1),
  IF(AC76&lt;MIN('2) หลักการคำนวน Table'!$C$3:$K$3),
     MIN('2) หลักการคำนวน Table'!$C$3:$K$3),
     MAX('2) หลักการคำนวน Table'!$C$3:$K$3)
  )
)</f>
        <v>0.9</v>
      </c>
      <c r="AP76" s="298">
        <f>IFERROR(
  _xlfn.XLOOKUP(AD76,'2) หลักการคำนวน Table'!$C$3:$K$3,'2) หลักการคำนวน Table'!$C$3:$K$3,,1),
  IF(AD76&lt;MIN('2) หลักการคำนวน Table'!$C$3:$K$3),
     MIN('2) หลักการคำนวน Table'!$C$3:$K$3),
     MAX('2) หลักการคำนวน Table'!$C$3:$K$3)
  )
)</f>
        <v>0.9</v>
      </c>
      <c r="AQ76" s="298">
        <f>IFERROR(
  _xlfn.XLOOKUP(AE76,'2) หลักการคำนวน Table'!$C$3:$K$3,'2) หลักการคำนวน Table'!$C$3:$K$3,,1),
  IF(AE76&lt;MIN('2) หลักการคำนวน Table'!$C$3:$K$3),
     MIN('2) หลักการคำนวน Table'!$C$3:$K$3),
     MAX('2) หลักการคำนวน Table'!$C$3:$K$3)
  )
)</f>
        <v>0.9</v>
      </c>
      <c r="AR76" s="298">
        <f>IFERROR(
  _xlfn.XLOOKUP(AF76,'2) หลักการคำนวน Table'!$C$3:$K$3,'2) หลักการคำนวน Table'!$C$3:$K$3,,1),
  IF(AF76&lt;MIN('2) หลักการคำนวน Table'!$C$3:$K$3),
     MIN('2) หลักการคำนวน Table'!$C$3:$K$3),
     MAX('2) หลักการคำนวน Table'!$C$3:$K$3)
  )
)</f>
        <v>0.9</v>
      </c>
      <c r="AS76" s="298">
        <f>IFERROR(
  _xlfn.XLOOKUP(AG76,'2) หลักการคำนวน Table'!$C$3:$K$3,'2) หลักการคำนวน Table'!$C$3:$K$3,,1),
  IF(AG76&lt;MIN('2) หลักการคำนวน Table'!$C$3:$K$3),
     MIN('2) หลักการคำนวน Table'!$C$3:$K$3),
     MAX('2) หลักการคำนวน Table'!$C$3:$K$3)
  )
)</f>
        <v>0.9</v>
      </c>
      <c r="AT76" s="298">
        <f>IFERROR(
  _xlfn.XLOOKUP(AH76,'2) หลักการคำนวน Table'!$C$3:$K$3,'2) หลักการคำนวน Table'!$C$3:$K$3,,1),
  IF(AH76&lt;MIN('2) หลักการคำนวน Table'!$C$3:$K$3),
     MIN('2) หลักการคำนวน Table'!$C$3:$K$3),
     MAX('2) หลักการคำนวน Table'!$C$3:$K$3)
  )
)</f>
        <v>0.9</v>
      </c>
      <c r="AU76" s="298">
        <f>IFERROR(
  _xlfn.XLOOKUP(AI76,'2) หลักการคำนวน Table'!$C$3:$K$3,'2) หลักการคำนวน Table'!$C$3:$K$3,,1),
  IF(AI76&lt;MIN('2) หลักการคำนวน Table'!$C$3:$K$3),
     MIN('2) หลักการคำนวน Table'!$C$3:$K$3),
     MAX('2) หลักการคำนวน Table'!$C$3:$K$3)
  )
)</f>
        <v>0.9</v>
      </c>
      <c r="AV76" s="298">
        <f>IFERROR(
  _xlfn.XLOOKUP(AJ76,'2) หลักการคำนวน Table'!$C$3:$K$3,'2) หลักการคำนวน Table'!$C$3:$K$3,,1),
  IF(AJ76&lt;MIN('2) หลักการคำนวน Table'!$C$3:$K$3),
     MIN('2) หลักการคำนวน Table'!$C$3:$K$3),
     MAX('2) หลักการคำนวน Table'!$C$3:$K$3)
  )
)</f>
        <v>0.9</v>
      </c>
      <c r="AW76" s="298">
        <f>IFERROR(
  _xlfn.XLOOKUP(AK76,'2) หลักการคำนวน Table'!$C$3:$K$3,'2) หลักการคำนวน Table'!$C$3:$K$3,,1),
  IF(AK76&lt;MIN('2) หลักการคำนวน Table'!$C$3:$K$3),
     MIN('2) หลักการคำนวน Table'!$C$3:$K$3),
     MAX('2) หลักการคำนวน Table'!$C$3:$K$3)
  )
)</f>
        <v>0.9</v>
      </c>
      <c r="AX76" s="298">
        <f>IFERROR(
  _xlfn.XLOOKUP(AL76,'2) หลักการคำนวน Table'!$C$3:$K$3,'2) หลักการคำนวน Table'!$C$3:$K$3,,1),
  IF(AL76&lt;MIN('2) หลักการคำนวน Table'!$C$3:$K$3),
     MIN('2) หลักการคำนวน Table'!$C$3:$K$3),
     MAX('2) หลักการคำนวน Table'!$C$3:$K$3)
  )
)</f>
        <v>0.9</v>
      </c>
      <c r="AY76" s="298">
        <f>IFERROR(
  _xlfn.XLOOKUP(AM76,'2) หลักการคำนวน Table'!$C$3:$K$3,'2) หลักการคำนวน Table'!$C$3:$K$3,,1),
  IF(AM76&lt;MIN('2) หลักการคำนวน Table'!$C$3:$K$3),
     MIN('2) หลักการคำนวน Table'!$C$3:$K$3),
     MAX('2) หลักการคำนวน Table'!$C$3:$K$3)
  )
)</f>
        <v>0.9</v>
      </c>
      <c r="AZ76" s="299" t="e" cm="1">
        <f t="array" ref="AZ76">ROUND((_xlfn.XLOOKUP($C76,'2) หลักการคำนวน Table'!$A$4:$A$36,
_xlfn.XLOOKUP(AN76,'2)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A76" s="299" t="e" cm="1">
        <f t="array" ref="BA76">ROUND((_xlfn.XLOOKUP($C76,'2) หลักการคำนวน Table'!$A$4:$A$36,
_xlfn.XLOOKUP(AO76,'2)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B76" s="299" t="e" cm="1">
        <f t="array" ref="BB76">ROUND((_xlfn.XLOOKUP($C76,'2) หลักการคำนวน Table'!$A$4:$A$36,
_xlfn.XLOOKUP(AP76,'2)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C76" s="299" t="e" cm="1">
        <f t="array" ref="BC76">ROUND((_xlfn.XLOOKUP($C76,'2) หลักการคำนวน Table'!$A$4:$A$36,
_xlfn.XLOOKUP(AQ76,'2)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D76" s="299" t="e" cm="1">
        <f t="array" ref="BD76">ROUND((_xlfn.XLOOKUP($C76,'2) หลักการคำนวน Table'!$A$4:$A$36,
_xlfn.XLOOKUP(AR76,'2)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E76" s="299" t="e" cm="1">
        <f t="array" ref="BE76">ROUND((_xlfn.XLOOKUP($C76,'2) หลักการคำนวน Table'!$A$4:$A$36,
_xlfn.XLOOKUP(AS76,'2)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F76" s="299" t="e" cm="1">
        <f t="array" ref="BF76">ROUND((_xlfn.XLOOKUP($C76,'2) หลักการคำนวน Table'!$A$4:$A$36,
_xlfn.XLOOKUP(AT76,'2)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G76" s="299" t="e" cm="1">
        <f t="array" ref="BG76">ROUND((_xlfn.XLOOKUP($C76,'2) หลักการคำนวน Table'!$A$4:$A$36,
_xlfn.XLOOKUP(AU76,'2)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H76" s="299" t="e" cm="1">
        <f t="array" ref="BH76">ROUND((_xlfn.XLOOKUP($C76,'2) หลักการคำนวน Table'!$A$4:$A$36,
_xlfn.XLOOKUP(AV76,'2)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I76" s="299" t="e" cm="1">
        <f t="array" ref="BI76">ROUND((_xlfn.XLOOKUP($C76,'2) หลักการคำนวน Table'!$A$4:$A$36,
_xlfn.XLOOKUP(AW76,'2)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J76" s="299" t="e" cm="1">
        <f t="array" ref="BJ76">ROUND((_xlfn.XLOOKUP($C76,'2) หลักการคำนวน Table'!$A$4:$A$36,
_xlfn.XLOOKUP(AX76,'2)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K76" s="299" t="e" cm="1">
        <f t="array" ref="BK76">ROUND((_xlfn.XLOOKUP($C76,'2) หลักการคำนวน Table'!$A$4:$A$36,
_xlfn.XLOOKUP(AY76,'2) หลักการคำนวน Table'!$C$3:$K$3,'2) หลักการคำนวน Table'!$C$4:$K$36,,-1)))*(_xlfn.XLOOKUP($C76,'2) หลักการคำนวน Table'!$A$4:$A$36, _xlfn.XLOOKUP($B76,'2) หลักการคำนวน Table'!$L$3:$Z$3,'2) หลักการคำนวน Table'!$L$4:$Z$36))),0)</f>
        <v>#N/A</v>
      </c>
      <c r="BM76" s="295">
        <v>222219</v>
      </c>
      <c r="BN76" s="300">
        <v>174</v>
      </c>
    </row>
    <row r="77" spans="1:66" ht="14.7" customHeight="1" x14ac:dyDescent="0.25">
      <c r="A77" s="126" t="e">
        <f>VLOOKUP(C77,ASTBase!E:S,13,FALSE)</f>
        <v>#N/A</v>
      </c>
      <c r="B77" s="126" t="s">
        <v>408</v>
      </c>
      <c r="C77" s="126">
        <v>5490000719</v>
      </c>
      <c r="D77" s="127">
        <v>13500</v>
      </c>
      <c r="E77" s="127">
        <v>15500</v>
      </c>
      <c r="F77" s="127">
        <v>15500</v>
      </c>
      <c r="G77" s="127">
        <v>16000</v>
      </c>
      <c r="H77" s="127">
        <v>17500</v>
      </c>
      <c r="I77" s="127">
        <v>16000</v>
      </c>
      <c r="J77" s="127">
        <v>17000</v>
      </c>
      <c r="K77" s="127">
        <v>17000</v>
      </c>
      <c r="L77" s="127">
        <v>18000</v>
      </c>
      <c r="M77" s="127">
        <v>18000</v>
      </c>
      <c r="N77" s="127">
        <v>18000</v>
      </c>
      <c r="O77" s="127">
        <v>18000</v>
      </c>
      <c r="P77" s="126">
        <v>20885.759999999998</v>
      </c>
      <c r="AB77" s="297">
        <f>IFERROR(IF(VLOOKUP($B77,Shortage!$A:$M,AB$2,FALSE)="Shortage",1,IFERROR(ROUND(P77/D77,4),0)),IFERROR(ROUND(P77/D77,4),0))</f>
        <v>1.5470999999999999</v>
      </c>
      <c r="AC77" s="297">
        <f>IFERROR(IF(VLOOKUP($B77,Shortage!$A:$M,AC$2,FALSE)="Shortage",1,IFERROR(ROUND(Q77/E77,4),0)),IFERROR(ROUND(Q77/E77,4),0))</f>
        <v>0</v>
      </c>
      <c r="AD77" s="297">
        <f>IFERROR(IF(VLOOKUP($B77,Shortage!$A:$M,AD$2,FALSE)="Shortage",1,IFERROR(ROUND(R77/F77,4),0)),IFERROR(ROUND(R77/F77,4),0))</f>
        <v>0</v>
      </c>
      <c r="AE77" s="297">
        <f>IFERROR(IF(VLOOKUP($B77,Shortage!$A:$M,AE$2,FALSE)="Shortage",1,IFERROR(ROUND(S77/G77,4),0)),IFERROR(ROUND(S77/G77,4),0))</f>
        <v>0</v>
      </c>
      <c r="AF77" s="297">
        <f>IFERROR(IF(VLOOKUP($B77,Shortage!$A:$M,AF$2,FALSE)="Shortage",1,IFERROR(ROUND(T77/H77,4),0)),IFERROR(ROUND(T77/H77,4),0))</f>
        <v>0</v>
      </c>
      <c r="AG77" s="297">
        <f>IFERROR(IF(VLOOKUP($B77,Shortage!$A:$M,AG$2,FALSE)="Shortage",1,IFERROR(ROUND(U77/I77,4),0)),IFERROR(ROUND(U77/I77,4),0))</f>
        <v>0</v>
      </c>
      <c r="AH77" s="297">
        <f>IFERROR(IF(VLOOKUP($B77,Shortage!$A:$M,AH$2,FALSE)="Shortage",1,IFERROR(ROUND(V77/J77,4),0)),IFERROR(ROUND(V77/J77,4),0))</f>
        <v>0</v>
      </c>
      <c r="AI77" s="297">
        <f>IFERROR(IF(VLOOKUP($B77,Shortage!$A:$M,AI$2,FALSE)="Shortage",1,IFERROR(ROUND(W77/K77,4),0)),IFERROR(ROUND(W77/K77,4),0))</f>
        <v>0</v>
      </c>
      <c r="AJ77" s="297">
        <f>IFERROR(IF(VLOOKUP($B77,Shortage!$A:$M,AJ$2,FALSE)="Shortage",1,IFERROR(ROUND(X77/L77,4),0)),IFERROR(ROUND(X77/L77,4),0))</f>
        <v>0</v>
      </c>
      <c r="AK77" s="297">
        <f>IFERROR(IF(VLOOKUP($B77,Shortage!$A:$M,AK$2,FALSE)="Shortage",1,IFERROR(ROUND(Y77/M77,4),0)),IFERROR(ROUND(Y77/M77,4),0))</f>
        <v>0</v>
      </c>
      <c r="AL77" s="297">
        <f>IFERROR(IF(VLOOKUP($B77,Shortage!$A:$M,AL$2,FALSE)="Shortage",1,IFERROR(ROUND(Z77/N77,4),0)),IFERROR(ROUND(Z77/N77,4),0))</f>
        <v>0</v>
      </c>
      <c r="AM77" s="297">
        <f>IFERROR(IF(VLOOKUP($B77,Shortage!$A:$M,AM$2,FALSE)="Shortage",1,IFERROR(ROUND(AA77/O77,4),0)),IFERROR(ROUND(AA77/O77,4),0))</f>
        <v>0</v>
      </c>
      <c r="AN77" s="298">
        <f>IFERROR(_xlfn.XLOOKUP(AB77,'2) หลักการคำนวน Table'!$C$3:$K$3,'2) หลักการคำนวน Table'!$C$3:$K$3,,1),INDEX('2) หลักการคำนวน Table'!$C$3:$K$3,1))</f>
        <v>20</v>
      </c>
      <c r="AO77" s="298">
        <f>IFERROR(
  _xlfn.XLOOKUP(AC77,'2) หลักการคำนวน Table'!$C$3:$K$3,'2) หลักการคำนวน Table'!$C$3:$K$3,,1),
  IF(AC77&lt;MIN('2) หลักการคำนวน Table'!$C$3:$K$3),
     MIN('2) หลักการคำนวน Table'!$C$3:$K$3),
     MAX('2) หลักการคำนวน Table'!$C$3:$K$3)
  )
)</f>
        <v>0.9</v>
      </c>
      <c r="AP77" s="298">
        <f>IFERROR(
  _xlfn.XLOOKUP(AD77,'2) หลักการคำนวน Table'!$C$3:$K$3,'2) หลักการคำนวน Table'!$C$3:$K$3,,1),
  IF(AD77&lt;MIN('2) หลักการคำนวน Table'!$C$3:$K$3),
     MIN('2) หลักการคำนวน Table'!$C$3:$K$3),
     MAX('2) หลักการคำนวน Table'!$C$3:$K$3)
  )
)</f>
        <v>0.9</v>
      </c>
      <c r="AQ77" s="298">
        <f>IFERROR(
  _xlfn.XLOOKUP(AE77,'2) หลักการคำนวน Table'!$C$3:$K$3,'2) หลักการคำนวน Table'!$C$3:$K$3,,1),
  IF(AE77&lt;MIN('2) หลักการคำนวน Table'!$C$3:$K$3),
     MIN('2) หลักการคำนวน Table'!$C$3:$K$3),
     MAX('2) หลักการคำนวน Table'!$C$3:$K$3)
  )
)</f>
        <v>0.9</v>
      </c>
      <c r="AR77" s="298">
        <f>IFERROR(
  _xlfn.XLOOKUP(AF77,'2) หลักการคำนวน Table'!$C$3:$K$3,'2) หลักการคำนวน Table'!$C$3:$K$3,,1),
  IF(AF77&lt;MIN('2) หลักการคำนวน Table'!$C$3:$K$3),
     MIN('2) หลักการคำนวน Table'!$C$3:$K$3),
     MAX('2) หลักการคำนวน Table'!$C$3:$K$3)
  )
)</f>
        <v>0.9</v>
      </c>
      <c r="AS77" s="298">
        <f>IFERROR(
  _xlfn.XLOOKUP(AG77,'2) หลักการคำนวน Table'!$C$3:$K$3,'2) หลักการคำนวน Table'!$C$3:$K$3,,1),
  IF(AG77&lt;MIN('2) หลักการคำนวน Table'!$C$3:$K$3),
     MIN('2) หลักการคำนวน Table'!$C$3:$K$3),
     MAX('2) หลักการคำนวน Table'!$C$3:$K$3)
  )
)</f>
        <v>0.9</v>
      </c>
      <c r="AT77" s="298">
        <f>IFERROR(
  _xlfn.XLOOKUP(AH77,'2) หลักการคำนวน Table'!$C$3:$K$3,'2) หลักการคำนวน Table'!$C$3:$K$3,,1),
  IF(AH77&lt;MIN('2) หลักการคำนวน Table'!$C$3:$K$3),
     MIN('2) หลักการคำนวน Table'!$C$3:$K$3),
     MAX('2) หลักการคำนวน Table'!$C$3:$K$3)
  )
)</f>
        <v>0.9</v>
      </c>
      <c r="AU77" s="298">
        <f>IFERROR(
  _xlfn.XLOOKUP(AI77,'2) หลักการคำนวน Table'!$C$3:$K$3,'2) หลักการคำนวน Table'!$C$3:$K$3,,1),
  IF(AI77&lt;MIN('2) หลักการคำนวน Table'!$C$3:$K$3),
     MIN('2) หลักการคำนวน Table'!$C$3:$K$3),
     MAX('2) หลักการคำนวน Table'!$C$3:$K$3)
  )
)</f>
        <v>0.9</v>
      </c>
      <c r="AV77" s="298">
        <f>IFERROR(
  _xlfn.XLOOKUP(AJ77,'2) หลักการคำนวน Table'!$C$3:$K$3,'2) หลักการคำนวน Table'!$C$3:$K$3,,1),
  IF(AJ77&lt;MIN('2) หลักการคำนวน Table'!$C$3:$K$3),
     MIN('2) หลักการคำนวน Table'!$C$3:$K$3),
     MAX('2) หลักการคำนวน Table'!$C$3:$K$3)
  )
)</f>
        <v>0.9</v>
      </c>
      <c r="AW77" s="298">
        <f>IFERROR(
  _xlfn.XLOOKUP(AK77,'2) หลักการคำนวน Table'!$C$3:$K$3,'2) หลักการคำนวน Table'!$C$3:$K$3,,1),
  IF(AK77&lt;MIN('2) หลักการคำนวน Table'!$C$3:$K$3),
     MIN('2) หลักการคำนวน Table'!$C$3:$K$3),
     MAX('2) หลักการคำนวน Table'!$C$3:$K$3)
  )
)</f>
        <v>0.9</v>
      </c>
      <c r="AX77" s="298">
        <f>IFERROR(
  _xlfn.XLOOKUP(AL77,'2) หลักการคำนวน Table'!$C$3:$K$3,'2) หลักการคำนวน Table'!$C$3:$K$3,,1),
  IF(AL77&lt;MIN('2) หลักการคำนวน Table'!$C$3:$K$3),
     MIN('2) หลักการคำนวน Table'!$C$3:$K$3),
     MAX('2) หลักการคำนวน Table'!$C$3:$K$3)
  )
)</f>
        <v>0.9</v>
      </c>
      <c r="AY77" s="298">
        <f>IFERROR(
  _xlfn.XLOOKUP(AM77,'2) หลักการคำนวน Table'!$C$3:$K$3,'2) หลักการคำนวน Table'!$C$3:$K$3,,1),
  IF(AM77&lt;MIN('2) หลักการคำนวน Table'!$C$3:$K$3),
     MIN('2) หลักการคำนวน Table'!$C$3:$K$3),
     MAX('2) หลักการคำนวน Table'!$C$3:$K$3)
  )
)</f>
        <v>0.9</v>
      </c>
      <c r="AZ77" s="299" t="e" cm="1">
        <f t="array" ref="AZ77">ROUND((_xlfn.XLOOKUP($C77,'2) หลักการคำนวน Table'!$A$4:$A$36,
_xlfn.XLOOKUP(AN77,'2)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A77" s="299" t="e" cm="1">
        <f t="array" ref="BA77">ROUND((_xlfn.XLOOKUP($C77,'2) หลักการคำนวน Table'!$A$4:$A$36,
_xlfn.XLOOKUP(AO77,'2)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B77" s="299" t="e" cm="1">
        <f t="array" ref="BB77">ROUND((_xlfn.XLOOKUP($C77,'2) หลักการคำนวน Table'!$A$4:$A$36,
_xlfn.XLOOKUP(AP77,'2)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C77" s="299" t="e" cm="1">
        <f t="array" ref="BC77">ROUND((_xlfn.XLOOKUP($C77,'2) หลักการคำนวน Table'!$A$4:$A$36,
_xlfn.XLOOKUP(AQ77,'2)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D77" s="299" t="e" cm="1">
        <f t="array" ref="BD77">ROUND((_xlfn.XLOOKUP($C77,'2) หลักการคำนวน Table'!$A$4:$A$36,
_xlfn.XLOOKUP(AR77,'2)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E77" s="299" t="e" cm="1">
        <f t="array" ref="BE77">ROUND((_xlfn.XLOOKUP($C77,'2) หลักการคำนวน Table'!$A$4:$A$36,
_xlfn.XLOOKUP(AS77,'2)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F77" s="299" t="e" cm="1">
        <f t="array" ref="BF77">ROUND((_xlfn.XLOOKUP($C77,'2) หลักการคำนวน Table'!$A$4:$A$36,
_xlfn.XLOOKUP(AT77,'2)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G77" s="299" t="e" cm="1">
        <f t="array" ref="BG77">ROUND((_xlfn.XLOOKUP($C77,'2) หลักการคำนวน Table'!$A$4:$A$36,
_xlfn.XLOOKUP(AU77,'2)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H77" s="299" t="e" cm="1">
        <f t="array" ref="BH77">ROUND((_xlfn.XLOOKUP($C77,'2) หลักการคำนวน Table'!$A$4:$A$36,
_xlfn.XLOOKUP(AV77,'2)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I77" s="299" t="e" cm="1">
        <f t="array" ref="BI77">ROUND((_xlfn.XLOOKUP($C77,'2) หลักการคำนวน Table'!$A$4:$A$36,
_xlfn.XLOOKUP(AW77,'2)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J77" s="299" t="e" cm="1">
        <f t="array" ref="BJ77">ROUND((_xlfn.XLOOKUP($C77,'2) หลักการคำนวน Table'!$A$4:$A$36,
_xlfn.XLOOKUP(AX77,'2)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K77" s="299" t="e" cm="1">
        <f t="array" ref="BK77">ROUND((_xlfn.XLOOKUP($C77,'2) หลักการคำนวน Table'!$A$4:$A$36,
_xlfn.XLOOKUP(AY77,'2) หลักการคำนวน Table'!$C$3:$K$3,'2) หลักการคำนวน Table'!$C$4:$K$36,,-1)))*(_xlfn.XLOOKUP($C77,'2) หลักการคำนวน Table'!$A$4:$A$36, _xlfn.XLOOKUP($B77,'2) หลักการคำนวน Table'!$L$3:$Z$3,'2) หลักการคำนวน Table'!$L$4:$Z$36))),0)</f>
        <v>#N/A</v>
      </c>
      <c r="BM77" s="295">
        <v>222219</v>
      </c>
      <c r="BN77" s="300">
        <v>378</v>
      </c>
    </row>
    <row r="78" spans="1:66" ht="14.7" customHeight="1" x14ac:dyDescent="0.25">
      <c r="A78" s="126" t="e">
        <f>VLOOKUP(C78,ASTBase!E:S,13,FALSE)</f>
        <v>#N/A</v>
      </c>
      <c r="B78" s="126" t="s">
        <v>407</v>
      </c>
      <c r="C78" s="126">
        <v>5490000719</v>
      </c>
      <c r="D78" s="127">
        <v>37300</v>
      </c>
      <c r="E78" s="127">
        <v>37350</v>
      </c>
      <c r="F78" s="127">
        <v>44450</v>
      </c>
      <c r="G78" s="127">
        <v>34450</v>
      </c>
      <c r="H78" s="127">
        <v>34450</v>
      </c>
      <c r="I78" s="127">
        <v>34450</v>
      </c>
      <c r="J78" s="127">
        <v>34950</v>
      </c>
      <c r="K78" s="127">
        <v>39050</v>
      </c>
      <c r="L78" s="127">
        <v>36650</v>
      </c>
      <c r="M78" s="127">
        <v>34950</v>
      </c>
      <c r="N78" s="127">
        <v>34450</v>
      </c>
      <c r="O78" s="127">
        <v>37500</v>
      </c>
      <c r="P78" s="126">
        <v>35617.999999673069</v>
      </c>
      <c r="AB78" s="297">
        <f>IFERROR(IF(VLOOKUP($B78,Shortage!$A:$M,AB$2,FALSE)="Shortage",1,IFERROR(ROUND(P78/D78,4),0)),IFERROR(ROUND(P78/D78,4),0))</f>
        <v>0.95489999999999997</v>
      </c>
      <c r="AC78" s="297">
        <f>IFERROR(IF(VLOOKUP($B78,Shortage!$A:$M,AC$2,FALSE)="Shortage",1,IFERROR(ROUND(Q78/E78,4),0)),IFERROR(ROUND(Q78/E78,4),0))</f>
        <v>0</v>
      </c>
      <c r="AD78" s="297">
        <f>IFERROR(IF(VLOOKUP($B78,Shortage!$A:$M,AD$2,FALSE)="Shortage",1,IFERROR(ROUND(R78/F78,4),0)),IFERROR(ROUND(R78/F78,4),0))</f>
        <v>0</v>
      </c>
      <c r="AE78" s="297">
        <f>IFERROR(IF(VLOOKUP($B78,Shortage!$A:$M,AE$2,FALSE)="Shortage",1,IFERROR(ROUND(S78/G78,4),0)),IFERROR(ROUND(S78/G78,4),0))</f>
        <v>0</v>
      </c>
      <c r="AF78" s="297">
        <f>IFERROR(IF(VLOOKUP($B78,Shortage!$A:$M,AF$2,FALSE)="Shortage",1,IFERROR(ROUND(T78/H78,4),0)),IFERROR(ROUND(T78/H78,4),0))</f>
        <v>0</v>
      </c>
      <c r="AG78" s="297">
        <f>IFERROR(IF(VLOOKUP($B78,Shortage!$A:$M,AG$2,FALSE)="Shortage",1,IFERROR(ROUND(U78/I78,4),0)),IFERROR(ROUND(U78/I78,4),0))</f>
        <v>0</v>
      </c>
      <c r="AH78" s="297">
        <f>IFERROR(IF(VLOOKUP($B78,Shortage!$A:$M,AH$2,FALSE)="Shortage",1,IFERROR(ROUND(V78/J78,4),0)),IFERROR(ROUND(V78/J78,4),0))</f>
        <v>0</v>
      </c>
      <c r="AI78" s="297">
        <f>IFERROR(IF(VLOOKUP($B78,Shortage!$A:$M,AI$2,FALSE)="Shortage",1,IFERROR(ROUND(W78/K78,4),0)),IFERROR(ROUND(W78/K78,4),0))</f>
        <v>0</v>
      </c>
      <c r="AJ78" s="297">
        <f>IFERROR(IF(VLOOKUP($B78,Shortage!$A:$M,AJ$2,FALSE)="Shortage",1,IFERROR(ROUND(X78/L78,4),0)),IFERROR(ROUND(X78/L78,4),0))</f>
        <v>0</v>
      </c>
      <c r="AK78" s="297">
        <f>IFERROR(IF(VLOOKUP($B78,Shortage!$A:$M,AK$2,FALSE)="Shortage",1,IFERROR(ROUND(Y78/M78,4),0)),IFERROR(ROUND(Y78/M78,4),0))</f>
        <v>0</v>
      </c>
      <c r="AL78" s="297">
        <f>IFERROR(IF(VLOOKUP($B78,Shortage!$A:$M,AL$2,FALSE)="Shortage",1,IFERROR(ROUND(Z78/N78,4),0)),IFERROR(ROUND(Z78/N78,4),0))</f>
        <v>0</v>
      </c>
      <c r="AM78" s="297">
        <f>IFERROR(IF(VLOOKUP($B78,Shortage!$A:$M,AM$2,FALSE)="Shortage",1,IFERROR(ROUND(AA78/O78,4),0)),IFERROR(ROUND(AA78/O78,4),0))</f>
        <v>0</v>
      </c>
      <c r="AN78" s="298">
        <f>IFERROR(_xlfn.XLOOKUP(AB78,'2) หลักการคำนวน Table'!$C$3:$K$3,'2) หลักการคำนวน Table'!$C$3:$K$3,,1),INDEX('2) หลักการคำนวน Table'!$C$3:$K$3,1))</f>
        <v>1</v>
      </c>
      <c r="AO78" s="298">
        <f>IFERROR(
  _xlfn.XLOOKUP(AC78,'2) หลักการคำนวน Table'!$C$3:$K$3,'2) หลักการคำนวน Table'!$C$3:$K$3,,1),
  IF(AC78&lt;MIN('2) หลักการคำนวน Table'!$C$3:$K$3),
     MIN('2) หลักการคำนวน Table'!$C$3:$K$3),
     MAX('2) หลักการคำนวน Table'!$C$3:$K$3)
  )
)</f>
        <v>0.9</v>
      </c>
      <c r="AP78" s="298">
        <f>IFERROR(
  _xlfn.XLOOKUP(AD78,'2) หลักการคำนวน Table'!$C$3:$K$3,'2) หลักการคำนวน Table'!$C$3:$K$3,,1),
  IF(AD78&lt;MIN('2) หลักการคำนวน Table'!$C$3:$K$3),
     MIN('2) หลักการคำนวน Table'!$C$3:$K$3),
     MAX('2) หลักการคำนวน Table'!$C$3:$K$3)
  )
)</f>
        <v>0.9</v>
      </c>
      <c r="AQ78" s="298">
        <f>IFERROR(
  _xlfn.XLOOKUP(AE78,'2) หลักการคำนวน Table'!$C$3:$K$3,'2) หลักการคำนวน Table'!$C$3:$K$3,,1),
  IF(AE78&lt;MIN('2) หลักการคำนวน Table'!$C$3:$K$3),
     MIN('2) หลักการคำนวน Table'!$C$3:$K$3),
     MAX('2) หลักการคำนวน Table'!$C$3:$K$3)
  )
)</f>
        <v>0.9</v>
      </c>
      <c r="AR78" s="298">
        <f>IFERROR(
  _xlfn.XLOOKUP(AF78,'2) หลักการคำนวน Table'!$C$3:$K$3,'2) หลักการคำนวน Table'!$C$3:$K$3,,1),
  IF(AF78&lt;MIN('2) หลักการคำนวน Table'!$C$3:$K$3),
     MIN('2) หลักการคำนวน Table'!$C$3:$K$3),
     MAX('2) หลักการคำนวน Table'!$C$3:$K$3)
  )
)</f>
        <v>0.9</v>
      </c>
      <c r="AS78" s="298">
        <f>IFERROR(
  _xlfn.XLOOKUP(AG78,'2) หลักการคำนวน Table'!$C$3:$K$3,'2) หลักการคำนวน Table'!$C$3:$K$3,,1),
  IF(AG78&lt;MIN('2) หลักการคำนวน Table'!$C$3:$K$3),
     MIN('2) หลักการคำนวน Table'!$C$3:$K$3),
     MAX('2) หลักการคำนวน Table'!$C$3:$K$3)
  )
)</f>
        <v>0.9</v>
      </c>
      <c r="AT78" s="298">
        <f>IFERROR(
  _xlfn.XLOOKUP(AH78,'2) หลักการคำนวน Table'!$C$3:$K$3,'2) หลักการคำนวน Table'!$C$3:$K$3,,1),
  IF(AH78&lt;MIN('2) หลักการคำนวน Table'!$C$3:$K$3),
     MIN('2) หลักการคำนวน Table'!$C$3:$K$3),
     MAX('2) หลักการคำนวน Table'!$C$3:$K$3)
  )
)</f>
        <v>0.9</v>
      </c>
      <c r="AU78" s="298">
        <f>IFERROR(
  _xlfn.XLOOKUP(AI78,'2) หลักการคำนวน Table'!$C$3:$K$3,'2) หลักการคำนวน Table'!$C$3:$K$3,,1),
  IF(AI78&lt;MIN('2) หลักการคำนวน Table'!$C$3:$K$3),
     MIN('2) หลักการคำนวน Table'!$C$3:$K$3),
     MAX('2) หลักการคำนวน Table'!$C$3:$K$3)
  )
)</f>
        <v>0.9</v>
      </c>
      <c r="AV78" s="298">
        <f>IFERROR(
  _xlfn.XLOOKUP(AJ78,'2) หลักการคำนวน Table'!$C$3:$K$3,'2) หลักการคำนวน Table'!$C$3:$K$3,,1),
  IF(AJ78&lt;MIN('2) หลักการคำนวน Table'!$C$3:$K$3),
     MIN('2) หลักการคำนวน Table'!$C$3:$K$3),
     MAX('2) หลักการคำนวน Table'!$C$3:$K$3)
  )
)</f>
        <v>0.9</v>
      </c>
      <c r="AW78" s="298">
        <f>IFERROR(
  _xlfn.XLOOKUP(AK78,'2) หลักการคำนวน Table'!$C$3:$K$3,'2) หลักการคำนวน Table'!$C$3:$K$3,,1),
  IF(AK78&lt;MIN('2) หลักการคำนวน Table'!$C$3:$K$3),
     MIN('2) หลักการคำนวน Table'!$C$3:$K$3),
     MAX('2) หลักการคำนวน Table'!$C$3:$K$3)
  )
)</f>
        <v>0.9</v>
      </c>
      <c r="AX78" s="298">
        <f>IFERROR(
  _xlfn.XLOOKUP(AL78,'2) หลักการคำนวน Table'!$C$3:$K$3,'2) หลักการคำนวน Table'!$C$3:$K$3,,1),
  IF(AL78&lt;MIN('2) หลักการคำนวน Table'!$C$3:$K$3),
     MIN('2) หลักการคำนวน Table'!$C$3:$K$3),
     MAX('2) หลักการคำนวน Table'!$C$3:$K$3)
  )
)</f>
        <v>0.9</v>
      </c>
      <c r="AY78" s="298">
        <f>IFERROR(
  _xlfn.XLOOKUP(AM78,'2) หลักการคำนวน Table'!$C$3:$K$3,'2) หลักการคำนวน Table'!$C$3:$K$3,,1),
  IF(AM78&lt;MIN('2) หลักการคำนวน Table'!$C$3:$K$3),
     MIN('2) หลักการคำนวน Table'!$C$3:$K$3),
     MAX('2) หลักการคำนวน Table'!$C$3:$K$3)
  )
)</f>
        <v>0.9</v>
      </c>
      <c r="AZ78" s="299" t="e" cm="1">
        <f t="array" ref="AZ78">ROUND((_xlfn.XLOOKUP($C78,'2) หลักการคำนวน Table'!$A$4:$A$36,
_xlfn.XLOOKUP(AN78,'2)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A78" s="299" t="e" cm="1">
        <f t="array" ref="BA78">ROUND((_xlfn.XLOOKUP($C78,'2) หลักการคำนวน Table'!$A$4:$A$36,
_xlfn.XLOOKUP(AO78,'2)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B78" s="299" t="e" cm="1">
        <f t="array" ref="BB78">ROUND((_xlfn.XLOOKUP($C78,'2) หลักการคำนวน Table'!$A$4:$A$36,
_xlfn.XLOOKUP(AP78,'2)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C78" s="299" t="e" cm="1">
        <f t="array" ref="BC78">ROUND((_xlfn.XLOOKUP($C78,'2) หลักการคำนวน Table'!$A$4:$A$36,
_xlfn.XLOOKUP(AQ78,'2)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D78" s="299" t="e" cm="1">
        <f t="array" ref="BD78">ROUND((_xlfn.XLOOKUP($C78,'2) หลักการคำนวน Table'!$A$4:$A$36,
_xlfn.XLOOKUP(AR78,'2)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E78" s="299" t="e" cm="1">
        <f t="array" ref="BE78">ROUND((_xlfn.XLOOKUP($C78,'2) หลักการคำนวน Table'!$A$4:$A$36,
_xlfn.XLOOKUP(AS78,'2)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F78" s="299" t="e" cm="1">
        <f t="array" ref="BF78">ROUND((_xlfn.XLOOKUP($C78,'2) หลักการคำนวน Table'!$A$4:$A$36,
_xlfn.XLOOKUP(AT78,'2)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G78" s="299" t="e" cm="1">
        <f t="array" ref="BG78">ROUND((_xlfn.XLOOKUP($C78,'2) หลักการคำนวน Table'!$A$4:$A$36,
_xlfn.XLOOKUP(AU78,'2)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H78" s="299" t="e" cm="1">
        <f t="array" ref="BH78">ROUND((_xlfn.XLOOKUP($C78,'2) หลักการคำนวน Table'!$A$4:$A$36,
_xlfn.XLOOKUP(AV78,'2)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I78" s="299" t="e" cm="1">
        <f t="array" ref="BI78">ROUND((_xlfn.XLOOKUP($C78,'2) หลักการคำนวน Table'!$A$4:$A$36,
_xlfn.XLOOKUP(AW78,'2)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J78" s="299" t="e" cm="1">
        <f t="array" ref="BJ78">ROUND((_xlfn.XLOOKUP($C78,'2) หลักการคำนวน Table'!$A$4:$A$36,
_xlfn.XLOOKUP(AX78,'2)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K78" s="299" t="e" cm="1">
        <f t="array" ref="BK78">ROUND((_xlfn.XLOOKUP($C78,'2) หลักการคำนวน Table'!$A$4:$A$36,
_xlfn.XLOOKUP(AY78,'2) หลักการคำนวน Table'!$C$3:$K$3,'2) หลักการคำนวน Table'!$C$4:$K$36,,-1)))*(_xlfn.XLOOKUP($C78,'2) หลักการคำนวน Table'!$A$4:$A$36, _xlfn.XLOOKUP($B78,'2) หลักการคำนวน Table'!$L$3:$Z$3,'2) หลักการคำนวน Table'!$L$4:$Z$36))),0)</f>
        <v>#N/A</v>
      </c>
      <c r="BM78" s="295">
        <v>222219</v>
      </c>
      <c r="BN78" s="300">
        <v>581</v>
      </c>
    </row>
    <row r="79" spans="1:66" ht="14.7" customHeight="1" x14ac:dyDescent="0.25">
      <c r="A79" s="126" t="e">
        <f>VLOOKUP(C79,ASTBase!E:S,13,FALSE)</f>
        <v>#N/A</v>
      </c>
      <c r="B79" s="126" t="s">
        <v>418</v>
      </c>
      <c r="C79" s="126">
        <v>5490000719</v>
      </c>
      <c r="D79" s="127">
        <v>0</v>
      </c>
      <c r="E79" s="127">
        <v>0</v>
      </c>
      <c r="F79" s="127">
        <v>0</v>
      </c>
      <c r="G79" s="127">
        <v>0</v>
      </c>
      <c r="H79" s="127">
        <v>0</v>
      </c>
      <c r="I79" s="127">
        <v>0</v>
      </c>
      <c r="J79" s="127">
        <v>0</v>
      </c>
      <c r="K79" s="127">
        <v>0</v>
      </c>
      <c r="L79" s="127">
        <v>0</v>
      </c>
      <c r="M79" s="127">
        <v>700</v>
      </c>
      <c r="N79" s="127">
        <v>700</v>
      </c>
      <c r="O79" s="127">
        <v>600</v>
      </c>
      <c r="P79" s="126">
        <v>0</v>
      </c>
      <c r="AB79" s="297">
        <f>IFERROR(IF(VLOOKUP($B79,Shortage!$A:$M,AB$2,FALSE)="Shortage",1,IFERROR(ROUND(P79/D79,4),0)),IFERROR(ROUND(P79/D79,4),0))</f>
        <v>0</v>
      </c>
      <c r="AC79" s="297">
        <f>IFERROR(IF(VLOOKUP($B79,Shortage!$A:$M,AC$2,FALSE)="Shortage",1,IFERROR(ROUND(Q79/E79,4),0)),IFERROR(ROUND(Q79/E79,4),0))</f>
        <v>0</v>
      </c>
      <c r="AD79" s="297">
        <f>IFERROR(IF(VLOOKUP($B79,Shortage!$A:$M,AD$2,FALSE)="Shortage",1,IFERROR(ROUND(R79/F79,4),0)),IFERROR(ROUND(R79/F79,4),0))</f>
        <v>0</v>
      </c>
      <c r="AE79" s="297">
        <f>IFERROR(IF(VLOOKUP($B79,Shortage!$A:$M,AE$2,FALSE)="Shortage",1,IFERROR(ROUND(S79/G79,4),0)),IFERROR(ROUND(S79/G79,4),0))</f>
        <v>0</v>
      </c>
      <c r="AF79" s="297">
        <f>IFERROR(IF(VLOOKUP($B79,Shortage!$A:$M,AF$2,FALSE)="Shortage",1,IFERROR(ROUND(T79/H79,4),0)),IFERROR(ROUND(T79/H79,4),0))</f>
        <v>0</v>
      </c>
      <c r="AG79" s="297">
        <f>IFERROR(IF(VLOOKUP($B79,Shortage!$A:$M,AG$2,FALSE)="Shortage",1,IFERROR(ROUND(U79/I79,4),0)),IFERROR(ROUND(U79/I79,4),0))</f>
        <v>0</v>
      </c>
      <c r="AH79" s="297">
        <f>IFERROR(IF(VLOOKUP($B79,Shortage!$A:$M,AH$2,FALSE)="Shortage",1,IFERROR(ROUND(V79/J79,4),0)),IFERROR(ROUND(V79/J79,4),0))</f>
        <v>0</v>
      </c>
      <c r="AI79" s="297">
        <f>IFERROR(IF(VLOOKUP($B79,Shortage!$A:$M,AI$2,FALSE)="Shortage",1,IFERROR(ROUND(W79/K79,4),0)),IFERROR(ROUND(W79/K79,4),0))</f>
        <v>0</v>
      </c>
      <c r="AJ79" s="297">
        <f>IFERROR(IF(VLOOKUP($B79,Shortage!$A:$M,AJ$2,FALSE)="Shortage",1,IFERROR(ROUND(X79/L79,4),0)),IFERROR(ROUND(X79/L79,4),0))</f>
        <v>0</v>
      </c>
      <c r="AK79" s="297">
        <f>IFERROR(IF(VLOOKUP($B79,Shortage!$A:$M,AK$2,FALSE)="Shortage",1,IFERROR(ROUND(Y79/M79,4),0)),IFERROR(ROUND(Y79/M79,4),0))</f>
        <v>0</v>
      </c>
      <c r="AL79" s="297">
        <f>IFERROR(IF(VLOOKUP($B79,Shortage!$A:$M,AL$2,FALSE)="Shortage",1,IFERROR(ROUND(Z79/N79,4),0)),IFERROR(ROUND(Z79/N79,4),0))</f>
        <v>0</v>
      </c>
      <c r="AM79" s="297">
        <f>IFERROR(IF(VLOOKUP($B79,Shortage!$A:$M,AM$2,FALSE)="Shortage",1,IFERROR(ROUND(AA79/O79,4),0)),IFERROR(ROUND(AA79/O79,4),0))</f>
        <v>0</v>
      </c>
      <c r="AN79" s="298">
        <f>IFERROR(_xlfn.XLOOKUP(AB79,'2) หลักการคำนวน Table'!$C$3:$K$3,'2) หลักการคำนวน Table'!$C$3:$K$3,,1),INDEX('2) หลักการคำนวน Table'!$C$3:$K$3,1))</f>
        <v>0.9</v>
      </c>
      <c r="AO79" s="298">
        <f>IFERROR(
  _xlfn.XLOOKUP(AC79,'2) หลักการคำนวน Table'!$C$3:$K$3,'2) หลักการคำนวน Table'!$C$3:$K$3,,1),
  IF(AC79&lt;MIN('2) หลักการคำนวน Table'!$C$3:$K$3),
     MIN('2) หลักการคำนวน Table'!$C$3:$K$3),
     MAX('2) หลักการคำนวน Table'!$C$3:$K$3)
  )
)</f>
        <v>0.9</v>
      </c>
      <c r="AP79" s="298">
        <f>IFERROR(
  _xlfn.XLOOKUP(AD79,'2) หลักการคำนวน Table'!$C$3:$K$3,'2) หลักการคำนวน Table'!$C$3:$K$3,,1),
  IF(AD79&lt;MIN('2) หลักการคำนวน Table'!$C$3:$K$3),
     MIN('2) หลักการคำนวน Table'!$C$3:$K$3),
     MAX('2) หลักการคำนวน Table'!$C$3:$K$3)
  )
)</f>
        <v>0.9</v>
      </c>
      <c r="AQ79" s="298">
        <f>IFERROR(
  _xlfn.XLOOKUP(AE79,'2) หลักการคำนวน Table'!$C$3:$K$3,'2) หลักการคำนวน Table'!$C$3:$K$3,,1),
  IF(AE79&lt;MIN('2) หลักการคำนวน Table'!$C$3:$K$3),
     MIN('2) หลักการคำนวน Table'!$C$3:$K$3),
     MAX('2) หลักการคำนวน Table'!$C$3:$K$3)
  )
)</f>
        <v>0.9</v>
      </c>
      <c r="AR79" s="298">
        <f>IFERROR(
  _xlfn.XLOOKUP(AF79,'2) หลักการคำนวน Table'!$C$3:$K$3,'2) หลักการคำนวน Table'!$C$3:$K$3,,1),
  IF(AF79&lt;MIN('2) หลักการคำนวน Table'!$C$3:$K$3),
     MIN('2) หลักการคำนวน Table'!$C$3:$K$3),
     MAX('2) หลักการคำนวน Table'!$C$3:$K$3)
  )
)</f>
        <v>0.9</v>
      </c>
      <c r="AS79" s="298">
        <f>IFERROR(
  _xlfn.XLOOKUP(AG79,'2) หลักการคำนวน Table'!$C$3:$K$3,'2) หลักการคำนวน Table'!$C$3:$K$3,,1),
  IF(AG79&lt;MIN('2) หลักการคำนวน Table'!$C$3:$K$3),
     MIN('2) หลักการคำนวน Table'!$C$3:$K$3),
     MAX('2) หลักการคำนวน Table'!$C$3:$K$3)
  )
)</f>
        <v>0.9</v>
      </c>
      <c r="AT79" s="298">
        <f>IFERROR(
  _xlfn.XLOOKUP(AH79,'2) หลักการคำนวน Table'!$C$3:$K$3,'2) หลักการคำนวน Table'!$C$3:$K$3,,1),
  IF(AH79&lt;MIN('2) หลักการคำนวน Table'!$C$3:$K$3),
     MIN('2) หลักการคำนวน Table'!$C$3:$K$3),
     MAX('2) หลักการคำนวน Table'!$C$3:$K$3)
  )
)</f>
        <v>0.9</v>
      </c>
      <c r="AU79" s="298">
        <f>IFERROR(
  _xlfn.XLOOKUP(AI79,'2) หลักการคำนวน Table'!$C$3:$K$3,'2) หลักการคำนวน Table'!$C$3:$K$3,,1),
  IF(AI79&lt;MIN('2) หลักการคำนวน Table'!$C$3:$K$3),
     MIN('2) หลักการคำนวน Table'!$C$3:$K$3),
     MAX('2) หลักการคำนวน Table'!$C$3:$K$3)
  )
)</f>
        <v>0.9</v>
      </c>
      <c r="AV79" s="298">
        <f>IFERROR(
  _xlfn.XLOOKUP(AJ79,'2) หลักการคำนวน Table'!$C$3:$K$3,'2) หลักการคำนวน Table'!$C$3:$K$3,,1),
  IF(AJ79&lt;MIN('2) หลักการคำนวน Table'!$C$3:$K$3),
     MIN('2) หลักการคำนวน Table'!$C$3:$K$3),
     MAX('2) หลักการคำนวน Table'!$C$3:$K$3)
  )
)</f>
        <v>0.9</v>
      </c>
      <c r="AW79" s="298">
        <f>IFERROR(
  _xlfn.XLOOKUP(AK79,'2) หลักการคำนวน Table'!$C$3:$K$3,'2) หลักการคำนวน Table'!$C$3:$K$3,,1),
  IF(AK79&lt;MIN('2) หลักการคำนวน Table'!$C$3:$K$3),
     MIN('2) หลักการคำนวน Table'!$C$3:$K$3),
     MAX('2) หลักการคำนวน Table'!$C$3:$K$3)
  )
)</f>
        <v>0.9</v>
      </c>
      <c r="AX79" s="298">
        <f>IFERROR(
  _xlfn.XLOOKUP(AL79,'2) หลักการคำนวน Table'!$C$3:$K$3,'2) หลักการคำนวน Table'!$C$3:$K$3,,1),
  IF(AL79&lt;MIN('2) หลักการคำนวน Table'!$C$3:$K$3),
     MIN('2) หลักการคำนวน Table'!$C$3:$K$3),
     MAX('2) หลักการคำนวน Table'!$C$3:$K$3)
  )
)</f>
        <v>0.9</v>
      </c>
      <c r="AY79" s="298">
        <f>IFERROR(
  _xlfn.XLOOKUP(AM79,'2) หลักการคำนวน Table'!$C$3:$K$3,'2) หลักการคำนวน Table'!$C$3:$K$3,,1),
  IF(AM79&lt;MIN('2) หลักการคำนวน Table'!$C$3:$K$3),
     MIN('2) หลักการคำนวน Table'!$C$3:$K$3),
     MAX('2) หลักการคำนวน Table'!$C$3:$K$3)
  )
)</f>
        <v>0.9</v>
      </c>
      <c r="AZ79" s="299" t="e" cm="1">
        <f t="array" ref="AZ79">ROUND((_xlfn.XLOOKUP($C79,'2) หลักการคำนวน Table'!$A$4:$A$36,
_xlfn.XLOOKUP(AN79,'2)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A79" s="299" t="e" cm="1">
        <f t="array" ref="BA79">ROUND((_xlfn.XLOOKUP($C79,'2) หลักการคำนวน Table'!$A$4:$A$36,
_xlfn.XLOOKUP(AO79,'2)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B79" s="299" t="e" cm="1">
        <f t="array" ref="BB79">ROUND((_xlfn.XLOOKUP($C79,'2) หลักการคำนวน Table'!$A$4:$A$36,
_xlfn.XLOOKUP(AP79,'2)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C79" s="299" t="e" cm="1">
        <f t="array" ref="BC79">ROUND((_xlfn.XLOOKUP($C79,'2) หลักการคำนวน Table'!$A$4:$A$36,
_xlfn.XLOOKUP(AQ79,'2)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D79" s="299" t="e" cm="1">
        <f t="array" ref="BD79">ROUND((_xlfn.XLOOKUP($C79,'2) หลักการคำนวน Table'!$A$4:$A$36,
_xlfn.XLOOKUP(AR79,'2)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E79" s="299" t="e" cm="1">
        <f t="array" ref="BE79">ROUND((_xlfn.XLOOKUP($C79,'2) หลักการคำนวน Table'!$A$4:$A$36,
_xlfn.XLOOKUP(AS79,'2)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F79" s="299" t="e" cm="1">
        <f t="array" ref="BF79">ROUND((_xlfn.XLOOKUP($C79,'2) หลักการคำนวน Table'!$A$4:$A$36,
_xlfn.XLOOKUP(AT79,'2)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G79" s="299" t="e" cm="1">
        <f t="array" ref="BG79">ROUND((_xlfn.XLOOKUP($C79,'2) หลักการคำนวน Table'!$A$4:$A$36,
_xlfn.XLOOKUP(AU79,'2)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H79" s="299" t="e" cm="1">
        <f t="array" ref="BH79">ROUND((_xlfn.XLOOKUP($C79,'2) หลักการคำนวน Table'!$A$4:$A$36,
_xlfn.XLOOKUP(AV79,'2)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I79" s="299" t="e" cm="1">
        <f t="array" ref="BI79">ROUND((_xlfn.XLOOKUP($C79,'2) หลักการคำนวน Table'!$A$4:$A$36,
_xlfn.XLOOKUP(AW79,'2)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J79" s="299" t="e" cm="1">
        <f t="array" ref="BJ79">ROUND((_xlfn.XLOOKUP($C79,'2) หลักการคำนวน Table'!$A$4:$A$36,
_xlfn.XLOOKUP(AX79,'2)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K79" s="299" t="e" cm="1">
        <f t="array" ref="BK79">ROUND((_xlfn.XLOOKUP($C79,'2) หลักการคำนวน Table'!$A$4:$A$36,
_xlfn.XLOOKUP(AY79,'2) หลักการคำนวน Table'!$C$3:$K$3,'2) หลักการคำนวน Table'!$C$4:$K$36,,-1)))*(_xlfn.XLOOKUP($C79,'2) หลักการคำนวน Table'!$A$4:$A$36, _xlfn.XLOOKUP($B79,'2) หลักการคำนวน Table'!$L$3:$Z$3,'2) หลักการคำนวน Table'!$L$4:$Z$36))),0)</f>
        <v>#N/A</v>
      </c>
      <c r="BM79" s="295">
        <v>222219</v>
      </c>
      <c r="BN79" s="300">
        <v>0</v>
      </c>
    </row>
    <row r="80" spans="1:66" ht="14.7" customHeight="1" x14ac:dyDescent="0.25">
      <c r="A80" s="126" t="e">
        <f>VLOOKUP(C80,ASTBase!E:S,13,FALSE)</f>
        <v>#N/A</v>
      </c>
      <c r="B80" s="126" t="s">
        <v>413</v>
      </c>
      <c r="C80" s="126">
        <v>5490000719</v>
      </c>
      <c r="D80" s="127">
        <v>61600</v>
      </c>
      <c r="E80" s="127">
        <v>38800</v>
      </c>
      <c r="F80" s="127">
        <v>46100</v>
      </c>
      <c r="G80" s="127">
        <v>43000</v>
      </c>
      <c r="H80" s="127">
        <v>44950</v>
      </c>
      <c r="I80" s="127">
        <v>43000</v>
      </c>
      <c r="J80" s="127">
        <v>43000</v>
      </c>
      <c r="K80" s="127">
        <v>49350</v>
      </c>
      <c r="L80" s="127">
        <v>44300</v>
      </c>
      <c r="M80" s="127">
        <v>47300</v>
      </c>
      <c r="N80" s="127">
        <v>42300</v>
      </c>
      <c r="O80" s="127">
        <v>46300</v>
      </c>
      <c r="P80" s="126">
        <v>69496.994399999996</v>
      </c>
      <c r="AB80" s="297">
        <f>IFERROR(IF(VLOOKUP($B80,Shortage!$A:$M,AB$2,FALSE)="Shortage",1,IFERROR(ROUND(P80/D80,4),0)),IFERROR(ROUND(P80/D80,4),0))</f>
        <v>1.1282000000000001</v>
      </c>
      <c r="AC80" s="297">
        <f>IFERROR(IF(VLOOKUP($B80,Shortage!$A:$M,AC$2,FALSE)="Shortage",1,IFERROR(ROUND(Q80/E80,4),0)),IFERROR(ROUND(Q80/E80,4),0))</f>
        <v>0</v>
      </c>
      <c r="AD80" s="297">
        <f>IFERROR(IF(VLOOKUP($B80,Shortage!$A:$M,AD$2,FALSE)="Shortage",1,IFERROR(ROUND(R80/F80,4),0)),IFERROR(ROUND(R80/F80,4),0))</f>
        <v>0</v>
      </c>
      <c r="AE80" s="297">
        <f>IFERROR(IF(VLOOKUP($B80,Shortage!$A:$M,AE$2,FALSE)="Shortage",1,IFERROR(ROUND(S80/G80,4),0)),IFERROR(ROUND(S80/G80,4),0))</f>
        <v>0</v>
      </c>
      <c r="AF80" s="297">
        <f>IFERROR(IF(VLOOKUP($B80,Shortage!$A:$M,AF$2,FALSE)="Shortage",1,IFERROR(ROUND(T80/H80,4),0)),IFERROR(ROUND(T80/H80,4),0))</f>
        <v>0</v>
      </c>
      <c r="AG80" s="297">
        <f>IFERROR(IF(VLOOKUP($B80,Shortage!$A:$M,AG$2,FALSE)="Shortage",1,IFERROR(ROUND(U80/I80,4),0)),IFERROR(ROUND(U80/I80,4),0))</f>
        <v>0</v>
      </c>
      <c r="AH80" s="297">
        <f>IFERROR(IF(VLOOKUP($B80,Shortage!$A:$M,AH$2,FALSE)="Shortage",1,IFERROR(ROUND(V80/J80,4),0)),IFERROR(ROUND(V80/J80,4),0))</f>
        <v>0</v>
      </c>
      <c r="AI80" s="297">
        <f>IFERROR(IF(VLOOKUP($B80,Shortage!$A:$M,AI$2,FALSE)="Shortage",1,IFERROR(ROUND(W80/K80,4),0)),IFERROR(ROUND(W80/K80,4),0))</f>
        <v>0</v>
      </c>
      <c r="AJ80" s="297">
        <f>IFERROR(IF(VLOOKUP($B80,Shortage!$A:$M,AJ$2,FALSE)="Shortage",1,IFERROR(ROUND(X80/L80,4),0)),IFERROR(ROUND(X80/L80,4),0))</f>
        <v>0</v>
      </c>
      <c r="AK80" s="297">
        <f>IFERROR(IF(VLOOKUP($B80,Shortage!$A:$M,AK$2,FALSE)="Shortage",1,IFERROR(ROUND(Y80/M80,4),0)),IFERROR(ROUND(Y80/M80,4),0))</f>
        <v>0</v>
      </c>
      <c r="AL80" s="297">
        <f>IFERROR(IF(VLOOKUP($B80,Shortage!$A:$M,AL$2,FALSE)="Shortage",1,IFERROR(ROUND(Z80/N80,4),0)),IFERROR(ROUND(Z80/N80,4),0))</f>
        <v>0</v>
      </c>
      <c r="AM80" s="297">
        <f>IFERROR(IF(VLOOKUP($B80,Shortage!$A:$M,AM$2,FALSE)="Shortage",1,IFERROR(ROUND(AA80/O80,4),0)),IFERROR(ROUND(AA80/O80,4),0))</f>
        <v>0</v>
      </c>
      <c r="AN80" s="298">
        <f>IFERROR(_xlfn.XLOOKUP(AB80,'2) หลักการคำนวน Table'!$C$3:$K$3,'2) หลักการคำนวน Table'!$C$3:$K$3,,1),INDEX('2) หลักการคำนวน Table'!$C$3:$K$3,1))</f>
        <v>1.1499999999999999</v>
      </c>
      <c r="AO80" s="298">
        <f>IFERROR(
  _xlfn.XLOOKUP(AC80,'2) หลักการคำนวน Table'!$C$3:$K$3,'2) หลักการคำนวน Table'!$C$3:$K$3,,1),
  IF(AC80&lt;MIN('2) หลักการคำนวน Table'!$C$3:$K$3),
     MIN('2) หลักการคำนวน Table'!$C$3:$K$3),
     MAX('2) หลักการคำนวน Table'!$C$3:$K$3)
  )
)</f>
        <v>0.9</v>
      </c>
      <c r="AP80" s="298">
        <f>IFERROR(
  _xlfn.XLOOKUP(AD80,'2) หลักการคำนวน Table'!$C$3:$K$3,'2) หลักการคำนวน Table'!$C$3:$K$3,,1),
  IF(AD80&lt;MIN('2) หลักการคำนวน Table'!$C$3:$K$3),
     MIN('2) หลักการคำนวน Table'!$C$3:$K$3),
     MAX('2) หลักการคำนวน Table'!$C$3:$K$3)
  )
)</f>
        <v>0.9</v>
      </c>
      <c r="AQ80" s="298">
        <f>IFERROR(
  _xlfn.XLOOKUP(AE80,'2) หลักการคำนวน Table'!$C$3:$K$3,'2) หลักการคำนวน Table'!$C$3:$K$3,,1),
  IF(AE80&lt;MIN('2) หลักการคำนวน Table'!$C$3:$K$3),
     MIN('2) หลักการคำนวน Table'!$C$3:$K$3),
     MAX('2) หลักการคำนวน Table'!$C$3:$K$3)
  )
)</f>
        <v>0.9</v>
      </c>
      <c r="AR80" s="298">
        <f>IFERROR(
  _xlfn.XLOOKUP(AF80,'2) หลักการคำนวน Table'!$C$3:$K$3,'2) หลักการคำนวน Table'!$C$3:$K$3,,1),
  IF(AF80&lt;MIN('2) หลักการคำนวน Table'!$C$3:$K$3),
     MIN('2) หลักการคำนวน Table'!$C$3:$K$3),
     MAX('2) หลักการคำนวน Table'!$C$3:$K$3)
  )
)</f>
        <v>0.9</v>
      </c>
      <c r="AS80" s="298">
        <f>IFERROR(
  _xlfn.XLOOKUP(AG80,'2) หลักการคำนวน Table'!$C$3:$K$3,'2) หลักการคำนวน Table'!$C$3:$K$3,,1),
  IF(AG80&lt;MIN('2) หลักการคำนวน Table'!$C$3:$K$3),
     MIN('2) หลักการคำนวน Table'!$C$3:$K$3),
     MAX('2) หลักการคำนวน Table'!$C$3:$K$3)
  )
)</f>
        <v>0.9</v>
      </c>
      <c r="AT80" s="298">
        <f>IFERROR(
  _xlfn.XLOOKUP(AH80,'2) หลักการคำนวน Table'!$C$3:$K$3,'2) หลักการคำนวน Table'!$C$3:$K$3,,1),
  IF(AH80&lt;MIN('2) หลักการคำนวน Table'!$C$3:$K$3),
     MIN('2) หลักการคำนวน Table'!$C$3:$K$3),
     MAX('2) หลักการคำนวน Table'!$C$3:$K$3)
  )
)</f>
        <v>0.9</v>
      </c>
      <c r="AU80" s="298">
        <f>IFERROR(
  _xlfn.XLOOKUP(AI80,'2) หลักการคำนวน Table'!$C$3:$K$3,'2) หลักการคำนวน Table'!$C$3:$K$3,,1),
  IF(AI80&lt;MIN('2) หลักการคำนวน Table'!$C$3:$K$3),
     MIN('2) หลักการคำนวน Table'!$C$3:$K$3),
     MAX('2) หลักการคำนวน Table'!$C$3:$K$3)
  )
)</f>
        <v>0.9</v>
      </c>
      <c r="AV80" s="298">
        <f>IFERROR(
  _xlfn.XLOOKUP(AJ80,'2) หลักการคำนวน Table'!$C$3:$K$3,'2) หลักการคำนวน Table'!$C$3:$K$3,,1),
  IF(AJ80&lt;MIN('2) หลักการคำนวน Table'!$C$3:$K$3),
     MIN('2) หลักการคำนวน Table'!$C$3:$K$3),
     MAX('2) หลักการคำนวน Table'!$C$3:$K$3)
  )
)</f>
        <v>0.9</v>
      </c>
      <c r="AW80" s="298">
        <f>IFERROR(
  _xlfn.XLOOKUP(AK80,'2) หลักการคำนวน Table'!$C$3:$K$3,'2) หลักการคำนวน Table'!$C$3:$K$3,,1),
  IF(AK80&lt;MIN('2) หลักการคำนวน Table'!$C$3:$K$3),
     MIN('2) หลักการคำนวน Table'!$C$3:$K$3),
     MAX('2) หลักการคำนวน Table'!$C$3:$K$3)
  )
)</f>
        <v>0.9</v>
      </c>
      <c r="AX80" s="298">
        <f>IFERROR(
  _xlfn.XLOOKUP(AL80,'2) หลักการคำนวน Table'!$C$3:$K$3,'2) หลักการคำนวน Table'!$C$3:$K$3,,1),
  IF(AL80&lt;MIN('2) หลักการคำนวน Table'!$C$3:$K$3),
     MIN('2) หลักการคำนวน Table'!$C$3:$K$3),
     MAX('2) หลักการคำนวน Table'!$C$3:$K$3)
  )
)</f>
        <v>0.9</v>
      </c>
      <c r="AY80" s="298">
        <f>IFERROR(
  _xlfn.XLOOKUP(AM80,'2) หลักการคำนวน Table'!$C$3:$K$3,'2) หลักการคำนวน Table'!$C$3:$K$3,,1),
  IF(AM80&lt;MIN('2) หลักการคำนวน Table'!$C$3:$K$3),
     MIN('2) หลักการคำนวน Table'!$C$3:$K$3),
     MAX('2) หลักการคำนวน Table'!$C$3:$K$3)
  )
)</f>
        <v>0.9</v>
      </c>
      <c r="AZ80" s="299" t="e" cm="1">
        <f t="array" ref="AZ80">ROUND((_xlfn.XLOOKUP($C80,'2) หลักการคำนวน Table'!$A$4:$A$36,
_xlfn.XLOOKUP(AN80,'2)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A80" s="299" t="e" cm="1">
        <f t="array" ref="BA80">ROUND((_xlfn.XLOOKUP($C80,'2) หลักการคำนวน Table'!$A$4:$A$36,
_xlfn.XLOOKUP(AO80,'2)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B80" s="299" t="e" cm="1">
        <f t="array" ref="BB80">ROUND((_xlfn.XLOOKUP($C80,'2) หลักการคำนวน Table'!$A$4:$A$36,
_xlfn.XLOOKUP(AP80,'2)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C80" s="299" t="e" cm="1">
        <f t="array" ref="BC80">ROUND((_xlfn.XLOOKUP($C80,'2) หลักการคำนวน Table'!$A$4:$A$36,
_xlfn.XLOOKUP(AQ80,'2)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D80" s="299" t="e" cm="1">
        <f t="array" ref="BD80">ROUND((_xlfn.XLOOKUP($C80,'2) หลักการคำนวน Table'!$A$4:$A$36,
_xlfn.XLOOKUP(AR80,'2)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E80" s="299" t="e" cm="1">
        <f t="array" ref="BE80">ROUND((_xlfn.XLOOKUP($C80,'2) หลักการคำนวน Table'!$A$4:$A$36,
_xlfn.XLOOKUP(AS80,'2)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F80" s="299" t="e" cm="1">
        <f t="array" ref="BF80">ROUND((_xlfn.XLOOKUP($C80,'2) หลักการคำนวน Table'!$A$4:$A$36,
_xlfn.XLOOKUP(AT80,'2)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G80" s="299" t="e" cm="1">
        <f t="array" ref="BG80">ROUND((_xlfn.XLOOKUP($C80,'2) หลักการคำนวน Table'!$A$4:$A$36,
_xlfn.XLOOKUP(AU80,'2)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H80" s="299" t="e" cm="1">
        <f t="array" ref="BH80">ROUND((_xlfn.XLOOKUP($C80,'2) หลักการคำนวน Table'!$A$4:$A$36,
_xlfn.XLOOKUP(AV80,'2)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I80" s="299" t="e" cm="1">
        <f t="array" ref="BI80">ROUND((_xlfn.XLOOKUP($C80,'2) หลักการคำนวน Table'!$A$4:$A$36,
_xlfn.XLOOKUP(AW80,'2)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J80" s="299" t="e" cm="1">
        <f t="array" ref="BJ80">ROUND((_xlfn.XLOOKUP($C80,'2) หลักการคำนวน Table'!$A$4:$A$36,
_xlfn.XLOOKUP(AX80,'2)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K80" s="299" t="e" cm="1">
        <f t="array" ref="BK80">ROUND((_xlfn.XLOOKUP($C80,'2) หลักการคำนวน Table'!$A$4:$A$36,
_xlfn.XLOOKUP(AY80,'2) หลักการคำนวน Table'!$C$3:$K$3,'2) หลักการคำนวน Table'!$C$4:$K$36,,-1)))*(_xlfn.XLOOKUP($C80,'2) หลักการคำนวน Table'!$A$4:$A$36, _xlfn.XLOOKUP($B80,'2) หลักการคำนวน Table'!$L$3:$Z$3,'2) หลักการคำนวน Table'!$L$4:$Z$36))),0)</f>
        <v>#N/A</v>
      </c>
      <c r="BM80" s="295">
        <v>222219</v>
      </c>
      <c r="BN80" s="300">
        <v>1003</v>
      </c>
    </row>
    <row r="81" spans="1:66" ht="14.7" customHeight="1" x14ac:dyDescent="0.25">
      <c r="A81" s="126" t="e">
        <f>VLOOKUP(C81,ASTBase!E:S,13,FALSE)</f>
        <v>#N/A</v>
      </c>
      <c r="B81" s="126" t="s">
        <v>406</v>
      </c>
      <c r="C81" s="126">
        <v>5490000719</v>
      </c>
      <c r="D81" s="127">
        <v>184000</v>
      </c>
      <c r="E81" s="127">
        <v>168000</v>
      </c>
      <c r="F81" s="127">
        <v>175000</v>
      </c>
      <c r="G81" s="127">
        <v>167625</v>
      </c>
      <c r="H81" s="127">
        <v>169125</v>
      </c>
      <c r="I81" s="127">
        <v>169000</v>
      </c>
      <c r="J81" s="127">
        <v>167625</v>
      </c>
      <c r="K81" s="127">
        <v>167625</v>
      </c>
      <c r="L81" s="127">
        <v>174125</v>
      </c>
      <c r="M81" s="127">
        <v>172625</v>
      </c>
      <c r="N81" s="127">
        <v>172625</v>
      </c>
      <c r="O81" s="127">
        <v>172625</v>
      </c>
      <c r="P81" s="126">
        <v>196370.69999999998</v>
      </c>
      <c r="AB81" s="297">
        <f>IFERROR(IF(VLOOKUP($B81,Shortage!$A:$M,AB$2,FALSE)="Shortage",1,IFERROR(ROUND(P81/D81,4),0)),IFERROR(ROUND(P81/D81,4),0))</f>
        <v>1</v>
      </c>
      <c r="AC81" s="297">
        <f>IFERROR(IF(VLOOKUP($B81,Shortage!$A:$M,AC$2,FALSE)="Shortage",1,IFERROR(ROUND(Q81/E81,4),0)),IFERROR(ROUND(Q81/E81,4),0))</f>
        <v>0</v>
      </c>
      <c r="AD81" s="297">
        <f>IFERROR(IF(VLOOKUP($B81,Shortage!$A:$M,AD$2,FALSE)="Shortage",1,IFERROR(ROUND(R81/F81,4),0)),IFERROR(ROUND(R81/F81,4),0))</f>
        <v>0</v>
      </c>
      <c r="AE81" s="297">
        <f>IFERROR(IF(VLOOKUP($B81,Shortage!$A:$M,AE$2,FALSE)="Shortage",1,IFERROR(ROUND(S81/G81,4),0)),IFERROR(ROUND(S81/G81,4),0))</f>
        <v>0</v>
      </c>
      <c r="AF81" s="297">
        <f>IFERROR(IF(VLOOKUP($B81,Shortage!$A:$M,AF$2,FALSE)="Shortage",1,IFERROR(ROUND(T81/H81,4),0)),IFERROR(ROUND(T81/H81,4),0))</f>
        <v>0</v>
      </c>
      <c r="AG81" s="297">
        <f>IFERROR(IF(VLOOKUP($B81,Shortage!$A:$M,AG$2,FALSE)="Shortage",1,IFERROR(ROUND(U81/I81,4),0)),IFERROR(ROUND(U81/I81,4),0))</f>
        <v>0</v>
      </c>
      <c r="AH81" s="297">
        <f>IFERROR(IF(VLOOKUP($B81,Shortage!$A:$M,AH$2,FALSE)="Shortage",1,IFERROR(ROUND(V81/J81,4),0)),IFERROR(ROUND(V81/J81,4),0))</f>
        <v>0</v>
      </c>
      <c r="AI81" s="297">
        <f>IFERROR(IF(VLOOKUP($B81,Shortage!$A:$M,AI$2,FALSE)="Shortage",1,IFERROR(ROUND(W81/K81,4),0)),IFERROR(ROUND(W81/K81,4),0))</f>
        <v>0</v>
      </c>
      <c r="AJ81" s="297">
        <f>IFERROR(IF(VLOOKUP($B81,Shortage!$A:$M,AJ$2,FALSE)="Shortage",1,IFERROR(ROUND(X81/L81,4),0)),IFERROR(ROUND(X81/L81,4),0))</f>
        <v>0</v>
      </c>
      <c r="AK81" s="297">
        <f>IFERROR(IF(VLOOKUP($B81,Shortage!$A:$M,AK$2,FALSE)="Shortage",1,IFERROR(ROUND(Y81/M81,4),0)),IFERROR(ROUND(Y81/M81,4),0))</f>
        <v>0</v>
      </c>
      <c r="AL81" s="297">
        <f>IFERROR(IF(VLOOKUP($B81,Shortage!$A:$M,AL$2,FALSE)="Shortage",1,IFERROR(ROUND(Z81/N81,4),0)),IFERROR(ROUND(Z81/N81,4),0))</f>
        <v>0</v>
      </c>
      <c r="AM81" s="297">
        <f>IFERROR(IF(VLOOKUP($B81,Shortage!$A:$M,AM$2,FALSE)="Shortage",1,IFERROR(ROUND(AA81/O81,4),0)),IFERROR(ROUND(AA81/O81,4),0))</f>
        <v>0</v>
      </c>
      <c r="AN81" s="298">
        <f>IFERROR(_xlfn.XLOOKUP(AB81,'2) หลักการคำนวน Table'!$C$3:$K$3,'2) หลักการคำนวน Table'!$C$3:$K$3,,1),INDEX('2) หลักการคำนวน Table'!$C$3:$K$3,1))</f>
        <v>1</v>
      </c>
      <c r="AO81" s="298">
        <f>IFERROR(
  _xlfn.XLOOKUP(AC81,'2) หลักการคำนวน Table'!$C$3:$K$3,'2) หลักการคำนวน Table'!$C$3:$K$3,,1),
  IF(AC81&lt;MIN('2) หลักการคำนวน Table'!$C$3:$K$3),
     MIN('2) หลักการคำนวน Table'!$C$3:$K$3),
     MAX('2) หลักการคำนวน Table'!$C$3:$K$3)
  )
)</f>
        <v>0.9</v>
      </c>
      <c r="AP81" s="298">
        <f>IFERROR(
  _xlfn.XLOOKUP(AD81,'2) หลักการคำนวน Table'!$C$3:$K$3,'2) หลักการคำนวน Table'!$C$3:$K$3,,1),
  IF(AD81&lt;MIN('2) หลักการคำนวน Table'!$C$3:$K$3),
     MIN('2) หลักการคำนวน Table'!$C$3:$K$3),
     MAX('2) หลักการคำนวน Table'!$C$3:$K$3)
  )
)</f>
        <v>0.9</v>
      </c>
      <c r="AQ81" s="298">
        <f>IFERROR(
  _xlfn.XLOOKUP(AE81,'2) หลักการคำนวน Table'!$C$3:$K$3,'2) หลักการคำนวน Table'!$C$3:$K$3,,1),
  IF(AE81&lt;MIN('2) หลักการคำนวน Table'!$C$3:$K$3),
     MIN('2) หลักการคำนวน Table'!$C$3:$K$3),
     MAX('2) หลักการคำนวน Table'!$C$3:$K$3)
  )
)</f>
        <v>0.9</v>
      </c>
      <c r="AR81" s="298">
        <f>IFERROR(
  _xlfn.XLOOKUP(AF81,'2) หลักการคำนวน Table'!$C$3:$K$3,'2) หลักการคำนวน Table'!$C$3:$K$3,,1),
  IF(AF81&lt;MIN('2) หลักการคำนวน Table'!$C$3:$K$3),
     MIN('2) หลักการคำนวน Table'!$C$3:$K$3),
     MAX('2) หลักการคำนวน Table'!$C$3:$K$3)
  )
)</f>
        <v>0.9</v>
      </c>
      <c r="AS81" s="298">
        <f>IFERROR(
  _xlfn.XLOOKUP(AG81,'2) หลักการคำนวน Table'!$C$3:$K$3,'2) หลักการคำนวน Table'!$C$3:$K$3,,1),
  IF(AG81&lt;MIN('2) หลักการคำนวน Table'!$C$3:$K$3),
     MIN('2) หลักการคำนวน Table'!$C$3:$K$3),
     MAX('2) หลักการคำนวน Table'!$C$3:$K$3)
  )
)</f>
        <v>0.9</v>
      </c>
      <c r="AT81" s="298">
        <f>IFERROR(
  _xlfn.XLOOKUP(AH81,'2) หลักการคำนวน Table'!$C$3:$K$3,'2) หลักการคำนวน Table'!$C$3:$K$3,,1),
  IF(AH81&lt;MIN('2) หลักการคำนวน Table'!$C$3:$K$3),
     MIN('2) หลักการคำนวน Table'!$C$3:$K$3),
     MAX('2) หลักการคำนวน Table'!$C$3:$K$3)
  )
)</f>
        <v>0.9</v>
      </c>
      <c r="AU81" s="298">
        <f>IFERROR(
  _xlfn.XLOOKUP(AI81,'2) หลักการคำนวน Table'!$C$3:$K$3,'2) หลักการคำนวน Table'!$C$3:$K$3,,1),
  IF(AI81&lt;MIN('2) หลักการคำนวน Table'!$C$3:$K$3),
     MIN('2) หลักการคำนวน Table'!$C$3:$K$3),
     MAX('2) หลักการคำนวน Table'!$C$3:$K$3)
  )
)</f>
        <v>0.9</v>
      </c>
      <c r="AV81" s="298">
        <f>IFERROR(
  _xlfn.XLOOKUP(AJ81,'2) หลักการคำนวน Table'!$C$3:$K$3,'2) หลักการคำนวน Table'!$C$3:$K$3,,1),
  IF(AJ81&lt;MIN('2) หลักการคำนวน Table'!$C$3:$K$3),
     MIN('2) หลักการคำนวน Table'!$C$3:$K$3),
     MAX('2) หลักการคำนวน Table'!$C$3:$K$3)
  )
)</f>
        <v>0.9</v>
      </c>
      <c r="AW81" s="298">
        <f>IFERROR(
  _xlfn.XLOOKUP(AK81,'2) หลักการคำนวน Table'!$C$3:$K$3,'2) หลักการคำนวน Table'!$C$3:$K$3,,1),
  IF(AK81&lt;MIN('2) หลักการคำนวน Table'!$C$3:$K$3),
     MIN('2) หลักการคำนวน Table'!$C$3:$K$3),
     MAX('2) หลักการคำนวน Table'!$C$3:$K$3)
  )
)</f>
        <v>0.9</v>
      </c>
      <c r="AX81" s="298">
        <f>IFERROR(
  _xlfn.XLOOKUP(AL81,'2) หลักการคำนวน Table'!$C$3:$K$3,'2) หลักการคำนวน Table'!$C$3:$K$3,,1),
  IF(AL81&lt;MIN('2) หลักการคำนวน Table'!$C$3:$K$3),
     MIN('2) หลักการคำนวน Table'!$C$3:$K$3),
     MAX('2) หลักการคำนวน Table'!$C$3:$K$3)
  )
)</f>
        <v>0.9</v>
      </c>
      <c r="AY81" s="298">
        <f>IFERROR(
  _xlfn.XLOOKUP(AM81,'2) หลักการคำนวน Table'!$C$3:$K$3,'2) หลักการคำนวน Table'!$C$3:$K$3,,1),
  IF(AM81&lt;MIN('2) หลักการคำนวน Table'!$C$3:$K$3),
     MIN('2) หลักการคำนวน Table'!$C$3:$K$3),
     MAX('2) หลักการคำนวน Table'!$C$3:$K$3)
  )
)</f>
        <v>0.9</v>
      </c>
      <c r="AZ81" s="299" t="e" cm="1">
        <f t="array" ref="AZ81">ROUND((_xlfn.XLOOKUP($C81,'2) หลักการคำนวน Table'!$A$4:$A$36,
_xlfn.XLOOKUP(AN81,'2)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A81" s="299" t="e" cm="1">
        <f t="array" ref="BA81">ROUND((_xlfn.XLOOKUP($C81,'2) หลักการคำนวน Table'!$A$4:$A$36,
_xlfn.XLOOKUP(AO81,'2)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B81" s="299" t="e" cm="1">
        <f t="array" ref="BB81">ROUND((_xlfn.XLOOKUP($C81,'2) หลักการคำนวน Table'!$A$4:$A$36,
_xlfn.XLOOKUP(AP81,'2)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C81" s="299" t="e" cm="1">
        <f t="array" ref="BC81">ROUND((_xlfn.XLOOKUP($C81,'2) หลักการคำนวน Table'!$A$4:$A$36,
_xlfn.XLOOKUP(AQ81,'2)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D81" s="299" t="e" cm="1">
        <f t="array" ref="BD81">ROUND((_xlfn.XLOOKUP($C81,'2) หลักการคำนวน Table'!$A$4:$A$36,
_xlfn.XLOOKUP(AR81,'2)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E81" s="299" t="e" cm="1">
        <f t="array" ref="BE81">ROUND((_xlfn.XLOOKUP($C81,'2) หลักการคำนวน Table'!$A$4:$A$36,
_xlfn.XLOOKUP(AS81,'2)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F81" s="299" t="e" cm="1">
        <f t="array" ref="BF81">ROUND((_xlfn.XLOOKUP($C81,'2) หลักการคำนวน Table'!$A$4:$A$36,
_xlfn.XLOOKUP(AT81,'2)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G81" s="299" t="e" cm="1">
        <f t="array" ref="BG81">ROUND((_xlfn.XLOOKUP($C81,'2) หลักการคำนวน Table'!$A$4:$A$36,
_xlfn.XLOOKUP(AU81,'2)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H81" s="299" t="e" cm="1">
        <f t="array" ref="BH81">ROUND((_xlfn.XLOOKUP($C81,'2) หลักการคำนวน Table'!$A$4:$A$36,
_xlfn.XLOOKUP(AV81,'2)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I81" s="299" t="e" cm="1">
        <f t="array" ref="BI81">ROUND((_xlfn.XLOOKUP($C81,'2) หลักการคำนวน Table'!$A$4:$A$36,
_xlfn.XLOOKUP(AW81,'2)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J81" s="299" t="e" cm="1">
        <f t="array" ref="BJ81">ROUND((_xlfn.XLOOKUP($C81,'2) หลักการคำนวน Table'!$A$4:$A$36,
_xlfn.XLOOKUP(AX81,'2)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K81" s="299" t="e" cm="1">
        <f t="array" ref="BK81">ROUND((_xlfn.XLOOKUP($C81,'2) หลักการคำนวน Table'!$A$4:$A$36,
_xlfn.XLOOKUP(AY81,'2) หลักการคำนวน Table'!$C$3:$K$3,'2) หลักการคำนวน Table'!$C$4:$K$36,,-1)))*(_xlfn.XLOOKUP($C81,'2) หลักการคำนวน Table'!$A$4:$A$36, _xlfn.XLOOKUP($B81,'2) หลักการคำนวน Table'!$L$3:$Z$3,'2) หลักการคำนวน Table'!$L$4:$Z$36))),0)</f>
        <v>#N/A</v>
      </c>
      <c r="BM81" s="295">
        <v>222219</v>
      </c>
      <c r="BN81" s="300">
        <v>291</v>
      </c>
    </row>
    <row r="82" spans="1:66" ht="14.7" customHeight="1" x14ac:dyDescent="0.25">
      <c r="A82" s="126" t="e">
        <f>VLOOKUP(C82,ASTBase!E:S,13,FALSE)</f>
        <v>#N/A</v>
      </c>
      <c r="B82" s="126" t="s">
        <v>409</v>
      </c>
      <c r="C82" s="126">
        <v>5490000719</v>
      </c>
      <c r="D82" s="127">
        <v>7600</v>
      </c>
      <c r="E82" s="127">
        <v>7000</v>
      </c>
      <c r="F82" s="127">
        <v>7000</v>
      </c>
      <c r="G82" s="127">
        <v>6950</v>
      </c>
      <c r="H82" s="127">
        <v>7650</v>
      </c>
      <c r="I82" s="127">
        <v>6850</v>
      </c>
      <c r="J82" s="127">
        <v>7250</v>
      </c>
      <c r="K82" s="127">
        <v>8350</v>
      </c>
      <c r="L82" s="127">
        <v>14400</v>
      </c>
      <c r="M82" s="127">
        <v>7050</v>
      </c>
      <c r="N82" s="127">
        <v>7350</v>
      </c>
      <c r="O82" s="127">
        <v>7550</v>
      </c>
      <c r="P82" s="126">
        <v>8496.0000000000036</v>
      </c>
      <c r="AB82" s="297">
        <f>IFERROR(IF(VLOOKUP($B82,Shortage!$A:$M,AB$2,FALSE)="Shortage",1,IFERROR(ROUND(P82/D82,4),0)),IFERROR(ROUND(P82/D82,4),0))</f>
        <v>1.1178999999999999</v>
      </c>
      <c r="AC82" s="297">
        <f>IFERROR(IF(VLOOKUP($B82,Shortage!$A:$M,AC$2,FALSE)="Shortage",1,IFERROR(ROUND(Q82/E82,4),0)),IFERROR(ROUND(Q82/E82,4),0))</f>
        <v>0</v>
      </c>
      <c r="AD82" s="297">
        <f>IFERROR(IF(VLOOKUP($B82,Shortage!$A:$M,AD$2,FALSE)="Shortage",1,IFERROR(ROUND(R82/F82,4),0)),IFERROR(ROUND(R82/F82,4),0))</f>
        <v>0</v>
      </c>
      <c r="AE82" s="297">
        <f>IFERROR(IF(VLOOKUP($B82,Shortage!$A:$M,AE$2,FALSE)="Shortage",1,IFERROR(ROUND(S82/G82,4),0)),IFERROR(ROUND(S82/G82,4),0))</f>
        <v>0</v>
      </c>
      <c r="AF82" s="297">
        <f>IFERROR(IF(VLOOKUP($B82,Shortage!$A:$M,AF$2,FALSE)="Shortage",1,IFERROR(ROUND(T82/H82,4),0)),IFERROR(ROUND(T82/H82,4),0))</f>
        <v>0</v>
      </c>
      <c r="AG82" s="297">
        <f>IFERROR(IF(VLOOKUP($B82,Shortage!$A:$M,AG$2,FALSE)="Shortage",1,IFERROR(ROUND(U82/I82,4),0)),IFERROR(ROUND(U82/I82,4),0))</f>
        <v>0</v>
      </c>
      <c r="AH82" s="297">
        <f>IFERROR(IF(VLOOKUP($B82,Shortage!$A:$M,AH$2,FALSE)="Shortage",1,IFERROR(ROUND(V82/J82,4),0)),IFERROR(ROUND(V82/J82,4),0))</f>
        <v>0</v>
      </c>
      <c r="AI82" s="297">
        <f>IFERROR(IF(VLOOKUP($B82,Shortage!$A:$M,AI$2,FALSE)="Shortage",1,IFERROR(ROUND(W82/K82,4),0)),IFERROR(ROUND(W82/K82,4),0))</f>
        <v>0</v>
      </c>
      <c r="AJ82" s="297">
        <f>IFERROR(IF(VLOOKUP($B82,Shortage!$A:$M,AJ$2,FALSE)="Shortage",1,IFERROR(ROUND(X82/L82,4),0)),IFERROR(ROUND(X82/L82,4),0))</f>
        <v>0</v>
      </c>
      <c r="AK82" s="297">
        <f>IFERROR(IF(VLOOKUP($B82,Shortage!$A:$M,AK$2,FALSE)="Shortage",1,IFERROR(ROUND(Y82/M82,4),0)),IFERROR(ROUND(Y82/M82,4),0))</f>
        <v>0</v>
      </c>
      <c r="AL82" s="297">
        <f>IFERROR(IF(VLOOKUP($B82,Shortage!$A:$M,AL$2,FALSE)="Shortage",1,IFERROR(ROUND(Z82/N82,4),0)),IFERROR(ROUND(Z82/N82,4),0))</f>
        <v>0</v>
      </c>
      <c r="AM82" s="297">
        <f>IFERROR(IF(VLOOKUP($B82,Shortage!$A:$M,AM$2,FALSE)="Shortage",1,IFERROR(ROUND(AA82/O82,4),0)),IFERROR(ROUND(AA82/O82,4),0))</f>
        <v>0</v>
      </c>
      <c r="AN82" s="298">
        <f>IFERROR(_xlfn.XLOOKUP(AB82,'2) หลักการคำนวน Table'!$C$3:$K$3,'2) หลักการคำนวน Table'!$C$3:$K$3,,1),INDEX('2) หลักการคำนวน Table'!$C$3:$K$3,1))</f>
        <v>1.1499999999999999</v>
      </c>
      <c r="AO82" s="298">
        <f>IFERROR(
  _xlfn.XLOOKUP(AC82,'2) หลักการคำนวน Table'!$C$3:$K$3,'2) หลักการคำนวน Table'!$C$3:$K$3,,1),
  IF(AC82&lt;MIN('2) หลักการคำนวน Table'!$C$3:$K$3),
     MIN('2) หลักการคำนวน Table'!$C$3:$K$3),
     MAX('2) หลักการคำนวน Table'!$C$3:$K$3)
  )
)</f>
        <v>0.9</v>
      </c>
      <c r="AP82" s="298">
        <f>IFERROR(
  _xlfn.XLOOKUP(AD82,'2) หลักการคำนวน Table'!$C$3:$K$3,'2) หลักการคำนวน Table'!$C$3:$K$3,,1),
  IF(AD82&lt;MIN('2) หลักการคำนวน Table'!$C$3:$K$3),
     MIN('2) หลักการคำนวน Table'!$C$3:$K$3),
     MAX('2) หลักการคำนวน Table'!$C$3:$K$3)
  )
)</f>
        <v>0.9</v>
      </c>
      <c r="AQ82" s="298">
        <f>IFERROR(
  _xlfn.XLOOKUP(AE82,'2) หลักการคำนวน Table'!$C$3:$K$3,'2) หลักการคำนวน Table'!$C$3:$K$3,,1),
  IF(AE82&lt;MIN('2) หลักการคำนวน Table'!$C$3:$K$3),
     MIN('2) หลักการคำนวน Table'!$C$3:$K$3),
     MAX('2) หลักการคำนวน Table'!$C$3:$K$3)
  )
)</f>
        <v>0.9</v>
      </c>
      <c r="AR82" s="298">
        <f>IFERROR(
  _xlfn.XLOOKUP(AF82,'2) หลักการคำนวน Table'!$C$3:$K$3,'2) หลักการคำนวน Table'!$C$3:$K$3,,1),
  IF(AF82&lt;MIN('2) หลักการคำนวน Table'!$C$3:$K$3),
     MIN('2) หลักการคำนวน Table'!$C$3:$K$3),
     MAX('2) หลักการคำนวน Table'!$C$3:$K$3)
  )
)</f>
        <v>0.9</v>
      </c>
      <c r="AS82" s="298">
        <f>IFERROR(
  _xlfn.XLOOKUP(AG82,'2) หลักการคำนวน Table'!$C$3:$K$3,'2) หลักการคำนวน Table'!$C$3:$K$3,,1),
  IF(AG82&lt;MIN('2) หลักการคำนวน Table'!$C$3:$K$3),
     MIN('2) หลักการคำนวน Table'!$C$3:$K$3),
     MAX('2) หลักการคำนวน Table'!$C$3:$K$3)
  )
)</f>
        <v>0.9</v>
      </c>
      <c r="AT82" s="298">
        <f>IFERROR(
  _xlfn.XLOOKUP(AH82,'2) หลักการคำนวน Table'!$C$3:$K$3,'2) หลักการคำนวน Table'!$C$3:$K$3,,1),
  IF(AH82&lt;MIN('2) หลักการคำนวน Table'!$C$3:$K$3),
     MIN('2) หลักการคำนวน Table'!$C$3:$K$3),
     MAX('2) หลักการคำนวน Table'!$C$3:$K$3)
  )
)</f>
        <v>0.9</v>
      </c>
      <c r="AU82" s="298">
        <f>IFERROR(
  _xlfn.XLOOKUP(AI82,'2) หลักการคำนวน Table'!$C$3:$K$3,'2) หลักการคำนวน Table'!$C$3:$K$3,,1),
  IF(AI82&lt;MIN('2) หลักการคำนวน Table'!$C$3:$K$3),
     MIN('2) หลักการคำนวน Table'!$C$3:$K$3),
     MAX('2) หลักการคำนวน Table'!$C$3:$K$3)
  )
)</f>
        <v>0.9</v>
      </c>
      <c r="AV82" s="298">
        <f>IFERROR(
  _xlfn.XLOOKUP(AJ82,'2) หลักการคำนวน Table'!$C$3:$K$3,'2) หลักการคำนวน Table'!$C$3:$K$3,,1),
  IF(AJ82&lt;MIN('2) หลักการคำนวน Table'!$C$3:$K$3),
     MIN('2) หลักการคำนวน Table'!$C$3:$K$3),
     MAX('2) หลักการคำนวน Table'!$C$3:$K$3)
  )
)</f>
        <v>0.9</v>
      </c>
      <c r="AW82" s="298">
        <f>IFERROR(
  _xlfn.XLOOKUP(AK82,'2) หลักการคำนวน Table'!$C$3:$K$3,'2) หลักการคำนวน Table'!$C$3:$K$3,,1),
  IF(AK82&lt;MIN('2) หลักการคำนวน Table'!$C$3:$K$3),
     MIN('2) หลักการคำนวน Table'!$C$3:$K$3),
     MAX('2) หลักการคำนวน Table'!$C$3:$K$3)
  )
)</f>
        <v>0.9</v>
      </c>
      <c r="AX82" s="298">
        <f>IFERROR(
  _xlfn.XLOOKUP(AL82,'2) หลักการคำนวน Table'!$C$3:$K$3,'2) หลักการคำนวน Table'!$C$3:$K$3,,1),
  IF(AL82&lt;MIN('2) หลักการคำนวน Table'!$C$3:$K$3),
     MIN('2) หลักการคำนวน Table'!$C$3:$K$3),
     MAX('2) หลักการคำนวน Table'!$C$3:$K$3)
  )
)</f>
        <v>0.9</v>
      </c>
      <c r="AY82" s="298">
        <f>IFERROR(
  _xlfn.XLOOKUP(AM82,'2) หลักการคำนวน Table'!$C$3:$K$3,'2) หลักการคำนวน Table'!$C$3:$K$3,,1),
  IF(AM82&lt;MIN('2) หลักการคำนวน Table'!$C$3:$K$3),
     MIN('2) หลักการคำนวน Table'!$C$3:$K$3),
     MAX('2) หลักการคำนวน Table'!$C$3:$K$3)
  )
)</f>
        <v>0.9</v>
      </c>
      <c r="AZ82" s="299" t="e" cm="1">
        <f t="array" ref="AZ82">ROUND((_xlfn.XLOOKUP($C82,'2) หลักการคำนวน Table'!$A$4:$A$36,
_xlfn.XLOOKUP(AN82,'2)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A82" s="299" t="e" cm="1">
        <f t="array" ref="BA82">ROUND((_xlfn.XLOOKUP($C82,'2) หลักการคำนวน Table'!$A$4:$A$36,
_xlfn.XLOOKUP(AO82,'2)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B82" s="299" t="e" cm="1">
        <f t="array" ref="BB82">ROUND((_xlfn.XLOOKUP($C82,'2) หลักการคำนวน Table'!$A$4:$A$36,
_xlfn.XLOOKUP(AP82,'2)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C82" s="299" t="e" cm="1">
        <f t="array" ref="BC82">ROUND((_xlfn.XLOOKUP($C82,'2) หลักการคำนวน Table'!$A$4:$A$36,
_xlfn.XLOOKUP(AQ82,'2)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D82" s="299" t="e" cm="1">
        <f t="array" ref="BD82">ROUND((_xlfn.XLOOKUP($C82,'2) หลักการคำนวน Table'!$A$4:$A$36,
_xlfn.XLOOKUP(AR82,'2)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E82" s="299" t="e" cm="1">
        <f t="array" ref="BE82">ROUND((_xlfn.XLOOKUP($C82,'2) หลักการคำนวน Table'!$A$4:$A$36,
_xlfn.XLOOKUP(AS82,'2)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F82" s="299" t="e" cm="1">
        <f t="array" ref="BF82">ROUND((_xlfn.XLOOKUP($C82,'2) หลักการคำนวน Table'!$A$4:$A$36,
_xlfn.XLOOKUP(AT82,'2)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G82" s="299" t="e" cm="1">
        <f t="array" ref="BG82">ROUND((_xlfn.XLOOKUP($C82,'2) หลักการคำนวน Table'!$A$4:$A$36,
_xlfn.XLOOKUP(AU82,'2)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H82" s="299" t="e" cm="1">
        <f t="array" ref="BH82">ROUND((_xlfn.XLOOKUP($C82,'2) หลักการคำนวน Table'!$A$4:$A$36,
_xlfn.XLOOKUP(AV82,'2)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I82" s="299" t="e" cm="1">
        <f t="array" ref="BI82">ROUND((_xlfn.XLOOKUP($C82,'2) หลักการคำนวน Table'!$A$4:$A$36,
_xlfn.XLOOKUP(AW82,'2)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J82" s="299" t="e" cm="1">
        <f t="array" ref="BJ82">ROUND((_xlfn.XLOOKUP($C82,'2) หลักการคำนวน Table'!$A$4:$A$36,
_xlfn.XLOOKUP(AX82,'2)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K82" s="299" t="e" cm="1">
        <f t="array" ref="BK82">ROUND((_xlfn.XLOOKUP($C82,'2) หลักการคำนวน Table'!$A$4:$A$36,
_xlfn.XLOOKUP(AY82,'2) หลักการคำนวน Table'!$C$3:$K$3,'2) หลักการคำนวน Table'!$C$4:$K$36,,-1)))*(_xlfn.XLOOKUP($C82,'2) หลักการคำนวน Table'!$A$4:$A$36, _xlfn.XLOOKUP($B82,'2) หลักการคำนวน Table'!$L$3:$Z$3,'2) หลักการคำนวน Table'!$L$4:$Z$36))),0)</f>
        <v>#N/A</v>
      </c>
      <c r="BM82" s="295">
        <v>222219</v>
      </c>
      <c r="BN82" s="300">
        <v>669</v>
      </c>
    </row>
    <row r="83" spans="1:66" ht="14.7" customHeight="1" x14ac:dyDescent="0.25">
      <c r="A83" s="126" t="e">
        <f>VLOOKUP(C83,ASTBase!E:S,13,FALSE)</f>
        <v>#N/A</v>
      </c>
      <c r="B83" s="126" t="s">
        <v>410</v>
      </c>
      <c r="C83" s="126">
        <v>5490000719</v>
      </c>
      <c r="D83" s="127">
        <v>9500</v>
      </c>
      <c r="E83" s="127">
        <v>8500</v>
      </c>
      <c r="F83" s="127">
        <v>9800</v>
      </c>
      <c r="G83" s="127">
        <v>10500</v>
      </c>
      <c r="H83" s="127">
        <v>9800</v>
      </c>
      <c r="I83" s="127">
        <v>9400</v>
      </c>
      <c r="J83" s="127">
        <v>9500</v>
      </c>
      <c r="K83" s="127">
        <v>9800</v>
      </c>
      <c r="L83" s="127">
        <v>9400</v>
      </c>
      <c r="M83" s="127">
        <v>9400</v>
      </c>
      <c r="N83" s="127">
        <v>9800</v>
      </c>
      <c r="O83" s="127">
        <v>9600</v>
      </c>
      <c r="P83" s="126">
        <v>6670.1999999999989</v>
      </c>
      <c r="AB83" s="297">
        <f>IFERROR(IF(VLOOKUP($B83,Shortage!$A:$M,AB$2,FALSE)="Shortage",1,IFERROR(ROUND(P83/D83,4),0)),IFERROR(ROUND(P83/D83,4),0))</f>
        <v>0.70209999999999995</v>
      </c>
      <c r="AC83" s="297">
        <f>IFERROR(IF(VLOOKUP($B83,Shortage!$A:$M,AC$2,FALSE)="Shortage",1,IFERROR(ROUND(Q83/E83,4),0)),IFERROR(ROUND(Q83/E83,4),0))</f>
        <v>0</v>
      </c>
      <c r="AD83" s="297">
        <f>IFERROR(IF(VLOOKUP($B83,Shortage!$A:$M,AD$2,FALSE)="Shortage",1,IFERROR(ROUND(R83/F83,4),0)),IFERROR(ROUND(R83/F83,4),0))</f>
        <v>0</v>
      </c>
      <c r="AE83" s="297">
        <f>IFERROR(IF(VLOOKUP($B83,Shortage!$A:$M,AE$2,FALSE)="Shortage",1,IFERROR(ROUND(S83/G83,4),0)),IFERROR(ROUND(S83/G83,4),0))</f>
        <v>0</v>
      </c>
      <c r="AF83" s="297">
        <f>IFERROR(IF(VLOOKUP($B83,Shortage!$A:$M,AF$2,FALSE)="Shortage",1,IFERROR(ROUND(T83/H83,4),0)),IFERROR(ROUND(T83/H83,4),0))</f>
        <v>0</v>
      </c>
      <c r="AG83" s="297">
        <f>IFERROR(IF(VLOOKUP($B83,Shortage!$A:$M,AG$2,FALSE)="Shortage",1,IFERROR(ROUND(U83/I83,4),0)),IFERROR(ROUND(U83/I83,4),0))</f>
        <v>0</v>
      </c>
      <c r="AH83" s="297">
        <f>IFERROR(IF(VLOOKUP($B83,Shortage!$A:$M,AH$2,FALSE)="Shortage",1,IFERROR(ROUND(V83/J83,4),0)),IFERROR(ROUND(V83/J83,4),0))</f>
        <v>0</v>
      </c>
      <c r="AI83" s="297">
        <f>IFERROR(IF(VLOOKUP($B83,Shortage!$A:$M,AI$2,FALSE)="Shortage",1,IFERROR(ROUND(W83/K83,4),0)),IFERROR(ROUND(W83/K83,4),0))</f>
        <v>0</v>
      </c>
      <c r="AJ83" s="297">
        <f>IFERROR(IF(VLOOKUP($B83,Shortage!$A:$M,AJ$2,FALSE)="Shortage",1,IFERROR(ROUND(X83/L83,4),0)),IFERROR(ROUND(X83/L83,4),0))</f>
        <v>0</v>
      </c>
      <c r="AK83" s="297">
        <f>IFERROR(IF(VLOOKUP($B83,Shortage!$A:$M,AK$2,FALSE)="Shortage",1,IFERROR(ROUND(Y83/M83,4),0)),IFERROR(ROUND(Y83/M83,4),0))</f>
        <v>0</v>
      </c>
      <c r="AL83" s="297">
        <f>IFERROR(IF(VLOOKUP($B83,Shortage!$A:$M,AL$2,FALSE)="Shortage",1,IFERROR(ROUND(Z83/N83,4),0)),IFERROR(ROUND(Z83/N83,4),0))</f>
        <v>0</v>
      </c>
      <c r="AM83" s="297">
        <f>IFERROR(IF(VLOOKUP($B83,Shortage!$A:$M,AM$2,FALSE)="Shortage",1,IFERROR(ROUND(AA83/O83,4),0)),IFERROR(ROUND(AA83/O83,4),0))</f>
        <v>0</v>
      </c>
      <c r="AN83" s="298">
        <f>IFERROR(_xlfn.XLOOKUP(AB83,'2) หลักการคำนวน Table'!$C$3:$K$3,'2) หลักการคำนวน Table'!$C$3:$K$3,,1),INDEX('2) หลักการคำนวน Table'!$C$3:$K$3,1))</f>
        <v>0.9</v>
      </c>
      <c r="AO83" s="298">
        <f>IFERROR(
  _xlfn.XLOOKUP(AC83,'2) หลักการคำนวน Table'!$C$3:$K$3,'2) หลักการคำนวน Table'!$C$3:$K$3,,1),
  IF(AC83&lt;MIN('2) หลักการคำนวน Table'!$C$3:$K$3),
     MIN('2) หลักการคำนวน Table'!$C$3:$K$3),
     MAX('2) หลักการคำนวน Table'!$C$3:$K$3)
  )
)</f>
        <v>0.9</v>
      </c>
      <c r="AP83" s="298">
        <f>IFERROR(
  _xlfn.XLOOKUP(AD83,'2) หลักการคำนวน Table'!$C$3:$K$3,'2) หลักการคำนวน Table'!$C$3:$K$3,,1),
  IF(AD83&lt;MIN('2) หลักการคำนวน Table'!$C$3:$K$3),
     MIN('2) หลักการคำนวน Table'!$C$3:$K$3),
     MAX('2) หลักการคำนวน Table'!$C$3:$K$3)
  )
)</f>
        <v>0.9</v>
      </c>
      <c r="AQ83" s="298">
        <f>IFERROR(
  _xlfn.XLOOKUP(AE83,'2) หลักการคำนวน Table'!$C$3:$K$3,'2) หลักการคำนวน Table'!$C$3:$K$3,,1),
  IF(AE83&lt;MIN('2) หลักการคำนวน Table'!$C$3:$K$3),
     MIN('2) หลักการคำนวน Table'!$C$3:$K$3),
     MAX('2) หลักการคำนวน Table'!$C$3:$K$3)
  )
)</f>
        <v>0.9</v>
      </c>
      <c r="AR83" s="298">
        <f>IFERROR(
  _xlfn.XLOOKUP(AF83,'2) หลักการคำนวน Table'!$C$3:$K$3,'2) หลักการคำนวน Table'!$C$3:$K$3,,1),
  IF(AF83&lt;MIN('2) หลักการคำนวน Table'!$C$3:$K$3),
     MIN('2) หลักการคำนวน Table'!$C$3:$K$3),
     MAX('2) หลักการคำนวน Table'!$C$3:$K$3)
  )
)</f>
        <v>0.9</v>
      </c>
      <c r="AS83" s="298">
        <f>IFERROR(
  _xlfn.XLOOKUP(AG83,'2) หลักการคำนวน Table'!$C$3:$K$3,'2) หลักการคำนวน Table'!$C$3:$K$3,,1),
  IF(AG83&lt;MIN('2) หลักการคำนวน Table'!$C$3:$K$3),
     MIN('2) หลักการคำนวน Table'!$C$3:$K$3),
     MAX('2) หลักการคำนวน Table'!$C$3:$K$3)
  )
)</f>
        <v>0.9</v>
      </c>
      <c r="AT83" s="298">
        <f>IFERROR(
  _xlfn.XLOOKUP(AH83,'2) หลักการคำนวน Table'!$C$3:$K$3,'2) หลักการคำนวน Table'!$C$3:$K$3,,1),
  IF(AH83&lt;MIN('2) หลักการคำนวน Table'!$C$3:$K$3),
     MIN('2) หลักการคำนวน Table'!$C$3:$K$3),
     MAX('2) หลักการคำนวน Table'!$C$3:$K$3)
  )
)</f>
        <v>0.9</v>
      </c>
      <c r="AU83" s="298">
        <f>IFERROR(
  _xlfn.XLOOKUP(AI83,'2) หลักการคำนวน Table'!$C$3:$K$3,'2) หลักการคำนวน Table'!$C$3:$K$3,,1),
  IF(AI83&lt;MIN('2) หลักการคำนวน Table'!$C$3:$K$3),
     MIN('2) หลักการคำนวน Table'!$C$3:$K$3),
     MAX('2) หลักการคำนวน Table'!$C$3:$K$3)
  )
)</f>
        <v>0.9</v>
      </c>
      <c r="AV83" s="298">
        <f>IFERROR(
  _xlfn.XLOOKUP(AJ83,'2) หลักการคำนวน Table'!$C$3:$K$3,'2) หลักการคำนวน Table'!$C$3:$K$3,,1),
  IF(AJ83&lt;MIN('2) หลักการคำนวน Table'!$C$3:$K$3),
     MIN('2) หลักการคำนวน Table'!$C$3:$K$3),
     MAX('2) หลักการคำนวน Table'!$C$3:$K$3)
  )
)</f>
        <v>0.9</v>
      </c>
      <c r="AW83" s="298">
        <f>IFERROR(
  _xlfn.XLOOKUP(AK83,'2) หลักการคำนวน Table'!$C$3:$K$3,'2) หลักการคำนวน Table'!$C$3:$K$3,,1),
  IF(AK83&lt;MIN('2) หลักการคำนวน Table'!$C$3:$K$3),
     MIN('2) หลักการคำนวน Table'!$C$3:$K$3),
     MAX('2) หลักการคำนวน Table'!$C$3:$K$3)
  )
)</f>
        <v>0.9</v>
      </c>
      <c r="AX83" s="298">
        <f>IFERROR(
  _xlfn.XLOOKUP(AL83,'2) หลักการคำนวน Table'!$C$3:$K$3,'2) หลักการคำนวน Table'!$C$3:$K$3,,1),
  IF(AL83&lt;MIN('2) หลักการคำนวน Table'!$C$3:$K$3),
     MIN('2) หลักการคำนวน Table'!$C$3:$K$3),
     MAX('2) หลักการคำนวน Table'!$C$3:$K$3)
  )
)</f>
        <v>0.9</v>
      </c>
      <c r="AY83" s="298">
        <f>IFERROR(
  _xlfn.XLOOKUP(AM83,'2) หลักการคำนวน Table'!$C$3:$K$3,'2) หลักการคำนวน Table'!$C$3:$K$3,,1),
  IF(AM83&lt;MIN('2) หลักการคำนวน Table'!$C$3:$K$3),
     MIN('2) หลักการคำนวน Table'!$C$3:$K$3),
     MAX('2) หลักการคำนวน Table'!$C$3:$K$3)
  )
)</f>
        <v>0.9</v>
      </c>
      <c r="AZ83" s="299" t="e" cm="1">
        <f t="array" ref="AZ83">ROUND((_xlfn.XLOOKUP($C83,'2) หลักการคำนวน Table'!$A$4:$A$36,
_xlfn.XLOOKUP(AN83,'2)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A83" s="299" t="e" cm="1">
        <f t="array" ref="BA83">ROUND((_xlfn.XLOOKUP($C83,'2) หลักการคำนวน Table'!$A$4:$A$36,
_xlfn.XLOOKUP(AO83,'2)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B83" s="299" t="e" cm="1">
        <f t="array" ref="BB83">ROUND((_xlfn.XLOOKUP($C83,'2) หลักการคำนวน Table'!$A$4:$A$36,
_xlfn.XLOOKUP(AP83,'2)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C83" s="299" t="e" cm="1">
        <f t="array" ref="BC83">ROUND((_xlfn.XLOOKUP($C83,'2) หลักการคำนวน Table'!$A$4:$A$36,
_xlfn.XLOOKUP(AQ83,'2)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D83" s="299" t="e" cm="1">
        <f t="array" ref="BD83">ROUND((_xlfn.XLOOKUP($C83,'2) หลักการคำนวน Table'!$A$4:$A$36,
_xlfn.XLOOKUP(AR83,'2)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E83" s="299" t="e" cm="1">
        <f t="array" ref="BE83">ROUND((_xlfn.XLOOKUP($C83,'2) หลักการคำนวน Table'!$A$4:$A$36,
_xlfn.XLOOKUP(AS83,'2)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F83" s="299" t="e" cm="1">
        <f t="array" ref="BF83">ROUND((_xlfn.XLOOKUP($C83,'2) หลักการคำนวน Table'!$A$4:$A$36,
_xlfn.XLOOKUP(AT83,'2)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G83" s="299" t="e" cm="1">
        <f t="array" ref="BG83">ROUND((_xlfn.XLOOKUP($C83,'2) หลักการคำนวน Table'!$A$4:$A$36,
_xlfn.XLOOKUP(AU83,'2)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H83" s="299" t="e" cm="1">
        <f t="array" ref="BH83">ROUND((_xlfn.XLOOKUP($C83,'2) หลักการคำนวน Table'!$A$4:$A$36,
_xlfn.XLOOKUP(AV83,'2)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I83" s="299" t="e" cm="1">
        <f t="array" ref="BI83">ROUND((_xlfn.XLOOKUP($C83,'2) หลักการคำนวน Table'!$A$4:$A$36,
_xlfn.XLOOKUP(AW83,'2)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J83" s="299" t="e" cm="1">
        <f t="array" ref="BJ83">ROUND((_xlfn.XLOOKUP($C83,'2) หลักการคำนวน Table'!$A$4:$A$36,
_xlfn.XLOOKUP(AX83,'2)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K83" s="299" t="e" cm="1">
        <f t="array" ref="BK83">ROUND((_xlfn.XLOOKUP($C83,'2) หลักการคำนวน Table'!$A$4:$A$36,
_xlfn.XLOOKUP(AY83,'2) หลักการคำนวน Table'!$C$3:$K$3,'2) หลักการคำนวน Table'!$C$4:$K$36,,-1)))*(_xlfn.XLOOKUP($C83,'2) หลักการคำนวน Table'!$A$4:$A$36, _xlfn.XLOOKUP($B83,'2) หลักการคำนวน Table'!$L$3:$Z$3,'2) หลักการคำนวน Table'!$L$4:$Z$36))),0)</f>
        <v>#N/A</v>
      </c>
      <c r="BM83" s="295">
        <v>222219</v>
      </c>
      <c r="BN83" s="300">
        <v>523</v>
      </c>
    </row>
    <row r="84" spans="1:66" ht="14.7" customHeight="1" x14ac:dyDescent="0.25">
      <c r="A84" s="126" t="e">
        <f>VLOOKUP(C84,ASTBase!E:S,13,FALSE)</f>
        <v>#N/A</v>
      </c>
      <c r="B84" s="126" t="s">
        <v>415</v>
      </c>
      <c r="C84" s="126">
        <v>5490000719</v>
      </c>
      <c r="D84" s="127">
        <v>4700</v>
      </c>
      <c r="E84" s="127">
        <v>4000</v>
      </c>
      <c r="F84" s="127">
        <v>4000</v>
      </c>
      <c r="G84" s="127">
        <v>4700</v>
      </c>
      <c r="H84" s="127">
        <v>4200</v>
      </c>
      <c r="I84" s="127">
        <v>4000</v>
      </c>
      <c r="J84" s="127">
        <v>4800</v>
      </c>
      <c r="K84" s="127">
        <v>4800</v>
      </c>
      <c r="L84" s="127">
        <v>5500</v>
      </c>
      <c r="M84" s="127">
        <v>5500</v>
      </c>
      <c r="N84" s="127">
        <v>4800</v>
      </c>
      <c r="O84" s="127">
        <v>4800</v>
      </c>
      <c r="P84" s="126">
        <v>4212</v>
      </c>
      <c r="AB84" s="297">
        <f>IFERROR(IF(VLOOKUP($B84,Shortage!$A:$M,AB$2,FALSE)="Shortage",1,IFERROR(ROUND(P84/D84,4),0)),IFERROR(ROUND(P84/D84,4),0))</f>
        <v>0.8962</v>
      </c>
      <c r="AC84" s="297">
        <f>IFERROR(IF(VLOOKUP($B84,Shortage!$A:$M,AC$2,FALSE)="Shortage",1,IFERROR(ROUND(Q84/E84,4),0)),IFERROR(ROUND(Q84/E84,4),0))</f>
        <v>0</v>
      </c>
      <c r="AD84" s="297">
        <f>IFERROR(IF(VLOOKUP($B84,Shortage!$A:$M,AD$2,FALSE)="Shortage",1,IFERROR(ROUND(R84/F84,4),0)),IFERROR(ROUND(R84/F84,4),0))</f>
        <v>0</v>
      </c>
      <c r="AE84" s="297">
        <f>IFERROR(IF(VLOOKUP($B84,Shortage!$A:$M,AE$2,FALSE)="Shortage",1,IFERROR(ROUND(S84/G84,4),0)),IFERROR(ROUND(S84/G84,4),0))</f>
        <v>0</v>
      </c>
      <c r="AF84" s="297">
        <f>IFERROR(IF(VLOOKUP($B84,Shortage!$A:$M,AF$2,FALSE)="Shortage",1,IFERROR(ROUND(T84/H84,4),0)),IFERROR(ROUND(T84/H84,4),0))</f>
        <v>0</v>
      </c>
      <c r="AG84" s="297">
        <f>IFERROR(IF(VLOOKUP($B84,Shortage!$A:$M,AG$2,FALSE)="Shortage",1,IFERROR(ROUND(U84/I84,4),0)),IFERROR(ROUND(U84/I84,4),0))</f>
        <v>0</v>
      </c>
      <c r="AH84" s="297">
        <f>IFERROR(IF(VLOOKUP($B84,Shortage!$A:$M,AH$2,FALSE)="Shortage",1,IFERROR(ROUND(V84/J84,4),0)),IFERROR(ROUND(V84/J84,4),0))</f>
        <v>0</v>
      </c>
      <c r="AI84" s="297">
        <f>IFERROR(IF(VLOOKUP($B84,Shortage!$A:$M,AI$2,FALSE)="Shortage",1,IFERROR(ROUND(W84/K84,4),0)),IFERROR(ROUND(W84/K84,4),0))</f>
        <v>0</v>
      </c>
      <c r="AJ84" s="297">
        <f>IFERROR(IF(VLOOKUP($B84,Shortage!$A:$M,AJ$2,FALSE)="Shortage",1,IFERROR(ROUND(X84/L84,4),0)),IFERROR(ROUND(X84/L84,4),0))</f>
        <v>0</v>
      </c>
      <c r="AK84" s="297">
        <f>IFERROR(IF(VLOOKUP($B84,Shortage!$A:$M,AK$2,FALSE)="Shortage",1,IFERROR(ROUND(Y84/M84,4),0)),IFERROR(ROUND(Y84/M84,4),0))</f>
        <v>0</v>
      </c>
      <c r="AL84" s="297">
        <f>IFERROR(IF(VLOOKUP($B84,Shortage!$A:$M,AL$2,FALSE)="Shortage",1,IFERROR(ROUND(Z84/N84,4),0)),IFERROR(ROUND(Z84/N84,4),0))</f>
        <v>0</v>
      </c>
      <c r="AM84" s="297">
        <f>IFERROR(IF(VLOOKUP($B84,Shortage!$A:$M,AM$2,FALSE)="Shortage",1,IFERROR(ROUND(AA84/O84,4),0)),IFERROR(ROUND(AA84/O84,4),0))</f>
        <v>0</v>
      </c>
      <c r="AN84" s="298">
        <f>IFERROR(_xlfn.XLOOKUP(AB84,'2) หลักการคำนวน Table'!$C$3:$K$3,'2) หลักการคำนวน Table'!$C$3:$K$3,,1),INDEX('2) หลักการคำนวน Table'!$C$3:$K$3,1))</f>
        <v>0.9</v>
      </c>
      <c r="AO84" s="298">
        <f>IFERROR(
  _xlfn.XLOOKUP(AC84,'2) หลักการคำนวน Table'!$C$3:$K$3,'2) หลักการคำนวน Table'!$C$3:$K$3,,1),
  IF(AC84&lt;MIN('2) หลักการคำนวน Table'!$C$3:$K$3),
     MIN('2) หลักการคำนวน Table'!$C$3:$K$3),
     MAX('2) หลักการคำนวน Table'!$C$3:$K$3)
  )
)</f>
        <v>0.9</v>
      </c>
      <c r="AP84" s="298">
        <f>IFERROR(
  _xlfn.XLOOKUP(AD84,'2) หลักการคำนวน Table'!$C$3:$K$3,'2) หลักการคำนวน Table'!$C$3:$K$3,,1),
  IF(AD84&lt;MIN('2) หลักการคำนวน Table'!$C$3:$K$3),
     MIN('2) หลักการคำนวน Table'!$C$3:$K$3),
     MAX('2) หลักการคำนวน Table'!$C$3:$K$3)
  )
)</f>
        <v>0.9</v>
      </c>
      <c r="AQ84" s="298">
        <f>IFERROR(
  _xlfn.XLOOKUP(AE84,'2) หลักการคำนวน Table'!$C$3:$K$3,'2) หลักการคำนวน Table'!$C$3:$K$3,,1),
  IF(AE84&lt;MIN('2) หลักการคำนวน Table'!$C$3:$K$3),
     MIN('2) หลักการคำนวน Table'!$C$3:$K$3),
     MAX('2) หลักการคำนวน Table'!$C$3:$K$3)
  )
)</f>
        <v>0.9</v>
      </c>
      <c r="AR84" s="298">
        <f>IFERROR(
  _xlfn.XLOOKUP(AF84,'2) หลักการคำนวน Table'!$C$3:$K$3,'2) หลักการคำนวน Table'!$C$3:$K$3,,1),
  IF(AF84&lt;MIN('2) หลักการคำนวน Table'!$C$3:$K$3),
     MIN('2) หลักการคำนวน Table'!$C$3:$K$3),
     MAX('2) หลักการคำนวน Table'!$C$3:$K$3)
  )
)</f>
        <v>0.9</v>
      </c>
      <c r="AS84" s="298">
        <f>IFERROR(
  _xlfn.XLOOKUP(AG84,'2) หลักการคำนวน Table'!$C$3:$K$3,'2) หลักการคำนวน Table'!$C$3:$K$3,,1),
  IF(AG84&lt;MIN('2) หลักการคำนวน Table'!$C$3:$K$3),
     MIN('2) หลักการคำนวน Table'!$C$3:$K$3),
     MAX('2) หลักการคำนวน Table'!$C$3:$K$3)
  )
)</f>
        <v>0.9</v>
      </c>
      <c r="AT84" s="298">
        <f>IFERROR(
  _xlfn.XLOOKUP(AH84,'2) หลักการคำนวน Table'!$C$3:$K$3,'2) หลักการคำนวน Table'!$C$3:$K$3,,1),
  IF(AH84&lt;MIN('2) หลักการคำนวน Table'!$C$3:$K$3),
     MIN('2) หลักการคำนวน Table'!$C$3:$K$3),
     MAX('2) หลักการคำนวน Table'!$C$3:$K$3)
  )
)</f>
        <v>0.9</v>
      </c>
      <c r="AU84" s="298">
        <f>IFERROR(
  _xlfn.XLOOKUP(AI84,'2) หลักการคำนวน Table'!$C$3:$K$3,'2) หลักการคำนวน Table'!$C$3:$K$3,,1),
  IF(AI84&lt;MIN('2) หลักการคำนวน Table'!$C$3:$K$3),
     MIN('2) หลักการคำนวน Table'!$C$3:$K$3),
     MAX('2) หลักการคำนวน Table'!$C$3:$K$3)
  )
)</f>
        <v>0.9</v>
      </c>
      <c r="AV84" s="298">
        <f>IFERROR(
  _xlfn.XLOOKUP(AJ84,'2) หลักการคำนวน Table'!$C$3:$K$3,'2) หลักการคำนวน Table'!$C$3:$K$3,,1),
  IF(AJ84&lt;MIN('2) หลักการคำนวน Table'!$C$3:$K$3),
     MIN('2) หลักการคำนวน Table'!$C$3:$K$3),
     MAX('2) หลักการคำนวน Table'!$C$3:$K$3)
  )
)</f>
        <v>0.9</v>
      </c>
      <c r="AW84" s="298">
        <f>IFERROR(
  _xlfn.XLOOKUP(AK84,'2) หลักการคำนวน Table'!$C$3:$K$3,'2) หลักการคำนวน Table'!$C$3:$K$3,,1),
  IF(AK84&lt;MIN('2) หลักการคำนวน Table'!$C$3:$K$3),
     MIN('2) หลักการคำนวน Table'!$C$3:$K$3),
     MAX('2) หลักการคำนวน Table'!$C$3:$K$3)
  )
)</f>
        <v>0.9</v>
      </c>
      <c r="AX84" s="298">
        <f>IFERROR(
  _xlfn.XLOOKUP(AL84,'2) หลักการคำนวน Table'!$C$3:$K$3,'2) หลักการคำนวน Table'!$C$3:$K$3,,1),
  IF(AL84&lt;MIN('2) หลักการคำนวน Table'!$C$3:$K$3),
     MIN('2) หลักการคำนวน Table'!$C$3:$K$3),
     MAX('2) หลักการคำนวน Table'!$C$3:$K$3)
  )
)</f>
        <v>0.9</v>
      </c>
      <c r="AY84" s="298">
        <f>IFERROR(
  _xlfn.XLOOKUP(AM84,'2) หลักการคำนวน Table'!$C$3:$K$3,'2) หลักการคำนวน Table'!$C$3:$K$3,,1),
  IF(AM84&lt;MIN('2) หลักการคำนวน Table'!$C$3:$K$3),
     MIN('2) หลักการคำนวน Table'!$C$3:$K$3),
     MAX('2) หลักการคำนวน Table'!$C$3:$K$3)
  )
)</f>
        <v>0.9</v>
      </c>
      <c r="AZ84" s="299" t="e" cm="1">
        <f t="array" ref="AZ84">ROUND((_xlfn.XLOOKUP($C84,'2) หลักการคำนวน Table'!$A$4:$A$36,
_xlfn.XLOOKUP(AN84,'2)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A84" s="299" t="e" cm="1">
        <f t="array" ref="BA84">ROUND((_xlfn.XLOOKUP($C84,'2) หลักการคำนวน Table'!$A$4:$A$36,
_xlfn.XLOOKUP(AO84,'2)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B84" s="299" t="e" cm="1">
        <f t="array" ref="BB84">ROUND((_xlfn.XLOOKUP($C84,'2) หลักการคำนวน Table'!$A$4:$A$36,
_xlfn.XLOOKUP(AP84,'2)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C84" s="299" t="e" cm="1">
        <f t="array" ref="BC84">ROUND((_xlfn.XLOOKUP($C84,'2) หลักการคำนวน Table'!$A$4:$A$36,
_xlfn.XLOOKUP(AQ84,'2)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D84" s="299" t="e" cm="1">
        <f t="array" ref="BD84">ROUND((_xlfn.XLOOKUP($C84,'2) หลักการคำนวน Table'!$A$4:$A$36,
_xlfn.XLOOKUP(AR84,'2)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E84" s="299" t="e" cm="1">
        <f t="array" ref="BE84">ROUND((_xlfn.XLOOKUP($C84,'2) หลักการคำนวน Table'!$A$4:$A$36,
_xlfn.XLOOKUP(AS84,'2)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F84" s="299" t="e" cm="1">
        <f t="array" ref="BF84">ROUND((_xlfn.XLOOKUP($C84,'2) หลักการคำนวน Table'!$A$4:$A$36,
_xlfn.XLOOKUP(AT84,'2)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G84" s="299" t="e" cm="1">
        <f t="array" ref="BG84">ROUND((_xlfn.XLOOKUP($C84,'2) หลักการคำนวน Table'!$A$4:$A$36,
_xlfn.XLOOKUP(AU84,'2)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H84" s="299" t="e" cm="1">
        <f t="array" ref="BH84">ROUND((_xlfn.XLOOKUP($C84,'2) หลักการคำนวน Table'!$A$4:$A$36,
_xlfn.XLOOKUP(AV84,'2)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I84" s="299" t="e" cm="1">
        <f t="array" ref="BI84">ROUND((_xlfn.XLOOKUP($C84,'2) หลักการคำนวน Table'!$A$4:$A$36,
_xlfn.XLOOKUP(AW84,'2)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J84" s="299" t="e" cm="1">
        <f t="array" ref="BJ84">ROUND((_xlfn.XLOOKUP($C84,'2) หลักการคำนวน Table'!$A$4:$A$36,
_xlfn.XLOOKUP(AX84,'2)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K84" s="299" t="e" cm="1">
        <f t="array" ref="BK84">ROUND((_xlfn.XLOOKUP($C84,'2) หลักการคำนวน Table'!$A$4:$A$36,
_xlfn.XLOOKUP(AY84,'2) หลักการคำนวน Table'!$C$3:$K$3,'2) หลักการคำนวน Table'!$C$4:$K$36,,-1)))*(_xlfn.XLOOKUP($C84,'2) หลักการคำนวน Table'!$A$4:$A$36, _xlfn.XLOOKUP($B84,'2) หลักการคำนวน Table'!$L$3:$Z$3,'2) หลักการคำนวน Table'!$L$4:$Z$36))),0)</f>
        <v>#N/A</v>
      </c>
      <c r="BM84" s="295">
        <v>222219</v>
      </c>
      <c r="BN84" s="300">
        <v>209</v>
      </c>
    </row>
    <row r="85" spans="1:66" ht="14.7" customHeight="1" x14ac:dyDescent="0.25">
      <c r="A85" s="126" t="e">
        <f>VLOOKUP(C85,ASTBase!E:S,13,FALSE)</f>
        <v>#N/A</v>
      </c>
      <c r="B85" s="126" t="s">
        <v>414</v>
      </c>
      <c r="C85" s="126">
        <v>5490000719</v>
      </c>
      <c r="D85" s="127">
        <v>5000</v>
      </c>
      <c r="E85" s="127">
        <v>7500</v>
      </c>
      <c r="F85" s="127">
        <v>8300</v>
      </c>
      <c r="G85" s="127">
        <v>7500</v>
      </c>
      <c r="H85" s="127">
        <v>7400</v>
      </c>
      <c r="I85" s="127">
        <v>7500</v>
      </c>
      <c r="J85" s="127">
        <v>7500</v>
      </c>
      <c r="K85" s="127">
        <v>7500</v>
      </c>
      <c r="L85" s="127">
        <v>8800</v>
      </c>
      <c r="M85" s="127">
        <v>8000</v>
      </c>
      <c r="N85" s="127">
        <v>7500</v>
      </c>
      <c r="O85" s="127">
        <v>7500</v>
      </c>
      <c r="P85" s="126">
        <v>7149.6</v>
      </c>
      <c r="AB85" s="297">
        <f>IFERROR(IF(VLOOKUP($B85,Shortage!$A:$M,AB$2,FALSE)="Shortage",1,IFERROR(ROUND(P85/D85,4),0)),IFERROR(ROUND(P85/D85,4),0))</f>
        <v>1.4298999999999999</v>
      </c>
      <c r="AC85" s="297">
        <f>IFERROR(IF(VLOOKUP($B85,Shortage!$A:$M,AC$2,FALSE)="Shortage",1,IFERROR(ROUND(Q85/E85,4),0)),IFERROR(ROUND(Q85/E85,4),0))</f>
        <v>0</v>
      </c>
      <c r="AD85" s="297">
        <f>IFERROR(IF(VLOOKUP($B85,Shortage!$A:$M,AD$2,FALSE)="Shortage",1,IFERROR(ROUND(R85/F85,4),0)),IFERROR(ROUND(R85/F85,4),0))</f>
        <v>0</v>
      </c>
      <c r="AE85" s="297">
        <f>IFERROR(IF(VLOOKUP($B85,Shortage!$A:$M,AE$2,FALSE)="Shortage",1,IFERROR(ROUND(S85/G85,4),0)),IFERROR(ROUND(S85/G85,4),0))</f>
        <v>0</v>
      </c>
      <c r="AF85" s="297">
        <f>IFERROR(IF(VLOOKUP($B85,Shortage!$A:$M,AF$2,FALSE)="Shortage",1,IFERROR(ROUND(T85/H85,4),0)),IFERROR(ROUND(T85/H85,4),0))</f>
        <v>0</v>
      </c>
      <c r="AG85" s="297">
        <f>IFERROR(IF(VLOOKUP($B85,Shortage!$A:$M,AG$2,FALSE)="Shortage",1,IFERROR(ROUND(U85/I85,4),0)),IFERROR(ROUND(U85/I85,4),0))</f>
        <v>0</v>
      </c>
      <c r="AH85" s="297">
        <f>IFERROR(IF(VLOOKUP($B85,Shortage!$A:$M,AH$2,FALSE)="Shortage",1,IFERROR(ROUND(V85/J85,4),0)),IFERROR(ROUND(V85/J85,4),0))</f>
        <v>0</v>
      </c>
      <c r="AI85" s="297">
        <f>IFERROR(IF(VLOOKUP($B85,Shortage!$A:$M,AI$2,FALSE)="Shortage",1,IFERROR(ROUND(W85/K85,4),0)),IFERROR(ROUND(W85/K85,4),0))</f>
        <v>0</v>
      </c>
      <c r="AJ85" s="297">
        <f>IFERROR(IF(VLOOKUP($B85,Shortage!$A:$M,AJ$2,FALSE)="Shortage",1,IFERROR(ROUND(X85/L85,4),0)),IFERROR(ROUND(X85/L85,4),0))</f>
        <v>0</v>
      </c>
      <c r="AK85" s="297">
        <f>IFERROR(IF(VLOOKUP($B85,Shortage!$A:$M,AK$2,FALSE)="Shortage",1,IFERROR(ROUND(Y85/M85,4),0)),IFERROR(ROUND(Y85/M85,4),0))</f>
        <v>0</v>
      </c>
      <c r="AL85" s="297">
        <f>IFERROR(IF(VLOOKUP($B85,Shortage!$A:$M,AL$2,FALSE)="Shortage",1,IFERROR(ROUND(Z85/N85,4),0)),IFERROR(ROUND(Z85/N85,4),0))</f>
        <v>0</v>
      </c>
      <c r="AM85" s="297">
        <f>IFERROR(IF(VLOOKUP($B85,Shortage!$A:$M,AM$2,FALSE)="Shortage",1,IFERROR(ROUND(AA85/O85,4),0)),IFERROR(ROUND(AA85/O85,4),0))</f>
        <v>0</v>
      </c>
      <c r="AN85" s="298">
        <f>IFERROR(_xlfn.XLOOKUP(AB85,'2) หลักการคำนวน Table'!$C$3:$K$3,'2) หลักการคำนวน Table'!$C$3:$K$3,,1),INDEX('2) หลักการคำนวน Table'!$C$3:$K$3,1))</f>
        <v>20</v>
      </c>
      <c r="AO85" s="298">
        <f>IFERROR(
  _xlfn.XLOOKUP(AC85,'2) หลักการคำนวน Table'!$C$3:$K$3,'2) หลักการคำนวน Table'!$C$3:$K$3,,1),
  IF(AC85&lt;MIN('2) หลักการคำนวน Table'!$C$3:$K$3),
     MIN('2) หลักการคำนวน Table'!$C$3:$K$3),
     MAX('2) หลักการคำนวน Table'!$C$3:$K$3)
  )
)</f>
        <v>0.9</v>
      </c>
      <c r="AP85" s="298">
        <f>IFERROR(
  _xlfn.XLOOKUP(AD85,'2) หลักการคำนวน Table'!$C$3:$K$3,'2) หลักการคำนวน Table'!$C$3:$K$3,,1),
  IF(AD85&lt;MIN('2) หลักการคำนวน Table'!$C$3:$K$3),
     MIN('2) หลักการคำนวน Table'!$C$3:$K$3),
     MAX('2) หลักการคำนวน Table'!$C$3:$K$3)
  )
)</f>
        <v>0.9</v>
      </c>
      <c r="AQ85" s="298">
        <f>IFERROR(
  _xlfn.XLOOKUP(AE85,'2) หลักการคำนวน Table'!$C$3:$K$3,'2) หลักการคำนวน Table'!$C$3:$K$3,,1),
  IF(AE85&lt;MIN('2) หลักการคำนวน Table'!$C$3:$K$3),
     MIN('2) หลักการคำนวน Table'!$C$3:$K$3),
     MAX('2) หลักการคำนวน Table'!$C$3:$K$3)
  )
)</f>
        <v>0.9</v>
      </c>
      <c r="AR85" s="298">
        <f>IFERROR(
  _xlfn.XLOOKUP(AF85,'2) หลักการคำนวน Table'!$C$3:$K$3,'2) หลักการคำนวน Table'!$C$3:$K$3,,1),
  IF(AF85&lt;MIN('2) หลักการคำนวน Table'!$C$3:$K$3),
     MIN('2) หลักการคำนวน Table'!$C$3:$K$3),
     MAX('2) หลักการคำนวน Table'!$C$3:$K$3)
  )
)</f>
        <v>0.9</v>
      </c>
      <c r="AS85" s="298">
        <f>IFERROR(
  _xlfn.XLOOKUP(AG85,'2) หลักการคำนวน Table'!$C$3:$K$3,'2) หลักการคำนวน Table'!$C$3:$K$3,,1),
  IF(AG85&lt;MIN('2) หลักการคำนวน Table'!$C$3:$K$3),
     MIN('2) หลักการคำนวน Table'!$C$3:$K$3),
     MAX('2) หลักการคำนวน Table'!$C$3:$K$3)
  )
)</f>
        <v>0.9</v>
      </c>
      <c r="AT85" s="298">
        <f>IFERROR(
  _xlfn.XLOOKUP(AH85,'2) หลักการคำนวน Table'!$C$3:$K$3,'2) หลักการคำนวน Table'!$C$3:$K$3,,1),
  IF(AH85&lt;MIN('2) หลักการคำนวน Table'!$C$3:$K$3),
     MIN('2) หลักการคำนวน Table'!$C$3:$K$3),
     MAX('2) หลักการคำนวน Table'!$C$3:$K$3)
  )
)</f>
        <v>0.9</v>
      </c>
      <c r="AU85" s="298">
        <f>IFERROR(
  _xlfn.XLOOKUP(AI85,'2) หลักการคำนวน Table'!$C$3:$K$3,'2) หลักการคำนวน Table'!$C$3:$K$3,,1),
  IF(AI85&lt;MIN('2) หลักการคำนวน Table'!$C$3:$K$3),
     MIN('2) หลักการคำนวน Table'!$C$3:$K$3),
     MAX('2) หลักการคำนวน Table'!$C$3:$K$3)
  )
)</f>
        <v>0.9</v>
      </c>
      <c r="AV85" s="298">
        <f>IFERROR(
  _xlfn.XLOOKUP(AJ85,'2) หลักการคำนวน Table'!$C$3:$K$3,'2) หลักการคำนวน Table'!$C$3:$K$3,,1),
  IF(AJ85&lt;MIN('2) หลักการคำนวน Table'!$C$3:$K$3),
     MIN('2) หลักการคำนวน Table'!$C$3:$K$3),
     MAX('2) หลักการคำนวน Table'!$C$3:$K$3)
  )
)</f>
        <v>0.9</v>
      </c>
      <c r="AW85" s="298">
        <f>IFERROR(
  _xlfn.XLOOKUP(AK85,'2) หลักการคำนวน Table'!$C$3:$K$3,'2) หลักการคำนวน Table'!$C$3:$K$3,,1),
  IF(AK85&lt;MIN('2) หลักการคำนวน Table'!$C$3:$K$3),
     MIN('2) หลักการคำนวน Table'!$C$3:$K$3),
     MAX('2) หลักการคำนวน Table'!$C$3:$K$3)
  )
)</f>
        <v>0.9</v>
      </c>
      <c r="AX85" s="298">
        <f>IFERROR(
  _xlfn.XLOOKUP(AL85,'2) หลักการคำนวน Table'!$C$3:$K$3,'2) หลักการคำนวน Table'!$C$3:$K$3,,1),
  IF(AL85&lt;MIN('2) หลักการคำนวน Table'!$C$3:$K$3),
     MIN('2) หลักการคำนวน Table'!$C$3:$K$3),
     MAX('2) หลักการคำนวน Table'!$C$3:$K$3)
  )
)</f>
        <v>0.9</v>
      </c>
      <c r="AY85" s="298">
        <f>IFERROR(
  _xlfn.XLOOKUP(AM85,'2) หลักการคำนวน Table'!$C$3:$K$3,'2) หลักการคำนวน Table'!$C$3:$K$3,,1),
  IF(AM85&lt;MIN('2) หลักการคำนวน Table'!$C$3:$K$3),
     MIN('2) หลักการคำนวน Table'!$C$3:$K$3),
     MAX('2) หลักการคำนวน Table'!$C$3:$K$3)
  )
)</f>
        <v>0.9</v>
      </c>
      <c r="AZ85" s="299" t="e" cm="1">
        <f t="array" ref="AZ85">ROUND((_xlfn.XLOOKUP($C85,'2) หลักการคำนวน Table'!$A$4:$A$36,
_xlfn.XLOOKUP(AN85,'2)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A85" s="299" t="e" cm="1">
        <f t="array" ref="BA85">ROUND((_xlfn.XLOOKUP($C85,'2) หลักการคำนวน Table'!$A$4:$A$36,
_xlfn.XLOOKUP(AO85,'2)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B85" s="299" t="e" cm="1">
        <f t="array" ref="BB85">ROUND((_xlfn.XLOOKUP($C85,'2) หลักการคำนวน Table'!$A$4:$A$36,
_xlfn.XLOOKUP(AP85,'2)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C85" s="299" t="e" cm="1">
        <f t="array" ref="BC85">ROUND((_xlfn.XLOOKUP($C85,'2) หลักการคำนวน Table'!$A$4:$A$36,
_xlfn.XLOOKUP(AQ85,'2)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D85" s="299" t="e" cm="1">
        <f t="array" ref="BD85">ROUND((_xlfn.XLOOKUP($C85,'2) หลักการคำนวน Table'!$A$4:$A$36,
_xlfn.XLOOKUP(AR85,'2)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E85" s="299" t="e" cm="1">
        <f t="array" ref="BE85">ROUND((_xlfn.XLOOKUP($C85,'2) หลักการคำนวน Table'!$A$4:$A$36,
_xlfn.XLOOKUP(AS85,'2)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F85" s="299" t="e" cm="1">
        <f t="array" ref="BF85">ROUND((_xlfn.XLOOKUP($C85,'2) หลักการคำนวน Table'!$A$4:$A$36,
_xlfn.XLOOKUP(AT85,'2)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G85" s="299" t="e" cm="1">
        <f t="array" ref="BG85">ROUND((_xlfn.XLOOKUP($C85,'2) หลักการคำนวน Table'!$A$4:$A$36,
_xlfn.XLOOKUP(AU85,'2)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H85" s="299" t="e" cm="1">
        <f t="array" ref="BH85">ROUND((_xlfn.XLOOKUP($C85,'2) หลักการคำนวน Table'!$A$4:$A$36,
_xlfn.XLOOKUP(AV85,'2)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I85" s="299" t="e" cm="1">
        <f t="array" ref="BI85">ROUND((_xlfn.XLOOKUP($C85,'2) หลักการคำนวน Table'!$A$4:$A$36,
_xlfn.XLOOKUP(AW85,'2)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J85" s="299" t="e" cm="1">
        <f t="array" ref="BJ85">ROUND((_xlfn.XLOOKUP($C85,'2) หลักการคำนวน Table'!$A$4:$A$36,
_xlfn.XLOOKUP(AX85,'2)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K85" s="299" t="e" cm="1">
        <f t="array" ref="BK85">ROUND((_xlfn.XLOOKUP($C85,'2) หลักการคำนวน Table'!$A$4:$A$36,
_xlfn.XLOOKUP(AY85,'2) หลักการคำนวน Table'!$C$3:$K$3,'2) หลักการคำนวน Table'!$C$4:$K$36,,-1)))*(_xlfn.XLOOKUP($C85,'2) หลักการคำนวน Table'!$A$4:$A$36, _xlfn.XLOOKUP($B85,'2) หลักการคำนวน Table'!$L$3:$Z$3,'2) หลักการคำนวน Table'!$L$4:$Z$36))),0)</f>
        <v>#N/A</v>
      </c>
      <c r="BM85" s="295">
        <v>222219</v>
      </c>
      <c r="BN85" s="300">
        <v>302</v>
      </c>
    </row>
    <row r="86" spans="1:66" ht="14.7" customHeight="1" x14ac:dyDescent="0.25">
      <c r="A86" s="126" t="e">
        <f>VLOOKUP(C86,ASTBase!E:S,13,FALSE)</f>
        <v>#N/A</v>
      </c>
      <c r="B86" s="126" t="s">
        <v>412</v>
      </c>
      <c r="C86" s="126">
        <v>5490000719</v>
      </c>
      <c r="D86" s="127">
        <v>151460</v>
      </c>
      <c r="E86" s="127">
        <v>111090</v>
      </c>
      <c r="F86" s="127">
        <v>112965</v>
      </c>
      <c r="G86" s="127">
        <v>111965</v>
      </c>
      <c r="H86" s="127">
        <v>109665</v>
      </c>
      <c r="I86" s="127">
        <v>111965</v>
      </c>
      <c r="J86" s="127">
        <v>124665</v>
      </c>
      <c r="K86" s="127">
        <v>111965</v>
      </c>
      <c r="L86" s="127">
        <v>124665</v>
      </c>
      <c r="M86" s="127">
        <v>109865</v>
      </c>
      <c r="N86" s="127">
        <v>109865</v>
      </c>
      <c r="O86" s="127">
        <v>109865</v>
      </c>
      <c r="P86" s="126">
        <v>184168.99999538716</v>
      </c>
      <c r="AB86" s="297">
        <f>IFERROR(IF(VLOOKUP($B86,Shortage!$A:$M,AB$2,FALSE)="Shortage",1,IFERROR(ROUND(P86/D86,4),0)),IFERROR(ROUND(P86/D86,4),0))</f>
        <v>1</v>
      </c>
      <c r="AC86" s="297">
        <f>IFERROR(IF(VLOOKUP($B86,Shortage!$A:$M,AC$2,FALSE)="Shortage",1,IFERROR(ROUND(Q86/E86,4),0)),IFERROR(ROUND(Q86/E86,4),0))</f>
        <v>0</v>
      </c>
      <c r="AD86" s="297">
        <f>IFERROR(IF(VLOOKUP($B86,Shortage!$A:$M,AD$2,FALSE)="Shortage",1,IFERROR(ROUND(R86/F86,4),0)),IFERROR(ROUND(R86/F86,4),0))</f>
        <v>0</v>
      </c>
      <c r="AE86" s="297">
        <f>IFERROR(IF(VLOOKUP($B86,Shortage!$A:$M,AE$2,FALSE)="Shortage",1,IFERROR(ROUND(S86/G86,4),0)),IFERROR(ROUND(S86/G86,4),0))</f>
        <v>0</v>
      </c>
      <c r="AF86" s="297">
        <f>IFERROR(IF(VLOOKUP($B86,Shortage!$A:$M,AF$2,FALSE)="Shortage",1,IFERROR(ROUND(T86/H86,4),0)),IFERROR(ROUND(T86/H86,4),0))</f>
        <v>0</v>
      </c>
      <c r="AG86" s="297">
        <f>IFERROR(IF(VLOOKUP($B86,Shortage!$A:$M,AG$2,FALSE)="Shortage",1,IFERROR(ROUND(U86/I86,4),0)),IFERROR(ROUND(U86/I86,4),0))</f>
        <v>0</v>
      </c>
      <c r="AH86" s="297">
        <f>IFERROR(IF(VLOOKUP($B86,Shortage!$A:$M,AH$2,FALSE)="Shortage",1,IFERROR(ROUND(V86/J86,4),0)),IFERROR(ROUND(V86/J86,4),0))</f>
        <v>0</v>
      </c>
      <c r="AI86" s="297">
        <f>IFERROR(IF(VLOOKUP($B86,Shortage!$A:$M,AI$2,FALSE)="Shortage",1,IFERROR(ROUND(W86/K86,4),0)),IFERROR(ROUND(W86/K86,4),0))</f>
        <v>0</v>
      </c>
      <c r="AJ86" s="297">
        <f>IFERROR(IF(VLOOKUP($B86,Shortage!$A:$M,AJ$2,FALSE)="Shortage",1,IFERROR(ROUND(X86/L86,4),0)),IFERROR(ROUND(X86/L86,4),0))</f>
        <v>0</v>
      </c>
      <c r="AK86" s="297">
        <f>IFERROR(IF(VLOOKUP($B86,Shortage!$A:$M,AK$2,FALSE)="Shortage",1,IFERROR(ROUND(Y86/M86,4),0)),IFERROR(ROUND(Y86/M86,4),0))</f>
        <v>0</v>
      </c>
      <c r="AL86" s="297">
        <f>IFERROR(IF(VLOOKUP($B86,Shortage!$A:$M,AL$2,FALSE)="Shortage",1,IFERROR(ROUND(Z86/N86,4),0)),IFERROR(ROUND(Z86/N86,4),0))</f>
        <v>0</v>
      </c>
      <c r="AM86" s="297">
        <f>IFERROR(IF(VLOOKUP($B86,Shortage!$A:$M,AM$2,FALSE)="Shortage",1,IFERROR(ROUND(AA86/O86,4),0)),IFERROR(ROUND(AA86/O86,4),0))</f>
        <v>0</v>
      </c>
      <c r="AN86" s="298">
        <f>IFERROR(_xlfn.XLOOKUP(AB86,'2) หลักการคำนวน Table'!$C$3:$K$3,'2) หลักการคำนวน Table'!$C$3:$K$3,,1),INDEX('2) หลักการคำนวน Table'!$C$3:$K$3,1))</f>
        <v>1</v>
      </c>
      <c r="AO86" s="298">
        <f>IFERROR(
  _xlfn.XLOOKUP(AC86,'2) หลักการคำนวน Table'!$C$3:$K$3,'2) หลักการคำนวน Table'!$C$3:$K$3,,1),
  IF(AC86&lt;MIN('2) หลักการคำนวน Table'!$C$3:$K$3),
     MIN('2) หลักการคำนวน Table'!$C$3:$K$3),
     MAX('2) หลักการคำนวน Table'!$C$3:$K$3)
  )
)</f>
        <v>0.9</v>
      </c>
      <c r="AP86" s="298">
        <f>IFERROR(
  _xlfn.XLOOKUP(AD86,'2) หลักการคำนวน Table'!$C$3:$K$3,'2) หลักการคำนวน Table'!$C$3:$K$3,,1),
  IF(AD86&lt;MIN('2) หลักการคำนวน Table'!$C$3:$K$3),
     MIN('2) หลักการคำนวน Table'!$C$3:$K$3),
     MAX('2) หลักการคำนวน Table'!$C$3:$K$3)
  )
)</f>
        <v>0.9</v>
      </c>
      <c r="AQ86" s="298">
        <f>IFERROR(
  _xlfn.XLOOKUP(AE86,'2) หลักการคำนวน Table'!$C$3:$K$3,'2) หลักการคำนวน Table'!$C$3:$K$3,,1),
  IF(AE86&lt;MIN('2) หลักการคำนวน Table'!$C$3:$K$3),
     MIN('2) หลักการคำนวน Table'!$C$3:$K$3),
     MAX('2) หลักการคำนวน Table'!$C$3:$K$3)
  )
)</f>
        <v>0.9</v>
      </c>
      <c r="AR86" s="298">
        <f>IFERROR(
  _xlfn.XLOOKUP(AF86,'2) หลักการคำนวน Table'!$C$3:$K$3,'2) หลักการคำนวน Table'!$C$3:$K$3,,1),
  IF(AF86&lt;MIN('2) หลักการคำนวน Table'!$C$3:$K$3),
     MIN('2) หลักการคำนวน Table'!$C$3:$K$3),
     MAX('2) หลักการคำนวน Table'!$C$3:$K$3)
  )
)</f>
        <v>0.9</v>
      </c>
      <c r="AS86" s="298">
        <f>IFERROR(
  _xlfn.XLOOKUP(AG86,'2) หลักการคำนวน Table'!$C$3:$K$3,'2) หลักการคำนวน Table'!$C$3:$K$3,,1),
  IF(AG86&lt;MIN('2) หลักการคำนวน Table'!$C$3:$K$3),
     MIN('2) หลักการคำนวน Table'!$C$3:$K$3),
     MAX('2) หลักการคำนวน Table'!$C$3:$K$3)
  )
)</f>
        <v>0.9</v>
      </c>
      <c r="AT86" s="298">
        <f>IFERROR(
  _xlfn.XLOOKUP(AH86,'2) หลักการคำนวน Table'!$C$3:$K$3,'2) หลักการคำนวน Table'!$C$3:$K$3,,1),
  IF(AH86&lt;MIN('2) หลักการคำนวน Table'!$C$3:$K$3),
     MIN('2) หลักการคำนวน Table'!$C$3:$K$3),
     MAX('2) หลักการคำนวน Table'!$C$3:$K$3)
  )
)</f>
        <v>0.9</v>
      </c>
      <c r="AU86" s="298">
        <f>IFERROR(
  _xlfn.XLOOKUP(AI86,'2) หลักการคำนวน Table'!$C$3:$K$3,'2) หลักการคำนวน Table'!$C$3:$K$3,,1),
  IF(AI86&lt;MIN('2) หลักการคำนวน Table'!$C$3:$K$3),
     MIN('2) หลักการคำนวน Table'!$C$3:$K$3),
     MAX('2) หลักการคำนวน Table'!$C$3:$K$3)
  )
)</f>
        <v>0.9</v>
      </c>
      <c r="AV86" s="298">
        <f>IFERROR(
  _xlfn.XLOOKUP(AJ86,'2) หลักการคำนวน Table'!$C$3:$K$3,'2) หลักการคำนวน Table'!$C$3:$K$3,,1),
  IF(AJ86&lt;MIN('2) หลักการคำนวน Table'!$C$3:$K$3),
     MIN('2) หลักการคำนวน Table'!$C$3:$K$3),
     MAX('2) หลักการคำนวน Table'!$C$3:$K$3)
  )
)</f>
        <v>0.9</v>
      </c>
      <c r="AW86" s="298">
        <f>IFERROR(
  _xlfn.XLOOKUP(AK86,'2) หลักการคำนวน Table'!$C$3:$K$3,'2) หลักการคำนวน Table'!$C$3:$K$3,,1),
  IF(AK86&lt;MIN('2) หลักการคำนวน Table'!$C$3:$K$3),
     MIN('2) หลักการคำนวน Table'!$C$3:$K$3),
     MAX('2) หลักการคำนวน Table'!$C$3:$K$3)
  )
)</f>
        <v>0.9</v>
      </c>
      <c r="AX86" s="298">
        <f>IFERROR(
  _xlfn.XLOOKUP(AL86,'2) หลักการคำนวน Table'!$C$3:$K$3,'2) หลักการคำนวน Table'!$C$3:$K$3,,1),
  IF(AL86&lt;MIN('2) หลักการคำนวน Table'!$C$3:$K$3),
     MIN('2) หลักการคำนวน Table'!$C$3:$K$3),
     MAX('2) หลักการคำนวน Table'!$C$3:$K$3)
  )
)</f>
        <v>0.9</v>
      </c>
      <c r="AY86" s="298">
        <f>IFERROR(
  _xlfn.XLOOKUP(AM86,'2) หลักการคำนวน Table'!$C$3:$K$3,'2) หลักการคำนวน Table'!$C$3:$K$3,,1),
  IF(AM86&lt;MIN('2) หลักการคำนวน Table'!$C$3:$K$3),
     MIN('2) หลักการคำนวน Table'!$C$3:$K$3),
     MAX('2) หลักการคำนวน Table'!$C$3:$K$3)
  )
)</f>
        <v>0.9</v>
      </c>
      <c r="AZ86" s="299" t="e" cm="1">
        <f t="array" ref="AZ86">ROUND((_xlfn.XLOOKUP($C86,'2) หลักการคำนวน Table'!$A$4:$A$36,
_xlfn.XLOOKUP(AN86,'2)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A86" s="299" t="e" cm="1">
        <f t="array" ref="BA86">ROUND((_xlfn.XLOOKUP($C86,'2) หลักการคำนวน Table'!$A$4:$A$36,
_xlfn.XLOOKUP(AO86,'2)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B86" s="299" t="e" cm="1">
        <f t="array" ref="BB86">ROUND((_xlfn.XLOOKUP($C86,'2) หลักการคำนวน Table'!$A$4:$A$36,
_xlfn.XLOOKUP(AP86,'2)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C86" s="299" t="e" cm="1">
        <f t="array" ref="BC86">ROUND((_xlfn.XLOOKUP($C86,'2) หลักการคำนวน Table'!$A$4:$A$36,
_xlfn.XLOOKUP(AQ86,'2)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D86" s="299" t="e" cm="1">
        <f t="array" ref="BD86">ROUND((_xlfn.XLOOKUP($C86,'2) หลักการคำนวน Table'!$A$4:$A$36,
_xlfn.XLOOKUP(AR86,'2)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E86" s="299" t="e" cm="1">
        <f t="array" ref="BE86">ROUND((_xlfn.XLOOKUP($C86,'2) หลักการคำนวน Table'!$A$4:$A$36,
_xlfn.XLOOKUP(AS86,'2)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F86" s="299" t="e" cm="1">
        <f t="array" ref="BF86">ROUND((_xlfn.XLOOKUP($C86,'2) หลักการคำนวน Table'!$A$4:$A$36,
_xlfn.XLOOKUP(AT86,'2)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G86" s="299" t="e" cm="1">
        <f t="array" ref="BG86">ROUND((_xlfn.XLOOKUP($C86,'2) หลักการคำนวน Table'!$A$4:$A$36,
_xlfn.XLOOKUP(AU86,'2)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H86" s="299" t="e" cm="1">
        <f t="array" ref="BH86">ROUND((_xlfn.XLOOKUP($C86,'2) หลักการคำนวน Table'!$A$4:$A$36,
_xlfn.XLOOKUP(AV86,'2)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I86" s="299" t="e" cm="1">
        <f t="array" ref="BI86">ROUND((_xlfn.XLOOKUP($C86,'2) หลักการคำนวน Table'!$A$4:$A$36,
_xlfn.XLOOKUP(AW86,'2)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J86" s="299" t="e" cm="1">
        <f t="array" ref="BJ86">ROUND((_xlfn.XLOOKUP($C86,'2) หลักการคำนวน Table'!$A$4:$A$36,
_xlfn.XLOOKUP(AX86,'2)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K86" s="299" t="e" cm="1">
        <f t="array" ref="BK86">ROUND((_xlfn.XLOOKUP($C86,'2) หลักการคำนวน Table'!$A$4:$A$36,
_xlfn.XLOOKUP(AY86,'2) หลักการคำนวน Table'!$C$3:$K$3,'2) หลักการคำนวน Table'!$C$4:$K$36,,-1)))*(_xlfn.XLOOKUP($C86,'2) หลักการคำนวน Table'!$A$4:$A$36, _xlfn.XLOOKUP($B86,'2) หลักการคำนวน Table'!$L$3:$Z$3,'2) หลักการคำนวน Table'!$L$4:$Z$36))),0)</f>
        <v>#N/A</v>
      </c>
      <c r="BM86" s="295">
        <v>222219</v>
      </c>
      <c r="BN86" s="300">
        <v>581</v>
      </c>
    </row>
    <row r="87" spans="1:66" ht="14.7" customHeight="1" x14ac:dyDescent="0.25">
      <c r="A87" s="126" t="e">
        <f>VLOOKUP(C87,ASTBase!E:S,13,FALSE)</f>
        <v>#N/A</v>
      </c>
      <c r="B87" s="126" t="s">
        <v>411</v>
      </c>
      <c r="C87" s="126">
        <v>5490000719</v>
      </c>
      <c r="D87" s="127">
        <v>5500</v>
      </c>
      <c r="E87" s="127">
        <v>4000</v>
      </c>
      <c r="F87" s="127">
        <v>4200</v>
      </c>
      <c r="G87" s="127">
        <v>4300</v>
      </c>
      <c r="H87" s="127">
        <v>4200</v>
      </c>
      <c r="I87" s="127">
        <v>4300</v>
      </c>
      <c r="J87" s="127">
        <v>4500</v>
      </c>
      <c r="K87" s="127">
        <v>4500</v>
      </c>
      <c r="L87" s="127">
        <v>4000</v>
      </c>
      <c r="M87" s="127">
        <v>4500</v>
      </c>
      <c r="N87" s="127">
        <v>5000</v>
      </c>
      <c r="O87" s="127">
        <v>5000</v>
      </c>
      <c r="P87" s="126">
        <v>3511.08</v>
      </c>
      <c r="AB87" s="297">
        <f>IFERROR(IF(VLOOKUP($B87,Shortage!$A:$M,AB$2,FALSE)="Shortage",1,IFERROR(ROUND(P87/D87,4),0)),IFERROR(ROUND(P87/D87,4),0))</f>
        <v>0.63839999999999997</v>
      </c>
      <c r="AC87" s="297">
        <f>IFERROR(IF(VLOOKUP($B87,Shortage!$A:$M,AC$2,FALSE)="Shortage",1,IFERROR(ROUND(Q87/E87,4),0)),IFERROR(ROUND(Q87/E87,4),0))</f>
        <v>0</v>
      </c>
      <c r="AD87" s="297">
        <f>IFERROR(IF(VLOOKUP($B87,Shortage!$A:$M,AD$2,FALSE)="Shortage",1,IFERROR(ROUND(R87/F87,4),0)),IFERROR(ROUND(R87/F87,4),0))</f>
        <v>0</v>
      </c>
      <c r="AE87" s="297">
        <f>IFERROR(IF(VLOOKUP($B87,Shortage!$A:$M,AE$2,FALSE)="Shortage",1,IFERROR(ROUND(S87/G87,4),0)),IFERROR(ROUND(S87/G87,4),0))</f>
        <v>0</v>
      </c>
      <c r="AF87" s="297">
        <f>IFERROR(IF(VLOOKUP($B87,Shortage!$A:$M,AF$2,FALSE)="Shortage",1,IFERROR(ROUND(T87/H87,4),0)),IFERROR(ROUND(T87/H87,4),0))</f>
        <v>0</v>
      </c>
      <c r="AG87" s="297">
        <f>IFERROR(IF(VLOOKUP($B87,Shortage!$A:$M,AG$2,FALSE)="Shortage",1,IFERROR(ROUND(U87/I87,4),0)),IFERROR(ROUND(U87/I87,4),0))</f>
        <v>0</v>
      </c>
      <c r="AH87" s="297">
        <f>IFERROR(IF(VLOOKUP($B87,Shortage!$A:$M,AH$2,FALSE)="Shortage",1,IFERROR(ROUND(V87/J87,4),0)),IFERROR(ROUND(V87/J87,4),0))</f>
        <v>0</v>
      </c>
      <c r="AI87" s="297">
        <f>IFERROR(IF(VLOOKUP($B87,Shortage!$A:$M,AI$2,FALSE)="Shortage",1,IFERROR(ROUND(W87/K87,4),0)),IFERROR(ROUND(W87/K87,4),0))</f>
        <v>0</v>
      </c>
      <c r="AJ87" s="297">
        <f>IFERROR(IF(VLOOKUP($B87,Shortage!$A:$M,AJ$2,FALSE)="Shortage",1,IFERROR(ROUND(X87/L87,4),0)),IFERROR(ROUND(X87/L87,4),0))</f>
        <v>0</v>
      </c>
      <c r="AK87" s="297">
        <f>IFERROR(IF(VLOOKUP($B87,Shortage!$A:$M,AK$2,FALSE)="Shortage",1,IFERROR(ROUND(Y87/M87,4),0)),IFERROR(ROUND(Y87/M87,4),0))</f>
        <v>0</v>
      </c>
      <c r="AL87" s="297">
        <f>IFERROR(IF(VLOOKUP($B87,Shortage!$A:$M,AL$2,FALSE)="Shortage",1,IFERROR(ROUND(Z87/N87,4),0)),IFERROR(ROUND(Z87/N87,4),0))</f>
        <v>0</v>
      </c>
      <c r="AM87" s="297">
        <f>IFERROR(IF(VLOOKUP($B87,Shortage!$A:$M,AM$2,FALSE)="Shortage",1,IFERROR(ROUND(AA87/O87,4),0)),IFERROR(ROUND(AA87/O87,4),0))</f>
        <v>0</v>
      </c>
      <c r="AN87" s="298">
        <f>IFERROR(_xlfn.XLOOKUP(AB87,'2) หลักการคำนวน Table'!$C$3:$K$3,'2) หลักการคำนวน Table'!$C$3:$K$3,,1),INDEX('2) หลักการคำนวน Table'!$C$3:$K$3,1))</f>
        <v>0.9</v>
      </c>
      <c r="AO87" s="298">
        <f>IFERROR(
  _xlfn.XLOOKUP(AC87,'2) หลักการคำนวน Table'!$C$3:$K$3,'2) หลักการคำนวน Table'!$C$3:$K$3,,1),
  IF(AC87&lt;MIN('2) หลักการคำนวน Table'!$C$3:$K$3),
     MIN('2) หลักการคำนวน Table'!$C$3:$K$3),
     MAX('2) หลักการคำนวน Table'!$C$3:$K$3)
  )
)</f>
        <v>0.9</v>
      </c>
      <c r="AP87" s="298">
        <f>IFERROR(
  _xlfn.XLOOKUP(AD87,'2) หลักการคำนวน Table'!$C$3:$K$3,'2) หลักการคำนวน Table'!$C$3:$K$3,,1),
  IF(AD87&lt;MIN('2) หลักการคำนวน Table'!$C$3:$K$3),
     MIN('2) หลักการคำนวน Table'!$C$3:$K$3),
     MAX('2) หลักการคำนวน Table'!$C$3:$K$3)
  )
)</f>
        <v>0.9</v>
      </c>
      <c r="AQ87" s="298">
        <f>IFERROR(
  _xlfn.XLOOKUP(AE87,'2) หลักการคำนวน Table'!$C$3:$K$3,'2) หลักการคำนวน Table'!$C$3:$K$3,,1),
  IF(AE87&lt;MIN('2) หลักการคำนวน Table'!$C$3:$K$3),
     MIN('2) หลักการคำนวน Table'!$C$3:$K$3),
     MAX('2) หลักการคำนวน Table'!$C$3:$K$3)
  )
)</f>
        <v>0.9</v>
      </c>
      <c r="AR87" s="298">
        <f>IFERROR(
  _xlfn.XLOOKUP(AF87,'2) หลักการคำนวน Table'!$C$3:$K$3,'2) หลักการคำนวน Table'!$C$3:$K$3,,1),
  IF(AF87&lt;MIN('2) หลักการคำนวน Table'!$C$3:$K$3),
     MIN('2) หลักการคำนวน Table'!$C$3:$K$3),
     MAX('2) หลักการคำนวน Table'!$C$3:$K$3)
  )
)</f>
        <v>0.9</v>
      </c>
      <c r="AS87" s="298">
        <f>IFERROR(
  _xlfn.XLOOKUP(AG87,'2) หลักการคำนวน Table'!$C$3:$K$3,'2) หลักการคำนวน Table'!$C$3:$K$3,,1),
  IF(AG87&lt;MIN('2) หลักการคำนวน Table'!$C$3:$K$3),
     MIN('2) หลักการคำนวน Table'!$C$3:$K$3),
     MAX('2) หลักการคำนวน Table'!$C$3:$K$3)
  )
)</f>
        <v>0.9</v>
      </c>
      <c r="AT87" s="298">
        <f>IFERROR(
  _xlfn.XLOOKUP(AH87,'2) หลักการคำนวน Table'!$C$3:$K$3,'2) หลักการคำนวน Table'!$C$3:$K$3,,1),
  IF(AH87&lt;MIN('2) หลักการคำนวน Table'!$C$3:$K$3),
     MIN('2) หลักการคำนวน Table'!$C$3:$K$3),
     MAX('2) หลักการคำนวน Table'!$C$3:$K$3)
  )
)</f>
        <v>0.9</v>
      </c>
      <c r="AU87" s="298">
        <f>IFERROR(
  _xlfn.XLOOKUP(AI87,'2) หลักการคำนวน Table'!$C$3:$K$3,'2) หลักการคำนวน Table'!$C$3:$K$3,,1),
  IF(AI87&lt;MIN('2) หลักการคำนวน Table'!$C$3:$K$3),
     MIN('2) หลักการคำนวน Table'!$C$3:$K$3),
     MAX('2) หลักการคำนวน Table'!$C$3:$K$3)
  )
)</f>
        <v>0.9</v>
      </c>
      <c r="AV87" s="298">
        <f>IFERROR(
  _xlfn.XLOOKUP(AJ87,'2) หลักการคำนวน Table'!$C$3:$K$3,'2) หลักการคำนวน Table'!$C$3:$K$3,,1),
  IF(AJ87&lt;MIN('2) หลักการคำนวน Table'!$C$3:$K$3),
     MIN('2) หลักการคำนวน Table'!$C$3:$K$3),
     MAX('2) หลักการคำนวน Table'!$C$3:$K$3)
  )
)</f>
        <v>0.9</v>
      </c>
      <c r="AW87" s="298">
        <f>IFERROR(
  _xlfn.XLOOKUP(AK87,'2) หลักการคำนวน Table'!$C$3:$K$3,'2) หลักการคำนวน Table'!$C$3:$K$3,,1),
  IF(AK87&lt;MIN('2) หลักการคำนวน Table'!$C$3:$K$3),
     MIN('2) หลักการคำนวน Table'!$C$3:$K$3),
     MAX('2) หลักการคำนวน Table'!$C$3:$K$3)
  )
)</f>
        <v>0.9</v>
      </c>
      <c r="AX87" s="298">
        <f>IFERROR(
  _xlfn.XLOOKUP(AL87,'2) หลักการคำนวน Table'!$C$3:$K$3,'2) หลักการคำนวน Table'!$C$3:$K$3,,1),
  IF(AL87&lt;MIN('2) หลักการคำนวน Table'!$C$3:$K$3),
     MIN('2) หลักการคำนวน Table'!$C$3:$K$3),
     MAX('2) หลักการคำนวน Table'!$C$3:$K$3)
  )
)</f>
        <v>0.9</v>
      </c>
      <c r="AY87" s="298">
        <f>IFERROR(
  _xlfn.XLOOKUP(AM87,'2) หลักการคำนวน Table'!$C$3:$K$3,'2) หลักการคำนวน Table'!$C$3:$K$3,,1),
  IF(AM87&lt;MIN('2) หลักการคำนวน Table'!$C$3:$K$3),
     MIN('2) หลักการคำนวน Table'!$C$3:$K$3),
     MAX('2) หลักการคำนวน Table'!$C$3:$K$3)
  )
)</f>
        <v>0.9</v>
      </c>
      <c r="AZ87" s="299" t="e" cm="1">
        <f t="array" ref="AZ87">ROUND((_xlfn.XLOOKUP($C87,'2) หลักการคำนวน Table'!$A$4:$A$36,
_xlfn.XLOOKUP(AN87,'2)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A87" s="299" t="e" cm="1">
        <f t="array" ref="BA87">ROUND((_xlfn.XLOOKUP($C87,'2) หลักการคำนวน Table'!$A$4:$A$36,
_xlfn.XLOOKUP(AO87,'2)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B87" s="299" t="e" cm="1">
        <f t="array" ref="BB87">ROUND((_xlfn.XLOOKUP($C87,'2) หลักการคำนวน Table'!$A$4:$A$36,
_xlfn.XLOOKUP(AP87,'2)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C87" s="299" t="e" cm="1">
        <f t="array" ref="BC87">ROUND((_xlfn.XLOOKUP($C87,'2) หลักการคำนวน Table'!$A$4:$A$36,
_xlfn.XLOOKUP(AQ87,'2)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D87" s="299" t="e" cm="1">
        <f t="array" ref="BD87">ROUND((_xlfn.XLOOKUP($C87,'2) หลักการคำนวน Table'!$A$4:$A$36,
_xlfn.XLOOKUP(AR87,'2)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E87" s="299" t="e" cm="1">
        <f t="array" ref="BE87">ROUND((_xlfn.XLOOKUP($C87,'2) หลักการคำนวน Table'!$A$4:$A$36,
_xlfn.XLOOKUP(AS87,'2)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F87" s="299" t="e" cm="1">
        <f t="array" ref="BF87">ROUND((_xlfn.XLOOKUP($C87,'2) หลักการคำนวน Table'!$A$4:$A$36,
_xlfn.XLOOKUP(AT87,'2)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G87" s="299" t="e" cm="1">
        <f t="array" ref="BG87">ROUND((_xlfn.XLOOKUP($C87,'2) หลักการคำนวน Table'!$A$4:$A$36,
_xlfn.XLOOKUP(AU87,'2)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H87" s="299" t="e" cm="1">
        <f t="array" ref="BH87">ROUND((_xlfn.XLOOKUP($C87,'2) หลักการคำนวน Table'!$A$4:$A$36,
_xlfn.XLOOKUP(AV87,'2)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I87" s="299" t="e" cm="1">
        <f t="array" ref="BI87">ROUND((_xlfn.XLOOKUP($C87,'2) หลักการคำนวน Table'!$A$4:$A$36,
_xlfn.XLOOKUP(AW87,'2)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J87" s="299" t="e" cm="1">
        <f t="array" ref="BJ87">ROUND((_xlfn.XLOOKUP($C87,'2) หลักการคำนวน Table'!$A$4:$A$36,
_xlfn.XLOOKUP(AX87,'2)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K87" s="299" t="e" cm="1">
        <f t="array" ref="BK87">ROUND((_xlfn.XLOOKUP($C87,'2) หลักการคำนวน Table'!$A$4:$A$36,
_xlfn.XLOOKUP(AY87,'2) หลักการคำนวน Table'!$C$3:$K$3,'2) หลักการคำนวน Table'!$C$4:$K$36,,-1)))*(_xlfn.XLOOKUP($C87,'2) หลักการคำนวน Table'!$A$4:$A$36, _xlfn.XLOOKUP($B87,'2) หลักการคำนวน Table'!$L$3:$Z$3,'2) หลักการคำนวน Table'!$L$4:$Z$36))),0)</f>
        <v>#N/A</v>
      </c>
      <c r="BM87" s="295">
        <v>222219</v>
      </c>
      <c r="BN87" s="300">
        <v>523</v>
      </c>
    </row>
    <row r="88" spans="1:66" s="278" customFormat="1" ht="14.7" customHeight="1" x14ac:dyDescent="0.4">
      <c r="A88" s="278" t="e">
        <f>VLOOKUP(C88,ASTBase!E:S,13,FALSE)</f>
        <v>#N/A</v>
      </c>
      <c r="B88" s="278" t="s">
        <v>405</v>
      </c>
      <c r="C88" s="278">
        <v>5490000725</v>
      </c>
      <c r="D88" s="310">
        <v>4089.4006065738549</v>
      </c>
      <c r="E88" s="310">
        <v>4825.0042776108621</v>
      </c>
      <c r="F88" s="310">
        <v>4265.5386732965862</v>
      </c>
      <c r="G88" s="310">
        <v>4729.6424277546766</v>
      </c>
      <c r="H88" s="310">
        <v>4196.1415223386084</v>
      </c>
      <c r="I88" s="310">
        <v>4425.5227884786918</v>
      </c>
      <c r="J88" s="310">
        <v>4074.780504494096</v>
      </c>
      <c r="K88" s="310">
        <v>3589.1459438730985</v>
      </c>
      <c r="L88" s="310">
        <v>4539.1935600546549</v>
      </c>
      <c r="M88" s="310">
        <v>3595.2292049241514</v>
      </c>
      <c r="N88" s="310">
        <v>3955.8050340627788</v>
      </c>
      <c r="O88" s="310">
        <v>4114.5954565379307</v>
      </c>
      <c r="P88" s="1">
        <v>3904</v>
      </c>
      <c r="Q88" s="278">
        <f>SUMIFS(Actual!F:F,Actual!$A:$A,'3)Target &amp; Cal_Staff'!$C88,Actual!$D:$D,'3)Target &amp; Cal_Staff'!$B88)</f>
        <v>0</v>
      </c>
      <c r="R88" s="278">
        <f>SUMIFS(Actual!G:G,Actual!$A:$A,'3)Target &amp; Cal_Staff'!$C88,Actual!$D:$D,'3)Target &amp; Cal_Staff'!$B88)</f>
        <v>0</v>
      </c>
      <c r="S88" s="278">
        <f>SUMIFS(Actual!H:H,Actual!$A:$A,'3)Target &amp; Cal_Staff'!$C88,Actual!$D:$D,'3)Target &amp; Cal_Staff'!$B88)</f>
        <v>0</v>
      </c>
      <c r="T88" s="278">
        <f>SUMIFS(Actual!I:I,Actual!$A:$A,'3)Target &amp; Cal_Staff'!$C88,Actual!$D:$D,'3)Target &amp; Cal_Staff'!$B88)</f>
        <v>0</v>
      </c>
      <c r="U88" s="278">
        <f>SUMIFS(Actual!J:J,Actual!$A:$A,'3)Target &amp; Cal_Staff'!$C88,Actual!$D:$D,'3)Target &amp; Cal_Staff'!$B88)</f>
        <v>0</v>
      </c>
      <c r="V88" s="278">
        <f>SUMIFS(Actual!K:K,Actual!$A:$A,'3)Target &amp; Cal_Staff'!$C88,Actual!$D:$D,'3)Target &amp; Cal_Staff'!$B88)</f>
        <v>0</v>
      </c>
      <c r="W88" s="278">
        <f>SUMIFS(Actual!L:L,Actual!$A:$A,'3)Target &amp; Cal_Staff'!$C88,Actual!$D:$D,'3)Target &amp; Cal_Staff'!$B88)</f>
        <v>0</v>
      </c>
      <c r="X88" s="278">
        <f>SUMIFS(Actual!M:M,Actual!$A:$A,'3)Target &amp; Cal_Staff'!$C88,Actual!$D:$D,'3)Target &amp; Cal_Staff'!$B88)</f>
        <v>0</v>
      </c>
      <c r="Y88" s="278">
        <f>SUMIFS(Actual!N:N,Actual!$A:$A,'3)Target &amp; Cal_Staff'!$C88,Actual!$D:$D,'3)Target &amp; Cal_Staff'!$B88)</f>
        <v>3291.2000000000003</v>
      </c>
      <c r="Z88" s="278">
        <f>SUMIFS(Actual!O:O,Actual!$A:$A,'3)Target &amp; Cal_Staff'!$C88,Actual!$D:$D,'3)Target &amp; Cal_Staff'!$B88)</f>
        <v>3803</v>
      </c>
      <c r="AA88" s="278">
        <f>SUMIFS(Actual!P:P,Actual!$A:$A,'3)Target &amp; Cal_Staff'!$C88,Actual!$D:$D,'3)Target &amp; Cal_Staff'!$B88)</f>
        <v>3996.4</v>
      </c>
      <c r="AB88" s="311"/>
      <c r="AC88" s="311"/>
      <c r="AD88" s="311"/>
      <c r="AE88" s="311"/>
      <c r="AF88" s="311"/>
      <c r="AG88" s="311"/>
      <c r="AH88" s="311"/>
      <c r="AI88" s="311"/>
      <c r="AJ88" s="311">
        <f>IFERROR(IF(VLOOKUP($B88,Shortage!$A:$M,AJ$2,FALSE)="Shortage",1,IFERROR(ROUND(X88/L88,4),0)),IFERROR(ROUND(X88/L88,4),0))</f>
        <v>0</v>
      </c>
      <c r="AK88" s="311">
        <f>IFERROR(IF(VLOOKUP($B88,Shortage!$A:$M,AK$2,FALSE)="Shortage",1,IFERROR(ROUND(Y88/M88,4),0)),IFERROR(ROUND(Y88/M88,4),0))</f>
        <v>0.91539999999999999</v>
      </c>
      <c r="AL88" s="311">
        <f>IFERROR(IF(VLOOKUP($B88,Shortage!$A:$M,AL$2,FALSE)="Shortage",1,IFERROR(ROUND(Z88/N88,4),0)),IFERROR(ROUND(Z88/N88,4),0))</f>
        <v>0.96140000000000003</v>
      </c>
      <c r="AM88" s="311">
        <f>IFERROR(IF(VLOOKUP($B88,Shortage!$A:$M,AM$2,FALSE)="Shortage",1,IFERROR(ROUND(AA88/O88,4),0)),IFERROR(ROUND(AA88/O88,4),0))</f>
        <v>0.97130000000000005</v>
      </c>
      <c r="AN88" s="312">
        <f>IFERROR(_xlfn.XLOOKUP(AB88,'2) หลักการคำนวน Table'!$C$3:$K$3,'2) หลักการคำนวน Table'!$C$3:$K$3,,1),INDEX('2) หลักการคำนวน Table'!$C$3:$K$3,1))</f>
        <v>0.9</v>
      </c>
      <c r="AO88" s="312">
        <f>IFERROR(
  _xlfn.XLOOKUP(AC88,'2) หลักการคำนวน Table'!$C$3:$K$3,'2) หลักการคำนวน Table'!$C$3:$K$3,,1),
  IF(AC88&lt;MIN('2) หลักการคำนวน Table'!$C$3:$K$3),
     MIN('2) หลักการคำนวน Table'!$C$3:$K$3),
     MAX('2) หลักการคำนวน Table'!$C$3:$K$3)
  )
)</f>
        <v>0.9</v>
      </c>
      <c r="AP88" s="312">
        <f>IFERROR(
  _xlfn.XLOOKUP(AD88,'2) หลักการคำนวน Table'!$C$3:$K$3,'2) หลักการคำนวน Table'!$C$3:$K$3,,1),
  IF(AD88&lt;MIN('2) หลักการคำนวน Table'!$C$3:$K$3),
     MIN('2) หลักการคำนวน Table'!$C$3:$K$3),
     MAX('2) หลักการคำนวน Table'!$C$3:$K$3)
  )
)</f>
        <v>0.9</v>
      </c>
      <c r="AQ88" s="312">
        <f>IFERROR(
  _xlfn.XLOOKUP(AE88,'2) หลักการคำนวน Table'!$C$3:$K$3,'2) หลักการคำนวน Table'!$C$3:$K$3,,1),
  IF(AE88&lt;MIN('2) หลักการคำนวน Table'!$C$3:$K$3),
     MIN('2) หลักการคำนวน Table'!$C$3:$K$3),
     MAX('2) หลักการคำนวน Table'!$C$3:$K$3)
  )
)</f>
        <v>0.9</v>
      </c>
      <c r="AR88" s="312">
        <f>IFERROR(
  _xlfn.XLOOKUP(AF88,'2) หลักการคำนวน Table'!$C$3:$K$3,'2) หลักการคำนวน Table'!$C$3:$K$3,,1),
  IF(AF88&lt;MIN('2) หลักการคำนวน Table'!$C$3:$K$3),
     MIN('2) หลักการคำนวน Table'!$C$3:$K$3),
     MAX('2) หลักการคำนวน Table'!$C$3:$K$3)
  )
)</f>
        <v>0.9</v>
      </c>
      <c r="AS88" s="312">
        <f>IFERROR(
  _xlfn.XLOOKUP(AG88,'2) หลักการคำนวน Table'!$C$3:$K$3,'2) หลักการคำนวน Table'!$C$3:$K$3,,1),
  IF(AG88&lt;MIN('2) หลักการคำนวน Table'!$C$3:$K$3),
     MIN('2) หลักการคำนวน Table'!$C$3:$K$3),
     MAX('2) หลักการคำนวน Table'!$C$3:$K$3)
  )
)</f>
        <v>0.9</v>
      </c>
      <c r="AT88" s="312">
        <f>IFERROR(
  _xlfn.XLOOKUP(AH88,'2) หลักการคำนวน Table'!$C$3:$K$3,'2) หลักการคำนวน Table'!$C$3:$K$3,,1),
  IF(AH88&lt;MIN('2) หลักการคำนวน Table'!$C$3:$K$3),
     MIN('2) หลักการคำนวน Table'!$C$3:$K$3),
     MAX('2) หลักการคำนวน Table'!$C$3:$K$3)
  )
)</f>
        <v>0.9</v>
      </c>
      <c r="AU88" s="312">
        <f>IFERROR(
  _xlfn.XLOOKUP(AI88,'2) หลักการคำนวน Table'!$C$3:$K$3,'2) หลักการคำนวน Table'!$C$3:$K$3,,1),
  IF(AI88&lt;MIN('2) หลักการคำนวน Table'!$C$3:$K$3),
     MIN('2) หลักการคำนวน Table'!$C$3:$K$3),
     MAX('2) หลักการคำนวน Table'!$C$3:$K$3)
  )
)</f>
        <v>0.9</v>
      </c>
      <c r="AV88" s="312">
        <f>IFERROR(
  _xlfn.XLOOKUP(AJ88,'2) หลักการคำนวน Table'!$C$3:$K$3,'2) หลักการคำนวน Table'!$C$3:$K$3,,1),
  IF(AJ88&lt;MIN('2) หลักการคำนวน Table'!$C$3:$K$3),
     MIN('2) หลักการคำนวน Table'!$C$3:$K$3),
     MAX('2) หลักการคำนวน Table'!$C$3:$K$3)
  )
)</f>
        <v>0.9</v>
      </c>
      <c r="AW88" s="312">
        <f>IFERROR(
  _xlfn.XLOOKUP(AK88,'2) หลักการคำนวน Table'!$C$3:$K$3,'2) หลักการคำนวน Table'!$C$3:$K$3,,1),
  IF(AK88&lt;MIN('2) หลักการคำนวน Table'!$C$3:$K$3),
     MIN('2) หลักการคำนวน Table'!$C$3:$K$3),
     MAX('2) หลักการคำนวน Table'!$C$3:$K$3)
  )
)</f>
        <v>0.95</v>
      </c>
      <c r="AX88" s="312">
        <f>IFERROR(
  _xlfn.XLOOKUP(AL88,'2) หลักการคำนวน Table'!$C$3:$K$3,'2) หลักการคำนวน Table'!$C$3:$K$3,,1),
  IF(AL88&lt;MIN('2) หลักการคำนวน Table'!$C$3:$K$3),
     MIN('2) หลักการคำนวน Table'!$C$3:$K$3),
     MAX('2) หลักการคำนวน Table'!$C$3:$K$3)
  )
)</f>
        <v>1</v>
      </c>
      <c r="AY88" s="312">
        <f>IFERROR(
  _xlfn.XLOOKUP(AM88,'2) หลักการคำนวน Table'!$C$3:$K$3,'2) หลักการคำนวน Table'!$C$3:$K$3,,1),
  IF(AM88&lt;MIN('2) หลักการคำนวน Table'!$C$3:$K$3),
     MIN('2) หลักการคำนวน Table'!$C$3:$K$3),
     MAX('2) หลักการคำนวน Table'!$C$3:$K$3)
  )
)</f>
        <v>1</v>
      </c>
      <c r="AZ88" s="279" t="e" cm="1">
        <f t="array" ref="AZ88">ROUND((_xlfn.XLOOKUP($C88,'2) หลักการคำนวน Table'!$A$4:$A$36,
_xlfn.XLOOKUP(AN88,'2)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A88" s="279" t="e" cm="1">
        <f t="array" ref="BA88">ROUND((_xlfn.XLOOKUP($C88,'2) หลักการคำนวน Table'!$A$4:$A$36,
_xlfn.XLOOKUP(AO88,'2)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B88" s="279" t="e" cm="1">
        <f t="array" ref="BB88">ROUND((_xlfn.XLOOKUP($C88,'2) หลักการคำนวน Table'!$A$4:$A$36,
_xlfn.XLOOKUP(AP88,'2)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C88" s="279" t="e" cm="1">
        <f t="array" ref="BC88">ROUND((_xlfn.XLOOKUP($C88,'2) หลักการคำนวน Table'!$A$4:$A$36,
_xlfn.XLOOKUP(AQ88,'2)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D88" s="279" t="e" cm="1">
        <f t="array" ref="BD88">ROUND((_xlfn.XLOOKUP($C88,'2) หลักการคำนวน Table'!$A$4:$A$36,
_xlfn.XLOOKUP(AR88,'2)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E88" s="279" t="e" cm="1">
        <f t="array" ref="BE88">ROUND((_xlfn.XLOOKUP($C88,'2) หลักการคำนวน Table'!$A$4:$A$36,
_xlfn.XLOOKUP(AS88,'2)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F88" s="279" t="e" cm="1">
        <f t="array" ref="BF88">ROUND((_xlfn.XLOOKUP($C88,'2) หลักการคำนวน Table'!$A$4:$A$36,
_xlfn.XLOOKUP(AT88,'2)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G88" s="279" t="e" cm="1">
        <f t="array" ref="BG88">ROUND((_xlfn.XLOOKUP($C88,'2) หลักการคำนวน Table'!$A$4:$A$36,
_xlfn.XLOOKUP(AU88,'2)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H88" s="279" t="e" cm="1">
        <f t="array" ref="BH88">ROUND((_xlfn.XLOOKUP($C88,'2) หลักการคำนวน Table'!$A$4:$A$36,
_xlfn.XLOOKUP(AV88,'2)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I88" s="279" t="e" cm="1">
        <f t="array" ref="BI88">ROUND((_xlfn.XLOOKUP($C88,'2) หลักการคำนวน Table'!$A$4:$A$36,
_xlfn.XLOOKUP(AW88,'2)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J88" s="279" t="e" cm="1">
        <f t="array" ref="BJ88">ROUND((_xlfn.XLOOKUP($C88,'2) หลักการคำนวน Table'!$A$4:$A$36,
_xlfn.XLOOKUP(AX88,'2)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K88" s="279" t="e" cm="1">
        <f t="array" ref="BK88">ROUND((_xlfn.XLOOKUP($C88,'2) หลักการคำนวน Table'!$A$4:$A$36,
_xlfn.XLOOKUP(AY88,'2) หลักการคำนวน Table'!$C$3:$K$3,'2) หลักการคำนวน Table'!$C$4:$K$36,,-1)))*(_xlfn.XLOOKUP($C88,'2) หลักการคำนวน Table'!$A$4:$A$36, _xlfn.XLOOKUP($B88,'2) หลักการคำนวน Table'!$L$3:$Z$3,'2) หลักการคำนวน Table'!$L$4:$Z$36))),0)</f>
        <v>#N/A</v>
      </c>
      <c r="BM88" s="278">
        <v>222220</v>
      </c>
      <c r="BN88" s="292">
        <v>202</v>
      </c>
    </row>
    <row r="89" spans="1:66" s="278" customFormat="1" ht="14.7" customHeight="1" x14ac:dyDescent="0.4">
      <c r="A89" s="278" t="e">
        <f>VLOOKUP(C89,ASTBase!E:S,13,FALSE)</f>
        <v>#N/A</v>
      </c>
      <c r="B89" s="278" t="s">
        <v>408</v>
      </c>
      <c r="C89" s="278">
        <v>5490000725</v>
      </c>
      <c r="D89" s="310">
        <v>496.52686437523266</v>
      </c>
      <c r="E89" s="310">
        <v>540.64545307331332</v>
      </c>
      <c r="F89" s="310">
        <v>679.22573295003326</v>
      </c>
      <c r="G89" s="310">
        <v>1090.726342533811</v>
      </c>
      <c r="H89" s="310">
        <v>649.22783631930633</v>
      </c>
      <c r="I89" s="310">
        <v>393.73848809113866</v>
      </c>
      <c r="J89" s="310">
        <v>511.57960044670551</v>
      </c>
      <c r="K89" s="310">
        <v>418.94776026802339</v>
      </c>
      <c r="L89" s="310">
        <v>454.3700801000727</v>
      </c>
      <c r="M89" s="310">
        <v>511.67005745478389</v>
      </c>
      <c r="N89" s="310">
        <v>500.90746132167095</v>
      </c>
      <c r="O89" s="310">
        <v>552.43432306590842</v>
      </c>
      <c r="P89" s="1">
        <v>514.07999999999993</v>
      </c>
      <c r="Q89" s="278">
        <f>SUMIFS(Actual!F:F,Actual!$A:$A,'3)Target &amp; Cal_Staff'!$C89,Actual!$D:$D,'3)Target &amp; Cal_Staff'!$B89)</f>
        <v>0</v>
      </c>
      <c r="R89" s="278">
        <f>SUMIFS(Actual!G:G,Actual!$A:$A,'3)Target &amp; Cal_Staff'!$C89,Actual!$D:$D,'3)Target &amp; Cal_Staff'!$B89)</f>
        <v>0</v>
      </c>
      <c r="S89" s="278">
        <f>SUMIFS(Actual!H:H,Actual!$A:$A,'3)Target &amp; Cal_Staff'!$C89,Actual!$D:$D,'3)Target &amp; Cal_Staff'!$B89)</f>
        <v>0</v>
      </c>
      <c r="T89" s="278">
        <f>SUMIFS(Actual!I:I,Actual!$A:$A,'3)Target &amp; Cal_Staff'!$C89,Actual!$D:$D,'3)Target &amp; Cal_Staff'!$B89)</f>
        <v>0</v>
      </c>
      <c r="U89" s="278">
        <f>SUMIFS(Actual!J:J,Actual!$A:$A,'3)Target &amp; Cal_Staff'!$C89,Actual!$D:$D,'3)Target &amp; Cal_Staff'!$B89)</f>
        <v>0</v>
      </c>
      <c r="V89" s="278">
        <f>SUMIFS(Actual!K:K,Actual!$A:$A,'3)Target &amp; Cal_Staff'!$C89,Actual!$D:$D,'3)Target &amp; Cal_Staff'!$B89)</f>
        <v>0</v>
      </c>
      <c r="W89" s="278">
        <f>SUMIFS(Actual!L:L,Actual!$A:$A,'3)Target &amp; Cal_Staff'!$C89,Actual!$D:$D,'3)Target &amp; Cal_Staff'!$B89)</f>
        <v>0</v>
      </c>
      <c r="X89" s="278">
        <f>SUMIFS(Actual!M:M,Actual!$A:$A,'3)Target &amp; Cal_Staff'!$C89,Actual!$D:$D,'3)Target &amp; Cal_Staff'!$B89)</f>
        <v>0</v>
      </c>
      <c r="Y89" s="278">
        <f>SUMIFS(Actual!N:N,Actual!$A:$A,'3)Target &amp; Cal_Staff'!$C89,Actual!$D:$D,'3)Target &amp; Cal_Staff'!$B89)</f>
        <v>493.9199999999999</v>
      </c>
      <c r="Z89" s="278">
        <f>SUMIFS(Actual!O:O,Actual!$A:$A,'3)Target &amp; Cal_Staff'!$C89,Actual!$D:$D,'3)Target &amp; Cal_Staff'!$B89)</f>
        <v>503.99999999999989</v>
      </c>
      <c r="AA89" s="278">
        <f>SUMIFS(Actual!P:P,Actual!$A:$A,'3)Target &amp; Cal_Staff'!$C89,Actual!$D:$D,'3)Target &amp; Cal_Staff'!$B89)</f>
        <v>362.87999999999994</v>
      </c>
      <c r="AB89" s="311"/>
      <c r="AC89" s="311"/>
      <c r="AD89" s="311"/>
      <c r="AE89" s="311"/>
      <c r="AF89" s="311"/>
      <c r="AG89" s="311"/>
      <c r="AH89" s="311"/>
      <c r="AI89" s="311"/>
      <c r="AJ89" s="311">
        <f>IFERROR(IF(VLOOKUP($B89,Shortage!$A:$M,AJ$2,FALSE)="Shortage",1,IFERROR(ROUND(X89/L89,4),0)),IFERROR(ROUND(X89/L89,4),0))</f>
        <v>0</v>
      </c>
      <c r="AK89" s="311">
        <f>IFERROR(IF(VLOOKUP($B89,Shortage!$A:$M,AK$2,FALSE)="Shortage",1,IFERROR(ROUND(Y89/M89,4),0)),IFERROR(ROUND(Y89/M89,4),0))</f>
        <v>0.96530000000000005</v>
      </c>
      <c r="AL89" s="311">
        <f>IFERROR(IF(VLOOKUP($B89,Shortage!$A:$M,AL$2,FALSE)="Shortage",1,IFERROR(ROUND(Z89/N89,4),0)),IFERROR(ROUND(Z89/N89,4),0))</f>
        <v>1.0062</v>
      </c>
      <c r="AM89" s="311">
        <f>IFERROR(IF(VLOOKUP($B89,Shortage!$A:$M,AM$2,FALSE)="Shortage",1,IFERROR(ROUND(AA89/O89,4),0)),IFERROR(ROUND(AA89/O89,4),0))</f>
        <v>0.65690000000000004</v>
      </c>
      <c r="AN89" s="312">
        <f>IFERROR(_xlfn.XLOOKUP(AB89,'2) หลักการคำนวน Table'!$C$3:$K$3,'2) หลักการคำนวน Table'!$C$3:$K$3,,1),INDEX('2) หลักการคำนวน Table'!$C$3:$K$3,1))</f>
        <v>0.9</v>
      </c>
      <c r="AO89" s="312">
        <f>IFERROR(
  _xlfn.XLOOKUP(AC89,'2) หลักการคำนวน Table'!$C$3:$K$3,'2) หลักการคำนวน Table'!$C$3:$K$3,,1),
  IF(AC89&lt;MIN('2) หลักการคำนวน Table'!$C$3:$K$3),
     MIN('2) หลักการคำนวน Table'!$C$3:$K$3),
     MAX('2) หลักการคำนวน Table'!$C$3:$K$3)
  )
)</f>
        <v>0.9</v>
      </c>
      <c r="AP89" s="312">
        <f>IFERROR(
  _xlfn.XLOOKUP(AD89,'2) หลักการคำนวน Table'!$C$3:$K$3,'2) หลักการคำนวน Table'!$C$3:$K$3,,1),
  IF(AD89&lt;MIN('2) หลักการคำนวน Table'!$C$3:$K$3),
     MIN('2) หลักการคำนวน Table'!$C$3:$K$3),
     MAX('2) หลักการคำนวน Table'!$C$3:$K$3)
  )
)</f>
        <v>0.9</v>
      </c>
      <c r="AQ89" s="312">
        <f>IFERROR(
  _xlfn.XLOOKUP(AE89,'2) หลักการคำนวน Table'!$C$3:$K$3,'2) หลักการคำนวน Table'!$C$3:$K$3,,1),
  IF(AE89&lt;MIN('2) หลักการคำนวน Table'!$C$3:$K$3),
     MIN('2) หลักการคำนวน Table'!$C$3:$K$3),
     MAX('2) หลักการคำนวน Table'!$C$3:$K$3)
  )
)</f>
        <v>0.9</v>
      </c>
      <c r="AR89" s="312">
        <f>IFERROR(
  _xlfn.XLOOKUP(AF89,'2) หลักการคำนวน Table'!$C$3:$K$3,'2) หลักการคำนวน Table'!$C$3:$K$3,,1),
  IF(AF89&lt;MIN('2) หลักการคำนวน Table'!$C$3:$K$3),
     MIN('2) หลักการคำนวน Table'!$C$3:$K$3),
     MAX('2) หลักการคำนวน Table'!$C$3:$K$3)
  )
)</f>
        <v>0.9</v>
      </c>
      <c r="AS89" s="312">
        <f>IFERROR(
  _xlfn.XLOOKUP(AG89,'2) หลักการคำนวน Table'!$C$3:$K$3,'2) หลักการคำนวน Table'!$C$3:$K$3,,1),
  IF(AG89&lt;MIN('2) หลักการคำนวน Table'!$C$3:$K$3),
     MIN('2) หลักการคำนวน Table'!$C$3:$K$3),
     MAX('2) หลักการคำนวน Table'!$C$3:$K$3)
  )
)</f>
        <v>0.9</v>
      </c>
      <c r="AT89" s="312">
        <f>IFERROR(
  _xlfn.XLOOKUP(AH89,'2) หลักการคำนวน Table'!$C$3:$K$3,'2) หลักการคำนวน Table'!$C$3:$K$3,,1),
  IF(AH89&lt;MIN('2) หลักการคำนวน Table'!$C$3:$K$3),
     MIN('2) หลักการคำนวน Table'!$C$3:$K$3),
     MAX('2) หลักการคำนวน Table'!$C$3:$K$3)
  )
)</f>
        <v>0.9</v>
      </c>
      <c r="AU89" s="312">
        <f>IFERROR(
  _xlfn.XLOOKUP(AI89,'2) หลักการคำนวน Table'!$C$3:$K$3,'2) หลักการคำนวน Table'!$C$3:$K$3,,1),
  IF(AI89&lt;MIN('2) หลักการคำนวน Table'!$C$3:$K$3),
     MIN('2) หลักการคำนวน Table'!$C$3:$K$3),
     MAX('2) หลักการคำนวน Table'!$C$3:$K$3)
  )
)</f>
        <v>0.9</v>
      </c>
      <c r="AV89" s="312">
        <f>IFERROR(
  _xlfn.XLOOKUP(AJ89,'2) หลักการคำนวน Table'!$C$3:$K$3,'2) หลักการคำนวน Table'!$C$3:$K$3,,1),
  IF(AJ89&lt;MIN('2) หลักการคำนวน Table'!$C$3:$K$3),
     MIN('2) หลักการคำนวน Table'!$C$3:$K$3),
     MAX('2) หลักการคำนวน Table'!$C$3:$K$3)
  )
)</f>
        <v>0.9</v>
      </c>
      <c r="AW89" s="312">
        <f>IFERROR(
  _xlfn.XLOOKUP(AK89,'2) หลักการคำนวน Table'!$C$3:$K$3,'2) หลักการคำนวน Table'!$C$3:$K$3,,1),
  IF(AK89&lt;MIN('2) หลักการคำนวน Table'!$C$3:$K$3),
     MIN('2) หลักการคำนวน Table'!$C$3:$K$3),
     MAX('2) หลักการคำนวน Table'!$C$3:$K$3)
  )
)</f>
        <v>1</v>
      </c>
      <c r="AX89" s="312">
        <f>IFERROR(
  _xlfn.XLOOKUP(AL89,'2) หลักการคำนวน Table'!$C$3:$K$3,'2) หลักการคำนวน Table'!$C$3:$K$3,,1),
  IF(AL89&lt;MIN('2) หลักการคำนวน Table'!$C$3:$K$3),
     MIN('2) หลักการคำนวน Table'!$C$3:$K$3),
     MAX('2) หลักการคำนวน Table'!$C$3:$K$3)
  )
)</f>
        <v>1.03</v>
      </c>
      <c r="AY89" s="312">
        <f>IFERROR(
  _xlfn.XLOOKUP(AM89,'2) หลักการคำนวน Table'!$C$3:$K$3,'2) หลักการคำนวน Table'!$C$3:$K$3,,1),
  IF(AM89&lt;MIN('2) หลักการคำนวน Table'!$C$3:$K$3),
     MIN('2) หลักการคำนวน Table'!$C$3:$K$3),
     MAX('2) หลักการคำนวน Table'!$C$3:$K$3)
  )
)</f>
        <v>0.9</v>
      </c>
      <c r="AZ89" s="279" t="e" cm="1">
        <f t="array" ref="AZ89">ROUND((_xlfn.XLOOKUP($C89,'2) หลักการคำนวน Table'!$A$4:$A$36,
_xlfn.XLOOKUP(AN89,'2)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A89" s="279" t="e" cm="1">
        <f t="array" ref="BA89">ROUND((_xlfn.XLOOKUP($C89,'2) หลักการคำนวน Table'!$A$4:$A$36,
_xlfn.XLOOKUP(AO89,'2)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B89" s="279" t="e" cm="1">
        <f t="array" ref="BB89">ROUND((_xlfn.XLOOKUP($C89,'2) หลักการคำนวน Table'!$A$4:$A$36,
_xlfn.XLOOKUP(AP89,'2)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C89" s="279" t="e" cm="1">
        <f t="array" ref="BC89">ROUND((_xlfn.XLOOKUP($C89,'2) หลักการคำนวน Table'!$A$4:$A$36,
_xlfn.XLOOKUP(AQ89,'2)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D89" s="279" t="e" cm="1">
        <f t="array" ref="BD89">ROUND((_xlfn.XLOOKUP($C89,'2) หลักการคำนวน Table'!$A$4:$A$36,
_xlfn.XLOOKUP(AR89,'2)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E89" s="279" t="e" cm="1">
        <f t="array" ref="BE89">ROUND((_xlfn.XLOOKUP($C89,'2) หลักการคำนวน Table'!$A$4:$A$36,
_xlfn.XLOOKUP(AS89,'2)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F89" s="279" t="e" cm="1">
        <f t="array" ref="BF89">ROUND((_xlfn.XLOOKUP($C89,'2) หลักการคำนวน Table'!$A$4:$A$36,
_xlfn.XLOOKUP(AT89,'2)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G89" s="279" t="e" cm="1">
        <f t="array" ref="BG89">ROUND((_xlfn.XLOOKUP($C89,'2) หลักการคำนวน Table'!$A$4:$A$36,
_xlfn.XLOOKUP(AU89,'2)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H89" s="279" t="e" cm="1">
        <f t="array" ref="BH89">ROUND((_xlfn.XLOOKUP($C89,'2) หลักการคำนวน Table'!$A$4:$A$36,
_xlfn.XLOOKUP(AV89,'2)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I89" s="279" t="e" cm="1">
        <f t="array" ref="BI89">ROUND((_xlfn.XLOOKUP($C89,'2) หลักการคำนวน Table'!$A$4:$A$36,
_xlfn.XLOOKUP(AW89,'2)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J89" s="279" t="e" cm="1">
        <f t="array" ref="BJ89">ROUND((_xlfn.XLOOKUP($C89,'2) หลักการคำนวน Table'!$A$4:$A$36,
_xlfn.XLOOKUP(AX89,'2)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K89" s="279" t="e" cm="1">
        <f t="array" ref="BK89">ROUND((_xlfn.XLOOKUP($C89,'2) หลักการคำนวน Table'!$A$4:$A$36,
_xlfn.XLOOKUP(AY89,'2) หลักการคำนวน Table'!$C$3:$K$3,'2) หลักการคำนวน Table'!$C$4:$K$36,,-1)))*(_xlfn.XLOOKUP($C89,'2) หลักการคำนวน Table'!$A$4:$A$36, _xlfn.XLOOKUP($B89,'2) หลักการคำนวน Table'!$L$3:$Z$3,'2) หลักการคำนวน Table'!$L$4:$Z$36))),0)</f>
        <v>#N/A</v>
      </c>
      <c r="BM89" s="278">
        <v>222220</v>
      </c>
      <c r="BN89" s="292">
        <v>202</v>
      </c>
    </row>
    <row r="90" spans="1:66" s="278" customFormat="1" ht="14.7" customHeight="1" x14ac:dyDescent="0.4">
      <c r="A90" s="278" t="e">
        <f>VLOOKUP(C90,ASTBase!E:S,13,FALSE)</f>
        <v>#N/A</v>
      </c>
      <c r="B90" s="278" t="s">
        <v>407</v>
      </c>
      <c r="C90" s="278">
        <v>5490000725</v>
      </c>
      <c r="D90" s="310">
        <v>75307.353626381198</v>
      </c>
      <c r="E90" s="310">
        <v>51653.149647415237</v>
      </c>
      <c r="F90" s="310">
        <v>55908.871793546416</v>
      </c>
      <c r="G90" s="310">
        <v>70708.18213018695</v>
      </c>
      <c r="H90" s="310">
        <v>55118.431372948442</v>
      </c>
      <c r="I90" s="310">
        <v>50391.240568472858</v>
      </c>
      <c r="J90" s="310">
        <v>68533.179218403224</v>
      </c>
      <c r="K90" s="310">
        <v>59880.130218872473</v>
      </c>
      <c r="L90" s="310">
        <v>73110.711015338151</v>
      </c>
      <c r="M90" s="310">
        <v>57370.341373797593</v>
      </c>
      <c r="N90" s="310">
        <v>76466.108745259451</v>
      </c>
      <c r="O90" s="310">
        <v>55551.800289377978</v>
      </c>
      <c r="P90" s="1">
        <v>73560.999999267704</v>
      </c>
      <c r="Q90" s="278">
        <f>SUMIFS(Actual!F:F,Actual!$A:$A,'3)Target &amp; Cal_Staff'!$C90,Actual!$D:$D,'3)Target &amp; Cal_Staff'!$B90)</f>
        <v>0</v>
      </c>
      <c r="R90" s="278">
        <f>SUMIFS(Actual!G:G,Actual!$A:$A,'3)Target &amp; Cal_Staff'!$C90,Actual!$D:$D,'3)Target &amp; Cal_Staff'!$B90)</f>
        <v>0</v>
      </c>
      <c r="S90" s="278">
        <f>SUMIFS(Actual!H:H,Actual!$A:$A,'3)Target &amp; Cal_Staff'!$C90,Actual!$D:$D,'3)Target &amp; Cal_Staff'!$B90)</f>
        <v>0</v>
      </c>
      <c r="T90" s="278">
        <f>SUMIFS(Actual!I:I,Actual!$A:$A,'3)Target &amp; Cal_Staff'!$C90,Actual!$D:$D,'3)Target &amp; Cal_Staff'!$B90)</f>
        <v>0</v>
      </c>
      <c r="U90" s="278">
        <f>SUMIFS(Actual!J:J,Actual!$A:$A,'3)Target &amp; Cal_Staff'!$C90,Actual!$D:$D,'3)Target &amp; Cal_Staff'!$B90)</f>
        <v>0</v>
      </c>
      <c r="V90" s="278">
        <f>SUMIFS(Actual!K:K,Actual!$A:$A,'3)Target &amp; Cal_Staff'!$C90,Actual!$D:$D,'3)Target &amp; Cal_Staff'!$B90)</f>
        <v>0</v>
      </c>
      <c r="W90" s="278">
        <f>SUMIFS(Actual!L:L,Actual!$A:$A,'3)Target &amp; Cal_Staff'!$C90,Actual!$D:$D,'3)Target &amp; Cal_Staff'!$B90)</f>
        <v>0</v>
      </c>
      <c r="X90" s="278">
        <f>SUMIFS(Actual!M:M,Actual!$A:$A,'3)Target &amp; Cal_Staff'!$C90,Actual!$D:$D,'3)Target &amp; Cal_Staff'!$B90)</f>
        <v>0</v>
      </c>
      <c r="Y90" s="278">
        <f>SUMIFS(Actual!N:N,Actual!$A:$A,'3)Target &amp; Cal_Staff'!$C90,Actual!$D:$D,'3)Target &amp; Cal_Staff'!$B90)</f>
        <v>54158.999999460262</v>
      </c>
      <c r="Z90" s="278">
        <f>SUMIFS(Actual!O:O,Actual!$A:$A,'3)Target &amp; Cal_Staff'!$C90,Actual!$D:$D,'3)Target &amp; Cal_Staff'!$B90)</f>
        <v>72859.99999927546</v>
      </c>
      <c r="AA90" s="278">
        <f>SUMIFS(Actual!P:P,Actual!$A:$A,'3)Target &amp; Cal_Staff'!$C90,Actual!$D:$D,'3)Target &amp; Cal_Staff'!$B90)</f>
        <v>77300.999999231455</v>
      </c>
      <c r="AB90" s="311"/>
      <c r="AC90" s="311"/>
      <c r="AD90" s="311"/>
      <c r="AE90" s="311"/>
      <c r="AF90" s="311"/>
      <c r="AG90" s="311"/>
      <c r="AH90" s="311"/>
      <c r="AI90" s="311"/>
      <c r="AJ90" s="311">
        <f>IFERROR(IF(VLOOKUP($B90,Shortage!$A:$M,AJ$2,FALSE)="Shortage",1,IFERROR(ROUND(X90/L90,4),0)),IFERROR(ROUND(X90/L90,4),0))</f>
        <v>0</v>
      </c>
      <c r="AK90" s="311">
        <f>IFERROR(IF(VLOOKUP($B90,Shortage!$A:$M,AK$2,FALSE)="Shortage",1,IFERROR(ROUND(Y90/M90,4),0)),IFERROR(ROUND(Y90/M90,4),0))</f>
        <v>0.94399999999999995</v>
      </c>
      <c r="AL90" s="311">
        <f>IFERROR(IF(VLOOKUP($B90,Shortage!$A:$M,AL$2,FALSE)="Shortage",1,IFERROR(ROUND(Z90/N90,4),0)),IFERROR(ROUND(Z90/N90,4),0))</f>
        <v>0.95279999999999998</v>
      </c>
      <c r="AM90" s="311">
        <f>IFERROR(IF(VLOOKUP($B90,Shortage!$A:$M,AM$2,FALSE)="Shortage",1,IFERROR(ROUND(AA90/O90,4),0)),IFERROR(ROUND(AA90/O90,4),0))</f>
        <v>1.3915</v>
      </c>
      <c r="AN90" s="312">
        <f>IFERROR(_xlfn.XLOOKUP(AB90,'2) หลักการคำนวน Table'!$C$3:$K$3,'2) หลักการคำนวน Table'!$C$3:$K$3,,1),INDEX('2) หลักการคำนวน Table'!$C$3:$K$3,1))</f>
        <v>0.9</v>
      </c>
      <c r="AO90" s="312">
        <f>IFERROR(
  _xlfn.XLOOKUP(AC90,'2) หลักการคำนวน Table'!$C$3:$K$3,'2) หลักการคำนวน Table'!$C$3:$K$3,,1),
  IF(AC90&lt;MIN('2) หลักการคำนวน Table'!$C$3:$K$3),
     MIN('2) หลักการคำนวน Table'!$C$3:$K$3),
     MAX('2) หลักการคำนวน Table'!$C$3:$K$3)
  )
)</f>
        <v>0.9</v>
      </c>
      <c r="AP90" s="312">
        <f>IFERROR(
  _xlfn.XLOOKUP(AD90,'2) หลักการคำนวน Table'!$C$3:$K$3,'2) หลักการคำนวน Table'!$C$3:$K$3,,1),
  IF(AD90&lt;MIN('2) หลักการคำนวน Table'!$C$3:$K$3),
     MIN('2) หลักการคำนวน Table'!$C$3:$K$3),
     MAX('2) หลักการคำนวน Table'!$C$3:$K$3)
  )
)</f>
        <v>0.9</v>
      </c>
      <c r="AQ90" s="312">
        <f>IFERROR(
  _xlfn.XLOOKUP(AE90,'2) หลักการคำนวน Table'!$C$3:$K$3,'2) หลักการคำนวน Table'!$C$3:$K$3,,1),
  IF(AE90&lt;MIN('2) หลักการคำนวน Table'!$C$3:$K$3),
     MIN('2) หลักการคำนวน Table'!$C$3:$K$3),
     MAX('2) หลักการคำนวน Table'!$C$3:$K$3)
  )
)</f>
        <v>0.9</v>
      </c>
      <c r="AR90" s="312">
        <f>IFERROR(
  _xlfn.XLOOKUP(AF90,'2) หลักการคำนวน Table'!$C$3:$K$3,'2) หลักการคำนวน Table'!$C$3:$K$3,,1),
  IF(AF90&lt;MIN('2) หลักการคำนวน Table'!$C$3:$K$3),
     MIN('2) หลักการคำนวน Table'!$C$3:$K$3),
     MAX('2) หลักการคำนวน Table'!$C$3:$K$3)
  )
)</f>
        <v>0.9</v>
      </c>
      <c r="AS90" s="312">
        <f>IFERROR(
  _xlfn.XLOOKUP(AG90,'2) หลักการคำนวน Table'!$C$3:$K$3,'2) หลักการคำนวน Table'!$C$3:$K$3,,1),
  IF(AG90&lt;MIN('2) หลักการคำนวน Table'!$C$3:$K$3),
     MIN('2) หลักการคำนวน Table'!$C$3:$K$3),
     MAX('2) หลักการคำนวน Table'!$C$3:$K$3)
  )
)</f>
        <v>0.9</v>
      </c>
      <c r="AT90" s="312">
        <f>IFERROR(
  _xlfn.XLOOKUP(AH90,'2) หลักการคำนวน Table'!$C$3:$K$3,'2) หลักการคำนวน Table'!$C$3:$K$3,,1),
  IF(AH90&lt;MIN('2) หลักการคำนวน Table'!$C$3:$K$3),
     MIN('2) หลักการคำนวน Table'!$C$3:$K$3),
     MAX('2) หลักการคำนวน Table'!$C$3:$K$3)
  )
)</f>
        <v>0.9</v>
      </c>
      <c r="AU90" s="312">
        <f>IFERROR(
  _xlfn.XLOOKUP(AI90,'2) หลักการคำนวน Table'!$C$3:$K$3,'2) หลักการคำนวน Table'!$C$3:$K$3,,1),
  IF(AI90&lt;MIN('2) หลักการคำนวน Table'!$C$3:$K$3),
     MIN('2) หลักการคำนวน Table'!$C$3:$K$3),
     MAX('2) หลักการคำนวน Table'!$C$3:$K$3)
  )
)</f>
        <v>0.9</v>
      </c>
      <c r="AV90" s="312">
        <f>IFERROR(
  _xlfn.XLOOKUP(AJ90,'2) หลักการคำนวน Table'!$C$3:$K$3,'2) หลักการคำนวน Table'!$C$3:$K$3,,1),
  IF(AJ90&lt;MIN('2) หลักการคำนวน Table'!$C$3:$K$3),
     MIN('2) หลักการคำนวน Table'!$C$3:$K$3),
     MAX('2) หลักการคำนวน Table'!$C$3:$K$3)
  )
)</f>
        <v>0.9</v>
      </c>
      <c r="AW90" s="312">
        <f>IFERROR(
  _xlfn.XLOOKUP(AK90,'2) หลักการคำนวน Table'!$C$3:$K$3,'2) หลักการคำนวน Table'!$C$3:$K$3,,1),
  IF(AK90&lt;MIN('2) หลักการคำนวน Table'!$C$3:$K$3),
     MIN('2) หลักการคำนวน Table'!$C$3:$K$3),
     MAX('2) หลักการคำนวน Table'!$C$3:$K$3)
  )
)</f>
        <v>0.95</v>
      </c>
      <c r="AX90" s="312">
        <f>IFERROR(
  _xlfn.XLOOKUP(AL90,'2) หลักการคำนวน Table'!$C$3:$K$3,'2) หลักการคำนวน Table'!$C$3:$K$3,,1),
  IF(AL90&lt;MIN('2) หลักการคำนวน Table'!$C$3:$K$3),
     MIN('2) หลักการคำนวน Table'!$C$3:$K$3),
     MAX('2) หลักการคำนวน Table'!$C$3:$K$3)
  )
)</f>
        <v>1</v>
      </c>
      <c r="AY90" s="312">
        <f>IFERROR(
  _xlfn.XLOOKUP(AM90,'2) หลักการคำนวน Table'!$C$3:$K$3,'2) หลักการคำนวน Table'!$C$3:$K$3,,1),
  IF(AM90&lt;MIN('2) หลักการคำนวน Table'!$C$3:$K$3),
     MIN('2) หลักการคำนวน Table'!$C$3:$K$3),
     MAX('2) หลักการคำนวน Table'!$C$3:$K$3)
  )
)</f>
        <v>20</v>
      </c>
      <c r="AZ90" s="279" t="e" cm="1">
        <f t="array" ref="AZ90">ROUND((_xlfn.XLOOKUP($C90,'2) หลักการคำนวน Table'!$A$4:$A$36,
_xlfn.XLOOKUP(AN90,'2)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A90" s="279" t="e" cm="1">
        <f t="array" ref="BA90">ROUND((_xlfn.XLOOKUP($C90,'2) หลักการคำนวน Table'!$A$4:$A$36,
_xlfn.XLOOKUP(AO90,'2)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B90" s="279" t="e" cm="1">
        <f t="array" ref="BB90">ROUND((_xlfn.XLOOKUP($C90,'2) หลักการคำนวน Table'!$A$4:$A$36,
_xlfn.XLOOKUP(AP90,'2)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C90" s="279" t="e" cm="1">
        <f t="array" ref="BC90">ROUND((_xlfn.XLOOKUP($C90,'2) หลักการคำนวน Table'!$A$4:$A$36,
_xlfn.XLOOKUP(AQ90,'2)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D90" s="279" t="e" cm="1">
        <f t="array" ref="BD90">ROUND((_xlfn.XLOOKUP($C90,'2) หลักการคำนวน Table'!$A$4:$A$36,
_xlfn.XLOOKUP(AR90,'2)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E90" s="279" t="e" cm="1">
        <f t="array" ref="BE90">ROUND((_xlfn.XLOOKUP($C90,'2) หลักการคำนวน Table'!$A$4:$A$36,
_xlfn.XLOOKUP(AS90,'2)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F90" s="279" t="e" cm="1">
        <f t="array" ref="BF90">ROUND((_xlfn.XLOOKUP($C90,'2) หลักการคำนวน Table'!$A$4:$A$36,
_xlfn.XLOOKUP(AT90,'2)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G90" s="279" t="e" cm="1">
        <f t="array" ref="BG90">ROUND((_xlfn.XLOOKUP($C90,'2) หลักการคำนวน Table'!$A$4:$A$36,
_xlfn.XLOOKUP(AU90,'2)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H90" s="279" t="e" cm="1">
        <f t="array" ref="BH90">ROUND((_xlfn.XLOOKUP($C90,'2) หลักการคำนวน Table'!$A$4:$A$36,
_xlfn.XLOOKUP(AV90,'2)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I90" s="279" t="e" cm="1">
        <f t="array" ref="BI90">ROUND((_xlfn.XLOOKUP($C90,'2) หลักการคำนวน Table'!$A$4:$A$36,
_xlfn.XLOOKUP(AW90,'2)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J90" s="279" t="e" cm="1">
        <f t="array" ref="BJ90">ROUND((_xlfn.XLOOKUP($C90,'2) หลักการคำนวน Table'!$A$4:$A$36,
_xlfn.XLOOKUP(AX90,'2)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K90" s="279" t="e" cm="1">
        <f t="array" ref="BK90">ROUND((_xlfn.XLOOKUP($C90,'2) หลักการคำนวน Table'!$A$4:$A$36,
_xlfn.XLOOKUP(AY90,'2) หลักการคำนวน Table'!$C$3:$K$3,'2) หลักการคำนวน Table'!$C$4:$K$36,,-1)))*(_xlfn.XLOOKUP($C90,'2) หลักการคำนวน Table'!$A$4:$A$36, _xlfn.XLOOKUP($B90,'2) หลักการคำนวน Table'!$L$3:$Z$3,'2) หลักการคำนวน Table'!$L$4:$Z$36))),0)</f>
        <v>#N/A</v>
      </c>
      <c r="BM90" s="278">
        <v>222220</v>
      </c>
      <c r="BN90" s="292">
        <v>607</v>
      </c>
    </row>
    <row r="91" spans="1:66" s="278" customFormat="1" ht="14.7" customHeight="1" x14ac:dyDescent="0.4">
      <c r="A91" s="278" t="e">
        <f>VLOOKUP(C91,ASTBase!E:S,13,FALSE)</f>
        <v>#N/A</v>
      </c>
      <c r="B91" s="278" t="s">
        <v>413</v>
      </c>
      <c r="C91" s="278">
        <v>5490000725</v>
      </c>
      <c r="D91" s="310">
        <v>1066.4206187299094</v>
      </c>
      <c r="E91" s="310">
        <v>1664.6700825682685</v>
      </c>
      <c r="F91" s="310">
        <v>1228.6916321605902</v>
      </c>
      <c r="G91" s="310">
        <v>767.41382736541175</v>
      </c>
      <c r="H91" s="310">
        <v>1481.7797723890615</v>
      </c>
      <c r="I91" s="310">
        <v>1562.5311098449226</v>
      </c>
      <c r="J91" s="310">
        <v>885.27773473450964</v>
      </c>
      <c r="K91" s="310">
        <v>3133.0209731236037</v>
      </c>
      <c r="L91" s="310">
        <v>787.45557792945351</v>
      </c>
      <c r="M91" s="310">
        <v>743.34472184352205</v>
      </c>
      <c r="N91" s="310">
        <v>883.71179306150395</v>
      </c>
      <c r="O91" s="310">
        <v>795.68215624924176</v>
      </c>
      <c r="P91" s="1">
        <v>1381.5947999999996</v>
      </c>
      <c r="Q91" s="278">
        <f>SUMIFS(Actual!F:F,Actual!$A:$A,'3)Target &amp; Cal_Staff'!$C91,Actual!$D:$D,'3)Target &amp; Cal_Staff'!$B91)</f>
        <v>0</v>
      </c>
      <c r="R91" s="278">
        <f>SUMIFS(Actual!G:G,Actual!$A:$A,'3)Target &amp; Cal_Staff'!$C91,Actual!$D:$D,'3)Target &amp; Cal_Staff'!$B91)</f>
        <v>0</v>
      </c>
      <c r="S91" s="278">
        <f>SUMIFS(Actual!H:H,Actual!$A:$A,'3)Target &amp; Cal_Staff'!$C91,Actual!$D:$D,'3)Target &amp; Cal_Staff'!$B91)</f>
        <v>0</v>
      </c>
      <c r="T91" s="278">
        <f>SUMIFS(Actual!I:I,Actual!$A:$A,'3)Target &amp; Cal_Staff'!$C91,Actual!$D:$D,'3)Target &amp; Cal_Staff'!$B91)</f>
        <v>0</v>
      </c>
      <c r="U91" s="278">
        <f>SUMIFS(Actual!J:J,Actual!$A:$A,'3)Target &amp; Cal_Staff'!$C91,Actual!$D:$D,'3)Target &amp; Cal_Staff'!$B91)</f>
        <v>0</v>
      </c>
      <c r="V91" s="278">
        <f>SUMIFS(Actual!K:K,Actual!$A:$A,'3)Target &amp; Cal_Staff'!$C91,Actual!$D:$D,'3)Target &amp; Cal_Staff'!$B91)</f>
        <v>0</v>
      </c>
      <c r="W91" s="278">
        <f>SUMIFS(Actual!L:L,Actual!$A:$A,'3)Target &amp; Cal_Staff'!$C91,Actual!$D:$D,'3)Target &amp; Cal_Staff'!$B91)</f>
        <v>0</v>
      </c>
      <c r="X91" s="278">
        <f>SUMIFS(Actual!M:M,Actual!$A:$A,'3)Target &amp; Cal_Staff'!$C91,Actual!$D:$D,'3)Target &amp; Cal_Staff'!$B91)</f>
        <v>0</v>
      </c>
      <c r="Y91" s="278">
        <f>SUMIFS(Actual!N:N,Actual!$A:$A,'3)Target &amp; Cal_Staff'!$C91,Actual!$D:$D,'3)Target &amp; Cal_Staff'!$B91)</f>
        <v>702.84959999999978</v>
      </c>
      <c r="Z91" s="278">
        <f>SUMIFS(Actual!O:O,Actual!$A:$A,'3)Target &amp; Cal_Staff'!$C91,Actual!$D:$D,'3)Target &amp; Cal_Staff'!$B91)</f>
        <v>857.46060000000011</v>
      </c>
      <c r="AA91" s="278">
        <f>SUMIFS(Actual!P:P,Actual!$A:$A,'3)Target &amp; Cal_Staff'!$C91,Actual!$D:$D,'3)Target &amp; Cal_Staff'!$B91)</f>
        <v>722.99040000000025</v>
      </c>
      <c r="AB91" s="311"/>
      <c r="AC91" s="311"/>
      <c r="AD91" s="311"/>
      <c r="AE91" s="311"/>
      <c r="AF91" s="311"/>
      <c r="AG91" s="311"/>
      <c r="AH91" s="311"/>
      <c r="AI91" s="311"/>
      <c r="AJ91" s="311">
        <f>IFERROR(IF(VLOOKUP($B91,Shortage!$A:$M,AJ$2,FALSE)="Shortage",1,IFERROR(ROUND(X91/L91,4),0)),IFERROR(ROUND(X91/L91,4),0))</f>
        <v>0</v>
      </c>
      <c r="AK91" s="311">
        <f>IFERROR(IF(VLOOKUP($B91,Shortage!$A:$M,AK$2,FALSE)="Shortage",1,IFERROR(ROUND(Y91/M91,4),0)),IFERROR(ROUND(Y91/M91,4),0))</f>
        <v>0.94550000000000001</v>
      </c>
      <c r="AL91" s="311">
        <f>IFERROR(IF(VLOOKUP($B91,Shortage!$A:$M,AL$2,FALSE)="Shortage",1,IFERROR(ROUND(Z91/N91,4),0)),IFERROR(ROUND(Z91/N91,4),0))</f>
        <v>0.97030000000000005</v>
      </c>
      <c r="AM91" s="311">
        <f>IFERROR(IF(VLOOKUP($B91,Shortage!$A:$M,AM$2,FALSE)="Shortage",1,IFERROR(ROUND(AA91/O91,4),0)),IFERROR(ROUND(AA91/O91,4),0))</f>
        <v>0.90859999999999996</v>
      </c>
      <c r="AN91" s="312">
        <f>IFERROR(_xlfn.XLOOKUP(AB91,'2) หลักการคำนวน Table'!$C$3:$K$3,'2) หลักการคำนวน Table'!$C$3:$K$3,,1),INDEX('2) หลักการคำนวน Table'!$C$3:$K$3,1))</f>
        <v>0.9</v>
      </c>
      <c r="AO91" s="312">
        <f>IFERROR(
  _xlfn.XLOOKUP(AC91,'2) หลักการคำนวน Table'!$C$3:$K$3,'2) หลักการคำนวน Table'!$C$3:$K$3,,1),
  IF(AC91&lt;MIN('2) หลักการคำนวน Table'!$C$3:$K$3),
     MIN('2) หลักการคำนวน Table'!$C$3:$K$3),
     MAX('2) หลักการคำนวน Table'!$C$3:$K$3)
  )
)</f>
        <v>0.9</v>
      </c>
      <c r="AP91" s="312">
        <f>IFERROR(
  _xlfn.XLOOKUP(AD91,'2) หลักการคำนวน Table'!$C$3:$K$3,'2) หลักการคำนวน Table'!$C$3:$K$3,,1),
  IF(AD91&lt;MIN('2) หลักการคำนวน Table'!$C$3:$K$3),
     MIN('2) หลักการคำนวน Table'!$C$3:$K$3),
     MAX('2) หลักการคำนวน Table'!$C$3:$K$3)
  )
)</f>
        <v>0.9</v>
      </c>
      <c r="AQ91" s="312">
        <f>IFERROR(
  _xlfn.XLOOKUP(AE91,'2) หลักการคำนวน Table'!$C$3:$K$3,'2) หลักการคำนวน Table'!$C$3:$K$3,,1),
  IF(AE91&lt;MIN('2) หลักการคำนวน Table'!$C$3:$K$3),
     MIN('2) หลักการคำนวน Table'!$C$3:$K$3),
     MAX('2) หลักการคำนวน Table'!$C$3:$K$3)
  )
)</f>
        <v>0.9</v>
      </c>
      <c r="AR91" s="312">
        <f>IFERROR(
  _xlfn.XLOOKUP(AF91,'2) หลักการคำนวน Table'!$C$3:$K$3,'2) หลักการคำนวน Table'!$C$3:$K$3,,1),
  IF(AF91&lt;MIN('2) หลักการคำนวน Table'!$C$3:$K$3),
     MIN('2) หลักการคำนวน Table'!$C$3:$K$3),
     MAX('2) หลักการคำนวน Table'!$C$3:$K$3)
  )
)</f>
        <v>0.9</v>
      </c>
      <c r="AS91" s="312">
        <f>IFERROR(
  _xlfn.XLOOKUP(AG91,'2) หลักการคำนวน Table'!$C$3:$K$3,'2) หลักการคำนวน Table'!$C$3:$K$3,,1),
  IF(AG91&lt;MIN('2) หลักการคำนวน Table'!$C$3:$K$3),
     MIN('2) หลักการคำนวน Table'!$C$3:$K$3),
     MAX('2) หลักการคำนวน Table'!$C$3:$K$3)
  )
)</f>
        <v>0.9</v>
      </c>
      <c r="AT91" s="312">
        <f>IFERROR(
  _xlfn.XLOOKUP(AH91,'2) หลักการคำนวน Table'!$C$3:$K$3,'2) หลักการคำนวน Table'!$C$3:$K$3,,1),
  IF(AH91&lt;MIN('2) หลักการคำนวน Table'!$C$3:$K$3),
     MIN('2) หลักการคำนวน Table'!$C$3:$K$3),
     MAX('2) หลักการคำนวน Table'!$C$3:$K$3)
  )
)</f>
        <v>0.9</v>
      </c>
      <c r="AU91" s="312">
        <f>IFERROR(
  _xlfn.XLOOKUP(AI91,'2) หลักการคำนวน Table'!$C$3:$K$3,'2) หลักการคำนวน Table'!$C$3:$K$3,,1),
  IF(AI91&lt;MIN('2) หลักการคำนวน Table'!$C$3:$K$3),
     MIN('2) หลักการคำนวน Table'!$C$3:$K$3),
     MAX('2) หลักการคำนวน Table'!$C$3:$K$3)
  )
)</f>
        <v>0.9</v>
      </c>
      <c r="AV91" s="312">
        <f>IFERROR(
  _xlfn.XLOOKUP(AJ91,'2) หลักการคำนวน Table'!$C$3:$K$3,'2) หลักการคำนวน Table'!$C$3:$K$3,,1),
  IF(AJ91&lt;MIN('2) หลักการคำนวน Table'!$C$3:$K$3),
     MIN('2) หลักการคำนวน Table'!$C$3:$K$3),
     MAX('2) หลักการคำนวน Table'!$C$3:$K$3)
  )
)</f>
        <v>0.9</v>
      </c>
      <c r="AW91" s="312">
        <f>IFERROR(
  _xlfn.XLOOKUP(AK91,'2) หลักการคำนวน Table'!$C$3:$K$3,'2) หลักการคำนวน Table'!$C$3:$K$3,,1),
  IF(AK91&lt;MIN('2) หลักการคำนวน Table'!$C$3:$K$3),
     MIN('2) หลักการคำนวน Table'!$C$3:$K$3),
     MAX('2) หลักการคำนวน Table'!$C$3:$K$3)
  )
)</f>
        <v>0.95</v>
      </c>
      <c r="AX91" s="312">
        <f>IFERROR(
  _xlfn.XLOOKUP(AL91,'2) หลักการคำนวน Table'!$C$3:$K$3,'2) หลักการคำนวน Table'!$C$3:$K$3,,1),
  IF(AL91&lt;MIN('2) หลักการคำนวน Table'!$C$3:$K$3),
     MIN('2) หลักการคำนวน Table'!$C$3:$K$3),
     MAX('2) หลักการคำนวน Table'!$C$3:$K$3)
  )
)</f>
        <v>1</v>
      </c>
      <c r="AY91" s="312">
        <f>IFERROR(
  _xlfn.XLOOKUP(AM91,'2) หลักการคำนวน Table'!$C$3:$K$3,'2) หลักการคำนวน Table'!$C$3:$K$3,,1),
  IF(AM91&lt;MIN('2) หลักการคำนวน Table'!$C$3:$K$3),
     MIN('2) หลักการคำนวน Table'!$C$3:$K$3),
     MAX('2) หลักการคำนวน Table'!$C$3:$K$3)
  )
)</f>
        <v>0.95</v>
      </c>
      <c r="AZ91" s="279" t="e" cm="1">
        <f t="array" ref="AZ91">ROUND((_xlfn.XLOOKUP($C91,'2) หลักการคำนวน Table'!$A$4:$A$36,
_xlfn.XLOOKUP(AN91,'2)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A91" s="279" t="e" cm="1">
        <f t="array" ref="BA91">ROUND((_xlfn.XLOOKUP($C91,'2) หลักการคำนวน Table'!$A$4:$A$36,
_xlfn.XLOOKUP(AO91,'2)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B91" s="279" t="e" cm="1">
        <f t="array" ref="BB91">ROUND((_xlfn.XLOOKUP($C91,'2) หลักการคำนวน Table'!$A$4:$A$36,
_xlfn.XLOOKUP(AP91,'2)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C91" s="279" t="e" cm="1">
        <f t="array" ref="BC91">ROUND((_xlfn.XLOOKUP($C91,'2) หลักการคำนวน Table'!$A$4:$A$36,
_xlfn.XLOOKUP(AQ91,'2)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D91" s="279" t="e" cm="1">
        <f t="array" ref="BD91">ROUND((_xlfn.XLOOKUP($C91,'2) หลักการคำนวน Table'!$A$4:$A$36,
_xlfn.XLOOKUP(AR91,'2)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E91" s="279" t="e" cm="1">
        <f t="array" ref="BE91">ROUND((_xlfn.XLOOKUP($C91,'2) หลักการคำนวน Table'!$A$4:$A$36,
_xlfn.XLOOKUP(AS91,'2)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F91" s="279" t="e" cm="1">
        <f t="array" ref="BF91">ROUND((_xlfn.XLOOKUP($C91,'2) หลักการคำนวน Table'!$A$4:$A$36,
_xlfn.XLOOKUP(AT91,'2)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G91" s="279" t="e" cm="1">
        <f t="array" ref="BG91">ROUND((_xlfn.XLOOKUP($C91,'2) หลักการคำนวน Table'!$A$4:$A$36,
_xlfn.XLOOKUP(AU91,'2)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H91" s="279" t="e" cm="1">
        <f t="array" ref="BH91">ROUND((_xlfn.XLOOKUP($C91,'2) หลักการคำนวน Table'!$A$4:$A$36,
_xlfn.XLOOKUP(AV91,'2)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I91" s="279" t="e" cm="1">
        <f t="array" ref="BI91">ROUND((_xlfn.XLOOKUP($C91,'2) หลักการคำนวน Table'!$A$4:$A$36,
_xlfn.XLOOKUP(AW91,'2)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J91" s="279" t="e" cm="1">
        <f t="array" ref="BJ91">ROUND((_xlfn.XLOOKUP($C91,'2) หลักการคำนวน Table'!$A$4:$A$36,
_xlfn.XLOOKUP(AX91,'2)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K91" s="279" t="e" cm="1">
        <f t="array" ref="BK91">ROUND((_xlfn.XLOOKUP($C91,'2) หลักการคำนวน Table'!$A$4:$A$36,
_xlfn.XLOOKUP(AY91,'2) หลักการคำนวน Table'!$C$3:$K$3,'2) หลักการคำนวน Table'!$C$4:$K$36,,-1)))*(_xlfn.XLOOKUP($C91,'2) หลักการคำนวน Table'!$A$4:$A$36, _xlfn.XLOOKUP($B91,'2) หลักการคำนวน Table'!$L$3:$Z$3,'2) หลักการคำนวน Table'!$L$4:$Z$36))),0)</f>
        <v>#N/A</v>
      </c>
      <c r="BM91" s="278">
        <v>222220</v>
      </c>
      <c r="BN91" s="292">
        <v>607</v>
      </c>
    </row>
    <row r="92" spans="1:66" s="278" customFormat="1" ht="14.7" customHeight="1" x14ac:dyDescent="0.4">
      <c r="A92" s="278" t="e">
        <f>VLOOKUP(C92,ASTBase!E:S,13,FALSE)</f>
        <v>#N/A</v>
      </c>
      <c r="B92" s="278" t="s">
        <v>406</v>
      </c>
      <c r="C92" s="278">
        <v>5490000725</v>
      </c>
      <c r="D92" s="310">
        <v>2096.2382486847432</v>
      </c>
      <c r="E92" s="310">
        <v>2332.1247182254515</v>
      </c>
      <c r="F92" s="310">
        <v>1525.5355340714793</v>
      </c>
      <c r="G92" s="310">
        <v>2024.1943500800198</v>
      </c>
      <c r="H92" s="310">
        <v>1841.4715907116138</v>
      </c>
      <c r="I92" s="310">
        <v>2492.2186557884802</v>
      </c>
      <c r="J92" s="310">
        <v>1728.620503383775</v>
      </c>
      <c r="K92" s="310">
        <v>1504.710558336732</v>
      </c>
      <c r="L92" s="310">
        <v>2564.6567707029144</v>
      </c>
      <c r="M92" s="310">
        <v>1473.5438363347014</v>
      </c>
      <c r="N92" s="310">
        <v>1743.3052721154497</v>
      </c>
      <c r="O92" s="310">
        <v>1673.3799615646396</v>
      </c>
      <c r="P92" s="1">
        <v>1803.16</v>
      </c>
      <c r="Q92" s="278">
        <f>SUMIFS(Actual!F:F,Actual!$A:$A,'3)Target &amp; Cal_Staff'!$C92,Actual!$D:$D,'3)Target &amp; Cal_Staff'!$B92)</f>
        <v>0</v>
      </c>
      <c r="R92" s="278">
        <f>SUMIFS(Actual!G:G,Actual!$A:$A,'3)Target &amp; Cal_Staff'!$C92,Actual!$D:$D,'3)Target &amp; Cal_Staff'!$B92)</f>
        <v>0</v>
      </c>
      <c r="S92" s="278">
        <f>SUMIFS(Actual!H:H,Actual!$A:$A,'3)Target &amp; Cal_Staff'!$C92,Actual!$D:$D,'3)Target &amp; Cal_Staff'!$B92)</f>
        <v>0</v>
      </c>
      <c r="T92" s="278">
        <f>SUMIFS(Actual!I:I,Actual!$A:$A,'3)Target &amp; Cal_Staff'!$C92,Actual!$D:$D,'3)Target &amp; Cal_Staff'!$B92)</f>
        <v>0</v>
      </c>
      <c r="U92" s="278">
        <f>SUMIFS(Actual!J:J,Actual!$A:$A,'3)Target &amp; Cal_Staff'!$C92,Actual!$D:$D,'3)Target &amp; Cal_Staff'!$B92)</f>
        <v>0</v>
      </c>
      <c r="V92" s="278">
        <f>SUMIFS(Actual!K:K,Actual!$A:$A,'3)Target &amp; Cal_Staff'!$C92,Actual!$D:$D,'3)Target &amp; Cal_Staff'!$B92)</f>
        <v>0</v>
      </c>
      <c r="W92" s="278">
        <f>SUMIFS(Actual!L:L,Actual!$A:$A,'3)Target &amp; Cal_Staff'!$C92,Actual!$D:$D,'3)Target &amp; Cal_Staff'!$B92)</f>
        <v>0</v>
      </c>
      <c r="X92" s="278">
        <f>SUMIFS(Actual!M:M,Actual!$A:$A,'3)Target &amp; Cal_Staff'!$C92,Actual!$D:$D,'3)Target &amp; Cal_Staff'!$B92)</f>
        <v>0</v>
      </c>
      <c r="Y92" s="278">
        <f>SUMIFS(Actual!N:N,Actual!$A:$A,'3)Target &amp; Cal_Staff'!$C92,Actual!$D:$D,'3)Target &amp; Cal_Staff'!$B92)</f>
        <v>1525.26</v>
      </c>
      <c r="Z92" s="278">
        <f>SUMIFS(Actual!O:O,Actual!$A:$A,'3)Target &amp; Cal_Staff'!$C92,Actual!$D:$D,'3)Target &amp; Cal_Staff'!$B92)</f>
        <v>1817.3599999999997</v>
      </c>
      <c r="AA92" s="278">
        <f>SUMIFS(Actual!P:P,Actual!$A:$A,'3)Target &amp; Cal_Staff'!$C92,Actual!$D:$D,'3)Target &amp; Cal_Staff'!$B92)</f>
        <v>2096.1</v>
      </c>
      <c r="AB92" s="311"/>
      <c r="AC92" s="311"/>
      <c r="AD92" s="311"/>
      <c r="AE92" s="311"/>
      <c r="AF92" s="311"/>
      <c r="AG92" s="311"/>
      <c r="AH92" s="311"/>
      <c r="AI92" s="311"/>
      <c r="AJ92" s="311">
        <f>IFERROR(IF(VLOOKUP($B92,Shortage!$A:$M,AJ$2,FALSE)="Shortage",1,IFERROR(ROUND(X92/L92,4),0)),IFERROR(ROUND(X92/L92,4),0))</f>
        <v>0</v>
      </c>
      <c r="AK92" s="311">
        <f>IFERROR(IF(VLOOKUP($B92,Shortage!$A:$M,AK$2,FALSE)="Shortage",1,IFERROR(ROUND(Y92/M92,4),0)),IFERROR(ROUND(Y92/M92,4),0))</f>
        <v>1.0350999999999999</v>
      </c>
      <c r="AL92" s="311">
        <f>IFERROR(IF(VLOOKUP($B92,Shortage!$A:$M,AL$2,FALSE)="Shortage",1,IFERROR(ROUND(Z92/N92,4),0)),IFERROR(ROUND(Z92/N92,4),0))</f>
        <v>1.0425</v>
      </c>
      <c r="AM92" s="311">
        <f>IFERROR(IF(VLOOKUP($B92,Shortage!$A:$M,AM$2,FALSE)="Shortage",1,IFERROR(ROUND(AA92/O92,4),0)),IFERROR(ROUND(AA92/O92,4),0))</f>
        <v>1.2525999999999999</v>
      </c>
      <c r="AN92" s="312">
        <f>IFERROR(_xlfn.XLOOKUP(AB92,'2) หลักการคำนวน Table'!$C$3:$K$3,'2) หลักการคำนวน Table'!$C$3:$K$3,,1),INDEX('2) หลักการคำนวน Table'!$C$3:$K$3,1))</f>
        <v>0.9</v>
      </c>
      <c r="AO92" s="312">
        <f>IFERROR(
  _xlfn.XLOOKUP(AC92,'2) หลักการคำนวน Table'!$C$3:$K$3,'2) หลักการคำนวน Table'!$C$3:$K$3,,1),
  IF(AC92&lt;MIN('2) หลักการคำนวน Table'!$C$3:$K$3),
     MIN('2) หลักการคำนวน Table'!$C$3:$K$3),
     MAX('2) หลักการคำนวน Table'!$C$3:$K$3)
  )
)</f>
        <v>0.9</v>
      </c>
      <c r="AP92" s="312">
        <f>IFERROR(
  _xlfn.XLOOKUP(AD92,'2) หลักการคำนวน Table'!$C$3:$K$3,'2) หลักการคำนวน Table'!$C$3:$K$3,,1),
  IF(AD92&lt;MIN('2) หลักการคำนวน Table'!$C$3:$K$3),
     MIN('2) หลักการคำนวน Table'!$C$3:$K$3),
     MAX('2) หลักการคำนวน Table'!$C$3:$K$3)
  )
)</f>
        <v>0.9</v>
      </c>
      <c r="AQ92" s="312">
        <f>IFERROR(
  _xlfn.XLOOKUP(AE92,'2) หลักการคำนวน Table'!$C$3:$K$3,'2) หลักการคำนวน Table'!$C$3:$K$3,,1),
  IF(AE92&lt;MIN('2) หลักการคำนวน Table'!$C$3:$K$3),
     MIN('2) หลักการคำนวน Table'!$C$3:$K$3),
     MAX('2) หลักการคำนวน Table'!$C$3:$K$3)
  )
)</f>
        <v>0.9</v>
      </c>
      <c r="AR92" s="312">
        <f>IFERROR(
  _xlfn.XLOOKUP(AF92,'2) หลักการคำนวน Table'!$C$3:$K$3,'2) หลักการคำนวน Table'!$C$3:$K$3,,1),
  IF(AF92&lt;MIN('2) หลักการคำนวน Table'!$C$3:$K$3),
     MIN('2) หลักการคำนวน Table'!$C$3:$K$3),
     MAX('2) หลักการคำนวน Table'!$C$3:$K$3)
  )
)</f>
        <v>0.9</v>
      </c>
      <c r="AS92" s="312">
        <f>IFERROR(
  _xlfn.XLOOKUP(AG92,'2) หลักการคำนวน Table'!$C$3:$K$3,'2) หลักการคำนวน Table'!$C$3:$K$3,,1),
  IF(AG92&lt;MIN('2) หลักการคำนวน Table'!$C$3:$K$3),
     MIN('2) หลักการคำนวน Table'!$C$3:$K$3),
     MAX('2) หลักการคำนวน Table'!$C$3:$K$3)
  )
)</f>
        <v>0.9</v>
      </c>
      <c r="AT92" s="312">
        <f>IFERROR(
  _xlfn.XLOOKUP(AH92,'2) หลักการคำนวน Table'!$C$3:$K$3,'2) หลักการคำนวน Table'!$C$3:$K$3,,1),
  IF(AH92&lt;MIN('2) หลักการคำนวน Table'!$C$3:$K$3),
     MIN('2) หลักการคำนวน Table'!$C$3:$K$3),
     MAX('2) หลักการคำนวน Table'!$C$3:$K$3)
  )
)</f>
        <v>0.9</v>
      </c>
      <c r="AU92" s="312">
        <f>IFERROR(
  _xlfn.XLOOKUP(AI92,'2) หลักการคำนวน Table'!$C$3:$K$3,'2) หลักการคำนวน Table'!$C$3:$K$3,,1),
  IF(AI92&lt;MIN('2) หลักการคำนวน Table'!$C$3:$K$3),
     MIN('2) หลักการคำนวน Table'!$C$3:$K$3),
     MAX('2) หลักการคำนวน Table'!$C$3:$K$3)
  )
)</f>
        <v>0.9</v>
      </c>
      <c r="AV92" s="312">
        <f>IFERROR(
  _xlfn.XLOOKUP(AJ92,'2) หลักการคำนวน Table'!$C$3:$K$3,'2) หลักการคำนวน Table'!$C$3:$K$3,,1),
  IF(AJ92&lt;MIN('2) หลักการคำนวน Table'!$C$3:$K$3),
     MIN('2) หลักการคำนวน Table'!$C$3:$K$3),
     MAX('2) หลักการคำนวน Table'!$C$3:$K$3)
  )
)</f>
        <v>0.9</v>
      </c>
      <c r="AW92" s="312">
        <f>IFERROR(
  _xlfn.XLOOKUP(AK92,'2) หลักการคำนวน Table'!$C$3:$K$3,'2) หลักการคำนวน Table'!$C$3:$K$3,,1),
  IF(AK92&lt;MIN('2) หลักการคำนวน Table'!$C$3:$K$3),
     MIN('2) หลักการคำนวน Table'!$C$3:$K$3),
     MAX('2) หลักการคำนวน Table'!$C$3:$K$3)
  )
)</f>
        <v>1.06</v>
      </c>
      <c r="AX92" s="312">
        <f>IFERROR(
  _xlfn.XLOOKUP(AL92,'2) หลักการคำนวน Table'!$C$3:$K$3,'2) หลักการคำนวน Table'!$C$3:$K$3,,1),
  IF(AL92&lt;MIN('2) หลักการคำนวน Table'!$C$3:$K$3),
     MIN('2) หลักการคำนวน Table'!$C$3:$K$3),
     MAX('2) หลักการคำนวน Table'!$C$3:$K$3)
  )
)</f>
        <v>1.06</v>
      </c>
      <c r="AY92" s="312">
        <f>IFERROR(
  _xlfn.XLOOKUP(AM92,'2) หลักการคำนวน Table'!$C$3:$K$3,'2) หลักการคำนวน Table'!$C$3:$K$3,,1),
  IF(AM92&lt;MIN('2) หลักการคำนวน Table'!$C$3:$K$3),
     MIN('2) หลักการคำนวน Table'!$C$3:$K$3),
     MAX('2) หลักการคำนวน Table'!$C$3:$K$3)
  )
)</f>
        <v>20</v>
      </c>
      <c r="AZ92" s="279" t="e" cm="1">
        <f t="array" ref="AZ92">ROUND((_xlfn.XLOOKUP($C92,'2) หลักการคำนวน Table'!$A$4:$A$36,
_xlfn.XLOOKUP(AN92,'2)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A92" s="279" t="e" cm="1">
        <f t="array" ref="BA92">ROUND((_xlfn.XLOOKUP($C92,'2) หลักการคำนวน Table'!$A$4:$A$36,
_xlfn.XLOOKUP(AO92,'2)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B92" s="279" t="e" cm="1">
        <f t="array" ref="BB92">ROUND((_xlfn.XLOOKUP($C92,'2) หลักการคำนวน Table'!$A$4:$A$36,
_xlfn.XLOOKUP(AP92,'2)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C92" s="279" t="e" cm="1">
        <f t="array" ref="BC92">ROUND((_xlfn.XLOOKUP($C92,'2) หลักการคำนวน Table'!$A$4:$A$36,
_xlfn.XLOOKUP(AQ92,'2)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D92" s="279" t="e" cm="1">
        <f t="array" ref="BD92">ROUND((_xlfn.XLOOKUP($C92,'2) หลักการคำนวน Table'!$A$4:$A$36,
_xlfn.XLOOKUP(AR92,'2)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E92" s="279" t="e" cm="1">
        <f t="array" ref="BE92">ROUND((_xlfn.XLOOKUP($C92,'2) หลักการคำนวน Table'!$A$4:$A$36,
_xlfn.XLOOKUP(AS92,'2)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F92" s="279" t="e" cm="1">
        <f t="array" ref="BF92">ROUND((_xlfn.XLOOKUP($C92,'2) หลักการคำนวน Table'!$A$4:$A$36,
_xlfn.XLOOKUP(AT92,'2)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G92" s="279" t="e" cm="1">
        <f t="array" ref="BG92">ROUND((_xlfn.XLOOKUP($C92,'2) หลักการคำนวน Table'!$A$4:$A$36,
_xlfn.XLOOKUP(AU92,'2)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H92" s="279" t="e" cm="1">
        <f t="array" ref="BH92">ROUND((_xlfn.XLOOKUP($C92,'2) หลักการคำนวน Table'!$A$4:$A$36,
_xlfn.XLOOKUP(AV92,'2)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I92" s="279" t="e" cm="1">
        <f t="array" ref="BI92">ROUND((_xlfn.XLOOKUP($C92,'2) หลักการคำนวน Table'!$A$4:$A$36,
_xlfn.XLOOKUP(AW92,'2)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J92" s="279" t="e" cm="1">
        <f t="array" ref="BJ92">ROUND((_xlfn.XLOOKUP($C92,'2) หลักการคำนวน Table'!$A$4:$A$36,
_xlfn.XLOOKUP(AX92,'2)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K92" s="279" t="e" cm="1">
        <f t="array" ref="BK92">ROUND((_xlfn.XLOOKUP($C92,'2) หลักการคำนวน Table'!$A$4:$A$36,
_xlfn.XLOOKUP(AY92,'2) หลักการคำนวน Table'!$C$3:$K$3,'2) หลักการคำนวน Table'!$C$4:$K$36,,-1)))*(_xlfn.XLOOKUP($C92,'2) หลักการคำนวน Table'!$A$4:$A$36, _xlfn.XLOOKUP($B92,'2) หลักการคำนวน Table'!$L$3:$Z$3,'2) หลักการคำนวน Table'!$L$4:$Z$36))),0)</f>
        <v>#N/A</v>
      </c>
      <c r="BM92" s="278">
        <v>222220</v>
      </c>
      <c r="BN92" s="292">
        <v>202</v>
      </c>
    </row>
    <row r="93" spans="1:66" s="278" customFormat="1" ht="14.7" customHeight="1" x14ac:dyDescent="0.4">
      <c r="A93" s="278" t="e">
        <f>VLOOKUP(C93,ASTBase!E:S,13,FALSE)</f>
        <v>#N/A</v>
      </c>
      <c r="B93" s="278" t="s">
        <v>409</v>
      </c>
      <c r="C93" s="278">
        <v>5490000725</v>
      </c>
      <c r="D93" s="310">
        <v>230.53959644247934</v>
      </c>
      <c r="E93" s="310">
        <v>176.8141843789254</v>
      </c>
      <c r="F93" s="310">
        <v>158.87898834939017</v>
      </c>
      <c r="G93" s="310">
        <v>140.97315255438093</v>
      </c>
      <c r="H93" s="310">
        <v>172.89396955385965</v>
      </c>
      <c r="I93" s="310">
        <v>290.54683784036996</v>
      </c>
      <c r="J93" s="310">
        <v>140.96637711564418</v>
      </c>
      <c r="K93" s="310">
        <v>122.2643025658956</v>
      </c>
      <c r="L93" s="310">
        <v>181.473046729468</v>
      </c>
      <c r="M93" s="310">
        <v>534.51408609362954</v>
      </c>
      <c r="N93" s="310">
        <v>183.8233688408443</v>
      </c>
      <c r="O93" s="310">
        <v>166.31208953511316</v>
      </c>
      <c r="P93" s="1">
        <v>175.10400000000001</v>
      </c>
      <c r="Q93" s="278">
        <f>SUMIFS(Actual!F:F,Actual!$A:$A,'3)Target &amp; Cal_Staff'!$C93,Actual!$D:$D,'3)Target &amp; Cal_Staff'!$B93)</f>
        <v>0</v>
      </c>
      <c r="R93" s="278">
        <f>SUMIFS(Actual!G:G,Actual!$A:$A,'3)Target &amp; Cal_Staff'!$C93,Actual!$D:$D,'3)Target &amp; Cal_Staff'!$B93)</f>
        <v>0</v>
      </c>
      <c r="S93" s="278">
        <f>SUMIFS(Actual!H:H,Actual!$A:$A,'3)Target &amp; Cal_Staff'!$C93,Actual!$D:$D,'3)Target &amp; Cal_Staff'!$B93)</f>
        <v>0</v>
      </c>
      <c r="T93" s="278">
        <f>SUMIFS(Actual!I:I,Actual!$A:$A,'3)Target &amp; Cal_Staff'!$C93,Actual!$D:$D,'3)Target &amp; Cal_Staff'!$B93)</f>
        <v>0</v>
      </c>
      <c r="U93" s="278">
        <f>SUMIFS(Actual!J:J,Actual!$A:$A,'3)Target &amp; Cal_Staff'!$C93,Actual!$D:$D,'3)Target &amp; Cal_Staff'!$B93)</f>
        <v>0</v>
      </c>
      <c r="V93" s="278">
        <f>SUMIFS(Actual!K:K,Actual!$A:$A,'3)Target &amp; Cal_Staff'!$C93,Actual!$D:$D,'3)Target &amp; Cal_Staff'!$B93)</f>
        <v>0</v>
      </c>
      <c r="W93" s="278">
        <f>SUMIFS(Actual!L:L,Actual!$A:$A,'3)Target &amp; Cal_Staff'!$C93,Actual!$D:$D,'3)Target &amp; Cal_Staff'!$B93)</f>
        <v>0</v>
      </c>
      <c r="X93" s="278">
        <f>SUMIFS(Actual!M:M,Actual!$A:$A,'3)Target &amp; Cal_Staff'!$C93,Actual!$D:$D,'3)Target &amp; Cal_Staff'!$B93)</f>
        <v>0</v>
      </c>
      <c r="Y93" s="278">
        <f>SUMIFS(Actual!N:N,Actual!$A:$A,'3)Target &amp; Cal_Staff'!$C93,Actual!$D:$D,'3)Target &amp; Cal_Staff'!$B93)</f>
        <v>702.71999999999991</v>
      </c>
      <c r="Z93" s="278">
        <f>SUMIFS(Actual!O:O,Actual!$A:$A,'3)Target &amp; Cal_Staff'!$C93,Actual!$D:$D,'3)Target &amp; Cal_Staff'!$B93)</f>
        <v>178.56</v>
      </c>
      <c r="AA93" s="278">
        <f>SUMIFS(Actual!P:P,Actual!$A:$A,'3)Target &amp; Cal_Staff'!$C93,Actual!$D:$D,'3)Target &amp; Cal_Staff'!$B93)</f>
        <v>126.72</v>
      </c>
      <c r="AB93" s="311"/>
      <c r="AC93" s="311"/>
      <c r="AD93" s="311"/>
      <c r="AE93" s="311"/>
      <c r="AF93" s="311"/>
      <c r="AG93" s="311"/>
      <c r="AH93" s="311"/>
      <c r="AI93" s="311"/>
      <c r="AJ93" s="311">
        <f>IFERROR(IF(VLOOKUP($B93,Shortage!$A:$M,AJ$2,FALSE)="Shortage",1,IFERROR(ROUND(X93/L93,4),0)),IFERROR(ROUND(X93/L93,4),0))</f>
        <v>0</v>
      </c>
      <c r="AK93" s="311">
        <f>IFERROR(IF(VLOOKUP($B93,Shortage!$A:$M,AK$2,FALSE)="Shortage",1,IFERROR(ROUND(Y93/M93,4),0)),IFERROR(ROUND(Y93/M93,4),0))</f>
        <v>1.3147</v>
      </c>
      <c r="AL93" s="311">
        <f>IFERROR(IF(VLOOKUP($B93,Shortage!$A:$M,AL$2,FALSE)="Shortage",1,IFERROR(ROUND(Z93/N93,4),0)),IFERROR(ROUND(Z93/N93,4),0))</f>
        <v>0.97140000000000004</v>
      </c>
      <c r="AM93" s="311">
        <f>IFERROR(IF(VLOOKUP($B93,Shortage!$A:$M,AM$2,FALSE)="Shortage",1,IFERROR(ROUND(AA93/O93,4),0)),IFERROR(ROUND(AA93/O93,4),0))</f>
        <v>0.76190000000000002</v>
      </c>
      <c r="AN93" s="312">
        <f>IFERROR(_xlfn.XLOOKUP(AB93,'2) หลักการคำนวน Table'!$C$3:$K$3,'2) หลักการคำนวน Table'!$C$3:$K$3,,1),INDEX('2) หลักการคำนวน Table'!$C$3:$K$3,1))</f>
        <v>0.9</v>
      </c>
      <c r="AO93" s="312">
        <f>IFERROR(
  _xlfn.XLOOKUP(AC93,'2) หลักการคำนวน Table'!$C$3:$K$3,'2) หลักการคำนวน Table'!$C$3:$K$3,,1),
  IF(AC93&lt;MIN('2) หลักการคำนวน Table'!$C$3:$K$3),
     MIN('2) หลักการคำนวน Table'!$C$3:$K$3),
     MAX('2) หลักการคำนวน Table'!$C$3:$K$3)
  )
)</f>
        <v>0.9</v>
      </c>
      <c r="AP93" s="312">
        <f>IFERROR(
  _xlfn.XLOOKUP(AD93,'2) หลักการคำนวน Table'!$C$3:$K$3,'2) หลักการคำนวน Table'!$C$3:$K$3,,1),
  IF(AD93&lt;MIN('2) หลักการคำนวน Table'!$C$3:$K$3),
     MIN('2) หลักการคำนวน Table'!$C$3:$K$3),
     MAX('2) หลักการคำนวน Table'!$C$3:$K$3)
  )
)</f>
        <v>0.9</v>
      </c>
      <c r="AQ93" s="312">
        <f>IFERROR(
  _xlfn.XLOOKUP(AE93,'2) หลักการคำนวน Table'!$C$3:$K$3,'2) หลักการคำนวน Table'!$C$3:$K$3,,1),
  IF(AE93&lt;MIN('2) หลักการคำนวน Table'!$C$3:$K$3),
     MIN('2) หลักการคำนวน Table'!$C$3:$K$3),
     MAX('2) หลักการคำนวน Table'!$C$3:$K$3)
  )
)</f>
        <v>0.9</v>
      </c>
      <c r="AR93" s="312">
        <f>IFERROR(
  _xlfn.XLOOKUP(AF93,'2) หลักการคำนวน Table'!$C$3:$K$3,'2) หลักการคำนวน Table'!$C$3:$K$3,,1),
  IF(AF93&lt;MIN('2) หลักการคำนวน Table'!$C$3:$K$3),
     MIN('2) หลักการคำนวน Table'!$C$3:$K$3),
     MAX('2) หลักการคำนวน Table'!$C$3:$K$3)
  )
)</f>
        <v>0.9</v>
      </c>
      <c r="AS93" s="312">
        <f>IFERROR(
  _xlfn.XLOOKUP(AG93,'2) หลักการคำนวน Table'!$C$3:$K$3,'2) หลักการคำนวน Table'!$C$3:$K$3,,1),
  IF(AG93&lt;MIN('2) หลักการคำนวน Table'!$C$3:$K$3),
     MIN('2) หลักการคำนวน Table'!$C$3:$K$3),
     MAX('2) หลักการคำนวน Table'!$C$3:$K$3)
  )
)</f>
        <v>0.9</v>
      </c>
      <c r="AT93" s="312">
        <f>IFERROR(
  _xlfn.XLOOKUP(AH93,'2) หลักการคำนวน Table'!$C$3:$K$3,'2) หลักการคำนวน Table'!$C$3:$K$3,,1),
  IF(AH93&lt;MIN('2) หลักการคำนวน Table'!$C$3:$K$3),
     MIN('2) หลักการคำนวน Table'!$C$3:$K$3),
     MAX('2) หลักการคำนวน Table'!$C$3:$K$3)
  )
)</f>
        <v>0.9</v>
      </c>
      <c r="AU93" s="312">
        <f>IFERROR(
  _xlfn.XLOOKUP(AI93,'2) หลักการคำนวน Table'!$C$3:$K$3,'2) หลักการคำนวน Table'!$C$3:$K$3,,1),
  IF(AI93&lt;MIN('2) หลักการคำนวน Table'!$C$3:$K$3),
     MIN('2) หลักการคำนวน Table'!$C$3:$K$3),
     MAX('2) หลักการคำนวน Table'!$C$3:$K$3)
  )
)</f>
        <v>0.9</v>
      </c>
      <c r="AV93" s="312">
        <f>IFERROR(
  _xlfn.XLOOKUP(AJ93,'2) หลักการคำนวน Table'!$C$3:$K$3,'2) หลักการคำนวน Table'!$C$3:$K$3,,1),
  IF(AJ93&lt;MIN('2) หลักการคำนวน Table'!$C$3:$K$3),
     MIN('2) หลักการคำนวน Table'!$C$3:$K$3),
     MAX('2) หลักการคำนวน Table'!$C$3:$K$3)
  )
)</f>
        <v>0.9</v>
      </c>
      <c r="AW93" s="312">
        <f>IFERROR(
  _xlfn.XLOOKUP(AK93,'2) หลักการคำนวน Table'!$C$3:$K$3,'2) หลักการคำนวน Table'!$C$3:$K$3,,1),
  IF(AK93&lt;MIN('2) หลักการคำนวน Table'!$C$3:$K$3),
     MIN('2) หลักการคำนวน Table'!$C$3:$K$3),
     MAX('2) หลักการคำนวน Table'!$C$3:$K$3)
  )
)</f>
        <v>20</v>
      </c>
      <c r="AX93" s="312">
        <f>IFERROR(
  _xlfn.XLOOKUP(AL93,'2) หลักการคำนวน Table'!$C$3:$K$3,'2) หลักการคำนวน Table'!$C$3:$K$3,,1),
  IF(AL93&lt;MIN('2) หลักการคำนวน Table'!$C$3:$K$3),
     MIN('2) หลักการคำนวน Table'!$C$3:$K$3),
     MAX('2) หลักการคำนวน Table'!$C$3:$K$3)
  )
)</f>
        <v>1</v>
      </c>
      <c r="AY93" s="312">
        <f>IFERROR(
  _xlfn.XLOOKUP(AM93,'2) หลักการคำนวน Table'!$C$3:$K$3,'2) หลักการคำนวน Table'!$C$3:$K$3,,1),
  IF(AM93&lt;MIN('2) หลักการคำนวน Table'!$C$3:$K$3),
     MIN('2) หลักการคำนวน Table'!$C$3:$K$3),
     MAX('2) หลักการคำนวน Table'!$C$3:$K$3)
  )
)</f>
        <v>0.9</v>
      </c>
      <c r="AZ93" s="279" t="e" cm="1">
        <f t="array" ref="AZ93">ROUND((_xlfn.XLOOKUP($C93,'2) หลักการคำนวน Table'!$A$4:$A$36,
_xlfn.XLOOKUP(AN93,'2)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A93" s="279" t="e" cm="1">
        <f t="array" ref="BA93">ROUND((_xlfn.XLOOKUP($C93,'2) หลักการคำนวน Table'!$A$4:$A$36,
_xlfn.XLOOKUP(AO93,'2)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B93" s="279" t="e" cm="1">
        <f t="array" ref="BB93">ROUND((_xlfn.XLOOKUP($C93,'2) หลักการคำนวน Table'!$A$4:$A$36,
_xlfn.XLOOKUP(AP93,'2)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C93" s="279" t="e" cm="1">
        <f t="array" ref="BC93">ROUND((_xlfn.XLOOKUP($C93,'2) หลักการคำนวน Table'!$A$4:$A$36,
_xlfn.XLOOKUP(AQ93,'2)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D93" s="279" t="e" cm="1">
        <f t="array" ref="BD93">ROUND((_xlfn.XLOOKUP($C93,'2) หลักการคำนวน Table'!$A$4:$A$36,
_xlfn.XLOOKUP(AR93,'2)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E93" s="279" t="e" cm="1">
        <f t="array" ref="BE93">ROUND((_xlfn.XLOOKUP($C93,'2) หลักการคำนวน Table'!$A$4:$A$36,
_xlfn.XLOOKUP(AS93,'2)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F93" s="279" t="e" cm="1">
        <f t="array" ref="BF93">ROUND((_xlfn.XLOOKUP($C93,'2) หลักการคำนวน Table'!$A$4:$A$36,
_xlfn.XLOOKUP(AT93,'2)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G93" s="279" t="e" cm="1">
        <f t="array" ref="BG93">ROUND((_xlfn.XLOOKUP($C93,'2) หลักการคำนวน Table'!$A$4:$A$36,
_xlfn.XLOOKUP(AU93,'2)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H93" s="279" t="e" cm="1">
        <f t="array" ref="BH93">ROUND((_xlfn.XLOOKUP($C93,'2) หลักการคำนวน Table'!$A$4:$A$36,
_xlfn.XLOOKUP(AV93,'2)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I93" s="279" t="e" cm="1">
        <f t="array" ref="BI93">ROUND((_xlfn.XLOOKUP($C93,'2) หลักการคำนวน Table'!$A$4:$A$36,
_xlfn.XLOOKUP(AW93,'2)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J93" s="279" t="e" cm="1">
        <f t="array" ref="BJ93">ROUND((_xlfn.XLOOKUP($C93,'2) หลักการคำนวน Table'!$A$4:$A$36,
_xlfn.XLOOKUP(AX93,'2)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K93" s="279" t="e" cm="1">
        <f t="array" ref="BK93">ROUND((_xlfn.XLOOKUP($C93,'2) หลักการคำนวน Table'!$A$4:$A$36,
_xlfn.XLOOKUP(AY93,'2) หลักการคำนวน Table'!$C$3:$K$3,'2) หลักการคำนวน Table'!$C$4:$K$36,,-1)))*(_xlfn.XLOOKUP($C93,'2) หลักการคำนวน Table'!$A$4:$A$36, _xlfn.XLOOKUP($B93,'2) หลักการคำนวน Table'!$L$3:$Z$3,'2) หลักการคำนวน Table'!$L$4:$Z$36))),0)</f>
        <v>#N/A</v>
      </c>
      <c r="BM93" s="278">
        <v>222220</v>
      </c>
      <c r="BN93" s="292">
        <v>404</v>
      </c>
    </row>
    <row r="94" spans="1:66" s="278" customFormat="1" ht="14.7" customHeight="1" x14ac:dyDescent="0.4">
      <c r="A94" s="278" t="e">
        <f>VLOOKUP(C94,ASTBase!E:S,13,FALSE)</f>
        <v>#N/A</v>
      </c>
      <c r="B94" s="278" t="s">
        <v>410</v>
      </c>
      <c r="C94" s="278">
        <v>5490000725</v>
      </c>
      <c r="D94" s="310">
        <v>140.46213572402178</v>
      </c>
      <c r="E94" s="310">
        <v>515.74819278117945</v>
      </c>
      <c r="F94" s="310">
        <v>126.89181126577562</v>
      </c>
      <c r="G94" s="310">
        <v>83.189690249474069</v>
      </c>
      <c r="H94" s="310">
        <v>143.05877919668148</v>
      </c>
      <c r="I94" s="310">
        <v>183.68067098489337</v>
      </c>
      <c r="J94" s="310">
        <v>94.494245699302056</v>
      </c>
      <c r="K94" s="310">
        <v>84.348026635547882</v>
      </c>
      <c r="L94" s="310">
        <v>125.79970492479582</v>
      </c>
      <c r="M94" s="310">
        <v>59.370176910412951</v>
      </c>
      <c r="N94" s="310">
        <v>131.55957200283399</v>
      </c>
      <c r="O94" s="310">
        <v>111.39699362508146</v>
      </c>
      <c r="P94" s="1">
        <v>154.80000000000001</v>
      </c>
      <c r="Q94" s="278">
        <f>SUMIFS(Actual!F:F,Actual!$A:$A,'3)Target &amp; Cal_Staff'!$C94,Actual!$D:$D,'3)Target &amp; Cal_Staff'!$B94)</f>
        <v>0</v>
      </c>
      <c r="R94" s="278">
        <f>SUMIFS(Actual!G:G,Actual!$A:$A,'3)Target &amp; Cal_Staff'!$C94,Actual!$D:$D,'3)Target &amp; Cal_Staff'!$B94)</f>
        <v>0</v>
      </c>
      <c r="S94" s="278">
        <f>SUMIFS(Actual!H:H,Actual!$A:$A,'3)Target &amp; Cal_Staff'!$C94,Actual!$D:$D,'3)Target &amp; Cal_Staff'!$B94)</f>
        <v>0</v>
      </c>
      <c r="T94" s="278">
        <f>SUMIFS(Actual!I:I,Actual!$A:$A,'3)Target &amp; Cal_Staff'!$C94,Actual!$D:$D,'3)Target &amp; Cal_Staff'!$B94)</f>
        <v>0</v>
      </c>
      <c r="U94" s="278">
        <f>SUMIFS(Actual!J:J,Actual!$A:$A,'3)Target &amp; Cal_Staff'!$C94,Actual!$D:$D,'3)Target &amp; Cal_Staff'!$B94)</f>
        <v>0</v>
      </c>
      <c r="V94" s="278">
        <f>SUMIFS(Actual!K:K,Actual!$A:$A,'3)Target &amp; Cal_Staff'!$C94,Actual!$D:$D,'3)Target &amp; Cal_Staff'!$B94)</f>
        <v>0</v>
      </c>
      <c r="W94" s="278">
        <f>SUMIFS(Actual!L:L,Actual!$A:$A,'3)Target &amp; Cal_Staff'!$C94,Actual!$D:$D,'3)Target &amp; Cal_Staff'!$B94)</f>
        <v>0</v>
      </c>
      <c r="X94" s="278">
        <f>SUMIFS(Actual!M:M,Actual!$A:$A,'3)Target &amp; Cal_Staff'!$C94,Actual!$D:$D,'3)Target &amp; Cal_Staff'!$B94)</f>
        <v>0</v>
      </c>
      <c r="Y94" s="278">
        <f>SUMIFS(Actual!N:N,Actual!$A:$A,'3)Target &amp; Cal_Staff'!$C94,Actual!$D:$D,'3)Target &amp; Cal_Staff'!$B94)</f>
        <v>62</v>
      </c>
      <c r="Z94" s="278">
        <f>SUMIFS(Actual!O:O,Actual!$A:$A,'3)Target &amp; Cal_Staff'!$C94,Actual!$D:$D,'3)Target &amp; Cal_Staff'!$B94)</f>
        <v>128.19999999999999</v>
      </c>
      <c r="AA94" s="278">
        <f>SUMIFS(Actual!P:P,Actual!$A:$A,'3)Target &amp; Cal_Staff'!$C94,Actual!$D:$D,'3)Target &amp; Cal_Staff'!$B94)</f>
        <v>64.8</v>
      </c>
      <c r="AB94" s="311"/>
      <c r="AC94" s="311"/>
      <c r="AD94" s="311"/>
      <c r="AE94" s="311"/>
      <c r="AF94" s="311"/>
      <c r="AG94" s="311"/>
      <c r="AH94" s="311"/>
      <c r="AI94" s="311"/>
      <c r="AJ94" s="311">
        <f>IFERROR(IF(VLOOKUP($B94,Shortage!$A:$M,AJ$2,FALSE)="Shortage",1,IFERROR(ROUND(X94/L94,4),0)),IFERROR(ROUND(X94/L94,4),0))</f>
        <v>0</v>
      </c>
      <c r="AK94" s="311">
        <f>IFERROR(IF(VLOOKUP($B94,Shortage!$A:$M,AK$2,FALSE)="Shortage",1,IFERROR(ROUND(Y94/M94,4),0)),IFERROR(ROUND(Y94/M94,4),0))</f>
        <v>1.0443</v>
      </c>
      <c r="AL94" s="311">
        <f>IFERROR(IF(VLOOKUP($B94,Shortage!$A:$M,AL$2,FALSE)="Shortage",1,IFERROR(ROUND(Z94/N94,4),0)),IFERROR(ROUND(Z94/N94,4),0))</f>
        <v>0.97450000000000003</v>
      </c>
      <c r="AM94" s="311">
        <f>IFERROR(IF(VLOOKUP($B94,Shortage!$A:$M,AM$2,FALSE)="Shortage",1,IFERROR(ROUND(AA94/O94,4),0)),IFERROR(ROUND(AA94/O94,4),0))</f>
        <v>0.58169999999999999</v>
      </c>
      <c r="AN94" s="312">
        <f>IFERROR(_xlfn.XLOOKUP(AB94,'2) หลักการคำนวน Table'!$C$3:$K$3,'2) หลักการคำนวน Table'!$C$3:$K$3,,1),INDEX('2) หลักการคำนวน Table'!$C$3:$K$3,1))</f>
        <v>0.9</v>
      </c>
      <c r="AO94" s="312">
        <f>IFERROR(
  _xlfn.XLOOKUP(AC94,'2) หลักการคำนวน Table'!$C$3:$K$3,'2) หลักการคำนวน Table'!$C$3:$K$3,,1),
  IF(AC94&lt;MIN('2) หลักการคำนวน Table'!$C$3:$K$3),
     MIN('2) หลักการคำนวน Table'!$C$3:$K$3),
     MAX('2) หลักการคำนวน Table'!$C$3:$K$3)
  )
)</f>
        <v>0.9</v>
      </c>
      <c r="AP94" s="312">
        <f>IFERROR(
  _xlfn.XLOOKUP(AD94,'2) หลักการคำนวน Table'!$C$3:$K$3,'2) หลักการคำนวน Table'!$C$3:$K$3,,1),
  IF(AD94&lt;MIN('2) หลักการคำนวน Table'!$C$3:$K$3),
     MIN('2) หลักการคำนวน Table'!$C$3:$K$3),
     MAX('2) หลักการคำนวน Table'!$C$3:$K$3)
  )
)</f>
        <v>0.9</v>
      </c>
      <c r="AQ94" s="312">
        <f>IFERROR(
  _xlfn.XLOOKUP(AE94,'2) หลักการคำนวน Table'!$C$3:$K$3,'2) หลักการคำนวน Table'!$C$3:$K$3,,1),
  IF(AE94&lt;MIN('2) หลักการคำนวน Table'!$C$3:$K$3),
     MIN('2) หลักการคำนวน Table'!$C$3:$K$3),
     MAX('2) หลักการคำนวน Table'!$C$3:$K$3)
  )
)</f>
        <v>0.9</v>
      </c>
      <c r="AR94" s="312">
        <f>IFERROR(
  _xlfn.XLOOKUP(AF94,'2) หลักการคำนวน Table'!$C$3:$K$3,'2) หลักการคำนวน Table'!$C$3:$K$3,,1),
  IF(AF94&lt;MIN('2) หลักการคำนวน Table'!$C$3:$K$3),
     MIN('2) หลักการคำนวน Table'!$C$3:$K$3),
     MAX('2) หลักการคำนวน Table'!$C$3:$K$3)
  )
)</f>
        <v>0.9</v>
      </c>
      <c r="AS94" s="312">
        <f>IFERROR(
  _xlfn.XLOOKUP(AG94,'2) หลักการคำนวน Table'!$C$3:$K$3,'2) หลักการคำนวน Table'!$C$3:$K$3,,1),
  IF(AG94&lt;MIN('2) หลักการคำนวน Table'!$C$3:$K$3),
     MIN('2) หลักการคำนวน Table'!$C$3:$K$3),
     MAX('2) หลักการคำนวน Table'!$C$3:$K$3)
  )
)</f>
        <v>0.9</v>
      </c>
      <c r="AT94" s="312">
        <f>IFERROR(
  _xlfn.XLOOKUP(AH94,'2) หลักการคำนวน Table'!$C$3:$K$3,'2) หลักการคำนวน Table'!$C$3:$K$3,,1),
  IF(AH94&lt;MIN('2) หลักการคำนวน Table'!$C$3:$K$3),
     MIN('2) หลักการคำนวน Table'!$C$3:$K$3),
     MAX('2) หลักการคำนวน Table'!$C$3:$K$3)
  )
)</f>
        <v>0.9</v>
      </c>
      <c r="AU94" s="312">
        <f>IFERROR(
  _xlfn.XLOOKUP(AI94,'2) หลักการคำนวน Table'!$C$3:$K$3,'2) หลักการคำนวน Table'!$C$3:$K$3,,1),
  IF(AI94&lt;MIN('2) หลักการคำนวน Table'!$C$3:$K$3),
     MIN('2) หลักการคำนวน Table'!$C$3:$K$3),
     MAX('2) หลักการคำนวน Table'!$C$3:$K$3)
  )
)</f>
        <v>0.9</v>
      </c>
      <c r="AV94" s="312">
        <f>IFERROR(
  _xlfn.XLOOKUP(AJ94,'2) หลักการคำนวน Table'!$C$3:$K$3,'2) หลักการคำนวน Table'!$C$3:$K$3,,1),
  IF(AJ94&lt;MIN('2) หลักการคำนวน Table'!$C$3:$K$3),
     MIN('2) หลักการคำนวน Table'!$C$3:$K$3),
     MAX('2) หลักการคำนวน Table'!$C$3:$K$3)
  )
)</f>
        <v>0.9</v>
      </c>
      <c r="AW94" s="312">
        <f>IFERROR(
  _xlfn.XLOOKUP(AK94,'2) หลักการคำนวน Table'!$C$3:$K$3,'2) หลักการคำนวน Table'!$C$3:$K$3,,1),
  IF(AK94&lt;MIN('2) หลักการคำนวน Table'!$C$3:$K$3),
     MIN('2) หลักการคำนวน Table'!$C$3:$K$3),
     MAX('2) หลักการคำนวน Table'!$C$3:$K$3)
  )
)</f>
        <v>1.06</v>
      </c>
      <c r="AX94" s="312">
        <f>IFERROR(
  _xlfn.XLOOKUP(AL94,'2) หลักการคำนวน Table'!$C$3:$K$3,'2) หลักการคำนวน Table'!$C$3:$K$3,,1),
  IF(AL94&lt;MIN('2) หลักการคำนวน Table'!$C$3:$K$3),
     MIN('2) หลักการคำนวน Table'!$C$3:$K$3),
     MAX('2) หลักการคำนวน Table'!$C$3:$K$3)
  )
)</f>
        <v>1</v>
      </c>
      <c r="AY94" s="312">
        <f>IFERROR(
  _xlfn.XLOOKUP(AM94,'2) หลักการคำนวน Table'!$C$3:$K$3,'2) หลักการคำนวน Table'!$C$3:$K$3,,1),
  IF(AM94&lt;MIN('2) หลักการคำนวน Table'!$C$3:$K$3),
     MIN('2) หลักการคำนวน Table'!$C$3:$K$3),
     MAX('2) หลักการคำนวน Table'!$C$3:$K$3)
  )
)</f>
        <v>0.9</v>
      </c>
      <c r="AZ94" s="279" t="e" cm="1">
        <f t="array" ref="AZ94">ROUND((_xlfn.XLOOKUP($C94,'2) หลักการคำนวน Table'!$A$4:$A$36,
_xlfn.XLOOKUP(AN94,'2)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A94" s="279" t="e" cm="1">
        <f t="array" ref="BA94">ROUND((_xlfn.XLOOKUP($C94,'2) หลักการคำนวน Table'!$A$4:$A$36,
_xlfn.XLOOKUP(AO94,'2)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B94" s="279" t="e" cm="1">
        <f t="array" ref="BB94">ROUND((_xlfn.XLOOKUP($C94,'2) หลักการคำนวน Table'!$A$4:$A$36,
_xlfn.XLOOKUP(AP94,'2)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C94" s="279" t="e" cm="1">
        <f t="array" ref="BC94">ROUND((_xlfn.XLOOKUP($C94,'2) หลักการคำนวน Table'!$A$4:$A$36,
_xlfn.XLOOKUP(AQ94,'2)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D94" s="279" t="e" cm="1">
        <f t="array" ref="BD94">ROUND((_xlfn.XLOOKUP($C94,'2) หลักการคำนวน Table'!$A$4:$A$36,
_xlfn.XLOOKUP(AR94,'2)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E94" s="279" t="e" cm="1">
        <f t="array" ref="BE94">ROUND((_xlfn.XLOOKUP($C94,'2) หลักการคำนวน Table'!$A$4:$A$36,
_xlfn.XLOOKUP(AS94,'2)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F94" s="279" t="e" cm="1">
        <f t="array" ref="BF94">ROUND((_xlfn.XLOOKUP($C94,'2) หลักการคำนวน Table'!$A$4:$A$36,
_xlfn.XLOOKUP(AT94,'2)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G94" s="279" t="e" cm="1">
        <f t="array" ref="BG94">ROUND((_xlfn.XLOOKUP($C94,'2) หลักการคำนวน Table'!$A$4:$A$36,
_xlfn.XLOOKUP(AU94,'2)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H94" s="279" t="e" cm="1">
        <f t="array" ref="BH94">ROUND((_xlfn.XLOOKUP($C94,'2) หลักการคำนวน Table'!$A$4:$A$36,
_xlfn.XLOOKUP(AV94,'2)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I94" s="279" t="e" cm="1">
        <f t="array" ref="BI94">ROUND((_xlfn.XLOOKUP($C94,'2) หลักการคำนวน Table'!$A$4:$A$36,
_xlfn.XLOOKUP(AW94,'2)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J94" s="279" t="e" cm="1">
        <f t="array" ref="BJ94">ROUND((_xlfn.XLOOKUP($C94,'2) หลักการคำนวน Table'!$A$4:$A$36,
_xlfn.XLOOKUP(AX94,'2)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K94" s="279" t="e" cm="1">
        <f t="array" ref="BK94">ROUND((_xlfn.XLOOKUP($C94,'2) หลักการคำนวน Table'!$A$4:$A$36,
_xlfn.XLOOKUP(AY94,'2) หลักการคำนวน Table'!$C$3:$K$3,'2) หลักการคำนวน Table'!$C$4:$K$36,,-1)))*(_xlfn.XLOOKUP($C94,'2) หลักการคำนวน Table'!$A$4:$A$36, _xlfn.XLOOKUP($B94,'2) หลักการคำนวน Table'!$L$3:$Z$3,'2) หลักการคำนวน Table'!$L$4:$Z$36))),0)</f>
        <v>#N/A</v>
      </c>
      <c r="BM94" s="278">
        <v>222220</v>
      </c>
      <c r="BN94" s="292">
        <v>404</v>
      </c>
    </row>
    <row r="95" spans="1:66" s="278" customFormat="1" ht="14.7" customHeight="1" x14ac:dyDescent="0.4">
      <c r="A95" s="278" t="e">
        <f>VLOOKUP(C95,ASTBase!E:S,13,FALSE)</f>
        <v>#N/A</v>
      </c>
      <c r="B95" s="278" t="s">
        <v>415</v>
      </c>
      <c r="C95" s="278">
        <v>5490000725</v>
      </c>
      <c r="D95" s="310">
        <v>131.77874186550974</v>
      </c>
      <c r="E95" s="310">
        <v>200.10845986984819</v>
      </c>
      <c r="F95" s="310">
        <v>117.13665943600867</v>
      </c>
      <c r="G95" s="310">
        <v>165.94360086767895</v>
      </c>
      <c r="H95" s="310">
        <v>185.46637744034706</v>
      </c>
      <c r="I95" s="310">
        <v>117.13665943600867</v>
      </c>
      <c r="J95" s="310">
        <v>126.89804772234275</v>
      </c>
      <c r="K95" s="310">
        <v>165.94360086767895</v>
      </c>
      <c r="L95" s="310">
        <v>141.54013015184381</v>
      </c>
      <c r="M95" s="310">
        <v>68.329718004338389</v>
      </c>
      <c r="N95" s="310">
        <v>39.045553145336221</v>
      </c>
      <c r="O95" s="310">
        <v>40.672451193058578</v>
      </c>
      <c r="P95" s="1">
        <v>28.799999999999997</v>
      </c>
      <c r="Q95" s="278">
        <f>SUMIFS(Actual!F:F,Actual!$A:$A,'3)Target &amp; Cal_Staff'!$C95,Actual!$D:$D,'3)Target &amp; Cal_Staff'!$B95)</f>
        <v>0</v>
      </c>
      <c r="R95" s="278">
        <f>SUMIFS(Actual!G:G,Actual!$A:$A,'3)Target &amp; Cal_Staff'!$C95,Actual!$D:$D,'3)Target &amp; Cal_Staff'!$B95)</f>
        <v>0</v>
      </c>
      <c r="S95" s="278">
        <f>SUMIFS(Actual!H:H,Actual!$A:$A,'3)Target &amp; Cal_Staff'!$C95,Actual!$D:$D,'3)Target &amp; Cal_Staff'!$B95)</f>
        <v>0</v>
      </c>
      <c r="T95" s="278">
        <f>SUMIFS(Actual!I:I,Actual!$A:$A,'3)Target &amp; Cal_Staff'!$C95,Actual!$D:$D,'3)Target &amp; Cal_Staff'!$B95)</f>
        <v>0</v>
      </c>
      <c r="U95" s="278">
        <f>SUMIFS(Actual!J:J,Actual!$A:$A,'3)Target &amp; Cal_Staff'!$C95,Actual!$D:$D,'3)Target &amp; Cal_Staff'!$B95)</f>
        <v>0</v>
      </c>
      <c r="V95" s="278">
        <f>SUMIFS(Actual!K:K,Actual!$A:$A,'3)Target &amp; Cal_Staff'!$C95,Actual!$D:$D,'3)Target &amp; Cal_Staff'!$B95)</f>
        <v>0</v>
      </c>
      <c r="W95" s="278">
        <f>SUMIFS(Actual!L:L,Actual!$A:$A,'3)Target &amp; Cal_Staff'!$C95,Actual!$D:$D,'3)Target &amp; Cal_Staff'!$B95)</f>
        <v>0</v>
      </c>
      <c r="X95" s="278">
        <f>SUMIFS(Actual!M:M,Actual!$A:$A,'3)Target &amp; Cal_Staff'!$C95,Actual!$D:$D,'3)Target &amp; Cal_Staff'!$B95)</f>
        <v>0</v>
      </c>
      <c r="Y95" s="278">
        <f>SUMIFS(Actual!N:N,Actual!$A:$A,'3)Target &amp; Cal_Staff'!$C95,Actual!$D:$D,'3)Target &amp; Cal_Staff'!$B95)</f>
        <v>25.199999999999996</v>
      </c>
      <c r="Z95" s="278">
        <f>SUMIFS(Actual!O:O,Actual!$A:$A,'3)Target &amp; Cal_Staff'!$C95,Actual!$D:$D,'3)Target &amp; Cal_Staff'!$B95)</f>
        <v>14.399999999999999</v>
      </c>
      <c r="AA95" s="278">
        <f>SUMIFS(Actual!P:P,Actual!$A:$A,'3)Target &amp; Cal_Staff'!$C95,Actual!$D:$D,'3)Target &amp; Cal_Staff'!$B95)</f>
        <v>14.399999999999999</v>
      </c>
      <c r="AB95" s="311"/>
      <c r="AC95" s="311"/>
      <c r="AD95" s="311"/>
      <c r="AE95" s="311"/>
      <c r="AF95" s="311"/>
      <c r="AG95" s="311"/>
      <c r="AH95" s="311"/>
      <c r="AI95" s="311"/>
      <c r="AJ95" s="311">
        <f>IFERROR(IF(VLOOKUP($B95,Shortage!$A:$M,AJ$2,FALSE)="Shortage",1,IFERROR(ROUND(X95/L95,4),0)),IFERROR(ROUND(X95/L95,4),0))</f>
        <v>0</v>
      </c>
      <c r="AK95" s="311">
        <f>IFERROR(IF(VLOOKUP($B95,Shortage!$A:$M,AK$2,FALSE)="Shortage",1,IFERROR(ROUND(Y95/M95,4),0)),IFERROR(ROUND(Y95/M95,4),0))</f>
        <v>0.36880000000000002</v>
      </c>
      <c r="AL95" s="311">
        <f>IFERROR(IF(VLOOKUP($B95,Shortage!$A:$M,AL$2,FALSE)="Shortage",1,IFERROR(ROUND(Z95/N95,4),0)),IFERROR(ROUND(Z95/N95,4),0))</f>
        <v>0.36880000000000002</v>
      </c>
      <c r="AM95" s="311">
        <f>IFERROR(IF(VLOOKUP($B95,Shortage!$A:$M,AM$2,FALSE)="Shortage",1,IFERROR(ROUND(AA95/O95,4),0)),IFERROR(ROUND(AA95/O95,4),0))</f>
        <v>0.35399999999999998</v>
      </c>
      <c r="AN95" s="312">
        <f>IFERROR(_xlfn.XLOOKUP(AB95,'2) หลักการคำนวน Table'!$C$3:$K$3,'2) หลักการคำนวน Table'!$C$3:$K$3,,1),INDEX('2) หลักการคำนวน Table'!$C$3:$K$3,1))</f>
        <v>0.9</v>
      </c>
      <c r="AO95" s="312">
        <f>IFERROR(
  _xlfn.XLOOKUP(AC95,'2) หลักการคำนวน Table'!$C$3:$K$3,'2) หลักการคำนวน Table'!$C$3:$K$3,,1),
  IF(AC95&lt;MIN('2) หลักการคำนวน Table'!$C$3:$K$3),
     MIN('2) หลักการคำนวน Table'!$C$3:$K$3),
     MAX('2) หลักการคำนวน Table'!$C$3:$K$3)
  )
)</f>
        <v>0.9</v>
      </c>
      <c r="AP95" s="312">
        <f>IFERROR(
  _xlfn.XLOOKUP(AD95,'2) หลักการคำนวน Table'!$C$3:$K$3,'2) หลักการคำนวน Table'!$C$3:$K$3,,1),
  IF(AD95&lt;MIN('2) หลักการคำนวน Table'!$C$3:$K$3),
     MIN('2) หลักการคำนวน Table'!$C$3:$K$3),
     MAX('2) หลักการคำนวน Table'!$C$3:$K$3)
  )
)</f>
        <v>0.9</v>
      </c>
      <c r="AQ95" s="312">
        <f>IFERROR(
  _xlfn.XLOOKUP(AE95,'2) หลักการคำนวน Table'!$C$3:$K$3,'2) หลักการคำนวน Table'!$C$3:$K$3,,1),
  IF(AE95&lt;MIN('2) หลักการคำนวน Table'!$C$3:$K$3),
     MIN('2) หลักการคำนวน Table'!$C$3:$K$3),
     MAX('2) หลักการคำนวน Table'!$C$3:$K$3)
  )
)</f>
        <v>0.9</v>
      </c>
      <c r="AR95" s="312">
        <f>IFERROR(
  _xlfn.XLOOKUP(AF95,'2) หลักการคำนวน Table'!$C$3:$K$3,'2) หลักการคำนวน Table'!$C$3:$K$3,,1),
  IF(AF95&lt;MIN('2) หลักการคำนวน Table'!$C$3:$K$3),
     MIN('2) หลักการคำนวน Table'!$C$3:$K$3),
     MAX('2) หลักการคำนวน Table'!$C$3:$K$3)
  )
)</f>
        <v>0.9</v>
      </c>
      <c r="AS95" s="312">
        <f>IFERROR(
  _xlfn.XLOOKUP(AG95,'2) หลักการคำนวน Table'!$C$3:$K$3,'2) หลักการคำนวน Table'!$C$3:$K$3,,1),
  IF(AG95&lt;MIN('2) หลักการคำนวน Table'!$C$3:$K$3),
     MIN('2) หลักการคำนวน Table'!$C$3:$K$3),
     MAX('2) หลักการคำนวน Table'!$C$3:$K$3)
  )
)</f>
        <v>0.9</v>
      </c>
      <c r="AT95" s="312">
        <f>IFERROR(
  _xlfn.XLOOKUP(AH95,'2) หลักการคำนวน Table'!$C$3:$K$3,'2) หลักการคำนวน Table'!$C$3:$K$3,,1),
  IF(AH95&lt;MIN('2) หลักการคำนวน Table'!$C$3:$K$3),
     MIN('2) หลักการคำนวน Table'!$C$3:$K$3),
     MAX('2) หลักการคำนวน Table'!$C$3:$K$3)
  )
)</f>
        <v>0.9</v>
      </c>
      <c r="AU95" s="312">
        <f>IFERROR(
  _xlfn.XLOOKUP(AI95,'2) หลักการคำนวน Table'!$C$3:$K$3,'2) หลักการคำนวน Table'!$C$3:$K$3,,1),
  IF(AI95&lt;MIN('2) หลักการคำนวน Table'!$C$3:$K$3),
     MIN('2) หลักการคำนวน Table'!$C$3:$K$3),
     MAX('2) หลักการคำนวน Table'!$C$3:$K$3)
  )
)</f>
        <v>0.9</v>
      </c>
      <c r="AV95" s="312">
        <f>IFERROR(
  _xlfn.XLOOKUP(AJ95,'2) หลักการคำนวน Table'!$C$3:$K$3,'2) หลักการคำนวน Table'!$C$3:$K$3,,1),
  IF(AJ95&lt;MIN('2) หลักการคำนวน Table'!$C$3:$K$3),
     MIN('2) หลักการคำนวน Table'!$C$3:$K$3),
     MAX('2) หลักการคำนวน Table'!$C$3:$K$3)
  )
)</f>
        <v>0.9</v>
      </c>
      <c r="AW95" s="312">
        <f>IFERROR(
  _xlfn.XLOOKUP(AK95,'2) หลักการคำนวน Table'!$C$3:$K$3,'2) หลักการคำนวน Table'!$C$3:$K$3,,1),
  IF(AK95&lt;MIN('2) หลักการคำนวน Table'!$C$3:$K$3),
     MIN('2) หลักการคำนวน Table'!$C$3:$K$3),
     MAX('2) หลักการคำนวน Table'!$C$3:$K$3)
  )
)</f>
        <v>0.9</v>
      </c>
      <c r="AX95" s="312">
        <f>IFERROR(
  _xlfn.XLOOKUP(AL95,'2) หลักการคำนวน Table'!$C$3:$K$3,'2) หลักการคำนวน Table'!$C$3:$K$3,,1),
  IF(AL95&lt;MIN('2) หลักการคำนวน Table'!$C$3:$K$3),
     MIN('2) หลักการคำนวน Table'!$C$3:$K$3),
     MAX('2) หลักการคำนวน Table'!$C$3:$K$3)
  )
)</f>
        <v>0.9</v>
      </c>
      <c r="AY95" s="312">
        <f>IFERROR(
  _xlfn.XLOOKUP(AM95,'2) หลักการคำนวน Table'!$C$3:$K$3,'2) หลักการคำนวน Table'!$C$3:$K$3,,1),
  IF(AM95&lt;MIN('2) หลักการคำนวน Table'!$C$3:$K$3),
     MIN('2) หลักการคำนวน Table'!$C$3:$K$3),
     MAX('2) หลักการคำนวน Table'!$C$3:$K$3)
  )
)</f>
        <v>0.9</v>
      </c>
      <c r="AZ95" s="279" t="e" cm="1">
        <f t="array" ref="AZ95">ROUND((_xlfn.XLOOKUP($C95,'2) หลักการคำนวน Table'!$A$4:$A$36,
_xlfn.XLOOKUP(AN95,'2)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A95" s="279" t="e" cm="1">
        <f t="array" ref="BA95">ROUND((_xlfn.XLOOKUP($C95,'2) หลักการคำนวน Table'!$A$4:$A$36,
_xlfn.XLOOKUP(AO95,'2)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B95" s="279" t="e" cm="1">
        <f t="array" ref="BB95">ROUND((_xlfn.XLOOKUP($C95,'2) หลักการคำนวน Table'!$A$4:$A$36,
_xlfn.XLOOKUP(AP95,'2)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C95" s="279" t="e" cm="1">
        <f t="array" ref="BC95">ROUND((_xlfn.XLOOKUP($C95,'2) หลักการคำนวน Table'!$A$4:$A$36,
_xlfn.XLOOKUP(AQ95,'2)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D95" s="279" t="e" cm="1">
        <f t="array" ref="BD95">ROUND((_xlfn.XLOOKUP($C95,'2) หลักการคำนวน Table'!$A$4:$A$36,
_xlfn.XLOOKUP(AR95,'2)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E95" s="279" t="e" cm="1">
        <f t="array" ref="BE95">ROUND((_xlfn.XLOOKUP($C95,'2) หลักการคำนวน Table'!$A$4:$A$36,
_xlfn.XLOOKUP(AS95,'2)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F95" s="279" t="e" cm="1">
        <f t="array" ref="BF95">ROUND((_xlfn.XLOOKUP($C95,'2) หลักการคำนวน Table'!$A$4:$A$36,
_xlfn.XLOOKUP(AT95,'2)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G95" s="279" t="e" cm="1">
        <f t="array" ref="BG95">ROUND((_xlfn.XLOOKUP($C95,'2) หลักการคำนวน Table'!$A$4:$A$36,
_xlfn.XLOOKUP(AU95,'2)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H95" s="279" t="e" cm="1">
        <f t="array" ref="BH95">ROUND((_xlfn.XLOOKUP($C95,'2) หลักการคำนวน Table'!$A$4:$A$36,
_xlfn.XLOOKUP(AV95,'2)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I95" s="279" t="e" cm="1">
        <f t="array" ref="BI95">ROUND((_xlfn.XLOOKUP($C95,'2) หลักการคำนวน Table'!$A$4:$A$36,
_xlfn.XLOOKUP(AW95,'2)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J95" s="279" t="e" cm="1">
        <f t="array" ref="BJ95">ROUND((_xlfn.XLOOKUP($C95,'2) หลักการคำนวน Table'!$A$4:$A$36,
_xlfn.XLOOKUP(AX95,'2)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K95" s="279" t="e" cm="1">
        <f t="array" ref="BK95">ROUND((_xlfn.XLOOKUP($C95,'2) หลักการคำนวน Table'!$A$4:$A$36,
_xlfn.XLOOKUP(AY95,'2) หลักการคำนวน Table'!$C$3:$K$3,'2) หลักการคำนวน Table'!$C$4:$K$36,,-1)))*(_xlfn.XLOOKUP($C95,'2) หลักการคำนวน Table'!$A$4:$A$36, _xlfn.XLOOKUP($B95,'2) หลักการคำนวน Table'!$L$3:$Z$3,'2) หลักการคำนวน Table'!$L$4:$Z$36))),0)</f>
        <v>#N/A</v>
      </c>
      <c r="BM95" s="278">
        <v>222220</v>
      </c>
      <c r="BN95" s="292">
        <v>202</v>
      </c>
    </row>
    <row r="96" spans="1:66" s="278" customFormat="1" ht="14.7" customHeight="1" x14ac:dyDescent="0.4">
      <c r="A96" s="278" t="e">
        <f>VLOOKUP(C96,ASTBase!E:S,13,FALSE)</f>
        <v>#N/A</v>
      </c>
      <c r="B96" s="278" t="s">
        <v>414</v>
      </c>
      <c r="C96" s="278">
        <v>5490000725</v>
      </c>
      <c r="D96" s="310">
        <v>185.28544685155683</v>
      </c>
      <c r="E96" s="310">
        <v>157.04143379470443</v>
      </c>
      <c r="F96" s="310">
        <v>239.13212527046309</v>
      </c>
      <c r="G96" s="310">
        <v>154.41880992749518</v>
      </c>
      <c r="H96" s="310">
        <v>195.99537058677612</v>
      </c>
      <c r="I96" s="310">
        <v>297.29542454018002</v>
      </c>
      <c r="J96" s="310">
        <v>154.3519084478975</v>
      </c>
      <c r="K96" s="310">
        <v>95.241258466983481</v>
      </c>
      <c r="L96" s="310">
        <v>237.32304915525566</v>
      </c>
      <c r="M96" s="310">
        <v>159.09939200071327</v>
      </c>
      <c r="N96" s="310">
        <v>233.75307457684923</v>
      </c>
      <c r="O96" s="310">
        <v>151.06270638112554</v>
      </c>
      <c r="P96" s="1">
        <v>120</v>
      </c>
      <c r="Q96" s="278">
        <f>SUMIFS(Actual!F:F,Actual!$A:$A,'3)Target &amp; Cal_Staff'!$C96,Actual!$D:$D,'3)Target &amp; Cal_Staff'!$B96)</f>
        <v>0</v>
      </c>
      <c r="R96" s="278">
        <f>SUMIFS(Actual!G:G,Actual!$A:$A,'3)Target &amp; Cal_Staff'!$C96,Actual!$D:$D,'3)Target &amp; Cal_Staff'!$B96)</f>
        <v>0</v>
      </c>
      <c r="S96" s="278">
        <f>SUMIFS(Actual!H:H,Actual!$A:$A,'3)Target &amp; Cal_Staff'!$C96,Actual!$D:$D,'3)Target &amp; Cal_Staff'!$B96)</f>
        <v>0</v>
      </c>
      <c r="T96" s="278">
        <f>SUMIFS(Actual!I:I,Actual!$A:$A,'3)Target &amp; Cal_Staff'!$C96,Actual!$D:$D,'3)Target &amp; Cal_Staff'!$B96)</f>
        <v>0</v>
      </c>
      <c r="U96" s="278">
        <f>SUMIFS(Actual!J:J,Actual!$A:$A,'3)Target &amp; Cal_Staff'!$C96,Actual!$D:$D,'3)Target &amp; Cal_Staff'!$B96)</f>
        <v>0</v>
      </c>
      <c r="V96" s="278">
        <f>SUMIFS(Actual!K:K,Actual!$A:$A,'3)Target &amp; Cal_Staff'!$C96,Actual!$D:$D,'3)Target &amp; Cal_Staff'!$B96)</f>
        <v>0</v>
      </c>
      <c r="W96" s="278">
        <f>SUMIFS(Actual!L:L,Actual!$A:$A,'3)Target &amp; Cal_Staff'!$C96,Actual!$D:$D,'3)Target &amp; Cal_Staff'!$B96)</f>
        <v>0</v>
      </c>
      <c r="X96" s="278">
        <f>SUMIFS(Actual!M:M,Actual!$A:$A,'3)Target &amp; Cal_Staff'!$C96,Actual!$D:$D,'3)Target &amp; Cal_Staff'!$B96)</f>
        <v>0</v>
      </c>
      <c r="Y96" s="278">
        <f>SUMIFS(Actual!N:N,Actual!$A:$A,'3)Target &amp; Cal_Staff'!$C96,Actual!$D:$D,'3)Target &amp; Cal_Staff'!$B96)</f>
        <v>136.80000000000001</v>
      </c>
      <c r="Z96" s="278">
        <f>SUMIFS(Actual!O:O,Actual!$A:$A,'3)Target &amp; Cal_Staff'!$C96,Actual!$D:$D,'3)Target &amp; Cal_Staff'!$B96)</f>
        <v>232.8</v>
      </c>
      <c r="AA96" s="278">
        <f>SUMIFS(Actual!P:P,Actual!$A:$A,'3)Target &amp; Cal_Staff'!$C96,Actual!$D:$D,'3)Target &amp; Cal_Staff'!$B96)</f>
        <v>141.60000000000002</v>
      </c>
      <c r="AB96" s="311"/>
      <c r="AC96" s="311"/>
      <c r="AD96" s="311"/>
      <c r="AE96" s="311"/>
      <c r="AF96" s="311"/>
      <c r="AG96" s="311"/>
      <c r="AH96" s="311"/>
      <c r="AI96" s="311"/>
      <c r="AJ96" s="311">
        <f>IFERROR(IF(VLOOKUP($B96,Shortage!$A:$M,AJ$2,FALSE)="Shortage",1,IFERROR(ROUND(X96/L96,4),0)),IFERROR(ROUND(X96/L96,4),0))</f>
        <v>0</v>
      </c>
      <c r="AK96" s="311">
        <f>IFERROR(IF(VLOOKUP($B96,Shortage!$A:$M,AK$2,FALSE)="Shortage",1,IFERROR(ROUND(Y96/M96,4),0)),IFERROR(ROUND(Y96/M96,4),0))</f>
        <v>0.85980000000000001</v>
      </c>
      <c r="AL96" s="311">
        <f>IFERROR(IF(VLOOKUP($B96,Shortage!$A:$M,AL$2,FALSE)="Shortage",1,IFERROR(ROUND(Z96/N96,4),0)),IFERROR(ROUND(Z96/N96,4),0))</f>
        <v>0.99590000000000001</v>
      </c>
      <c r="AM96" s="311">
        <f>IFERROR(IF(VLOOKUP($B96,Shortage!$A:$M,AM$2,FALSE)="Shortage",1,IFERROR(ROUND(AA96/O96,4),0)),IFERROR(ROUND(AA96/O96,4),0))</f>
        <v>0.93740000000000001</v>
      </c>
      <c r="AN96" s="312">
        <f>IFERROR(_xlfn.XLOOKUP(AB96,'2) หลักการคำนวน Table'!$C$3:$K$3,'2) หลักการคำนวน Table'!$C$3:$K$3,,1),INDEX('2) หลักการคำนวน Table'!$C$3:$K$3,1))</f>
        <v>0.9</v>
      </c>
      <c r="AO96" s="312">
        <f>IFERROR(
  _xlfn.XLOOKUP(AC96,'2) หลักการคำนวน Table'!$C$3:$K$3,'2) หลักการคำนวน Table'!$C$3:$K$3,,1),
  IF(AC96&lt;MIN('2) หลักการคำนวน Table'!$C$3:$K$3),
     MIN('2) หลักการคำนวน Table'!$C$3:$K$3),
     MAX('2) หลักการคำนวน Table'!$C$3:$K$3)
  )
)</f>
        <v>0.9</v>
      </c>
      <c r="AP96" s="312">
        <f>IFERROR(
  _xlfn.XLOOKUP(AD96,'2) หลักการคำนวน Table'!$C$3:$K$3,'2) หลักการคำนวน Table'!$C$3:$K$3,,1),
  IF(AD96&lt;MIN('2) หลักการคำนวน Table'!$C$3:$K$3),
     MIN('2) หลักการคำนวน Table'!$C$3:$K$3),
     MAX('2) หลักการคำนวน Table'!$C$3:$K$3)
  )
)</f>
        <v>0.9</v>
      </c>
      <c r="AQ96" s="312">
        <f>IFERROR(
  _xlfn.XLOOKUP(AE96,'2) หลักการคำนวน Table'!$C$3:$K$3,'2) หลักการคำนวน Table'!$C$3:$K$3,,1),
  IF(AE96&lt;MIN('2) หลักการคำนวน Table'!$C$3:$K$3),
     MIN('2) หลักการคำนวน Table'!$C$3:$K$3),
     MAX('2) หลักการคำนวน Table'!$C$3:$K$3)
  )
)</f>
        <v>0.9</v>
      </c>
      <c r="AR96" s="312">
        <f>IFERROR(
  _xlfn.XLOOKUP(AF96,'2) หลักการคำนวน Table'!$C$3:$K$3,'2) หลักการคำนวน Table'!$C$3:$K$3,,1),
  IF(AF96&lt;MIN('2) หลักการคำนวน Table'!$C$3:$K$3),
     MIN('2) หลักการคำนวน Table'!$C$3:$K$3),
     MAX('2) หลักการคำนวน Table'!$C$3:$K$3)
  )
)</f>
        <v>0.9</v>
      </c>
      <c r="AS96" s="312">
        <f>IFERROR(
  _xlfn.XLOOKUP(AG96,'2) หลักการคำนวน Table'!$C$3:$K$3,'2) หลักการคำนวน Table'!$C$3:$K$3,,1),
  IF(AG96&lt;MIN('2) หลักการคำนวน Table'!$C$3:$K$3),
     MIN('2) หลักการคำนวน Table'!$C$3:$K$3),
     MAX('2) หลักการคำนวน Table'!$C$3:$K$3)
  )
)</f>
        <v>0.9</v>
      </c>
      <c r="AT96" s="312">
        <f>IFERROR(
  _xlfn.XLOOKUP(AH96,'2) หลักการคำนวน Table'!$C$3:$K$3,'2) หลักการคำนวน Table'!$C$3:$K$3,,1),
  IF(AH96&lt;MIN('2) หลักการคำนวน Table'!$C$3:$K$3),
     MIN('2) หลักการคำนวน Table'!$C$3:$K$3),
     MAX('2) หลักการคำนวน Table'!$C$3:$K$3)
  )
)</f>
        <v>0.9</v>
      </c>
      <c r="AU96" s="312">
        <f>IFERROR(
  _xlfn.XLOOKUP(AI96,'2) หลักการคำนวน Table'!$C$3:$K$3,'2) หลักการคำนวน Table'!$C$3:$K$3,,1),
  IF(AI96&lt;MIN('2) หลักการคำนวน Table'!$C$3:$K$3),
     MIN('2) หลักการคำนวน Table'!$C$3:$K$3),
     MAX('2) หลักการคำนวน Table'!$C$3:$K$3)
  )
)</f>
        <v>0.9</v>
      </c>
      <c r="AV96" s="312">
        <f>IFERROR(
  _xlfn.XLOOKUP(AJ96,'2) หลักการคำนวน Table'!$C$3:$K$3,'2) หลักการคำนวน Table'!$C$3:$K$3,,1),
  IF(AJ96&lt;MIN('2) หลักการคำนวน Table'!$C$3:$K$3),
     MIN('2) หลักการคำนวน Table'!$C$3:$K$3),
     MAX('2) หลักการคำนวน Table'!$C$3:$K$3)
  )
)</f>
        <v>0.9</v>
      </c>
      <c r="AW96" s="312">
        <f>IFERROR(
  _xlfn.XLOOKUP(AK96,'2) หลักการคำนวน Table'!$C$3:$K$3,'2) หลักการคำนวน Table'!$C$3:$K$3,,1),
  IF(AK96&lt;MIN('2) หลักการคำนวน Table'!$C$3:$K$3),
     MIN('2) หลักการคำนวน Table'!$C$3:$K$3),
     MAX('2) หลักการคำนวน Table'!$C$3:$K$3)
  )
)</f>
        <v>0.9</v>
      </c>
      <c r="AX96" s="312">
        <f>IFERROR(
  _xlfn.XLOOKUP(AL96,'2) หลักการคำนวน Table'!$C$3:$K$3,'2) หลักการคำนวน Table'!$C$3:$K$3,,1),
  IF(AL96&lt;MIN('2) หลักการคำนวน Table'!$C$3:$K$3),
     MIN('2) หลักการคำนวน Table'!$C$3:$K$3),
     MAX('2) หลักการคำนวน Table'!$C$3:$K$3)
  )
)</f>
        <v>1</v>
      </c>
      <c r="AY96" s="312">
        <f>IFERROR(
  _xlfn.XLOOKUP(AM96,'2) หลักการคำนวน Table'!$C$3:$K$3,'2) หลักการคำนวน Table'!$C$3:$K$3,,1),
  IF(AM96&lt;MIN('2) หลักการคำนวน Table'!$C$3:$K$3),
     MIN('2) หลักการคำนวน Table'!$C$3:$K$3),
     MAX('2) หลักการคำนวน Table'!$C$3:$K$3)
  )
)</f>
        <v>0.95</v>
      </c>
      <c r="AZ96" s="279" t="e" cm="1">
        <f t="array" ref="AZ96">ROUND((_xlfn.XLOOKUP($C96,'2) หลักการคำนวน Table'!$A$4:$A$36,
_xlfn.XLOOKUP(AN96,'2)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A96" s="279" t="e" cm="1">
        <f t="array" ref="BA96">ROUND((_xlfn.XLOOKUP($C96,'2) หลักการคำนวน Table'!$A$4:$A$36,
_xlfn.XLOOKUP(AO96,'2)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B96" s="279" t="e" cm="1">
        <f t="array" ref="BB96">ROUND((_xlfn.XLOOKUP($C96,'2) หลักการคำนวน Table'!$A$4:$A$36,
_xlfn.XLOOKUP(AP96,'2)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C96" s="279" t="e" cm="1">
        <f t="array" ref="BC96">ROUND((_xlfn.XLOOKUP($C96,'2) หลักการคำนวน Table'!$A$4:$A$36,
_xlfn.XLOOKUP(AQ96,'2)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D96" s="279" t="e" cm="1">
        <f t="array" ref="BD96">ROUND((_xlfn.XLOOKUP($C96,'2) หลักการคำนวน Table'!$A$4:$A$36,
_xlfn.XLOOKUP(AR96,'2)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E96" s="279" t="e" cm="1">
        <f t="array" ref="BE96">ROUND((_xlfn.XLOOKUP($C96,'2) หลักการคำนวน Table'!$A$4:$A$36,
_xlfn.XLOOKUP(AS96,'2)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F96" s="279" t="e" cm="1">
        <f t="array" ref="BF96">ROUND((_xlfn.XLOOKUP($C96,'2) หลักการคำนวน Table'!$A$4:$A$36,
_xlfn.XLOOKUP(AT96,'2)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G96" s="279" t="e" cm="1">
        <f t="array" ref="BG96">ROUND((_xlfn.XLOOKUP($C96,'2) หลักการคำนวน Table'!$A$4:$A$36,
_xlfn.XLOOKUP(AU96,'2)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H96" s="279" t="e" cm="1">
        <f t="array" ref="BH96">ROUND((_xlfn.XLOOKUP($C96,'2) หลักการคำนวน Table'!$A$4:$A$36,
_xlfn.XLOOKUP(AV96,'2)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I96" s="279" t="e" cm="1">
        <f t="array" ref="BI96">ROUND((_xlfn.XLOOKUP($C96,'2) หลักการคำนวน Table'!$A$4:$A$36,
_xlfn.XLOOKUP(AW96,'2)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J96" s="279" t="e" cm="1">
        <f t="array" ref="BJ96">ROUND((_xlfn.XLOOKUP($C96,'2) หลักการคำนวน Table'!$A$4:$A$36,
_xlfn.XLOOKUP(AX96,'2)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K96" s="279" t="e" cm="1">
        <f t="array" ref="BK96">ROUND((_xlfn.XLOOKUP($C96,'2) หลักการคำนวน Table'!$A$4:$A$36,
_xlfn.XLOOKUP(AY96,'2) หลักการคำนวน Table'!$C$3:$K$3,'2) หลักการคำนวน Table'!$C$4:$K$36,,-1)))*(_xlfn.XLOOKUP($C96,'2) หลักการคำนวน Table'!$A$4:$A$36, _xlfn.XLOOKUP($B96,'2) หลักการคำนวน Table'!$L$3:$Z$3,'2) หลักการคำนวน Table'!$L$4:$Z$36))),0)</f>
        <v>#N/A</v>
      </c>
      <c r="BM96" s="278">
        <v>222220</v>
      </c>
      <c r="BN96" s="292">
        <v>202</v>
      </c>
    </row>
    <row r="97" spans="1:66" s="278" customFormat="1" ht="14.7" customHeight="1" x14ac:dyDescent="0.4">
      <c r="A97" s="278" t="e">
        <f>VLOOKUP(C97,ASTBase!E:S,13,FALSE)</f>
        <v>#N/A</v>
      </c>
      <c r="B97" s="278" t="s">
        <v>412</v>
      </c>
      <c r="C97" s="278">
        <v>5490000725</v>
      </c>
      <c r="D97" s="310">
        <v>8681.7421021795344</v>
      </c>
      <c r="E97" s="310">
        <v>8646.3538082859814</v>
      </c>
      <c r="F97" s="310">
        <v>5629.4488078826362</v>
      </c>
      <c r="G97" s="310">
        <v>4881.6003201366466</v>
      </c>
      <c r="H97" s="310">
        <v>6787.7119381350585</v>
      </c>
      <c r="I97" s="310">
        <v>10600.948968273202</v>
      </c>
      <c r="J97" s="310">
        <v>6104.2137775690098</v>
      </c>
      <c r="K97" s="310">
        <v>5312.2747624126168</v>
      </c>
      <c r="L97" s="310">
        <v>6519.7614375607354</v>
      </c>
      <c r="M97" s="310">
        <v>5384.563964911712</v>
      </c>
      <c r="N97" s="310">
        <v>5916.2473359170235</v>
      </c>
      <c r="O97" s="310">
        <v>5824.2427767358431</v>
      </c>
      <c r="P97" s="1">
        <v>4844.9999999112006</v>
      </c>
      <c r="Q97" s="278">
        <f>SUMIFS(Actual!F:F,Actual!$A:$A,'3)Target &amp; Cal_Staff'!$C97,Actual!$D:$D,'3)Target &amp; Cal_Staff'!$B97)</f>
        <v>0</v>
      </c>
      <c r="R97" s="278">
        <f>SUMIFS(Actual!G:G,Actual!$A:$A,'3)Target &amp; Cal_Staff'!$C97,Actual!$D:$D,'3)Target &amp; Cal_Staff'!$B97)</f>
        <v>0</v>
      </c>
      <c r="S97" s="278">
        <f>SUMIFS(Actual!H:H,Actual!$A:$A,'3)Target &amp; Cal_Staff'!$C97,Actual!$D:$D,'3)Target &amp; Cal_Staff'!$B97)</f>
        <v>0</v>
      </c>
      <c r="T97" s="278">
        <f>SUMIFS(Actual!I:I,Actual!$A:$A,'3)Target &amp; Cal_Staff'!$C97,Actual!$D:$D,'3)Target &amp; Cal_Staff'!$B97)</f>
        <v>0</v>
      </c>
      <c r="U97" s="278">
        <f>SUMIFS(Actual!J:J,Actual!$A:$A,'3)Target &amp; Cal_Staff'!$C97,Actual!$D:$D,'3)Target &amp; Cal_Staff'!$B97)</f>
        <v>0</v>
      </c>
      <c r="V97" s="278">
        <f>SUMIFS(Actual!K:K,Actual!$A:$A,'3)Target &amp; Cal_Staff'!$C97,Actual!$D:$D,'3)Target &amp; Cal_Staff'!$B97)</f>
        <v>0</v>
      </c>
      <c r="W97" s="278">
        <f>SUMIFS(Actual!L:L,Actual!$A:$A,'3)Target &amp; Cal_Staff'!$C97,Actual!$D:$D,'3)Target &amp; Cal_Staff'!$B97)</f>
        <v>0</v>
      </c>
      <c r="X97" s="278">
        <f>SUMIFS(Actual!M:M,Actual!$A:$A,'3)Target &amp; Cal_Staff'!$C97,Actual!$D:$D,'3)Target &amp; Cal_Staff'!$B97)</f>
        <v>0</v>
      </c>
      <c r="Y97" s="278">
        <f>SUMIFS(Actual!N:N,Actual!$A:$A,'3)Target &amp; Cal_Staff'!$C97,Actual!$D:$D,'3)Target &amp; Cal_Staff'!$B97)</f>
        <v>4682.9999999266156</v>
      </c>
      <c r="Z97" s="278">
        <f>SUMIFS(Actual!O:O,Actual!$A:$A,'3)Target &amp; Cal_Staff'!$C97,Actual!$D:$D,'3)Target &amp; Cal_Staff'!$B97)</f>
        <v>5154.9999999125776</v>
      </c>
      <c r="AA97" s="278">
        <f>SUMIFS(Actual!P:P,Actual!$A:$A,'3)Target &amp; Cal_Staff'!$C97,Actual!$D:$D,'3)Target &amp; Cal_Staff'!$B97)</f>
        <v>3891.9999999313573</v>
      </c>
      <c r="AB97" s="311"/>
      <c r="AC97" s="311"/>
      <c r="AD97" s="311"/>
      <c r="AE97" s="311"/>
      <c r="AF97" s="311"/>
      <c r="AG97" s="311"/>
      <c r="AH97" s="311"/>
      <c r="AI97" s="311"/>
      <c r="AJ97" s="311">
        <f>IFERROR(IF(VLOOKUP($B97,Shortage!$A:$M,AJ$2,FALSE)="Shortage",1,IFERROR(ROUND(X97/L97,4),0)),IFERROR(ROUND(X97/L97,4),0))</f>
        <v>0</v>
      </c>
      <c r="AK97" s="311">
        <f>IFERROR(IF(VLOOKUP($B97,Shortage!$A:$M,AK$2,FALSE)="Shortage",1,IFERROR(ROUND(Y97/M97,4),0)),IFERROR(ROUND(Y97/M97,4),0))</f>
        <v>0.86970000000000003</v>
      </c>
      <c r="AL97" s="311">
        <f>IFERROR(IF(VLOOKUP($B97,Shortage!$A:$M,AL$2,FALSE)="Shortage",1,IFERROR(ROUND(Z97/N97,4),0)),IFERROR(ROUND(Z97/N97,4),0))</f>
        <v>0.87129999999999996</v>
      </c>
      <c r="AM97" s="311">
        <f>IFERROR(IF(VLOOKUP($B97,Shortage!$A:$M,AM$2,FALSE)="Shortage",1,IFERROR(ROUND(AA97/O97,4),0)),IFERROR(ROUND(AA97/O97,4),0))</f>
        <v>0.66820000000000002</v>
      </c>
      <c r="AN97" s="312">
        <f>IFERROR(_xlfn.XLOOKUP(AB97,'2) หลักการคำนวน Table'!$C$3:$K$3,'2) หลักการคำนวน Table'!$C$3:$K$3,,1),INDEX('2) หลักการคำนวน Table'!$C$3:$K$3,1))</f>
        <v>0.9</v>
      </c>
      <c r="AO97" s="312">
        <f>IFERROR(
  _xlfn.XLOOKUP(AC97,'2) หลักการคำนวน Table'!$C$3:$K$3,'2) หลักการคำนวน Table'!$C$3:$K$3,,1),
  IF(AC97&lt;MIN('2) หลักการคำนวน Table'!$C$3:$K$3),
     MIN('2) หลักการคำนวน Table'!$C$3:$K$3),
     MAX('2) หลักการคำนวน Table'!$C$3:$K$3)
  )
)</f>
        <v>0.9</v>
      </c>
      <c r="AP97" s="312">
        <f>IFERROR(
  _xlfn.XLOOKUP(AD97,'2) หลักการคำนวน Table'!$C$3:$K$3,'2) หลักการคำนวน Table'!$C$3:$K$3,,1),
  IF(AD97&lt;MIN('2) หลักการคำนวน Table'!$C$3:$K$3),
     MIN('2) หลักการคำนวน Table'!$C$3:$K$3),
     MAX('2) หลักการคำนวน Table'!$C$3:$K$3)
  )
)</f>
        <v>0.9</v>
      </c>
      <c r="AQ97" s="312">
        <f>IFERROR(
  _xlfn.XLOOKUP(AE97,'2) หลักการคำนวน Table'!$C$3:$K$3,'2) หลักการคำนวน Table'!$C$3:$K$3,,1),
  IF(AE97&lt;MIN('2) หลักการคำนวน Table'!$C$3:$K$3),
     MIN('2) หลักการคำนวน Table'!$C$3:$K$3),
     MAX('2) หลักการคำนวน Table'!$C$3:$K$3)
  )
)</f>
        <v>0.9</v>
      </c>
      <c r="AR97" s="312">
        <f>IFERROR(
  _xlfn.XLOOKUP(AF97,'2) หลักการคำนวน Table'!$C$3:$K$3,'2) หลักการคำนวน Table'!$C$3:$K$3,,1),
  IF(AF97&lt;MIN('2) หลักการคำนวน Table'!$C$3:$K$3),
     MIN('2) หลักการคำนวน Table'!$C$3:$K$3),
     MAX('2) หลักการคำนวน Table'!$C$3:$K$3)
  )
)</f>
        <v>0.9</v>
      </c>
      <c r="AS97" s="312">
        <f>IFERROR(
  _xlfn.XLOOKUP(AG97,'2) หลักการคำนวน Table'!$C$3:$K$3,'2) หลักการคำนวน Table'!$C$3:$K$3,,1),
  IF(AG97&lt;MIN('2) หลักการคำนวน Table'!$C$3:$K$3),
     MIN('2) หลักการคำนวน Table'!$C$3:$K$3),
     MAX('2) หลักการคำนวน Table'!$C$3:$K$3)
  )
)</f>
        <v>0.9</v>
      </c>
      <c r="AT97" s="312">
        <f>IFERROR(
  _xlfn.XLOOKUP(AH97,'2) หลักการคำนวน Table'!$C$3:$K$3,'2) หลักการคำนวน Table'!$C$3:$K$3,,1),
  IF(AH97&lt;MIN('2) หลักการคำนวน Table'!$C$3:$K$3),
     MIN('2) หลักการคำนวน Table'!$C$3:$K$3),
     MAX('2) หลักการคำนวน Table'!$C$3:$K$3)
  )
)</f>
        <v>0.9</v>
      </c>
      <c r="AU97" s="312">
        <f>IFERROR(
  _xlfn.XLOOKUP(AI97,'2) หลักการคำนวน Table'!$C$3:$K$3,'2) หลักการคำนวน Table'!$C$3:$K$3,,1),
  IF(AI97&lt;MIN('2) หลักการคำนวน Table'!$C$3:$K$3),
     MIN('2) หลักการคำนวน Table'!$C$3:$K$3),
     MAX('2) หลักการคำนวน Table'!$C$3:$K$3)
  )
)</f>
        <v>0.9</v>
      </c>
      <c r="AV97" s="312">
        <f>IFERROR(
  _xlfn.XLOOKUP(AJ97,'2) หลักการคำนวน Table'!$C$3:$K$3,'2) หลักการคำนวน Table'!$C$3:$K$3,,1),
  IF(AJ97&lt;MIN('2) หลักการคำนวน Table'!$C$3:$K$3),
     MIN('2) หลักการคำนวน Table'!$C$3:$K$3),
     MAX('2) หลักการคำนวน Table'!$C$3:$K$3)
  )
)</f>
        <v>0.9</v>
      </c>
      <c r="AW97" s="312">
        <f>IFERROR(
  _xlfn.XLOOKUP(AK97,'2) หลักการคำนวน Table'!$C$3:$K$3,'2) หลักการคำนวน Table'!$C$3:$K$3,,1),
  IF(AK97&lt;MIN('2) หลักการคำนวน Table'!$C$3:$K$3),
     MIN('2) หลักการคำนวน Table'!$C$3:$K$3),
     MAX('2) หลักการคำนวน Table'!$C$3:$K$3)
  )
)</f>
        <v>0.9</v>
      </c>
      <c r="AX97" s="312">
        <f>IFERROR(
  _xlfn.XLOOKUP(AL97,'2) หลักการคำนวน Table'!$C$3:$K$3,'2) หลักการคำนวน Table'!$C$3:$K$3,,1),
  IF(AL97&lt;MIN('2) หลักการคำนวน Table'!$C$3:$K$3),
     MIN('2) หลักการคำนวน Table'!$C$3:$K$3),
     MAX('2) หลักการคำนวน Table'!$C$3:$K$3)
  )
)</f>
        <v>0.9</v>
      </c>
      <c r="AY97" s="312">
        <f>IFERROR(
  _xlfn.XLOOKUP(AM97,'2) หลักการคำนวน Table'!$C$3:$K$3,'2) หลักการคำนวน Table'!$C$3:$K$3,,1),
  IF(AM97&lt;MIN('2) หลักการคำนวน Table'!$C$3:$K$3),
     MIN('2) หลักการคำนวน Table'!$C$3:$K$3),
     MAX('2) หลักการคำนวน Table'!$C$3:$K$3)
  )
)</f>
        <v>0.9</v>
      </c>
      <c r="AZ97" s="279" t="e" cm="1">
        <f t="array" ref="AZ97">ROUND((_xlfn.XLOOKUP($C97,'2) หลักการคำนวน Table'!$A$4:$A$36,
_xlfn.XLOOKUP(AN97,'2)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A97" s="279" t="e" cm="1">
        <f t="array" ref="BA97">ROUND((_xlfn.XLOOKUP($C97,'2) หลักการคำนวน Table'!$A$4:$A$36,
_xlfn.XLOOKUP(AO97,'2)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B97" s="279" t="e" cm="1">
        <f t="array" ref="BB97">ROUND((_xlfn.XLOOKUP($C97,'2) หลักการคำนวน Table'!$A$4:$A$36,
_xlfn.XLOOKUP(AP97,'2)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C97" s="279" t="e" cm="1">
        <f t="array" ref="BC97">ROUND((_xlfn.XLOOKUP($C97,'2) หลักการคำนวน Table'!$A$4:$A$36,
_xlfn.XLOOKUP(AQ97,'2)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D97" s="279" t="e" cm="1">
        <f t="array" ref="BD97">ROUND((_xlfn.XLOOKUP($C97,'2) หลักการคำนวน Table'!$A$4:$A$36,
_xlfn.XLOOKUP(AR97,'2)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E97" s="279" t="e" cm="1">
        <f t="array" ref="BE97">ROUND((_xlfn.XLOOKUP($C97,'2) หลักการคำนวน Table'!$A$4:$A$36,
_xlfn.XLOOKUP(AS97,'2)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F97" s="279" t="e" cm="1">
        <f t="array" ref="BF97">ROUND((_xlfn.XLOOKUP($C97,'2) หลักการคำนวน Table'!$A$4:$A$36,
_xlfn.XLOOKUP(AT97,'2)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G97" s="279" t="e" cm="1">
        <f t="array" ref="BG97">ROUND((_xlfn.XLOOKUP($C97,'2) หลักการคำนวน Table'!$A$4:$A$36,
_xlfn.XLOOKUP(AU97,'2)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H97" s="279" t="e" cm="1">
        <f t="array" ref="BH97">ROUND((_xlfn.XLOOKUP($C97,'2) หลักการคำนวน Table'!$A$4:$A$36,
_xlfn.XLOOKUP(AV97,'2)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I97" s="279" t="e" cm="1">
        <f t="array" ref="BI97">ROUND((_xlfn.XLOOKUP($C97,'2) หลักการคำนวน Table'!$A$4:$A$36,
_xlfn.XLOOKUP(AW97,'2)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J97" s="279" t="e" cm="1">
        <f t="array" ref="BJ97">ROUND((_xlfn.XLOOKUP($C97,'2) หลักการคำนวน Table'!$A$4:$A$36,
_xlfn.XLOOKUP(AX97,'2)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K97" s="279" t="e" cm="1">
        <f t="array" ref="BK97">ROUND((_xlfn.XLOOKUP($C97,'2) หลักการคำนวน Table'!$A$4:$A$36,
_xlfn.XLOOKUP(AY97,'2) หลักการคำนวน Table'!$C$3:$K$3,'2) หลักการคำนวน Table'!$C$4:$K$36,,-1)))*(_xlfn.XLOOKUP($C97,'2) หลักการคำนวน Table'!$A$4:$A$36, _xlfn.XLOOKUP($B97,'2) หลักการคำนวน Table'!$L$3:$Z$3,'2) หลักการคำนวน Table'!$L$4:$Z$36))),0)</f>
        <v>#N/A</v>
      </c>
      <c r="BM97" s="278">
        <v>222220</v>
      </c>
      <c r="BN97" s="292">
        <v>566</v>
      </c>
    </row>
    <row r="98" spans="1:66" s="278" customFormat="1" ht="14.7" customHeight="1" x14ac:dyDescent="0.4">
      <c r="A98" s="278" t="e">
        <f>VLOOKUP(C98,ASTBase!E:S,13,FALSE)</f>
        <v>#N/A</v>
      </c>
      <c r="B98" s="278" t="s">
        <v>419</v>
      </c>
      <c r="C98" s="278">
        <v>5490000725</v>
      </c>
      <c r="D98" s="310">
        <v>15</v>
      </c>
      <c r="E98" s="310">
        <v>15</v>
      </c>
      <c r="F98" s="310">
        <v>15</v>
      </c>
      <c r="G98" s="310">
        <v>15</v>
      </c>
      <c r="H98" s="310">
        <v>20</v>
      </c>
      <c r="I98" s="310">
        <v>15</v>
      </c>
      <c r="J98" s="310">
        <v>20</v>
      </c>
      <c r="K98" s="310">
        <v>15</v>
      </c>
      <c r="L98" s="310">
        <v>20</v>
      </c>
      <c r="M98" s="310">
        <v>15</v>
      </c>
      <c r="N98" s="310">
        <v>20</v>
      </c>
      <c r="O98" s="310">
        <v>15</v>
      </c>
      <c r="P98" s="1">
        <v>16</v>
      </c>
      <c r="Q98" s="278">
        <f>SUMIFS(Actual!F:F,Actual!$A:$A,'3)Target &amp; Cal_Staff'!$C98,Actual!$D:$D,'3)Target &amp; Cal_Staff'!$B98)</f>
        <v>0</v>
      </c>
      <c r="R98" s="278">
        <f>SUMIFS(Actual!G:G,Actual!$A:$A,'3)Target &amp; Cal_Staff'!$C98,Actual!$D:$D,'3)Target &amp; Cal_Staff'!$B98)</f>
        <v>0</v>
      </c>
      <c r="S98" s="278">
        <f>SUMIFS(Actual!H:H,Actual!$A:$A,'3)Target &amp; Cal_Staff'!$C98,Actual!$D:$D,'3)Target &amp; Cal_Staff'!$B98)</f>
        <v>0</v>
      </c>
      <c r="T98" s="278">
        <f>SUMIFS(Actual!I:I,Actual!$A:$A,'3)Target &amp; Cal_Staff'!$C98,Actual!$D:$D,'3)Target &amp; Cal_Staff'!$B98)</f>
        <v>0</v>
      </c>
      <c r="U98" s="278">
        <f>SUMIFS(Actual!J:J,Actual!$A:$A,'3)Target &amp; Cal_Staff'!$C98,Actual!$D:$D,'3)Target &amp; Cal_Staff'!$B98)</f>
        <v>0</v>
      </c>
      <c r="V98" s="278">
        <f>SUMIFS(Actual!K:K,Actual!$A:$A,'3)Target &amp; Cal_Staff'!$C98,Actual!$D:$D,'3)Target &amp; Cal_Staff'!$B98)</f>
        <v>0</v>
      </c>
      <c r="W98" s="278">
        <f>SUMIFS(Actual!L:L,Actual!$A:$A,'3)Target &amp; Cal_Staff'!$C98,Actual!$D:$D,'3)Target &amp; Cal_Staff'!$B98)</f>
        <v>0</v>
      </c>
      <c r="X98" s="278">
        <f>SUMIFS(Actual!M:M,Actual!$A:$A,'3)Target &amp; Cal_Staff'!$C98,Actual!$D:$D,'3)Target &amp; Cal_Staff'!$B98)</f>
        <v>0</v>
      </c>
      <c r="Y98" s="278">
        <f>SUMIFS(Actual!N:N,Actual!$A:$A,'3)Target &amp; Cal_Staff'!$C98,Actual!$D:$D,'3)Target &amp; Cal_Staff'!$B98)</f>
        <v>16</v>
      </c>
      <c r="Z98" s="278">
        <f>SUMIFS(Actual!O:O,Actual!$A:$A,'3)Target &amp; Cal_Staff'!$C98,Actual!$D:$D,'3)Target &amp; Cal_Staff'!$B98)</f>
        <v>13</v>
      </c>
      <c r="AA98" s="278">
        <f>SUMIFS(Actual!P:P,Actual!$A:$A,'3)Target &amp; Cal_Staff'!$C98,Actual!$D:$D,'3)Target &amp; Cal_Staff'!$B98)</f>
        <v>8</v>
      </c>
      <c r="AB98" s="311"/>
      <c r="AC98" s="311"/>
      <c r="AD98" s="311"/>
      <c r="AE98" s="311"/>
      <c r="AF98" s="311"/>
      <c r="AG98" s="311"/>
      <c r="AH98" s="311"/>
      <c r="AI98" s="311"/>
      <c r="AJ98" s="311">
        <f>IFERROR(IF(VLOOKUP($B98,Shortage!$A:$M,AJ$2,FALSE)="Shortage",1,IFERROR(ROUND(X98/L98,4),0)),IFERROR(ROUND(X98/L98,4),0))</f>
        <v>0</v>
      </c>
      <c r="AK98" s="311">
        <f>IFERROR(IF(VLOOKUP($B98,Shortage!$A:$M,AK$2,FALSE)="Shortage",1,IFERROR(ROUND(Y98/M98,4),0)),IFERROR(ROUND(Y98/M98,4),0))</f>
        <v>1.0667</v>
      </c>
      <c r="AL98" s="311">
        <f>IFERROR(IF(VLOOKUP($B98,Shortage!$A:$M,AL$2,FALSE)="Shortage",1,IFERROR(ROUND(Z98/N98,4),0)),IFERROR(ROUND(Z98/N98,4),0))</f>
        <v>0.65</v>
      </c>
      <c r="AM98" s="311">
        <f>IFERROR(IF(VLOOKUP($B98,Shortage!$A:$M,AM$2,FALSE)="Shortage",1,IFERROR(ROUND(AA98/O98,4),0)),IFERROR(ROUND(AA98/O98,4),0))</f>
        <v>0.5333</v>
      </c>
      <c r="AN98" s="312">
        <f>IFERROR(_xlfn.XLOOKUP(AB98,'2) หลักการคำนวน Table'!$C$3:$K$3,'2) หลักการคำนวน Table'!$C$3:$K$3,,1),INDEX('2) หลักการคำนวน Table'!$C$3:$K$3,1))</f>
        <v>0.9</v>
      </c>
      <c r="AO98" s="312">
        <f>IFERROR(
  _xlfn.XLOOKUP(AC98,'2) หลักการคำนวน Table'!$C$3:$K$3,'2) หลักการคำนวน Table'!$C$3:$K$3,,1),
  IF(AC98&lt;MIN('2) หลักการคำนวน Table'!$C$3:$K$3),
     MIN('2) หลักการคำนวน Table'!$C$3:$K$3),
     MAX('2) หลักการคำนวน Table'!$C$3:$K$3)
  )
)</f>
        <v>0.9</v>
      </c>
      <c r="AP98" s="312">
        <f>IFERROR(
  _xlfn.XLOOKUP(AD98,'2) หลักการคำนวน Table'!$C$3:$K$3,'2) หลักการคำนวน Table'!$C$3:$K$3,,1),
  IF(AD98&lt;MIN('2) หลักการคำนวน Table'!$C$3:$K$3),
     MIN('2) หลักการคำนวน Table'!$C$3:$K$3),
     MAX('2) หลักการคำนวน Table'!$C$3:$K$3)
  )
)</f>
        <v>0.9</v>
      </c>
      <c r="AQ98" s="312">
        <f>IFERROR(
  _xlfn.XLOOKUP(AE98,'2) หลักการคำนวน Table'!$C$3:$K$3,'2) หลักการคำนวน Table'!$C$3:$K$3,,1),
  IF(AE98&lt;MIN('2) หลักการคำนวน Table'!$C$3:$K$3),
     MIN('2) หลักการคำนวน Table'!$C$3:$K$3),
     MAX('2) หลักการคำนวน Table'!$C$3:$K$3)
  )
)</f>
        <v>0.9</v>
      </c>
      <c r="AR98" s="312">
        <f>IFERROR(
  _xlfn.XLOOKUP(AF98,'2) หลักการคำนวน Table'!$C$3:$K$3,'2) หลักการคำนวน Table'!$C$3:$K$3,,1),
  IF(AF98&lt;MIN('2) หลักการคำนวน Table'!$C$3:$K$3),
     MIN('2) หลักการคำนวน Table'!$C$3:$K$3),
     MAX('2) หลักการคำนวน Table'!$C$3:$K$3)
  )
)</f>
        <v>0.9</v>
      </c>
      <c r="AS98" s="312">
        <f>IFERROR(
  _xlfn.XLOOKUP(AG98,'2) หลักการคำนวน Table'!$C$3:$K$3,'2) หลักการคำนวน Table'!$C$3:$K$3,,1),
  IF(AG98&lt;MIN('2) หลักการคำนวน Table'!$C$3:$K$3),
     MIN('2) หลักการคำนวน Table'!$C$3:$K$3),
     MAX('2) หลักการคำนวน Table'!$C$3:$K$3)
  )
)</f>
        <v>0.9</v>
      </c>
      <c r="AT98" s="312">
        <f>IFERROR(
  _xlfn.XLOOKUP(AH98,'2) หลักการคำนวน Table'!$C$3:$K$3,'2) หลักการคำนวน Table'!$C$3:$K$3,,1),
  IF(AH98&lt;MIN('2) หลักการคำนวน Table'!$C$3:$K$3),
     MIN('2) หลักการคำนวน Table'!$C$3:$K$3),
     MAX('2) หลักการคำนวน Table'!$C$3:$K$3)
  )
)</f>
        <v>0.9</v>
      </c>
      <c r="AU98" s="312">
        <f>IFERROR(
  _xlfn.XLOOKUP(AI98,'2) หลักการคำนวน Table'!$C$3:$K$3,'2) หลักการคำนวน Table'!$C$3:$K$3,,1),
  IF(AI98&lt;MIN('2) หลักการคำนวน Table'!$C$3:$K$3),
     MIN('2) หลักการคำนวน Table'!$C$3:$K$3),
     MAX('2) หลักการคำนวน Table'!$C$3:$K$3)
  )
)</f>
        <v>0.9</v>
      </c>
      <c r="AV98" s="312">
        <f>IFERROR(
  _xlfn.XLOOKUP(AJ98,'2) หลักการคำนวน Table'!$C$3:$K$3,'2) หลักการคำนวน Table'!$C$3:$K$3,,1),
  IF(AJ98&lt;MIN('2) หลักการคำนวน Table'!$C$3:$K$3),
     MIN('2) หลักการคำนวน Table'!$C$3:$K$3),
     MAX('2) หลักการคำนวน Table'!$C$3:$K$3)
  )
)</f>
        <v>0.9</v>
      </c>
      <c r="AW98" s="312">
        <f>IFERROR(
  _xlfn.XLOOKUP(AK98,'2) หลักการคำนวน Table'!$C$3:$K$3,'2) หลักการคำนวน Table'!$C$3:$K$3,,1),
  IF(AK98&lt;MIN('2) หลักการคำนวน Table'!$C$3:$K$3),
     MIN('2) หลักการคำนวน Table'!$C$3:$K$3),
     MAX('2) หลักการคำนวน Table'!$C$3:$K$3)
  )
)</f>
        <v>1.1000000000000001</v>
      </c>
      <c r="AX98" s="312">
        <f>IFERROR(
  _xlfn.XLOOKUP(AL98,'2) หลักการคำนวน Table'!$C$3:$K$3,'2) หลักการคำนวน Table'!$C$3:$K$3,,1),
  IF(AL98&lt;MIN('2) หลักการคำนวน Table'!$C$3:$K$3),
     MIN('2) หลักการคำนวน Table'!$C$3:$K$3),
     MAX('2) หลักการคำนวน Table'!$C$3:$K$3)
  )
)</f>
        <v>0.9</v>
      </c>
      <c r="AY98" s="312">
        <f>IFERROR(
  _xlfn.XLOOKUP(AM98,'2) หลักการคำนวน Table'!$C$3:$K$3,'2) หลักการคำนวน Table'!$C$3:$K$3,,1),
  IF(AM98&lt;MIN('2) หลักการคำนวน Table'!$C$3:$K$3),
     MIN('2) หลักการคำนวน Table'!$C$3:$K$3),
     MAX('2) หลักการคำนวน Table'!$C$3:$K$3)
  )
)</f>
        <v>0.9</v>
      </c>
      <c r="AZ98" s="279" t="e" cm="1">
        <f t="array" ref="AZ98">ROUND((_xlfn.XLOOKUP($C98,'2) หลักการคำนวน Table'!$A$4:$A$36,
_xlfn.XLOOKUP(AN98,'2)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A98" s="279" t="e" cm="1">
        <f t="array" ref="BA98">ROUND((_xlfn.XLOOKUP($C98,'2) หลักการคำนวน Table'!$A$4:$A$36,
_xlfn.XLOOKUP(AO98,'2)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B98" s="279" t="e" cm="1">
        <f t="array" ref="BB98">ROUND((_xlfn.XLOOKUP($C98,'2) หลักการคำนวน Table'!$A$4:$A$36,
_xlfn.XLOOKUP(AP98,'2)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C98" s="279" t="e" cm="1">
        <f t="array" ref="BC98">ROUND((_xlfn.XLOOKUP($C98,'2) หลักการคำนวน Table'!$A$4:$A$36,
_xlfn.XLOOKUP(AQ98,'2)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D98" s="279" t="e" cm="1">
        <f t="array" ref="BD98">ROUND((_xlfn.XLOOKUP($C98,'2) หลักการคำนวน Table'!$A$4:$A$36,
_xlfn.XLOOKUP(AR98,'2)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E98" s="279" t="e" cm="1">
        <f t="array" ref="BE98">ROUND((_xlfn.XLOOKUP($C98,'2) หลักการคำนวน Table'!$A$4:$A$36,
_xlfn.XLOOKUP(AS98,'2)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F98" s="279" t="e" cm="1">
        <f t="array" ref="BF98">ROUND((_xlfn.XLOOKUP($C98,'2) หลักการคำนวน Table'!$A$4:$A$36,
_xlfn.XLOOKUP(AT98,'2)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G98" s="279" t="e" cm="1">
        <f t="array" ref="BG98">ROUND((_xlfn.XLOOKUP($C98,'2) หลักการคำนวน Table'!$A$4:$A$36,
_xlfn.XLOOKUP(AU98,'2)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H98" s="279" t="e" cm="1">
        <f t="array" ref="BH98">ROUND((_xlfn.XLOOKUP($C98,'2) หลักการคำนวน Table'!$A$4:$A$36,
_xlfn.XLOOKUP(AV98,'2)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I98" s="279" t="e" cm="1">
        <f t="array" ref="BI98">ROUND((_xlfn.XLOOKUP($C98,'2) หลักการคำนวน Table'!$A$4:$A$36,
_xlfn.XLOOKUP(AW98,'2)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J98" s="279" t="e" cm="1">
        <f t="array" ref="BJ98">ROUND((_xlfn.XLOOKUP($C98,'2) หลักการคำนวน Table'!$A$4:$A$36,
_xlfn.XLOOKUP(AX98,'2)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K98" s="279" t="e" cm="1">
        <f t="array" ref="BK98">ROUND((_xlfn.XLOOKUP($C98,'2) หลักการคำนวน Table'!$A$4:$A$36,
_xlfn.XLOOKUP(AY98,'2) หลักการคำนวน Table'!$C$3:$K$3,'2) หลักการคำนวน Table'!$C$4:$K$36,,-1)))*(_xlfn.XLOOKUP($C98,'2) หลักการคำนวน Table'!$A$4:$A$36, _xlfn.XLOOKUP($B98,'2) หลักการคำนวน Table'!$L$3:$Z$3,'2) หลักการคำนวน Table'!$L$4:$Z$36))),0)</f>
        <v>#N/A</v>
      </c>
      <c r="BM98" s="278">
        <v>222220</v>
      </c>
      <c r="BN98" s="292">
        <v>0</v>
      </c>
    </row>
    <row r="99" spans="1:66" ht="14.7" customHeight="1" x14ac:dyDescent="0.25">
      <c r="A99" s="126">
        <f>VLOOKUP(C99,ASTBase!E:S,13,FALSE)</f>
        <v>222238</v>
      </c>
      <c r="B99" s="126" t="s">
        <v>413</v>
      </c>
      <c r="C99" s="232" t="s">
        <v>393</v>
      </c>
      <c r="D99" s="127">
        <v>0</v>
      </c>
      <c r="E99" s="127">
        <v>0</v>
      </c>
      <c r="F99" s="127">
        <v>170</v>
      </c>
      <c r="G99" s="127">
        <v>124</v>
      </c>
      <c r="H99" s="127">
        <v>85</v>
      </c>
      <c r="I99" s="127">
        <v>94</v>
      </c>
      <c r="J99" s="127">
        <v>94</v>
      </c>
      <c r="K99" s="127">
        <v>88</v>
      </c>
      <c r="L99" s="127">
        <v>100</v>
      </c>
      <c r="M99" s="127">
        <v>85</v>
      </c>
      <c r="N99" s="127">
        <v>75</v>
      </c>
      <c r="O99" s="127">
        <v>85</v>
      </c>
      <c r="P99" s="126">
        <v>0</v>
      </c>
      <c r="AB99" s="297">
        <f>IFERROR(IF(VLOOKUP($B99,Shortage!$A:$M,AB$2,FALSE)="Shortage",1,IFERROR(ROUND(P99/D99,4),0)),IFERROR(ROUND(P99/D99,4),0))</f>
        <v>0</v>
      </c>
      <c r="AC99" s="297">
        <f>IFERROR(IF(VLOOKUP($B99,Shortage!$A:$M,AC$2,FALSE)="Shortage",1,IFERROR(ROUND(Q99/E99,4),0)),IFERROR(ROUND(Q99/E99,4),0))</f>
        <v>0</v>
      </c>
      <c r="AD99" s="297">
        <f>IFERROR(IF(VLOOKUP($B99,Shortage!$A:$M,AD$2,FALSE)="Shortage",1,IFERROR(ROUND(R99/F99,4),0)),IFERROR(ROUND(R99/F99,4),0))</f>
        <v>0</v>
      </c>
      <c r="AE99" s="297">
        <f>IFERROR(IF(VLOOKUP($B99,Shortage!$A:$M,AE$2,FALSE)="Shortage",1,IFERROR(ROUND(S99/G99,4),0)),IFERROR(ROUND(S99/G99,4),0))</f>
        <v>0</v>
      </c>
      <c r="AF99" s="297">
        <f>IFERROR(IF(VLOOKUP($B99,Shortage!$A:$M,AF$2,FALSE)="Shortage",1,IFERROR(ROUND(T99/H99,4),0)),IFERROR(ROUND(T99/H99,4),0))</f>
        <v>0</v>
      </c>
      <c r="AG99" s="297">
        <f>IFERROR(IF(VLOOKUP($B99,Shortage!$A:$M,AG$2,FALSE)="Shortage",1,IFERROR(ROUND(U99/I99,4),0)),IFERROR(ROUND(U99/I99,4),0))</f>
        <v>0</v>
      </c>
      <c r="AH99" s="297">
        <f>IFERROR(IF(VLOOKUP($B99,Shortage!$A:$M,AH$2,FALSE)="Shortage",1,IFERROR(ROUND(V99/J99,4),0)),IFERROR(ROUND(V99/J99,4),0))</f>
        <v>0</v>
      </c>
      <c r="AI99" s="297">
        <f>IFERROR(IF(VLOOKUP($B99,Shortage!$A:$M,AI$2,FALSE)="Shortage",1,IFERROR(ROUND(W99/K99,4),0)),IFERROR(ROUND(W99/K99,4),0))</f>
        <v>0</v>
      </c>
      <c r="AJ99" s="297">
        <f>IFERROR(IF(VLOOKUP($B99,Shortage!$A:$M,AJ$2,FALSE)="Shortage",1,IFERROR(ROUND(X99/L99,4),0)),IFERROR(ROUND(X99/L99,4),0))</f>
        <v>0</v>
      </c>
      <c r="AK99" s="297">
        <f>IFERROR(IF(VLOOKUP($B99,Shortage!$A:$M,AK$2,FALSE)="Shortage",1,IFERROR(ROUND(Y99/M99,4),0)),IFERROR(ROUND(Y99/M99,4),0))</f>
        <v>0</v>
      </c>
      <c r="AL99" s="297">
        <f>IFERROR(IF(VLOOKUP($B99,Shortage!$A:$M,AL$2,FALSE)="Shortage",1,IFERROR(ROUND(Z99/N99,4),0)),IFERROR(ROUND(Z99/N99,4),0))</f>
        <v>0</v>
      </c>
      <c r="AM99" s="297">
        <f>IFERROR(IF(VLOOKUP($B99,Shortage!$A:$M,AM$2,FALSE)="Shortage",1,IFERROR(ROUND(AA99/O99,4),0)),IFERROR(ROUND(AA99/O99,4),0))</f>
        <v>0</v>
      </c>
      <c r="AN99" s="298">
        <f>IFERROR(_xlfn.XLOOKUP(AB99,'2) หลักการคำนวน Table'!$C$3:$K$3,'2) หลักการคำนวน Table'!$C$3:$K$3,,1),INDEX('2) หลักการคำนวน Table'!$C$3:$K$3,1))</f>
        <v>0.9</v>
      </c>
      <c r="AO99" s="298">
        <f>IFERROR(
  _xlfn.XLOOKUP(AC99,'2) หลักการคำนวน Table'!$C$3:$K$3,'2) หลักการคำนวน Table'!$C$3:$K$3,,1),
  IF(AC99&lt;MIN('2) หลักการคำนวน Table'!$C$3:$K$3),
     MIN('2) หลักการคำนวน Table'!$C$3:$K$3),
     MAX('2) หลักการคำนวน Table'!$C$3:$K$3)
  )
)</f>
        <v>0.9</v>
      </c>
      <c r="AP99" s="298">
        <f>IFERROR(
  _xlfn.XLOOKUP(AD99,'2) หลักการคำนวน Table'!$C$3:$K$3,'2) หลักการคำนวน Table'!$C$3:$K$3,,1),
  IF(AD99&lt;MIN('2) หลักการคำนวน Table'!$C$3:$K$3),
     MIN('2) หลักการคำนวน Table'!$C$3:$K$3),
     MAX('2) หลักการคำนวน Table'!$C$3:$K$3)
  )
)</f>
        <v>0.9</v>
      </c>
      <c r="AQ99" s="298">
        <f>IFERROR(
  _xlfn.XLOOKUP(AE99,'2) หลักการคำนวน Table'!$C$3:$K$3,'2) หลักการคำนวน Table'!$C$3:$K$3,,1),
  IF(AE99&lt;MIN('2) หลักการคำนวน Table'!$C$3:$K$3),
     MIN('2) หลักการคำนวน Table'!$C$3:$K$3),
     MAX('2) หลักการคำนวน Table'!$C$3:$K$3)
  )
)</f>
        <v>0.9</v>
      </c>
      <c r="AR99" s="298">
        <f>IFERROR(
  _xlfn.XLOOKUP(AF99,'2) หลักการคำนวน Table'!$C$3:$K$3,'2) หลักการคำนวน Table'!$C$3:$K$3,,1),
  IF(AF99&lt;MIN('2) หลักการคำนวน Table'!$C$3:$K$3),
     MIN('2) หลักการคำนวน Table'!$C$3:$K$3),
     MAX('2) หลักการคำนวน Table'!$C$3:$K$3)
  )
)</f>
        <v>0.9</v>
      </c>
      <c r="AS99" s="298">
        <f>IFERROR(
  _xlfn.XLOOKUP(AG99,'2) หลักการคำนวน Table'!$C$3:$K$3,'2) หลักการคำนวน Table'!$C$3:$K$3,,1),
  IF(AG99&lt;MIN('2) หลักการคำนวน Table'!$C$3:$K$3),
     MIN('2) หลักการคำนวน Table'!$C$3:$K$3),
     MAX('2) หลักการคำนวน Table'!$C$3:$K$3)
  )
)</f>
        <v>0.9</v>
      </c>
      <c r="AT99" s="298">
        <f>IFERROR(
  _xlfn.XLOOKUP(AH99,'2) หลักการคำนวน Table'!$C$3:$K$3,'2) หลักการคำนวน Table'!$C$3:$K$3,,1),
  IF(AH99&lt;MIN('2) หลักการคำนวน Table'!$C$3:$K$3),
     MIN('2) หลักการคำนวน Table'!$C$3:$K$3),
     MAX('2) หลักการคำนวน Table'!$C$3:$K$3)
  )
)</f>
        <v>0.9</v>
      </c>
      <c r="AU99" s="298">
        <f>IFERROR(
  _xlfn.XLOOKUP(AI99,'2) หลักการคำนวน Table'!$C$3:$K$3,'2) หลักการคำนวน Table'!$C$3:$K$3,,1),
  IF(AI99&lt;MIN('2) หลักการคำนวน Table'!$C$3:$K$3),
     MIN('2) หลักการคำนวน Table'!$C$3:$K$3),
     MAX('2) หลักการคำนวน Table'!$C$3:$K$3)
  )
)</f>
        <v>0.9</v>
      </c>
      <c r="AV99" s="298">
        <f>IFERROR(
  _xlfn.XLOOKUP(AJ99,'2) หลักการคำนวน Table'!$C$3:$K$3,'2) หลักการคำนวน Table'!$C$3:$K$3,,1),
  IF(AJ99&lt;MIN('2) หลักการคำนวน Table'!$C$3:$K$3),
     MIN('2) หลักการคำนวน Table'!$C$3:$K$3),
     MAX('2) หลักการคำนวน Table'!$C$3:$K$3)
  )
)</f>
        <v>0.9</v>
      </c>
      <c r="AW99" s="298">
        <f>IFERROR(
  _xlfn.XLOOKUP(AK99,'2) หลักการคำนวน Table'!$C$3:$K$3,'2) หลักการคำนวน Table'!$C$3:$K$3,,1),
  IF(AK99&lt;MIN('2) หลักการคำนวน Table'!$C$3:$K$3),
     MIN('2) หลักการคำนวน Table'!$C$3:$K$3),
     MAX('2) หลักการคำนวน Table'!$C$3:$K$3)
  )
)</f>
        <v>0.9</v>
      </c>
      <c r="AX99" s="298">
        <f>IFERROR(
  _xlfn.XLOOKUP(AL99,'2) หลักการคำนวน Table'!$C$3:$K$3,'2) หลักการคำนวน Table'!$C$3:$K$3,,1),
  IF(AL99&lt;MIN('2) หลักการคำนวน Table'!$C$3:$K$3),
     MIN('2) หลักการคำนวน Table'!$C$3:$K$3),
     MAX('2) หลักการคำนวน Table'!$C$3:$K$3)
  )
)</f>
        <v>0.9</v>
      </c>
      <c r="AY99" s="298">
        <f>IFERROR(
  _xlfn.XLOOKUP(AM99,'2) หลักการคำนวน Table'!$C$3:$K$3,'2) หลักการคำนวน Table'!$C$3:$K$3,,1),
  IF(AM99&lt;MIN('2) หลักการคำนวน Table'!$C$3:$K$3),
     MIN('2) หลักการคำนวน Table'!$C$3:$K$3),
     MAX('2) หลักการคำนวน Table'!$C$3:$K$3)
  )
)</f>
        <v>0.9</v>
      </c>
      <c r="AZ99" s="299" cm="1">
        <f t="array" ref="AZ99">ROUND((_xlfn.XLOOKUP($C99,'2) หลักการคำนวน Table'!$A$4:$A$36,
_xlfn.XLOOKUP(AN99,'2)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A99" s="299" cm="1">
        <f t="array" ref="BA99">ROUND((_xlfn.XLOOKUP($C99,'2) หลักการคำนวน Table'!$A$4:$A$36,
_xlfn.XLOOKUP(AO99,'2)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B99" s="299" cm="1">
        <f t="array" ref="BB99">ROUND((_xlfn.XLOOKUP($C99,'2) หลักการคำนวน Table'!$A$4:$A$36,
_xlfn.XLOOKUP(AP99,'2)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C99" s="299" cm="1">
        <f t="array" ref="BC99">ROUND((_xlfn.XLOOKUP($C99,'2) หลักการคำนวน Table'!$A$4:$A$36,
_xlfn.XLOOKUP(AQ99,'2)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D99" s="299" cm="1">
        <f t="array" ref="BD99">ROUND((_xlfn.XLOOKUP($C99,'2) หลักการคำนวน Table'!$A$4:$A$36,
_xlfn.XLOOKUP(AR99,'2)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E99" s="299" cm="1">
        <f t="array" ref="BE99">ROUND((_xlfn.XLOOKUP($C99,'2) หลักการคำนวน Table'!$A$4:$A$36,
_xlfn.XLOOKUP(AS99,'2)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F99" s="299" cm="1">
        <f t="array" ref="BF99">ROUND((_xlfn.XLOOKUP($C99,'2) หลักการคำนวน Table'!$A$4:$A$36,
_xlfn.XLOOKUP(AT99,'2)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G99" s="299" cm="1">
        <f t="array" ref="BG99">ROUND((_xlfn.XLOOKUP($C99,'2) หลักการคำนวน Table'!$A$4:$A$36,
_xlfn.XLOOKUP(AU99,'2)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H99" s="299" cm="1">
        <f t="array" ref="BH99">ROUND((_xlfn.XLOOKUP($C99,'2) หลักการคำนวน Table'!$A$4:$A$36,
_xlfn.XLOOKUP(AV99,'2)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I99" s="299" cm="1">
        <f t="array" ref="BI99">ROUND((_xlfn.XLOOKUP($C99,'2) หลักการคำนวน Table'!$A$4:$A$36,
_xlfn.XLOOKUP(AW99,'2)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J99" s="299" cm="1">
        <f t="array" ref="BJ99">ROUND((_xlfn.XLOOKUP($C99,'2) หลักการคำนวน Table'!$A$4:$A$36,
_xlfn.XLOOKUP(AX99,'2)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K99" s="299" cm="1">
        <f t="array" ref="BK99">ROUND((_xlfn.XLOOKUP($C99,'2) หลักการคำนวน Table'!$A$4:$A$36,
_xlfn.XLOOKUP(AY99,'2) หลักการคำนวน Table'!$C$3:$K$3,'2) หลักการคำนวน Table'!$C$4:$K$36,,-1)))*(_xlfn.XLOOKUP($C99,'2) หลักการคำนวน Table'!$A$4:$A$36, _xlfn.XLOOKUP($B99,'2) หลักการคำนวน Table'!$L$3:$Z$3,'2) หลักการคำนวน Table'!$L$4:$Z$36))),0)</f>
        <v>0</v>
      </c>
      <c r="BM99" s="295">
        <v>222201</v>
      </c>
      <c r="BN99" s="300">
        <v>0</v>
      </c>
    </row>
    <row r="100" spans="1:66" ht="14.7" customHeight="1" x14ac:dyDescent="0.25">
      <c r="A100" s="126">
        <f>VLOOKUP(C100,ASTBase!E:S,13,FALSE)</f>
        <v>222238</v>
      </c>
      <c r="B100" s="126" t="s">
        <v>412</v>
      </c>
      <c r="C100" s="232" t="s">
        <v>393</v>
      </c>
      <c r="D100" s="127">
        <v>501303</v>
      </c>
      <c r="E100" s="127">
        <v>479081.89999965997</v>
      </c>
      <c r="F100" s="127">
        <v>488362</v>
      </c>
      <c r="G100" s="127">
        <v>486152</v>
      </c>
      <c r="H100" s="127">
        <v>504852</v>
      </c>
      <c r="I100" s="127">
        <v>481213.999999322</v>
      </c>
      <c r="J100" s="127">
        <v>494409.44999999902</v>
      </c>
      <c r="K100" s="127">
        <v>489462</v>
      </c>
      <c r="L100" s="127">
        <v>491652</v>
      </c>
      <c r="M100" s="127">
        <v>509351</v>
      </c>
      <c r="N100" s="127">
        <v>480308.783333153</v>
      </c>
      <c r="O100" s="127">
        <v>493852</v>
      </c>
      <c r="P100" s="126">
        <v>400630.83332634991</v>
      </c>
      <c r="AB100" s="297">
        <f>IFERROR(IF(VLOOKUP($B100,Shortage!$A:$M,AB$2,FALSE)="Shortage",1,IFERROR(ROUND(P100/D100,4),0)),IFERROR(ROUND(P100/D100,4),0))</f>
        <v>1</v>
      </c>
      <c r="AC100" s="297">
        <f>IFERROR(IF(VLOOKUP($B100,Shortage!$A:$M,AC$2,FALSE)="Shortage",1,IFERROR(ROUND(Q100/E100,4),0)),IFERROR(ROUND(Q100/E100,4),0))</f>
        <v>0</v>
      </c>
      <c r="AD100" s="297">
        <f>IFERROR(IF(VLOOKUP($B100,Shortage!$A:$M,AD$2,FALSE)="Shortage",1,IFERROR(ROUND(R100/F100,4),0)),IFERROR(ROUND(R100/F100,4),0))</f>
        <v>0</v>
      </c>
      <c r="AE100" s="297">
        <f>IFERROR(IF(VLOOKUP($B100,Shortage!$A:$M,AE$2,FALSE)="Shortage",1,IFERROR(ROUND(S100/G100,4),0)),IFERROR(ROUND(S100/G100,4),0))</f>
        <v>0</v>
      </c>
      <c r="AF100" s="297">
        <f>IFERROR(IF(VLOOKUP($B100,Shortage!$A:$M,AF$2,FALSE)="Shortage",1,IFERROR(ROUND(T100/H100,4),0)),IFERROR(ROUND(T100/H100,4),0))</f>
        <v>0</v>
      </c>
      <c r="AG100" s="297">
        <f>IFERROR(IF(VLOOKUP($B100,Shortage!$A:$M,AG$2,FALSE)="Shortage",1,IFERROR(ROUND(U100/I100,4),0)),IFERROR(ROUND(U100/I100,4),0))</f>
        <v>0</v>
      </c>
      <c r="AH100" s="297">
        <f>IFERROR(IF(VLOOKUP($B100,Shortage!$A:$M,AH$2,FALSE)="Shortage",1,IFERROR(ROUND(V100/J100,4),0)),IFERROR(ROUND(V100/J100,4),0))</f>
        <v>0</v>
      </c>
      <c r="AI100" s="297">
        <f>IFERROR(IF(VLOOKUP($B100,Shortage!$A:$M,AI$2,FALSE)="Shortage",1,IFERROR(ROUND(W100/K100,4),0)),IFERROR(ROUND(W100/K100,4),0))</f>
        <v>0</v>
      </c>
      <c r="AJ100" s="297">
        <f>IFERROR(IF(VLOOKUP($B100,Shortage!$A:$M,AJ$2,FALSE)="Shortage",1,IFERROR(ROUND(X100/L100,4),0)),IFERROR(ROUND(X100/L100,4),0))</f>
        <v>0</v>
      </c>
      <c r="AK100" s="297">
        <f>IFERROR(IF(VLOOKUP($B100,Shortage!$A:$M,AK$2,FALSE)="Shortage",1,IFERROR(ROUND(Y100/M100,4),0)),IFERROR(ROUND(Y100/M100,4),0))</f>
        <v>0</v>
      </c>
      <c r="AL100" s="297">
        <f>IFERROR(IF(VLOOKUP($B100,Shortage!$A:$M,AL$2,FALSE)="Shortage",1,IFERROR(ROUND(Z100/N100,4),0)),IFERROR(ROUND(Z100/N100,4),0))</f>
        <v>0</v>
      </c>
      <c r="AM100" s="297">
        <f>IFERROR(IF(VLOOKUP($B100,Shortage!$A:$M,AM$2,FALSE)="Shortage",1,IFERROR(ROUND(AA100/O100,4),0)),IFERROR(ROUND(AA100/O100,4),0))</f>
        <v>0</v>
      </c>
      <c r="AN100" s="298">
        <f>IFERROR(_xlfn.XLOOKUP(AB100,'2) หลักการคำนวน Table'!$C$3:$K$3,'2) หลักการคำนวน Table'!$C$3:$K$3,,1),INDEX('2) หลักการคำนวน Table'!$C$3:$K$3,1))</f>
        <v>1</v>
      </c>
      <c r="AO100" s="298">
        <f>IFERROR(
  _xlfn.XLOOKUP(AC100,'2) หลักการคำนวน Table'!$C$3:$K$3,'2) หลักการคำนวน Table'!$C$3:$K$3,,1),
  IF(AC100&lt;MIN('2) หลักการคำนวน Table'!$C$3:$K$3),
     MIN('2) หลักการคำนวน Table'!$C$3:$K$3),
     MAX('2) หลักการคำนวน Table'!$C$3:$K$3)
  )
)</f>
        <v>0.9</v>
      </c>
      <c r="AP100" s="298">
        <f>IFERROR(
  _xlfn.XLOOKUP(AD100,'2) หลักการคำนวน Table'!$C$3:$K$3,'2) หลักการคำนวน Table'!$C$3:$K$3,,1),
  IF(AD100&lt;MIN('2) หลักการคำนวน Table'!$C$3:$K$3),
     MIN('2) หลักการคำนวน Table'!$C$3:$K$3),
     MAX('2) หลักการคำนวน Table'!$C$3:$K$3)
  )
)</f>
        <v>0.9</v>
      </c>
      <c r="AQ100" s="298">
        <f>IFERROR(
  _xlfn.XLOOKUP(AE100,'2) หลักการคำนวน Table'!$C$3:$K$3,'2) หลักการคำนวน Table'!$C$3:$K$3,,1),
  IF(AE100&lt;MIN('2) หลักการคำนวน Table'!$C$3:$K$3),
     MIN('2) หลักการคำนวน Table'!$C$3:$K$3),
     MAX('2) หลักการคำนวน Table'!$C$3:$K$3)
  )
)</f>
        <v>0.9</v>
      </c>
      <c r="AR100" s="298">
        <f>IFERROR(
  _xlfn.XLOOKUP(AF100,'2) หลักการคำนวน Table'!$C$3:$K$3,'2) หลักการคำนวน Table'!$C$3:$K$3,,1),
  IF(AF100&lt;MIN('2) หลักการคำนวน Table'!$C$3:$K$3),
     MIN('2) หลักการคำนวน Table'!$C$3:$K$3),
     MAX('2) หลักการคำนวน Table'!$C$3:$K$3)
  )
)</f>
        <v>0.9</v>
      </c>
      <c r="AS100" s="298">
        <f>IFERROR(
  _xlfn.XLOOKUP(AG100,'2) หลักการคำนวน Table'!$C$3:$K$3,'2) หลักการคำนวน Table'!$C$3:$K$3,,1),
  IF(AG100&lt;MIN('2) หลักการคำนวน Table'!$C$3:$K$3),
     MIN('2) หลักการคำนวน Table'!$C$3:$K$3),
     MAX('2) หลักการคำนวน Table'!$C$3:$K$3)
  )
)</f>
        <v>0.9</v>
      </c>
      <c r="AT100" s="298">
        <f>IFERROR(
  _xlfn.XLOOKUP(AH100,'2) หลักการคำนวน Table'!$C$3:$K$3,'2) หลักการคำนวน Table'!$C$3:$K$3,,1),
  IF(AH100&lt;MIN('2) หลักการคำนวน Table'!$C$3:$K$3),
     MIN('2) หลักการคำนวน Table'!$C$3:$K$3),
     MAX('2) หลักการคำนวน Table'!$C$3:$K$3)
  )
)</f>
        <v>0.9</v>
      </c>
      <c r="AU100" s="298">
        <f>IFERROR(
  _xlfn.XLOOKUP(AI100,'2) หลักการคำนวน Table'!$C$3:$K$3,'2) หลักการคำนวน Table'!$C$3:$K$3,,1),
  IF(AI100&lt;MIN('2) หลักการคำนวน Table'!$C$3:$K$3),
     MIN('2) หลักการคำนวน Table'!$C$3:$K$3),
     MAX('2) หลักการคำนวน Table'!$C$3:$K$3)
  )
)</f>
        <v>0.9</v>
      </c>
      <c r="AV100" s="298">
        <f>IFERROR(
  _xlfn.XLOOKUP(AJ100,'2) หลักการคำนวน Table'!$C$3:$K$3,'2) หลักการคำนวน Table'!$C$3:$K$3,,1),
  IF(AJ100&lt;MIN('2) หลักการคำนวน Table'!$C$3:$K$3),
     MIN('2) หลักการคำนวน Table'!$C$3:$K$3),
     MAX('2) หลักการคำนวน Table'!$C$3:$K$3)
  )
)</f>
        <v>0.9</v>
      </c>
      <c r="AW100" s="298">
        <f>IFERROR(
  _xlfn.XLOOKUP(AK100,'2) หลักการคำนวน Table'!$C$3:$K$3,'2) หลักการคำนวน Table'!$C$3:$K$3,,1),
  IF(AK100&lt;MIN('2) หลักการคำนวน Table'!$C$3:$K$3),
     MIN('2) หลักการคำนวน Table'!$C$3:$K$3),
     MAX('2) หลักการคำนวน Table'!$C$3:$K$3)
  )
)</f>
        <v>0.9</v>
      </c>
      <c r="AX100" s="298">
        <f>IFERROR(
  _xlfn.XLOOKUP(AL100,'2) หลักการคำนวน Table'!$C$3:$K$3,'2) หลักการคำนวน Table'!$C$3:$K$3,,1),
  IF(AL100&lt;MIN('2) หลักการคำนวน Table'!$C$3:$K$3),
     MIN('2) หลักการคำนวน Table'!$C$3:$K$3),
     MAX('2) หลักการคำนวน Table'!$C$3:$K$3)
  )
)</f>
        <v>0.9</v>
      </c>
      <c r="AY100" s="298">
        <f>IFERROR(
  _xlfn.XLOOKUP(AM100,'2) หลักการคำนวน Table'!$C$3:$K$3,'2) หลักการคำนวน Table'!$C$3:$K$3,,1),
  IF(AM100&lt;MIN('2) หลักการคำนวน Table'!$C$3:$K$3),
     MIN('2) หลักการคำนวน Table'!$C$3:$K$3),
     MAX('2) หลักการคำนวน Table'!$C$3:$K$3)
  )
)</f>
        <v>0.9</v>
      </c>
      <c r="AZ100" s="299" cm="1">
        <f t="array" ref="AZ100">ROUND((_xlfn.XLOOKUP($C100,'2) หลักการคำนวน Table'!$A$4:$A$36,
_xlfn.XLOOKUP(AN100,'2)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3692</v>
      </c>
      <c r="BA100" s="299" cm="1">
        <f t="array" ref="BA100">ROUND((_xlfn.XLOOKUP($C100,'2) หลักการคำนวน Table'!$A$4:$A$36,
_xlfn.XLOOKUP(AO100,'2)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3323</v>
      </c>
      <c r="BB100" s="299" cm="1">
        <f t="array" ref="BB100">ROUND((_xlfn.XLOOKUP($C100,'2) หลักการคำนวน Table'!$A$4:$A$36,
_xlfn.XLOOKUP(AP100,'2)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3323</v>
      </c>
      <c r="BC100" s="299" cm="1">
        <f t="array" ref="BC100">ROUND((_xlfn.XLOOKUP($C100,'2) หลักการคำนวน Table'!$A$4:$A$36,
_xlfn.XLOOKUP(AQ100,'2)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3323</v>
      </c>
      <c r="BD100" s="299" cm="1">
        <f t="array" ref="BD100">ROUND((_xlfn.XLOOKUP($C100,'2) หลักการคำนวน Table'!$A$4:$A$36,
_xlfn.XLOOKUP(AR100,'2)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3323</v>
      </c>
      <c r="BE100" s="299" cm="1">
        <f t="array" ref="BE100">ROUND((_xlfn.XLOOKUP($C100,'2) หลักการคำนวน Table'!$A$4:$A$36,
_xlfn.XLOOKUP(AS100,'2)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3323</v>
      </c>
      <c r="BF100" s="299" cm="1">
        <f t="array" ref="BF100">ROUND((_xlfn.XLOOKUP($C100,'2) หลักการคำนวน Table'!$A$4:$A$36,
_xlfn.XLOOKUP(AT100,'2)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3323</v>
      </c>
      <c r="BG100" s="299" cm="1">
        <f t="array" ref="BG100">ROUND((_xlfn.XLOOKUP($C100,'2) หลักการคำนวน Table'!$A$4:$A$36,
_xlfn.XLOOKUP(AU100,'2)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3323</v>
      </c>
      <c r="BH100" s="299" cm="1">
        <f t="array" ref="BH100">ROUND((_xlfn.XLOOKUP($C100,'2) หลักการคำนวน Table'!$A$4:$A$36,
_xlfn.XLOOKUP(AV100,'2)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3323</v>
      </c>
      <c r="BI100" s="299" cm="1">
        <f t="array" ref="BI100">ROUND((_xlfn.XLOOKUP($C100,'2) หลักการคำนวน Table'!$A$4:$A$36,
_xlfn.XLOOKUP(AW100,'2)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3323</v>
      </c>
      <c r="BJ100" s="299" cm="1">
        <f t="array" ref="BJ100">ROUND((_xlfn.XLOOKUP($C100,'2) หลักการคำนวน Table'!$A$4:$A$36,
_xlfn.XLOOKUP(AX100,'2)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3323</v>
      </c>
      <c r="BK100" s="299" cm="1">
        <f t="array" ref="BK100">ROUND((_xlfn.XLOOKUP($C100,'2) หลักการคำนวน Table'!$A$4:$A$36,
_xlfn.XLOOKUP(AY100,'2) หลักการคำนวน Table'!$C$3:$K$3,'2) หลักการคำนวน Table'!$C$4:$K$36,,-1)))*(_xlfn.XLOOKUP($C100,'2) หลักการคำนวน Table'!$A$4:$A$36, _xlfn.XLOOKUP($B100,'2) หลักการคำนวน Table'!$L$3:$Z$3,'2) หลักการคำนวน Table'!$L$4:$Z$36))),0)</f>
        <v>3323</v>
      </c>
      <c r="BM100" s="295">
        <v>222201</v>
      </c>
      <c r="BN100" s="300">
        <v>3692</v>
      </c>
    </row>
    <row r="101" spans="1:66" ht="14.7" customHeight="1" x14ac:dyDescent="0.25">
      <c r="A101" s="126">
        <f>VLOOKUP(C101,ASTBase!E:S,13,FALSE)</f>
        <v>222238</v>
      </c>
      <c r="B101" s="126" t="s">
        <v>417</v>
      </c>
      <c r="C101" s="232" t="s">
        <v>393</v>
      </c>
      <c r="D101" s="127">
        <v>150</v>
      </c>
      <c r="E101" s="127">
        <v>8</v>
      </c>
      <c r="F101" s="127">
        <v>10</v>
      </c>
      <c r="G101" s="127">
        <v>8</v>
      </c>
      <c r="H101" s="127">
        <v>10</v>
      </c>
      <c r="I101" s="127">
        <v>15</v>
      </c>
      <c r="J101" s="127">
        <v>15</v>
      </c>
      <c r="K101" s="127">
        <v>8</v>
      </c>
      <c r="L101" s="127">
        <v>10</v>
      </c>
      <c r="M101" s="127">
        <v>10</v>
      </c>
      <c r="N101" s="127">
        <v>10</v>
      </c>
      <c r="O101" s="127">
        <v>15</v>
      </c>
      <c r="P101" s="126">
        <v>154.99999999008</v>
      </c>
      <c r="AB101" s="297">
        <f>IFERROR(IF(VLOOKUP($B101,Shortage!$A:$M,AB$2,FALSE)="Shortage",1,IFERROR(ROUND(P101/D101,4),0)),IFERROR(ROUND(P101/D101,4),0))</f>
        <v>1.0333000000000001</v>
      </c>
      <c r="AC101" s="297">
        <f>IFERROR(IF(VLOOKUP($B101,Shortage!$A:$M,AC$2,FALSE)="Shortage",1,IFERROR(ROUND(Q101/E101,4),0)),IFERROR(ROUND(Q101/E101,4),0))</f>
        <v>0</v>
      </c>
      <c r="AD101" s="297">
        <f>IFERROR(IF(VLOOKUP($B101,Shortage!$A:$M,AD$2,FALSE)="Shortage",1,IFERROR(ROUND(R101/F101,4),0)),IFERROR(ROUND(R101/F101,4),0))</f>
        <v>0</v>
      </c>
      <c r="AE101" s="297">
        <f>IFERROR(IF(VLOOKUP($B101,Shortage!$A:$M,AE$2,FALSE)="Shortage",1,IFERROR(ROUND(S101/G101,4),0)),IFERROR(ROUND(S101/G101,4),0))</f>
        <v>0</v>
      </c>
      <c r="AF101" s="297">
        <f>IFERROR(IF(VLOOKUP($B101,Shortage!$A:$M,AF$2,FALSE)="Shortage",1,IFERROR(ROUND(T101/H101,4),0)),IFERROR(ROUND(T101/H101,4),0))</f>
        <v>0</v>
      </c>
      <c r="AG101" s="297">
        <f>IFERROR(IF(VLOOKUP($B101,Shortage!$A:$M,AG$2,FALSE)="Shortage",1,IFERROR(ROUND(U101/I101,4),0)),IFERROR(ROUND(U101/I101,4),0))</f>
        <v>0</v>
      </c>
      <c r="AH101" s="297">
        <f>IFERROR(IF(VLOOKUP($B101,Shortage!$A:$M,AH$2,FALSE)="Shortage",1,IFERROR(ROUND(V101/J101,4),0)),IFERROR(ROUND(V101/J101,4),0))</f>
        <v>0</v>
      </c>
      <c r="AI101" s="297">
        <f>IFERROR(IF(VLOOKUP($B101,Shortage!$A:$M,AI$2,FALSE)="Shortage",1,IFERROR(ROUND(W101/K101,4),0)),IFERROR(ROUND(W101/K101,4),0))</f>
        <v>0</v>
      </c>
      <c r="AJ101" s="297">
        <f>IFERROR(IF(VLOOKUP($B101,Shortage!$A:$M,AJ$2,FALSE)="Shortage",1,IFERROR(ROUND(X101/L101,4),0)),IFERROR(ROUND(X101/L101,4),0))</f>
        <v>0</v>
      </c>
      <c r="AK101" s="297">
        <f>IFERROR(IF(VLOOKUP($B101,Shortage!$A:$M,AK$2,FALSE)="Shortage",1,IFERROR(ROUND(Y101/M101,4),0)),IFERROR(ROUND(Y101/M101,4),0))</f>
        <v>0</v>
      </c>
      <c r="AL101" s="297">
        <f>IFERROR(IF(VLOOKUP($B101,Shortage!$A:$M,AL$2,FALSE)="Shortage",1,IFERROR(ROUND(Z101/N101,4),0)),IFERROR(ROUND(Z101/N101,4),0))</f>
        <v>0</v>
      </c>
      <c r="AM101" s="297">
        <f>IFERROR(IF(VLOOKUP($B101,Shortage!$A:$M,AM$2,FALSE)="Shortage",1,IFERROR(ROUND(AA101/O101,4),0)),IFERROR(ROUND(AA101/O101,4),0))</f>
        <v>0</v>
      </c>
      <c r="AN101" s="298">
        <f>IFERROR(_xlfn.XLOOKUP(AB101,'2) หลักการคำนวน Table'!$C$3:$K$3,'2) หลักการคำนวน Table'!$C$3:$K$3,,1),INDEX('2) หลักการคำนวน Table'!$C$3:$K$3,1))</f>
        <v>1.06</v>
      </c>
      <c r="AO101" s="298">
        <f>IFERROR(
  _xlfn.XLOOKUP(AC101,'2) หลักการคำนวน Table'!$C$3:$K$3,'2) หลักการคำนวน Table'!$C$3:$K$3,,1),
  IF(AC101&lt;MIN('2) หลักการคำนวน Table'!$C$3:$K$3),
     MIN('2) หลักการคำนวน Table'!$C$3:$K$3),
     MAX('2) หลักการคำนวน Table'!$C$3:$K$3)
  )
)</f>
        <v>0.9</v>
      </c>
      <c r="AP101" s="298">
        <f>IFERROR(
  _xlfn.XLOOKUP(AD101,'2) หลักการคำนวน Table'!$C$3:$K$3,'2) หลักการคำนวน Table'!$C$3:$K$3,,1),
  IF(AD101&lt;MIN('2) หลักการคำนวน Table'!$C$3:$K$3),
     MIN('2) หลักการคำนวน Table'!$C$3:$K$3),
     MAX('2) หลักการคำนวน Table'!$C$3:$K$3)
  )
)</f>
        <v>0.9</v>
      </c>
      <c r="AQ101" s="298">
        <f>IFERROR(
  _xlfn.XLOOKUP(AE101,'2) หลักการคำนวน Table'!$C$3:$K$3,'2) หลักการคำนวน Table'!$C$3:$K$3,,1),
  IF(AE101&lt;MIN('2) หลักการคำนวน Table'!$C$3:$K$3),
     MIN('2) หลักการคำนวน Table'!$C$3:$K$3),
     MAX('2) หลักการคำนวน Table'!$C$3:$K$3)
  )
)</f>
        <v>0.9</v>
      </c>
      <c r="AR101" s="298">
        <f>IFERROR(
  _xlfn.XLOOKUP(AF101,'2) หลักการคำนวน Table'!$C$3:$K$3,'2) หลักการคำนวน Table'!$C$3:$K$3,,1),
  IF(AF101&lt;MIN('2) หลักการคำนวน Table'!$C$3:$K$3),
     MIN('2) หลักการคำนวน Table'!$C$3:$K$3),
     MAX('2) หลักการคำนวน Table'!$C$3:$K$3)
  )
)</f>
        <v>0.9</v>
      </c>
      <c r="AS101" s="298">
        <f>IFERROR(
  _xlfn.XLOOKUP(AG101,'2) หลักการคำนวน Table'!$C$3:$K$3,'2) หลักการคำนวน Table'!$C$3:$K$3,,1),
  IF(AG101&lt;MIN('2) หลักการคำนวน Table'!$C$3:$K$3),
     MIN('2) หลักการคำนวน Table'!$C$3:$K$3),
     MAX('2) หลักการคำนวน Table'!$C$3:$K$3)
  )
)</f>
        <v>0.9</v>
      </c>
      <c r="AT101" s="298">
        <f>IFERROR(
  _xlfn.XLOOKUP(AH101,'2) หลักการคำนวน Table'!$C$3:$K$3,'2) หลักการคำนวน Table'!$C$3:$K$3,,1),
  IF(AH101&lt;MIN('2) หลักการคำนวน Table'!$C$3:$K$3),
     MIN('2) หลักการคำนวน Table'!$C$3:$K$3),
     MAX('2) หลักการคำนวน Table'!$C$3:$K$3)
  )
)</f>
        <v>0.9</v>
      </c>
      <c r="AU101" s="298">
        <f>IFERROR(
  _xlfn.XLOOKUP(AI101,'2) หลักการคำนวน Table'!$C$3:$K$3,'2) หลักการคำนวน Table'!$C$3:$K$3,,1),
  IF(AI101&lt;MIN('2) หลักการคำนวน Table'!$C$3:$K$3),
     MIN('2) หลักการคำนวน Table'!$C$3:$K$3),
     MAX('2) หลักการคำนวน Table'!$C$3:$K$3)
  )
)</f>
        <v>0.9</v>
      </c>
      <c r="AV101" s="298">
        <f>IFERROR(
  _xlfn.XLOOKUP(AJ101,'2) หลักการคำนวน Table'!$C$3:$K$3,'2) หลักการคำนวน Table'!$C$3:$K$3,,1),
  IF(AJ101&lt;MIN('2) หลักการคำนวน Table'!$C$3:$K$3),
     MIN('2) หลักการคำนวน Table'!$C$3:$K$3),
     MAX('2) หลักการคำนวน Table'!$C$3:$K$3)
  )
)</f>
        <v>0.9</v>
      </c>
      <c r="AW101" s="298">
        <f>IFERROR(
  _xlfn.XLOOKUP(AK101,'2) หลักการคำนวน Table'!$C$3:$K$3,'2) หลักการคำนวน Table'!$C$3:$K$3,,1),
  IF(AK101&lt;MIN('2) หลักการคำนวน Table'!$C$3:$K$3),
     MIN('2) หลักการคำนวน Table'!$C$3:$K$3),
     MAX('2) หลักการคำนวน Table'!$C$3:$K$3)
  )
)</f>
        <v>0.9</v>
      </c>
      <c r="AX101" s="298">
        <f>IFERROR(
  _xlfn.XLOOKUP(AL101,'2) หลักการคำนวน Table'!$C$3:$K$3,'2) หลักการคำนวน Table'!$C$3:$K$3,,1),
  IF(AL101&lt;MIN('2) หลักการคำนวน Table'!$C$3:$K$3),
     MIN('2) หลักการคำนวน Table'!$C$3:$K$3),
     MAX('2) หลักการคำนวน Table'!$C$3:$K$3)
  )
)</f>
        <v>0.9</v>
      </c>
      <c r="AY101" s="298">
        <f>IFERROR(
  _xlfn.XLOOKUP(AM101,'2) หลักการคำนวน Table'!$C$3:$K$3,'2) หลักการคำนวน Table'!$C$3:$K$3,,1),
  IF(AM101&lt;MIN('2) หลักการคำนวน Table'!$C$3:$K$3),
     MIN('2) หลักการคำนวน Table'!$C$3:$K$3),
     MAX('2) หลักการคำนวน Table'!$C$3:$K$3)
  )
)</f>
        <v>0.9</v>
      </c>
      <c r="AZ101" s="299" cm="1">
        <f t="array" ref="AZ101">ROUND((_xlfn.XLOOKUP($C101,'2) หลักการคำนวน Table'!$A$4:$A$36,
_xlfn.XLOOKUP(AN101,'2)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332</v>
      </c>
      <c r="BA101" s="299" cm="1">
        <f t="array" ref="BA101">ROUND((_xlfn.XLOOKUP($C101,'2) หลักการคำนวน Table'!$A$4:$A$36,
_xlfn.XLOOKUP(AO101,'2)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277</v>
      </c>
      <c r="BB101" s="299" cm="1">
        <f t="array" ref="BB101">ROUND((_xlfn.XLOOKUP($C101,'2) หลักการคำนวน Table'!$A$4:$A$36,
_xlfn.XLOOKUP(AP101,'2)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277</v>
      </c>
      <c r="BC101" s="299" cm="1">
        <f t="array" ref="BC101">ROUND((_xlfn.XLOOKUP($C101,'2) หลักการคำนวน Table'!$A$4:$A$36,
_xlfn.XLOOKUP(AQ101,'2)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277</v>
      </c>
      <c r="BD101" s="299" cm="1">
        <f t="array" ref="BD101">ROUND((_xlfn.XLOOKUP($C101,'2) หลักการคำนวน Table'!$A$4:$A$36,
_xlfn.XLOOKUP(AR101,'2)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277</v>
      </c>
      <c r="BE101" s="299" cm="1">
        <f t="array" ref="BE101">ROUND((_xlfn.XLOOKUP($C101,'2) หลักการคำนวน Table'!$A$4:$A$36,
_xlfn.XLOOKUP(AS101,'2)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277</v>
      </c>
      <c r="BF101" s="299" cm="1">
        <f t="array" ref="BF101">ROUND((_xlfn.XLOOKUP($C101,'2) หลักการคำนวน Table'!$A$4:$A$36,
_xlfn.XLOOKUP(AT101,'2)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277</v>
      </c>
      <c r="BG101" s="299" cm="1">
        <f t="array" ref="BG101">ROUND((_xlfn.XLOOKUP($C101,'2) หลักการคำนวน Table'!$A$4:$A$36,
_xlfn.XLOOKUP(AU101,'2)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277</v>
      </c>
      <c r="BH101" s="299" cm="1">
        <f t="array" ref="BH101">ROUND((_xlfn.XLOOKUP($C101,'2) หลักการคำนวน Table'!$A$4:$A$36,
_xlfn.XLOOKUP(AV101,'2)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277</v>
      </c>
      <c r="BI101" s="299" cm="1">
        <f t="array" ref="BI101">ROUND((_xlfn.XLOOKUP($C101,'2) หลักการคำนวน Table'!$A$4:$A$36,
_xlfn.XLOOKUP(AW101,'2)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277</v>
      </c>
      <c r="BJ101" s="299" cm="1">
        <f t="array" ref="BJ101">ROUND((_xlfn.XLOOKUP($C101,'2) หลักการคำนวน Table'!$A$4:$A$36,
_xlfn.XLOOKUP(AX101,'2)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277</v>
      </c>
      <c r="BK101" s="299" cm="1">
        <f t="array" ref="BK101">ROUND((_xlfn.XLOOKUP($C101,'2) หลักการคำนวน Table'!$A$4:$A$36,
_xlfn.XLOOKUP(AY101,'2) หลักการคำนวน Table'!$C$3:$K$3,'2) หลักการคำนวน Table'!$C$4:$K$36,,-1)))*(_xlfn.XLOOKUP($C101,'2) หลักการคำนวน Table'!$A$4:$A$36, _xlfn.XLOOKUP($B101,'2) หลักการคำนวน Table'!$L$3:$Z$3,'2) หลักการคำนวน Table'!$L$4:$Z$36))),0)</f>
        <v>277</v>
      </c>
      <c r="BM101" s="295">
        <v>222201</v>
      </c>
      <c r="BN101" s="300">
        <v>332</v>
      </c>
    </row>
    <row r="102" spans="1:66" ht="14.7" customHeight="1" x14ac:dyDescent="0.25">
      <c r="A102" s="126">
        <f>VLOOKUP(C102,ASTBase!E:S,13,FALSE)</f>
        <v>222238</v>
      </c>
      <c r="B102" s="126" t="s">
        <v>407</v>
      </c>
      <c r="C102" s="232" t="s">
        <v>394</v>
      </c>
      <c r="D102" s="127">
        <v>487020</v>
      </c>
      <c r="E102" s="127">
        <v>447020</v>
      </c>
      <c r="F102" s="127">
        <v>445020</v>
      </c>
      <c r="G102" s="127">
        <v>459320</v>
      </c>
      <c r="H102" s="127">
        <v>515360</v>
      </c>
      <c r="I102" s="127">
        <v>417980</v>
      </c>
      <c r="J102" s="127">
        <v>472300</v>
      </c>
      <c r="K102" s="127">
        <v>473700</v>
      </c>
      <c r="L102" s="127">
        <v>520600</v>
      </c>
      <c r="M102" s="127">
        <v>438000</v>
      </c>
      <c r="N102" s="127">
        <v>442600</v>
      </c>
      <c r="O102" s="127">
        <v>481080</v>
      </c>
      <c r="P102" s="126">
        <v>444242.99999578687</v>
      </c>
      <c r="AB102" s="297">
        <f>IFERROR(IF(VLOOKUP($B102,Shortage!$A:$M,AB$2,FALSE)="Shortage",1,IFERROR(ROUND(P102/D102,4),0)),IFERROR(ROUND(P102/D102,4),0))</f>
        <v>0.91220000000000001</v>
      </c>
      <c r="AC102" s="297">
        <f>IFERROR(IF(VLOOKUP($B102,Shortage!$A:$M,AC$2,FALSE)="Shortage",1,IFERROR(ROUND(Q102/E102,4),0)),IFERROR(ROUND(Q102/E102,4),0))</f>
        <v>0</v>
      </c>
      <c r="AD102" s="297">
        <f>IFERROR(IF(VLOOKUP($B102,Shortage!$A:$M,AD$2,FALSE)="Shortage",1,IFERROR(ROUND(R102/F102,4),0)),IFERROR(ROUND(R102/F102,4),0))</f>
        <v>0</v>
      </c>
      <c r="AE102" s="297">
        <f>IFERROR(IF(VLOOKUP($B102,Shortage!$A:$M,AE$2,FALSE)="Shortage",1,IFERROR(ROUND(S102/G102,4),0)),IFERROR(ROUND(S102/G102,4),0))</f>
        <v>0</v>
      </c>
      <c r="AF102" s="297">
        <f>IFERROR(IF(VLOOKUP($B102,Shortage!$A:$M,AF$2,FALSE)="Shortage",1,IFERROR(ROUND(T102/H102,4),0)),IFERROR(ROUND(T102/H102,4),0))</f>
        <v>0</v>
      </c>
      <c r="AG102" s="297">
        <f>IFERROR(IF(VLOOKUP($B102,Shortage!$A:$M,AG$2,FALSE)="Shortage",1,IFERROR(ROUND(U102/I102,4),0)),IFERROR(ROUND(U102/I102,4),0))</f>
        <v>0</v>
      </c>
      <c r="AH102" s="297">
        <f>IFERROR(IF(VLOOKUP($B102,Shortage!$A:$M,AH$2,FALSE)="Shortage",1,IFERROR(ROUND(V102/J102,4),0)),IFERROR(ROUND(V102/J102,4),0))</f>
        <v>0</v>
      </c>
      <c r="AI102" s="297">
        <f>IFERROR(IF(VLOOKUP($B102,Shortage!$A:$M,AI$2,FALSE)="Shortage",1,IFERROR(ROUND(W102/K102,4),0)),IFERROR(ROUND(W102/K102,4),0))</f>
        <v>0</v>
      </c>
      <c r="AJ102" s="297">
        <f>IFERROR(IF(VLOOKUP($B102,Shortage!$A:$M,AJ$2,FALSE)="Shortage",1,IFERROR(ROUND(X102/L102,4),0)),IFERROR(ROUND(X102/L102,4),0))</f>
        <v>0</v>
      </c>
      <c r="AK102" s="297">
        <f>IFERROR(IF(VLOOKUP($B102,Shortage!$A:$M,AK$2,FALSE)="Shortage",1,IFERROR(ROUND(Y102/M102,4),0)),IFERROR(ROUND(Y102/M102,4),0))</f>
        <v>0</v>
      </c>
      <c r="AL102" s="297">
        <f>IFERROR(IF(VLOOKUP($B102,Shortage!$A:$M,AL$2,FALSE)="Shortage",1,IFERROR(ROUND(Z102/N102,4),0)),IFERROR(ROUND(Z102/N102,4),0))</f>
        <v>0</v>
      </c>
      <c r="AM102" s="297">
        <f>IFERROR(IF(VLOOKUP($B102,Shortage!$A:$M,AM$2,FALSE)="Shortage",1,IFERROR(ROUND(AA102/O102,4),0)),IFERROR(ROUND(AA102/O102,4),0))</f>
        <v>0</v>
      </c>
      <c r="AN102" s="298">
        <f>IFERROR(_xlfn.XLOOKUP(AB102,'2) หลักการคำนวน Table'!$C$3:$K$3,'2) หลักการคำนวน Table'!$C$3:$K$3,,1),INDEX('2) หลักการคำนวน Table'!$C$3:$K$3,1))</f>
        <v>0.95</v>
      </c>
      <c r="AO102" s="298">
        <f>IFERROR(
  _xlfn.XLOOKUP(AC102,'2) หลักการคำนวน Table'!$C$3:$K$3,'2) หลักการคำนวน Table'!$C$3:$K$3,,1),
  IF(AC102&lt;MIN('2) หลักการคำนวน Table'!$C$3:$K$3),
     MIN('2) หลักการคำนวน Table'!$C$3:$K$3),
     MAX('2) หลักการคำนวน Table'!$C$3:$K$3)
  )
)</f>
        <v>0.9</v>
      </c>
      <c r="AP102" s="298">
        <f>IFERROR(
  _xlfn.XLOOKUP(AD102,'2) หลักการคำนวน Table'!$C$3:$K$3,'2) หลักการคำนวน Table'!$C$3:$K$3,,1),
  IF(AD102&lt;MIN('2) หลักการคำนวน Table'!$C$3:$K$3),
     MIN('2) หลักการคำนวน Table'!$C$3:$K$3),
     MAX('2) หลักการคำนวน Table'!$C$3:$K$3)
  )
)</f>
        <v>0.9</v>
      </c>
      <c r="AQ102" s="298">
        <f>IFERROR(
  _xlfn.XLOOKUP(AE102,'2) หลักการคำนวน Table'!$C$3:$K$3,'2) หลักการคำนวน Table'!$C$3:$K$3,,1),
  IF(AE102&lt;MIN('2) หลักการคำนวน Table'!$C$3:$K$3),
     MIN('2) หลักการคำนวน Table'!$C$3:$K$3),
     MAX('2) หลักการคำนวน Table'!$C$3:$K$3)
  )
)</f>
        <v>0.9</v>
      </c>
      <c r="AR102" s="298">
        <f>IFERROR(
  _xlfn.XLOOKUP(AF102,'2) หลักการคำนวน Table'!$C$3:$K$3,'2) หลักการคำนวน Table'!$C$3:$K$3,,1),
  IF(AF102&lt;MIN('2) หลักการคำนวน Table'!$C$3:$K$3),
     MIN('2) หลักการคำนวน Table'!$C$3:$K$3),
     MAX('2) หลักการคำนวน Table'!$C$3:$K$3)
  )
)</f>
        <v>0.9</v>
      </c>
      <c r="AS102" s="298">
        <f>IFERROR(
  _xlfn.XLOOKUP(AG102,'2) หลักการคำนวน Table'!$C$3:$K$3,'2) หลักการคำนวน Table'!$C$3:$K$3,,1),
  IF(AG102&lt;MIN('2) หลักการคำนวน Table'!$C$3:$K$3),
     MIN('2) หลักการคำนวน Table'!$C$3:$K$3),
     MAX('2) หลักการคำนวน Table'!$C$3:$K$3)
  )
)</f>
        <v>0.9</v>
      </c>
      <c r="AT102" s="298">
        <f>IFERROR(
  _xlfn.XLOOKUP(AH102,'2) หลักการคำนวน Table'!$C$3:$K$3,'2) หลักการคำนวน Table'!$C$3:$K$3,,1),
  IF(AH102&lt;MIN('2) หลักการคำนวน Table'!$C$3:$K$3),
     MIN('2) หลักการคำนวน Table'!$C$3:$K$3),
     MAX('2) หลักการคำนวน Table'!$C$3:$K$3)
  )
)</f>
        <v>0.9</v>
      </c>
      <c r="AU102" s="298">
        <f>IFERROR(
  _xlfn.XLOOKUP(AI102,'2) หลักการคำนวน Table'!$C$3:$K$3,'2) หลักการคำนวน Table'!$C$3:$K$3,,1),
  IF(AI102&lt;MIN('2) หลักการคำนวน Table'!$C$3:$K$3),
     MIN('2) หลักการคำนวน Table'!$C$3:$K$3),
     MAX('2) หลักการคำนวน Table'!$C$3:$K$3)
  )
)</f>
        <v>0.9</v>
      </c>
      <c r="AV102" s="298">
        <f>IFERROR(
  _xlfn.XLOOKUP(AJ102,'2) หลักการคำนวน Table'!$C$3:$K$3,'2) หลักการคำนวน Table'!$C$3:$K$3,,1),
  IF(AJ102&lt;MIN('2) หลักการคำนวน Table'!$C$3:$K$3),
     MIN('2) หลักการคำนวน Table'!$C$3:$K$3),
     MAX('2) หลักการคำนวน Table'!$C$3:$K$3)
  )
)</f>
        <v>0.9</v>
      </c>
      <c r="AW102" s="298">
        <f>IFERROR(
  _xlfn.XLOOKUP(AK102,'2) หลักการคำนวน Table'!$C$3:$K$3,'2) หลักการคำนวน Table'!$C$3:$K$3,,1),
  IF(AK102&lt;MIN('2) หลักการคำนวน Table'!$C$3:$K$3),
     MIN('2) หลักการคำนวน Table'!$C$3:$K$3),
     MAX('2) หลักการคำนวน Table'!$C$3:$K$3)
  )
)</f>
        <v>0.9</v>
      </c>
      <c r="AX102" s="298">
        <f>IFERROR(
  _xlfn.XLOOKUP(AL102,'2) หลักการคำนวน Table'!$C$3:$K$3,'2) หลักการคำนวน Table'!$C$3:$K$3,,1),
  IF(AL102&lt;MIN('2) หลักการคำนวน Table'!$C$3:$K$3),
     MIN('2) หลักการคำนวน Table'!$C$3:$K$3),
     MAX('2) หลักการคำนวน Table'!$C$3:$K$3)
  )
)</f>
        <v>0.9</v>
      </c>
      <c r="AY102" s="298">
        <f>IFERROR(
  _xlfn.XLOOKUP(AM102,'2) หลักการคำนวน Table'!$C$3:$K$3,'2) หลักการคำนวน Table'!$C$3:$K$3,,1),
  IF(AM102&lt;MIN('2) หลักการคำนวน Table'!$C$3:$K$3),
     MIN('2) หลักการคำนวน Table'!$C$3:$K$3),
     MAX('2) หลักการคำนวน Table'!$C$3:$K$3)
  )
)</f>
        <v>0.9</v>
      </c>
      <c r="AZ102" s="299" cm="1">
        <f t="array" ref="AZ102">ROUND((_xlfn.XLOOKUP($C102,'2) หลักการคำนวน Table'!$A$4:$A$36,
_xlfn.XLOOKUP(AN102,'2)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1900</v>
      </c>
      <c r="BA102" s="299" cm="1">
        <f t="array" ref="BA102">ROUND((_xlfn.XLOOKUP($C102,'2) หลักการคำนวน Table'!$A$4:$A$36,
_xlfn.XLOOKUP(AO102,'2)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1800</v>
      </c>
      <c r="BB102" s="299" cm="1">
        <f t="array" ref="BB102">ROUND((_xlfn.XLOOKUP($C102,'2) หลักการคำนวน Table'!$A$4:$A$36,
_xlfn.XLOOKUP(AP102,'2)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1800</v>
      </c>
      <c r="BC102" s="299" cm="1">
        <f t="array" ref="BC102">ROUND((_xlfn.XLOOKUP($C102,'2) หลักการคำนวน Table'!$A$4:$A$36,
_xlfn.XLOOKUP(AQ102,'2)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1800</v>
      </c>
      <c r="BD102" s="299" cm="1">
        <f t="array" ref="BD102">ROUND((_xlfn.XLOOKUP($C102,'2) หลักการคำนวน Table'!$A$4:$A$36,
_xlfn.XLOOKUP(AR102,'2)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1800</v>
      </c>
      <c r="BE102" s="299" cm="1">
        <f t="array" ref="BE102">ROUND((_xlfn.XLOOKUP($C102,'2) หลักการคำนวน Table'!$A$4:$A$36,
_xlfn.XLOOKUP(AS102,'2)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1800</v>
      </c>
      <c r="BF102" s="299" cm="1">
        <f t="array" ref="BF102">ROUND((_xlfn.XLOOKUP($C102,'2) หลักการคำนวน Table'!$A$4:$A$36,
_xlfn.XLOOKUP(AT102,'2)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1800</v>
      </c>
      <c r="BG102" s="299" cm="1">
        <f t="array" ref="BG102">ROUND((_xlfn.XLOOKUP($C102,'2) หลักการคำนวน Table'!$A$4:$A$36,
_xlfn.XLOOKUP(AU102,'2)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1800</v>
      </c>
      <c r="BH102" s="299" cm="1">
        <f t="array" ref="BH102">ROUND((_xlfn.XLOOKUP($C102,'2) หลักการคำนวน Table'!$A$4:$A$36,
_xlfn.XLOOKUP(AV102,'2)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1800</v>
      </c>
      <c r="BI102" s="299" cm="1">
        <f t="array" ref="BI102">ROUND((_xlfn.XLOOKUP($C102,'2) หลักการคำนวน Table'!$A$4:$A$36,
_xlfn.XLOOKUP(AW102,'2)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1800</v>
      </c>
      <c r="BJ102" s="299" cm="1">
        <f t="array" ref="BJ102">ROUND((_xlfn.XLOOKUP($C102,'2) หลักการคำนวน Table'!$A$4:$A$36,
_xlfn.XLOOKUP(AX102,'2)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1800</v>
      </c>
      <c r="BK102" s="299" cm="1">
        <f t="array" ref="BK102">ROUND((_xlfn.XLOOKUP($C102,'2) หลักการคำนวน Table'!$A$4:$A$36,
_xlfn.XLOOKUP(AY102,'2) หลักการคำนวน Table'!$C$3:$K$3,'2) หลักการคำนวน Table'!$C$4:$K$36,,-1)))*(_xlfn.XLOOKUP($C102,'2) หลักการคำนวน Table'!$A$4:$A$36, _xlfn.XLOOKUP($B102,'2) หลักการคำนวน Table'!$L$3:$Z$3,'2) หลักการคำนวน Table'!$L$4:$Z$36))),0)</f>
        <v>1800</v>
      </c>
      <c r="BM102" s="295">
        <v>222202</v>
      </c>
      <c r="BN102" s="300">
        <v>1900</v>
      </c>
    </row>
    <row r="103" spans="1:66" ht="14.7" customHeight="1" x14ac:dyDescent="0.25">
      <c r="A103" s="126">
        <f>VLOOKUP(C103,ASTBase!E:S,13,FALSE)</f>
        <v>222238</v>
      </c>
      <c r="B103" s="126" t="s">
        <v>413</v>
      </c>
      <c r="C103" s="232" t="s">
        <v>394</v>
      </c>
      <c r="D103" s="127">
        <v>79500</v>
      </c>
      <c r="E103" s="127">
        <v>110200</v>
      </c>
      <c r="F103" s="127">
        <v>82900</v>
      </c>
      <c r="G103" s="127">
        <v>115900</v>
      </c>
      <c r="H103" s="127">
        <v>76062</v>
      </c>
      <c r="I103" s="127">
        <v>110465</v>
      </c>
      <c r="J103" s="127">
        <v>86662</v>
      </c>
      <c r="K103" s="127">
        <v>115115</v>
      </c>
      <c r="L103" s="127">
        <v>120275</v>
      </c>
      <c r="M103" s="127">
        <v>97462</v>
      </c>
      <c r="N103" s="127">
        <v>97615</v>
      </c>
      <c r="O103" s="127">
        <v>107844</v>
      </c>
      <c r="P103" s="126">
        <v>63461.215200000108</v>
      </c>
      <c r="AB103" s="297">
        <f>IFERROR(IF(VLOOKUP($B103,Shortage!$A:$M,AB$2,FALSE)="Shortage",1,IFERROR(ROUND(P103/D103,4),0)),IFERROR(ROUND(P103/D103,4),0))</f>
        <v>0.79830000000000001</v>
      </c>
      <c r="AC103" s="297">
        <f>IFERROR(IF(VLOOKUP($B103,Shortage!$A:$M,AC$2,FALSE)="Shortage",1,IFERROR(ROUND(Q103/E103,4),0)),IFERROR(ROUND(Q103/E103,4),0))</f>
        <v>0</v>
      </c>
      <c r="AD103" s="297">
        <f>IFERROR(IF(VLOOKUP($B103,Shortage!$A:$M,AD$2,FALSE)="Shortage",1,IFERROR(ROUND(R103/F103,4),0)),IFERROR(ROUND(R103/F103,4),0))</f>
        <v>0</v>
      </c>
      <c r="AE103" s="297">
        <f>IFERROR(IF(VLOOKUP($B103,Shortage!$A:$M,AE$2,FALSE)="Shortage",1,IFERROR(ROUND(S103/G103,4),0)),IFERROR(ROUND(S103/G103,4),0))</f>
        <v>0</v>
      </c>
      <c r="AF103" s="297">
        <f>IFERROR(IF(VLOOKUP($B103,Shortage!$A:$M,AF$2,FALSE)="Shortage",1,IFERROR(ROUND(T103/H103,4),0)),IFERROR(ROUND(T103/H103,4),0))</f>
        <v>0</v>
      </c>
      <c r="AG103" s="297">
        <f>IFERROR(IF(VLOOKUP($B103,Shortage!$A:$M,AG$2,FALSE)="Shortage",1,IFERROR(ROUND(U103/I103,4),0)),IFERROR(ROUND(U103/I103,4),0))</f>
        <v>0</v>
      </c>
      <c r="AH103" s="297">
        <f>IFERROR(IF(VLOOKUP($B103,Shortage!$A:$M,AH$2,FALSE)="Shortage",1,IFERROR(ROUND(V103/J103,4),0)),IFERROR(ROUND(V103/J103,4),0))</f>
        <v>0</v>
      </c>
      <c r="AI103" s="297">
        <f>IFERROR(IF(VLOOKUP($B103,Shortage!$A:$M,AI$2,FALSE)="Shortage",1,IFERROR(ROUND(W103/K103,4),0)),IFERROR(ROUND(W103/K103,4),0))</f>
        <v>0</v>
      </c>
      <c r="AJ103" s="297">
        <f>IFERROR(IF(VLOOKUP($B103,Shortage!$A:$M,AJ$2,FALSE)="Shortage",1,IFERROR(ROUND(X103/L103,4),0)),IFERROR(ROUND(X103/L103,4),0))</f>
        <v>0</v>
      </c>
      <c r="AK103" s="297">
        <f>IFERROR(IF(VLOOKUP($B103,Shortage!$A:$M,AK$2,FALSE)="Shortage",1,IFERROR(ROUND(Y103/M103,4),0)),IFERROR(ROUND(Y103/M103,4),0))</f>
        <v>0</v>
      </c>
      <c r="AL103" s="297">
        <f>IFERROR(IF(VLOOKUP($B103,Shortage!$A:$M,AL$2,FALSE)="Shortage",1,IFERROR(ROUND(Z103/N103,4),0)),IFERROR(ROUND(Z103/N103,4),0))</f>
        <v>0</v>
      </c>
      <c r="AM103" s="297">
        <f>IFERROR(IF(VLOOKUP($B103,Shortage!$A:$M,AM$2,FALSE)="Shortage",1,IFERROR(ROUND(AA103/O103,4),0)),IFERROR(ROUND(AA103/O103,4),0))</f>
        <v>0</v>
      </c>
      <c r="AN103" s="298">
        <f>IFERROR(_xlfn.XLOOKUP(AB103,'2) หลักการคำนวน Table'!$C$3:$K$3,'2) หลักการคำนวน Table'!$C$3:$K$3,,1),INDEX('2) หลักการคำนวน Table'!$C$3:$K$3,1))</f>
        <v>0.9</v>
      </c>
      <c r="AO103" s="298">
        <f>IFERROR(
  _xlfn.XLOOKUP(AC103,'2) หลักการคำนวน Table'!$C$3:$K$3,'2) หลักการคำนวน Table'!$C$3:$K$3,,1),
  IF(AC103&lt;MIN('2) หลักการคำนวน Table'!$C$3:$K$3),
     MIN('2) หลักการคำนวน Table'!$C$3:$K$3),
     MAX('2) หลักการคำนวน Table'!$C$3:$K$3)
  )
)</f>
        <v>0.9</v>
      </c>
      <c r="AP103" s="298">
        <f>IFERROR(
  _xlfn.XLOOKUP(AD103,'2) หลักการคำนวน Table'!$C$3:$K$3,'2) หลักการคำนวน Table'!$C$3:$K$3,,1),
  IF(AD103&lt;MIN('2) หลักการคำนวน Table'!$C$3:$K$3),
     MIN('2) หลักการคำนวน Table'!$C$3:$K$3),
     MAX('2) หลักการคำนวน Table'!$C$3:$K$3)
  )
)</f>
        <v>0.9</v>
      </c>
      <c r="AQ103" s="298">
        <f>IFERROR(
  _xlfn.XLOOKUP(AE103,'2) หลักการคำนวน Table'!$C$3:$K$3,'2) หลักการคำนวน Table'!$C$3:$K$3,,1),
  IF(AE103&lt;MIN('2) หลักการคำนวน Table'!$C$3:$K$3),
     MIN('2) หลักการคำนวน Table'!$C$3:$K$3),
     MAX('2) หลักการคำนวน Table'!$C$3:$K$3)
  )
)</f>
        <v>0.9</v>
      </c>
      <c r="AR103" s="298">
        <f>IFERROR(
  _xlfn.XLOOKUP(AF103,'2) หลักการคำนวน Table'!$C$3:$K$3,'2) หลักการคำนวน Table'!$C$3:$K$3,,1),
  IF(AF103&lt;MIN('2) หลักการคำนวน Table'!$C$3:$K$3),
     MIN('2) หลักการคำนวน Table'!$C$3:$K$3),
     MAX('2) หลักการคำนวน Table'!$C$3:$K$3)
  )
)</f>
        <v>0.9</v>
      </c>
      <c r="AS103" s="298">
        <f>IFERROR(
  _xlfn.XLOOKUP(AG103,'2) หลักการคำนวน Table'!$C$3:$K$3,'2) หลักการคำนวน Table'!$C$3:$K$3,,1),
  IF(AG103&lt;MIN('2) หลักการคำนวน Table'!$C$3:$K$3),
     MIN('2) หลักการคำนวน Table'!$C$3:$K$3),
     MAX('2) หลักการคำนวน Table'!$C$3:$K$3)
  )
)</f>
        <v>0.9</v>
      </c>
      <c r="AT103" s="298">
        <f>IFERROR(
  _xlfn.XLOOKUP(AH103,'2) หลักการคำนวน Table'!$C$3:$K$3,'2) หลักการคำนวน Table'!$C$3:$K$3,,1),
  IF(AH103&lt;MIN('2) หลักการคำนวน Table'!$C$3:$K$3),
     MIN('2) หลักการคำนวน Table'!$C$3:$K$3),
     MAX('2) หลักการคำนวน Table'!$C$3:$K$3)
  )
)</f>
        <v>0.9</v>
      </c>
      <c r="AU103" s="298">
        <f>IFERROR(
  _xlfn.XLOOKUP(AI103,'2) หลักการคำนวน Table'!$C$3:$K$3,'2) หลักการคำนวน Table'!$C$3:$K$3,,1),
  IF(AI103&lt;MIN('2) หลักการคำนวน Table'!$C$3:$K$3),
     MIN('2) หลักการคำนวน Table'!$C$3:$K$3),
     MAX('2) หลักการคำนวน Table'!$C$3:$K$3)
  )
)</f>
        <v>0.9</v>
      </c>
      <c r="AV103" s="298">
        <f>IFERROR(
  _xlfn.XLOOKUP(AJ103,'2) หลักการคำนวน Table'!$C$3:$K$3,'2) หลักการคำนวน Table'!$C$3:$K$3,,1),
  IF(AJ103&lt;MIN('2) หลักการคำนวน Table'!$C$3:$K$3),
     MIN('2) หลักการคำนวน Table'!$C$3:$K$3),
     MAX('2) หลักการคำนวน Table'!$C$3:$K$3)
  )
)</f>
        <v>0.9</v>
      </c>
      <c r="AW103" s="298">
        <f>IFERROR(
  _xlfn.XLOOKUP(AK103,'2) หลักการคำนวน Table'!$C$3:$K$3,'2) หลักการคำนวน Table'!$C$3:$K$3,,1),
  IF(AK103&lt;MIN('2) หลักการคำนวน Table'!$C$3:$K$3),
     MIN('2) หลักการคำนวน Table'!$C$3:$K$3),
     MAX('2) หลักการคำนวน Table'!$C$3:$K$3)
  )
)</f>
        <v>0.9</v>
      </c>
      <c r="AX103" s="298">
        <f>IFERROR(
  _xlfn.XLOOKUP(AL103,'2) หลักการคำนวน Table'!$C$3:$K$3,'2) หลักการคำนวน Table'!$C$3:$K$3,,1),
  IF(AL103&lt;MIN('2) หลักการคำนวน Table'!$C$3:$K$3),
     MIN('2) หลักการคำนวน Table'!$C$3:$K$3),
     MAX('2) หลักการคำนวน Table'!$C$3:$K$3)
  )
)</f>
        <v>0.9</v>
      </c>
      <c r="AY103" s="298">
        <f>IFERROR(
  _xlfn.XLOOKUP(AM103,'2) หลักการคำนวน Table'!$C$3:$K$3,'2) หลักการคำนวน Table'!$C$3:$K$3,,1),
  IF(AM103&lt;MIN('2) หลักการคำนวน Table'!$C$3:$K$3),
     MIN('2) หลักการคำนวน Table'!$C$3:$K$3),
     MAX('2) หลักการคำนวน Table'!$C$3:$K$3)
  )
)</f>
        <v>0.9</v>
      </c>
      <c r="AZ103" s="299" cm="1">
        <f t="array" ref="AZ103">ROUND((_xlfn.XLOOKUP($C103,'2) หลักการคำนวน Table'!$A$4:$A$36,
_xlfn.XLOOKUP(AN103,'2)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A103" s="299" cm="1">
        <f t="array" ref="BA103">ROUND((_xlfn.XLOOKUP($C103,'2) หลักการคำนวน Table'!$A$4:$A$36,
_xlfn.XLOOKUP(AO103,'2)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B103" s="299" cm="1">
        <f t="array" ref="BB103">ROUND((_xlfn.XLOOKUP($C103,'2) หลักการคำนวน Table'!$A$4:$A$36,
_xlfn.XLOOKUP(AP103,'2)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C103" s="299" cm="1">
        <f t="array" ref="BC103">ROUND((_xlfn.XLOOKUP($C103,'2) หลักการคำนวน Table'!$A$4:$A$36,
_xlfn.XLOOKUP(AQ103,'2)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D103" s="299" cm="1">
        <f t="array" ref="BD103">ROUND((_xlfn.XLOOKUP($C103,'2) หลักการคำนวน Table'!$A$4:$A$36,
_xlfn.XLOOKUP(AR103,'2)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E103" s="299" cm="1">
        <f t="array" ref="BE103">ROUND((_xlfn.XLOOKUP($C103,'2) หลักการคำนวน Table'!$A$4:$A$36,
_xlfn.XLOOKUP(AS103,'2)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F103" s="299" cm="1">
        <f t="array" ref="BF103">ROUND((_xlfn.XLOOKUP($C103,'2) หลักการคำนวน Table'!$A$4:$A$36,
_xlfn.XLOOKUP(AT103,'2)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G103" s="299" cm="1">
        <f t="array" ref="BG103">ROUND((_xlfn.XLOOKUP($C103,'2) หลักการคำนวน Table'!$A$4:$A$36,
_xlfn.XLOOKUP(AU103,'2)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H103" s="299" cm="1">
        <f t="array" ref="BH103">ROUND((_xlfn.XLOOKUP($C103,'2) หลักการคำนวน Table'!$A$4:$A$36,
_xlfn.XLOOKUP(AV103,'2)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I103" s="299" cm="1">
        <f t="array" ref="BI103">ROUND((_xlfn.XLOOKUP($C103,'2) หลักการคำนวน Table'!$A$4:$A$36,
_xlfn.XLOOKUP(AW103,'2)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J103" s="299" cm="1">
        <f t="array" ref="BJ103">ROUND((_xlfn.XLOOKUP($C103,'2) หลักการคำนวน Table'!$A$4:$A$36,
_xlfn.XLOOKUP(AX103,'2)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K103" s="299" cm="1">
        <f t="array" ref="BK103">ROUND((_xlfn.XLOOKUP($C103,'2) หลักการคำนวน Table'!$A$4:$A$36,
_xlfn.XLOOKUP(AY103,'2) หลักการคำนวน Table'!$C$3:$K$3,'2) หลักการคำนวน Table'!$C$4:$K$36,,-1)))*(_xlfn.XLOOKUP($C103,'2) หลักการคำนวน Table'!$A$4:$A$36, _xlfn.XLOOKUP($B103,'2) หลักการคำนวน Table'!$L$3:$Z$3,'2) หลักการคำนวน Table'!$L$4:$Z$36))),0)</f>
        <v>1800</v>
      </c>
      <c r="BM103" s="295">
        <v>222202</v>
      </c>
      <c r="BN103" s="300">
        <v>1800</v>
      </c>
    </row>
    <row r="104" spans="1:66" ht="14.7" customHeight="1" x14ac:dyDescent="0.25">
      <c r="A104" s="126">
        <f>VLOOKUP(C104,ASTBase!E:S,13,FALSE)</f>
        <v>222238</v>
      </c>
      <c r="B104" s="126" t="s">
        <v>405</v>
      </c>
      <c r="C104" s="232" t="s">
        <v>395</v>
      </c>
      <c r="D104" s="127">
        <v>348100</v>
      </c>
      <c r="E104" s="127">
        <v>348900</v>
      </c>
      <c r="F104" s="127">
        <v>343200</v>
      </c>
      <c r="G104" s="127">
        <v>339400</v>
      </c>
      <c r="H104" s="127">
        <v>362063.74</v>
      </c>
      <c r="I104" s="127">
        <v>369542</v>
      </c>
      <c r="J104" s="127">
        <v>372189</v>
      </c>
      <c r="K104" s="127">
        <v>313166.66666666698</v>
      </c>
      <c r="L104" s="127">
        <v>334233</v>
      </c>
      <c r="M104" s="127">
        <v>356166.66666666698</v>
      </c>
      <c r="N104" s="127">
        <v>309166.66666666698</v>
      </c>
      <c r="O104" s="127">
        <v>353872</v>
      </c>
      <c r="P104" s="126">
        <v>323735.36000000022</v>
      </c>
      <c r="AB104" s="297">
        <f>IFERROR(IF(VLOOKUP($B104,Shortage!$A:$M,AB$2,FALSE)="Shortage",1,IFERROR(ROUND(P104/D104,4),0)),IFERROR(ROUND(P104/D104,4),0))</f>
        <v>1</v>
      </c>
      <c r="AC104" s="297">
        <f>IFERROR(IF(VLOOKUP($B104,Shortage!$A:$M,AC$2,FALSE)="Shortage",1,IFERROR(ROUND(Q104/E104,4),0)),IFERROR(ROUND(Q104/E104,4),0))</f>
        <v>0</v>
      </c>
      <c r="AD104" s="297">
        <f>IFERROR(IF(VLOOKUP($B104,Shortage!$A:$M,AD$2,FALSE)="Shortage",1,IFERROR(ROUND(R104/F104,4),0)),IFERROR(ROUND(R104/F104,4),0))</f>
        <v>0</v>
      </c>
      <c r="AE104" s="297">
        <f>IFERROR(IF(VLOOKUP($B104,Shortage!$A:$M,AE$2,FALSE)="Shortage",1,IFERROR(ROUND(S104/G104,4),0)),IFERROR(ROUND(S104/G104,4),0))</f>
        <v>0</v>
      </c>
      <c r="AF104" s="297">
        <f>IFERROR(IF(VLOOKUP($B104,Shortage!$A:$M,AF$2,FALSE)="Shortage",1,IFERROR(ROUND(T104/H104,4),0)),IFERROR(ROUND(T104/H104,4),0))</f>
        <v>0</v>
      </c>
      <c r="AG104" s="297">
        <f>IFERROR(IF(VLOOKUP($B104,Shortage!$A:$M,AG$2,FALSE)="Shortage",1,IFERROR(ROUND(U104/I104,4),0)),IFERROR(ROUND(U104/I104,4),0))</f>
        <v>0</v>
      </c>
      <c r="AH104" s="297">
        <f>IFERROR(IF(VLOOKUP($B104,Shortage!$A:$M,AH$2,FALSE)="Shortage",1,IFERROR(ROUND(V104/J104,4),0)),IFERROR(ROUND(V104/J104,4),0))</f>
        <v>0</v>
      </c>
      <c r="AI104" s="297">
        <f>IFERROR(IF(VLOOKUP($B104,Shortage!$A:$M,AI$2,FALSE)="Shortage",1,IFERROR(ROUND(W104/K104,4),0)),IFERROR(ROUND(W104/K104,4),0))</f>
        <v>0</v>
      </c>
      <c r="AJ104" s="297">
        <f>IFERROR(IF(VLOOKUP($B104,Shortage!$A:$M,AJ$2,FALSE)="Shortage",1,IFERROR(ROUND(X104/L104,4),0)),IFERROR(ROUND(X104/L104,4),0))</f>
        <v>0</v>
      </c>
      <c r="AK104" s="297">
        <f>IFERROR(IF(VLOOKUP($B104,Shortage!$A:$M,AK$2,FALSE)="Shortage",1,IFERROR(ROUND(Y104/M104,4),0)),IFERROR(ROUND(Y104/M104,4),0))</f>
        <v>0</v>
      </c>
      <c r="AL104" s="297">
        <f>IFERROR(IF(VLOOKUP($B104,Shortage!$A:$M,AL$2,FALSE)="Shortage",1,IFERROR(ROUND(Z104/N104,4),0)),IFERROR(ROUND(Z104/N104,4),0))</f>
        <v>0</v>
      </c>
      <c r="AM104" s="297">
        <f>IFERROR(IF(VLOOKUP($B104,Shortage!$A:$M,AM$2,FALSE)="Shortage",1,IFERROR(ROUND(AA104/O104,4),0)),IFERROR(ROUND(AA104/O104,4),0))</f>
        <v>0</v>
      </c>
      <c r="AN104" s="298">
        <f>IFERROR(_xlfn.XLOOKUP(AB104,'2) หลักการคำนวน Table'!$C$3:$K$3,'2) หลักการคำนวน Table'!$C$3:$K$3,,1),INDEX('2) หลักการคำนวน Table'!$C$3:$K$3,1))</f>
        <v>1</v>
      </c>
      <c r="AO104" s="298">
        <f>IFERROR(
  _xlfn.XLOOKUP(AC104,'2) หลักการคำนวน Table'!$C$3:$K$3,'2) หลักการคำนวน Table'!$C$3:$K$3,,1),
  IF(AC104&lt;MIN('2) หลักการคำนวน Table'!$C$3:$K$3),
     MIN('2) หลักการคำนวน Table'!$C$3:$K$3),
     MAX('2) หลักการคำนวน Table'!$C$3:$K$3)
  )
)</f>
        <v>0.9</v>
      </c>
      <c r="AP104" s="298">
        <f>IFERROR(
  _xlfn.XLOOKUP(AD104,'2) หลักการคำนวน Table'!$C$3:$K$3,'2) หลักการคำนวน Table'!$C$3:$K$3,,1),
  IF(AD104&lt;MIN('2) หลักการคำนวน Table'!$C$3:$K$3),
     MIN('2) หลักการคำนวน Table'!$C$3:$K$3),
     MAX('2) หลักการคำนวน Table'!$C$3:$K$3)
  )
)</f>
        <v>0.9</v>
      </c>
      <c r="AQ104" s="298">
        <f>IFERROR(
  _xlfn.XLOOKUP(AE104,'2) หลักการคำนวน Table'!$C$3:$K$3,'2) หลักการคำนวน Table'!$C$3:$K$3,,1),
  IF(AE104&lt;MIN('2) หลักการคำนวน Table'!$C$3:$K$3),
     MIN('2) หลักการคำนวน Table'!$C$3:$K$3),
     MAX('2) หลักการคำนวน Table'!$C$3:$K$3)
  )
)</f>
        <v>0.9</v>
      </c>
      <c r="AR104" s="298">
        <f>IFERROR(
  _xlfn.XLOOKUP(AF104,'2) หลักการคำนวน Table'!$C$3:$K$3,'2) หลักการคำนวน Table'!$C$3:$K$3,,1),
  IF(AF104&lt;MIN('2) หลักการคำนวน Table'!$C$3:$K$3),
     MIN('2) หลักการคำนวน Table'!$C$3:$K$3),
     MAX('2) หลักการคำนวน Table'!$C$3:$K$3)
  )
)</f>
        <v>0.9</v>
      </c>
      <c r="AS104" s="298">
        <f>IFERROR(
  _xlfn.XLOOKUP(AG104,'2) หลักการคำนวน Table'!$C$3:$K$3,'2) หลักการคำนวน Table'!$C$3:$K$3,,1),
  IF(AG104&lt;MIN('2) หลักการคำนวน Table'!$C$3:$K$3),
     MIN('2) หลักการคำนวน Table'!$C$3:$K$3),
     MAX('2) หลักการคำนวน Table'!$C$3:$K$3)
  )
)</f>
        <v>0.9</v>
      </c>
      <c r="AT104" s="298">
        <f>IFERROR(
  _xlfn.XLOOKUP(AH104,'2) หลักการคำนวน Table'!$C$3:$K$3,'2) หลักการคำนวน Table'!$C$3:$K$3,,1),
  IF(AH104&lt;MIN('2) หลักการคำนวน Table'!$C$3:$K$3),
     MIN('2) หลักการคำนวน Table'!$C$3:$K$3),
     MAX('2) หลักการคำนวน Table'!$C$3:$K$3)
  )
)</f>
        <v>0.9</v>
      </c>
      <c r="AU104" s="298">
        <f>IFERROR(
  _xlfn.XLOOKUP(AI104,'2) หลักการคำนวน Table'!$C$3:$K$3,'2) หลักการคำนวน Table'!$C$3:$K$3,,1),
  IF(AI104&lt;MIN('2) หลักการคำนวน Table'!$C$3:$K$3),
     MIN('2) หลักการคำนวน Table'!$C$3:$K$3),
     MAX('2) หลักการคำนวน Table'!$C$3:$K$3)
  )
)</f>
        <v>0.9</v>
      </c>
      <c r="AV104" s="298">
        <f>IFERROR(
  _xlfn.XLOOKUP(AJ104,'2) หลักการคำนวน Table'!$C$3:$K$3,'2) หลักการคำนวน Table'!$C$3:$K$3,,1),
  IF(AJ104&lt;MIN('2) หลักการคำนวน Table'!$C$3:$K$3),
     MIN('2) หลักการคำนวน Table'!$C$3:$K$3),
     MAX('2) หลักการคำนวน Table'!$C$3:$K$3)
  )
)</f>
        <v>0.9</v>
      </c>
      <c r="AW104" s="298">
        <f>IFERROR(
  _xlfn.XLOOKUP(AK104,'2) หลักการคำนวน Table'!$C$3:$K$3,'2) หลักการคำนวน Table'!$C$3:$K$3,,1),
  IF(AK104&lt;MIN('2) หลักการคำนวน Table'!$C$3:$K$3),
     MIN('2) หลักการคำนวน Table'!$C$3:$K$3),
     MAX('2) หลักการคำนวน Table'!$C$3:$K$3)
  )
)</f>
        <v>0.9</v>
      </c>
      <c r="AX104" s="298">
        <f>IFERROR(
  _xlfn.XLOOKUP(AL104,'2) หลักการคำนวน Table'!$C$3:$K$3,'2) หลักการคำนวน Table'!$C$3:$K$3,,1),
  IF(AL104&lt;MIN('2) หลักการคำนวน Table'!$C$3:$K$3),
     MIN('2) หลักการคำนวน Table'!$C$3:$K$3),
     MAX('2) หลักการคำนวน Table'!$C$3:$K$3)
  )
)</f>
        <v>0.9</v>
      </c>
      <c r="AY104" s="298">
        <f>IFERROR(
  _xlfn.XLOOKUP(AM104,'2) หลักการคำนวน Table'!$C$3:$K$3,'2) หลักการคำนวน Table'!$C$3:$K$3,,1),
  IF(AM104&lt;MIN('2) หลักการคำนวน Table'!$C$3:$K$3),
     MIN('2) หลักการคำนวน Table'!$C$3:$K$3),
     MAX('2) หลักการคำนวน Table'!$C$3:$K$3)
  )
)</f>
        <v>0.9</v>
      </c>
      <c r="AZ104" s="299" cm="1">
        <f t="array" ref="AZ104">ROUND((_xlfn.XLOOKUP($C104,'2) หลักการคำนวน Table'!$A$4:$A$36,
_xlfn.XLOOKUP(AN104,'2)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268</v>
      </c>
      <c r="BA104" s="299" cm="1">
        <f t="array" ref="BA104">ROUND((_xlfn.XLOOKUP($C104,'2) หลักการคำนวน Table'!$A$4:$A$36,
_xlfn.XLOOKUP(AO104,'2)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241</v>
      </c>
      <c r="BB104" s="299" cm="1">
        <f t="array" ref="BB104">ROUND((_xlfn.XLOOKUP($C104,'2) หลักการคำนวน Table'!$A$4:$A$36,
_xlfn.XLOOKUP(AP104,'2)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241</v>
      </c>
      <c r="BC104" s="299" cm="1">
        <f t="array" ref="BC104">ROUND((_xlfn.XLOOKUP($C104,'2) หลักการคำนวน Table'!$A$4:$A$36,
_xlfn.XLOOKUP(AQ104,'2)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241</v>
      </c>
      <c r="BD104" s="299" cm="1">
        <f t="array" ref="BD104">ROUND((_xlfn.XLOOKUP($C104,'2) หลักการคำนวน Table'!$A$4:$A$36,
_xlfn.XLOOKUP(AR104,'2)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241</v>
      </c>
      <c r="BE104" s="299" cm="1">
        <f t="array" ref="BE104">ROUND((_xlfn.XLOOKUP($C104,'2) หลักการคำนวน Table'!$A$4:$A$36,
_xlfn.XLOOKUP(AS104,'2)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241</v>
      </c>
      <c r="BF104" s="299" cm="1">
        <f t="array" ref="BF104">ROUND((_xlfn.XLOOKUP($C104,'2) หลักการคำนวน Table'!$A$4:$A$36,
_xlfn.XLOOKUP(AT104,'2)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241</v>
      </c>
      <c r="BG104" s="299" cm="1">
        <f t="array" ref="BG104">ROUND((_xlfn.XLOOKUP($C104,'2) หลักการคำนวน Table'!$A$4:$A$36,
_xlfn.XLOOKUP(AU104,'2)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241</v>
      </c>
      <c r="BH104" s="299" cm="1">
        <f t="array" ref="BH104">ROUND((_xlfn.XLOOKUP($C104,'2) หลักการคำนวน Table'!$A$4:$A$36,
_xlfn.XLOOKUP(AV104,'2)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241</v>
      </c>
      <c r="BI104" s="299" cm="1">
        <f t="array" ref="BI104">ROUND((_xlfn.XLOOKUP($C104,'2) หลักการคำนวน Table'!$A$4:$A$36,
_xlfn.XLOOKUP(AW104,'2)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241</v>
      </c>
      <c r="BJ104" s="299" cm="1">
        <f t="array" ref="BJ104">ROUND((_xlfn.XLOOKUP($C104,'2) หลักการคำนวน Table'!$A$4:$A$36,
_xlfn.XLOOKUP(AX104,'2)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241</v>
      </c>
      <c r="BK104" s="299" cm="1">
        <f t="array" ref="BK104">ROUND((_xlfn.XLOOKUP($C104,'2) หลักการคำนวน Table'!$A$4:$A$36,
_xlfn.XLOOKUP(AY104,'2) หลักการคำนวน Table'!$C$3:$K$3,'2) หลักการคำนวน Table'!$C$4:$K$36,,-1)))*(_xlfn.XLOOKUP($C104,'2) หลักการคำนวน Table'!$A$4:$A$36, _xlfn.XLOOKUP($B104,'2) หลักการคำนวน Table'!$L$3:$Z$3,'2) หลักการคำนวน Table'!$L$4:$Z$36))),0)</f>
        <v>241</v>
      </c>
      <c r="BM104" s="295">
        <v>222203</v>
      </c>
      <c r="BN104" s="300">
        <v>268</v>
      </c>
    </row>
    <row r="105" spans="1:66" ht="14.7" customHeight="1" x14ac:dyDescent="0.25">
      <c r="A105" s="126">
        <f>VLOOKUP(C105,ASTBase!E:S,13,FALSE)</f>
        <v>222238</v>
      </c>
      <c r="B105" s="126" t="s">
        <v>408</v>
      </c>
      <c r="C105" s="232" t="s">
        <v>395</v>
      </c>
      <c r="D105" s="127">
        <v>50000</v>
      </c>
      <c r="E105" s="127">
        <v>48000</v>
      </c>
      <c r="F105" s="127">
        <v>48000</v>
      </c>
      <c r="G105" s="127">
        <v>49000</v>
      </c>
      <c r="H105" s="127">
        <v>53417</v>
      </c>
      <c r="I105" s="127">
        <v>49717</v>
      </c>
      <c r="J105" s="127">
        <v>52416</v>
      </c>
      <c r="K105" s="127">
        <v>50327</v>
      </c>
      <c r="L105" s="127">
        <v>50417</v>
      </c>
      <c r="M105" s="127">
        <v>49776</v>
      </c>
      <c r="N105" s="127">
        <v>45513</v>
      </c>
      <c r="O105" s="127">
        <v>53416</v>
      </c>
      <c r="P105" s="126">
        <v>53784.299999999967</v>
      </c>
      <c r="AB105" s="297">
        <f>IFERROR(IF(VLOOKUP($B105,Shortage!$A:$M,AB$2,FALSE)="Shortage",1,IFERROR(ROUND(P105/D105,4),0)),IFERROR(ROUND(P105/D105,4),0))</f>
        <v>1.0757000000000001</v>
      </c>
      <c r="AC105" s="297">
        <f>IFERROR(IF(VLOOKUP($B105,Shortage!$A:$M,AC$2,FALSE)="Shortage",1,IFERROR(ROUND(Q105/E105,4),0)),IFERROR(ROUND(Q105/E105,4),0))</f>
        <v>0</v>
      </c>
      <c r="AD105" s="297">
        <f>IFERROR(IF(VLOOKUP($B105,Shortage!$A:$M,AD$2,FALSE)="Shortage",1,IFERROR(ROUND(R105/F105,4),0)),IFERROR(ROUND(R105/F105,4),0))</f>
        <v>0</v>
      </c>
      <c r="AE105" s="297">
        <f>IFERROR(IF(VLOOKUP($B105,Shortage!$A:$M,AE$2,FALSE)="Shortage",1,IFERROR(ROUND(S105/G105,4),0)),IFERROR(ROUND(S105/G105,4),0))</f>
        <v>0</v>
      </c>
      <c r="AF105" s="297">
        <f>IFERROR(IF(VLOOKUP($B105,Shortage!$A:$M,AF$2,FALSE)="Shortage",1,IFERROR(ROUND(T105/H105,4),0)),IFERROR(ROUND(T105/H105,4),0))</f>
        <v>0</v>
      </c>
      <c r="AG105" s="297">
        <f>IFERROR(IF(VLOOKUP($B105,Shortage!$A:$M,AG$2,FALSE)="Shortage",1,IFERROR(ROUND(U105/I105,4),0)),IFERROR(ROUND(U105/I105,4),0))</f>
        <v>0</v>
      </c>
      <c r="AH105" s="297">
        <f>IFERROR(IF(VLOOKUP($B105,Shortage!$A:$M,AH$2,FALSE)="Shortage",1,IFERROR(ROUND(V105/J105,4),0)),IFERROR(ROUND(V105/J105,4),0))</f>
        <v>0</v>
      </c>
      <c r="AI105" s="297">
        <f>IFERROR(IF(VLOOKUP($B105,Shortage!$A:$M,AI$2,FALSE)="Shortage",1,IFERROR(ROUND(W105/K105,4),0)),IFERROR(ROUND(W105/K105,4),0))</f>
        <v>0</v>
      </c>
      <c r="AJ105" s="297">
        <f>IFERROR(IF(VLOOKUP($B105,Shortage!$A:$M,AJ$2,FALSE)="Shortage",1,IFERROR(ROUND(X105/L105,4),0)),IFERROR(ROUND(X105/L105,4),0))</f>
        <v>0</v>
      </c>
      <c r="AK105" s="297">
        <f>IFERROR(IF(VLOOKUP($B105,Shortage!$A:$M,AK$2,FALSE)="Shortage",1,IFERROR(ROUND(Y105/M105,4),0)),IFERROR(ROUND(Y105/M105,4),0))</f>
        <v>0</v>
      </c>
      <c r="AL105" s="297">
        <f>IFERROR(IF(VLOOKUP($B105,Shortage!$A:$M,AL$2,FALSE)="Shortage",1,IFERROR(ROUND(Z105/N105,4),0)),IFERROR(ROUND(Z105/N105,4),0))</f>
        <v>0</v>
      </c>
      <c r="AM105" s="297">
        <f>IFERROR(IF(VLOOKUP($B105,Shortage!$A:$M,AM$2,FALSE)="Shortage",1,IFERROR(ROUND(AA105/O105,4),0)),IFERROR(ROUND(AA105/O105,4),0))</f>
        <v>0</v>
      </c>
      <c r="AN105" s="298">
        <f>IFERROR(_xlfn.XLOOKUP(AB105,'2) หลักการคำนวน Table'!$C$3:$K$3,'2) หลักการคำนวน Table'!$C$3:$K$3,,1),INDEX('2) หลักการคำนวน Table'!$C$3:$K$3,1))</f>
        <v>1.1000000000000001</v>
      </c>
      <c r="AO105" s="298">
        <f>IFERROR(
  _xlfn.XLOOKUP(AC105,'2) หลักการคำนวน Table'!$C$3:$K$3,'2) หลักการคำนวน Table'!$C$3:$K$3,,1),
  IF(AC105&lt;MIN('2) หลักการคำนวน Table'!$C$3:$K$3),
     MIN('2) หลักการคำนวน Table'!$C$3:$K$3),
     MAX('2) หลักการคำนวน Table'!$C$3:$K$3)
  )
)</f>
        <v>0.9</v>
      </c>
      <c r="AP105" s="298">
        <f>IFERROR(
  _xlfn.XLOOKUP(AD105,'2) หลักการคำนวน Table'!$C$3:$K$3,'2) หลักการคำนวน Table'!$C$3:$K$3,,1),
  IF(AD105&lt;MIN('2) หลักการคำนวน Table'!$C$3:$K$3),
     MIN('2) หลักการคำนวน Table'!$C$3:$K$3),
     MAX('2) หลักการคำนวน Table'!$C$3:$K$3)
  )
)</f>
        <v>0.9</v>
      </c>
      <c r="AQ105" s="298">
        <f>IFERROR(
  _xlfn.XLOOKUP(AE105,'2) หลักการคำนวน Table'!$C$3:$K$3,'2) หลักการคำนวน Table'!$C$3:$K$3,,1),
  IF(AE105&lt;MIN('2) หลักการคำนวน Table'!$C$3:$K$3),
     MIN('2) หลักการคำนวน Table'!$C$3:$K$3),
     MAX('2) หลักการคำนวน Table'!$C$3:$K$3)
  )
)</f>
        <v>0.9</v>
      </c>
      <c r="AR105" s="298">
        <f>IFERROR(
  _xlfn.XLOOKUP(AF105,'2) หลักการคำนวน Table'!$C$3:$K$3,'2) หลักการคำนวน Table'!$C$3:$K$3,,1),
  IF(AF105&lt;MIN('2) หลักการคำนวน Table'!$C$3:$K$3),
     MIN('2) หลักการคำนวน Table'!$C$3:$K$3),
     MAX('2) หลักการคำนวน Table'!$C$3:$K$3)
  )
)</f>
        <v>0.9</v>
      </c>
      <c r="AS105" s="298">
        <f>IFERROR(
  _xlfn.XLOOKUP(AG105,'2) หลักการคำนวน Table'!$C$3:$K$3,'2) หลักการคำนวน Table'!$C$3:$K$3,,1),
  IF(AG105&lt;MIN('2) หลักการคำนวน Table'!$C$3:$K$3),
     MIN('2) หลักการคำนวน Table'!$C$3:$K$3),
     MAX('2) หลักการคำนวน Table'!$C$3:$K$3)
  )
)</f>
        <v>0.9</v>
      </c>
      <c r="AT105" s="298">
        <f>IFERROR(
  _xlfn.XLOOKUP(AH105,'2) หลักการคำนวน Table'!$C$3:$K$3,'2) หลักการคำนวน Table'!$C$3:$K$3,,1),
  IF(AH105&lt;MIN('2) หลักการคำนวน Table'!$C$3:$K$3),
     MIN('2) หลักการคำนวน Table'!$C$3:$K$3),
     MAX('2) หลักการคำนวน Table'!$C$3:$K$3)
  )
)</f>
        <v>0.9</v>
      </c>
      <c r="AU105" s="298">
        <f>IFERROR(
  _xlfn.XLOOKUP(AI105,'2) หลักการคำนวน Table'!$C$3:$K$3,'2) หลักการคำนวน Table'!$C$3:$K$3,,1),
  IF(AI105&lt;MIN('2) หลักการคำนวน Table'!$C$3:$K$3),
     MIN('2) หลักการคำนวน Table'!$C$3:$K$3),
     MAX('2) หลักการคำนวน Table'!$C$3:$K$3)
  )
)</f>
        <v>0.9</v>
      </c>
      <c r="AV105" s="298">
        <f>IFERROR(
  _xlfn.XLOOKUP(AJ105,'2) หลักการคำนวน Table'!$C$3:$K$3,'2) หลักการคำนวน Table'!$C$3:$K$3,,1),
  IF(AJ105&lt;MIN('2) หลักการคำนวน Table'!$C$3:$K$3),
     MIN('2) หลักการคำนวน Table'!$C$3:$K$3),
     MAX('2) หลักการคำนวน Table'!$C$3:$K$3)
  )
)</f>
        <v>0.9</v>
      </c>
      <c r="AW105" s="298">
        <f>IFERROR(
  _xlfn.XLOOKUP(AK105,'2) หลักการคำนวน Table'!$C$3:$K$3,'2) หลักการคำนวน Table'!$C$3:$K$3,,1),
  IF(AK105&lt;MIN('2) หลักการคำนวน Table'!$C$3:$K$3),
     MIN('2) หลักการคำนวน Table'!$C$3:$K$3),
     MAX('2) หลักการคำนวน Table'!$C$3:$K$3)
  )
)</f>
        <v>0.9</v>
      </c>
      <c r="AX105" s="298">
        <f>IFERROR(
  _xlfn.XLOOKUP(AL105,'2) หลักการคำนวน Table'!$C$3:$K$3,'2) หลักการคำนวน Table'!$C$3:$K$3,,1),
  IF(AL105&lt;MIN('2) หลักการคำนวน Table'!$C$3:$K$3),
     MIN('2) หลักการคำนวน Table'!$C$3:$K$3),
     MAX('2) หลักการคำนวน Table'!$C$3:$K$3)
  )
)</f>
        <v>0.9</v>
      </c>
      <c r="AY105" s="298">
        <f>IFERROR(
  _xlfn.XLOOKUP(AM105,'2) หลักการคำนวน Table'!$C$3:$K$3,'2) หลักการคำนวน Table'!$C$3:$K$3,,1),
  IF(AM105&lt;MIN('2) หลักการคำนวน Table'!$C$3:$K$3),
     MIN('2) หลักการคำนวน Table'!$C$3:$K$3),
     MAX('2) หลักการคำนวน Table'!$C$3:$K$3)
  )
)</f>
        <v>0.9</v>
      </c>
      <c r="AZ105" s="299" cm="1">
        <f t="array" ref="AZ105">ROUND((_xlfn.XLOOKUP($C105,'2) หลักการคำนวน Table'!$A$4:$A$36,
_xlfn.XLOOKUP(AN105,'2)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491</v>
      </c>
      <c r="BA105" s="299" cm="1">
        <f t="array" ref="BA105">ROUND((_xlfn.XLOOKUP($C105,'2) หลักการคำนวน Table'!$A$4:$A$36,
_xlfn.XLOOKUP(AO105,'2)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402</v>
      </c>
      <c r="BB105" s="299" cm="1">
        <f t="array" ref="BB105">ROUND((_xlfn.XLOOKUP($C105,'2) หลักการคำนวน Table'!$A$4:$A$36,
_xlfn.XLOOKUP(AP105,'2)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402</v>
      </c>
      <c r="BC105" s="299" cm="1">
        <f t="array" ref="BC105">ROUND((_xlfn.XLOOKUP($C105,'2) หลักการคำนวน Table'!$A$4:$A$36,
_xlfn.XLOOKUP(AQ105,'2)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402</v>
      </c>
      <c r="BD105" s="299" cm="1">
        <f t="array" ref="BD105">ROUND((_xlfn.XLOOKUP($C105,'2) หลักการคำนวน Table'!$A$4:$A$36,
_xlfn.XLOOKUP(AR105,'2)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402</v>
      </c>
      <c r="BE105" s="299" cm="1">
        <f t="array" ref="BE105">ROUND((_xlfn.XLOOKUP($C105,'2) หลักการคำนวน Table'!$A$4:$A$36,
_xlfn.XLOOKUP(AS105,'2)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402</v>
      </c>
      <c r="BF105" s="299" cm="1">
        <f t="array" ref="BF105">ROUND((_xlfn.XLOOKUP($C105,'2) หลักการคำนวน Table'!$A$4:$A$36,
_xlfn.XLOOKUP(AT105,'2)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402</v>
      </c>
      <c r="BG105" s="299" cm="1">
        <f t="array" ref="BG105">ROUND((_xlfn.XLOOKUP($C105,'2) หลักการคำนวน Table'!$A$4:$A$36,
_xlfn.XLOOKUP(AU105,'2)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402</v>
      </c>
      <c r="BH105" s="299" cm="1">
        <f t="array" ref="BH105">ROUND((_xlfn.XLOOKUP($C105,'2) หลักการคำนวน Table'!$A$4:$A$36,
_xlfn.XLOOKUP(AV105,'2)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402</v>
      </c>
      <c r="BI105" s="299" cm="1">
        <f t="array" ref="BI105">ROUND((_xlfn.XLOOKUP($C105,'2) หลักการคำนวน Table'!$A$4:$A$36,
_xlfn.XLOOKUP(AW105,'2)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402</v>
      </c>
      <c r="BJ105" s="299" cm="1">
        <f t="array" ref="BJ105">ROUND((_xlfn.XLOOKUP($C105,'2) หลักการคำนวน Table'!$A$4:$A$36,
_xlfn.XLOOKUP(AX105,'2)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402</v>
      </c>
      <c r="BK105" s="299" cm="1">
        <f t="array" ref="BK105">ROUND((_xlfn.XLOOKUP($C105,'2) หลักการคำนวน Table'!$A$4:$A$36,
_xlfn.XLOOKUP(AY105,'2) หลักการคำนวน Table'!$C$3:$K$3,'2) หลักการคำนวน Table'!$C$4:$K$36,,-1)))*(_xlfn.XLOOKUP($C105,'2) หลักการคำนวน Table'!$A$4:$A$36, _xlfn.XLOOKUP($B105,'2) หลักการคำนวน Table'!$L$3:$Z$3,'2) หลักการคำนวน Table'!$L$4:$Z$36))),0)</f>
        <v>402</v>
      </c>
      <c r="BM105" s="295">
        <v>222203</v>
      </c>
      <c r="BN105" s="300">
        <v>491</v>
      </c>
    </row>
    <row r="106" spans="1:66" ht="14.7" customHeight="1" x14ac:dyDescent="0.25">
      <c r="A106" s="126">
        <f>VLOOKUP(C106,ASTBase!E:S,13,FALSE)</f>
        <v>222238</v>
      </c>
      <c r="B106" s="126" t="s">
        <v>406</v>
      </c>
      <c r="C106" s="232" t="s">
        <v>395</v>
      </c>
      <c r="D106" s="127">
        <v>207200</v>
      </c>
      <c r="E106" s="127">
        <v>202100</v>
      </c>
      <c r="F106" s="127">
        <v>201500</v>
      </c>
      <c r="G106" s="127">
        <v>198200</v>
      </c>
      <c r="H106" s="127">
        <v>202435</v>
      </c>
      <c r="I106" s="127">
        <v>218422</v>
      </c>
      <c r="J106" s="127">
        <v>212838</v>
      </c>
      <c r="K106" s="127">
        <v>205480</v>
      </c>
      <c r="L106" s="127">
        <v>201563</v>
      </c>
      <c r="M106" s="127">
        <v>223656</v>
      </c>
      <c r="N106" s="127">
        <v>200986.08333333299</v>
      </c>
      <c r="O106" s="127">
        <v>215620.08333333299</v>
      </c>
      <c r="P106" s="126">
        <v>205152.05999999965</v>
      </c>
      <c r="AB106" s="297">
        <f>IFERROR(IF(VLOOKUP($B106,Shortage!$A:$M,AB$2,FALSE)="Shortage",1,IFERROR(ROUND(P106/D106,4),0)),IFERROR(ROUND(P106/D106,4),0))</f>
        <v>1</v>
      </c>
      <c r="AC106" s="297">
        <f>IFERROR(IF(VLOOKUP($B106,Shortage!$A:$M,AC$2,FALSE)="Shortage",1,IFERROR(ROUND(Q106/E106,4),0)),IFERROR(ROUND(Q106/E106,4),0))</f>
        <v>0</v>
      </c>
      <c r="AD106" s="297">
        <f>IFERROR(IF(VLOOKUP($B106,Shortage!$A:$M,AD$2,FALSE)="Shortage",1,IFERROR(ROUND(R106/F106,4),0)),IFERROR(ROUND(R106/F106,4),0))</f>
        <v>0</v>
      </c>
      <c r="AE106" s="297">
        <f>IFERROR(IF(VLOOKUP($B106,Shortage!$A:$M,AE$2,FALSE)="Shortage",1,IFERROR(ROUND(S106/G106,4),0)),IFERROR(ROUND(S106/G106,4),0))</f>
        <v>0</v>
      </c>
      <c r="AF106" s="297">
        <f>IFERROR(IF(VLOOKUP($B106,Shortage!$A:$M,AF$2,FALSE)="Shortage",1,IFERROR(ROUND(T106/H106,4),0)),IFERROR(ROUND(T106/H106,4),0))</f>
        <v>0</v>
      </c>
      <c r="AG106" s="297">
        <f>IFERROR(IF(VLOOKUP($B106,Shortage!$A:$M,AG$2,FALSE)="Shortage",1,IFERROR(ROUND(U106/I106,4),0)),IFERROR(ROUND(U106/I106,4),0))</f>
        <v>0</v>
      </c>
      <c r="AH106" s="297">
        <f>IFERROR(IF(VLOOKUP($B106,Shortage!$A:$M,AH$2,FALSE)="Shortage",1,IFERROR(ROUND(V106/J106,4),0)),IFERROR(ROUND(V106/J106,4),0))</f>
        <v>0</v>
      </c>
      <c r="AI106" s="297">
        <f>IFERROR(IF(VLOOKUP($B106,Shortage!$A:$M,AI$2,FALSE)="Shortage",1,IFERROR(ROUND(W106/K106,4),0)),IFERROR(ROUND(W106/K106,4),0))</f>
        <v>0</v>
      </c>
      <c r="AJ106" s="297">
        <f>IFERROR(IF(VLOOKUP($B106,Shortage!$A:$M,AJ$2,FALSE)="Shortage",1,IFERROR(ROUND(X106/L106,4),0)),IFERROR(ROUND(X106/L106,4),0))</f>
        <v>0</v>
      </c>
      <c r="AK106" s="297">
        <f>IFERROR(IF(VLOOKUP($B106,Shortage!$A:$M,AK$2,FALSE)="Shortage",1,IFERROR(ROUND(Y106/M106,4),0)),IFERROR(ROUND(Y106/M106,4),0))</f>
        <v>0</v>
      </c>
      <c r="AL106" s="297">
        <f>IFERROR(IF(VLOOKUP($B106,Shortage!$A:$M,AL$2,FALSE)="Shortage",1,IFERROR(ROUND(Z106/N106,4),0)),IFERROR(ROUND(Z106/N106,4),0))</f>
        <v>0</v>
      </c>
      <c r="AM106" s="297">
        <f>IFERROR(IF(VLOOKUP($B106,Shortage!$A:$M,AM$2,FALSE)="Shortage",1,IFERROR(ROUND(AA106/O106,4),0)),IFERROR(ROUND(AA106/O106,4),0))</f>
        <v>0</v>
      </c>
      <c r="AN106" s="298">
        <f>IFERROR(_xlfn.XLOOKUP(AB106,'2) หลักการคำนวน Table'!$C$3:$K$3,'2) หลักการคำนวน Table'!$C$3:$K$3,,1),INDEX('2) หลักการคำนวน Table'!$C$3:$K$3,1))</f>
        <v>1</v>
      </c>
      <c r="AO106" s="298">
        <f>IFERROR(
  _xlfn.XLOOKUP(AC106,'2) หลักการคำนวน Table'!$C$3:$K$3,'2) หลักการคำนวน Table'!$C$3:$K$3,,1),
  IF(AC106&lt;MIN('2) หลักการคำนวน Table'!$C$3:$K$3),
     MIN('2) หลักการคำนวน Table'!$C$3:$K$3),
     MAX('2) หลักการคำนวน Table'!$C$3:$K$3)
  )
)</f>
        <v>0.9</v>
      </c>
      <c r="AP106" s="298">
        <f>IFERROR(
  _xlfn.XLOOKUP(AD106,'2) หลักการคำนวน Table'!$C$3:$K$3,'2) หลักการคำนวน Table'!$C$3:$K$3,,1),
  IF(AD106&lt;MIN('2) หลักการคำนวน Table'!$C$3:$K$3),
     MIN('2) หลักการคำนวน Table'!$C$3:$K$3),
     MAX('2) หลักการคำนวน Table'!$C$3:$K$3)
  )
)</f>
        <v>0.9</v>
      </c>
      <c r="AQ106" s="298">
        <f>IFERROR(
  _xlfn.XLOOKUP(AE106,'2) หลักการคำนวน Table'!$C$3:$K$3,'2) หลักการคำนวน Table'!$C$3:$K$3,,1),
  IF(AE106&lt;MIN('2) หลักการคำนวน Table'!$C$3:$K$3),
     MIN('2) หลักการคำนวน Table'!$C$3:$K$3),
     MAX('2) หลักการคำนวน Table'!$C$3:$K$3)
  )
)</f>
        <v>0.9</v>
      </c>
      <c r="AR106" s="298">
        <f>IFERROR(
  _xlfn.XLOOKUP(AF106,'2) หลักการคำนวน Table'!$C$3:$K$3,'2) หลักการคำนวน Table'!$C$3:$K$3,,1),
  IF(AF106&lt;MIN('2) หลักการคำนวน Table'!$C$3:$K$3),
     MIN('2) หลักการคำนวน Table'!$C$3:$K$3),
     MAX('2) หลักการคำนวน Table'!$C$3:$K$3)
  )
)</f>
        <v>0.9</v>
      </c>
      <c r="AS106" s="298">
        <f>IFERROR(
  _xlfn.XLOOKUP(AG106,'2) หลักการคำนวน Table'!$C$3:$K$3,'2) หลักการคำนวน Table'!$C$3:$K$3,,1),
  IF(AG106&lt;MIN('2) หลักการคำนวน Table'!$C$3:$K$3),
     MIN('2) หลักการคำนวน Table'!$C$3:$K$3),
     MAX('2) หลักการคำนวน Table'!$C$3:$K$3)
  )
)</f>
        <v>0.9</v>
      </c>
      <c r="AT106" s="298">
        <f>IFERROR(
  _xlfn.XLOOKUP(AH106,'2) หลักการคำนวน Table'!$C$3:$K$3,'2) หลักการคำนวน Table'!$C$3:$K$3,,1),
  IF(AH106&lt;MIN('2) หลักการคำนวน Table'!$C$3:$K$3),
     MIN('2) หลักการคำนวน Table'!$C$3:$K$3),
     MAX('2) หลักการคำนวน Table'!$C$3:$K$3)
  )
)</f>
        <v>0.9</v>
      </c>
      <c r="AU106" s="298">
        <f>IFERROR(
  _xlfn.XLOOKUP(AI106,'2) หลักการคำนวน Table'!$C$3:$K$3,'2) หลักการคำนวน Table'!$C$3:$K$3,,1),
  IF(AI106&lt;MIN('2) หลักการคำนวน Table'!$C$3:$K$3),
     MIN('2) หลักการคำนวน Table'!$C$3:$K$3),
     MAX('2) หลักการคำนวน Table'!$C$3:$K$3)
  )
)</f>
        <v>0.9</v>
      </c>
      <c r="AV106" s="298">
        <f>IFERROR(
  _xlfn.XLOOKUP(AJ106,'2) หลักการคำนวน Table'!$C$3:$K$3,'2) หลักการคำนวน Table'!$C$3:$K$3,,1),
  IF(AJ106&lt;MIN('2) หลักการคำนวน Table'!$C$3:$K$3),
     MIN('2) หลักการคำนวน Table'!$C$3:$K$3),
     MAX('2) หลักการคำนวน Table'!$C$3:$K$3)
  )
)</f>
        <v>0.9</v>
      </c>
      <c r="AW106" s="298">
        <f>IFERROR(
  _xlfn.XLOOKUP(AK106,'2) หลักการคำนวน Table'!$C$3:$K$3,'2) หลักการคำนวน Table'!$C$3:$K$3,,1),
  IF(AK106&lt;MIN('2) หลักการคำนวน Table'!$C$3:$K$3),
     MIN('2) หลักการคำนวน Table'!$C$3:$K$3),
     MAX('2) หลักการคำนวน Table'!$C$3:$K$3)
  )
)</f>
        <v>0.9</v>
      </c>
      <c r="AX106" s="298">
        <f>IFERROR(
  _xlfn.XLOOKUP(AL106,'2) หลักการคำนวน Table'!$C$3:$K$3,'2) หลักการคำนวน Table'!$C$3:$K$3,,1),
  IF(AL106&lt;MIN('2) หลักการคำนวน Table'!$C$3:$K$3),
     MIN('2) หลักการคำนวน Table'!$C$3:$K$3),
     MAX('2) หลักการคำนวน Table'!$C$3:$K$3)
  )
)</f>
        <v>0.9</v>
      </c>
      <c r="AY106" s="298">
        <f>IFERROR(
  _xlfn.XLOOKUP(AM106,'2) หลักการคำนวน Table'!$C$3:$K$3,'2) หลักการคำนวน Table'!$C$3:$K$3,,1),
  IF(AM106&lt;MIN('2) หลักการคำนวน Table'!$C$3:$K$3),
     MIN('2) หลักการคำนวน Table'!$C$3:$K$3),
     MAX('2) หลักการคำนวน Table'!$C$3:$K$3)
  )
)</f>
        <v>0.9</v>
      </c>
      <c r="AZ106" s="299" cm="1">
        <f t="array" ref="AZ106">ROUND((_xlfn.XLOOKUP($C106,'2) หลักการคำนวน Table'!$A$4:$A$36,
_xlfn.XLOOKUP(AN106,'2)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446</v>
      </c>
      <c r="BA106" s="299" cm="1">
        <f t="array" ref="BA106">ROUND((_xlfn.XLOOKUP($C106,'2) หลักการคำนวน Table'!$A$4:$A$36,
_xlfn.XLOOKUP(AO106,'2)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402</v>
      </c>
      <c r="BB106" s="299" cm="1">
        <f t="array" ref="BB106">ROUND((_xlfn.XLOOKUP($C106,'2) หลักการคำนวน Table'!$A$4:$A$36,
_xlfn.XLOOKUP(AP106,'2)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402</v>
      </c>
      <c r="BC106" s="299" cm="1">
        <f t="array" ref="BC106">ROUND((_xlfn.XLOOKUP($C106,'2) หลักการคำนวน Table'!$A$4:$A$36,
_xlfn.XLOOKUP(AQ106,'2)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402</v>
      </c>
      <c r="BD106" s="299" cm="1">
        <f t="array" ref="BD106">ROUND((_xlfn.XLOOKUP($C106,'2) หลักการคำนวน Table'!$A$4:$A$36,
_xlfn.XLOOKUP(AR106,'2)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402</v>
      </c>
      <c r="BE106" s="299" cm="1">
        <f t="array" ref="BE106">ROUND((_xlfn.XLOOKUP($C106,'2) หลักการคำนวน Table'!$A$4:$A$36,
_xlfn.XLOOKUP(AS106,'2)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402</v>
      </c>
      <c r="BF106" s="299" cm="1">
        <f t="array" ref="BF106">ROUND((_xlfn.XLOOKUP($C106,'2) หลักการคำนวน Table'!$A$4:$A$36,
_xlfn.XLOOKUP(AT106,'2)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402</v>
      </c>
      <c r="BG106" s="299" cm="1">
        <f t="array" ref="BG106">ROUND((_xlfn.XLOOKUP($C106,'2) หลักการคำนวน Table'!$A$4:$A$36,
_xlfn.XLOOKUP(AU106,'2)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402</v>
      </c>
      <c r="BH106" s="299" cm="1">
        <f t="array" ref="BH106">ROUND((_xlfn.XLOOKUP($C106,'2) หลักการคำนวน Table'!$A$4:$A$36,
_xlfn.XLOOKUP(AV106,'2)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402</v>
      </c>
      <c r="BI106" s="299" cm="1">
        <f t="array" ref="BI106">ROUND((_xlfn.XLOOKUP($C106,'2) หลักการคำนวน Table'!$A$4:$A$36,
_xlfn.XLOOKUP(AW106,'2)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402</v>
      </c>
      <c r="BJ106" s="299" cm="1">
        <f t="array" ref="BJ106">ROUND((_xlfn.XLOOKUP($C106,'2) หลักการคำนวน Table'!$A$4:$A$36,
_xlfn.XLOOKUP(AX106,'2)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402</v>
      </c>
      <c r="BK106" s="299" cm="1">
        <f t="array" ref="BK106">ROUND((_xlfn.XLOOKUP($C106,'2) หลักการคำนวน Table'!$A$4:$A$36,
_xlfn.XLOOKUP(AY106,'2) หลักการคำนวน Table'!$C$3:$K$3,'2) หลักการคำนวน Table'!$C$4:$K$36,,-1)))*(_xlfn.XLOOKUP($C106,'2) หลักการคำนวน Table'!$A$4:$A$36, _xlfn.XLOOKUP($B106,'2) หลักการคำนวน Table'!$L$3:$Z$3,'2) หลักการคำนวน Table'!$L$4:$Z$36))),0)</f>
        <v>402</v>
      </c>
      <c r="BM106" s="295">
        <v>222203</v>
      </c>
      <c r="BN106" s="300">
        <v>446</v>
      </c>
    </row>
    <row r="107" spans="1:66" ht="14.7" customHeight="1" x14ac:dyDescent="0.25">
      <c r="A107" s="126">
        <f>VLOOKUP(C107,ASTBase!E:S,13,FALSE)</f>
        <v>222238</v>
      </c>
      <c r="B107" s="126" t="s">
        <v>409</v>
      </c>
      <c r="C107" s="232" t="s">
        <v>395</v>
      </c>
      <c r="D107" s="127">
        <v>19700</v>
      </c>
      <c r="E107" s="127">
        <v>17700</v>
      </c>
      <c r="F107" s="127">
        <v>17700</v>
      </c>
      <c r="G107" s="127">
        <v>13880</v>
      </c>
      <c r="H107" s="127">
        <v>18883</v>
      </c>
      <c r="I107" s="127">
        <v>18798</v>
      </c>
      <c r="J107" s="127">
        <v>27268</v>
      </c>
      <c r="K107" s="127">
        <v>27957</v>
      </c>
      <c r="L107" s="127">
        <v>25054</v>
      </c>
      <c r="M107" s="127">
        <v>18787</v>
      </c>
      <c r="N107" s="127">
        <v>18386</v>
      </c>
      <c r="O107" s="127">
        <v>25887</v>
      </c>
      <c r="P107" s="126">
        <v>15620.256000000065</v>
      </c>
      <c r="AB107" s="297">
        <f>IFERROR(IF(VLOOKUP($B107,Shortage!$A:$M,AB$2,FALSE)="Shortage",1,IFERROR(ROUND(P107/D107,4),0)),IFERROR(ROUND(P107/D107,4),0))</f>
        <v>0.79290000000000005</v>
      </c>
      <c r="AC107" s="297">
        <f>IFERROR(IF(VLOOKUP($B107,Shortage!$A:$M,AC$2,FALSE)="Shortage",1,IFERROR(ROUND(Q107/E107,4),0)),IFERROR(ROUND(Q107/E107,4),0))</f>
        <v>0</v>
      </c>
      <c r="AD107" s="297">
        <f>IFERROR(IF(VLOOKUP($B107,Shortage!$A:$M,AD$2,FALSE)="Shortage",1,IFERROR(ROUND(R107/F107,4),0)),IFERROR(ROUND(R107/F107,4),0))</f>
        <v>0</v>
      </c>
      <c r="AE107" s="297">
        <f>IFERROR(IF(VLOOKUP($B107,Shortage!$A:$M,AE$2,FALSE)="Shortage",1,IFERROR(ROUND(S107/G107,4),0)),IFERROR(ROUND(S107/G107,4),0))</f>
        <v>0</v>
      </c>
      <c r="AF107" s="297">
        <f>IFERROR(IF(VLOOKUP($B107,Shortage!$A:$M,AF$2,FALSE)="Shortage",1,IFERROR(ROUND(T107/H107,4),0)),IFERROR(ROUND(T107/H107,4),0))</f>
        <v>0</v>
      </c>
      <c r="AG107" s="297">
        <f>IFERROR(IF(VLOOKUP($B107,Shortage!$A:$M,AG$2,FALSE)="Shortage",1,IFERROR(ROUND(U107/I107,4),0)),IFERROR(ROUND(U107/I107,4),0))</f>
        <v>0</v>
      </c>
      <c r="AH107" s="297">
        <f>IFERROR(IF(VLOOKUP($B107,Shortage!$A:$M,AH$2,FALSE)="Shortage",1,IFERROR(ROUND(V107/J107,4),0)),IFERROR(ROUND(V107/J107,4),0))</f>
        <v>0</v>
      </c>
      <c r="AI107" s="297">
        <f>IFERROR(IF(VLOOKUP($B107,Shortage!$A:$M,AI$2,FALSE)="Shortage",1,IFERROR(ROUND(W107/K107,4),0)),IFERROR(ROUND(W107/K107,4),0))</f>
        <v>0</v>
      </c>
      <c r="AJ107" s="297">
        <f>IFERROR(IF(VLOOKUP($B107,Shortage!$A:$M,AJ$2,FALSE)="Shortage",1,IFERROR(ROUND(X107/L107,4),0)),IFERROR(ROUND(X107/L107,4),0))</f>
        <v>0</v>
      </c>
      <c r="AK107" s="297">
        <f>IFERROR(IF(VLOOKUP($B107,Shortage!$A:$M,AK$2,FALSE)="Shortage",1,IFERROR(ROUND(Y107/M107,4),0)),IFERROR(ROUND(Y107/M107,4),0))</f>
        <v>0</v>
      </c>
      <c r="AL107" s="297">
        <f>IFERROR(IF(VLOOKUP($B107,Shortage!$A:$M,AL$2,FALSE)="Shortage",1,IFERROR(ROUND(Z107/N107,4),0)),IFERROR(ROUND(Z107/N107,4),0))</f>
        <v>0</v>
      </c>
      <c r="AM107" s="297">
        <f>IFERROR(IF(VLOOKUP($B107,Shortage!$A:$M,AM$2,FALSE)="Shortage",1,IFERROR(ROUND(AA107/O107,4),0)),IFERROR(ROUND(AA107/O107,4),0))</f>
        <v>0</v>
      </c>
      <c r="AN107" s="298">
        <f>IFERROR(_xlfn.XLOOKUP(AB107,'2) หลักการคำนวน Table'!$C$3:$K$3,'2) หลักการคำนวน Table'!$C$3:$K$3,,1),INDEX('2) หลักการคำนวน Table'!$C$3:$K$3,1))</f>
        <v>0.9</v>
      </c>
      <c r="AO107" s="298">
        <f>IFERROR(
  _xlfn.XLOOKUP(AC107,'2) หลักการคำนวน Table'!$C$3:$K$3,'2) หลักการคำนวน Table'!$C$3:$K$3,,1),
  IF(AC107&lt;MIN('2) หลักการคำนวน Table'!$C$3:$K$3),
     MIN('2) หลักการคำนวน Table'!$C$3:$K$3),
     MAX('2) หลักการคำนวน Table'!$C$3:$K$3)
  )
)</f>
        <v>0.9</v>
      </c>
      <c r="AP107" s="298">
        <f>IFERROR(
  _xlfn.XLOOKUP(AD107,'2) หลักการคำนวน Table'!$C$3:$K$3,'2) หลักการคำนวน Table'!$C$3:$K$3,,1),
  IF(AD107&lt;MIN('2) หลักการคำนวน Table'!$C$3:$K$3),
     MIN('2) หลักการคำนวน Table'!$C$3:$K$3),
     MAX('2) หลักการคำนวน Table'!$C$3:$K$3)
  )
)</f>
        <v>0.9</v>
      </c>
      <c r="AQ107" s="298">
        <f>IFERROR(
  _xlfn.XLOOKUP(AE107,'2) หลักการคำนวน Table'!$C$3:$K$3,'2) หลักการคำนวน Table'!$C$3:$K$3,,1),
  IF(AE107&lt;MIN('2) หลักการคำนวน Table'!$C$3:$K$3),
     MIN('2) หลักการคำนวน Table'!$C$3:$K$3),
     MAX('2) หลักการคำนวน Table'!$C$3:$K$3)
  )
)</f>
        <v>0.9</v>
      </c>
      <c r="AR107" s="298">
        <f>IFERROR(
  _xlfn.XLOOKUP(AF107,'2) หลักการคำนวน Table'!$C$3:$K$3,'2) หลักการคำนวน Table'!$C$3:$K$3,,1),
  IF(AF107&lt;MIN('2) หลักการคำนวน Table'!$C$3:$K$3),
     MIN('2) หลักการคำนวน Table'!$C$3:$K$3),
     MAX('2) หลักการคำนวน Table'!$C$3:$K$3)
  )
)</f>
        <v>0.9</v>
      </c>
      <c r="AS107" s="298">
        <f>IFERROR(
  _xlfn.XLOOKUP(AG107,'2) หลักการคำนวน Table'!$C$3:$K$3,'2) หลักการคำนวน Table'!$C$3:$K$3,,1),
  IF(AG107&lt;MIN('2) หลักการคำนวน Table'!$C$3:$K$3),
     MIN('2) หลักการคำนวน Table'!$C$3:$K$3),
     MAX('2) หลักการคำนวน Table'!$C$3:$K$3)
  )
)</f>
        <v>0.9</v>
      </c>
      <c r="AT107" s="298">
        <f>IFERROR(
  _xlfn.XLOOKUP(AH107,'2) หลักการคำนวน Table'!$C$3:$K$3,'2) หลักการคำนวน Table'!$C$3:$K$3,,1),
  IF(AH107&lt;MIN('2) หลักการคำนวน Table'!$C$3:$K$3),
     MIN('2) หลักการคำนวน Table'!$C$3:$K$3),
     MAX('2) หลักการคำนวน Table'!$C$3:$K$3)
  )
)</f>
        <v>0.9</v>
      </c>
      <c r="AU107" s="298">
        <f>IFERROR(
  _xlfn.XLOOKUP(AI107,'2) หลักการคำนวน Table'!$C$3:$K$3,'2) หลักการคำนวน Table'!$C$3:$K$3,,1),
  IF(AI107&lt;MIN('2) หลักการคำนวน Table'!$C$3:$K$3),
     MIN('2) หลักการคำนวน Table'!$C$3:$K$3),
     MAX('2) หลักการคำนวน Table'!$C$3:$K$3)
  )
)</f>
        <v>0.9</v>
      </c>
      <c r="AV107" s="298">
        <f>IFERROR(
  _xlfn.XLOOKUP(AJ107,'2) หลักการคำนวน Table'!$C$3:$K$3,'2) หลักการคำนวน Table'!$C$3:$K$3,,1),
  IF(AJ107&lt;MIN('2) หลักการคำนวน Table'!$C$3:$K$3),
     MIN('2) หลักการคำนวน Table'!$C$3:$K$3),
     MAX('2) หลักการคำนวน Table'!$C$3:$K$3)
  )
)</f>
        <v>0.9</v>
      </c>
      <c r="AW107" s="298">
        <f>IFERROR(
  _xlfn.XLOOKUP(AK107,'2) หลักการคำนวน Table'!$C$3:$K$3,'2) หลักการคำนวน Table'!$C$3:$K$3,,1),
  IF(AK107&lt;MIN('2) หลักการคำนวน Table'!$C$3:$K$3),
     MIN('2) หลักการคำนวน Table'!$C$3:$K$3),
     MAX('2) หลักการคำนวน Table'!$C$3:$K$3)
  )
)</f>
        <v>0.9</v>
      </c>
      <c r="AX107" s="298">
        <f>IFERROR(
  _xlfn.XLOOKUP(AL107,'2) หลักการคำนวน Table'!$C$3:$K$3,'2) หลักการคำนวน Table'!$C$3:$K$3,,1),
  IF(AL107&lt;MIN('2) หลักการคำนวน Table'!$C$3:$K$3),
     MIN('2) หลักการคำนวน Table'!$C$3:$K$3),
     MAX('2) หลักการคำนวน Table'!$C$3:$K$3)
  )
)</f>
        <v>0.9</v>
      </c>
      <c r="AY107" s="298">
        <f>IFERROR(
  _xlfn.XLOOKUP(AM107,'2) หลักการคำนวน Table'!$C$3:$K$3,'2) หลักการคำนวน Table'!$C$3:$K$3,,1),
  IF(AM107&lt;MIN('2) หลักการคำนวน Table'!$C$3:$K$3),
     MIN('2) หลักการคำนวน Table'!$C$3:$K$3),
     MAX('2) หลักการคำนวน Table'!$C$3:$K$3)
  )
)</f>
        <v>0.9</v>
      </c>
      <c r="AZ107" s="299" cm="1">
        <f t="array" ref="AZ107">ROUND((_xlfn.XLOOKUP($C107,'2) หลักการคำนวน Table'!$A$4:$A$36,
_xlfn.XLOOKUP(AN107,'2)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A107" s="299" cm="1">
        <f t="array" ref="BA107">ROUND((_xlfn.XLOOKUP($C107,'2) หลักการคำนวน Table'!$A$4:$A$36,
_xlfn.XLOOKUP(AO107,'2)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B107" s="299" cm="1">
        <f t="array" ref="BB107">ROUND((_xlfn.XLOOKUP($C107,'2) หลักการคำนวน Table'!$A$4:$A$36,
_xlfn.XLOOKUP(AP107,'2)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C107" s="299" cm="1">
        <f t="array" ref="BC107">ROUND((_xlfn.XLOOKUP($C107,'2) หลักการคำนวน Table'!$A$4:$A$36,
_xlfn.XLOOKUP(AQ107,'2)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D107" s="299" cm="1">
        <f t="array" ref="BD107">ROUND((_xlfn.XLOOKUP($C107,'2) หลักการคำนวน Table'!$A$4:$A$36,
_xlfn.XLOOKUP(AR107,'2)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E107" s="299" cm="1">
        <f t="array" ref="BE107">ROUND((_xlfn.XLOOKUP($C107,'2) หลักการคำนวน Table'!$A$4:$A$36,
_xlfn.XLOOKUP(AS107,'2)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F107" s="299" cm="1">
        <f t="array" ref="BF107">ROUND((_xlfn.XLOOKUP($C107,'2) หลักการคำนวน Table'!$A$4:$A$36,
_xlfn.XLOOKUP(AT107,'2)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G107" s="299" cm="1">
        <f t="array" ref="BG107">ROUND((_xlfn.XLOOKUP($C107,'2) หลักการคำนวน Table'!$A$4:$A$36,
_xlfn.XLOOKUP(AU107,'2)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H107" s="299" cm="1">
        <f t="array" ref="BH107">ROUND((_xlfn.XLOOKUP($C107,'2) หลักการคำนวน Table'!$A$4:$A$36,
_xlfn.XLOOKUP(AV107,'2)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I107" s="299" cm="1">
        <f t="array" ref="BI107">ROUND((_xlfn.XLOOKUP($C107,'2) หลักการคำนวน Table'!$A$4:$A$36,
_xlfn.XLOOKUP(AW107,'2)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J107" s="299" cm="1">
        <f t="array" ref="BJ107">ROUND((_xlfn.XLOOKUP($C107,'2) หลักการคำนวน Table'!$A$4:$A$36,
_xlfn.XLOOKUP(AX107,'2)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K107" s="299" cm="1">
        <f t="array" ref="BK107">ROUND((_xlfn.XLOOKUP($C107,'2) หลักการคำนวน Table'!$A$4:$A$36,
_xlfn.XLOOKUP(AY107,'2) หลักการคำนวน Table'!$C$3:$K$3,'2) หลักการคำนวน Table'!$C$4:$K$36,,-1)))*(_xlfn.XLOOKUP($C107,'2) หลักการคำนวน Table'!$A$4:$A$36, _xlfn.XLOOKUP($B107,'2) หลักการคำนวน Table'!$L$3:$Z$3,'2) หลักการคำนวน Table'!$L$4:$Z$36))),0)</f>
        <v>884</v>
      </c>
      <c r="BM107" s="295">
        <v>222203</v>
      </c>
      <c r="BN107" s="300">
        <v>884</v>
      </c>
    </row>
    <row r="108" spans="1:66" ht="14.7" customHeight="1" x14ac:dyDescent="0.25">
      <c r="A108" s="126">
        <f>VLOOKUP(C108,ASTBase!E:S,13,FALSE)</f>
        <v>222238</v>
      </c>
      <c r="B108" s="126" t="s">
        <v>410</v>
      </c>
      <c r="C108" s="232" t="s">
        <v>395</v>
      </c>
      <c r="D108" s="127">
        <v>23700</v>
      </c>
      <c r="E108" s="127">
        <v>49750</v>
      </c>
      <c r="F108" s="127">
        <v>22433</v>
      </c>
      <c r="G108" s="127">
        <v>24000</v>
      </c>
      <c r="H108" s="127">
        <v>29488</v>
      </c>
      <c r="I108" s="127">
        <v>25979</v>
      </c>
      <c r="J108" s="127">
        <v>25380</v>
      </c>
      <c r="K108" s="127">
        <v>24397</v>
      </c>
      <c r="L108" s="127">
        <v>25425</v>
      </c>
      <c r="M108" s="127">
        <v>25098</v>
      </c>
      <c r="N108" s="127">
        <v>24272</v>
      </c>
      <c r="O108" s="127">
        <v>28078</v>
      </c>
      <c r="P108" s="126">
        <v>24019.299999999992</v>
      </c>
      <c r="AB108" s="297">
        <f>IFERROR(IF(VLOOKUP($B108,Shortage!$A:$M,AB$2,FALSE)="Shortage",1,IFERROR(ROUND(P108/D108,4),0)),IFERROR(ROUND(P108/D108,4),0))</f>
        <v>1.0135000000000001</v>
      </c>
      <c r="AC108" s="297">
        <f>IFERROR(IF(VLOOKUP($B108,Shortage!$A:$M,AC$2,FALSE)="Shortage",1,IFERROR(ROUND(Q108/E108,4),0)),IFERROR(ROUND(Q108/E108,4),0))</f>
        <v>0</v>
      </c>
      <c r="AD108" s="297">
        <f>IFERROR(IF(VLOOKUP($B108,Shortage!$A:$M,AD$2,FALSE)="Shortage",1,IFERROR(ROUND(R108/F108,4),0)),IFERROR(ROUND(R108/F108,4),0))</f>
        <v>0</v>
      </c>
      <c r="AE108" s="297">
        <f>IFERROR(IF(VLOOKUP($B108,Shortage!$A:$M,AE$2,FALSE)="Shortage",1,IFERROR(ROUND(S108/G108,4),0)),IFERROR(ROUND(S108/G108,4),0))</f>
        <v>0</v>
      </c>
      <c r="AF108" s="297">
        <f>IFERROR(IF(VLOOKUP($B108,Shortage!$A:$M,AF$2,FALSE)="Shortage",1,IFERROR(ROUND(T108/H108,4),0)),IFERROR(ROUND(T108/H108,4),0))</f>
        <v>0</v>
      </c>
      <c r="AG108" s="297">
        <f>IFERROR(IF(VLOOKUP($B108,Shortage!$A:$M,AG$2,FALSE)="Shortage",1,IFERROR(ROUND(U108/I108,4),0)),IFERROR(ROUND(U108/I108,4),0))</f>
        <v>0</v>
      </c>
      <c r="AH108" s="297">
        <f>IFERROR(IF(VLOOKUP($B108,Shortage!$A:$M,AH$2,FALSE)="Shortage",1,IFERROR(ROUND(V108/J108,4),0)),IFERROR(ROUND(V108/J108,4),0))</f>
        <v>0</v>
      </c>
      <c r="AI108" s="297">
        <f>IFERROR(IF(VLOOKUP($B108,Shortage!$A:$M,AI$2,FALSE)="Shortage",1,IFERROR(ROUND(W108/K108,4),0)),IFERROR(ROUND(W108/K108,4),0))</f>
        <v>0</v>
      </c>
      <c r="AJ108" s="297">
        <f>IFERROR(IF(VLOOKUP($B108,Shortage!$A:$M,AJ$2,FALSE)="Shortage",1,IFERROR(ROUND(X108/L108,4),0)),IFERROR(ROUND(X108/L108,4),0))</f>
        <v>0</v>
      </c>
      <c r="AK108" s="297">
        <f>IFERROR(IF(VLOOKUP($B108,Shortage!$A:$M,AK$2,FALSE)="Shortage",1,IFERROR(ROUND(Y108/M108,4),0)),IFERROR(ROUND(Y108/M108,4),0))</f>
        <v>0</v>
      </c>
      <c r="AL108" s="297">
        <f>IFERROR(IF(VLOOKUP($B108,Shortage!$A:$M,AL$2,FALSE)="Shortage",1,IFERROR(ROUND(Z108/N108,4),0)),IFERROR(ROUND(Z108/N108,4),0))</f>
        <v>0</v>
      </c>
      <c r="AM108" s="297">
        <f>IFERROR(IF(VLOOKUP($B108,Shortage!$A:$M,AM$2,FALSE)="Shortage",1,IFERROR(ROUND(AA108/O108,4),0)),IFERROR(ROUND(AA108/O108,4),0))</f>
        <v>0</v>
      </c>
      <c r="AN108" s="298">
        <f>IFERROR(_xlfn.XLOOKUP(AB108,'2) หลักการคำนวน Table'!$C$3:$K$3,'2) หลักการคำนวน Table'!$C$3:$K$3,,1),INDEX('2) หลักการคำนวน Table'!$C$3:$K$3,1))</f>
        <v>1.03</v>
      </c>
      <c r="AO108" s="298">
        <f>IFERROR(
  _xlfn.XLOOKUP(AC108,'2) หลักการคำนวน Table'!$C$3:$K$3,'2) หลักการคำนวน Table'!$C$3:$K$3,,1),
  IF(AC108&lt;MIN('2) หลักการคำนวน Table'!$C$3:$K$3),
     MIN('2) หลักการคำนวน Table'!$C$3:$K$3),
     MAX('2) หลักการคำนวน Table'!$C$3:$K$3)
  )
)</f>
        <v>0.9</v>
      </c>
      <c r="AP108" s="298">
        <f>IFERROR(
  _xlfn.XLOOKUP(AD108,'2) หลักการคำนวน Table'!$C$3:$K$3,'2) หลักการคำนวน Table'!$C$3:$K$3,,1),
  IF(AD108&lt;MIN('2) หลักการคำนวน Table'!$C$3:$K$3),
     MIN('2) หลักการคำนวน Table'!$C$3:$K$3),
     MAX('2) หลักการคำนวน Table'!$C$3:$K$3)
  )
)</f>
        <v>0.9</v>
      </c>
      <c r="AQ108" s="298">
        <f>IFERROR(
  _xlfn.XLOOKUP(AE108,'2) หลักการคำนวน Table'!$C$3:$K$3,'2) หลักการคำนวน Table'!$C$3:$K$3,,1),
  IF(AE108&lt;MIN('2) หลักการคำนวน Table'!$C$3:$K$3),
     MIN('2) หลักการคำนวน Table'!$C$3:$K$3),
     MAX('2) หลักการคำนวน Table'!$C$3:$K$3)
  )
)</f>
        <v>0.9</v>
      </c>
      <c r="AR108" s="298">
        <f>IFERROR(
  _xlfn.XLOOKUP(AF108,'2) หลักการคำนวน Table'!$C$3:$K$3,'2) หลักการคำนวน Table'!$C$3:$K$3,,1),
  IF(AF108&lt;MIN('2) หลักการคำนวน Table'!$C$3:$K$3),
     MIN('2) หลักการคำนวน Table'!$C$3:$K$3),
     MAX('2) หลักการคำนวน Table'!$C$3:$K$3)
  )
)</f>
        <v>0.9</v>
      </c>
      <c r="AS108" s="298">
        <f>IFERROR(
  _xlfn.XLOOKUP(AG108,'2) หลักการคำนวน Table'!$C$3:$K$3,'2) หลักการคำนวน Table'!$C$3:$K$3,,1),
  IF(AG108&lt;MIN('2) หลักการคำนวน Table'!$C$3:$K$3),
     MIN('2) หลักการคำนวน Table'!$C$3:$K$3),
     MAX('2) หลักการคำนวน Table'!$C$3:$K$3)
  )
)</f>
        <v>0.9</v>
      </c>
      <c r="AT108" s="298">
        <f>IFERROR(
  _xlfn.XLOOKUP(AH108,'2) หลักการคำนวน Table'!$C$3:$K$3,'2) หลักการคำนวน Table'!$C$3:$K$3,,1),
  IF(AH108&lt;MIN('2) หลักการคำนวน Table'!$C$3:$K$3),
     MIN('2) หลักการคำนวน Table'!$C$3:$K$3),
     MAX('2) หลักการคำนวน Table'!$C$3:$K$3)
  )
)</f>
        <v>0.9</v>
      </c>
      <c r="AU108" s="298">
        <f>IFERROR(
  _xlfn.XLOOKUP(AI108,'2) หลักการคำนวน Table'!$C$3:$K$3,'2) หลักการคำนวน Table'!$C$3:$K$3,,1),
  IF(AI108&lt;MIN('2) หลักการคำนวน Table'!$C$3:$K$3),
     MIN('2) หลักการคำนวน Table'!$C$3:$K$3),
     MAX('2) หลักการคำนวน Table'!$C$3:$K$3)
  )
)</f>
        <v>0.9</v>
      </c>
      <c r="AV108" s="298">
        <f>IFERROR(
  _xlfn.XLOOKUP(AJ108,'2) หลักการคำนวน Table'!$C$3:$K$3,'2) หลักการคำนวน Table'!$C$3:$K$3,,1),
  IF(AJ108&lt;MIN('2) หลักการคำนวน Table'!$C$3:$K$3),
     MIN('2) หลักการคำนวน Table'!$C$3:$K$3),
     MAX('2) หลักการคำนวน Table'!$C$3:$K$3)
  )
)</f>
        <v>0.9</v>
      </c>
      <c r="AW108" s="298">
        <f>IFERROR(
  _xlfn.XLOOKUP(AK108,'2) หลักการคำนวน Table'!$C$3:$K$3,'2) หลักการคำนวน Table'!$C$3:$K$3,,1),
  IF(AK108&lt;MIN('2) หลักการคำนวน Table'!$C$3:$K$3),
     MIN('2) หลักการคำนวน Table'!$C$3:$K$3),
     MAX('2) หลักการคำนวน Table'!$C$3:$K$3)
  )
)</f>
        <v>0.9</v>
      </c>
      <c r="AX108" s="298">
        <f>IFERROR(
  _xlfn.XLOOKUP(AL108,'2) หลักการคำนวน Table'!$C$3:$K$3,'2) หลักการคำนวน Table'!$C$3:$K$3,,1),
  IF(AL108&lt;MIN('2) หลักการคำนวน Table'!$C$3:$K$3),
     MIN('2) หลักการคำนวน Table'!$C$3:$K$3),
     MAX('2) หลักการคำนวน Table'!$C$3:$K$3)
  )
)</f>
        <v>0.9</v>
      </c>
      <c r="AY108" s="298">
        <f>IFERROR(
  _xlfn.XLOOKUP(AM108,'2) หลักการคำนวน Table'!$C$3:$K$3,'2) หลักการคำนวน Table'!$C$3:$K$3,,1),
  IF(AM108&lt;MIN('2) หลักการคำนวน Table'!$C$3:$K$3),
     MIN('2) หลักการคำนวน Table'!$C$3:$K$3),
     MAX('2) หลักการคำนวน Table'!$C$3:$K$3)
  )
)</f>
        <v>0.9</v>
      </c>
      <c r="AZ108" s="299" cm="1">
        <f t="array" ref="AZ108">ROUND((_xlfn.XLOOKUP($C108,'2) หลักการคำนวน Table'!$A$4:$A$36,
_xlfn.XLOOKUP(AN108,'2)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1104</v>
      </c>
      <c r="BA108" s="299" cm="1">
        <f t="array" ref="BA108">ROUND((_xlfn.XLOOKUP($C108,'2) หลักการคำนวน Table'!$A$4:$A$36,
_xlfn.XLOOKUP(AO108,'2)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964</v>
      </c>
      <c r="BB108" s="299" cm="1">
        <f t="array" ref="BB108">ROUND((_xlfn.XLOOKUP($C108,'2) หลักการคำนวน Table'!$A$4:$A$36,
_xlfn.XLOOKUP(AP108,'2)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964</v>
      </c>
      <c r="BC108" s="299" cm="1">
        <f t="array" ref="BC108">ROUND((_xlfn.XLOOKUP($C108,'2) หลักการคำนวน Table'!$A$4:$A$36,
_xlfn.XLOOKUP(AQ108,'2)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964</v>
      </c>
      <c r="BD108" s="299" cm="1">
        <f t="array" ref="BD108">ROUND((_xlfn.XLOOKUP($C108,'2) หลักการคำนวน Table'!$A$4:$A$36,
_xlfn.XLOOKUP(AR108,'2)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964</v>
      </c>
      <c r="BE108" s="299" cm="1">
        <f t="array" ref="BE108">ROUND((_xlfn.XLOOKUP($C108,'2) หลักการคำนวน Table'!$A$4:$A$36,
_xlfn.XLOOKUP(AS108,'2)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964</v>
      </c>
      <c r="BF108" s="299" cm="1">
        <f t="array" ref="BF108">ROUND((_xlfn.XLOOKUP($C108,'2) หลักการคำนวน Table'!$A$4:$A$36,
_xlfn.XLOOKUP(AT108,'2)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964</v>
      </c>
      <c r="BG108" s="299" cm="1">
        <f t="array" ref="BG108">ROUND((_xlfn.XLOOKUP($C108,'2) หลักการคำนวน Table'!$A$4:$A$36,
_xlfn.XLOOKUP(AU108,'2)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964</v>
      </c>
      <c r="BH108" s="299" cm="1">
        <f t="array" ref="BH108">ROUND((_xlfn.XLOOKUP($C108,'2) หลักการคำนวน Table'!$A$4:$A$36,
_xlfn.XLOOKUP(AV108,'2)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964</v>
      </c>
      <c r="BI108" s="299" cm="1">
        <f t="array" ref="BI108">ROUND((_xlfn.XLOOKUP($C108,'2) หลักการคำนวน Table'!$A$4:$A$36,
_xlfn.XLOOKUP(AW108,'2)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964</v>
      </c>
      <c r="BJ108" s="299" cm="1">
        <f t="array" ref="BJ108">ROUND((_xlfn.XLOOKUP($C108,'2) หลักการคำนวน Table'!$A$4:$A$36,
_xlfn.XLOOKUP(AX108,'2)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964</v>
      </c>
      <c r="BK108" s="299" cm="1">
        <f t="array" ref="BK108">ROUND((_xlfn.XLOOKUP($C108,'2) หลักการคำนวน Table'!$A$4:$A$36,
_xlfn.XLOOKUP(AY108,'2) หลักการคำนวน Table'!$C$3:$K$3,'2) หลักการคำนวน Table'!$C$4:$K$36,,-1)))*(_xlfn.XLOOKUP($C108,'2) หลักการคำนวน Table'!$A$4:$A$36, _xlfn.XLOOKUP($B108,'2) หลักการคำนวน Table'!$L$3:$Z$3,'2) หลักการคำนวน Table'!$L$4:$Z$36))),0)</f>
        <v>964</v>
      </c>
      <c r="BM108" s="295">
        <v>222203</v>
      </c>
      <c r="BN108" s="300">
        <v>1104</v>
      </c>
    </row>
    <row r="109" spans="1:66" ht="14.7" customHeight="1" x14ac:dyDescent="0.25">
      <c r="A109" s="126">
        <f>VLOOKUP(C109,ASTBase!E:S,13,FALSE)</f>
        <v>222238</v>
      </c>
      <c r="B109" s="126" t="s">
        <v>415</v>
      </c>
      <c r="C109" s="232" t="s">
        <v>395</v>
      </c>
      <c r="D109" s="127">
        <v>10750</v>
      </c>
      <c r="E109" s="127">
        <v>12050</v>
      </c>
      <c r="F109" s="127">
        <v>12050</v>
      </c>
      <c r="G109" s="127">
        <v>13550</v>
      </c>
      <c r="H109" s="127">
        <v>15950</v>
      </c>
      <c r="I109" s="127">
        <v>20480</v>
      </c>
      <c r="J109" s="127">
        <v>15900</v>
      </c>
      <c r="K109" s="127">
        <v>18750</v>
      </c>
      <c r="L109" s="127">
        <v>16128</v>
      </c>
      <c r="M109" s="127">
        <v>21782</v>
      </c>
      <c r="N109" s="127">
        <v>19871</v>
      </c>
      <c r="O109" s="127">
        <v>23739</v>
      </c>
      <c r="P109" s="126">
        <v>13921.199999999979</v>
      </c>
      <c r="AB109" s="297">
        <f>IFERROR(IF(VLOOKUP($B109,Shortage!$A:$M,AB$2,FALSE)="Shortage",1,IFERROR(ROUND(P109/D109,4),0)),IFERROR(ROUND(P109/D109,4),0))</f>
        <v>1.2949999999999999</v>
      </c>
      <c r="AC109" s="297">
        <f>IFERROR(IF(VLOOKUP($B109,Shortage!$A:$M,AC$2,FALSE)="Shortage",1,IFERROR(ROUND(Q109/E109,4),0)),IFERROR(ROUND(Q109/E109,4),0))</f>
        <v>0</v>
      </c>
      <c r="AD109" s="297">
        <f>IFERROR(IF(VLOOKUP($B109,Shortage!$A:$M,AD$2,FALSE)="Shortage",1,IFERROR(ROUND(R109/F109,4),0)),IFERROR(ROUND(R109/F109,4),0))</f>
        <v>0</v>
      </c>
      <c r="AE109" s="297">
        <f>IFERROR(IF(VLOOKUP($B109,Shortage!$A:$M,AE$2,FALSE)="Shortage",1,IFERROR(ROUND(S109/G109,4),0)),IFERROR(ROUND(S109/G109,4),0))</f>
        <v>0</v>
      </c>
      <c r="AF109" s="297">
        <f>IFERROR(IF(VLOOKUP($B109,Shortage!$A:$M,AF$2,FALSE)="Shortage",1,IFERROR(ROUND(T109/H109,4),0)),IFERROR(ROUND(T109/H109,4),0))</f>
        <v>0</v>
      </c>
      <c r="AG109" s="297">
        <f>IFERROR(IF(VLOOKUP($B109,Shortage!$A:$M,AG$2,FALSE)="Shortage",1,IFERROR(ROUND(U109/I109,4),0)),IFERROR(ROUND(U109/I109,4),0))</f>
        <v>0</v>
      </c>
      <c r="AH109" s="297">
        <f>IFERROR(IF(VLOOKUP($B109,Shortage!$A:$M,AH$2,FALSE)="Shortage",1,IFERROR(ROUND(V109/J109,4),0)),IFERROR(ROUND(V109/J109,4),0))</f>
        <v>0</v>
      </c>
      <c r="AI109" s="297">
        <f>IFERROR(IF(VLOOKUP($B109,Shortage!$A:$M,AI$2,FALSE)="Shortage",1,IFERROR(ROUND(W109/K109,4),0)),IFERROR(ROUND(W109/K109,4),0))</f>
        <v>0</v>
      </c>
      <c r="AJ109" s="297">
        <f>IFERROR(IF(VLOOKUP($B109,Shortage!$A:$M,AJ$2,FALSE)="Shortage",1,IFERROR(ROUND(X109/L109,4),0)),IFERROR(ROUND(X109/L109,4),0))</f>
        <v>0</v>
      </c>
      <c r="AK109" s="297">
        <f>IFERROR(IF(VLOOKUP($B109,Shortage!$A:$M,AK$2,FALSE)="Shortage",1,IFERROR(ROUND(Y109/M109,4),0)),IFERROR(ROUND(Y109/M109,4),0))</f>
        <v>0</v>
      </c>
      <c r="AL109" s="297">
        <f>IFERROR(IF(VLOOKUP($B109,Shortage!$A:$M,AL$2,FALSE)="Shortage",1,IFERROR(ROUND(Z109/N109,4),0)),IFERROR(ROUND(Z109/N109,4),0))</f>
        <v>0</v>
      </c>
      <c r="AM109" s="297">
        <f>IFERROR(IF(VLOOKUP($B109,Shortage!$A:$M,AM$2,FALSE)="Shortage",1,IFERROR(ROUND(AA109/O109,4),0)),IFERROR(ROUND(AA109/O109,4),0))</f>
        <v>0</v>
      </c>
      <c r="AN109" s="298">
        <f>IFERROR(_xlfn.XLOOKUP(AB109,'2) หลักการคำนวน Table'!$C$3:$K$3,'2) หลักการคำนวน Table'!$C$3:$K$3,,1),INDEX('2) หลักการคำนวน Table'!$C$3:$K$3,1))</f>
        <v>20</v>
      </c>
      <c r="AO109" s="298">
        <f>IFERROR(
  _xlfn.XLOOKUP(AC109,'2) หลักการคำนวน Table'!$C$3:$K$3,'2) หลักการคำนวน Table'!$C$3:$K$3,,1),
  IF(AC109&lt;MIN('2) หลักการคำนวน Table'!$C$3:$K$3),
     MIN('2) หลักการคำนวน Table'!$C$3:$K$3),
     MAX('2) หลักการคำนวน Table'!$C$3:$K$3)
  )
)</f>
        <v>0.9</v>
      </c>
      <c r="AP109" s="298">
        <f>IFERROR(
  _xlfn.XLOOKUP(AD109,'2) หลักการคำนวน Table'!$C$3:$K$3,'2) หลักการคำนวน Table'!$C$3:$K$3,,1),
  IF(AD109&lt;MIN('2) หลักการคำนวน Table'!$C$3:$K$3),
     MIN('2) หลักการคำนวน Table'!$C$3:$K$3),
     MAX('2) หลักการคำนวน Table'!$C$3:$K$3)
  )
)</f>
        <v>0.9</v>
      </c>
      <c r="AQ109" s="298">
        <f>IFERROR(
  _xlfn.XLOOKUP(AE109,'2) หลักการคำนวน Table'!$C$3:$K$3,'2) หลักการคำนวน Table'!$C$3:$K$3,,1),
  IF(AE109&lt;MIN('2) หลักการคำนวน Table'!$C$3:$K$3),
     MIN('2) หลักการคำนวน Table'!$C$3:$K$3),
     MAX('2) หลักการคำนวน Table'!$C$3:$K$3)
  )
)</f>
        <v>0.9</v>
      </c>
      <c r="AR109" s="298">
        <f>IFERROR(
  _xlfn.XLOOKUP(AF109,'2) หลักการคำนวน Table'!$C$3:$K$3,'2) หลักการคำนวน Table'!$C$3:$K$3,,1),
  IF(AF109&lt;MIN('2) หลักการคำนวน Table'!$C$3:$K$3),
     MIN('2) หลักการคำนวน Table'!$C$3:$K$3),
     MAX('2) หลักการคำนวน Table'!$C$3:$K$3)
  )
)</f>
        <v>0.9</v>
      </c>
      <c r="AS109" s="298">
        <f>IFERROR(
  _xlfn.XLOOKUP(AG109,'2) หลักการคำนวน Table'!$C$3:$K$3,'2) หลักการคำนวน Table'!$C$3:$K$3,,1),
  IF(AG109&lt;MIN('2) หลักการคำนวน Table'!$C$3:$K$3),
     MIN('2) หลักการคำนวน Table'!$C$3:$K$3),
     MAX('2) หลักการคำนวน Table'!$C$3:$K$3)
  )
)</f>
        <v>0.9</v>
      </c>
      <c r="AT109" s="298">
        <f>IFERROR(
  _xlfn.XLOOKUP(AH109,'2) หลักการคำนวน Table'!$C$3:$K$3,'2) หลักการคำนวน Table'!$C$3:$K$3,,1),
  IF(AH109&lt;MIN('2) หลักการคำนวน Table'!$C$3:$K$3),
     MIN('2) หลักการคำนวน Table'!$C$3:$K$3),
     MAX('2) หลักการคำนวน Table'!$C$3:$K$3)
  )
)</f>
        <v>0.9</v>
      </c>
      <c r="AU109" s="298">
        <f>IFERROR(
  _xlfn.XLOOKUP(AI109,'2) หลักการคำนวน Table'!$C$3:$K$3,'2) หลักการคำนวน Table'!$C$3:$K$3,,1),
  IF(AI109&lt;MIN('2) หลักการคำนวน Table'!$C$3:$K$3),
     MIN('2) หลักการคำนวน Table'!$C$3:$K$3),
     MAX('2) หลักการคำนวน Table'!$C$3:$K$3)
  )
)</f>
        <v>0.9</v>
      </c>
      <c r="AV109" s="298">
        <f>IFERROR(
  _xlfn.XLOOKUP(AJ109,'2) หลักการคำนวน Table'!$C$3:$K$3,'2) หลักการคำนวน Table'!$C$3:$K$3,,1),
  IF(AJ109&lt;MIN('2) หลักการคำนวน Table'!$C$3:$K$3),
     MIN('2) หลักการคำนวน Table'!$C$3:$K$3),
     MAX('2) หลักการคำนวน Table'!$C$3:$K$3)
  )
)</f>
        <v>0.9</v>
      </c>
      <c r="AW109" s="298">
        <f>IFERROR(
  _xlfn.XLOOKUP(AK109,'2) หลักการคำนวน Table'!$C$3:$K$3,'2) หลักการคำนวน Table'!$C$3:$K$3,,1),
  IF(AK109&lt;MIN('2) หลักการคำนวน Table'!$C$3:$K$3),
     MIN('2) หลักการคำนวน Table'!$C$3:$K$3),
     MAX('2) หลักการคำนวน Table'!$C$3:$K$3)
  )
)</f>
        <v>0.9</v>
      </c>
      <c r="AX109" s="298">
        <f>IFERROR(
  _xlfn.XLOOKUP(AL109,'2) หลักการคำนวน Table'!$C$3:$K$3,'2) หลักการคำนวน Table'!$C$3:$K$3,,1),
  IF(AL109&lt;MIN('2) หลักการคำนวน Table'!$C$3:$K$3),
     MIN('2) หลักการคำนวน Table'!$C$3:$K$3),
     MAX('2) หลักการคำนวน Table'!$C$3:$K$3)
  )
)</f>
        <v>0.9</v>
      </c>
      <c r="AY109" s="298">
        <f>IFERROR(
  _xlfn.XLOOKUP(AM109,'2) หลักการคำนวน Table'!$C$3:$K$3,'2) หลักการคำนวน Table'!$C$3:$K$3,,1),
  IF(AM109&lt;MIN('2) หลักการคำนวน Table'!$C$3:$K$3),
     MIN('2) หลักการคำนวน Table'!$C$3:$K$3),
     MAX('2) หลักการคำนวน Table'!$C$3:$K$3)
  )
)</f>
        <v>0.9</v>
      </c>
      <c r="AZ109" s="299" cm="1">
        <f t="array" ref="AZ109">ROUND((_xlfn.XLOOKUP($C109,'2) หลักการคำนวน Table'!$A$4:$A$36,
_xlfn.XLOOKUP(AN109,'2)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580</v>
      </c>
      <c r="BA109" s="299" cm="1">
        <f t="array" ref="BA109">ROUND((_xlfn.XLOOKUP($C109,'2) หลักการคำนวน Table'!$A$4:$A$36,
_xlfn.XLOOKUP(AO109,'2)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402</v>
      </c>
      <c r="BB109" s="299" cm="1">
        <f t="array" ref="BB109">ROUND((_xlfn.XLOOKUP($C109,'2) หลักการคำนวน Table'!$A$4:$A$36,
_xlfn.XLOOKUP(AP109,'2)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402</v>
      </c>
      <c r="BC109" s="299" cm="1">
        <f t="array" ref="BC109">ROUND((_xlfn.XLOOKUP($C109,'2) หลักการคำนวน Table'!$A$4:$A$36,
_xlfn.XLOOKUP(AQ109,'2)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402</v>
      </c>
      <c r="BD109" s="299" cm="1">
        <f t="array" ref="BD109">ROUND((_xlfn.XLOOKUP($C109,'2) หลักการคำนวน Table'!$A$4:$A$36,
_xlfn.XLOOKUP(AR109,'2)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402</v>
      </c>
      <c r="BE109" s="299" cm="1">
        <f t="array" ref="BE109">ROUND((_xlfn.XLOOKUP($C109,'2) หลักการคำนวน Table'!$A$4:$A$36,
_xlfn.XLOOKUP(AS109,'2)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402</v>
      </c>
      <c r="BF109" s="299" cm="1">
        <f t="array" ref="BF109">ROUND((_xlfn.XLOOKUP($C109,'2) หลักการคำนวน Table'!$A$4:$A$36,
_xlfn.XLOOKUP(AT109,'2)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402</v>
      </c>
      <c r="BG109" s="299" cm="1">
        <f t="array" ref="BG109">ROUND((_xlfn.XLOOKUP($C109,'2) หลักการคำนวน Table'!$A$4:$A$36,
_xlfn.XLOOKUP(AU109,'2)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402</v>
      </c>
      <c r="BH109" s="299" cm="1">
        <f t="array" ref="BH109">ROUND((_xlfn.XLOOKUP($C109,'2) หลักการคำนวน Table'!$A$4:$A$36,
_xlfn.XLOOKUP(AV109,'2)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402</v>
      </c>
      <c r="BI109" s="299" cm="1">
        <f t="array" ref="BI109">ROUND((_xlfn.XLOOKUP($C109,'2) หลักการคำนวน Table'!$A$4:$A$36,
_xlfn.XLOOKUP(AW109,'2)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402</v>
      </c>
      <c r="BJ109" s="299" cm="1">
        <f t="array" ref="BJ109">ROUND((_xlfn.XLOOKUP($C109,'2) หลักการคำนวน Table'!$A$4:$A$36,
_xlfn.XLOOKUP(AX109,'2)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402</v>
      </c>
      <c r="BK109" s="299" cm="1">
        <f t="array" ref="BK109">ROUND((_xlfn.XLOOKUP($C109,'2) หลักการคำนวน Table'!$A$4:$A$36,
_xlfn.XLOOKUP(AY109,'2) หลักการคำนวน Table'!$C$3:$K$3,'2) หลักการคำนวน Table'!$C$4:$K$36,,-1)))*(_xlfn.XLOOKUP($C109,'2) หลักการคำนวน Table'!$A$4:$A$36, _xlfn.XLOOKUP($B109,'2) หลักการคำนวน Table'!$L$3:$Z$3,'2) หลักการคำนวน Table'!$L$4:$Z$36))),0)</f>
        <v>402</v>
      </c>
      <c r="BM109" s="295">
        <v>222203</v>
      </c>
      <c r="BN109" s="300">
        <v>580</v>
      </c>
    </row>
    <row r="110" spans="1:66" ht="14.7" customHeight="1" x14ac:dyDescent="0.25">
      <c r="A110" s="126">
        <f>VLOOKUP(C110,ASTBase!E:S,13,FALSE)</f>
        <v>222238</v>
      </c>
      <c r="B110" s="126" t="s">
        <v>414</v>
      </c>
      <c r="C110" s="232" t="s">
        <v>395</v>
      </c>
      <c r="D110" s="127">
        <v>33000</v>
      </c>
      <c r="E110" s="127">
        <v>30000</v>
      </c>
      <c r="F110" s="127">
        <v>31700</v>
      </c>
      <c r="G110" s="127">
        <v>30300</v>
      </c>
      <c r="H110" s="127">
        <v>35598</v>
      </c>
      <c r="I110" s="127">
        <v>38745</v>
      </c>
      <c r="J110" s="127">
        <v>31793</v>
      </c>
      <c r="K110" s="127">
        <v>37887</v>
      </c>
      <c r="L110" s="127">
        <v>34298</v>
      </c>
      <c r="M110" s="127">
        <v>33945</v>
      </c>
      <c r="N110" s="127">
        <v>34689</v>
      </c>
      <c r="O110" s="127">
        <v>35245</v>
      </c>
      <c r="P110" s="126">
        <v>33165.599999999999</v>
      </c>
      <c r="AB110" s="297">
        <f>IFERROR(IF(VLOOKUP($B110,Shortage!$A:$M,AB$2,FALSE)="Shortage",1,IFERROR(ROUND(P110/D110,4),0)),IFERROR(ROUND(P110/D110,4),0))</f>
        <v>1.0049999999999999</v>
      </c>
      <c r="AC110" s="297">
        <f>IFERROR(IF(VLOOKUP($B110,Shortage!$A:$M,AC$2,FALSE)="Shortage",1,IFERROR(ROUND(Q110/E110,4),0)),IFERROR(ROUND(Q110/E110,4),0))</f>
        <v>0</v>
      </c>
      <c r="AD110" s="297">
        <f>IFERROR(IF(VLOOKUP($B110,Shortage!$A:$M,AD$2,FALSE)="Shortage",1,IFERROR(ROUND(R110/F110,4),0)),IFERROR(ROUND(R110/F110,4),0))</f>
        <v>0</v>
      </c>
      <c r="AE110" s="297">
        <f>IFERROR(IF(VLOOKUP($B110,Shortage!$A:$M,AE$2,FALSE)="Shortage",1,IFERROR(ROUND(S110/G110,4),0)),IFERROR(ROUND(S110/G110,4),0))</f>
        <v>0</v>
      </c>
      <c r="AF110" s="297">
        <f>IFERROR(IF(VLOOKUP($B110,Shortage!$A:$M,AF$2,FALSE)="Shortage",1,IFERROR(ROUND(T110/H110,4),0)),IFERROR(ROUND(T110/H110,4),0))</f>
        <v>0</v>
      </c>
      <c r="AG110" s="297">
        <f>IFERROR(IF(VLOOKUP($B110,Shortage!$A:$M,AG$2,FALSE)="Shortage",1,IFERROR(ROUND(U110/I110,4),0)),IFERROR(ROUND(U110/I110,4),0))</f>
        <v>0</v>
      </c>
      <c r="AH110" s="297">
        <f>IFERROR(IF(VLOOKUP($B110,Shortage!$A:$M,AH$2,FALSE)="Shortage",1,IFERROR(ROUND(V110/J110,4),0)),IFERROR(ROUND(V110/J110,4),0))</f>
        <v>0</v>
      </c>
      <c r="AI110" s="297">
        <f>IFERROR(IF(VLOOKUP($B110,Shortage!$A:$M,AI$2,FALSE)="Shortage",1,IFERROR(ROUND(W110/K110,4),0)),IFERROR(ROUND(W110/K110,4),0))</f>
        <v>0</v>
      </c>
      <c r="AJ110" s="297">
        <f>IFERROR(IF(VLOOKUP($B110,Shortage!$A:$M,AJ$2,FALSE)="Shortage",1,IFERROR(ROUND(X110/L110,4),0)),IFERROR(ROUND(X110/L110,4),0))</f>
        <v>0</v>
      </c>
      <c r="AK110" s="297">
        <f>IFERROR(IF(VLOOKUP($B110,Shortage!$A:$M,AK$2,FALSE)="Shortage",1,IFERROR(ROUND(Y110/M110,4),0)),IFERROR(ROUND(Y110/M110,4),0))</f>
        <v>0</v>
      </c>
      <c r="AL110" s="297">
        <f>IFERROR(IF(VLOOKUP($B110,Shortage!$A:$M,AL$2,FALSE)="Shortage",1,IFERROR(ROUND(Z110/N110,4),0)),IFERROR(ROUND(Z110/N110,4),0))</f>
        <v>0</v>
      </c>
      <c r="AM110" s="297">
        <f>IFERROR(IF(VLOOKUP($B110,Shortage!$A:$M,AM$2,FALSE)="Shortage",1,IFERROR(ROUND(AA110/O110,4),0)),IFERROR(ROUND(AA110/O110,4),0))</f>
        <v>0</v>
      </c>
      <c r="AN110" s="298">
        <f>IFERROR(_xlfn.XLOOKUP(AB110,'2) หลักการคำนวน Table'!$C$3:$K$3,'2) หลักการคำนวน Table'!$C$3:$K$3,,1),INDEX('2) หลักการคำนวน Table'!$C$3:$K$3,1))</f>
        <v>1.03</v>
      </c>
      <c r="AO110" s="298">
        <f>IFERROR(
  _xlfn.XLOOKUP(AC110,'2) หลักการคำนวน Table'!$C$3:$K$3,'2) หลักการคำนวน Table'!$C$3:$K$3,,1),
  IF(AC110&lt;MIN('2) หลักการคำนวน Table'!$C$3:$K$3),
     MIN('2) หลักการคำนวน Table'!$C$3:$K$3),
     MAX('2) หลักการคำนวน Table'!$C$3:$K$3)
  )
)</f>
        <v>0.9</v>
      </c>
      <c r="AP110" s="298">
        <f>IFERROR(
  _xlfn.XLOOKUP(AD110,'2) หลักการคำนวน Table'!$C$3:$K$3,'2) หลักการคำนวน Table'!$C$3:$K$3,,1),
  IF(AD110&lt;MIN('2) หลักการคำนวน Table'!$C$3:$K$3),
     MIN('2) หลักการคำนวน Table'!$C$3:$K$3),
     MAX('2) หลักการคำนวน Table'!$C$3:$K$3)
  )
)</f>
        <v>0.9</v>
      </c>
      <c r="AQ110" s="298">
        <f>IFERROR(
  _xlfn.XLOOKUP(AE110,'2) หลักการคำนวน Table'!$C$3:$K$3,'2) หลักการคำนวน Table'!$C$3:$K$3,,1),
  IF(AE110&lt;MIN('2) หลักการคำนวน Table'!$C$3:$K$3),
     MIN('2) หลักการคำนวน Table'!$C$3:$K$3),
     MAX('2) หลักการคำนวน Table'!$C$3:$K$3)
  )
)</f>
        <v>0.9</v>
      </c>
      <c r="AR110" s="298">
        <f>IFERROR(
  _xlfn.XLOOKUP(AF110,'2) หลักการคำนวน Table'!$C$3:$K$3,'2) หลักการคำนวน Table'!$C$3:$K$3,,1),
  IF(AF110&lt;MIN('2) หลักการคำนวน Table'!$C$3:$K$3),
     MIN('2) หลักการคำนวน Table'!$C$3:$K$3),
     MAX('2) หลักการคำนวน Table'!$C$3:$K$3)
  )
)</f>
        <v>0.9</v>
      </c>
      <c r="AS110" s="298">
        <f>IFERROR(
  _xlfn.XLOOKUP(AG110,'2) หลักการคำนวน Table'!$C$3:$K$3,'2) หลักการคำนวน Table'!$C$3:$K$3,,1),
  IF(AG110&lt;MIN('2) หลักการคำนวน Table'!$C$3:$K$3),
     MIN('2) หลักการคำนวน Table'!$C$3:$K$3),
     MAX('2) หลักการคำนวน Table'!$C$3:$K$3)
  )
)</f>
        <v>0.9</v>
      </c>
      <c r="AT110" s="298">
        <f>IFERROR(
  _xlfn.XLOOKUP(AH110,'2) หลักการคำนวน Table'!$C$3:$K$3,'2) หลักการคำนวน Table'!$C$3:$K$3,,1),
  IF(AH110&lt;MIN('2) หลักการคำนวน Table'!$C$3:$K$3),
     MIN('2) หลักการคำนวน Table'!$C$3:$K$3),
     MAX('2) หลักการคำนวน Table'!$C$3:$K$3)
  )
)</f>
        <v>0.9</v>
      </c>
      <c r="AU110" s="298">
        <f>IFERROR(
  _xlfn.XLOOKUP(AI110,'2) หลักการคำนวน Table'!$C$3:$K$3,'2) หลักการคำนวน Table'!$C$3:$K$3,,1),
  IF(AI110&lt;MIN('2) หลักการคำนวน Table'!$C$3:$K$3),
     MIN('2) หลักการคำนวน Table'!$C$3:$K$3),
     MAX('2) หลักการคำนวน Table'!$C$3:$K$3)
  )
)</f>
        <v>0.9</v>
      </c>
      <c r="AV110" s="298">
        <f>IFERROR(
  _xlfn.XLOOKUP(AJ110,'2) หลักการคำนวน Table'!$C$3:$K$3,'2) หลักการคำนวน Table'!$C$3:$K$3,,1),
  IF(AJ110&lt;MIN('2) หลักการคำนวน Table'!$C$3:$K$3),
     MIN('2) หลักการคำนวน Table'!$C$3:$K$3),
     MAX('2) หลักการคำนวน Table'!$C$3:$K$3)
  )
)</f>
        <v>0.9</v>
      </c>
      <c r="AW110" s="298">
        <f>IFERROR(
  _xlfn.XLOOKUP(AK110,'2) หลักการคำนวน Table'!$C$3:$K$3,'2) หลักการคำนวน Table'!$C$3:$K$3,,1),
  IF(AK110&lt;MIN('2) หลักการคำนวน Table'!$C$3:$K$3),
     MIN('2) หลักการคำนวน Table'!$C$3:$K$3),
     MAX('2) หลักการคำนวน Table'!$C$3:$K$3)
  )
)</f>
        <v>0.9</v>
      </c>
      <c r="AX110" s="298">
        <f>IFERROR(
  _xlfn.XLOOKUP(AL110,'2) หลักการคำนวน Table'!$C$3:$K$3,'2) หลักการคำนวน Table'!$C$3:$K$3,,1),
  IF(AL110&lt;MIN('2) หลักการคำนวน Table'!$C$3:$K$3),
     MIN('2) หลักการคำนวน Table'!$C$3:$K$3),
     MAX('2) หลักการคำนวน Table'!$C$3:$K$3)
  )
)</f>
        <v>0.9</v>
      </c>
      <c r="AY110" s="298">
        <f>IFERROR(
  _xlfn.XLOOKUP(AM110,'2) หลักการคำนวน Table'!$C$3:$K$3,'2) หลักการคำนวน Table'!$C$3:$K$3,,1),
  IF(AM110&lt;MIN('2) หลักการคำนวน Table'!$C$3:$K$3),
     MIN('2) หลักการคำนวน Table'!$C$3:$K$3),
     MAX('2) หลักการคำนวน Table'!$C$3:$K$3)
  )
)</f>
        <v>0.9</v>
      </c>
      <c r="AZ110" s="299" cm="1">
        <f t="array" ref="AZ110">ROUND((_xlfn.XLOOKUP($C110,'2) หลักการคำนวน Table'!$A$4:$A$36,
_xlfn.XLOOKUP(AN110,'2)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460</v>
      </c>
      <c r="BA110" s="299" cm="1">
        <f t="array" ref="BA110">ROUND((_xlfn.XLOOKUP($C110,'2) หลักการคำนวน Table'!$A$4:$A$36,
_xlfn.XLOOKUP(AO110,'2)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402</v>
      </c>
      <c r="BB110" s="299" cm="1">
        <f t="array" ref="BB110">ROUND((_xlfn.XLOOKUP($C110,'2) หลักการคำนวน Table'!$A$4:$A$36,
_xlfn.XLOOKUP(AP110,'2)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402</v>
      </c>
      <c r="BC110" s="299" cm="1">
        <f t="array" ref="BC110">ROUND((_xlfn.XLOOKUP($C110,'2) หลักการคำนวน Table'!$A$4:$A$36,
_xlfn.XLOOKUP(AQ110,'2)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402</v>
      </c>
      <c r="BD110" s="299" cm="1">
        <f t="array" ref="BD110">ROUND((_xlfn.XLOOKUP($C110,'2) หลักการคำนวน Table'!$A$4:$A$36,
_xlfn.XLOOKUP(AR110,'2)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402</v>
      </c>
      <c r="BE110" s="299" cm="1">
        <f t="array" ref="BE110">ROUND((_xlfn.XLOOKUP($C110,'2) หลักการคำนวน Table'!$A$4:$A$36,
_xlfn.XLOOKUP(AS110,'2)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402</v>
      </c>
      <c r="BF110" s="299" cm="1">
        <f t="array" ref="BF110">ROUND((_xlfn.XLOOKUP($C110,'2) หลักการคำนวน Table'!$A$4:$A$36,
_xlfn.XLOOKUP(AT110,'2)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402</v>
      </c>
      <c r="BG110" s="299" cm="1">
        <f t="array" ref="BG110">ROUND((_xlfn.XLOOKUP($C110,'2) หลักการคำนวน Table'!$A$4:$A$36,
_xlfn.XLOOKUP(AU110,'2)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402</v>
      </c>
      <c r="BH110" s="299" cm="1">
        <f t="array" ref="BH110">ROUND((_xlfn.XLOOKUP($C110,'2) หลักการคำนวน Table'!$A$4:$A$36,
_xlfn.XLOOKUP(AV110,'2)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402</v>
      </c>
      <c r="BI110" s="299" cm="1">
        <f t="array" ref="BI110">ROUND((_xlfn.XLOOKUP($C110,'2) หลักการคำนวน Table'!$A$4:$A$36,
_xlfn.XLOOKUP(AW110,'2)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402</v>
      </c>
      <c r="BJ110" s="299" cm="1">
        <f t="array" ref="BJ110">ROUND((_xlfn.XLOOKUP($C110,'2) หลักการคำนวน Table'!$A$4:$A$36,
_xlfn.XLOOKUP(AX110,'2)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402</v>
      </c>
      <c r="BK110" s="299" cm="1">
        <f t="array" ref="BK110">ROUND((_xlfn.XLOOKUP($C110,'2) หลักการคำนวน Table'!$A$4:$A$36,
_xlfn.XLOOKUP(AY110,'2) หลักการคำนวน Table'!$C$3:$K$3,'2) หลักการคำนวน Table'!$C$4:$K$36,,-1)))*(_xlfn.XLOOKUP($C110,'2) หลักการคำนวน Table'!$A$4:$A$36, _xlfn.XLOOKUP($B110,'2) หลักการคำนวน Table'!$L$3:$Z$3,'2) หลักการคำนวน Table'!$L$4:$Z$36))),0)</f>
        <v>402</v>
      </c>
      <c r="BM110" s="295">
        <v>222203</v>
      </c>
      <c r="BN110" s="300">
        <v>460</v>
      </c>
    </row>
    <row r="111" spans="1:66" ht="14.7" customHeight="1" x14ac:dyDescent="0.25">
      <c r="A111" s="126">
        <f>VLOOKUP(C111,ASTBase!E:S,13,FALSE)</f>
        <v>222238</v>
      </c>
      <c r="B111" s="126" t="s">
        <v>411</v>
      </c>
      <c r="C111" s="232" t="s">
        <v>395</v>
      </c>
      <c r="D111" s="127">
        <v>7200</v>
      </c>
      <c r="E111" s="127">
        <v>7100</v>
      </c>
      <c r="F111" s="127">
        <v>7900</v>
      </c>
      <c r="G111" s="127">
        <v>6188</v>
      </c>
      <c r="H111" s="127">
        <v>8154</v>
      </c>
      <c r="I111" s="127">
        <v>7231</v>
      </c>
      <c r="J111" s="127">
        <v>11150.916666666601</v>
      </c>
      <c r="K111" s="127">
        <v>6150.9166666666697</v>
      </c>
      <c r="L111" s="127">
        <v>6252</v>
      </c>
      <c r="M111" s="127">
        <v>12246.916666666599</v>
      </c>
      <c r="N111" s="127">
        <v>8312</v>
      </c>
      <c r="O111" s="127">
        <v>10114</v>
      </c>
      <c r="P111" s="126">
        <v>9165.06</v>
      </c>
      <c r="AB111" s="297">
        <f>IFERROR(IF(VLOOKUP($B111,Shortage!$A:$M,AB$2,FALSE)="Shortage",1,IFERROR(ROUND(P111/D111,4),0)),IFERROR(ROUND(P111/D111,4),0))</f>
        <v>1.2728999999999999</v>
      </c>
      <c r="AC111" s="297">
        <f>IFERROR(IF(VLOOKUP($B111,Shortage!$A:$M,AC$2,FALSE)="Shortage",1,IFERROR(ROUND(Q111/E111,4),0)),IFERROR(ROUND(Q111/E111,4),0))</f>
        <v>0</v>
      </c>
      <c r="AD111" s="297">
        <f>IFERROR(IF(VLOOKUP($B111,Shortage!$A:$M,AD$2,FALSE)="Shortage",1,IFERROR(ROUND(R111/F111,4),0)),IFERROR(ROUND(R111/F111,4),0))</f>
        <v>0</v>
      </c>
      <c r="AE111" s="297">
        <f>IFERROR(IF(VLOOKUP($B111,Shortage!$A:$M,AE$2,FALSE)="Shortage",1,IFERROR(ROUND(S111/G111,4),0)),IFERROR(ROUND(S111/G111,4),0))</f>
        <v>0</v>
      </c>
      <c r="AF111" s="297">
        <f>IFERROR(IF(VLOOKUP($B111,Shortage!$A:$M,AF$2,FALSE)="Shortage",1,IFERROR(ROUND(T111/H111,4),0)),IFERROR(ROUND(T111/H111,4),0))</f>
        <v>0</v>
      </c>
      <c r="AG111" s="297">
        <f>IFERROR(IF(VLOOKUP($B111,Shortage!$A:$M,AG$2,FALSE)="Shortage",1,IFERROR(ROUND(U111/I111,4),0)),IFERROR(ROUND(U111/I111,4),0))</f>
        <v>0</v>
      </c>
      <c r="AH111" s="297">
        <f>IFERROR(IF(VLOOKUP($B111,Shortage!$A:$M,AH$2,FALSE)="Shortage",1,IFERROR(ROUND(V111/J111,4),0)),IFERROR(ROUND(V111/J111,4),0))</f>
        <v>0</v>
      </c>
      <c r="AI111" s="297">
        <f>IFERROR(IF(VLOOKUP($B111,Shortage!$A:$M,AI$2,FALSE)="Shortage",1,IFERROR(ROUND(W111/K111,4),0)),IFERROR(ROUND(W111/K111,4),0))</f>
        <v>0</v>
      </c>
      <c r="AJ111" s="297">
        <f>IFERROR(IF(VLOOKUP($B111,Shortage!$A:$M,AJ$2,FALSE)="Shortage",1,IFERROR(ROUND(X111/L111,4),0)),IFERROR(ROUND(X111/L111,4),0))</f>
        <v>0</v>
      </c>
      <c r="AK111" s="297">
        <f>IFERROR(IF(VLOOKUP($B111,Shortage!$A:$M,AK$2,FALSE)="Shortage",1,IFERROR(ROUND(Y111/M111,4),0)),IFERROR(ROUND(Y111/M111,4),0))</f>
        <v>0</v>
      </c>
      <c r="AL111" s="297">
        <f>IFERROR(IF(VLOOKUP($B111,Shortage!$A:$M,AL$2,FALSE)="Shortage",1,IFERROR(ROUND(Z111/N111,4),0)),IFERROR(ROUND(Z111/N111,4),0))</f>
        <v>0</v>
      </c>
      <c r="AM111" s="297">
        <f>IFERROR(IF(VLOOKUP($B111,Shortage!$A:$M,AM$2,FALSE)="Shortage",1,IFERROR(ROUND(AA111/O111,4),0)),IFERROR(ROUND(AA111/O111,4),0))</f>
        <v>0</v>
      </c>
      <c r="AN111" s="298">
        <f>IFERROR(_xlfn.XLOOKUP(AB111,'2) หลักการคำนวน Table'!$C$3:$K$3,'2) หลักการคำนวน Table'!$C$3:$K$3,,1),INDEX('2) หลักการคำนวน Table'!$C$3:$K$3,1))</f>
        <v>20</v>
      </c>
      <c r="AO111" s="298">
        <f>IFERROR(
  _xlfn.XLOOKUP(AC111,'2) หลักการคำนวน Table'!$C$3:$K$3,'2) หลักการคำนวน Table'!$C$3:$K$3,,1),
  IF(AC111&lt;MIN('2) หลักการคำนวน Table'!$C$3:$K$3),
     MIN('2) หลักการคำนวน Table'!$C$3:$K$3),
     MAX('2) หลักการคำนวน Table'!$C$3:$K$3)
  )
)</f>
        <v>0.9</v>
      </c>
      <c r="AP111" s="298">
        <f>IFERROR(
  _xlfn.XLOOKUP(AD111,'2) หลักการคำนวน Table'!$C$3:$K$3,'2) หลักการคำนวน Table'!$C$3:$K$3,,1),
  IF(AD111&lt;MIN('2) หลักการคำนวน Table'!$C$3:$K$3),
     MIN('2) หลักการคำนวน Table'!$C$3:$K$3),
     MAX('2) หลักการคำนวน Table'!$C$3:$K$3)
  )
)</f>
        <v>0.9</v>
      </c>
      <c r="AQ111" s="298">
        <f>IFERROR(
  _xlfn.XLOOKUP(AE111,'2) หลักการคำนวน Table'!$C$3:$K$3,'2) หลักการคำนวน Table'!$C$3:$K$3,,1),
  IF(AE111&lt;MIN('2) หลักการคำนวน Table'!$C$3:$K$3),
     MIN('2) หลักการคำนวน Table'!$C$3:$K$3),
     MAX('2) หลักการคำนวน Table'!$C$3:$K$3)
  )
)</f>
        <v>0.9</v>
      </c>
      <c r="AR111" s="298">
        <f>IFERROR(
  _xlfn.XLOOKUP(AF111,'2) หลักการคำนวน Table'!$C$3:$K$3,'2) หลักการคำนวน Table'!$C$3:$K$3,,1),
  IF(AF111&lt;MIN('2) หลักการคำนวน Table'!$C$3:$K$3),
     MIN('2) หลักการคำนวน Table'!$C$3:$K$3),
     MAX('2) หลักการคำนวน Table'!$C$3:$K$3)
  )
)</f>
        <v>0.9</v>
      </c>
      <c r="AS111" s="298">
        <f>IFERROR(
  _xlfn.XLOOKUP(AG111,'2) หลักการคำนวน Table'!$C$3:$K$3,'2) หลักการคำนวน Table'!$C$3:$K$3,,1),
  IF(AG111&lt;MIN('2) หลักการคำนวน Table'!$C$3:$K$3),
     MIN('2) หลักการคำนวน Table'!$C$3:$K$3),
     MAX('2) หลักการคำนวน Table'!$C$3:$K$3)
  )
)</f>
        <v>0.9</v>
      </c>
      <c r="AT111" s="298">
        <f>IFERROR(
  _xlfn.XLOOKUP(AH111,'2) หลักการคำนวน Table'!$C$3:$K$3,'2) หลักการคำนวน Table'!$C$3:$K$3,,1),
  IF(AH111&lt;MIN('2) หลักการคำนวน Table'!$C$3:$K$3),
     MIN('2) หลักการคำนวน Table'!$C$3:$K$3),
     MAX('2) หลักการคำนวน Table'!$C$3:$K$3)
  )
)</f>
        <v>0.9</v>
      </c>
      <c r="AU111" s="298">
        <f>IFERROR(
  _xlfn.XLOOKUP(AI111,'2) หลักการคำนวน Table'!$C$3:$K$3,'2) หลักการคำนวน Table'!$C$3:$K$3,,1),
  IF(AI111&lt;MIN('2) หลักการคำนวน Table'!$C$3:$K$3),
     MIN('2) หลักการคำนวน Table'!$C$3:$K$3),
     MAX('2) หลักการคำนวน Table'!$C$3:$K$3)
  )
)</f>
        <v>0.9</v>
      </c>
      <c r="AV111" s="298">
        <f>IFERROR(
  _xlfn.XLOOKUP(AJ111,'2) หลักการคำนวน Table'!$C$3:$K$3,'2) หลักการคำนวน Table'!$C$3:$K$3,,1),
  IF(AJ111&lt;MIN('2) หลักการคำนวน Table'!$C$3:$K$3),
     MIN('2) หลักการคำนวน Table'!$C$3:$K$3),
     MAX('2) หลักการคำนวน Table'!$C$3:$K$3)
  )
)</f>
        <v>0.9</v>
      </c>
      <c r="AW111" s="298">
        <f>IFERROR(
  _xlfn.XLOOKUP(AK111,'2) หลักการคำนวน Table'!$C$3:$K$3,'2) หลักการคำนวน Table'!$C$3:$K$3,,1),
  IF(AK111&lt;MIN('2) หลักการคำนวน Table'!$C$3:$K$3),
     MIN('2) หลักการคำนวน Table'!$C$3:$K$3),
     MAX('2) หลักการคำนวน Table'!$C$3:$K$3)
  )
)</f>
        <v>0.9</v>
      </c>
      <c r="AX111" s="298">
        <f>IFERROR(
  _xlfn.XLOOKUP(AL111,'2) หลักการคำนวน Table'!$C$3:$K$3,'2) หลักการคำนวน Table'!$C$3:$K$3,,1),
  IF(AL111&lt;MIN('2) หลักการคำนวน Table'!$C$3:$K$3),
     MIN('2) หลักการคำนวน Table'!$C$3:$K$3),
     MAX('2) หลักการคำนวน Table'!$C$3:$K$3)
  )
)</f>
        <v>0.9</v>
      </c>
      <c r="AY111" s="298">
        <f>IFERROR(
  _xlfn.XLOOKUP(AM111,'2) หลักการคำนวน Table'!$C$3:$K$3,'2) หลักการคำนวน Table'!$C$3:$K$3,,1),
  IF(AM111&lt;MIN('2) หลักการคำนวน Table'!$C$3:$K$3),
     MIN('2) หลักการคำนวน Table'!$C$3:$K$3),
     MAX('2) หลักการคำนวน Table'!$C$3:$K$3)
  )
)</f>
        <v>0.9</v>
      </c>
      <c r="AZ111" s="299" cm="1">
        <f t="array" ref="AZ111">ROUND((_xlfn.XLOOKUP($C111,'2) หลักการคำนวน Table'!$A$4:$A$36,
_xlfn.XLOOKUP(AN111,'2)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1161</v>
      </c>
      <c r="BA111" s="299" cm="1">
        <f t="array" ref="BA111">ROUND((_xlfn.XLOOKUP($C111,'2) หลักการคำนวน Table'!$A$4:$A$36,
_xlfn.XLOOKUP(AO111,'2)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804</v>
      </c>
      <c r="BB111" s="299" cm="1">
        <f t="array" ref="BB111">ROUND((_xlfn.XLOOKUP($C111,'2) หลักการคำนวน Table'!$A$4:$A$36,
_xlfn.XLOOKUP(AP111,'2)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804</v>
      </c>
      <c r="BC111" s="299" cm="1">
        <f t="array" ref="BC111">ROUND((_xlfn.XLOOKUP($C111,'2) หลักการคำนวน Table'!$A$4:$A$36,
_xlfn.XLOOKUP(AQ111,'2)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804</v>
      </c>
      <c r="BD111" s="299" cm="1">
        <f t="array" ref="BD111">ROUND((_xlfn.XLOOKUP($C111,'2) หลักการคำนวน Table'!$A$4:$A$36,
_xlfn.XLOOKUP(AR111,'2)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804</v>
      </c>
      <c r="BE111" s="299" cm="1">
        <f t="array" ref="BE111">ROUND((_xlfn.XLOOKUP($C111,'2) หลักการคำนวน Table'!$A$4:$A$36,
_xlfn.XLOOKUP(AS111,'2)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804</v>
      </c>
      <c r="BF111" s="299" cm="1">
        <f t="array" ref="BF111">ROUND((_xlfn.XLOOKUP($C111,'2) หลักการคำนวน Table'!$A$4:$A$36,
_xlfn.XLOOKUP(AT111,'2)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804</v>
      </c>
      <c r="BG111" s="299" cm="1">
        <f t="array" ref="BG111">ROUND((_xlfn.XLOOKUP($C111,'2) หลักการคำนวน Table'!$A$4:$A$36,
_xlfn.XLOOKUP(AU111,'2)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804</v>
      </c>
      <c r="BH111" s="299" cm="1">
        <f t="array" ref="BH111">ROUND((_xlfn.XLOOKUP($C111,'2) หลักการคำนวน Table'!$A$4:$A$36,
_xlfn.XLOOKUP(AV111,'2)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804</v>
      </c>
      <c r="BI111" s="299" cm="1">
        <f t="array" ref="BI111">ROUND((_xlfn.XLOOKUP($C111,'2) หลักการคำนวน Table'!$A$4:$A$36,
_xlfn.XLOOKUP(AW111,'2)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804</v>
      </c>
      <c r="BJ111" s="299" cm="1">
        <f t="array" ref="BJ111">ROUND((_xlfn.XLOOKUP($C111,'2) หลักการคำนวน Table'!$A$4:$A$36,
_xlfn.XLOOKUP(AX111,'2)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804</v>
      </c>
      <c r="BK111" s="299" cm="1">
        <f t="array" ref="BK111">ROUND((_xlfn.XLOOKUP($C111,'2) หลักการคำนวน Table'!$A$4:$A$36,
_xlfn.XLOOKUP(AY111,'2) หลักการคำนวน Table'!$C$3:$K$3,'2) หลักการคำนวน Table'!$C$4:$K$36,,-1)))*(_xlfn.XLOOKUP($C111,'2) หลักการคำนวน Table'!$A$4:$A$36, _xlfn.XLOOKUP($B111,'2) หลักการคำนวน Table'!$L$3:$Z$3,'2) หลักการคำนวน Table'!$L$4:$Z$36))),0)</f>
        <v>804</v>
      </c>
      <c r="BM111" s="295">
        <v>222203</v>
      </c>
      <c r="BN111" s="300">
        <v>1161</v>
      </c>
    </row>
    <row r="112" spans="1:66" ht="14.7" customHeight="1" x14ac:dyDescent="0.25">
      <c r="A112" s="126">
        <f>VLOOKUP(C112,ASTBase!E:S,13,FALSE)</f>
        <v>222237</v>
      </c>
      <c r="B112" s="126" t="s">
        <v>407</v>
      </c>
      <c r="C112" s="232" t="s">
        <v>399</v>
      </c>
      <c r="D112" s="127">
        <v>150000</v>
      </c>
      <c r="E112" s="127">
        <v>120000</v>
      </c>
      <c r="F112" s="127">
        <v>195000</v>
      </c>
      <c r="G112" s="127">
        <v>120000</v>
      </c>
      <c r="H112" s="127">
        <v>145000</v>
      </c>
      <c r="I112" s="127">
        <v>125000</v>
      </c>
      <c r="J112" s="127">
        <v>145000</v>
      </c>
      <c r="K112" s="127">
        <v>130000</v>
      </c>
      <c r="L112" s="127">
        <v>170000</v>
      </c>
      <c r="M112" s="127">
        <v>176400</v>
      </c>
      <c r="N112" s="127">
        <v>135000</v>
      </c>
      <c r="O112" s="127">
        <v>190000</v>
      </c>
      <c r="P112" s="126">
        <v>159529.99999843311</v>
      </c>
      <c r="AB112" s="297">
        <f>IFERROR(IF(VLOOKUP($B112,Shortage!$A:$M,AB$2,FALSE)="Shortage",1,IFERROR(ROUND(P112/D112,4),0)),IFERROR(ROUND(P112/D112,4),0))</f>
        <v>1.0634999999999999</v>
      </c>
      <c r="AC112" s="297">
        <f>IFERROR(IF(VLOOKUP($B112,Shortage!$A:$M,AC$2,FALSE)="Shortage",1,IFERROR(ROUND(Q112/E112,4),0)),IFERROR(ROUND(Q112/E112,4),0))</f>
        <v>0</v>
      </c>
      <c r="AD112" s="297">
        <f>IFERROR(IF(VLOOKUP($B112,Shortage!$A:$M,AD$2,FALSE)="Shortage",1,IFERROR(ROUND(R112/F112,4),0)),IFERROR(ROUND(R112/F112,4),0))</f>
        <v>0</v>
      </c>
      <c r="AE112" s="297">
        <f>IFERROR(IF(VLOOKUP($B112,Shortage!$A:$M,AE$2,FALSE)="Shortage",1,IFERROR(ROUND(S112/G112,4),0)),IFERROR(ROUND(S112/G112,4),0))</f>
        <v>0</v>
      </c>
      <c r="AF112" s="297">
        <f>IFERROR(IF(VLOOKUP($B112,Shortage!$A:$M,AF$2,FALSE)="Shortage",1,IFERROR(ROUND(T112/H112,4),0)),IFERROR(ROUND(T112/H112,4),0))</f>
        <v>0</v>
      </c>
      <c r="AG112" s="297">
        <f>IFERROR(IF(VLOOKUP($B112,Shortage!$A:$M,AG$2,FALSE)="Shortage",1,IFERROR(ROUND(U112/I112,4),0)),IFERROR(ROUND(U112/I112,4),0))</f>
        <v>0</v>
      </c>
      <c r="AH112" s="297">
        <f>IFERROR(IF(VLOOKUP($B112,Shortage!$A:$M,AH$2,FALSE)="Shortage",1,IFERROR(ROUND(V112/J112,4),0)),IFERROR(ROUND(V112/J112,4),0))</f>
        <v>0</v>
      </c>
      <c r="AI112" s="297">
        <f>IFERROR(IF(VLOOKUP($B112,Shortage!$A:$M,AI$2,FALSE)="Shortage",1,IFERROR(ROUND(W112/K112,4),0)),IFERROR(ROUND(W112/K112,4),0))</f>
        <v>0</v>
      </c>
      <c r="AJ112" s="297">
        <f>IFERROR(IF(VLOOKUP($B112,Shortage!$A:$M,AJ$2,FALSE)="Shortage",1,IFERROR(ROUND(X112/L112,4),0)),IFERROR(ROUND(X112/L112,4),0))</f>
        <v>0</v>
      </c>
      <c r="AK112" s="297">
        <f>IFERROR(IF(VLOOKUP($B112,Shortage!$A:$M,AK$2,FALSE)="Shortage",1,IFERROR(ROUND(Y112/M112,4),0)),IFERROR(ROUND(Y112/M112,4),0))</f>
        <v>0</v>
      </c>
      <c r="AL112" s="297">
        <f>IFERROR(IF(VLOOKUP($B112,Shortage!$A:$M,AL$2,FALSE)="Shortage",1,IFERROR(ROUND(Z112/N112,4),0)),IFERROR(ROUND(Z112/N112,4),0))</f>
        <v>0</v>
      </c>
      <c r="AM112" s="297">
        <f>IFERROR(IF(VLOOKUP($B112,Shortage!$A:$M,AM$2,FALSE)="Shortage",1,IFERROR(ROUND(AA112/O112,4),0)),IFERROR(ROUND(AA112/O112,4),0))</f>
        <v>0</v>
      </c>
      <c r="AN112" s="298">
        <f>IFERROR(_xlfn.XLOOKUP(AB112,'2) หลักการคำนวน Table'!$C$3:$K$3,'2) หลักการคำนวน Table'!$C$3:$K$3,,1),INDEX('2) หลักการคำนวน Table'!$C$3:$K$3,1))</f>
        <v>1.1000000000000001</v>
      </c>
      <c r="AO112" s="298">
        <f>IFERROR(
  _xlfn.XLOOKUP(AC112,'2) หลักการคำนวน Table'!$C$3:$K$3,'2) หลักการคำนวน Table'!$C$3:$K$3,,1),
  IF(AC112&lt;MIN('2) หลักการคำนวน Table'!$C$3:$K$3),
     MIN('2) หลักการคำนวน Table'!$C$3:$K$3),
     MAX('2) หลักการคำนวน Table'!$C$3:$K$3)
  )
)</f>
        <v>0.9</v>
      </c>
      <c r="AP112" s="298">
        <f>IFERROR(
  _xlfn.XLOOKUP(AD112,'2) หลักการคำนวน Table'!$C$3:$K$3,'2) หลักการคำนวน Table'!$C$3:$K$3,,1),
  IF(AD112&lt;MIN('2) หลักการคำนวน Table'!$C$3:$K$3),
     MIN('2) หลักการคำนวน Table'!$C$3:$K$3),
     MAX('2) หลักการคำนวน Table'!$C$3:$K$3)
  )
)</f>
        <v>0.9</v>
      </c>
      <c r="AQ112" s="298">
        <f>IFERROR(
  _xlfn.XLOOKUP(AE112,'2) หลักการคำนวน Table'!$C$3:$K$3,'2) หลักการคำนวน Table'!$C$3:$K$3,,1),
  IF(AE112&lt;MIN('2) หลักการคำนวน Table'!$C$3:$K$3),
     MIN('2) หลักการคำนวน Table'!$C$3:$K$3),
     MAX('2) หลักการคำนวน Table'!$C$3:$K$3)
  )
)</f>
        <v>0.9</v>
      </c>
      <c r="AR112" s="298">
        <f>IFERROR(
  _xlfn.XLOOKUP(AF112,'2) หลักการคำนวน Table'!$C$3:$K$3,'2) หลักการคำนวน Table'!$C$3:$K$3,,1),
  IF(AF112&lt;MIN('2) หลักการคำนวน Table'!$C$3:$K$3),
     MIN('2) หลักการคำนวน Table'!$C$3:$K$3),
     MAX('2) หลักการคำนวน Table'!$C$3:$K$3)
  )
)</f>
        <v>0.9</v>
      </c>
      <c r="AS112" s="298">
        <f>IFERROR(
  _xlfn.XLOOKUP(AG112,'2) หลักการคำนวน Table'!$C$3:$K$3,'2) หลักการคำนวน Table'!$C$3:$K$3,,1),
  IF(AG112&lt;MIN('2) หลักการคำนวน Table'!$C$3:$K$3),
     MIN('2) หลักการคำนวน Table'!$C$3:$K$3),
     MAX('2) หลักการคำนวน Table'!$C$3:$K$3)
  )
)</f>
        <v>0.9</v>
      </c>
      <c r="AT112" s="298">
        <f>IFERROR(
  _xlfn.XLOOKUP(AH112,'2) หลักการคำนวน Table'!$C$3:$K$3,'2) หลักการคำนวน Table'!$C$3:$K$3,,1),
  IF(AH112&lt;MIN('2) หลักการคำนวน Table'!$C$3:$K$3),
     MIN('2) หลักการคำนวน Table'!$C$3:$K$3),
     MAX('2) หลักการคำนวน Table'!$C$3:$K$3)
  )
)</f>
        <v>0.9</v>
      </c>
      <c r="AU112" s="298">
        <f>IFERROR(
  _xlfn.XLOOKUP(AI112,'2) หลักการคำนวน Table'!$C$3:$K$3,'2) หลักการคำนวน Table'!$C$3:$K$3,,1),
  IF(AI112&lt;MIN('2) หลักการคำนวน Table'!$C$3:$K$3),
     MIN('2) หลักการคำนวน Table'!$C$3:$K$3),
     MAX('2) หลักการคำนวน Table'!$C$3:$K$3)
  )
)</f>
        <v>0.9</v>
      </c>
      <c r="AV112" s="298">
        <f>IFERROR(
  _xlfn.XLOOKUP(AJ112,'2) หลักการคำนวน Table'!$C$3:$K$3,'2) หลักการคำนวน Table'!$C$3:$K$3,,1),
  IF(AJ112&lt;MIN('2) หลักการคำนวน Table'!$C$3:$K$3),
     MIN('2) หลักการคำนวน Table'!$C$3:$K$3),
     MAX('2) หลักการคำนวน Table'!$C$3:$K$3)
  )
)</f>
        <v>0.9</v>
      </c>
      <c r="AW112" s="298">
        <f>IFERROR(
  _xlfn.XLOOKUP(AK112,'2) หลักการคำนวน Table'!$C$3:$K$3,'2) หลักการคำนวน Table'!$C$3:$K$3,,1),
  IF(AK112&lt;MIN('2) หลักการคำนวน Table'!$C$3:$K$3),
     MIN('2) หลักการคำนวน Table'!$C$3:$K$3),
     MAX('2) หลักการคำนวน Table'!$C$3:$K$3)
  )
)</f>
        <v>0.9</v>
      </c>
      <c r="AX112" s="298">
        <f>IFERROR(
  _xlfn.XLOOKUP(AL112,'2) หลักการคำนวน Table'!$C$3:$K$3,'2) หลักการคำนวน Table'!$C$3:$K$3,,1),
  IF(AL112&lt;MIN('2) หลักการคำนวน Table'!$C$3:$K$3),
     MIN('2) หลักการคำนวน Table'!$C$3:$K$3),
     MAX('2) หลักการคำนวน Table'!$C$3:$K$3)
  )
)</f>
        <v>0.9</v>
      </c>
      <c r="AY112" s="298">
        <f>IFERROR(
  _xlfn.XLOOKUP(AM112,'2) หลักการคำนวน Table'!$C$3:$K$3,'2) หลักการคำนวน Table'!$C$3:$K$3,,1),
  IF(AM112&lt;MIN('2) หลักการคำนวน Table'!$C$3:$K$3),
     MIN('2) หลักการคำนวน Table'!$C$3:$K$3),
     MAX('2) หลักการคำนวน Table'!$C$3:$K$3)
  )
)</f>
        <v>0.9</v>
      </c>
      <c r="AZ112" s="299" cm="1">
        <f t="array" ref="AZ112">ROUND((_xlfn.XLOOKUP($C112,'2) หลักการคำนวน Table'!$A$4:$A$36,
_xlfn.XLOOKUP(AN112,'2)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1467</v>
      </c>
      <c r="BA112" s="299" cm="1">
        <f t="array" ref="BA112">ROUND((_xlfn.XLOOKUP($C112,'2) หลักการคำนวน Table'!$A$4:$A$36,
_xlfn.XLOOKUP(AO112,'2)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1200</v>
      </c>
      <c r="BB112" s="299" cm="1">
        <f t="array" ref="BB112">ROUND((_xlfn.XLOOKUP($C112,'2) หลักการคำนวน Table'!$A$4:$A$36,
_xlfn.XLOOKUP(AP112,'2)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1200</v>
      </c>
      <c r="BC112" s="299" cm="1">
        <f t="array" ref="BC112">ROUND((_xlfn.XLOOKUP($C112,'2) หลักการคำนวน Table'!$A$4:$A$36,
_xlfn.XLOOKUP(AQ112,'2)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1200</v>
      </c>
      <c r="BD112" s="299" cm="1">
        <f t="array" ref="BD112">ROUND((_xlfn.XLOOKUP($C112,'2) หลักการคำนวน Table'!$A$4:$A$36,
_xlfn.XLOOKUP(AR112,'2)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1200</v>
      </c>
      <c r="BE112" s="299" cm="1">
        <f t="array" ref="BE112">ROUND((_xlfn.XLOOKUP($C112,'2) หลักการคำนวน Table'!$A$4:$A$36,
_xlfn.XLOOKUP(AS112,'2)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1200</v>
      </c>
      <c r="BF112" s="299" cm="1">
        <f t="array" ref="BF112">ROUND((_xlfn.XLOOKUP($C112,'2) หลักการคำนวน Table'!$A$4:$A$36,
_xlfn.XLOOKUP(AT112,'2)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1200</v>
      </c>
      <c r="BG112" s="299" cm="1">
        <f t="array" ref="BG112">ROUND((_xlfn.XLOOKUP($C112,'2) หลักการคำนวน Table'!$A$4:$A$36,
_xlfn.XLOOKUP(AU112,'2)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1200</v>
      </c>
      <c r="BH112" s="299" cm="1">
        <f t="array" ref="BH112">ROUND((_xlfn.XLOOKUP($C112,'2) หลักการคำนวน Table'!$A$4:$A$36,
_xlfn.XLOOKUP(AV112,'2)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1200</v>
      </c>
      <c r="BI112" s="299" cm="1">
        <f t="array" ref="BI112">ROUND((_xlfn.XLOOKUP($C112,'2) หลักการคำนวน Table'!$A$4:$A$36,
_xlfn.XLOOKUP(AW112,'2)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1200</v>
      </c>
      <c r="BJ112" s="299" cm="1">
        <f t="array" ref="BJ112">ROUND((_xlfn.XLOOKUP($C112,'2) หลักการคำนวน Table'!$A$4:$A$36,
_xlfn.XLOOKUP(AX112,'2)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1200</v>
      </c>
      <c r="BK112" s="299" cm="1">
        <f t="array" ref="BK112">ROUND((_xlfn.XLOOKUP($C112,'2) หลักการคำนวน Table'!$A$4:$A$36,
_xlfn.XLOOKUP(AY112,'2) หลักการคำนวน Table'!$C$3:$K$3,'2) หลักการคำนวน Table'!$C$4:$K$36,,-1)))*(_xlfn.XLOOKUP($C112,'2) หลักการคำนวน Table'!$A$4:$A$36, _xlfn.XLOOKUP($B112,'2) หลักการคำนวน Table'!$L$3:$Z$3,'2) หลักการคำนวน Table'!$L$4:$Z$36))),0)</f>
        <v>1200</v>
      </c>
      <c r="BM112" s="295">
        <v>222213</v>
      </c>
      <c r="BN112" s="300">
        <v>1467</v>
      </c>
    </row>
    <row r="113" spans="1:66" ht="14.7" customHeight="1" x14ac:dyDescent="0.25">
      <c r="A113" s="278">
        <f>VLOOKUP(C113,ASTBase!E:S,13,FALSE)</f>
        <v>222237</v>
      </c>
      <c r="B113" s="278" t="s">
        <v>418</v>
      </c>
      <c r="C113" s="232" t="s">
        <v>399</v>
      </c>
      <c r="D113" s="127">
        <v>1500</v>
      </c>
      <c r="E113" s="127">
        <v>1850</v>
      </c>
      <c r="F113" s="127">
        <v>2100</v>
      </c>
      <c r="G113" s="127">
        <v>1650</v>
      </c>
      <c r="H113" s="127">
        <v>1750</v>
      </c>
      <c r="I113" s="127">
        <v>1700</v>
      </c>
      <c r="J113" s="127">
        <v>1600</v>
      </c>
      <c r="K113" s="127">
        <v>1700</v>
      </c>
      <c r="L113" s="127">
        <v>1800</v>
      </c>
      <c r="M113" s="127">
        <v>1750</v>
      </c>
      <c r="N113" s="127">
        <v>1800</v>
      </c>
      <c r="O113" s="127">
        <v>2500</v>
      </c>
      <c r="P113" s="126">
        <v>1809.8279999999993</v>
      </c>
      <c r="AB113" s="297">
        <f>IFERROR(IF(VLOOKUP($B113,Shortage!$A:$M,AB$2,FALSE)="Shortage",1,IFERROR(ROUND(P113/D113,4),0)),IFERROR(ROUND(P113/D113,4),0))</f>
        <v>1.2065999999999999</v>
      </c>
      <c r="AC113" s="297">
        <f>IFERROR(IF(VLOOKUP($B113,Shortage!$A:$M,AC$2,FALSE)="Shortage",1,IFERROR(ROUND(Q113/E113,4),0)),IFERROR(ROUND(Q113/E113,4),0))</f>
        <v>0</v>
      </c>
      <c r="AD113" s="297">
        <f>IFERROR(IF(VLOOKUP($B113,Shortage!$A:$M,AD$2,FALSE)="Shortage",1,IFERROR(ROUND(R113/F113,4),0)),IFERROR(ROUND(R113/F113,4),0))</f>
        <v>0</v>
      </c>
      <c r="AE113" s="297">
        <f>IFERROR(IF(VLOOKUP($B113,Shortage!$A:$M,AE$2,FALSE)="Shortage",1,IFERROR(ROUND(S113/G113,4),0)),IFERROR(ROUND(S113/G113,4),0))</f>
        <v>0</v>
      </c>
      <c r="AF113" s="297">
        <f>IFERROR(IF(VLOOKUP($B113,Shortage!$A:$M,AF$2,FALSE)="Shortage",1,IFERROR(ROUND(T113/H113,4),0)),IFERROR(ROUND(T113/H113,4),0))</f>
        <v>0</v>
      </c>
      <c r="AG113" s="297">
        <f>IFERROR(IF(VLOOKUP($B113,Shortage!$A:$M,AG$2,FALSE)="Shortage",1,IFERROR(ROUND(U113/I113,4),0)),IFERROR(ROUND(U113/I113,4),0))</f>
        <v>0</v>
      </c>
      <c r="AH113" s="297">
        <f>IFERROR(IF(VLOOKUP($B113,Shortage!$A:$M,AH$2,FALSE)="Shortage",1,IFERROR(ROUND(V113/J113,4),0)),IFERROR(ROUND(V113/J113,4),0))</f>
        <v>0</v>
      </c>
      <c r="AI113" s="297">
        <f>IFERROR(IF(VLOOKUP($B113,Shortage!$A:$M,AI$2,FALSE)="Shortage",1,IFERROR(ROUND(W113/K113,4),0)),IFERROR(ROUND(W113/K113,4),0))</f>
        <v>0</v>
      </c>
      <c r="AJ113" s="297">
        <f>IFERROR(IF(VLOOKUP($B113,Shortage!$A:$M,AJ$2,FALSE)="Shortage",1,IFERROR(ROUND(X113/L113,4),0)),IFERROR(ROUND(X113/L113,4),0))</f>
        <v>0</v>
      </c>
      <c r="AK113" s="297">
        <f>IFERROR(IF(VLOOKUP($B113,Shortage!$A:$M,AK$2,FALSE)="Shortage",1,IFERROR(ROUND(Y113/M113,4),0)),IFERROR(ROUND(Y113/M113,4),0))</f>
        <v>0</v>
      </c>
      <c r="AL113" s="297">
        <f>IFERROR(IF(VLOOKUP($B113,Shortage!$A:$M,AL$2,FALSE)="Shortage",1,IFERROR(ROUND(Z113/N113,4),0)),IFERROR(ROUND(Z113/N113,4),0))</f>
        <v>0</v>
      </c>
      <c r="AM113" s="297">
        <f>IFERROR(IF(VLOOKUP($B113,Shortage!$A:$M,AM$2,FALSE)="Shortage",1,IFERROR(ROUND(AA113/O113,4),0)),IFERROR(ROUND(AA113/O113,4),0))</f>
        <v>0</v>
      </c>
      <c r="AN113" s="298">
        <f>IFERROR(_xlfn.XLOOKUP(AB113,'2) หลักการคำนวน Table'!$C$3:$K$3,'2) หลักการคำนวน Table'!$C$3:$K$3,,1),INDEX('2) หลักการคำนวน Table'!$C$3:$K$3,1))</f>
        <v>20</v>
      </c>
      <c r="AO113" s="298">
        <f>IFERROR(
  _xlfn.XLOOKUP(AC113,'2) หลักการคำนวน Table'!$C$3:$K$3,'2) หลักการคำนวน Table'!$C$3:$K$3,,1),
  IF(AC113&lt;MIN('2) หลักการคำนวน Table'!$C$3:$K$3),
     MIN('2) หลักการคำนวน Table'!$C$3:$K$3),
     MAX('2) หลักการคำนวน Table'!$C$3:$K$3)
  )
)</f>
        <v>0.9</v>
      </c>
      <c r="AP113" s="298">
        <f>IFERROR(
  _xlfn.XLOOKUP(AD113,'2) หลักการคำนวน Table'!$C$3:$K$3,'2) หลักการคำนวน Table'!$C$3:$K$3,,1),
  IF(AD113&lt;MIN('2) หลักการคำนวน Table'!$C$3:$K$3),
     MIN('2) หลักการคำนวน Table'!$C$3:$K$3),
     MAX('2) หลักการคำนวน Table'!$C$3:$K$3)
  )
)</f>
        <v>0.9</v>
      </c>
      <c r="AQ113" s="298">
        <f>IFERROR(
  _xlfn.XLOOKUP(AE113,'2) หลักการคำนวน Table'!$C$3:$K$3,'2) หลักการคำนวน Table'!$C$3:$K$3,,1),
  IF(AE113&lt;MIN('2) หลักการคำนวน Table'!$C$3:$K$3),
     MIN('2) หลักการคำนวน Table'!$C$3:$K$3),
     MAX('2) หลักการคำนวน Table'!$C$3:$K$3)
  )
)</f>
        <v>0.9</v>
      </c>
      <c r="AR113" s="298">
        <f>IFERROR(
  _xlfn.XLOOKUP(AF113,'2) หลักการคำนวน Table'!$C$3:$K$3,'2) หลักการคำนวน Table'!$C$3:$K$3,,1),
  IF(AF113&lt;MIN('2) หลักการคำนวน Table'!$C$3:$K$3),
     MIN('2) หลักการคำนวน Table'!$C$3:$K$3),
     MAX('2) หลักการคำนวน Table'!$C$3:$K$3)
  )
)</f>
        <v>0.9</v>
      </c>
      <c r="AS113" s="298">
        <f>IFERROR(
  _xlfn.XLOOKUP(AG113,'2) หลักการคำนวน Table'!$C$3:$K$3,'2) หลักการคำนวน Table'!$C$3:$K$3,,1),
  IF(AG113&lt;MIN('2) หลักการคำนวน Table'!$C$3:$K$3),
     MIN('2) หลักการคำนวน Table'!$C$3:$K$3),
     MAX('2) หลักการคำนวน Table'!$C$3:$K$3)
  )
)</f>
        <v>0.9</v>
      </c>
      <c r="AT113" s="298">
        <f>IFERROR(
  _xlfn.XLOOKUP(AH113,'2) หลักการคำนวน Table'!$C$3:$K$3,'2) หลักการคำนวน Table'!$C$3:$K$3,,1),
  IF(AH113&lt;MIN('2) หลักการคำนวน Table'!$C$3:$K$3),
     MIN('2) หลักการคำนวน Table'!$C$3:$K$3),
     MAX('2) หลักการคำนวน Table'!$C$3:$K$3)
  )
)</f>
        <v>0.9</v>
      </c>
      <c r="AU113" s="298">
        <f>IFERROR(
  _xlfn.XLOOKUP(AI113,'2) หลักการคำนวน Table'!$C$3:$K$3,'2) หลักการคำนวน Table'!$C$3:$K$3,,1),
  IF(AI113&lt;MIN('2) หลักการคำนวน Table'!$C$3:$K$3),
     MIN('2) หลักการคำนวน Table'!$C$3:$K$3),
     MAX('2) หลักการคำนวน Table'!$C$3:$K$3)
  )
)</f>
        <v>0.9</v>
      </c>
      <c r="AV113" s="298">
        <f>IFERROR(
  _xlfn.XLOOKUP(AJ113,'2) หลักการคำนวน Table'!$C$3:$K$3,'2) หลักการคำนวน Table'!$C$3:$K$3,,1),
  IF(AJ113&lt;MIN('2) หลักการคำนวน Table'!$C$3:$K$3),
     MIN('2) หลักการคำนวน Table'!$C$3:$K$3),
     MAX('2) หลักการคำนวน Table'!$C$3:$K$3)
  )
)</f>
        <v>0.9</v>
      </c>
      <c r="AW113" s="298">
        <f>IFERROR(
  _xlfn.XLOOKUP(AK113,'2) หลักการคำนวน Table'!$C$3:$K$3,'2) หลักการคำนวน Table'!$C$3:$K$3,,1),
  IF(AK113&lt;MIN('2) หลักการคำนวน Table'!$C$3:$K$3),
     MIN('2) หลักการคำนวน Table'!$C$3:$K$3),
     MAX('2) หลักการคำนวน Table'!$C$3:$K$3)
  )
)</f>
        <v>0.9</v>
      </c>
      <c r="AX113" s="298">
        <f>IFERROR(
  _xlfn.XLOOKUP(AL113,'2) หลักการคำนวน Table'!$C$3:$K$3,'2) หลักการคำนวน Table'!$C$3:$K$3,,1),
  IF(AL113&lt;MIN('2) หลักการคำนวน Table'!$C$3:$K$3),
     MIN('2) หลักการคำนวน Table'!$C$3:$K$3),
     MAX('2) หลักการคำนวน Table'!$C$3:$K$3)
  )
)</f>
        <v>0.9</v>
      </c>
      <c r="AY113" s="298">
        <f>IFERROR(
  _xlfn.XLOOKUP(AM113,'2) หลักการคำนวน Table'!$C$3:$K$3,'2) หลักการคำนวน Table'!$C$3:$K$3,,1),
  IF(AM113&lt;MIN('2) หลักการคำนวน Table'!$C$3:$K$3),
     MIN('2) หลักการคำนวน Table'!$C$3:$K$3),
     MAX('2) หลักการคำนวน Table'!$C$3:$K$3)
  )
)</f>
        <v>0.9</v>
      </c>
      <c r="AZ113" s="299" cm="1">
        <f t="array" ref="AZ113">ROUND((_xlfn.XLOOKUP($C113,'2) หลักการคำนวน Table'!$A$4:$A$36,
_xlfn.XLOOKUP(AN113,'2)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1444</v>
      </c>
      <c r="BA113" s="299" cm="1">
        <f t="array" ref="BA113">ROUND((_xlfn.XLOOKUP($C113,'2) หลักการคำนวน Table'!$A$4:$A$36,
_xlfn.XLOOKUP(AO113,'2)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1000</v>
      </c>
      <c r="BB113" s="299" cm="1">
        <f t="array" ref="BB113">ROUND((_xlfn.XLOOKUP($C113,'2) หลักการคำนวน Table'!$A$4:$A$36,
_xlfn.XLOOKUP(AP113,'2)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1000</v>
      </c>
      <c r="BC113" s="299" cm="1">
        <f t="array" ref="BC113">ROUND((_xlfn.XLOOKUP($C113,'2) หลักการคำนวน Table'!$A$4:$A$36,
_xlfn.XLOOKUP(AQ113,'2)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1000</v>
      </c>
      <c r="BD113" s="299" cm="1">
        <f t="array" ref="BD113">ROUND((_xlfn.XLOOKUP($C113,'2) หลักการคำนวน Table'!$A$4:$A$36,
_xlfn.XLOOKUP(AR113,'2)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1000</v>
      </c>
      <c r="BE113" s="299" cm="1">
        <f t="array" ref="BE113">ROUND((_xlfn.XLOOKUP($C113,'2) หลักการคำนวน Table'!$A$4:$A$36,
_xlfn.XLOOKUP(AS113,'2)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1000</v>
      </c>
      <c r="BF113" s="299" cm="1">
        <f t="array" ref="BF113">ROUND((_xlfn.XLOOKUP($C113,'2) หลักการคำนวน Table'!$A$4:$A$36,
_xlfn.XLOOKUP(AT113,'2)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1000</v>
      </c>
      <c r="BG113" s="299" cm="1">
        <f t="array" ref="BG113">ROUND((_xlfn.XLOOKUP($C113,'2) หลักการคำนวน Table'!$A$4:$A$36,
_xlfn.XLOOKUP(AU113,'2)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1000</v>
      </c>
      <c r="BH113" s="299" cm="1">
        <f t="array" ref="BH113">ROUND((_xlfn.XLOOKUP($C113,'2) หลักการคำนวน Table'!$A$4:$A$36,
_xlfn.XLOOKUP(AV113,'2)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1000</v>
      </c>
      <c r="BI113" s="299" cm="1">
        <f t="array" ref="BI113">ROUND((_xlfn.XLOOKUP($C113,'2) หลักการคำนวน Table'!$A$4:$A$36,
_xlfn.XLOOKUP(AW113,'2)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1000</v>
      </c>
      <c r="BJ113" s="299" cm="1">
        <f t="array" ref="BJ113">ROUND((_xlfn.XLOOKUP($C113,'2) หลักการคำนวน Table'!$A$4:$A$36,
_xlfn.XLOOKUP(AX113,'2)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1000</v>
      </c>
      <c r="BK113" s="299" cm="1">
        <f t="array" ref="BK113">ROUND((_xlfn.XLOOKUP($C113,'2) หลักการคำนวน Table'!$A$4:$A$36,
_xlfn.XLOOKUP(AY113,'2) หลักการคำนวน Table'!$C$3:$K$3,'2) หลักการคำนวน Table'!$C$4:$K$36,,-1)))*(_xlfn.XLOOKUP($C113,'2) หลักการคำนวน Table'!$A$4:$A$36, _xlfn.XLOOKUP($B113,'2) หลักการคำนวน Table'!$L$3:$Z$3,'2) หลักการคำนวน Table'!$L$4:$Z$36))),0)</f>
        <v>1000</v>
      </c>
      <c r="BM113" s="295">
        <v>222213</v>
      </c>
      <c r="BN113" s="300">
        <v>1444</v>
      </c>
    </row>
    <row r="114" spans="1:66" ht="14.7" customHeight="1" x14ac:dyDescent="0.25">
      <c r="A114" s="126">
        <f>VLOOKUP(C114,ASTBase!E:S,13,FALSE)</f>
        <v>222237</v>
      </c>
      <c r="B114" s="126" t="s">
        <v>413</v>
      </c>
      <c r="C114" s="232" t="s">
        <v>399</v>
      </c>
      <c r="D114" s="127">
        <v>33000</v>
      </c>
      <c r="E114" s="127">
        <v>31000</v>
      </c>
      <c r="F114" s="127">
        <v>140000</v>
      </c>
      <c r="G114" s="127">
        <v>29500</v>
      </c>
      <c r="H114" s="127">
        <v>41200</v>
      </c>
      <c r="I114" s="127">
        <v>33000</v>
      </c>
      <c r="J114" s="127">
        <v>32500</v>
      </c>
      <c r="K114" s="127">
        <v>98000</v>
      </c>
      <c r="L114" s="127">
        <v>31800</v>
      </c>
      <c r="M114" s="127">
        <v>33000</v>
      </c>
      <c r="N114" s="127">
        <v>31000</v>
      </c>
      <c r="O114" s="127">
        <v>146000</v>
      </c>
      <c r="P114" s="126">
        <v>60142.121399999967</v>
      </c>
      <c r="AB114" s="297">
        <f>IFERROR(IF(VLOOKUP($B114,Shortage!$A:$M,AB$2,FALSE)="Shortage",1,IFERROR(ROUND(P114/D114,4),0)),IFERROR(ROUND(P114/D114,4),0))</f>
        <v>1.8225</v>
      </c>
      <c r="AC114" s="297">
        <f>IFERROR(IF(VLOOKUP($B114,Shortage!$A:$M,AC$2,FALSE)="Shortage",1,IFERROR(ROUND(Q114/E114,4),0)),IFERROR(ROUND(Q114/E114,4),0))</f>
        <v>0</v>
      </c>
      <c r="AD114" s="297">
        <f>IFERROR(IF(VLOOKUP($B114,Shortage!$A:$M,AD$2,FALSE)="Shortage",1,IFERROR(ROUND(R114/F114,4),0)),IFERROR(ROUND(R114/F114,4),0))</f>
        <v>0</v>
      </c>
      <c r="AE114" s="297">
        <f>IFERROR(IF(VLOOKUP($B114,Shortage!$A:$M,AE$2,FALSE)="Shortage",1,IFERROR(ROUND(S114/G114,4),0)),IFERROR(ROUND(S114/G114,4),0))</f>
        <v>0</v>
      </c>
      <c r="AF114" s="297">
        <f>IFERROR(IF(VLOOKUP($B114,Shortage!$A:$M,AF$2,FALSE)="Shortage",1,IFERROR(ROUND(T114/H114,4),0)),IFERROR(ROUND(T114/H114,4),0))</f>
        <v>0</v>
      </c>
      <c r="AG114" s="297">
        <f>IFERROR(IF(VLOOKUP($B114,Shortage!$A:$M,AG$2,FALSE)="Shortage",1,IFERROR(ROUND(U114/I114,4),0)),IFERROR(ROUND(U114/I114,4),0))</f>
        <v>0</v>
      </c>
      <c r="AH114" s="297">
        <f>IFERROR(IF(VLOOKUP($B114,Shortage!$A:$M,AH$2,FALSE)="Shortage",1,IFERROR(ROUND(V114/J114,4),0)),IFERROR(ROUND(V114/J114,4),0))</f>
        <v>0</v>
      </c>
      <c r="AI114" s="297">
        <f>IFERROR(IF(VLOOKUP($B114,Shortage!$A:$M,AI$2,FALSE)="Shortage",1,IFERROR(ROUND(W114/K114,4),0)),IFERROR(ROUND(W114/K114,4),0))</f>
        <v>0</v>
      </c>
      <c r="AJ114" s="297">
        <f>IFERROR(IF(VLOOKUP($B114,Shortage!$A:$M,AJ$2,FALSE)="Shortage",1,IFERROR(ROUND(X114/L114,4),0)),IFERROR(ROUND(X114/L114,4),0))</f>
        <v>0</v>
      </c>
      <c r="AK114" s="297">
        <f>IFERROR(IF(VLOOKUP($B114,Shortage!$A:$M,AK$2,FALSE)="Shortage",1,IFERROR(ROUND(Y114/M114,4),0)),IFERROR(ROUND(Y114/M114,4),0))</f>
        <v>0</v>
      </c>
      <c r="AL114" s="297">
        <f>IFERROR(IF(VLOOKUP($B114,Shortage!$A:$M,AL$2,FALSE)="Shortage",1,IFERROR(ROUND(Z114/N114,4),0)),IFERROR(ROUND(Z114/N114,4),0))</f>
        <v>0</v>
      </c>
      <c r="AM114" s="297">
        <f>IFERROR(IF(VLOOKUP($B114,Shortage!$A:$M,AM$2,FALSE)="Shortage",1,IFERROR(ROUND(AA114/O114,4),0)),IFERROR(ROUND(AA114/O114,4),0))</f>
        <v>0</v>
      </c>
      <c r="AN114" s="298">
        <f>IFERROR(_xlfn.XLOOKUP(AB114,'2) หลักการคำนวน Table'!$C$3:$K$3,'2) หลักการคำนวน Table'!$C$3:$K$3,,1),INDEX('2) หลักการคำนวน Table'!$C$3:$K$3,1))</f>
        <v>20</v>
      </c>
      <c r="AO114" s="298">
        <f>IFERROR(
  _xlfn.XLOOKUP(AC114,'2) หลักการคำนวน Table'!$C$3:$K$3,'2) หลักการคำนวน Table'!$C$3:$K$3,,1),
  IF(AC114&lt;MIN('2) หลักการคำนวน Table'!$C$3:$K$3),
     MIN('2) หลักการคำนวน Table'!$C$3:$K$3),
     MAX('2) หลักการคำนวน Table'!$C$3:$K$3)
  )
)</f>
        <v>0.9</v>
      </c>
      <c r="AP114" s="298">
        <f>IFERROR(
  _xlfn.XLOOKUP(AD114,'2) หลักการคำนวน Table'!$C$3:$K$3,'2) หลักการคำนวน Table'!$C$3:$K$3,,1),
  IF(AD114&lt;MIN('2) หลักการคำนวน Table'!$C$3:$K$3),
     MIN('2) หลักการคำนวน Table'!$C$3:$K$3),
     MAX('2) หลักการคำนวน Table'!$C$3:$K$3)
  )
)</f>
        <v>0.9</v>
      </c>
      <c r="AQ114" s="298">
        <f>IFERROR(
  _xlfn.XLOOKUP(AE114,'2) หลักการคำนวน Table'!$C$3:$K$3,'2) หลักการคำนวน Table'!$C$3:$K$3,,1),
  IF(AE114&lt;MIN('2) หลักการคำนวน Table'!$C$3:$K$3),
     MIN('2) หลักการคำนวน Table'!$C$3:$K$3),
     MAX('2) หลักการคำนวน Table'!$C$3:$K$3)
  )
)</f>
        <v>0.9</v>
      </c>
      <c r="AR114" s="298">
        <f>IFERROR(
  _xlfn.XLOOKUP(AF114,'2) หลักการคำนวน Table'!$C$3:$K$3,'2) หลักการคำนวน Table'!$C$3:$K$3,,1),
  IF(AF114&lt;MIN('2) หลักการคำนวน Table'!$C$3:$K$3),
     MIN('2) หลักการคำนวน Table'!$C$3:$K$3),
     MAX('2) หลักการคำนวน Table'!$C$3:$K$3)
  )
)</f>
        <v>0.9</v>
      </c>
      <c r="AS114" s="298">
        <f>IFERROR(
  _xlfn.XLOOKUP(AG114,'2) หลักการคำนวน Table'!$C$3:$K$3,'2) หลักการคำนวน Table'!$C$3:$K$3,,1),
  IF(AG114&lt;MIN('2) หลักการคำนวน Table'!$C$3:$K$3),
     MIN('2) หลักการคำนวน Table'!$C$3:$K$3),
     MAX('2) หลักการคำนวน Table'!$C$3:$K$3)
  )
)</f>
        <v>0.9</v>
      </c>
      <c r="AT114" s="298">
        <f>IFERROR(
  _xlfn.XLOOKUP(AH114,'2) หลักการคำนวน Table'!$C$3:$K$3,'2) หลักการคำนวน Table'!$C$3:$K$3,,1),
  IF(AH114&lt;MIN('2) หลักการคำนวน Table'!$C$3:$K$3),
     MIN('2) หลักการคำนวน Table'!$C$3:$K$3),
     MAX('2) หลักการคำนวน Table'!$C$3:$K$3)
  )
)</f>
        <v>0.9</v>
      </c>
      <c r="AU114" s="298">
        <f>IFERROR(
  _xlfn.XLOOKUP(AI114,'2) หลักการคำนวน Table'!$C$3:$K$3,'2) หลักการคำนวน Table'!$C$3:$K$3,,1),
  IF(AI114&lt;MIN('2) หลักการคำนวน Table'!$C$3:$K$3),
     MIN('2) หลักการคำนวน Table'!$C$3:$K$3),
     MAX('2) หลักการคำนวน Table'!$C$3:$K$3)
  )
)</f>
        <v>0.9</v>
      </c>
      <c r="AV114" s="298">
        <f>IFERROR(
  _xlfn.XLOOKUP(AJ114,'2) หลักการคำนวน Table'!$C$3:$K$3,'2) หลักการคำนวน Table'!$C$3:$K$3,,1),
  IF(AJ114&lt;MIN('2) หลักการคำนวน Table'!$C$3:$K$3),
     MIN('2) หลักการคำนวน Table'!$C$3:$K$3),
     MAX('2) หลักการคำนวน Table'!$C$3:$K$3)
  )
)</f>
        <v>0.9</v>
      </c>
      <c r="AW114" s="298">
        <f>IFERROR(
  _xlfn.XLOOKUP(AK114,'2) หลักการคำนวน Table'!$C$3:$K$3,'2) หลักการคำนวน Table'!$C$3:$K$3,,1),
  IF(AK114&lt;MIN('2) หลักการคำนวน Table'!$C$3:$K$3),
     MIN('2) หลักการคำนวน Table'!$C$3:$K$3),
     MAX('2) หลักการคำนวน Table'!$C$3:$K$3)
  )
)</f>
        <v>0.9</v>
      </c>
      <c r="AX114" s="298">
        <f>IFERROR(
  _xlfn.XLOOKUP(AL114,'2) หลักการคำนวน Table'!$C$3:$K$3,'2) หลักการคำนวน Table'!$C$3:$K$3,,1),
  IF(AL114&lt;MIN('2) หลักการคำนวน Table'!$C$3:$K$3),
     MIN('2) หลักการคำนวน Table'!$C$3:$K$3),
     MAX('2) หลักการคำนวน Table'!$C$3:$K$3)
  )
)</f>
        <v>0.9</v>
      </c>
      <c r="AY114" s="298">
        <f>IFERROR(
  _xlfn.XLOOKUP(AM114,'2) หลักการคำนวน Table'!$C$3:$K$3,'2) หลักการคำนวน Table'!$C$3:$K$3,,1),
  IF(AM114&lt;MIN('2) หลักการคำนวน Table'!$C$3:$K$3),
     MIN('2) หลักการคำนวน Table'!$C$3:$K$3),
     MAX('2) หลักการคำนวน Table'!$C$3:$K$3)
  )
)</f>
        <v>0.9</v>
      </c>
      <c r="AZ114" s="299" cm="1">
        <f t="array" ref="AZ114">ROUND((_xlfn.XLOOKUP($C114,'2) หลักการคำนวน Table'!$A$4:$A$36,
_xlfn.XLOOKUP(AN114,'2)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1733</v>
      </c>
      <c r="BA114" s="299" cm="1">
        <f t="array" ref="BA114">ROUND((_xlfn.XLOOKUP($C114,'2) หลักการคำนวน Table'!$A$4:$A$36,
_xlfn.XLOOKUP(AO114,'2)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1200</v>
      </c>
      <c r="BB114" s="299" cm="1">
        <f t="array" ref="BB114">ROUND((_xlfn.XLOOKUP($C114,'2) หลักการคำนวน Table'!$A$4:$A$36,
_xlfn.XLOOKUP(AP114,'2)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1200</v>
      </c>
      <c r="BC114" s="299" cm="1">
        <f t="array" ref="BC114">ROUND((_xlfn.XLOOKUP($C114,'2) หลักการคำนวน Table'!$A$4:$A$36,
_xlfn.XLOOKUP(AQ114,'2)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1200</v>
      </c>
      <c r="BD114" s="299" cm="1">
        <f t="array" ref="BD114">ROUND((_xlfn.XLOOKUP($C114,'2) หลักการคำนวน Table'!$A$4:$A$36,
_xlfn.XLOOKUP(AR114,'2)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1200</v>
      </c>
      <c r="BE114" s="299" cm="1">
        <f t="array" ref="BE114">ROUND((_xlfn.XLOOKUP($C114,'2) หลักการคำนวน Table'!$A$4:$A$36,
_xlfn.XLOOKUP(AS114,'2)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1200</v>
      </c>
      <c r="BF114" s="299" cm="1">
        <f t="array" ref="BF114">ROUND((_xlfn.XLOOKUP($C114,'2) หลักการคำนวน Table'!$A$4:$A$36,
_xlfn.XLOOKUP(AT114,'2)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1200</v>
      </c>
      <c r="BG114" s="299" cm="1">
        <f t="array" ref="BG114">ROUND((_xlfn.XLOOKUP($C114,'2) หลักการคำนวน Table'!$A$4:$A$36,
_xlfn.XLOOKUP(AU114,'2)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1200</v>
      </c>
      <c r="BH114" s="299" cm="1">
        <f t="array" ref="BH114">ROUND((_xlfn.XLOOKUP($C114,'2) หลักการคำนวน Table'!$A$4:$A$36,
_xlfn.XLOOKUP(AV114,'2)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1200</v>
      </c>
      <c r="BI114" s="299" cm="1">
        <f t="array" ref="BI114">ROUND((_xlfn.XLOOKUP($C114,'2) หลักการคำนวน Table'!$A$4:$A$36,
_xlfn.XLOOKUP(AW114,'2)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1200</v>
      </c>
      <c r="BJ114" s="299" cm="1">
        <f t="array" ref="BJ114">ROUND((_xlfn.XLOOKUP($C114,'2) หลักการคำนวน Table'!$A$4:$A$36,
_xlfn.XLOOKUP(AX114,'2)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1200</v>
      </c>
      <c r="BK114" s="299" cm="1">
        <f t="array" ref="BK114">ROUND((_xlfn.XLOOKUP($C114,'2) หลักการคำนวน Table'!$A$4:$A$36,
_xlfn.XLOOKUP(AY114,'2) หลักการคำนวน Table'!$C$3:$K$3,'2) หลักการคำนวน Table'!$C$4:$K$36,,-1)))*(_xlfn.XLOOKUP($C114,'2) หลักการคำนวน Table'!$A$4:$A$36, _xlfn.XLOOKUP($B114,'2) หลักการคำนวน Table'!$L$3:$Z$3,'2) หลักการคำนวน Table'!$L$4:$Z$36))),0)</f>
        <v>1200</v>
      </c>
      <c r="BM114" s="295">
        <v>222213</v>
      </c>
      <c r="BN114" s="300">
        <v>1733</v>
      </c>
    </row>
    <row r="115" spans="1:66" ht="14.7" customHeight="1" x14ac:dyDescent="0.25">
      <c r="A115" s="126">
        <f>VLOOKUP(C115,ASTBase!E:S,13,FALSE)</f>
        <v>222237</v>
      </c>
      <c r="B115" s="126" t="s">
        <v>412</v>
      </c>
      <c r="C115" s="232" t="s">
        <v>399</v>
      </c>
      <c r="D115" s="127">
        <v>210000</v>
      </c>
      <c r="E115" s="127">
        <v>200000</v>
      </c>
      <c r="F115" s="127">
        <v>350000</v>
      </c>
      <c r="G115" s="127">
        <v>205000</v>
      </c>
      <c r="H115" s="127">
        <v>200000</v>
      </c>
      <c r="I115" s="127">
        <v>180000</v>
      </c>
      <c r="J115" s="127">
        <v>210000</v>
      </c>
      <c r="K115" s="127">
        <v>200000</v>
      </c>
      <c r="L115" s="127">
        <v>200000</v>
      </c>
      <c r="M115" s="127">
        <v>200000</v>
      </c>
      <c r="N115" s="127">
        <v>205000</v>
      </c>
      <c r="O115" s="127">
        <v>440000</v>
      </c>
      <c r="P115" s="126">
        <v>222489.99999634727</v>
      </c>
      <c r="AB115" s="297">
        <f>IFERROR(IF(VLOOKUP($B115,Shortage!$A:$M,AB$2,FALSE)="Shortage",1,IFERROR(ROUND(P115/D115,4),0)),IFERROR(ROUND(P115/D115,4),0))</f>
        <v>1</v>
      </c>
      <c r="AC115" s="297">
        <f>IFERROR(IF(VLOOKUP($B115,Shortage!$A:$M,AC$2,FALSE)="Shortage",1,IFERROR(ROUND(Q115/E115,4),0)),IFERROR(ROUND(Q115/E115,4),0))</f>
        <v>0</v>
      </c>
      <c r="AD115" s="297">
        <f>IFERROR(IF(VLOOKUP($B115,Shortage!$A:$M,AD$2,FALSE)="Shortage",1,IFERROR(ROUND(R115/F115,4),0)),IFERROR(ROUND(R115/F115,4),0))</f>
        <v>0</v>
      </c>
      <c r="AE115" s="297">
        <f>IFERROR(IF(VLOOKUP($B115,Shortage!$A:$M,AE$2,FALSE)="Shortage",1,IFERROR(ROUND(S115/G115,4),0)),IFERROR(ROUND(S115/G115,4),0))</f>
        <v>0</v>
      </c>
      <c r="AF115" s="297">
        <f>IFERROR(IF(VLOOKUP($B115,Shortage!$A:$M,AF$2,FALSE)="Shortage",1,IFERROR(ROUND(T115/H115,4),0)),IFERROR(ROUND(T115/H115,4),0))</f>
        <v>0</v>
      </c>
      <c r="AG115" s="297">
        <f>IFERROR(IF(VLOOKUP($B115,Shortage!$A:$M,AG$2,FALSE)="Shortage",1,IFERROR(ROUND(U115/I115,4),0)),IFERROR(ROUND(U115/I115,4),0))</f>
        <v>0</v>
      </c>
      <c r="AH115" s="297">
        <f>IFERROR(IF(VLOOKUP($B115,Shortage!$A:$M,AH$2,FALSE)="Shortage",1,IFERROR(ROUND(V115/J115,4),0)),IFERROR(ROUND(V115/J115,4),0))</f>
        <v>0</v>
      </c>
      <c r="AI115" s="297">
        <f>IFERROR(IF(VLOOKUP($B115,Shortage!$A:$M,AI$2,FALSE)="Shortage",1,IFERROR(ROUND(W115/K115,4),0)),IFERROR(ROUND(W115/K115,4),0))</f>
        <v>0</v>
      </c>
      <c r="AJ115" s="297">
        <f>IFERROR(IF(VLOOKUP($B115,Shortage!$A:$M,AJ$2,FALSE)="Shortage",1,IFERROR(ROUND(X115/L115,4),0)),IFERROR(ROUND(X115/L115,4),0))</f>
        <v>0</v>
      </c>
      <c r="AK115" s="297">
        <f>IFERROR(IF(VLOOKUP($B115,Shortage!$A:$M,AK$2,FALSE)="Shortage",1,IFERROR(ROUND(Y115/M115,4),0)),IFERROR(ROUND(Y115/M115,4),0))</f>
        <v>0</v>
      </c>
      <c r="AL115" s="297">
        <f>IFERROR(IF(VLOOKUP($B115,Shortage!$A:$M,AL$2,FALSE)="Shortage",1,IFERROR(ROUND(Z115/N115,4),0)),IFERROR(ROUND(Z115/N115,4),0))</f>
        <v>0</v>
      </c>
      <c r="AM115" s="297">
        <f>IFERROR(IF(VLOOKUP($B115,Shortage!$A:$M,AM$2,FALSE)="Shortage",1,IFERROR(ROUND(AA115/O115,4),0)),IFERROR(ROUND(AA115/O115,4),0))</f>
        <v>0</v>
      </c>
      <c r="AN115" s="298">
        <f>IFERROR(_xlfn.XLOOKUP(AB115,'2) หลักการคำนวน Table'!$C$3:$K$3,'2) หลักการคำนวน Table'!$C$3:$K$3,,1),INDEX('2) หลักการคำนวน Table'!$C$3:$K$3,1))</f>
        <v>1</v>
      </c>
      <c r="AO115" s="298">
        <f>IFERROR(
  _xlfn.XLOOKUP(AC115,'2) หลักการคำนวน Table'!$C$3:$K$3,'2) หลักการคำนวน Table'!$C$3:$K$3,,1),
  IF(AC115&lt;MIN('2) หลักการคำนวน Table'!$C$3:$K$3),
     MIN('2) หลักการคำนวน Table'!$C$3:$K$3),
     MAX('2) หลักการคำนวน Table'!$C$3:$K$3)
  )
)</f>
        <v>0.9</v>
      </c>
      <c r="AP115" s="298">
        <f>IFERROR(
  _xlfn.XLOOKUP(AD115,'2) หลักการคำนวน Table'!$C$3:$K$3,'2) หลักการคำนวน Table'!$C$3:$K$3,,1),
  IF(AD115&lt;MIN('2) หลักการคำนวน Table'!$C$3:$K$3),
     MIN('2) หลักการคำนวน Table'!$C$3:$K$3),
     MAX('2) หลักการคำนวน Table'!$C$3:$K$3)
  )
)</f>
        <v>0.9</v>
      </c>
      <c r="AQ115" s="298">
        <f>IFERROR(
  _xlfn.XLOOKUP(AE115,'2) หลักการคำนวน Table'!$C$3:$K$3,'2) หลักการคำนวน Table'!$C$3:$K$3,,1),
  IF(AE115&lt;MIN('2) หลักการคำนวน Table'!$C$3:$K$3),
     MIN('2) หลักการคำนวน Table'!$C$3:$K$3),
     MAX('2) หลักการคำนวน Table'!$C$3:$K$3)
  )
)</f>
        <v>0.9</v>
      </c>
      <c r="AR115" s="298">
        <f>IFERROR(
  _xlfn.XLOOKUP(AF115,'2) หลักการคำนวน Table'!$C$3:$K$3,'2) หลักการคำนวน Table'!$C$3:$K$3,,1),
  IF(AF115&lt;MIN('2) หลักการคำนวน Table'!$C$3:$K$3),
     MIN('2) หลักการคำนวน Table'!$C$3:$K$3),
     MAX('2) หลักการคำนวน Table'!$C$3:$K$3)
  )
)</f>
        <v>0.9</v>
      </c>
      <c r="AS115" s="298">
        <f>IFERROR(
  _xlfn.XLOOKUP(AG115,'2) หลักการคำนวน Table'!$C$3:$K$3,'2) หลักการคำนวน Table'!$C$3:$K$3,,1),
  IF(AG115&lt;MIN('2) หลักการคำนวน Table'!$C$3:$K$3),
     MIN('2) หลักการคำนวน Table'!$C$3:$K$3),
     MAX('2) หลักการคำนวน Table'!$C$3:$K$3)
  )
)</f>
        <v>0.9</v>
      </c>
      <c r="AT115" s="298">
        <f>IFERROR(
  _xlfn.XLOOKUP(AH115,'2) หลักการคำนวน Table'!$C$3:$K$3,'2) หลักการคำนวน Table'!$C$3:$K$3,,1),
  IF(AH115&lt;MIN('2) หลักการคำนวน Table'!$C$3:$K$3),
     MIN('2) หลักการคำนวน Table'!$C$3:$K$3),
     MAX('2) หลักการคำนวน Table'!$C$3:$K$3)
  )
)</f>
        <v>0.9</v>
      </c>
      <c r="AU115" s="298">
        <f>IFERROR(
  _xlfn.XLOOKUP(AI115,'2) หลักการคำนวน Table'!$C$3:$K$3,'2) หลักการคำนวน Table'!$C$3:$K$3,,1),
  IF(AI115&lt;MIN('2) หลักการคำนวน Table'!$C$3:$K$3),
     MIN('2) หลักการคำนวน Table'!$C$3:$K$3),
     MAX('2) หลักการคำนวน Table'!$C$3:$K$3)
  )
)</f>
        <v>0.9</v>
      </c>
      <c r="AV115" s="298">
        <f>IFERROR(
  _xlfn.XLOOKUP(AJ115,'2) หลักการคำนวน Table'!$C$3:$K$3,'2) หลักการคำนวน Table'!$C$3:$K$3,,1),
  IF(AJ115&lt;MIN('2) หลักการคำนวน Table'!$C$3:$K$3),
     MIN('2) หลักการคำนวน Table'!$C$3:$K$3),
     MAX('2) หลักการคำนวน Table'!$C$3:$K$3)
  )
)</f>
        <v>0.9</v>
      </c>
      <c r="AW115" s="298">
        <f>IFERROR(
  _xlfn.XLOOKUP(AK115,'2) หลักการคำนวน Table'!$C$3:$K$3,'2) หลักการคำนวน Table'!$C$3:$K$3,,1),
  IF(AK115&lt;MIN('2) หลักการคำนวน Table'!$C$3:$K$3),
     MIN('2) หลักการคำนวน Table'!$C$3:$K$3),
     MAX('2) หลักการคำนวน Table'!$C$3:$K$3)
  )
)</f>
        <v>0.9</v>
      </c>
      <c r="AX115" s="298">
        <f>IFERROR(
  _xlfn.XLOOKUP(AL115,'2) หลักการคำนวน Table'!$C$3:$K$3,'2) หลักการคำนวน Table'!$C$3:$K$3,,1),
  IF(AL115&lt;MIN('2) หลักการคำนวน Table'!$C$3:$K$3),
     MIN('2) หลักการคำนวน Table'!$C$3:$K$3),
     MAX('2) หลักการคำนวน Table'!$C$3:$K$3)
  )
)</f>
        <v>0.9</v>
      </c>
      <c r="AY115" s="298">
        <f>IFERROR(
  _xlfn.XLOOKUP(AM115,'2) หลักการคำนวน Table'!$C$3:$K$3,'2) หลักการคำนวน Table'!$C$3:$K$3,,1),
  IF(AM115&lt;MIN('2) หลักการคำนวน Table'!$C$3:$K$3),
     MIN('2) หลักการคำนวน Table'!$C$3:$K$3),
     MAX('2) หลักการคำนวน Table'!$C$3:$K$3)
  )
)</f>
        <v>0.9</v>
      </c>
      <c r="AZ115" s="299" cm="1">
        <f t="array" ref="AZ115">ROUND((_xlfn.XLOOKUP($C115,'2) หลักการคำนวน Table'!$A$4:$A$36,
_xlfn.XLOOKUP(AN115,'2)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1111</v>
      </c>
      <c r="BA115" s="299" cm="1">
        <f t="array" ref="BA115">ROUND((_xlfn.XLOOKUP($C115,'2) หลักการคำนวน Table'!$A$4:$A$36,
_xlfn.XLOOKUP(AO115,'2)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1000</v>
      </c>
      <c r="BB115" s="299" cm="1">
        <f t="array" ref="BB115">ROUND((_xlfn.XLOOKUP($C115,'2) หลักการคำนวน Table'!$A$4:$A$36,
_xlfn.XLOOKUP(AP115,'2)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1000</v>
      </c>
      <c r="BC115" s="299" cm="1">
        <f t="array" ref="BC115">ROUND((_xlfn.XLOOKUP($C115,'2) หลักการคำนวน Table'!$A$4:$A$36,
_xlfn.XLOOKUP(AQ115,'2)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1000</v>
      </c>
      <c r="BD115" s="299" cm="1">
        <f t="array" ref="BD115">ROUND((_xlfn.XLOOKUP($C115,'2) หลักการคำนวน Table'!$A$4:$A$36,
_xlfn.XLOOKUP(AR115,'2)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1000</v>
      </c>
      <c r="BE115" s="299" cm="1">
        <f t="array" ref="BE115">ROUND((_xlfn.XLOOKUP($C115,'2) หลักการคำนวน Table'!$A$4:$A$36,
_xlfn.XLOOKUP(AS115,'2)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1000</v>
      </c>
      <c r="BF115" s="299" cm="1">
        <f t="array" ref="BF115">ROUND((_xlfn.XLOOKUP($C115,'2) หลักการคำนวน Table'!$A$4:$A$36,
_xlfn.XLOOKUP(AT115,'2)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1000</v>
      </c>
      <c r="BG115" s="299" cm="1">
        <f t="array" ref="BG115">ROUND((_xlfn.XLOOKUP($C115,'2) หลักการคำนวน Table'!$A$4:$A$36,
_xlfn.XLOOKUP(AU115,'2)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1000</v>
      </c>
      <c r="BH115" s="299" cm="1">
        <f t="array" ref="BH115">ROUND((_xlfn.XLOOKUP($C115,'2) หลักการคำนวน Table'!$A$4:$A$36,
_xlfn.XLOOKUP(AV115,'2)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1000</v>
      </c>
      <c r="BI115" s="299" cm="1">
        <f t="array" ref="BI115">ROUND((_xlfn.XLOOKUP($C115,'2) หลักการคำนวน Table'!$A$4:$A$36,
_xlfn.XLOOKUP(AW115,'2)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1000</v>
      </c>
      <c r="BJ115" s="299" cm="1">
        <f t="array" ref="BJ115">ROUND((_xlfn.XLOOKUP($C115,'2) หลักการคำนวน Table'!$A$4:$A$36,
_xlfn.XLOOKUP(AX115,'2)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1000</v>
      </c>
      <c r="BK115" s="299" cm="1">
        <f t="array" ref="BK115">ROUND((_xlfn.XLOOKUP($C115,'2) หลักการคำนวน Table'!$A$4:$A$36,
_xlfn.XLOOKUP(AY115,'2) หลักการคำนวน Table'!$C$3:$K$3,'2) หลักการคำนวน Table'!$C$4:$K$36,,-1)))*(_xlfn.XLOOKUP($C115,'2) หลักการคำนวน Table'!$A$4:$A$36, _xlfn.XLOOKUP($B115,'2) หลักการคำนวน Table'!$L$3:$Z$3,'2) หลักการคำนวน Table'!$L$4:$Z$36))),0)</f>
        <v>1000</v>
      </c>
      <c r="BM115" s="295">
        <v>222213</v>
      </c>
      <c r="BN115" s="300">
        <v>1111</v>
      </c>
    </row>
    <row r="116" spans="1:66" ht="14.7" customHeight="1" x14ac:dyDescent="0.25">
      <c r="A116" s="126">
        <f>VLOOKUP(C116,ASTBase!E:S,13,FALSE)</f>
        <v>222237</v>
      </c>
      <c r="B116" s="126" t="s">
        <v>419</v>
      </c>
      <c r="C116" s="232" t="s">
        <v>399</v>
      </c>
      <c r="D116" s="127">
        <v>250</v>
      </c>
      <c r="E116" s="127">
        <v>250</v>
      </c>
      <c r="F116" s="127">
        <v>250</v>
      </c>
      <c r="G116" s="127">
        <v>300</v>
      </c>
      <c r="H116" s="127">
        <v>300</v>
      </c>
      <c r="I116" s="127">
        <v>300</v>
      </c>
      <c r="J116" s="127">
        <v>300</v>
      </c>
      <c r="K116" s="127">
        <v>300</v>
      </c>
      <c r="L116" s="127">
        <v>300</v>
      </c>
      <c r="M116" s="127">
        <v>300</v>
      </c>
      <c r="N116" s="127">
        <v>300</v>
      </c>
      <c r="O116" s="127">
        <v>300</v>
      </c>
      <c r="P116" s="126">
        <v>133</v>
      </c>
      <c r="AB116" s="297">
        <f>IFERROR(IF(VLOOKUP($B116,Shortage!$A:$M,AB$2,FALSE)="Shortage",1,IFERROR(ROUND(P116/D116,4),0)),IFERROR(ROUND(P116/D116,4),0))</f>
        <v>0.53200000000000003</v>
      </c>
      <c r="AC116" s="297">
        <f>IFERROR(IF(VLOOKUP($B116,Shortage!$A:$M,AC$2,FALSE)="Shortage",1,IFERROR(ROUND(Q116/E116,4),0)),IFERROR(ROUND(Q116/E116,4),0))</f>
        <v>0</v>
      </c>
      <c r="AD116" s="297">
        <f>IFERROR(IF(VLOOKUP($B116,Shortage!$A:$M,AD$2,FALSE)="Shortage",1,IFERROR(ROUND(R116/F116,4),0)),IFERROR(ROUND(R116/F116,4),0))</f>
        <v>0</v>
      </c>
      <c r="AE116" s="297">
        <f>IFERROR(IF(VLOOKUP($B116,Shortage!$A:$M,AE$2,FALSE)="Shortage",1,IFERROR(ROUND(S116/G116,4),0)),IFERROR(ROUND(S116/G116,4),0))</f>
        <v>0</v>
      </c>
      <c r="AF116" s="297">
        <f>IFERROR(IF(VLOOKUP($B116,Shortage!$A:$M,AF$2,FALSE)="Shortage",1,IFERROR(ROUND(T116/H116,4),0)),IFERROR(ROUND(T116/H116,4),0))</f>
        <v>0</v>
      </c>
      <c r="AG116" s="297">
        <f>IFERROR(IF(VLOOKUP($B116,Shortage!$A:$M,AG$2,FALSE)="Shortage",1,IFERROR(ROUND(U116/I116,4),0)),IFERROR(ROUND(U116/I116,4),0))</f>
        <v>0</v>
      </c>
      <c r="AH116" s="297">
        <f>IFERROR(IF(VLOOKUP($B116,Shortage!$A:$M,AH$2,FALSE)="Shortage",1,IFERROR(ROUND(V116/J116,4),0)),IFERROR(ROUND(V116/J116,4),0))</f>
        <v>0</v>
      </c>
      <c r="AI116" s="297">
        <f>IFERROR(IF(VLOOKUP($B116,Shortage!$A:$M,AI$2,FALSE)="Shortage",1,IFERROR(ROUND(W116/K116,4),0)),IFERROR(ROUND(W116/K116,4),0))</f>
        <v>0</v>
      </c>
      <c r="AJ116" s="297">
        <f>IFERROR(IF(VLOOKUP($B116,Shortage!$A:$M,AJ$2,FALSE)="Shortage",1,IFERROR(ROUND(X116/L116,4),0)),IFERROR(ROUND(X116/L116,4),0))</f>
        <v>0</v>
      </c>
      <c r="AK116" s="297">
        <f>IFERROR(IF(VLOOKUP($B116,Shortage!$A:$M,AK$2,FALSE)="Shortage",1,IFERROR(ROUND(Y116/M116,4),0)),IFERROR(ROUND(Y116/M116,4),0))</f>
        <v>0</v>
      </c>
      <c r="AL116" s="297">
        <f>IFERROR(IF(VLOOKUP($B116,Shortage!$A:$M,AL$2,FALSE)="Shortage",1,IFERROR(ROUND(Z116/N116,4),0)),IFERROR(ROUND(Z116/N116,4),0))</f>
        <v>0</v>
      </c>
      <c r="AM116" s="297">
        <f>IFERROR(IF(VLOOKUP($B116,Shortage!$A:$M,AM$2,FALSE)="Shortage",1,IFERROR(ROUND(AA116/O116,4),0)),IFERROR(ROUND(AA116/O116,4),0))</f>
        <v>0</v>
      </c>
      <c r="AN116" s="298">
        <f>IFERROR(_xlfn.XLOOKUP(AB116,'2) หลักการคำนวน Table'!$C$3:$K$3,'2) หลักการคำนวน Table'!$C$3:$K$3,,1),INDEX('2) หลักการคำนวน Table'!$C$3:$K$3,1))</f>
        <v>0.9</v>
      </c>
      <c r="AO116" s="298">
        <f>IFERROR(
  _xlfn.XLOOKUP(AC116,'2) หลักการคำนวน Table'!$C$3:$K$3,'2) หลักการคำนวน Table'!$C$3:$K$3,,1),
  IF(AC116&lt;MIN('2) หลักการคำนวน Table'!$C$3:$K$3),
     MIN('2) หลักการคำนวน Table'!$C$3:$K$3),
     MAX('2) หลักการคำนวน Table'!$C$3:$K$3)
  )
)</f>
        <v>0.9</v>
      </c>
      <c r="AP116" s="298">
        <f>IFERROR(
  _xlfn.XLOOKUP(AD116,'2) หลักการคำนวน Table'!$C$3:$K$3,'2) หลักการคำนวน Table'!$C$3:$K$3,,1),
  IF(AD116&lt;MIN('2) หลักการคำนวน Table'!$C$3:$K$3),
     MIN('2) หลักการคำนวน Table'!$C$3:$K$3),
     MAX('2) หลักการคำนวน Table'!$C$3:$K$3)
  )
)</f>
        <v>0.9</v>
      </c>
      <c r="AQ116" s="298">
        <f>IFERROR(
  _xlfn.XLOOKUP(AE116,'2) หลักการคำนวน Table'!$C$3:$K$3,'2) หลักการคำนวน Table'!$C$3:$K$3,,1),
  IF(AE116&lt;MIN('2) หลักการคำนวน Table'!$C$3:$K$3),
     MIN('2) หลักการคำนวน Table'!$C$3:$K$3),
     MAX('2) หลักการคำนวน Table'!$C$3:$K$3)
  )
)</f>
        <v>0.9</v>
      </c>
      <c r="AR116" s="298">
        <f>IFERROR(
  _xlfn.XLOOKUP(AF116,'2) หลักการคำนวน Table'!$C$3:$K$3,'2) หลักการคำนวน Table'!$C$3:$K$3,,1),
  IF(AF116&lt;MIN('2) หลักการคำนวน Table'!$C$3:$K$3),
     MIN('2) หลักการคำนวน Table'!$C$3:$K$3),
     MAX('2) หลักการคำนวน Table'!$C$3:$K$3)
  )
)</f>
        <v>0.9</v>
      </c>
      <c r="AS116" s="298">
        <f>IFERROR(
  _xlfn.XLOOKUP(AG116,'2) หลักการคำนวน Table'!$C$3:$K$3,'2) หลักการคำนวน Table'!$C$3:$K$3,,1),
  IF(AG116&lt;MIN('2) หลักการคำนวน Table'!$C$3:$K$3),
     MIN('2) หลักการคำนวน Table'!$C$3:$K$3),
     MAX('2) หลักการคำนวน Table'!$C$3:$K$3)
  )
)</f>
        <v>0.9</v>
      </c>
      <c r="AT116" s="298">
        <f>IFERROR(
  _xlfn.XLOOKUP(AH116,'2) หลักการคำนวน Table'!$C$3:$K$3,'2) หลักการคำนวน Table'!$C$3:$K$3,,1),
  IF(AH116&lt;MIN('2) หลักการคำนวน Table'!$C$3:$K$3),
     MIN('2) หลักการคำนวน Table'!$C$3:$K$3),
     MAX('2) หลักการคำนวน Table'!$C$3:$K$3)
  )
)</f>
        <v>0.9</v>
      </c>
      <c r="AU116" s="298">
        <f>IFERROR(
  _xlfn.XLOOKUP(AI116,'2) หลักการคำนวน Table'!$C$3:$K$3,'2) หลักการคำนวน Table'!$C$3:$K$3,,1),
  IF(AI116&lt;MIN('2) หลักการคำนวน Table'!$C$3:$K$3),
     MIN('2) หลักการคำนวน Table'!$C$3:$K$3),
     MAX('2) หลักการคำนวน Table'!$C$3:$K$3)
  )
)</f>
        <v>0.9</v>
      </c>
      <c r="AV116" s="298">
        <f>IFERROR(
  _xlfn.XLOOKUP(AJ116,'2) หลักการคำนวน Table'!$C$3:$K$3,'2) หลักการคำนวน Table'!$C$3:$K$3,,1),
  IF(AJ116&lt;MIN('2) หลักการคำนวน Table'!$C$3:$K$3),
     MIN('2) หลักการคำนวน Table'!$C$3:$K$3),
     MAX('2) หลักการคำนวน Table'!$C$3:$K$3)
  )
)</f>
        <v>0.9</v>
      </c>
      <c r="AW116" s="298">
        <f>IFERROR(
  _xlfn.XLOOKUP(AK116,'2) หลักการคำนวน Table'!$C$3:$K$3,'2) หลักการคำนวน Table'!$C$3:$K$3,,1),
  IF(AK116&lt;MIN('2) หลักการคำนวน Table'!$C$3:$K$3),
     MIN('2) หลักการคำนวน Table'!$C$3:$K$3),
     MAX('2) หลักการคำนวน Table'!$C$3:$K$3)
  )
)</f>
        <v>0.9</v>
      </c>
      <c r="AX116" s="298">
        <f>IFERROR(
  _xlfn.XLOOKUP(AL116,'2) หลักการคำนวน Table'!$C$3:$K$3,'2) หลักการคำนวน Table'!$C$3:$K$3,,1),
  IF(AL116&lt;MIN('2) หลักการคำนวน Table'!$C$3:$K$3),
     MIN('2) หลักการคำนวน Table'!$C$3:$K$3),
     MAX('2) หลักการคำนวน Table'!$C$3:$K$3)
  )
)</f>
        <v>0.9</v>
      </c>
      <c r="AY116" s="298">
        <f>IFERROR(
  _xlfn.XLOOKUP(AM116,'2) หลักการคำนวน Table'!$C$3:$K$3,'2) หลักการคำนวน Table'!$C$3:$K$3,,1),
  IF(AM116&lt;MIN('2) หลักการคำนวน Table'!$C$3:$K$3),
     MIN('2) หลักการคำนวน Table'!$C$3:$K$3),
     MAX('2) หลักการคำนวน Table'!$C$3:$K$3)
  )
)</f>
        <v>0.9</v>
      </c>
      <c r="AZ116" s="299" cm="1">
        <f t="array" ref="AZ116">ROUND((_xlfn.XLOOKUP($C116,'2) หลักการคำนวน Table'!$A$4:$A$36,
_xlfn.XLOOKUP(AN116,'2)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A116" s="299" cm="1">
        <f t="array" ref="BA116">ROUND((_xlfn.XLOOKUP($C116,'2) หลักการคำนวน Table'!$A$4:$A$36,
_xlfn.XLOOKUP(AO116,'2)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B116" s="299" cm="1">
        <f t="array" ref="BB116">ROUND((_xlfn.XLOOKUP($C116,'2) หลักการคำนวน Table'!$A$4:$A$36,
_xlfn.XLOOKUP(AP116,'2)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C116" s="299" cm="1">
        <f t="array" ref="BC116">ROUND((_xlfn.XLOOKUP($C116,'2) หลักการคำนวน Table'!$A$4:$A$36,
_xlfn.XLOOKUP(AQ116,'2)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D116" s="299" cm="1">
        <f t="array" ref="BD116">ROUND((_xlfn.XLOOKUP($C116,'2) หลักการคำนวน Table'!$A$4:$A$36,
_xlfn.XLOOKUP(AR116,'2)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E116" s="299" cm="1">
        <f t="array" ref="BE116">ROUND((_xlfn.XLOOKUP($C116,'2) หลักการคำนวน Table'!$A$4:$A$36,
_xlfn.XLOOKUP(AS116,'2)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F116" s="299" cm="1">
        <f t="array" ref="BF116">ROUND((_xlfn.XLOOKUP($C116,'2) หลักการคำนวน Table'!$A$4:$A$36,
_xlfn.XLOOKUP(AT116,'2)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G116" s="299" cm="1">
        <f t="array" ref="BG116">ROUND((_xlfn.XLOOKUP($C116,'2) หลักการคำนวน Table'!$A$4:$A$36,
_xlfn.XLOOKUP(AU116,'2)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H116" s="299" cm="1">
        <f t="array" ref="BH116">ROUND((_xlfn.XLOOKUP($C116,'2) หลักการคำนวน Table'!$A$4:$A$36,
_xlfn.XLOOKUP(AV116,'2)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I116" s="299" cm="1">
        <f t="array" ref="BI116">ROUND((_xlfn.XLOOKUP($C116,'2) หลักการคำนวน Table'!$A$4:$A$36,
_xlfn.XLOOKUP(AW116,'2)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J116" s="299" cm="1">
        <f t="array" ref="BJ116">ROUND((_xlfn.XLOOKUP($C116,'2) หลักการคำนวน Table'!$A$4:$A$36,
_xlfn.XLOOKUP(AX116,'2)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K116" s="299" cm="1">
        <f t="array" ref="BK116">ROUND((_xlfn.XLOOKUP($C116,'2) หลักการคำนวน Table'!$A$4:$A$36,
_xlfn.XLOOKUP(AY116,'2) หลักการคำนวน Table'!$C$3:$K$3,'2) หลักการคำนวน Table'!$C$4:$K$36,,-1)))*(_xlfn.XLOOKUP($C116,'2) หลักการคำนวน Table'!$A$4:$A$36, _xlfn.XLOOKUP($B116,'2) หลักการคำนวน Table'!$L$3:$Z$3,'2) หลักการคำนวน Table'!$L$4:$Z$36))),0)</f>
        <v>100</v>
      </c>
      <c r="BL116" s="295"/>
      <c r="BM116" s="295">
        <v>222213</v>
      </c>
      <c r="BN116" s="300">
        <v>100</v>
      </c>
    </row>
    <row r="117" spans="1:66" ht="14.7" customHeight="1" x14ac:dyDescent="0.25">
      <c r="A117" s="126">
        <f>VLOOKUP(C117,ASTBase!E:S,13,FALSE)</f>
        <v>222237</v>
      </c>
      <c r="B117" s="126" t="s">
        <v>405</v>
      </c>
      <c r="C117" s="232" t="s">
        <v>398</v>
      </c>
      <c r="D117" s="296">
        <v>322976.28499999997</v>
      </c>
      <c r="E117" s="296">
        <v>311409.16199999995</v>
      </c>
      <c r="F117" s="296">
        <v>395000</v>
      </c>
      <c r="G117" s="296">
        <v>308423.62199999997</v>
      </c>
      <c r="H117" s="296">
        <v>315267.5500000001</v>
      </c>
      <c r="I117" s="296">
        <v>303788.74199999997</v>
      </c>
      <c r="J117" s="296">
        <v>305704.65999999997</v>
      </c>
      <c r="K117" s="296">
        <v>333371.32500000007</v>
      </c>
      <c r="L117" s="296">
        <v>323072.47499999998</v>
      </c>
      <c r="M117" s="296">
        <v>322788.815</v>
      </c>
      <c r="N117" s="296">
        <v>316133.61999999994</v>
      </c>
      <c r="O117" s="296">
        <v>412064</v>
      </c>
      <c r="P117" s="295">
        <v>386106.50000000006</v>
      </c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  <c r="AA117" s="295"/>
      <c r="AB117" s="297">
        <f>IFERROR(IF(VLOOKUP($B117,Shortage!$A:$M,AB$2,FALSE)="Shortage",1,IFERROR(ROUND(P117/D117,4),0)),IFERROR(ROUND(P117/D117,4),0))</f>
        <v>1</v>
      </c>
      <c r="AC117" s="297">
        <f>IFERROR(IF(VLOOKUP($B117,Shortage!$A:$M,AC$2,FALSE)="Shortage",1,IFERROR(ROUND(Q117/E117,4),0)),IFERROR(ROUND(Q117/E117,4),0))</f>
        <v>0</v>
      </c>
      <c r="AD117" s="297">
        <f>IFERROR(IF(VLOOKUP($B117,Shortage!$A:$M,AD$2,FALSE)="Shortage",1,IFERROR(ROUND(R117/F117,4),0)),IFERROR(ROUND(R117/F117,4),0))</f>
        <v>0</v>
      </c>
      <c r="AE117" s="297">
        <f>IFERROR(IF(VLOOKUP($B117,Shortage!$A:$M,AE$2,FALSE)="Shortage",1,IFERROR(ROUND(S117/G117,4),0)),IFERROR(ROUND(S117/G117,4),0))</f>
        <v>0</v>
      </c>
      <c r="AF117" s="297">
        <f>IFERROR(IF(VLOOKUP($B117,Shortage!$A:$M,AF$2,FALSE)="Shortage",1,IFERROR(ROUND(T117/H117,4),0)),IFERROR(ROUND(T117/H117,4),0))</f>
        <v>0</v>
      </c>
      <c r="AG117" s="297">
        <f>IFERROR(IF(VLOOKUP($B117,Shortage!$A:$M,AG$2,FALSE)="Shortage",1,IFERROR(ROUND(U117/I117,4),0)),IFERROR(ROUND(U117/I117,4),0))</f>
        <v>0</v>
      </c>
      <c r="AH117" s="297">
        <f>IFERROR(IF(VLOOKUP($B117,Shortage!$A:$M,AH$2,FALSE)="Shortage",1,IFERROR(ROUND(V117/J117,4),0)),IFERROR(ROUND(V117/J117,4),0))</f>
        <v>0</v>
      </c>
      <c r="AI117" s="297">
        <f>IFERROR(IF(VLOOKUP($B117,Shortage!$A:$M,AI$2,FALSE)="Shortage",1,IFERROR(ROUND(W117/K117,4),0)),IFERROR(ROUND(W117/K117,4),0))</f>
        <v>0</v>
      </c>
      <c r="AJ117" s="297">
        <f>IFERROR(IF(VLOOKUP($B117,Shortage!$A:$M,AJ$2,FALSE)="Shortage",1,IFERROR(ROUND(X117/L117,4),0)),IFERROR(ROUND(X117/L117,4),0))</f>
        <v>0</v>
      </c>
      <c r="AK117" s="297">
        <f>IFERROR(IF(VLOOKUP($B117,Shortage!$A:$M,AK$2,FALSE)="Shortage",1,IFERROR(ROUND(Y117/M117,4),0)),IFERROR(ROUND(Y117/M117,4),0))</f>
        <v>0</v>
      </c>
      <c r="AL117" s="297">
        <f>IFERROR(IF(VLOOKUP($B117,Shortage!$A:$M,AL$2,FALSE)="Shortage",1,IFERROR(ROUND(Z117/N117,4),0)),IFERROR(ROUND(Z117/N117,4),0))</f>
        <v>0</v>
      </c>
      <c r="AM117" s="297">
        <f>IFERROR(IF(VLOOKUP($B117,Shortage!$A:$M,AM$2,FALSE)="Shortage",1,IFERROR(ROUND(AA117/O117,4),0)),IFERROR(ROUND(AA117/O117,4),0))</f>
        <v>0</v>
      </c>
      <c r="AN117" s="298">
        <f>IFERROR(_xlfn.XLOOKUP(AB117,'2) หลักการคำนวน Table'!$C$3:$K$3,'2) หลักการคำนวน Table'!$C$3:$K$3,,1),INDEX('2) หลักการคำนวน Table'!$C$3:$K$3,1))</f>
        <v>1</v>
      </c>
      <c r="AO117" s="298">
        <f>IFERROR(
  _xlfn.XLOOKUP(AC117,'2) หลักการคำนวน Table'!$C$3:$K$3,'2) หลักการคำนวน Table'!$C$3:$K$3,,1),
  IF(AC117&lt;MIN('2) หลักการคำนวน Table'!$C$3:$K$3),
     MIN('2) หลักการคำนวน Table'!$C$3:$K$3),
     MAX('2) หลักการคำนวน Table'!$C$3:$K$3)
  )
)</f>
        <v>0.9</v>
      </c>
      <c r="AP117" s="298">
        <f>IFERROR(
  _xlfn.XLOOKUP(AD117,'2) หลักการคำนวน Table'!$C$3:$K$3,'2) หลักการคำนวน Table'!$C$3:$K$3,,1),
  IF(AD117&lt;MIN('2) หลักการคำนวน Table'!$C$3:$K$3),
     MIN('2) หลักการคำนวน Table'!$C$3:$K$3),
     MAX('2) หลักการคำนวน Table'!$C$3:$K$3)
  )
)</f>
        <v>0.9</v>
      </c>
      <c r="AQ117" s="298">
        <f>IFERROR(
  _xlfn.XLOOKUP(AE117,'2) หลักการคำนวน Table'!$C$3:$K$3,'2) หลักการคำนวน Table'!$C$3:$K$3,,1),
  IF(AE117&lt;MIN('2) หลักการคำนวน Table'!$C$3:$K$3),
     MIN('2) หลักการคำนวน Table'!$C$3:$K$3),
     MAX('2) หลักการคำนวน Table'!$C$3:$K$3)
  )
)</f>
        <v>0.9</v>
      </c>
      <c r="AR117" s="298">
        <f>IFERROR(
  _xlfn.XLOOKUP(AF117,'2) หลักการคำนวน Table'!$C$3:$K$3,'2) หลักการคำนวน Table'!$C$3:$K$3,,1),
  IF(AF117&lt;MIN('2) หลักการคำนวน Table'!$C$3:$K$3),
     MIN('2) หลักการคำนวน Table'!$C$3:$K$3),
     MAX('2) หลักการคำนวน Table'!$C$3:$K$3)
  )
)</f>
        <v>0.9</v>
      </c>
      <c r="AS117" s="298">
        <f>IFERROR(
  _xlfn.XLOOKUP(AG117,'2) หลักการคำนวน Table'!$C$3:$K$3,'2) หลักการคำนวน Table'!$C$3:$K$3,,1),
  IF(AG117&lt;MIN('2) หลักการคำนวน Table'!$C$3:$K$3),
     MIN('2) หลักการคำนวน Table'!$C$3:$K$3),
     MAX('2) หลักการคำนวน Table'!$C$3:$K$3)
  )
)</f>
        <v>0.9</v>
      </c>
      <c r="AT117" s="298">
        <f>IFERROR(
  _xlfn.XLOOKUP(AH117,'2) หลักการคำนวน Table'!$C$3:$K$3,'2) หลักการคำนวน Table'!$C$3:$K$3,,1),
  IF(AH117&lt;MIN('2) หลักการคำนวน Table'!$C$3:$K$3),
     MIN('2) หลักการคำนวน Table'!$C$3:$K$3),
     MAX('2) หลักการคำนวน Table'!$C$3:$K$3)
  )
)</f>
        <v>0.9</v>
      </c>
      <c r="AU117" s="298">
        <f>IFERROR(
  _xlfn.XLOOKUP(AI117,'2) หลักการคำนวน Table'!$C$3:$K$3,'2) หลักการคำนวน Table'!$C$3:$K$3,,1),
  IF(AI117&lt;MIN('2) หลักการคำนวน Table'!$C$3:$K$3),
     MIN('2) หลักการคำนวน Table'!$C$3:$K$3),
     MAX('2) หลักการคำนวน Table'!$C$3:$K$3)
  )
)</f>
        <v>0.9</v>
      </c>
      <c r="AV117" s="298">
        <f>IFERROR(
  _xlfn.XLOOKUP(AJ117,'2) หลักการคำนวน Table'!$C$3:$K$3,'2) หลักการคำนวน Table'!$C$3:$K$3,,1),
  IF(AJ117&lt;MIN('2) หลักการคำนวน Table'!$C$3:$K$3),
     MIN('2) หลักการคำนวน Table'!$C$3:$K$3),
     MAX('2) หลักการคำนวน Table'!$C$3:$K$3)
  )
)</f>
        <v>0.9</v>
      </c>
      <c r="AW117" s="298">
        <f>IFERROR(
  _xlfn.XLOOKUP(AK117,'2) หลักการคำนวน Table'!$C$3:$K$3,'2) หลักการคำนวน Table'!$C$3:$K$3,,1),
  IF(AK117&lt;MIN('2) หลักการคำนวน Table'!$C$3:$K$3),
     MIN('2) หลักการคำนวน Table'!$C$3:$K$3),
     MAX('2) หลักการคำนวน Table'!$C$3:$K$3)
  )
)</f>
        <v>0.9</v>
      </c>
      <c r="AX117" s="298">
        <f>IFERROR(
  _xlfn.XLOOKUP(AL117,'2) หลักการคำนวน Table'!$C$3:$K$3,'2) หลักการคำนวน Table'!$C$3:$K$3,,1),
  IF(AL117&lt;MIN('2) หลักการคำนวน Table'!$C$3:$K$3),
     MIN('2) หลักการคำนวน Table'!$C$3:$K$3),
     MAX('2) หลักการคำนวน Table'!$C$3:$K$3)
  )
)</f>
        <v>0.9</v>
      </c>
      <c r="AY117" s="298">
        <f>IFERROR(
  _xlfn.XLOOKUP(AM117,'2) หลักการคำนวน Table'!$C$3:$K$3,'2) หลักการคำนวน Table'!$C$3:$K$3,,1),
  IF(AM117&lt;MIN('2) หลักการคำนวน Table'!$C$3:$K$3),
     MIN('2) หลักการคำนวน Table'!$C$3:$K$3),
     MAX('2) หลักการคำนวน Table'!$C$3:$K$3)
  )
)</f>
        <v>0.9</v>
      </c>
      <c r="AZ117" s="299" cm="1">
        <f t="array" ref="AZ117">ROUND((_xlfn.XLOOKUP($C117,'2) หลักการคำนวน Table'!$A$4:$A$36,
_xlfn.XLOOKUP(AN117,'2)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278</v>
      </c>
      <c r="BA117" s="299" cm="1">
        <f t="array" ref="BA117">ROUND((_xlfn.XLOOKUP($C117,'2) หลักการคำนวน Table'!$A$4:$A$36,
_xlfn.XLOOKUP(AO117,'2)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250</v>
      </c>
      <c r="BB117" s="299" cm="1">
        <f t="array" ref="BB117">ROUND((_xlfn.XLOOKUP($C117,'2) หลักการคำนวน Table'!$A$4:$A$36,
_xlfn.XLOOKUP(AP117,'2)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250</v>
      </c>
      <c r="BC117" s="299" cm="1">
        <f t="array" ref="BC117">ROUND((_xlfn.XLOOKUP($C117,'2) หลักการคำนวน Table'!$A$4:$A$36,
_xlfn.XLOOKUP(AQ117,'2)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250</v>
      </c>
      <c r="BD117" s="299" cm="1">
        <f t="array" ref="BD117">ROUND((_xlfn.XLOOKUP($C117,'2) หลักการคำนวน Table'!$A$4:$A$36,
_xlfn.XLOOKUP(AR117,'2)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250</v>
      </c>
      <c r="BE117" s="299" cm="1">
        <f t="array" ref="BE117">ROUND((_xlfn.XLOOKUP($C117,'2) หลักการคำนวน Table'!$A$4:$A$36,
_xlfn.XLOOKUP(AS117,'2)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250</v>
      </c>
      <c r="BF117" s="299" cm="1">
        <f t="array" ref="BF117">ROUND((_xlfn.XLOOKUP($C117,'2) หลักการคำนวน Table'!$A$4:$A$36,
_xlfn.XLOOKUP(AT117,'2)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250</v>
      </c>
      <c r="BG117" s="299" cm="1">
        <f t="array" ref="BG117">ROUND((_xlfn.XLOOKUP($C117,'2) หลักการคำนวน Table'!$A$4:$A$36,
_xlfn.XLOOKUP(AU117,'2)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250</v>
      </c>
      <c r="BH117" s="299" cm="1">
        <f t="array" ref="BH117">ROUND((_xlfn.XLOOKUP($C117,'2) หลักการคำนวน Table'!$A$4:$A$36,
_xlfn.XLOOKUP(AV117,'2)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250</v>
      </c>
      <c r="BI117" s="299" cm="1">
        <f t="array" ref="BI117">ROUND((_xlfn.XLOOKUP($C117,'2) หลักการคำนวน Table'!$A$4:$A$36,
_xlfn.XLOOKUP(AW117,'2)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250</v>
      </c>
      <c r="BJ117" s="299" cm="1">
        <f t="array" ref="BJ117">ROUND((_xlfn.XLOOKUP($C117,'2) หลักการคำนวน Table'!$A$4:$A$36,
_xlfn.XLOOKUP(AX117,'2)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250</v>
      </c>
      <c r="BK117" s="299" cm="1">
        <f t="array" ref="BK117">ROUND((_xlfn.XLOOKUP($C117,'2) หลักการคำนวน Table'!$A$4:$A$36,
_xlfn.XLOOKUP(AY117,'2) หลักการคำนวน Table'!$C$3:$K$3,'2) หลักการคำนวน Table'!$C$4:$K$36,,-1)))*(_xlfn.XLOOKUP($C117,'2) หลักการคำนวน Table'!$A$4:$A$36, _xlfn.XLOOKUP($B117,'2) หลักการคำนวน Table'!$L$3:$Z$3,'2) หลักการคำนวน Table'!$L$4:$Z$36))),0)</f>
        <v>250</v>
      </c>
      <c r="BL117" s="295"/>
      <c r="BM117" s="295">
        <v>222206</v>
      </c>
      <c r="BN117" s="300">
        <v>278</v>
      </c>
    </row>
    <row r="118" spans="1:66" ht="14.7" customHeight="1" x14ac:dyDescent="0.25">
      <c r="A118" s="126">
        <f>VLOOKUP(C118,ASTBase!E:S,13,FALSE)</f>
        <v>222237</v>
      </c>
      <c r="B118" s="126" t="s">
        <v>408</v>
      </c>
      <c r="C118" s="232" t="s">
        <v>398</v>
      </c>
      <c r="D118" s="296">
        <v>11000</v>
      </c>
      <c r="E118" s="296">
        <v>9000</v>
      </c>
      <c r="F118" s="296">
        <v>27000</v>
      </c>
      <c r="G118" s="296">
        <v>10000</v>
      </c>
      <c r="H118" s="296">
        <v>11000</v>
      </c>
      <c r="I118" s="296">
        <v>9000</v>
      </c>
      <c r="J118" s="296">
        <v>11000</v>
      </c>
      <c r="K118" s="296">
        <v>12000</v>
      </c>
      <c r="L118" s="296">
        <v>9500</v>
      </c>
      <c r="M118" s="296">
        <v>10000</v>
      </c>
      <c r="N118" s="296">
        <v>11000</v>
      </c>
      <c r="O118" s="296">
        <v>31500</v>
      </c>
      <c r="P118" s="295">
        <v>15603.840000000007</v>
      </c>
      <c r="Q118" s="295"/>
      <c r="R118" s="295"/>
      <c r="S118" s="295"/>
      <c r="T118" s="295"/>
      <c r="U118" s="295"/>
      <c r="V118" s="295"/>
      <c r="W118" s="295"/>
      <c r="X118" s="295"/>
      <c r="Y118" s="295"/>
      <c r="Z118" s="295"/>
      <c r="AA118" s="295"/>
      <c r="AB118" s="297">
        <f>IFERROR(IF(VLOOKUP($B118,Shortage!$A:$M,AB$2,FALSE)="Shortage",1,IFERROR(ROUND(P118/D118,4),0)),IFERROR(ROUND(P118/D118,4),0))</f>
        <v>1.4185000000000001</v>
      </c>
      <c r="AC118" s="297">
        <f>IFERROR(IF(VLOOKUP($B118,Shortage!$A:$M,AC$2,FALSE)="Shortage",1,IFERROR(ROUND(Q118/E118,4),0)),IFERROR(ROUND(Q118/E118,4),0))</f>
        <v>0</v>
      </c>
      <c r="AD118" s="297">
        <f>IFERROR(IF(VLOOKUP($B118,Shortage!$A:$M,AD$2,FALSE)="Shortage",1,IFERROR(ROUND(R118/F118,4),0)),IFERROR(ROUND(R118/F118,4),0))</f>
        <v>0</v>
      </c>
      <c r="AE118" s="297">
        <f>IFERROR(IF(VLOOKUP($B118,Shortage!$A:$M,AE$2,FALSE)="Shortage",1,IFERROR(ROUND(S118/G118,4),0)),IFERROR(ROUND(S118/G118,4),0))</f>
        <v>0</v>
      </c>
      <c r="AF118" s="297">
        <f>IFERROR(IF(VLOOKUP($B118,Shortage!$A:$M,AF$2,FALSE)="Shortage",1,IFERROR(ROUND(T118/H118,4),0)),IFERROR(ROUND(T118/H118,4),0))</f>
        <v>0</v>
      </c>
      <c r="AG118" s="297">
        <f>IFERROR(IF(VLOOKUP($B118,Shortage!$A:$M,AG$2,FALSE)="Shortage",1,IFERROR(ROUND(U118/I118,4),0)),IFERROR(ROUND(U118/I118,4),0))</f>
        <v>0</v>
      </c>
      <c r="AH118" s="297">
        <f>IFERROR(IF(VLOOKUP($B118,Shortage!$A:$M,AH$2,FALSE)="Shortage",1,IFERROR(ROUND(V118/J118,4),0)),IFERROR(ROUND(V118/J118,4),0))</f>
        <v>0</v>
      </c>
      <c r="AI118" s="297">
        <f>IFERROR(IF(VLOOKUP($B118,Shortage!$A:$M,AI$2,FALSE)="Shortage",1,IFERROR(ROUND(W118/K118,4),0)),IFERROR(ROUND(W118/K118,4),0))</f>
        <v>0</v>
      </c>
      <c r="AJ118" s="297">
        <f>IFERROR(IF(VLOOKUP($B118,Shortage!$A:$M,AJ$2,FALSE)="Shortage",1,IFERROR(ROUND(X118/L118,4),0)),IFERROR(ROUND(X118/L118,4),0))</f>
        <v>0</v>
      </c>
      <c r="AK118" s="297">
        <f>IFERROR(IF(VLOOKUP($B118,Shortage!$A:$M,AK$2,FALSE)="Shortage",1,IFERROR(ROUND(Y118/M118,4),0)),IFERROR(ROUND(Y118/M118,4),0))</f>
        <v>0</v>
      </c>
      <c r="AL118" s="297">
        <f>IFERROR(IF(VLOOKUP($B118,Shortage!$A:$M,AL$2,FALSE)="Shortage",1,IFERROR(ROUND(Z118/N118,4),0)),IFERROR(ROUND(Z118/N118,4),0))</f>
        <v>0</v>
      </c>
      <c r="AM118" s="297">
        <f>IFERROR(IF(VLOOKUP($B118,Shortage!$A:$M,AM$2,FALSE)="Shortage",1,IFERROR(ROUND(AA118/O118,4),0)),IFERROR(ROUND(AA118/O118,4),0))</f>
        <v>0</v>
      </c>
      <c r="AN118" s="298">
        <f>IFERROR(_xlfn.XLOOKUP(AB118,'2) หลักการคำนวน Table'!$C$3:$K$3,'2) หลักการคำนวน Table'!$C$3:$K$3,,1),INDEX('2) หลักการคำนวน Table'!$C$3:$K$3,1))</f>
        <v>20</v>
      </c>
      <c r="AO118" s="298">
        <f>IFERROR(
  _xlfn.XLOOKUP(AC118,'2) หลักการคำนวน Table'!$C$3:$K$3,'2) หลักการคำนวน Table'!$C$3:$K$3,,1),
  IF(AC118&lt;MIN('2) หลักการคำนวน Table'!$C$3:$K$3),
     MIN('2) หลักการคำนวน Table'!$C$3:$K$3),
     MAX('2) หลักการคำนวน Table'!$C$3:$K$3)
  )
)</f>
        <v>0.9</v>
      </c>
      <c r="AP118" s="298">
        <f>IFERROR(
  _xlfn.XLOOKUP(AD118,'2) หลักการคำนวน Table'!$C$3:$K$3,'2) หลักการคำนวน Table'!$C$3:$K$3,,1),
  IF(AD118&lt;MIN('2) หลักการคำนวน Table'!$C$3:$K$3),
     MIN('2) หลักการคำนวน Table'!$C$3:$K$3),
     MAX('2) หลักการคำนวน Table'!$C$3:$K$3)
  )
)</f>
        <v>0.9</v>
      </c>
      <c r="AQ118" s="298">
        <f>IFERROR(
  _xlfn.XLOOKUP(AE118,'2) หลักการคำนวน Table'!$C$3:$K$3,'2) หลักการคำนวน Table'!$C$3:$K$3,,1),
  IF(AE118&lt;MIN('2) หลักการคำนวน Table'!$C$3:$K$3),
     MIN('2) หลักการคำนวน Table'!$C$3:$K$3),
     MAX('2) หลักการคำนวน Table'!$C$3:$K$3)
  )
)</f>
        <v>0.9</v>
      </c>
      <c r="AR118" s="298">
        <f>IFERROR(
  _xlfn.XLOOKUP(AF118,'2) หลักการคำนวน Table'!$C$3:$K$3,'2) หลักการคำนวน Table'!$C$3:$K$3,,1),
  IF(AF118&lt;MIN('2) หลักการคำนวน Table'!$C$3:$K$3),
     MIN('2) หลักการคำนวน Table'!$C$3:$K$3),
     MAX('2) หลักการคำนวน Table'!$C$3:$K$3)
  )
)</f>
        <v>0.9</v>
      </c>
      <c r="AS118" s="298">
        <f>IFERROR(
  _xlfn.XLOOKUP(AG118,'2) หลักการคำนวน Table'!$C$3:$K$3,'2) หลักการคำนวน Table'!$C$3:$K$3,,1),
  IF(AG118&lt;MIN('2) หลักการคำนวน Table'!$C$3:$K$3),
     MIN('2) หลักการคำนวน Table'!$C$3:$K$3),
     MAX('2) หลักการคำนวน Table'!$C$3:$K$3)
  )
)</f>
        <v>0.9</v>
      </c>
      <c r="AT118" s="298">
        <f>IFERROR(
  _xlfn.XLOOKUP(AH118,'2) หลักการคำนวน Table'!$C$3:$K$3,'2) หลักการคำนวน Table'!$C$3:$K$3,,1),
  IF(AH118&lt;MIN('2) หลักการคำนวน Table'!$C$3:$K$3),
     MIN('2) หลักการคำนวน Table'!$C$3:$K$3),
     MAX('2) หลักการคำนวน Table'!$C$3:$K$3)
  )
)</f>
        <v>0.9</v>
      </c>
      <c r="AU118" s="298">
        <f>IFERROR(
  _xlfn.XLOOKUP(AI118,'2) หลักการคำนวน Table'!$C$3:$K$3,'2) หลักการคำนวน Table'!$C$3:$K$3,,1),
  IF(AI118&lt;MIN('2) หลักการคำนวน Table'!$C$3:$K$3),
     MIN('2) หลักการคำนวน Table'!$C$3:$K$3),
     MAX('2) หลักการคำนวน Table'!$C$3:$K$3)
  )
)</f>
        <v>0.9</v>
      </c>
      <c r="AV118" s="298">
        <f>IFERROR(
  _xlfn.XLOOKUP(AJ118,'2) หลักการคำนวน Table'!$C$3:$K$3,'2) หลักการคำนวน Table'!$C$3:$K$3,,1),
  IF(AJ118&lt;MIN('2) หลักการคำนวน Table'!$C$3:$K$3),
     MIN('2) หลักการคำนวน Table'!$C$3:$K$3),
     MAX('2) หลักการคำนวน Table'!$C$3:$K$3)
  )
)</f>
        <v>0.9</v>
      </c>
      <c r="AW118" s="298">
        <f>IFERROR(
  _xlfn.XLOOKUP(AK118,'2) หลักการคำนวน Table'!$C$3:$K$3,'2) หลักการคำนวน Table'!$C$3:$K$3,,1),
  IF(AK118&lt;MIN('2) หลักการคำนวน Table'!$C$3:$K$3),
     MIN('2) หลักการคำนวน Table'!$C$3:$K$3),
     MAX('2) หลักการคำนวน Table'!$C$3:$K$3)
  )
)</f>
        <v>0.9</v>
      </c>
      <c r="AX118" s="298">
        <f>IFERROR(
  _xlfn.XLOOKUP(AL118,'2) หลักการคำนวน Table'!$C$3:$K$3,'2) หลักการคำนวน Table'!$C$3:$K$3,,1),
  IF(AL118&lt;MIN('2) หลักการคำนวน Table'!$C$3:$K$3),
     MIN('2) หลักการคำนวน Table'!$C$3:$K$3),
     MAX('2) หลักการคำนวน Table'!$C$3:$K$3)
  )
)</f>
        <v>0.9</v>
      </c>
      <c r="AY118" s="298">
        <f>IFERROR(
  _xlfn.XLOOKUP(AM118,'2) หลักการคำนวน Table'!$C$3:$K$3,'2) หลักการคำนวน Table'!$C$3:$K$3,,1),
  IF(AM118&lt;MIN('2) หลักการคำนวน Table'!$C$3:$K$3),
     MIN('2) หลักการคำนวน Table'!$C$3:$K$3),
     MAX('2) หลักการคำนวน Table'!$C$3:$K$3)
  )
)</f>
        <v>0.9</v>
      </c>
      <c r="AZ118" s="299" cm="1">
        <f t="array" ref="AZ118">ROUND((_xlfn.XLOOKUP($C118,'2) หลักการคำนวน Table'!$A$4:$A$36,
_xlfn.XLOOKUP(AN118,'2)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602</v>
      </c>
      <c r="BA118" s="299" cm="1">
        <f t="array" ref="BA118">ROUND((_xlfn.XLOOKUP($C118,'2) หลักการคำนวน Table'!$A$4:$A$36,
_xlfn.XLOOKUP(AO118,'2)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417</v>
      </c>
      <c r="BB118" s="299" cm="1">
        <f t="array" ref="BB118">ROUND((_xlfn.XLOOKUP($C118,'2) หลักการคำนวน Table'!$A$4:$A$36,
_xlfn.XLOOKUP(AP118,'2)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417</v>
      </c>
      <c r="BC118" s="299" cm="1">
        <f t="array" ref="BC118">ROUND((_xlfn.XLOOKUP($C118,'2) หลักการคำนวน Table'!$A$4:$A$36,
_xlfn.XLOOKUP(AQ118,'2)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417</v>
      </c>
      <c r="BD118" s="299" cm="1">
        <f t="array" ref="BD118">ROUND((_xlfn.XLOOKUP($C118,'2) หลักการคำนวน Table'!$A$4:$A$36,
_xlfn.XLOOKUP(AR118,'2)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417</v>
      </c>
      <c r="BE118" s="299" cm="1">
        <f t="array" ref="BE118">ROUND((_xlfn.XLOOKUP($C118,'2) หลักการคำนวน Table'!$A$4:$A$36,
_xlfn.XLOOKUP(AS118,'2)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417</v>
      </c>
      <c r="BF118" s="299" cm="1">
        <f t="array" ref="BF118">ROUND((_xlfn.XLOOKUP($C118,'2) หลักการคำนวน Table'!$A$4:$A$36,
_xlfn.XLOOKUP(AT118,'2)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417</v>
      </c>
      <c r="BG118" s="299" cm="1">
        <f t="array" ref="BG118">ROUND((_xlfn.XLOOKUP($C118,'2) หลักการคำนวน Table'!$A$4:$A$36,
_xlfn.XLOOKUP(AU118,'2)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417</v>
      </c>
      <c r="BH118" s="299" cm="1">
        <f t="array" ref="BH118">ROUND((_xlfn.XLOOKUP($C118,'2) หลักการคำนวน Table'!$A$4:$A$36,
_xlfn.XLOOKUP(AV118,'2)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417</v>
      </c>
      <c r="BI118" s="299" cm="1">
        <f t="array" ref="BI118">ROUND((_xlfn.XLOOKUP($C118,'2) หลักการคำนวน Table'!$A$4:$A$36,
_xlfn.XLOOKUP(AW118,'2)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417</v>
      </c>
      <c r="BJ118" s="299" cm="1">
        <f t="array" ref="BJ118">ROUND((_xlfn.XLOOKUP($C118,'2) หลักการคำนวน Table'!$A$4:$A$36,
_xlfn.XLOOKUP(AX118,'2)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417</v>
      </c>
      <c r="BK118" s="299" cm="1">
        <f t="array" ref="BK118">ROUND((_xlfn.XLOOKUP($C118,'2) หลักการคำนวน Table'!$A$4:$A$36,
_xlfn.XLOOKUP(AY118,'2) หลักการคำนวน Table'!$C$3:$K$3,'2) หลักการคำนวน Table'!$C$4:$K$36,,-1)))*(_xlfn.XLOOKUP($C118,'2) หลักการคำนวน Table'!$A$4:$A$36, _xlfn.XLOOKUP($B118,'2) หลักการคำนวน Table'!$L$3:$Z$3,'2) หลักการคำนวน Table'!$L$4:$Z$36))),0)</f>
        <v>417</v>
      </c>
      <c r="BL118" s="295"/>
      <c r="BM118" s="295">
        <v>222206</v>
      </c>
      <c r="BN118" s="300">
        <v>602</v>
      </c>
    </row>
    <row r="119" spans="1:66" ht="14.7" customHeight="1" x14ac:dyDescent="0.25">
      <c r="A119" s="126">
        <f>VLOOKUP(C119,ASTBase!E:S,13,FALSE)</f>
        <v>222237</v>
      </c>
      <c r="B119" s="126" t="s">
        <v>416</v>
      </c>
      <c r="C119" s="232" t="s">
        <v>398</v>
      </c>
      <c r="D119" s="296">
        <v>15</v>
      </c>
      <c r="E119" s="296">
        <v>22</v>
      </c>
      <c r="F119" s="296">
        <v>39</v>
      </c>
      <c r="G119" s="296">
        <v>23</v>
      </c>
      <c r="H119" s="296">
        <v>21</v>
      </c>
      <c r="I119" s="296">
        <v>23</v>
      </c>
      <c r="J119" s="296">
        <v>24</v>
      </c>
      <c r="K119" s="296">
        <v>22</v>
      </c>
      <c r="L119" s="296">
        <v>27</v>
      </c>
      <c r="M119" s="296">
        <v>25</v>
      </c>
      <c r="N119" s="296">
        <v>19</v>
      </c>
      <c r="O119" s="296">
        <v>40</v>
      </c>
      <c r="P119" s="295">
        <v>16.999999999728001</v>
      </c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  <c r="AA119" s="295"/>
      <c r="AB119" s="297">
        <f>IFERROR(IF(VLOOKUP($B119,Shortage!$A:$M,AB$2,FALSE)="Shortage",1,IFERROR(ROUND(P119/D119,4),0)),IFERROR(ROUND(P119/D119,4),0))</f>
        <v>1.1333</v>
      </c>
      <c r="AC119" s="297">
        <f>IFERROR(IF(VLOOKUP($B119,Shortage!$A:$M,AC$2,FALSE)="Shortage",1,IFERROR(ROUND(Q119/E119,4),0)),IFERROR(ROUND(Q119/E119,4),0))</f>
        <v>0</v>
      </c>
      <c r="AD119" s="297">
        <f>IFERROR(IF(VLOOKUP($B119,Shortage!$A:$M,AD$2,FALSE)="Shortage",1,IFERROR(ROUND(R119/F119,4),0)),IFERROR(ROUND(R119/F119,4),0))</f>
        <v>0</v>
      </c>
      <c r="AE119" s="297">
        <f>IFERROR(IF(VLOOKUP($B119,Shortage!$A:$M,AE$2,FALSE)="Shortage",1,IFERROR(ROUND(S119/G119,4),0)),IFERROR(ROUND(S119/G119,4),0))</f>
        <v>0</v>
      </c>
      <c r="AF119" s="297">
        <f>IFERROR(IF(VLOOKUP($B119,Shortage!$A:$M,AF$2,FALSE)="Shortage",1,IFERROR(ROUND(T119/H119,4),0)),IFERROR(ROUND(T119/H119,4),0))</f>
        <v>0</v>
      </c>
      <c r="AG119" s="297">
        <f>IFERROR(IF(VLOOKUP($B119,Shortage!$A:$M,AG$2,FALSE)="Shortage",1,IFERROR(ROUND(U119/I119,4),0)),IFERROR(ROUND(U119/I119,4),0))</f>
        <v>0</v>
      </c>
      <c r="AH119" s="297">
        <f>IFERROR(IF(VLOOKUP($B119,Shortage!$A:$M,AH$2,FALSE)="Shortage",1,IFERROR(ROUND(V119/J119,4),0)),IFERROR(ROUND(V119/J119,4),0))</f>
        <v>0</v>
      </c>
      <c r="AI119" s="297">
        <f>IFERROR(IF(VLOOKUP($B119,Shortage!$A:$M,AI$2,FALSE)="Shortage",1,IFERROR(ROUND(W119/K119,4),0)),IFERROR(ROUND(W119/K119,4),0))</f>
        <v>0</v>
      </c>
      <c r="AJ119" s="297">
        <f>IFERROR(IF(VLOOKUP($B119,Shortage!$A:$M,AJ$2,FALSE)="Shortage",1,IFERROR(ROUND(X119/L119,4),0)),IFERROR(ROUND(X119/L119,4),0))</f>
        <v>0</v>
      </c>
      <c r="AK119" s="297">
        <f>IFERROR(IF(VLOOKUP($B119,Shortage!$A:$M,AK$2,FALSE)="Shortage",1,IFERROR(ROUND(Y119/M119,4),0)),IFERROR(ROUND(Y119/M119,4),0))</f>
        <v>0</v>
      </c>
      <c r="AL119" s="297">
        <f>IFERROR(IF(VLOOKUP($B119,Shortage!$A:$M,AL$2,FALSE)="Shortage",1,IFERROR(ROUND(Z119/N119,4),0)),IFERROR(ROUND(Z119/N119,4),0))</f>
        <v>0</v>
      </c>
      <c r="AM119" s="297">
        <f>IFERROR(IF(VLOOKUP($B119,Shortage!$A:$M,AM$2,FALSE)="Shortage",1,IFERROR(ROUND(AA119/O119,4),0)),IFERROR(ROUND(AA119/O119,4),0))</f>
        <v>0</v>
      </c>
      <c r="AN119" s="298">
        <f>IFERROR(_xlfn.XLOOKUP(AB119,'2) หลักการคำนวน Table'!$C$3:$K$3,'2) หลักการคำนวน Table'!$C$3:$K$3,,1),INDEX('2) หลักการคำนวน Table'!$C$3:$K$3,1))</f>
        <v>1.1499999999999999</v>
      </c>
      <c r="AO119" s="298">
        <f>IFERROR(
  _xlfn.XLOOKUP(AC119,'2) หลักการคำนวน Table'!$C$3:$K$3,'2) หลักการคำนวน Table'!$C$3:$K$3,,1),
  IF(AC119&lt;MIN('2) หลักการคำนวน Table'!$C$3:$K$3),
     MIN('2) หลักการคำนวน Table'!$C$3:$K$3),
     MAX('2) หลักการคำนวน Table'!$C$3:$K$3)
  )
)</f>
        <v>0.9</v>
      </c>
      <c r="AP119" s="298">
        <f>IFERROR(
  _xlfn.XLOOKUP(AD119,'2) หลักการคำนวน Table'!$C$3:$K$3,'2) หลักการคำนวน Table'!$C$3:$K$3,,1),
  IF(AD119&lt;MIN('2) หลักการคำนวน Table'!$C$3:$K$3),
     MIN('2) หลักการคำนวน Table'!$C$3:$K$3),
     MAX('2) หลักการคำนวน Table'!$C$3:$K$3)
  )
)</f>
        <v>0.9</v>
      </c>
      <c r="AQ119" s="298">
        <f>IFERROR(
  _xlfn.XLOOKUP(AE119,'2) หลักการคำนวน Table'!$C$3:$K$3,'2) หลักการคำนวน Table'!$C$3:$K$3,,1),
  IF(AE119&lt;MIN('2) หลักการคำนวน Table'!$C$3:$K$3),
     MIN('2) หลักการคำนวน Table'!$C$3:$K$3),
     MAX('2) หลักการคำนวน Table'!$C$3:$K$3)
  )
)</f>
        <v>0.9</v>
      </c>
      <c r="AR119" s="298">
        <f>IFERROR(
  _xlfn.XLOOKUP(AF119,'2) หลักการคำนวน Table'!$C$3:$K$3,'2) หลักการคำนวน Table'!$C$3:$K$3,,1),
  IF(AF119&lt;MIN('2) หลักการคำนวน Table'!$C$3:$K$3),
     MIN('2) หลักการคำนวน Table'!$C$3:$K$3),
     MAX('2) หลักการคำนวน Table'!$C$3:$K$3)
  )
)</f>
        <v>0.9</v>
      </c>
      <c r="AS119" s="298">
        <f>IFERROR(
  _xlfn.XLOOKUP(AG119,'2) หลักการคำนวน Table'!$C$3:$K$3,'2) หลักการคำนวน Table'!$C$3:$K$3,,1),
  IF(AG119&lt;MIN('2) หลักการคำนวน Table'!$C$3:$K$3),
     MIN('2) หลักการคำนวน Table'!$C$3:$K$3),
     MAX('2) หลักการคำนวน Table'!$C$3:$K$3)
  )
)</f>
        <v>0.9</v>
      </c>
      <c r="AT119" s="298">
        <f>IFERROR(
  _xlfn.XLOOKUP(AH119,'2) หลักการคำนวน Table'!$C$3:$K$3,'2) หลักการคำนวน Table'!$C$3:$K$3,,1),
  IF(AH119&lt;MIN('2) หลักการคำนวน Table'!$C$3:$K$3),
     MIN('2) หลักการคำนวน Table'!$C$3:$K$3),
     MAX('2) หลักการคำนวน Table'!$C$3:$K$3)
  )
)</f>
        <v>0.9</v>
      </c>
      <c r="AU119" s="298">
        <f>IFERROR(
  _xlfn.XLOOKUP(AI119,'2) หลักการคำนวน Table'!$C$3:$K$3,'2) หลักการคำนวน Table'!$C$3:$K$3,,1),
  IF(AI119&lt;MIN('2) หลักการคำนวน Table'!$C$3:$K$3),
     MIN('2) หลักการคำนวน Table'!$C$3:$K$3),
     MAX('2) หลักการคำนวน Table'!$C$3:$K$3)
  )
)</f>
        <v>0.9</v>
      </c>
      <c r="AV119" s="298">
        <f>IFERROR(
  _xlfn.XLOOKUP(AJ119,'2) หลักการคำนวน Table'!$C$3:$K$3,'2) หลักการคำนวน Table'!$C$3:$K$3,,1),
  IF(AJ119&lt;MIN('2) หลักการคำนวน Table'!$C$3:$K$3),
     MIN('2) หลักการคำนวน Table'!$C$3:$K$3),
     MAX('2) หลักการคำนวน Table'!$C$3:$K$3)
  )
)</f>
        <v>0.9</v>
      </c>
      <c r="AW119" s="298">
        <f>IFERROR(
  _xlfn.XLOOKUP(AK119,'2) หลักการคำนวน Table'!$C$3:$K$3,'2) หลักการคำนวน Table'!$C$3:$K$3,,1),
  IF(AK119&lt;MIN('2) หลักการคำนวน Table'!$C$3:$K$3),
     MIN('2) หลักการคำนวน Table'!$C$3:$K$3),
     MAX('2) หลักการคำนวน Table'!$C$3:$K$3)
  )
)</f>
        <v>0.9</v>
      </c>
      <c r="AX119" s="298">
        <f>IFERROR(
  _xlfn.XLOOKUP(AL119,'2) หลักการคำนวน Table'!$C$3:$K$3,'2) หลักการคำนวน Table'!$C$3:$K$3,,1),
  IF(AL119&lt;MIN('2) หลักการคำนวน Table'!$C$3:$K$3),
     MIN('2) หลักการคำนวน Table'!$C$3:$K$3),
     MAX('2) หลักการคำนวน Table'!$C$3:$K$3)
  )
)</f>
        <v>0.9</v>
      </c>
      <c r="AY119" s="298">
        <f>IFERROR(
  _xlfn.XLOOKUP(AM119,'2) หลักการคำนวน Table'!$C$3:$K$3,'2) หลักการคำนวน Table'!$C$3:$K$3,,1),
  IF(AM119&lt;MIN('2) หลักการคำนวน Table'!$C$3:$K$3),
     MIN('2) หลักการคำนวน Table'!$C$3:$K$3),
     MAX('2) หลักการคำนวน Table'!$C$3:$K$3)
  )
)</f>
        <v>0.9</v>
      </c>
      <c r="AZ119" s="299" cm="1">
        <f t="array" ref="AZ119">ROUND((_xlfn.XLOOKUP($C119,'2) หลักการคำนวน Table'!$A$4:$A$36,
_xlfn.XLOOKUP(AN119,'2)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213</v>
      </c>
      <c r="BA119" s="299" cm="1">
        <f t="array" ref="BA119">ROUND((_xlfn.XLOOKUP($C119,'2) หลักการคำนวน Table'!$A$4:$A$36,
_xlfn.XLOOKUP(AO119,'2)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167</v>
      </c>
      <c r="BB119" s="299" cm="1">
        <f t="array" ref="BB119">ROUND((_xlfn.XLOOKUP($C119,'2) หลักการคำนวน Table'!$A$4:$A$36,
_xlfn.XLOOKUP(AP119,'2)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167</v>
      </c>
      <c r="BC119" s="299" cm="1">
        <f t="array" ref="BC119">ROUND((_xlfn.XLOOKUP($C119,'2) หลักการคำนวน Table'!$A$4:$A$36,
_xlfn.XLOOKUP(AQ119,'2)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167</v>
      </c>
      <c r="BD119" s="299" cm="1">
        <f t="array" ref="BD119">ROUND((_xlfn.XLOOKUP($C119,'2) หลักการคำนวน Table'!$A$4:$A$36,
_xlfn.XLOOKUP(AR119,'2)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167</v>
      </c>
      <c r="BE119" s="299" cm="1">
        <f t="array" ref="BE119">ROUND((_xlfn.XLOOKUP($C119,'2) หลักการคำนวน Table'!$A$4:$A$36,
_xlfn.XLOOKUP(AS119,'2)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167</v>
      </c>
      <c r="BF119" s="299" cm="1">
        <f t="array" ref="BF119">ROUND((_xlfn.XLOOKUP($C119,'2) หลักการคำนวน Table'!$A$4:$A$36,
_xlfn.XLOOKUP(AT119,'2)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167</v>
      </c>
      <c r="BG119" s="299" cm="1">
        <f t="array" ref="BG119">ROUND((_xlfn.XLOOKUP($C119,'2) หลักการคำนวน Table'!$A$4:$A$36,
_xlfn.XLOOKUP(AU119,'2)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167</v>
      </c>
      <c r="BH119" s="299" cm="1">
        <f t="array" ref="BH119">ROUND((_xlfn.XLOOKUP($C119,'2) หลักการคำนวน Table'!$A$4:$A$36,
_xlfn.XLOOKUP(AV119,'2)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167</v>
      </c>
      <c r="BI119" s="299" cm="1">
        <f t="array" ref="BI119">ROUND((_xlfn.XLOOKUP($C119,'2) หลักการคำนวน Table'!$A$4:$A$36,
_xlfn.XLOOKUP(AW119,'2)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167</v>
      </c>
      <c r="BJ119" s="299" cm="1">
        <f t="array" ref="BJ119">ROUND((_xlfn.XLOOKUP($C119,'2) หลักการคำนวน Table'!$A$4:$A$36,
_xlfn.XLOOKUP(AX119,'2)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167</v>
      </c>
      <c r="BK119" s="299" cm="1">
        <f t="array" ref="BK119">ROUND((_xlfn.XLOOKUP($C119,'2) หลักการคำนวน Table'!$A$4:$A$36,
_xlfn.XLOOKUP(AY119,'2) หลักการคำนวน Table'!$C$3:$K$3,'2) หลักการคำนวน Table'!$C$4:$K$36,,-1)))*(_xlfn.XLOOKUP($C119,'2) หลักการคำนวน Table'!$A$4:$A$36, _xlfn.XLOOKUP($B119,'2) หลักการคำนวน Table'!$L$3:$Z$3,'2) หลักการคำนวน Table'!$L$4:$Z$36))),0)</f>
        <v>167</v>
      </c>
      <c r="BL119" s="295"/>
      <c r="BM119" s="295">
        <v>222206</v>
      </c>
      <c r="BN119" s="300">
        <v>213</v>
      </c>
    </row>
    <row r="120" spans="1:66" ht="14.7" customHeight="1" x14ac:dyDescent="0.25">
      <c r="A120" s="126">
        <f>VLOOKUP(C120,ASTBase!E:S,13,FALSE)</f>
        <v>222237</v>
      </c>
      <c r="B120" s="126" t="s">
        <v>406</v>
      </c>
      <c r="C120" s="232" t="s">
        <v>398</v>
      </c>
      <c r="D120" s="296">
        <v>410000</v>
      </c>
      <c r="E120" s="296">
        <v>440000</v>
      </c>
      <c r="F120" s="296">
        <v>590000</v>
      </c>
      <c r="G120" s="296">
        <v>435000</v>
      </c>
      <c r="H120" s="296">
        <v>480000</v>
      </c>
      <c r="I120" s="296">
        <v>420000</v>
      </c>
      <c r="J120" s="296">
        <v>440000</v>
      </c>
      <c r="K120" s="296">
        <v>440000</v>
      </c>
      <c r="L120" s="296">
        <v>420000</v>
      </c>
      <c r="M120" s="296">
        <v>480000</v>
      </c>
      <c r="N120" s="296">
        <v>465000</v>
      </c>
      <c r="O120" s="296">
        <v>710000</v>
      </c>
      <c r="P120" s="295">
        <v>523711.56000000006</v>
      </c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295"/>
      <c r="AB120" s="297">
        <f>IFERROR(IF(VLOOKUP($B120,Shortage!$A:$M,AB$2,FALSE)="Shortage",1,IFERROR(ROUND(P120/D120,4),0)),IFERROR(ROUND(P120/D120,4),0))</f>
        <v>1</v>
      </c>
      <c r="AC120" s="297">
        <f>IFERROR(IF(VLOOKUP($B120,Shortage!$A:$M,AC$2,FALSE)="Shortage",1,IFERROR(ROUND(Q120/E120,4),0)),IFERROR(ROUND(Q120/E120,4),0))</f>
        <v>0</v>
      </c>
      <c r="AD120" s="297">
        <f>IFERROR(IF(VLOOKUP($B120,Shortage!$A:$M,AD$2,FALSE)="Shortage",1,IFERROR(ROUND(R120/F120,4),0)),IFERROR(ROUND(R120/F120,4),0))</f>
        <v>0</v>
      </c>
      <c r="AE120" s="297">
        <f>IFERROR(IF(VLOOKUP($B120,Shortage!$A:$M,AE$2,FALSE)="Shortage",1,IFERROR(ROUND(S120/G120,4),0)),IFERROR(ROUND(S120/G120,4),0))</f>
        <v>0</v>
      </c>
      <c r="AF120" s="297">
        <f>IFERROR(IF(VLOOKUP($B120,Shortage!$A:$M,AF$2,FALSE)="Shortage",1,IFERROR(ROUND(T120/H120,4),0)),IFERROR(ROUND(T120/H120,4),0))</f>
        <v>0</v>
      </c>
      <c r="AG120" s="297">
        <f>IFERROR(IF(VLOOKUP($B120,Shortage!$A:$M,AG$2,FALSE)="Shortage",1,IFERROR(ROUND(U120/I120,4),0)),IFERROR(ROUND(U120/I120,4),0))</f>
        <v>0</v>
      </c>
      <c r="AH120" s="297">
        <f>IFERROR(IF(VLOOKUP($B120,Shortage!$A:$M,AH$2,FALSE)="Shortage",1,IFERROR(ROUND(V120/J120,4),0)),IFERROR(ROUND(V120/J120,4),0))</f>
        <v>0</v>
      </c>
      <c r="AI120" s="297">
        <f>IFERROR(IF(VLOOKUP($B120,Shortage!$A:$M,AI$2,FALSE)="Shortage",1,IFERROR(ROUND(W120/K120,4),0)),IFERROR(ROUND(W120/K120,4),0))</f>
        <v>0</v>
      </c>
      <c r="AJ120" s="297">
        <f>IFERROR(IF(VLOOKUP($B120,Shortage!$A:$M,AJ$2,FALSE)="Shortage",1,IFERROR(ROUND(X120/L120,4),0)),IFERROR(ROUND(X120/L120,4),0))</f>
        <v>0</v>
      </c>
      <c r="AK120" s="297">
        <f>IFERROR(IF(VLOOKUP($B120,Shortage!$A:$M,AK$2,FALSE)="Shortage",1,IFERROR(ROUND(Y120/M120,4),0)),IFERROR(ROUND(Y120/M120,4),0))</f>
        <v>0</v>
      </c>
      <c r="AL120" s="297">
        <f>IFERROR(IF(VLOOKUP($B120,Shortage!$A:$M,AL$2,FALSE)="Shortage",1,IFERROR(ROUND(Z120/N120,4),0)),IFERROR(ROUND(Z120/N120,4),0))</f>
        <v>0</v>
      </c>
      <c r="AM120" s="297">
        <f>IFERROR(IF(VLOOKUP($B120,Shortage!$A:$M,AM$2,FALSE)="Shortage",1,IFERROR(ROUND(AA120/O120,4),0)),IFERROR(ROUND(AA120/O120,4),0))</f>
        <v>0</v>
      </c>
      <c r="AN120" s="298">
        <f>IFERROR(_xlfn.XLOOKUP(AB120,'2) หลักการคำนวน Table'!$C$3:$K$3,'2) หลักการคำนวน Table'!$C$3:$K$3,,1),INDEX('2) หลักการคำนวน Table'!$C$3:$K$3,1))</f>
        <v>1</v>
      </c>
      <c r="AO120" s="298">
        <f>IFERROR(
  _xlfn.XLOOKUP(AC120,'2) หลักการคำนวน Table'!$C$3:$K$3,'2) หลักการคำนวน Table'!$C$3:$K$3,,1),
  IF(AC120&lt;MIN('2) หลักการคำนวน Table'!$C$3:$K$3),
     MIN('2) หลักการคำนวน Table'!$C$3:$K$3),
     MAX('2) หลักการคำนวน Table'!$C$3:$K$3)
  )
)</f>
        <v>0.9</v>
      </c>
      <c r="AP120" s="298">
        <f>IFERROR(
  _xlfn.XLOOKUP(AD120,'2) หลักการคำนวน Table'!$C$3:$K$3,'2) หลักการคำนวน Table'!$C$3:$K$3,,1),
  IF(AD120&lt;MIN('2) หลักการคำนวน Table'!$C$3:$K$3),
     MIN('2) หลักการคำนวน Table'!$C$3:$K$3),
     MAX('2) หลักการคำนวน Table'!$C$3:$K$3)
  )
)</f>
        <v>0.9</v>
      </c>
      <c r="AQ120" s="298">
        <f>IFERROR(
  _xlfn.XLOOKUP(AE120,'2) หลักการคำนวน Table'!$C$3:$K$3,'2) หลักการคำนวน Table'!$C$3:$K$3,,1),
  IF(AE120&lt;MIN('2) หลักการคำนวน Table'!$C$3:$K$3),
     MIN('2) หลักการคำนวน Table'!$C$3:$K$3),
     MAX('2) หลักการคำนวน Table'!$C$3:$K$3)
  )
)</f>
        <v>0.9</v>
      </c>
      <c r="AR120" s="298">
        <f>IFERROR(
  _xlfn.XLOOKUP(AF120,'2) หลักการคำนวน Table'!$C$3:$K$3,'2) หลักการคำนวน Table'!$C$3:$K$3,,1),
  IF(AF120&lt;MIN('2) หลักการคำนวน Table'!$C$3:$K$3),
     MIN('2) หลักการคำนวน Table'!$C$3:$K$3),
     MAX('2) หลักการคำนวน Table'!$C$3:$K$3)
  )
)</f>
        <v>0.9</v>
      </c>
      <c r="AS120" s="298">
        <f>IFERROR(
  _xlfn.XLOOKUP(AG120,'2) หลักการคำนวน Table'!$C$3:$K$3,'2) หลักการคำนวน Table'!$C$3:$K$3,,1),
  IF(AG120&lt;MIN('2) หลักการคำนวน Table'!$C$3:$K$3),
     MIN('2) หลักการคำนวน Table'!$C$3:$K$3),
     MAX('2) หลักการคำนวน Table'!$C$3:$K$3)
  )
)</f>
        <v>0.9</v>
      </c>
      <c r="AT120" s="298">
        <f>IFERROR(
  _xlfn.XLOOKUP(AH120,'2) หลักการคำนวน Table'!$C$3:$K$3,'2) หลักการคำนวน Table'!$C$3:$K$3,,1),
  IF(AH120&lt;MIN('2) หลักการคำนวน Table'!$C$3:$K$3),
     MIN('2) หลักการคำนวน Table'!$C$3:$K$3),
     MAX('2) หลักการคำนวน Table'!$C$3:$K$3)
  )
)</f>
        <v>0.9</v>
      </c>
      <c r="AU120" s="298">
        <f>IFERROR(
  _xlfn.XLOOKUP(AI120,'2) หลักการคำนวน Table'!$C$3:$K$3,'2) หลักการคำนวน Table'!$C$3:$K$3,,1),
  IF(AI120&lt;MIN('2) หลักการคำนวน Table'!$C$3:$K$3),
     MIN('2) หลักการคำนวน Table'!$C$3:$K$3),
     MAX('2) หลักการคำนวน Table'!$C$3:$K$3)
  )
)</f>
        <v>0.9</v>
      </c>
      <c r="AV120" s="298">
        <f>IFERROR(
  _xlfn.XLOOKUP(AJ120,'2) หลักการคำนวน Table'!$C$3:$K$3,'2) หลักการคำนวน Table'!$C$3:$K$3,,1),
  IF(AJ120&lt;MIN('2) หลักการคำนวน Table'!$C$3:$K$3),
     MIN('2) หลักการคำนวน Table'!$C$3:$K$3),
     MAX('2) หลักการคำนวน Table'!$C$3:$K$3)
  )
)</f>
        <v>0.9</v>
      </c>
      <c r="AW120" s="298">
        <f>IFERROR(
  _xlfn.XLOOKUP(AK120,'2) หลักการคำนวน Table'!$C$3:$K$3,'2) หลักการคำนวน Table'!$C$3:$K$3,,1),
  IF(AK120&lt;MIN('2) หลักการคำนวน Table'!$C$3:$K$3),
     MIN('2) หลักการคำนวน Table'!$C$3:$K$3),
     MAX('2) หลักการคำนวน Table'!$C$3:$K$3)
  )
)</f>
        <v>0.9</v>
      </c>
      <c r="AX120" s="298">
        <f>IFERROR(
  _xlfn.XLOOKUP(AL120,'2) หลักการคำนวน Table'!$C$3:$K$3,'2) หลักการคำนวน Table'!$C$3:$K$3,,1),
  IF(AL120&lt;MIN('2) หลักการคำนวน Table'!$C$3:$K$3),
     MIN('2) หลักการคำนวน Table'!$C$3:$K$3),
     MAX('2) หลักการคำนวน Table'!$C$3:$K$3)
  )
)</f>
        <v>0.9</v>
      </c>
      <c r="AY120" s="298">
        <f>IFERROR(
  _xlfn.XLOOKUP(AM120,'2) หลักการคำนวน Table'!$C$3:$K$3,'2) หลักการคำนวน Table'!$C$3:$K$3,,1),
  IF(AM120&lt;MIN('2) หลักการคำนวน Table'!$C$3:$K$3),
     MIN('2) หลักการคำนวน Table'!$C$3:$K$3),
     MAX('2) หลักการคำนวน Table'!$C$3:$K$3)
  )
)</f>
        <v>0.9</v>
      </c>
      <c r="AZ120" s="299" cm="1">
        <f t="array" ref="AZ120">ROUND((_xlfn.XLOOKUP($C120,'2) หลักการคำนวน Table'!$A$4:$A$36,
_xlfn.XLOOKUP(AN120,'2)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463</v>
      </c>
      <c r="BA120" s="299" cm="1">
        <f t="array" ref="BA120">ROUND((_xlfn.XLOOKUP($C120,'2) หลักการคำนวน Table'!$A$4:$A$36,
_xlfn.XLOOKUP(AO120,'2)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417</v>
      </c>
      <c r="BB120" s="299" cm="1">
        <f t="array" ref="BB120">ROUND((_xlfn.XLOOKUP($C120,'2) หลักการคำนวน Table'!$A$4:$A$36,
_xlfn.XLOOKUP(AP120,'2)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417</v>
      </c>
      <c r="BC120" s="299" cm="1">
        <f t="array" ref="BC120">ROUND((_xlfn.XLOOKUP($C120,'2) หลักการคำนวน Table'!$A$4:$A$36,
_xlfn.XLOOKUP(AQ120,'2)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417</v>
      </c>
      <c r="BD120" s="299" cm="1">
        <f t="array" ref="BD120">ROUND((_xlfn.XLOOKUP($C120,'2) หลักการคำนวน Table'!$A$4:$A$36,
_xlfn.XLOOKUP(AR120,'2)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417</v>
      </c>
      <c r="BE120" s="299" cm="1">
        <f t="array" ref="BE120">ROUND((_xlfn.XLOOKUP($C120,'2) หลักการคำนวน Table'!$A$4:$A$36,
_xlfn.XLOOKUP(AS120,'2)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417</v>
      </c>
      <c r="BF120" s="299" cm="1">
        <f t="array" ref="BF120">ROUND((_xlfn.XLOOKUP($C120,'2) หลักการคำนวน Table'!$A$4:$A$36,
_xlfn.XLOOKUP(AT120,'2)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417</v>
      </c>
      <c r="BG120" s="299" cm="1">
        <f t="array" ref="BG120">ROUND((_xlfn.XLOOKUP($C120,'2) หลักการคำนวน Table'!$A$4:$A$36,
_xlfn.XLOOKUP(AU120,'2)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417</v>
      </c>
      <c r="BH120" s="299" cm="1">
        <f t="array" ref="BH120">ROUND((_xlfn.XLOOKUP($C120,'2) หลักการคำนวน Table'!$A$4:$A$36,
_xlfn.XLOOKUP(AV120,'2)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417</v>
      </c>
      <c r="BI120" s="299" cm="1">
        <f t="array" ref="BI120">ROUND((_xlfn.XLOOKUP($C120,'2) หลักการคำนวน Table'!$A$4:$A$36,
_xlfn.XLOOKUP(AW120,'2)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417</v>
      </c>
      <c r="BJ120" s="299" cm="1">
        <f t="array" ref="BJ120">ROUND((_xlfn.XLOOKUP($C120,'2) หลักการคำนวน Table'!$A$4:$A$36,
_xlfn.XLOOKUP(AX120,'2)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417</v>
      </c>
      <c r="BK120" s="299" cm="1">
        <f t="array" ref="BK120">ROUND((_xlfn.XLOOKUP($C120,'2) หลักการคำนวน Table'!$A$4:$A$36,
_xlfn.XLOOKUP(AY120,'2) หลักการคำนวน Table'!$C$3:$K$3,'2) หลักการคำนวน Table'!$C$4:$K$36,,-1)))*(_xlfn.XLOOKUP($C120,'2) หลักการคำนวน Table'!$A$4:$A$36, _xlfn.XLOOKUP($B120,'2) หลักการคำนวน Table'!$L$3:$Z$3,'2) หลักการคำนวน Table'!$L$4:$Z$36))),0)</f>
        <v>417</v>
      </c>
      <c r="BL120" s="295"/>
      <c r="BM120" s="295">
        <v>222206</v>
      </c>
      <c r="BN120" s="300">
        <v>463</v>
      </c>
    </row>
    <row r="121" spans="1:66" ht="14.7" customHeight="1" x14ac:dyDescent="0.25">
      <c r="A121" s="126">
        <f>VLOOKUP(C121,ASTBase!E:S,13,FALSE)</f>
        <v>222237</v>
      </c>
      <c r="B121" s="126" t="s">
        <v>409</v>
      </c>
      <c r="C121" s="232" t="s">
        <v>398</v>
      </c>
      <c r="D121" s="296">
        <v>15000</v>
      </c>
      <c r="E121" s="296">
        <v>15500</v>
      </c>
      <c r="F121" s="296">
        <v>50000</v>
      </c>
      <c r="G121" s="296">
        <v>15000</v>
      </c>
      <c r="H121" s="296">
        <v>16000</v>
      </c>
      <c r="I121" s="296">
        <v>16500</v>
      </c>
      <c r="J121" s="296">
        <v>16500</v>
      </c>
      <c r="K121" s="296">
        <v>16500</v>
      </c>
      <c r="L121" s="296">
        <v>15000</v>
      </c>
      <c r="M121" s="296">
        <v>17000</v>
      </c>
      <c r="N121" s="296">
        <v>15000</v>
      </c>
      <c r="O121" s="296">
        <v>52000</v>
      </c>
      <c r="P121" s="295">
        <v>22645.72800000005</v>
      </c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7">
        <f>IFERROR(IF(VLOOKUP($B121,Shortage!$A:$M,AB$2,FALSE)="Shortage",1,IFERROR(ROUND(P121/D121,4),0)),IFERROR(ROUND(P121/D121,4),0))</f>
        <v>1.5097</v>
      </c>
      <c r="AC121" s="297">
        <f>IFERROR(IF(VLOOKUP($B121,Shortage!$A:$M,AC$2,FALSE)="Shortage",1,IFERROR(ROUND(Q121/E121,4),0)),IFERROR(ROUND(Q121/E121,4),0))</f>
        <v>0</v>
      </c>
      <c r="AD121" s="297">
        <f>IFERROR(IF(VLOOKUP($B121,Shortage!$A:$M,AD$2,FALSE)="Shortage",1,IFERROR(ROUND(R121/F121,4),0)),IFERROR(ROUND(R121/F121,4),0))</f>
        <v>0</v>
      </c>
      <c r="AE121" s="297">
        <f>IFERROR(IF(VLOOKUP($B121,Shortage!$A:$M,AE$2,FALSE)="Shortage",1,IFERROR(ROUND(S121/G121,4),0)),IFERROR(ROUND(S121/G121,4),0))</f>
        <v>0</v>
      </c>
      <c r="AF121" s="297">
        <f>IFERROR(IF(VLOOKUP($B121,Shortage!$A:$M,AF$2,FALSE)="Shortage",1,IFERROR(ROUND(T121/H121,4),0)),IFERROR(ROUND(T121/H121,4),0))</f>
        <v>0</v>
      </c>
      <c r="AG121" s="297">
        <f>IFERROR(IF(VLOOKUP($B121,Shortage!$A:$M,AG$2,FALSE)="Shortage",1,IFERROR(ROUND(U121/I121,4),0)),IFERROR(ROUND(U121/I121,4),0))</f>
        <v>0</v>
      </c>
      <c r="AH121" s="297">
        <f>IFERROR(IF(VLOOKUP($B121,Shortage!$A:$M,AH$2,FALSE)="Shortage",1,IFERROR(ROUND(V121/J121,4),0)),IFERROR(ROUND(V121/J121,4),0))</f>
        <v>0</v>
      </c>
      <c r="AI121" s="297">
        <f>IFERROR(IF(VLOOKUP($B121,Shortage!$A:$M,AI$2,FALSE)="Shortage",1,IFERROR(ROUND(W121/K121,4),0)),IFERROR(ROUND(W121/K121,4),0))</f>
        <v>0</v>
      </c>
      <c r="AJ121" s="297">
        <f>IFERROR(IF(VLOOKUP($B121,Shortage!$A:$M,AJ$2,FALSE)="Shortage",1,IFERROR(ROUND(X121/L121,4),0)),IFERROR(ROUND(X121/L121,4),0))</f>
        <v>0</v>
      </c>
      <c r="AK121" s="297">
        <f>IFERROR(IF(VLOOKUP($B121,Shortage!$A:$M,AK$2,FALSE)="Shortage",1,IFERROR(ROUND(Y121/M121,4),0)),IFERROR(ROUND(Y121/M121,4),0))</f>
        <v>0</v>
      </c>
      <c r="AL121" s="297">
        <f>IFERROR(IF(VLOOKUP($B121,Shortage!$A:$M,AL$2,FALSE)="Shortage",1,IFERROR(ROUND(Z121/N121,4),0)),IFERROR(ROUND(Z121/N121,4),0))</f>
        <v>0</v>
      </c>
      <c r="AM121" s="297">
        <f>IFERROR(IF(VLOOKUP($B121,Shortage!$A:$M,AM$2,FALSE)="Shortage",1,IFERROR(ROUND(AA121/O121,4),0)),IFERROR(ROUND(AA121/O121,4),0))</f>
        <v>0</v>
      </c>
      <c r="AN121" s="298">
        <f>IFERROR(_xlfn.XLOOKUP(AB121,'2) หลักการคำนวน Table'!$C$3:$K$3,'2) หลักการคำนวน Table'!$C$3:$K$3,,1),INDEX('2) หลักการคำนวน Table'!$C$3:$K$3,1))</f>
        <v>20</v>
      </c>
      <c r="AO121" s="298">
        <f>IFERROR(
  _xlfn.XLOOKUP(AC121,'2) หลักการคำนวน Table'!$C$3:$K$3,'2) หลักการคำนวน Table'!$C$3:$K$3,,1),
  IF(AC121&lt;MIN('2) หลักการคำนวน Table'!$C$3:$K$3),
     MIN('2) หลักการคำนวน Table'!$C$3:$K$3),
     MAX('2) หลักการคำนวน Table'!$C$3:$K$3)
  )
)</f>
        <v>0.9</v>
      </c>
      <c r="AP121" s="298">
        <f>IFERROR(
  _xlfn.XLOOKUP(AD121,'2) หลักการคำนวน Table'!$C$3:$K$3,'2) หลักการคำนวน Table'!$C$3:$K$3,,1),
  IF(AD121&lt;MIN('2) หลักการคำนวน Table'!$C$3:$K$3),
     MIN('2) หลักการคำนวน Table'!$C$3:$K$3),
     MAX('2) หลักการคำนวน Table'!$C$3:$K$3)
  )
)</f>
        <v>0.9</v>
      </c>
      <c r="AQ121" s="298">
        <f>IFERROR(
  _xlfn.XLOOKUP(AE121,'2) หลักการคำนวน Table'!$C$3:$K$3,'2) หลักการคำนวน Table'!$C$3:$K$3,,1),
  IF(AE121&lt;MIN('2) หลักการคำนวน Table'!$C$3:$K$3),
     MIN('2) หลักการคำนวน Table'!$C$3:$K$3),
     MAX('2) หลักการคำนวน Table'!$C$3:$K$3)
  )
)</f>
        <v>0.9</v>
      </c>
      <c r="AR121" s="298">
        <f>IFERROR(
  _xlfn.XLOOKUP(AF121,'2) หลักการคำนวน Table'!$C$3:$K$3,'2) หลักการคำนวน Table'!$C$3:$K$3,,1),
  IF(AF121&lt;MIN('2) หลักการคำนวน Table'!$C$3:$K$3),
     MIN('2) หลักการคำนวน Table'!$C$3:$K$3),
     MAX('2) หลักการคำนวน Table'!$C$3:$K$3)
  )
)</f>
        <v>0.9</v>
      </c>
      <c r="AS121" s="298">
        <f>IFERROR(
  _xlfn.XLOOKUP(AG121,'2) หลักการคำนวน Table'!$C$3:$K$3,'2) หลักการคำนวน Table'!$C$3:$K$3,,1),
  IF(AG121&lt;MIN('2) หลักการคำนวน Table'!$C$3:$K$3),
     MIN('2) หลักการคำนวน Table'!$C$3:$K$3),
     MAX('2) หลักการคำนวน Table'!$C$3:$K$3)
  )
)</f>
        <v>0.9</v>
      </c>
      <c r="AT121" s="298">
        <f>IFERROR(
  _xlfn.XLOOKUP(AH121,'2) หลักการคำนวน Table'!$C$3:$K$3,'2) หลักการคำนวน Table'!$C$3:$K$3,,1),
  IF(AH121&lt;MIN('2) หลักการคำนวน Table'!$C$3:$K$3),
     MIN('2) หลักการคำนวน Table'!$C$3:$K$3),
     MAX('2) หลักการคำนวน Table'!$C$3:$K$3)
  )
)</f>
        <v>0.9</v>
      </c>
      <c r="AU121" s="298">
        <f>IFERROR(
  _xlfn.XLOOKUP(AI121,'2) หลักการคำนวน Table'!$C$3:$K$3,'2) หลักการคำนวน Table'!$C$3:$K$3,,1),
  IF(AI121&lt;MIN('2) หลักการคำนวน Table'!$C$3:$K$3),
     MIN('2) หลักการคำนวน Table'!$C$3:$K$3),
     MAX('2) หลักการคำนวน Table'!$C$3:$K$3)
  )
)</f>
        <v>0.9</v>
      </c>
      <c r="AV121" s="298">
        <f>IFERROR(
  _xlfn.XLOOKUP(AJ121,'2) หลักการคำนวน Table'!$C$3:$K$3,'2) หลักการคำนวน Table'!$C$3:$K$3,,1),
  IF(AJ121&lt;MIN('2) หลักการคำนวน Table'!$C$3:$K$3),
     MIN('2) หลักการคำนวน Table'!$C$3:$K$3),
     MAX('2) หลักการคำนวน Table'!$C$3:$K$3)
  )
)</f>
        <v>0.9</v>
      </c>
      <c r="AW121" s="298">
        <f>IFERROR(
  _xlfn.XLOOKUP(AK121,'2) หลักการคำนวน Table'!$C$3:$K$3,'2) หลักการคำนวน Table'!$C$3:$K$3,,1),
  IF(AK121&lt;MIN('2) หลักการคำนวน Table'!$C$3:$K$3),
     MIN('2) หลักการคำนวน Table'!$C$3:$K$3),
     MAX('2) หลักการคำนวน Table'!$C$3:$K$3)
  )
)</f>
        <v>0.9</v>
      </c>
      <c r="AX121" s="298">
        <f>IFERROR(
  _xlfn.XLOOKUP(AL121,'2) หลักการคำนวน Table'!$C$3:$K$3,'2) หลักการคำนวน Table'!$C$3:$K$3,,1),
  IF(AL121&lt;MIN('2) หลักการคำนวน Table'!$C$3:$K$3),
     MIN('2) หลักการคำนวน Table'!$C$3:$K$3),
     MAX('2) หลักการคำนวน Table'!$C$3:$K$3)
  )
)</f>
        <v>0.9</v>
      </c>
      <c r="AY121" s="298">
        <f>IFERROR(
  _xlfn.XLOOKUP(AM121,'2) หลักการคำนวน Table'!$C$3:$K$3,'2) หลักการคำนวน Table'!$C$3:$K$3,,1),
  IF(AM121&lt;MIN('2) หลักการคำนวน Table'!$C$3:$K$3),
     MIN('2) หลักการคำนวน Table'!$C$3:$K$3),
     MAX('2) หลักการคำนวน Table'!$C$3:$K$3)
  )
)</f>
        <v>0.9</v>
      </c>
      <c r="AZ121" s="299" cm="1">
        <f t="array" ref="AZ121">ROUND((_xlfn.XLOOKUP($C121,'2) หลักการคำนวน Table'!$A$4:$A$36,
_xlfn.XLOOKUP(AN121,'2)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1204</v>
      </c>
      <c r="BA121" s="299" cm="1">
        <f t="array" ref="BA121">ROUND((_xlfn.XLOOKUP($C121,'2) หลักการคำนวน Table'!$A$4:$A$36,
_xlfn.XLOOKUP(AO121,'2)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833</v>
      </c>
      <c r="BB121" s="299" cm="1">
        <f t="array" ref="BB121">ROUND((_xlfn.XLOOKUP($C121,'2) หลักการคำนวน Table'!$A$4:$A$36,
_xlfn.XLOOKUP(AP121,'2)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833</v>
      </c>
      <c r="BC121" s="299" cm="1">
        <f t="array" ref="BC121">ROUND((_xlfn.XLOOKUP($C121,'2) หลักการคำนวน Table'!$A$4:$A$36,
_xlfn.XLOOKUP(AQ121,'2)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833</v>
      </c>
      <c r="BD121" s="299" cm="1">
        <f t="array" ref="BD121">ROUND((_xlfn.XLOOKUP($C121,'2) หลักการคำนวน Table'!$A$4:$A$36,
_xlfn.XLOOKUP(AR121,'2)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833</v>
      </c>
      <c r="BE121" s="299" cm="1">
        <f t="array" ref="BE121">ROUND((_xlfn.XLOOKUP($C121,'2) หลักการคำนวน Table'!$A$4:$A$36,
_xlfn.XLOOKUP(AS121,'2)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833</v>
      </c>
      <c r="BF121" s="299" cm="1">
        <f t="array" ref="BF121">ROUND((_xlfn.XLOOKUP($C121,'2) หลักการคำนวน Table'!$A$4:$A$36,
_xlfn.XLOOKUP(AT121,'2)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833</v>
      </c>
      <c r="BG121" s="299" cm="1">
        <f t="array" ref="BG121">ROUND((_xlfn.XLOOKUP($C121,'2) หลักการคำนวน Table'!$A$4:$A$36,
_xlfn.XLOOKUP(AU121,'2)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833</v>
      </c>
      <c r="BH121" s="299" cm="1">
        <f t="array" ref="BH121">ROUND((_xlfn.XLOOKUP($C121,'2) หลักการคำนวน Table'!$A$4:$A$36,
_xlfn.XLOOKUP(AV121,'2)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833</v>
      </c>
      <c r="BI121" s="299" cm="1">
        <f t="array" ref="BI121">ROUND((_xlfn.XLOOKUP($C121,'2) หลักการคำนวน Table'!$A$4:$A$36,
_xlfn.XLOOKUP(AW121,'2)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833</v>
      </c>
      <c r="BJ121" s="299" cm="1">
        <f t="array" ref="BJ121">ROUND((_xlfn.XLOOKUP($C121,'2) หลักการคำนวน Table'!$A$4:$A$36,
_xlfn.XLOOKUP(AX121,'2)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833</v>
      </c>
      <c r="BK121" s="299" cm="1">
        <f t="array" ref="BK121">ROUND((_xlfn.XLOOKUP($C121,'2) หลักการคำนวน Table'!$A$4:$A$36,
_xlfn.XLOOKUP(AY121,'2) หลักการคำนวน Table'!$C$3:$K$3,'2) หลักการคำนวน Table'!$C$4:$K$36,,-1)))*(_xlfn.XLOOKUP($C121,'2) หลักการคำนวน Table'!$A$4:$A$36, _xlfn.XLOOKUP($B121,'2) หลักการคำนวน Table'!$L$3:$Z$3,'2) หลักการคำนวน Table'!$L$4:$Z$36))),0)</f>
        <v>833</v>
      </c>
      <c r="BL121" s="295"/>
      <c r="BM121" s="295">
        <v>222206</v>
      </c>
      <c r="BN121" s="300">
        <v>1204</v>
      </c>
    </row>
    <row r="122" spans="1:66" ht="14.7" customHeight="1" x14ac:dyDescent="0.25">
      <c r="A122" s="126">
        <f>VLOOKUP(C122,ASTBase!E:S,13,FALSE)</f>
        <v>222237</v>
      </c>
      <c r="B122" s="126" t="s">
        <v>410</v>
      </c>
      <c r="C122" s="232" t="s">
        <v>398</v>
      </c>
      <c r="D122" s="296">
        <v>20000</v>
      </c>
      <c r="E122" s="296">
        <v>18000</v>
      </c>
      <c r="F122" s="296">
        <v>85500</v>
      </c>
      <c r="G122" s="296">
        <v>19000</v>
      </c>
      <c r="H122" s="296">
        <v>18000</v>
      </c>
      <c r="I122" s="296">
        <v>18000</v>
      </c>
      <c r="J122" s="296">
        <v>18000</v>
      </c>
      <c r="K122" s="296">
        <v>19000</v>
      </c>
      <c r="L122" s="296">
        <v>17000</v>
      </c>
      <c r="M122" s="296">
        <v>19500</v>
      </c>
      <c r="N122" s="296">
        <v>18000</v>
      </c>
      <c r="O122" s="296">
        <v>120000</v>
      </c>
      <c r="P122" s="295">
        <v>40251.649999999994</v>
      </c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7">
        <f>IFERROR(IF(VLOOKUP($B122,Shortage!$A:$M,AB$2,FALSE)="Shortage",1,IFERROR(ROUND(P122/D122,4),0)),IFERROR(ROUND(P122/D122,4),0))</f>
        <v>2.0125999999999999</v>
      </c>
      <c r="AC122" s="297">
        <f>IFERROR(IF(VLOOKUP($B122,Shortage!$A:$M,AC$2,FALSE)="Shortage",1,IFERROR(ROUND(Q122/E122,4),0)),IFERROR(ROUND(Q122/E122,4),0))</f>
        <v>0</v>
      </c>
      <c r="AD122" s="297">
        <f>IFERROR(IF(VLOOKUP($B122,Shortage!$A:$M,AD$2,FALSE)="Shortage",1,IFERROR(ROUND(R122/F122,4),0)),IFERROR(ROUND(R122/F122,4),0))</f>
        <v>0</v>
      </c>
      <c r="AE122" s="297">
        <f>IFERROR(IF(VLOOKUP($B122,Shortage!$A:$M,AE$2,FALSE)="Shortage",1,IFERROR(ROUND(S122/G122,4),0)),IFERROR(ROUND(S122/G122,4),0))</f>
        <v>0</v>
      </c>
      <c r="AF122" s="297">
        <f>IFERROR(IF(VLOOKUP($B122,Shortage!$A:$M,AF$2,FALSE)="Shortage",1,IFERROR(ROUND(T122/H122,4),0)),IFERROR(ROUND(T122/H122,4),0))</f>
        <v>0</v>
      </c>
      <c r="AG122" s="297">
        <f>IFERROR(IF(VLOOKUP($B122,Shortage!$A:$M,AG$2,FALSE)="Shortage",1,IFERROR(ROUND(U122/I122,4),0)),IFERROR(ROUND(U122/I122,4),0))</f>
        <v>0</v>
      </c>
      <c r="AH122" s="297">
        <f>IFERROR(IF(VLOOKUP($B122,Shortage!$A:$M,AH$2,FALSE)="Shortage",1,IFERROR(ROUND(V122/J122,4),0)),IFERROR(ROUND(V122/J122,4),0))</f>
        <v>0</v>
      </c>
      <c r="AI122" s="297">
        <f>IFERROR(IF(VLOOKUP($B122,Shortage!$A:$M,AI$2,FALSE)="Shortage",1,IFERROR(ROUND(W122/K122,4),0)),IFERROR(ROUND(W122/K122,4),0))</f>
        <v>0</v>
      </c>
      <c r="AJ122" s="297">
        <f>IFERROR(IF(VLOOKUP($B122,Shortage!$A:$M,AJ$2,FALSE)="Shortage",1,IFERROR(ROUND(X122/L122,4),0)),IFERROR(ROUND(X122/L122,4),0))</f>
        <v>0</v>
      </c>
      <c r="AK122" s="297">
        <f>IFERROR(IF(VLOOKUP($B122,Shortage!$A:$M,AK$2,FALSE)="Shortage",1,IFERROR(ROUND(Y122/M122,4),0)),IFERROR(ROUND(Y122/M122,4),0))</f>
        <v>0</v>
      </c>
      <c r="AL122" s="297">
        <f>IFERROR(IF(VLOOKUP($B122,Shortage!$A:$M,AL$2,FALSE)="Shortage",1,IFERROR(ROUND(Z122/N122,4),0)),IFERROR(ROUND(Z122/N122,4),0))</f>
        <v>0</v>
      </c>
      <c r="AM122" s="297">
        <f>IFERROR(IF(VLOOKUP($B122,Shortage!$A:$M,AM$2,FALSE)="Shortage",1,IFERROR(ROUND(AA122/O122,4),0)),IFERROR(ROUND(AA122/O122,4),0))</f>
        <v>0</v>
      </c>
      <c r="AN122" s="298">
        <f>IFERROR(_xlfn.XLOOKUP(AB122,'2) หลักการคำนวน Table'!$C$3:$K$3,'2) หลักการคำนวน Table'!$C$3:$K$3,,1),INDEX('2) หลักการคำนวน Table'!$C$3:$K$3,1))</f>
        <v>20</v>
      </c>
      <c r="AO122" s="298">
        <f>IFERROR(
  _xlfn.XLOOKUP(AC122,'2) หลักการคำนวน Table'!$C$3:$K$3,'2) หลักการคำนวน Table'!$C$3:$K$3,,1),
  IF(AC122&lt;MIN('2) หลักการคำนวน Table'!$C$3:$K$3),
     MIN('2) หลักการคำนวน Table'!$C$3:$K$3),
     MAX('2) หลักการคำนวน Table'!$C$3:$K$3)
  )
)</f>
        <v>0.9</v>
      </c>
      <c r="AP122" s="298">
        <f>IFERROR(
  _xlfn.XLOOKUP(AD122,'2) หลักการคำนวน Table'!$C$3:$K$3,'2) หลักการคำนวน Table'!$C$3:$K$3,,1),
  IF(AD122&lt;MIN('2) หลักการคำนวน Table'!$C$3:$K$3),
     MIN('2) หลักการคำนวน Table'!$C$3:$K$3),
     MAX('2) หลักการคำนวน Table'!$C$3:$K$3)
  )
)</f>
        <v>0.9</v>
      </c>
      <c r="AQ122" s="298">
        <f>IFERROR(
  _xlfn.XLOOKUP(AE122,'2) หลักการคำนวน Table'!$C$3:$K$3,'2) หลักการคำนวน Table'!$C$3:$K$3,,1),
  IF(AE122&lt;MIN('2) หลักการคำนวน Table'!$C$3:$K$3),
     MIN('2) หลักการคำนวน Table'!$C$3:$K$3),
     MAX('2) หลักการคำนวน Table'!$C$3:$K$3)
  )
)</f>
        <v>0.9</v>
      </c>
      <c r="AR122" s="298">
        <f>IFERROR(
  _xlfn.XLOOKUP(AF122,'2) หลักการคำนวน Table'!$C$3:$K$3,'2) หลักการคำนวน Table'!$C$3:$K$3,,1),
  IF(AF122&lt;MIN('2) หลักการคำนวน Table'!$C$3:$K$3),
     MIN('2) หลักการคำนวน Table'!$C$3:$K$3),
     MAX('2) หลักการคำนวน Table'!$C$3:$K$3)
  )
)</f>
        <v>0.9</v>
      </c>
      <c r="AS122" s="298">
        <f>IFERROR(
  _xlfn.XLOOKUP(AG122,'2) หลักการคำนวน Table'!$C$3:$K$3,'2) หลักการคำนวน Table'!$C$3:$K$3,,1),
  IF(AG122&lt;MIN('2) หลักการคำนวน Table'!$C$3:$K$3),
     MIN('2) หลักการคำนวน Table'!$C$3:$K$3),
     MAX('2) หลักการคำนวน Table'!$C$3:$K$3)
  )
)</f>
        <v>0.9</v>
      </c>
      <c r="AT122" s="298">
        <f>IFERROR(
  _xlfn.XLOOKUP(AH122,'2) หลักการคำนวน Table'!$C$3:$K$3,'2) หลักการคำนวน Table'!$C$3:$K$3,,1),
  IF(AH122&lt;MIN('2) หลักการคำนวน Table'!$C$3:$K$3),
     MIN('2) หลักการคำนวน Table'!$C$3:$K$3),
     MAX('2) หลักการคำนวน Table'!$C$3:$K$3)
  )
)</f>
        <v>0.9</v>
      </c>
      <c r="AU122" s="298">
        <f>IFERROR(
  _xlfn.XLOOKUP(AI122,'2) หลักการคำนวน Table'!$C$3:$K$3,'2) หลักการคำนวน Table'!$C$3:$K$3,,1),
  IF(AI122&lt;MIN('2) หลักการคำนวน Table'!$C$3:$K$3),
     MIN('2) หลักการคำนวน Table'!$C$3:$K$3),
     MAX('2) หลักการคำนวน Table'!$C$3:$K$3)
  )
)</f>
        <v>0.9</v>
      </c>
      <c r="AV122" s="298">
        <f>IFERROR(
  _xlfn.XLOOKUP(AJ122,'2) หลักการคำนวน Table'!$C$3:$K$3,'2) หลักการคำนวน Table'!$C$3:$K$3,,1),
  IF(AJ122&lt;MIN('2) หลักการคำนวน Table'!$C$3:$K$3),
     MIN('2) หลักการคำนวน Table'!$C$3:$K$3),
     MAX('2) หลักการคำนวน Table'!$C$3:$K$3)
  )
)</f>
        <v>0.9</v>
      </c>
      <c r="AW122" s="298">
        <f>IFERROR(
  _xlfn.XLOOKUP(AK122,'2) หลักการคำนวน Table'!$C$3:$K$3,'2) หลักการคำนวน Table'!$C$3:$K$3,,1),
  IF(AK122&lt;MIN('2) หลักการคำนวน Table'!$C$3:$K$3),
     MIN('2) หลักการคำนวน Table'!$C$3:$K$3),
     MAX('2) หลักการคำนวน Table'!$C$3:$K$3)
  )
)</f>
        <v>0.9</v>
      </c>
      <c r="AX122" s="298">
        <f>IFERROR(
  _xlfn.XLOOKUP(AL122,'2) หลักการคำนวน Table'!$C$3:$K$3,'2) หลักการคำนวน Table'!$C$3:$K$3,,1),
  IF(AL122&lt;MIN('2) หลักการคำนวน Table'!$C$3:$K$3),
     MIN('2) หลักการคำนวน Table'!$C$3:$K$3),
     MAX('2) หลักการคำนวน Table'!$C$3:$K$3)
  )
)</f>
        <v>0.9</v>
      </c>
      <c r="AY122" s="298">
        <f>IFERROR(
  _xlfn.XLOOKUP(AM122,'2) หลักการคำนวน Table'!$C$3:$K$3,'2) หลักการคำนวน Table'!$C$3:$K$3,,1),
  IF(AM122&lt;MIN('2) หลักการคำนวน Table'!$C$3:$K$3),
     MIN('2) หลักการคำนวน Table'!$C$3:$K$3),
     MAX('2) หลักการคำนวน Table'!$C$3:$K$3)
  )
)</f>
        <v>0.9</v>
      </c>
      <c r="AZ122" s="299" cm="1">
        <f t="array" ref="AZ122">ROUND((_xlfn.XLOOKUP($C122,'2) หลักการคำนวน Table'!$A$4:$A$36,
_xlfn.XLOOKUP(AN122,'2)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1324</v>
      </c>
      <c r="BA122" s="299" cm="1">
        <f t="array" ref="BA122">ROUND((_xlfn.XLOOKUP($C122,'2) หลักการคำนวน Table'!$A$4:$A$36,
_xlfn.XLOOKUP(AO122,'2)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917</v>
      </c>
      <c r="BB122" s="299" cm="1">
        <f t="array" ref="BB122">ROUND((_xlfn.XLOOKUP($C122,'2) หลักการคำนวน Table'!$A$4:$A$36,
_xlfn.XLOOKUP(AP122,'2)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917</v>
      </c>
      <c r="BC122" s="299" cm="1">
        <f t="array" ref="BC122">ROUND((_xlfn.XLOOKUP($C122,'2) หลักการคำนวน Table'!$A$4:$A$36,
_xlfn.XLOOKUP(AQ122,'2)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917</v>
      </c>
      <c r="BD122" s="299" cm="1">
        <f t="array" ref="BD122">ROUND((_xlfn.XLOOKUP($C122,'2) หลักการคำนวน Table'!$A$4:$A$36,
_xlfn.XLOOKUP(AR122,'2)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917</v>
      </c>
      <c r="BE122" s="299" cm="1">
        <f t="array" ref="BE122">ROUND((_xlfn.XLOOKUP($C122,'2) หลักการคำนวน Table'!$A$4:$A$36,
_xlfn.XLOOKUP(AS122,'2)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917</v>
      </c>
      <c r="BF122" s="299" cm="1">
        <f t="array" ref="BF122">ROUND((_xlfn.XLOOKUP($C122,'2) หลักการคำนวน Table'!$A$4:$A$36,
_xlfn.XLOOKUP(AT122,'2)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917</v>
      </c>
      <c r="BG122" s="299" cm="1">
        <f t="array" ref="BG122">ROUND((_xlfn.XLOOKUP($C122,'2) หลักการคำนวน Table'!$A$4:$A$36,
_xlfn.XLOOKUP(AU122,'2)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917</v>
      </c>
      <c r="BH122" s="299" cm="1">
        <f t="array" ref="BH122">ROUND((_xlfn.XLOOKUP($C122,'2) หลักการคำนวน Table'!$A$4:$A$36,
_xlfn.XLOOKUP(AV122,'2)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917</v>
      </c>
      <c r="BI122" s="299" cm="1">
        <f t="array" ref="BI122">ROUND((_xlfn.XLOOKUP($C122,'2) หลักการคำนวน Table'!$A$4:$A$36,
_xlfn.XLOOKUP(AW122,'2)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917</v>
      </c>
      <c r="BJ122" s="299" cm="1">
        <f t="array" ref="BJ122">ROUND((_xlfn.XLOOKUP($C122,'2) หลักการคำนวน Table'!$A$4:$A$36,
_xlfn.XLOOKUP(AX122,'2)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917</v>
      </c>
      <c r="BK122" s="299" cm="1">
        <f t="array" ref="BK122">ROUND((_xlfn.XLOOKUP($C122,'2) หลักการคำนวน Table'!$A$4:$A$36,
_xlfn.XLOOKUP(AY122,'2) หลักการคำนวน Table'!$C$3:$K$3,'2) หลักการคำนวน Table'!$C$4:$K$36,,-1)))*(_xlfn.XLOOKUP($C122,'2) หลักการคำนวน Table'!$A$4:$A$36, _xlfn.XLOOKUP($B122,'2) หลักการคำนวน Table'!$L$3:$Z$3,'2) หลักการคำนวน Table'!$L$4:$Z$36))),0)</f>
        <v>917</v>
      </c>
      <c r="BL122" s="295"/>
      <c r="BM122" s="295">
        <v>222206</v>
      </c>
      <c r="BN122" s="300">
        <v>1324</v>
      </c>
    </row>
    <row r="123" spans="1:66" ht="14.7" customHeight="1" x14ac:dyDescent="0.25">
      <c r="A123" s="126">
        <f>VLOOKUP(C123,ASTBase!E:S,13,FALSE)</f>
        <v>222237</v>
      </c>
      <c r="B123" s="126" t="s">
        <v>415</v>
      </c>
      <c r="C123" s="232" t="s">
        <v>398</v>
      </c>
      <c r="D123" s="296">
        <v>7700</v>
      </c>
      <c r="E123" s="296">
        <v>7700</v>
      </c>
      <c r="F123" s="296">
        <v>44000</v>
      </c>
      <c r="G123" s="296">
        <v>8000</v>
      </c>
      <c r="H123" s="296">
        <v>7500</v>
      </c>
      <c r="I123" s="296">
        <v>8000</v>
      </c>
      <c r="J123" s="296">
        <v>8000</v>
      </c>
      <c r="K123" s="296">
        <v>7500</v>
      </c>
      <c r="L123" s="296">
        <v>7500</v>
      </c>
      <c r="M123" s="296">
        <v>7500</v>
      </c>
      <c r="N123" s="296">
        <v>8000</v>
      </c>
      <c r="O123" s="296">
        <v>50000</v>
      </c>
      <c r="P123" s="295">
        <v>13104.000000000007</v>
      </c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7">
        <f>IFERROR(IF(VLOOKUP($B123,Shortage!$A:$M,AB$2,FALSE)="Shortage",1,IFERROR(ROUND(P123/D123,4),0)),IFERROR(ROUND(P123/D123,4),0))</f>
        <v>1.7018</v>
      </c>
      <c r="AC123" s="297">
        <f>IFERROR(IF(VLOOKUP($B123,Shortage!$A:$M,AC$2,FALSE)="Shortage",1,IFERROR(ROUND(Q123/E123,4),0)),IFERROR(ROUND(Q123/E123,4),0))</f>
        <v>0</v>
      </c>
      <c r="AD123" s="297">
        <f>IFERROR(IF(VLOOKUP($B123,Shortage!$A:$M,AD$2,FALSE)="Shortage",1,IFERROR(ROUND(R123/F123,4),0)),IFERROR(ROUND(R123/F123,4),0))</f>
        <v>0</v>
      </c>
      <c r="AE123" s="297">
        <f>IFERROR(IF(VLOOKUP($B123,Shortage!$A:$M,AE$2,FALSE)="Shortage",1,IFERROR(ROUND(S123/G123,4),0)),IFERROR(ROUND(S123/G123,4),0))</f>
        <v>0</v>
      </c>
      <c r="AF123" s="297">
        <f>IFERROR(IF(VLOOKUP($B123,Shortage!$A:$M,AF$2,FALSE)="Shortage",1,IFERROR(ROUND(T123/H123,4),0)),IFERROR(ROUND(T123/H123,4),0))</f>
        <v>0</v>
      </c>
      <c r="AG123" s="297">
        <f>IFERROR(IF(VLOOKUP($B123,Shortage!$A:$M,AG$2,FALSE)="Shortage",1,IFERROR(ROUND(U123/I123,4),0)),IFERROR(ROUND(U123/I123,4),0))</f>
        <v>0</v>
      </c>
      <c r="AH123" s="297">
        <f>IFERROR(IF(VLOOKUP($B123,Shortage!$A:$M,AH$2,FALSE)="Shortage",1,IFERROR(ROUND(V123/J123,4),0)),IFERROR(ROUND(V123/J123,4),0))</f>
        <v>0</v>
      </c>
      <c r="AI123" s="297">
        <f>IFERROR(IF(VLOOKUP($B123,Shortage!$A:$M,AI$2,FALSE)="Shortage",1,IFERROR(ROUND(W123/K123,4),0)),IFERROR(ROUND(W123/K123,4),0))</f>
        <v>0</v>
      </c>
      <c r="AJ123" s="297">
        <f>IFERROR(IF(VLOOKUP($B123,Shortage!$A:$M,AJ$2,FALSE)="Shortage",1,IFERROR(ROUND(X123/L123,4),0)),IFERROR(ROUND(X123/L123,4),0))</f>
        <v>0</v>
      </c>
      <c r="AK123" s="297">
        <f>IFERROR(IF(VLOOKUP($B123,Shortage!$A:$M,AK$2,FALSE)="Shortage",1,IFERROR(ROUND(Y123/M123,4),0)),IFERROR(ROUND(Y123/M123,4),0))</f>
        <v>0</v>
      </c>
      <c r="AL123" s="297">
        <f>IFERROR(IF(VLOOKUP($B123,Shortage!$A:$M,AL$2,FALSE)="Shortage",1,IFERROR(ROUND(Z123/N123,4),0)),IFERROR(ROUND(Z123/N123,4),0))</f>
        <v>0</v>
      </c>
      <c r="AM123" s="297">
        <f>IFERROR(IF(VLOOKUP($B123,Shortage!$A:$M,AM$2,FALSE)="Shortage",1,IFERROR(ROUND(AA123/O123,4),0)),IFERROR(ROUND(AA123/O123,4),0))</f>
        <v>0</v>
      </c>
      <c r="AN123" s="298">
        <f>IFERROR(_xlfn.XLOOKUP(AB123,'2) หลักการคำนวน Table'!$C$3:$K$3,'2) หลักการคำนวน Table'!$C$3:$K$3,,1),INDEX('2) หลักการคำนวน Table'!$C$3:$K$3,1))</f>
        <v>20</v>
      </c>
      <c r="AO123" s="298">
        <f>IFERROR(
  _xlfn.XLOOKUP(AC123,'2) หลักการคำนวน Table'!$C$3:$K$3,'2) หลักการคำนวน Table'!$C$3:$K$3,,1),
  IF(AC123&lt;MIN('2) หลักการคำนวน Table'!$C$3:$K$3),
     MIN('2) หลักการคำนวน Table'!$C$3:$K$3),
     MAX('2) หลักการคำนวน Table'!$C$3:$K$3)
  )
)</f>
        <v>0.9</v>
      </c>
      <c r="AP123" s="298">
        <f>IFERROR(
  _xlfn.XLOOKUP(AD123,'2) หลักการคำนวน Table'!$C$3:$K$3,'2) หลักการคำนวน Table'!$C$3:$K$3,,1),
  IF(AD123&lt;MIN('2) หลักการคำนวน Table'!$C$3:$K$3),
     MIN('2) หลักการคำนวน Table'!$C$3:$K$3),
     MAX('2) หลักการคำนวน Table'!$C$3:$K$3)
  )
)</f>
        <v>0.9</v>
      </c>
      <c r="AQ123" s="298">
        <f>IFERROR(
  _xlfn.XLOOKUP(AE123,'2) หลักการคำนวน Table'!$C$3:$K$3,'2) หลักการคำนวน Table'!$C$3:$K$3,,1),
  IF(AE123&lt;MIN('2) หลักการคำนวน Table'!$C$3:$K$3),
     MIN('2) หลักการคำนวน Table'!$C$3:$K$3),
     MAX('2) หลักการคำนวน Table'!$C$3:$K$3)
  )
)</f>
        <v>0.9</v>
      </c>
      <c r="AR123" s="298">
        <f>IFERROR(
  _xlfn.XLOOKUP(AF123,'2) หลักการคำนวน Table'!$C$3:$K$3,'2) หลักการคำนวน Table'!$C$3:$K$3,,1),
  IF(AF123&lt;MIN('2) หลักการคำนวน Table'!$C$3:$K$3),
     MIN('2) หลักการคำนวน Table'!$C$3:$K$3),
     MAX('2) หลักการคำนวน Table'!$C$3:$K$3)
  )
)</f>
        <v>0.9</v>
      </c>
      <c r="AS123" s="298">
        <f>IFERROR(
  _xlfn.XLOOKUP(AG123,'2) หลักการคำนวน Table'!$C$3:$K$3,'2) หลักการคำนวน Table'!$C$3:$K$3,,1),
  IF(AG123&lt;MIN('2) หลักการคำนวน Table'!$C$3:$K$3),
     MIN('2) หลักการคำนวน Table'!$C$3:$K$3),
     MAX('2) หลักการคำนวน Table'!$C$3:$K$3)
  )
)</f>
        <v>0.9</v>
      </c>
      <c r="AT123" s="298">
        <f>IFERROR(
  _xlfn.XLOOKUP(AH123,'2) หลักการคำนวน Table'!$C$3:$K$3,'2) หลักการคำนวน Table'!$C$3:$K$3,,1),
  IF(AH123&lt;MIN('2) หลักการคำนวน Table'!$C$3:$K$3),
     MIN('2) หลักการคำนวน Table'!$C$3:$K$3),
     MAX('2) หลักการคำนวน Table'!$C$3:$K$3)
  )
)</f>
        <v>0.9</v>
      </c>
      <c r="AU123" s="298">
        <f>IFERROR(
  _xlfn.XLOOKUP(AI123,'2) หลักการคำนวน Table'!$C$3:$K$3,'2) หลักการคำนวน Table'!$C$3:$K$3,,1),
  IF(AI123&lt;MIN('2) หลักการคำนวน Table'!$C$3:$K$3),
     MIN('2) หลักการคำนวน Table'!$C$3:$K$3),
     MAX('2) หลักการคำนวน Table'!$C$3:$K$3)
  )
)</f>
        <v>0.9</v>
      </c>
      <c r="AV123" s="298">
        <f>IFERROR(
  _xlfn.XLOOKUP(AJ123,'2) หลักการคำนวน Table'!$C$3:$K$3,'2) หลักการคำนวน Table'!$C$3:$K$3,,1),
  IF(AJ123&lt;MIN('2) หลักการคำนวน Table'!$C$3:$K$3),
     MIN('2) หลักการคำนวน Table'!$C$3:$K$3),
     MAX('2) หลักการคำนวน Table'!$C$3:$K$3)
  )
)</f>
        <v>0.9</v>
      </c>
      <c r="AW123" s="298">
        <f>IFERROR(
  _xlfn.XLOOKUP(AK123,'2) หลักการคำนวน Table'!$C$3:$K$3,'2) หลักการคำนวน Table'!$C$3:$K$3,,1),
  IF(AK123&lt;MIN('2) หลักการคำนวน Table'!$C$3:$K$3),
     MIN('2) หลักการคำนวน Table'!$C$3:$K$3),
     MAX('2) หลักการคำนวน Table'!$C$3:$K$3)
  )
)</f>
        <v>0.9</v>
      </c>
      <c r="AX123" s="298">
        <f>IFERROR(
  _xlfn.XLOOKUP(AL123,'2) หลักการคำนวน Table'!$C$3:$K$3,'2) หลักการคำนวน Table'!$C$3:$K$3,,1),
  IF(AL123&lt;MIN('2) หลักการคำนวน Table'!$C$3:$K$3),
     MIN('2) หลักการคำนวน Table'!$C$3:$K$3),
     MAX('2) หลักการคำนวน Table'!$C$3:$K$3)
  )
)</f>
        <v>0.9</v>
      </c>
      <c r="AY123" s="298">
        <f>IFERROR(
  _xlfn.XLOOKUP(AM123,'2) หลักการคำนวน Table'!$C$3:$K$3,'2) หลักการคำนวน Table'!$C$3:$K$3,,1),
  IF(AM123&lt;MIN('2) หลักการคำนวน Table'!$C$3:$K$3),
     MIN('2) หลักการคำนวน Table'!$C$3:$K$3),
     MAX('2) หลักการคำนวน Table'!$C$3:$K$3)
  )
)</f>
        <v>0.9</v>
      </c>
      <c r="AZ123" s="299" cm="1">
        <f t="array" ref="AZ123">ROUND((_xlfn.XLOOKUP($C123,'2) หลักการคำนวน Table'!$A$4:$A$36,
_xlfn.XLOOKUP(AN123,'2)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481</v>
      </c>
      <c r="BA123" s="299" cm="1">
        <f t="array" ref="BA123">ROUND((_xlfn.XLOOKUP($C123,'2) หลักการคำนวน Table'!$A$4:$A$36,
_xlfn.XLOOKUP(AO123,'2)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333</v>
      </c>
      <c r="BB123" s="299" cm="1">
        <f t="array" ref="BB123">ROUND((_xlfn.XLOOKUP($C123,'2) หลักการคำนวน Table'!$A$4:$A$36,
_xlfn.XLOOKUP(AP123,'2)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333</v>
      </c>
      <c r="BC123" s="299" cm="1">
        <f t="array" ref="BC123">ROUND((_xlfn.XLOOKUP($C123,'2) หลักการคำนวน Table'!$A$4:$A$36,
_xlfn.XLOOKUP(AQ123,'2)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333</v>
      </c>
      <c r="BD123" s="299" cm="1">
        <f t="array" ref="BD123">ROUND((_xlfn.XLOOKUP($C123,'2) หลักการคำนวน Table'!$A$4:$A$36,
_xlfn.XLOOKUP(AR123,'2)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333</v>
      </c>
      <c r="BE123" s="299" cm="1">
        <f t="array" ref="BE123">ROUND((_xlfn.XLOOKUP($C123,'2) หลักการคำนวน Table'!$A$4:$A$36,
_xlfn.XLOOKUP(AS123,'2)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333</v>
      </c>
      <c r="BF123" s="299" cm="1">
        <f t="array" ref="BF123">ROUND((_xlfn.XLOOKUP($C123,'2) หลักการคำนวน Table'!$A$4:$A$36,
_xlfn.XLOOKUP(AT123,'2)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333</v>
      </c>
      <c r="BG123" s="299" cm="1">
        <f t="array" ref="BG123">ROUND((_xlfn.XLOOKUP($C123,'2) หลักการคำนวน Table'!$A$4:$A$36,
_xlfn.XLOOKUP(AU123,'2)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333</v>
      </c>
      <c r="BH123" s="299" cm="1">
        <f t="array" ref="BH123">ROUND((_xlfn.XLOOKUP($C123,'2) หลักการคำนวน Table'!$A$4:$A$36,
_xlfn.XLOOKUP(AV123,'2)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333</v>
      </c>
      <c r="BI123" s="299" cm="1">
        <f t="array" ref="BI123">ROUND((_xlfn.XLOOKUP($C123,'2) หลักการคำนวน Table'!$A$4:$A$36,
_xlfn.XLOOKUP(AW123,'2)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333</v>
      </c>
      <c r="BJ123" s="299" cm="1">
        <f t="array" ref="BJ123">ROUND((_xlfn.XLOOKUP($C123,'2) หลักการคำนวน Table'!$A$4:$A$36,
_xlfn.XLOOKUP(AX123,'2)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333</v>
      </c>
      <c r="BK123" s="299" cm="1">
        <f t="array" ref="BK123">ROUND((_xlfn.XLOOKUP($C123,'2) หลักการคำนวน Table'!$A$4:$A$36,
_xlfn.XLOOKUP(AY123,'2) หลักการคำนวน Table'!$C$3:$K$3,'2) หลักการคำนวน Table'!$C$4:$K$36,,-1)))*(_xlfn.XLOOKUP($C123,'2) หลักการคำนวน Table'!$A$4:$A$36, _xlfn.XLOOKUP($B123,'2) หลักการคำนวน Table'!$L$3:$Z$3,'2) หลักการคำนวน Table'!$L$4:$Z$36))),0)</f>
        <v>333</v>
      </c>
      <c r="BL123" s="295"/>
      <c r="BM123" s="295">
        <v>222206</v>
      </c>
      <c r="BN123" s="300">
        <v>481</v>
      </c>
    </row>
    <row r="124" spans="1:66" ht="14.7" customHeight="1" x14ac:dyDescent="0.25">
      <c r="A124" s="126">
        <f>VLOOKUP(C124,ASTBase!E:S,13,FALSE)</f>
        <v>222237</v>
      </c>
      <c r="B124" s="126" t="s">
        <v>414</v>
      </c>
      <c r="C124" s="232" t="s">
        <v>398</v>
      </c>
      <c r="D124" s="296">
        <v>31000</v>
      </c>
      <c r="E124" s="296">
        <v>28000</v>
      </c>
      <c r="F124" s="296">
        <v>70000</v>
      </c>
      <c r="G124" s="296">
        <v>45000</v>
      </c>
      <c r="H124" s="296">
        <v>32000</v>
      </c>
      <c r="I124" s="296">
        <v>28000</v>
      </c>
      <c r="J124" s="296">
        <v>38000</v>
      </c>
      <c r="K124" s="296">
        <v>23000</v>
      </c>
      <c r="L124" s="296">
        <v>25000</v>
      </c>
      <c r="M124" s="296">
        <v>35000</v>
      </c>
      <c r="N124" s="296">
        <v>23000</v>
      </c>
      <c r="O124" s="296">
        <v>72000</v>
      </c>
      <c r="P124" s="295">
        <v>40346.399999999972</v>
      </c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  <c r="AA124" s="295"/>
      <c r="AB124" s="297">
        <f>IFERROR(IF(VLOOKUP($B124,Shortage!$A:$M,AB$2,FALSE)="Shortage",1,IFERROR(ROUND(P124/D124,4),0)),IFERROR(ROUND(P124/D124,4),0))</f>
        <v>1.3015000000000001</v>
      </c>
      <c r="AC124" s="297">
        <f>IFERROR(IF(VLOOKUP($B124,Shortage!$A:$M,AC$2,FALSE)="Shortage",1,IFERROR(ROUND(Q124/E124,4),0)),IFERROR(ROUND(Q124/E124,4),0))</f>
        <v>0</v>
      </c>
      <c r="AD124" s="297">
        <f>IFERROR(IF(VLOOKUP($B124,Shortage!$A:$M,AD$2,FALSE)="Shortage",1,IFERROR(ROUND(R124/F124,4),0)),IFERROR(ROUND(R124/F124,4),0))</f>
        <v>0</v>
      </c>
      <c r="AE124" s="297">
        <f>IFERROR(IF(VLOOKUP($B124,Shortage!$A:$M,AE$2,FALSE)="Shortage",1,IFERROR(ROUND(S124/G124,4),0)),IFERROR(ROUND(S124/G124,4),0))</f>
        <v>0</v>
      </c>
      <c r="AF124" s="297">
        <f>IFERROR(IF(VLOOKUP($B124,Shortage!$A:$M,AF$2,FALSE)="Shortage",1,IFERROR(ROUND(T124/H124,4),0)),IFERROR(ROUND(T124/H124,4),0))</f>
        <v>0</v>
      </c>
      <c r="AG124" s="297">
        <f>IFERROR(IF(VLOOKUP($B124,Shortage!$A:$M,AG$2,FALSE)="Shortage",1,IFERROR(ROUND(U124/I124,4),0)),IFERROR(ROUND(U124/I124,4),0))</f>
        <v>0</v>
      </c>
      <c r="AH124" s="297">
        <f>IFERROR(IF(VLOOKUP($B124,Shortage!$A:$M,AH$2,FALSE)="Shortage",1,IFERROR(ROUND(V124/J124,4),0)),IFERROR(ROUND(V124/J124,4),0))</f>
        <v>0</v>
      </c>
      <c r="AI124" s="297">
        <f>IFERROR(IF(VLOOKUP($B124,Shortage!$A:$M,AI$2,FALSE)="Shortage",1,IFERROR(ROUND(W124/K124,4),0)),IFERROR(ROUND(W124/K124,4),0))</f>
        <v>0</v>
      </c>
      <c r="AJ124" s="297">
        <f>IFERROR(IF(VLOOKUP($B124,Shortage!$A:$M,AJ$2,FALSE)="Shortage",1,IFERROR(ROUND(X124/L124,4),0)),IFERROR(ROUND(X124/L124,4),0))</f>
        <v>0</v>
      </c>
      <c r="AK124" s="297">
        <f>IFERROR(IF(VLOOKUP($B124,Shortage!$A:$M,AK$2,FALSE)="Shortage",1,IFERROR(ROUND(Y124/M124,4),0)),IFERROR(ROUND(Y124/M124,4),0))</f>
        <v>0</v>
      </c>
      <c r="AL124" s="297">
        <f>IFERROR(IF(VLOOKUP($B124,Shortage!$A:$M,AL$2,FALSE)="Shortage",1,IFERROR(ROUND(Z124/N124,4),0)),IFERROR(ROUND(Z124/N124,4),0))</f>
        <v>0</v>
      </c>
      <c r="AM124" s="297">
        <f>IFERROR(IF(VLOOKUP($B124,Shortage!$A:$M,AM$2,FALSE)="Shortage",1,IFERROR(ROUND(AA124/O124,4),0)),IFERROR(ROUND(AA124/O124,4),0))</f>
        <v>0</v>
      </c>
      <c r="AN124" s="298">
        <f>IFERROR(_xlfn.XLOOKUP(AB124,'2) หลักการคำนวน Table'!$C$3:$K$3,'2) หลักการคำนวน Table'!$C$3:$K$3,,1),INDEX('2) หลักการคำนวน Table'!$C$3:$K$3,1))</f>
        <v>20</v>
      </c>
      <c r="AO124" s="298">
        <f>IFERROR(
  _xlfn.XLOOKUP(AC124,'2) หลักการคำนวน Table'!$C$3:$K$3,'2) หลักการคำนวน Table'!$C$3:$K$3,,1),
  IF(AC124&lt;MIN('2) หลักการคำนวน Table'!$C$3:$K$3),
     MIN('2) หลักการคำนวน Table'!$C$3:$K$3),
     MAX('2) หลักการคำนวน Table'!$C$3:$K$3)
  )
)</f>
        <v>0.9</v>
      </c>
      <c r="AP124" s="298">
        <f>IFERROR(
  _xlfn.XLOOKUP(AD124,'2) หลักการคำนวน Table'!$C$3:$K$3,'2) หลักการคำนวน Table'!$C$3:$K$3,,1),
  IF(AD124&lt;MIN('2) หลักการคำนวน Table'!$C$3:$K$3),
     MIN('2) หลักการคำนวน Table'!$C$3:$K$3),
     MAX('2) หลักการคำนวน Table'!$C$3:$K$3)
  )
)</f>
        <v>0.9</v>
      </c>
      <c r="AQ124" s="298">
        <f>IFERROR(
  _xlfn.XLOOKUP(AE124,'2) หลักการคำนวน Table'!$C$3:$K$3,'2) หลักการคำนวน Table'!$C$3:$K$3,,1),
  IF(AE124&lt;MIN('2) หลักการคำนวน Table'!$C$3:$K$3),
     MIN('2) หลักการคำนวน Table'!$C$3:$K$3),
     MAX('2) หลักการคำนวน Table'!$C$3:$K$3)
  )
)</f>
        <v>0.9</v>
      </c>
      <c r="AR124" s="298">
        <f>IFERROR(
  _xlfn.XLOOKUP(AF124,'2) หลักการคำนวน Table'!$C$3:$K$3,'2) หลักการคำนวน Table'!$C$3:$K$3,,1),
  IF(AF124&lt;MIN('2) หลักการคำนวน Table'!$C$3:$K$3),
     MIN('2) หลักการคำนวน Table'!$C$3:$K$3),
     MAX('2) หลักการคำนวน Table'!$C$3:$K$3)
  )
)</f>
        <v>0.9</v>
      </c>
      <c r="AS124" s="298">
        <f>IFERROR(
  _xlfn.XLOOKUP(AG124,'2) หลักการคำนวน Table'!$C$3:$K$3,'2) หลักการคำนวน Table'!$C$3:$K$3,,1),
  IF(AG124&lt;MIN('2) หลักการคำนวน Table'!$C$3:$K$3),
     MIN('2) หลักการคำนวน Table'!$C$3:$K$3),
     MAX('2) หลักการคำนวน Table'!$C$3:$K$3)
  )
)</f>
        <v>0.9</v>
      </c>
      <c r="AT124" s="298">
        <f>IFERROR(
  _xlfn.XLOOKUP(AH124,'2) หลักการคำนวน Table'!$C$3:$K$3,'2) หลักการคำนวน Table'!$C$3:$K$3,,1),
  IF(AH124&lt;MIN('2) หลักการคำนวน Table'!$C$3:$K$3),
     MIN('2) หลักการคำนวน Table'!$C$3:$K$3),
     MAX('2) หลักการคำนวน Table'!$C$3:$K$3)
  )
)</f>
        <v>0.9</v>
      </c>
      <c r="AU124" s="298">
        <f>IFERROR(
  _xlfn.XLOOKUP(AI124,'2) หลักการคำนวน Table'!$C$3:$K$3,'2) หลักการคำนวน Table'!$C$3:$K$3,,1),
  IF(AI124&lt;MIN('2) หลักการคำนวน Table'!$C$3:$K$3),
     MIN('2) หลักการคำนวน Table'!$C$3:$K$3),
     MAX('2) หลักการคำนวน Table'!$C$3:$K$3)
  )
)</f>
        <v>0.9</v>
      </c>
      <c r="AV124" s="298">
        <f>IFERROR(
  _xlfn.XLOOKUP(AJ124,'2) หลักการคำนวน Table'!$C$3:$K$3,'2) หลักการคำนวน Table'!$C$3:$K$3,,1),
  IF(AJ124&lt;MIN('2) หลักการคำนวน Table'!$C$3:$K$3),
     MIN('2) หลักการคำนวน Table'!$C$3:$K$3),
     MAX('2) หลักการคำนวน Table'!$C$3:$K$3)
  )
)</f>
        <v>0.9</v>
      </c>
      <c r="AW124" s="298">
        <f>IFERROR(
  _xlfn.XLOOKUP(AK124,'2) หลักการคำนวน Table'!$C$3:$K$3,'2) หลักการคำนวน Table'!$C$3:$K$3,,1),
  IF(AK124&lt;MIN('2) หลักการคำนวน Table'!$C$3:$K$3),
     MIN('2) หลักการคำนวน Table'!$C$3:$K$3),
     MAX('2) หลักการคำนวน Table'!$C$3:$K$3)
  )
)</f>
        <v>0.9</v>
      </c>
      <c r="AX124" s="298">
        <f>IFERROR(
  _xlfn.XLOOKUP(AL124,'2) หลักการคำนวน Table'!$C$3:$K$3,'2) หลักการคำนวน Table'!$C$3:$K$3,,1),
  IF(AL124&lt;MIN('2) หลักการคำนวน Table'!$C$3:$K$3),
     MIN('2) หลักการคำนวน Table'!$C$3:$K$3),
     MAX('2) หลักการคำนวน Table'!$C$3:$K$3)
  )
)</f>
        <v>0.9</v>
      </c>
      <c r="AY124" s="298">
        <f>IFERROR(
  _xlfn.XLOOKUP(AM124,'2) หลักการคำนวน Table'!$C$3:$K$3,'2) หลักการคำนวน Table'!$C$3:$K$3,,1),
  IF(AM124&lt;MIN('2) หลักการคำนวน Table'!$C$3:$K$3),
     MIN('2) หลักการคำนวน Table'!$C$3:$K$3),
     MAX('2) หลักการคำนวน Table'!$C$3:$K$3)
  )
)</f>
        <v>0.9</v>
      </c>
      <c r="AZ124" s="299" cm="1">
        <f t="array" ref="AZ124">ROUND((_xlfn.XLOOKUP($C124,'2) หลักการคำนวน Table'!$A$4:$A$36,
_xlfn.XLOOKUP(AN124,'2)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481</v>
      </c>
      <c r="BA124" s="299" cm="1">
        <f t="array" ref="BA124">ROUND((_xlfn.XLOOKUP($C124,'2) หลักการคำนวน Table'!$A$4:$A$36,
_xlfn.XLOOKUP(AO124,'2)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333</v>
      </c>
      <c r="BB124" s="299" cm="1">
        <f t="array" ref="BB124">ROUND((_xlfn.XLOOKUP($C124,'2) หลักการคำนวน Table'!$A$4:$A$36,
_xlfn.XLOOKUP(AP124,'2)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333</v>
      </c>
      <c r="BC124" s="299" cm="1">
        <f t="array" ref="BC124">ROUND((_xlfn.XLOOKUP($C124,'2) หลักการคำนวน Table'!$A$4:$A$36,
_xlfn.XLOOKUP(AQ124,'2)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333</v>
      </c>
      <c r="BD124" s="299" cm="1">
        <f t="array" ref="BD124">ROUND((_xlfn.XLOOKUP($C124,'2) หลักการคำนวน Table'!$A$4:$A$36,
_xlfn.XLOOKUP(AR124,'2)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333</v>
      </c>
      <c r="BE124" s="299" cm="1">
        <f t="array" ref="BE124">ROUND((_xlfn.XLOOKUP($C124,'2) หลักการคำนวน Table'!$A$4:$A$36,
_xlfn.XLOOKUP(AS124,'2)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333</v>
      </c>
      <c r="BF124" s="299" cm="1">
        <f t="array" ref="BF124">ROUND((_xlfn.XLOOKUP($C124,'2) หลักการคำนวน Table'!$A$4:$A$36,
_xlfn.XLOOKUP(AT124,'2)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333</v>
      </c>
      <c r="BG124" s="299" cm="1">
        <f t="array" ref="BG124">ROUND((_xlfn.XLOOKUP($C124,'2) หลักการคำนวน Table'!$A$4:$A$36,
_xlfn.XLOOKUP(AU124,'2)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333</v>
      </c>
      <c r="BH124" s="299" cm="1">
        <f t="array" ref="BH124">ROUND((_xlfn.XLOOKUP($C124,'2) หลักการคำนวน Table'!$A$4:$A$36,
_xlfn.XLOOKUP(AV124,'2)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333</v>
      </c>
      <c r="BI124" s="299" cm="1">
        <f t="array" ref="BI124">ROUND((_xlfn.XLOOKUP($C124,'2) หลักการคำนวน Table'!$A$4:$A$36,
_xlfn.XLOOKUP(AW124,'2)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333</v>
      </c>
      <c r="BJ124" s="299" cm="1">
        <f t="array" ref="BJ124">ROUND((_xlfn.XLOOKUP($C124,'2) หลักการคำนวน Table'!$A$4:$A$36,
_xlfn.XLOOKUP(AX124,'2)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333</v>
      </c>
      <c r="BK124" s="299" cm="1">
        <f t="array" ref="BK124">ROUND((_xlfn.XLOOKUP($C124,'2) หลักการคำนวน Table'!$A$4:$A$36,
_xlfn.XLOOKUP(AY124,'2) หลักการคำนวน Table'!$C$3:$K$3,'2) หลักการคำนวน Table'!$C$4:$K$36,,-1)))*(_xlfn.XLOOKUP($C124,'2) หลักการคำนวน Table'!$A$4:$A$36, _xlfn.XLOOKUP($B124,'2) หลักการคำนวน Table'!$L$3:$Z$3,'2) หลักการคำนวน Table'!$L$4:$Z$36))),0)</f>
        <v>333</v>
      </c>
      <c r="BL124" s="295"/>
      <c r="BM124" s="295">
        <v>222206</v>
      </c>
      <c r="BN124" s="300">
        <v>481</v>
      </c>
    </row>
    <row r="125" spans="1:66" ht="14.7" customHeight="1" x14ac:dyDescent="0.25">
      <c r="A125" s="126">
        <f>VLOOKUP(C125,ASTBase!E:S,13,FALSE)</f>
        <v>222237</v>
      </c>
      <c r="B125" s="126" t="s">
        <v>411</v>
      </c>
      <c r="C125" s="232" t="s">
        <v>398</v>
      </c>
      <c r="D125" s="296">
        <v>4000</v>
      </c>
      <c r="E125" s="296">
        <v>4000</v>
      </c>
      <c r="F125" s="296">
        <v>15000</v>
      </c>
      <c r="G125" s="296">
        <v>3500</v>
      </c>
      <c r="H125" s="296">
        <v>4000</v>
      </c>
      <c r="I125" s="296">
        <v>3500</v>
      </c>
      <c r="J125" s="296">
        <v>3500</v>
      </c>
      <c r="K125" s="296">
        <v>4000</v>
      </c>
      <c r="L125" s="296">
        <v>3500</v>
      </c>
      <c r="M125" s="296">
        <v>3500</v>
      </c>
      <c r="N125" s="296">
        <v>5000</v>
      </c>
      <c r="O125" s="296">
        <v>16500</v>
      </c>
      <c r="P125" s="295">
        <v>10224.980000000001</v>
      </c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  <c r="AA125" s="295"/>
      <c r="AB125" s="297">
        <f>IFERROR(IF(VLOOKUP($B125,Shortage!$A:$M,AB$2,FALSE)="Shortage",1,IFERROR(ROUND(P125/D125,4),0)),IFERROR(ROUND(P125/D125,4),0))</f>
        <v>2.5562</v>
      </c>
      <c r="AC125" s="297">
        <f>IFERROR(IF(VLOOKUP($B125,Shortage!$A:$M,AC$2,FALSE)="Shortage",1,IFERROR(ROUND(Q125/E125,4),0)),IFERROR(ROUND(Q125/E125,4),0))</f>
        <v>0</v>
      </c>
      <c r="AD125" s="297">
        <f>IFERROR(IF(VLOOKUP($B125,Shortage!$A:$M,AD$2,FALSE)="Shortage",1,IFERROR(ROUND(R125/F125,4),0)),IFERROR(ROUND(R125/F125,4),0))</f>
        <v>0</v>
      </c>
      <c r="AE125" s="297">
        <f>IFERROR(IF(VLOOKUP($B125,Shortage!$A:$M,AE$2,FALSE)="Shortage",1,IFERROR(ROUND(S125/G125,4),0)),IFERROR(ROUND(S125/G125,4),0))</f>
        <v>0</v>
      </c>
      <c r="AF125" s="297">
        <f>IFERROR(IF(VLOOKUP($B125,Shortage!$A:$M,AF$2,FALSE)="Shortage",1,IFERROR(ROUND(T125/H125,4),0)),IFERROR(ROUND(T125/H125,4),0))</f>
        <v>0</v>
      </c>
      <c r="AG125" s="297">
        <f>IFERROR(IF(VLOOKUP($B125,Shortage!$A:$M,AG$2,FALSE)="Shortage",1,IFERROR(ROUND(U125/I125,4),0)),IFERROR(ROUND(U125/I125,4),0))</f>
        <v>0</v>
      </c>
      <c r="AH125" s="297">
        <f>IFERROR(IF(VLOOKUP($B125,Shortage!$A:$M,AH$2,FALSE)="Shortage",1,IFERROR(ROUND(V125/J125,4),0)),IFERROR(ROUND(V125/J125,4),0))</f>
        <v>0</v>
      </c>
      <c r="AI125" s="297">
        <f>IFERROR(IF(VLOOKUP($B125,Shortage!$A:$M,AI$2,FALSE)="Shortage",1,IFERROR(ROUND(W125/K125,4),0)),IFERROR(ROUND(W125/K125,4),0))</f>
        <v>0</v>
      </c>
      <c r="AJ125" s="297">
        <f>IFERROR(IF(VLOOKUP($B125,Shortage!$A:$M,AJ$2,FALSE)="Shortage",1,IFERROR(ROUND(X125/L125,4),0)),IFERROR(ROUND(X125/L125,4),0))</f>
        <v>0</v>
      </c>
      <c r="AK125" s="297">
        <f>IFERROR(IF(VLOOKUP($B125,Shortage!$A:$M,AK$2,FALSE)="Shortage",1,IFERROR(ROUND(Y125/M125,4),0)),IFERROR(ROUND(Y125/M125,4),0))</f>
        <v>0</v>
      </c>
      <c r="AL125" s="297">
        <f>IFERROR(IF(VLOOKUP($B125,Shortage!$A:$M,AL$2,FALSE)="Shortage",1,IFERROR(ROUND(Z125/N125,4),0)),IFERROR(ROUND(Z125/N125,4),0))</f>
        <v>0</v>
      </c>
      <c r="AM125" s="297">
        <f>IFERROR(IF(VLOOKUP($B125,Shortage!$A:$M,AM$2,FALSE)="Shortage",1,IFERROR(ROUND(AA125/O125,4),0)),IFERROR(ROUND(AA125/O125,4),0))</f>
        <v>0</v>
      </c>
      <c r="AN125" s="298">
        <f>IFERROR(_xlfn.XLOOKUP(AB125,'2) หลักการคำนวน Table'!$C$3:$K$3,'2) หลักการคำนวน Table'!$C$3:$K$3,,1),INDEX('2) หลักการคำนวน Table'!$C$3:$K$3,1))</f>
        <v>20</v>
      </c>
      <c r="AO125" s="298">
        <f>IFERROR(
  _xlfn.XLOOKUP(AC125,'2) หลักการคำนวน Table'!$C$3:$K$3,'2) หลักการคำนวน Table'!$C$3:$K$3,,1),
  IF(AC125&lt;MIN('2) หลักการคำนวน Table'!$C$3:$K$3),
     MIN('2) หลักการคำนวน Table'!$C$3:$K$3),
     MAX('2) หลักการคำนวน Table'!$C$3:$K$3)
  )
)</f>
        <v>0.9</v>
      </c>
      <c r="AP125" s="298">
        <f>IFERROR(
  _xlfn.XLOOKUP(AD125,'2) หลักการคำนวน Table'!$C$3:$K$3,'2) หลักการคำนวน Table'!$C$3:$K$3,,1),
  IF(AD125&lt;MIN('2) หลักการคำนวน Table'!$C$3:$K$3),
     MIN('2) หลักการคำนวน Table'!$C$3:$K$3),
     MAX('2) หลักการคำนวน Table'!$C$3:$K$3)
  )
)</f>
        <v>0.9</v>
      </c>
      <c r="AQ125" s="298">
        <f>IFERROR(
  _xlfn.XLOOKUP(AE125,'2) หลักการคำนวน Table'!$C$3:$K$3,'2) หลักการคำนวน Table'!$C$3:$K$3,,1),
  IF(AE125&lt;MIN('2) หลักการคำนวน Table'!$C$3:$K$3),
     MIN('2) หลักการคำนวน Table'!$C$3:$K$3),
     MAX('2) หลักการคำนวน Table'!$C$3:$K$3)
  )
)</f>
        <v>0.9</v>
      </c>
      <c r="AR125" s="298">
        <f>IFERROR(
  _xlfn.XLOOKUP(AF125,'2) หลักการคำนวน Table'!$C$3:$K$3,'2) หลักการคำนวน Table'!$C$3:$K$3,,1),
  IF(AF125&lt;MIN('2) หลักการคำนวน Table'!$C$3:$K$3),
     MIN('2) หลักการคำนวน Table'!$C$3:$K$3),
     MAX('2) หลักการคำนวน Table'!$C$3:$K$3)
  )
)</f>
        <v>0.9</v>
      </c>
      <c r="AS125" s="298">
        <f>IFERROR(
  _xlfn.XLOOKUP(AG125,'2) หลักการคำนวน Table'!$C$3:$K$3,'2) หลักการคำนวน Table'!$C$3:$K$3,,1),
  IF(AG125&lt;MIN('2) หลักการคำนวน Table'!$C$3:$K$3),
     MIN('2) หลักการคำนวน Table'!$C$3:$K$3),
     MAX('2) หลักการคำนวน Table'!$C$3:$K$3)
  )
)</f>
        <v>0.9</v>
      </c>
      <c r="AT125" s="298">
        <f>IFERROR(
  _xlfn.XLOOKUP(AH125,'2) หลักการคำนวน Table'!$C$3:$K$3,'2) หลักการคำนวน Table'!$C$3:$K$3,,1),
  IF(AH125&lt;MIN('2) หลักการคำนวน Table'!$C$3:$K$3),
     MIN('2) หลักการคำนวน Table'!$C$3:$K$3),
     MAX('2) หลักการคำนวน Table'!$C$3:$K$3)
  )
)</f>
        <v>0.9</v>
      </c>
      <c r="AU125" s="298">
        <f>IFERROR(
  _xlfn.XLOOKUP(AI125,'2) หลักการคำนวน Table'!$C$3:$K$3,'2) หลักการคำนวน Table'!$C$3:$K$3,,1),
  IF(AI125&lt;MIN('2) หลักการคำนวน Table'!$C$3:$K$3),
     MIN('2) หลักการคำนวน Table'!$C$3:$K$3),
     MAX('2) หลักการคำนวน Table'!$C$3:$K$3)
  )
)</f>
        <v>0.9</v>
      </c>
      <c r="AV125" s="298">
        <f>IFERROR(
  _xlfn.XLOOKUP(AJ125,'2) หลักการคำนวน Table'!$C$3:$K$3,'2) หลักการคำนวน Table'!$C$3:$K$3,,1),
  IF(AJ125&lt;MIN('2) หลักการคำนวน Table'!$C$3:$K$3),
     MIN('2) หลักการคำนวน Table'!$C$3:$K$3),
     MAX('2) หลักการคำนวน Table'!$C$3:$K$3)
  )
)</f>
        <v>0.9</v>
      </c>
      <c r="AW125" s="298">
        <f>IFERROR(
  _xlfn.XLOOKUP(AK125,'2) หลักการคำนวน Table'!$C$3:$K$3,'2) หลักการคำนวน Table'!$C$3:$K$3,,1),
  IF(AK125&lt;MIN('2) หลักการคำนวน Table'!$C$3:$K$3),
     MIN('2) หลักการคำนวน Table'!$C$3:$K$3),
     MAX('2) หลักการคำนวน Table'!$C$3:$K$3)
  )
)</f>
        <v>0.9</v>
      </c>
      <c r="AX125" s="298">
        <f>IFERROR(
  _xlfn.XLOOKUP(AL125,'2) หลักการคำนวน Table'!$C$3:$K$3,'2) หลักการคำนวน Table'!$C$3:$K$3,,1),
  IF(AL125&lt;MIN('2) หลักการคำนวน Table'!$C$3:$K$3),
     MIN('2) หลักการคำนวน Table'!$C$3:$K$3),
     MAX('2) หลักการคำนวน Table'!$C$3:$K$3)
  )
)</f>
        <v>0.9</v>
      </c>
      <c r="AY125" s="298">
        <f>IFERROR(
  _xlfn.XLOOKUP(AM125,'2) หลักการคำนวน Table'!$C$3:$K$3,'2) หลักการคำนวน Table'!$C$3:$K$3,,1),
  IF(AM125&lt;MIN('2) หลักการคำนวน Table'!$C$3:$K$3),
     MIN('2) หลักการคำนวน Table'!$C$3:$K$3),
     MAX('2) หลักการคำนวน Table'!$C$3:$K$3)
  )
)</f>
        <v>0.9</v>
      </c>
      <c r="AZ125" s="299" cm="1">
        <f t="array" ref="AZ125">ROUND((_xlfn.XLOOKUP($C125,'2) หลักการคำนวน Table'!$A$4:$A$36,
_xlfn.XLOOKUP(AN125,'2)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1204</v>
      </c>
      <c r="BA125" s="299" cm="1">
        <f t="array" ref="BA125">ROUND((_xlfn.XLOOKUP($C125,'2) หลักการคำนวน Table'!$A$4:$A$36,
_xlfn.XLOOKUP(AO125,'2)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833</v>
      </c>
      <c r="BB125" s="299" cm="1">
        <f t="array" ref="BB125">ROUND((_xlfn.XLOOKUP($C125,'2) หลักการคำนวน Table'!$A$4:$A$36,
_xlfn.XLOOKUP(AP125,'2)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833</v>
      </c>
      <c r="BC125" s="299" cm="1">
        <f t="array" ref="BC125">ROUND((_xlfn.XLOOKUP($C125,'2) หลักการคำนวน Table'!$A$4:$A$36,
_xlfn.XLOOKUP(AQ125,'2)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833</v>
      </c>
      <c r="BD125" s="299" cm="1">
        <f t="array" ref="BD125">ROUND((_xlfn.XLOOKUP($C125,'2) หลักการคำนวน Table'!$A$4:$A$36,
_xlfn.XLOOKUP(AR125,'2)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833</v>
      </c>
      <c r="BE125" s="299" cm="1">
        <f t="array" ref="BE125">ROUND((_xlfn.XLOOKUP($C125,'2) หลักการคำนวน Table'!$A$4:$A$36,
_xlfn.XLOOKUP(AS125,'2)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833</v>
      </c>
      <c r="BF125" s="299" cm="1">
        <f t="array" ref="BF125">ROUND((_xlfn.XLOOKUP($C125,'2) หลักการคำนวน Table'!$A$4:$A$36,
_xlfn.XLOOKUP(AT125,'2)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833</v>
      </c>
      <c r="BG125" s="299" cm="1">
        <f t="array" ref="BG125">ROUND((_xlfn.XLOOKUP($C125,'2) หลักการคำนวน Table'!$A$4:$A$36,
_xlfn.XLOOKUP(AU125,'2)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833</v>
      </c>
      <c r="BH125" s="299" cm="1">
        <f t="array" ref="BH125">ROUND((_xlfn.XLOOKUP($C125,'2) หลักการคำนวน Table'!$A$4:$A$36,
_xlfn.XLOOKUP(AV125,'2)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833</v>
      </c>
      <c r="BI125" s="299" cm="1">
        <f t="array" ref="BI125">ROUND((_xlfn.XLOOKUP($C125,'2) หลักการคำนวน Table'!$A$4:$A$36,
_xlfn.XLOOKUP(AW125,'2)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833</v>
      </c>
      <c r="BJ125" s="299" cm="1">
        <f t="array" ref="BJ125">ROUND((_xlfn.XLOOKUP($C125,'2) หลักการคำนวน Table'!$A$4:$A$36,
_xlfn.XLOOKUP(AX125,'2)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833</v>
      </c>
      <c r="BK125" s="299" cm="1">
        <f t="array" ref="BK125">ROUND((_xlfn.XLOOKUP($C125,'2) หลักการคำนวน Table'!$A$4:$A$36,
_xlfn.XLOOKUP(AY125,'2) หลักการคำนวน Table'!$C$3:$K$3,'2) หลักการคำนวน Table'!$C$4:$K$36,,-1)))*(_xlfn.XLOOKUP($C125,'2) หลักการคำนวน Table'!$A$4:$A$36, _xlfn.XLOOKUP($B125,'2) หลักการคำนวน Table'!$L$3:$Z$3,'2) หลักการคำนวน Table'!$L$4:$Z$36))),0)</f>
        <v>833</v>
      </c>
      <c r="BL125" s="295"/>
      <c r="BM125" s="295">
        <v>222206</v>
      </c>
      <c r="BN125" s="300">
        <v>1204</v>
      </c>
    </row>
    <row r="126" spans="1:66" ht="14.7" customHeight="1" x14ac:dyDescent="0.25">
      <c r="A126" s="126">
        <f>VLOOKUP(C126,ASTBase!E:S,13,FALSE)</f>
        <v>222237</v>
      </c>
      <c r="B126" s="126" t="s">
        <v>417</v>
      </c>
      <c r="C126" s="232" t="s">
        <v>398</v>
      </c>
      <c r="D126" s="296">
        <v>0</v>
      </c>
      <c r="E126" s="296">
        <v>60</v>
      </c>
      <c r="F126" s="296">
        <v>10</v>
      </c>
      <c r="G126" s="296">
        <v>10</v>
      </c>
      <c r="H126" s="296">
        <v>10</v>
      </c>
      <c r="I126" s="296">
        <v>10</v>
      </c>
      <c r="J126" s="296">
        <v>10</v>
      </c>
      <c r="K126" s="296">
        <v>10</v>
      </c>
      <c r="L126" s="296">
        <v>10</v>
      </c>
      <c r="M126" s="296">
        <v>10</v>
      </c>
      <c r="N126" s="296">
        <v>10</v>
      </c>
      <c r="O126" s="296">
        <v>0</v>
      </c>
      <c r="P126" s="295">
        <v>0</v>
      </c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  <c r="AA126" s="295"/>
      <c r="AB126" s="297">
        <f>IFERROR(IF(VLOOKUP($B126,Shortage!$A:$M,AB$2,FALSE)="Shortage",1,IFERROR(ROUND(P126/D126,4),0)),IFERROR(ROUND(P126/D126,4),0))</f>
        <v>0</v>
      </c>
      <c r="AC126" s="297">
        <f>IFERROR(IF(VLOOKUP($B126,Shortage!$A:$M,AC$2,FALSE)="Shortage",1,IFERROR(ROUND(Q126/E126,4),0)),IFERROR(ROUND(Q126/E126,4),0))</f>
        <v>0</v>
      </c>
      <c r="AD126" s="297">
        <f>IFERROR(IF(VLOOKUP($B126,Shortage!$A:$M,AD$2,FALSE)="Shortage",1,IFERROR(ROUND(R126/F126,4),0)),IFERROR(ROUND(R126/F126,4),0))</f>
        <v>0</v>
      </c>
      <c r="AE126" s="297">
        <f>IFERROR(IF(VLOOKUP($B126,Shortage!$A:$M,AE$2,FALSE)="Shortage",1,IFERROR(ROUND(S126/G126,4),0)),IFERROR(ROUND(S126/G126,4),0))</f>
        <v>0</v>
      </c>
      <c r="AF126" s="297">
        <f>IFERROR(IF(VLOOKUP($B126,Shortage!$A:$M,AF$2,FALSE)="Shortage",1,IFERROR(ROUND(T126/H126,4),0)),IFERROR(ROUND(T126/H126,4),0))</f>
        <v>0</v>
      </c>
      <c r="AG126" s="297">
        <f>IFERROR(IF(VLOOKUP($B126,Shortage!$A:$M,AG$2,FALSE)="Shortage",1,IFERROR(ROUND(U126/I126,4),0)),IFERROR(ROUND(U126/I126,4),0))</f>
        <v>0</v>
      </c>
      <c r="AH126" s="297">
        <f>IFERROR(IF(VLOOKUP($B126,Shortage!$A:$M,AH$2,FALSE)="Shortage",1,IFERROR(ROUND(V126/J126,4),0)),IFERROR(ROUND(V126/J126,4),0))</f>
        <v>0</v>
      </c>
      <c r="AI126" s="297">
        <f>IFERROR(IF(VLOOKUP($B126,Shortage!$A:$M,AI$2,FALSE)="Shortage",1,IFERROR(ROUND(W126/K126,4),0)),IFERROR(ROUND(W126/K126,4),0))</f>
        <v>0</v>
      </c>
      <c r="AJ126" s="297">
        <f>IFERROR(IF(VLOOKUP($B126,Shortage!$A:$M,AJ$2,FALSE)="Shortage",1,IFERROR(ROUND(X126/L126,4),0)),IFERROR(ROUND(X126/L126,4),0))</f>
        <v>0</v>
      </c>
      <c r="AK126" s="297">
        <f>IFERROR(IF(VLOOKUP($B126,Shortage!$A:$M,AK$2,FALSE)="Shortage",1,IFERROR(ROUND(Y126/M126,4),0)),IFERROR(ROUND(Y126/M126,4),0))</f>
        <v>0</v>
      </c>
      <c r="AL126" s="297">
        <f>IFERROR(IF(VLOOKUP($B126,Shortage!$A:$M,AL$2,FALSE)="Shortage",1,IFERROR(ROUND(Z126/N126,4),0)),IFERROR(ROUND(Z126/N126,4),0))</f>
        <v>0</v>
      </c>
      <c r="AM126" s="297">
        <f>IFERROR(IF(VLOOKUP($B126,Shortage!$A:$M,AM$2,FALSE)="Shortage",1,IFERROR(ROUND(AA126/O126,4),0)),IFERROR(ROUND(AA126/O126,4),0))</f>
        <v>0</v>
      </c>
      <c r="AN126" s="298">
        <f>IFERROR(_xlfn.XLOOKUP(AB126,'2) หลักการคำนวน Table'!$C$3:$K$3,'2) หลักการคำนวน Table'!$C$3:$K$3,,1),INDEX('2) หลักการคำนวน Table'!$C$3:$K$3,1))</f>
        <v>0.9</v>
      </c>
      <c r="AO126" s="298">
        <f>IFERROR(
  _xlfn.XLOOKUP(AC126,'2) หลักการคำนวน Table'!$C$3:$K$3,'2) หลักการคำนวน Table'!$C$3:$K$3,,1),
  IF(AC126&lt;MIN('2) หลักการคำนวน Table'!$C$3:$K$3),
     MIN('2) หลักการคำนวน Table'!$C$3:$K$3),
     MAX('2) หลักการคำนวน Table'!$C$3:$K$3)
  )
)</f>
        <v>0.9</v>
      </c>
      <c r="AP126" s="298">
        <f>IFERROR(
  _xlfn.XLOOKUP(AD126,'2) หลักการคำนวน Table'!$C$3:$K$3,'2) หลักการคำนวน Table'!$C$3:$K$3,,1),
  IF(AD126&lt;MIN('2) หลักการคำนวน Table'!$C$3:$K$3),
     MIN('2) หลักการคำนวน Table'!$C$3:$K$3),
     MAX('2) หลักการคำนวน Table'!$C$3:$K$3)
  )
)</f>
        <v>0.9</v>
      </c>
      <c r="AQ126" s="298">
        <f>IFERROR(
  _xlfn.XLOOKUP(AE126,'2) หลักการคำนวน Table'!$C$3:$K$3,'2) หลักการคำนวน Table'!$C$3:$K$3,,1),
  IF(AE126&lt;MIN('2) หลักการคำนวน Table'!$C$3:$K$3),
     MIN('2) หลักการคำนวน Table'!$C$3:$K$3),
     MAX('2) หลักการคำนวน Table'!$C$3:$K$3)
  )
)</f>
        <v>0.9</v>
      </c>
      <c r="AR126" s="298">
        <f>IFERROR(
  _xlfn.XLOOKUP(AF126,'2) หลักการคำนวน Table'!$C$3:$K$3,'2) หลักการคำนวน Table'!$C$3:$K$3,,1),
  IF(AF126&lt;MIN('2) หลักการคำนวน Table'!$C$3:$K$3),
     MIN('2) หลักการคำนวน Table'!$C$3:$K$3),
     MAX('2) หลักการคำนวน Table'!$C$3:$K$3)
  )
)</f>
        <v>0.9</v>
      </c>
      <c r="AS126" s="298">
        <f>IFERROR(
  _xlfn.XLOOKUP(AG126,'2) หลักการคำนวน Table'!$C$3:$K$3,'2) หลักการคำนวน Table'!$C$3:$K$3,,1),
  IF(AG126&lt;MIN('2) หลักการคำนวน Table'!$C$3:$K$3),
     MIN('2) หลักการคำนวน Table'!$C$3:$K$3),
     MAX('2) หลักการคำนวน Table'!$C$3:$K$3)
  )
)</f>
        <v>0.9</v>
      </c>
      <c r="AT126" s="298">
        <f>IFERROR(
  _xlfn.XLOOKUP(AH126,'2) หลักการคำนวน Table'!$C$3:$K$3,'2) หลักการคำนวน Table'!$C$3:$K$3,,1),
  IF(AH126&lt;MIN('2) หลักการคำนวน Table'!$C$3:$K$3),
     MIN('2) หลักการคำนวน Table'!$C$3:$K$3),
     MAX('2) หลักการคำนวน Table'!$C$3:$K$3)
  )
)</f>
        <v>0.9</v>
      </c>
      <c r="AU126" s="298">
        <f>IFERROR(
  _xlfn.XLOOKUP(AI126,'2) หลักการคำนวน Table'!$C$3:$K$3,'2) หลักการคำนวน Table'!$C$3:$K$3,,1),
  IF(AI126&lt;MIN('2) หลักการคำนวน Table'!$C$3:$K$3),
     MIN('2) หลักการคำนวน Table'!$C$3:$K$3),
     MAX('2) หลักการคำนวน Table'!$C$3:$K$3)
  )
)</f>
        <v>0.9</v>
      </c>
      <c r="AV126" s="298">
        <f>IFERROR(
  _xlfn.XLOOKUP(AJ126,'2) หลักการคำนวน Table'!$C$3:$K$3,'2) หลักการคำนวน Table'!$C$3:$K$3,,1),
  IF(AJ126&lt;MIN('2) หลักการคำนวน Table'!$C$3:$K$3),
     MIN('2) หลักการคำนวน Table'!$C$3:$K$3),
     MAX('2) หลักการคำนวน Table'!$C$3:$K$3)
  )
)</f>
        <v>0.9</v>
      </c>
      <c r="AW126" s="298">
        <f>IFERROR(
  _xlfn.XLOOKUP(AK126,'2) หลักการคำนวน Table'!$C$3:$K$3,'2) หลักการคำนวน Table'!$C$3:$K$3,,1),
  IF(AK126&lt;MIN('2) หลักการคำนวน Table'!$C$3:$K$3),
     MIN('2) หลักการคำนวน Table'!$C$3:$K$3),
     MAX('2) หลักการคำนวน Table'!$C$3:$K$3)
  )
)</f>
        <v>0.9</v>
      </c>
      <c r="AX126" s="298">
        <f>IFERROR(
  _xlfn.XLOOKUP(AL126,'2) หลักการคำนวน Table'!$C$3:$K$3,'2) หลักการคำนวน Table'!$C$3:$K$3,,1),
  IF(AL126&lt;MIN('2) หลักการคำนวน Table'!$C$3:$K$3),
     MIN('2) หลักการคำนวน Table'!$C$3:$K$3),
     MAX('2) หลักการคำนวน Table'!$C$3:$K$3)
  )
)</f>
        <v>0.9</v>
      </c>
      <c r="AY126" s="298">
        <f>IFERROR(
  _xlfn.XLOOKUP(AM126,'2) หลักการคำนวน Table'!$C$3:$K$3,'2) หลักการคำนวน Table'!$C$3:$K$3,,1),
  IF(AM126&lt;MIN('2) หลักการคำนวน Table'!$C$3:$K$3),
     MIN('2) หลักการคำนวน Table'!$C$3:$K$3),
     MAX('2) หลักการคำนวน Table'!$C$3:$K$3)
  )
)</f>
        <v>0.9</v>
      </c>
      <c r="AZ126" s="299" cm="1">
        <f t="array" ref="AZ126">ROUND((_xlfn.XLOOKUP($C126,'2) หลักการคำนวน Table'!$A$4:$A$36,
_xlfn.XLOOKUP(AN126,'2)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A126" s="299" cm="1">
        <f t="array" ref="BA126">ROUND((_xlfn.XLOOKUP($C126,'2) หลักการคำนวน Table'!$A$4:$A$36,
_xlfn.XLOOKUP(AO126,'2)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B126" s="299" cm="1">
        <f t="array" ref="BB126">ROUND((_xlfn.XLOOKUP($C126,'2) หลักการคำนวน Table'!$A$4:$A$36,
_xlfn.XLOOKUP(AP126,'2)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C126" s="299" cm="1">
        <f t="array" ref="BC126">ROUND((_xlfn.XLOOKUP($C126,'2) หลักการคำนวน Table'!$A$4:$A$36,
_xlfn.XLOOKUP(AQ126,'2)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D126" s="299" cm="1">
        <f t="array" ref="BD126">ROUND((_xlfn.XLOOKUP($C126,'2) หลักการคำนวน Table'!$A$4:$A$36,
_xlfn.XLOOKUP(AR126,'2)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E126" s="299" cm="1">
        <f t="array" ref="BE126">ROUND((_xlfn.XLOOKUP($C126,'2) หลักการคำนวน Table'!$A$4:$A$36,
_xlfn.XLOOKUP(AS126,'2)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F126" s="299" cm="1">
        <f t="array" ref="BF126">ROUND((_xlfn.XLOOKUP($C126,'2) หลักการคำนวน Table'!$A$4:$A$36,
_xlfn.XLOOKUP(AT126,'2)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G126" s="299" cm="1">
        <f t="array" ref="BG126">ROUND((_xlfn.XLOOKUP($C126,'2) หลักการคำนวน Table'!$A$4:$A$36,
_xlfn.XLOOKUP(AU126,'2)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H126" s="299" cm="1">
        <f t="array" ref="BH126">ROUND((_xlfn.XLOOKUP($C126,'2) หลักการคำนวน Table'!$A$4:$A$36,
_xlfn.XLOOKUP(AV126,'2)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I126" s="299" cm="1">
        <f t="array" ref="BI126">ROUND((_xlfn.XLOOKUP($C126,'2) หลักการคำนวน Table'!$A$4:$A$36,
_xlfn.XLOOKUP(AW126,'2)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J126" s="299" cm="1">
        <f t="array" ref="BJ126">ROUND((_xlfn.XLOOKUP($C126,'2) หลักการคำนวน Table'!$A$4:$A$36,
_xlfn.XLOOKUP(AX126,'2)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K126" s="299" cm="1">
        <f t="array" ref="BK126">ROUND((_xlfn.XLOOKUP($C126,'2) หลักการคำนวน Table'!$A$4:$A$36,
_xlfn.XLOOKUP(AY126,'2) หลักการคำนวน Table'!$C$3:$K$3,'2) หลักการคำนวน Table'!$C$4:$K$36,,-1)))*(_xlfn.XLOOKUP($C126,'2) หลักการคำนวน Table'!$A$4:$A$36, _xlfn.XLOOKUP($B126,'2) หลักการคำนวน Table'!$L$3:$Z$3,'2) หลักการคำนวน Table'!$L$4:$Z$36))),0)</f>
        <v>0</v>
      </c>
      <c r="BL126" s="295"/>
      <c r="BM126" s="295">
        <v>222206</v>
      </c>
      <c r="BN126" s="300">
        <v>0</v>
      </c>
    </row>
    <row r="127" spans="1:66" ht="14.7" customHeight="1" x14ac:dyDescent="0.25">
      <c r="A127" s="126">
        <f>VLOOKUP(C127,ASTBase!E:S,13,FALSE)</f>
        <v>222237</v>
      </c>
      <c r="B127" s="126" t="s">
        <v>407</v>
      </c>
      <c r="C127" s="232" t="s">
        <v>397</v>
      </c>
      <c r="D127" s="296">
        <v>32000</v>
      </c>
      <c r="E127" s="296">
        <v>35000</v>
      </c>
      <c r="F127" s="296">
        <v>55000</v>
      </c>
      <c r="G127" s="296">
        <v>36000</v>
      </c>
      <c r="H127" s="296">
        <v>34000</v>
      </c>
      <c r="I127" s="296">
        <v>37000</v>
      </c>
      <c r="J127" s="296">
        <v>33000</v>
      </c>
      <c r="K127" s="296">
        <v>36000</v>
      </c>
      <c r="L127" s="296">
        <v>50000</v>
      </c>
      <c r="M127" s="296">
        <v>34000</v>
      </c>
      <c r="N127" s="296">
        <v>36000</v>
      </c>
      <c r="O127" s="296">
        <v>82000</v>
      </c>
      <c r="P127" s="295">
        <v>32755.999999686715</v>
      </c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7">
        <f>IFERROR(IF(VLOOKUP($B127,Shortage!$A:$M,AB$2,FALSE)="Shortage",1,IFERROR(ROUND(P127/D127,4),0)),IFERROR(ROUND(P127/D127,4),0))</f>
        <v>1.0236000000000001</v>
      </c>
      <c r="AC127" s="297">
        <f>IFERROR(IF(VLOOKUP($B127,Shortage!$A:$M,AC$2,FALSE)="Shortage",1,IFERROR(ROUND(Q127/E127,4),0)),IFERROR(ROUND(Q127/E127,4),0))</f>
        <v>0</v>
      </c>
      <c r="AD127" s="297">
        <f>IFERROR(IF(VLOOKUP($B127,Shortage!$A:$M,AD$2,FALSE)="Shortage",1,IFERROR(ROUND(R127/F127,4),0)),IFERROR(ROUND(R127/F127,4),0))</f>
        <v>0</v>
      </c>
      <c r="AE127" s="297">
        <f>IFERROR(IF(VLOOKUP($B127,Shortage!$A:$M,AE$2,FALSE)="Shortage",1,IFERROR(ROUND(S127/G127,4),0)),IFERROR(ROUND(S127/G127,4),0))</f>
        <v>0</v>
      </c>
      <c r="AF127" s="297">
        <f>IFERROR(IF(VLOOKUP($B127,Shortage!$A:$M,AF$2,FALSE)="Shortage",1,IFERROR(ROUND(T127/H127,4),0)),IFERROR(ROUND(T127/H127,4),0))</f>
        <v>0</v>
      </c>
      <c r="AG127" s="297">
        <f>IFERROR(IF(VLOOKUP($B127,Shortage!$A:$M,AG$2,FALSE)="Shortage",1,IFERROR(ROUND(U127/I127,4),0)),IFERROR(ROUND(U127/I127,4),0))</f>
        <v>0</v>
      </c>
      <c r="AH127" s="297">
        <f>IFERROR(IF(VLOOKUP($B127,Shortage!$A:$M,AH$2,FALSE)="Shortage",1,IFERROR(ROUND(V127/J127,4),0)),IFERROR(ROUND(V127/J127,4),0))</f>
        <v>0</v>
      </c>
      <c r="AI127" s="297">
        <f>IFERROR(IF(VLOOKUP($B127,Shortage!$A:$M,AI$2,FALSE)="Shortage",1,IFERROR(ROUND(W127/K127,4),0)),IFERROR(ROUND(W127/K127,4),0))</f>
        <v>0</v>
      </c>
      <c r="AJ127" s="297">
        <f>IFERROR(IF(VLOOKUP($B127,Shortage!$A:$M,AJ$2,FALSE)="Shortage",1,IFERROR(ROUND(X127/L127,4),0)),IFERROR(ROUND(X127/L127,4),0))</f>
        <v>0</v>
      </c>
      <c r="AK127" s="297">
        <f>IFERROR(IF(VLOOKUP($B127,Shortage!$A:$M,AK$2,FALSE)="Shortage",1,IFERROR(ROUND(Y127/M127,4),0)),IFERROR(ROUND(Y127/M127,4),0))</f>
        <v>0</v>
      </c>
      <c r="AL127" s="297">
        <f>IFERROR(IF(VLOOKUP($B127,Shortage!$A:$M,AL$2,FALSE)="Shortage",1,IFERROR(ROUND(Z127/N127,4),0)),IFERROR(ROUND(Z127/N127,4),0))</f>
        <v>0</v>
      </c>
      <c r="AM127" s="297">
        <f>IFERROR(IF(VLOOKUP($B127,Shortage!$A:$M,AM$2,FALSE)="Shortage",1,IFERROR(ROUND(AA127/O127,4),0)),IFERROR(ROUND(AA127/O127,4),0))</f>
        <v>0</v>
      </c>
      <c r="AN127" s="298">
        <f>IFERROR(_xlfn.XLOOKUP(AB127,'2) หลักการคำนวน Table'!$C$3:$K$3,'2) หลักการคำนวน Table'!$C$3:$K$3,,1),INDEX('2) หลักการคำนวน Table'!$C$3:$K$3,1))</f>
        <v>1.03</v>
      </c>
      <c r="AO127" s="298">
        <f>IFERROR(
  _xlfn.XLOOKUP(AC127,'2) หลักการคำนวน Table'!$C$3:$K$3,'2) หลักการคำนวน Table'!$C$3:$K$3,,1),
  IF(AC127&lt;MIN('2) หลักการคำนวน Table'!$C$3:$K$3),
     MIN('2) หลักการคำนวน Table'!$C$3:$K$3),
     MAX('2) หลักการคำนวน Table'!$C$3:$K$3)
  )
)</f>
        <v>0.9</v>
      </c>
      <c r="AP127" s="298">
        <f>IFERROR(
  _xlfn.XLOOKUP(AD127,'2) หลักการคำนวน Table'!$C$3:$K$3,'2) หลักการคำนวน Table'!$C$3:$K$3,,1),
  IF(AD127&lt;MIN('2) หลักการคำนวน Table'!$C$3:$K$3),
     MIN('2) หลักการคำนวน Table'!$C$3:$K$3),
     MAX('2) หลักการคำนวน Table'!$C$3:$K$3)
  )
)</f>
        <v>0.9</v>
      </c>
      <c r="AQ127" s="298">
        <f>IFERROR(
  _xlfn.XLOOKUP(AE127,'2) หลักการคำนวน Table'!$C$3:$K$3,'2) หลักการคำนวน Table'!$C$3:$K$3,,1),
  IF(AE127&lt;MIN('2) หลักการคำนวน Table'!$C$3:$K$3),
     MIN('2) หลักการคำนวน Table'!$C$3:$K$3),
     MAX('2) หลักการคำนวน Table'!$C$3:$K$3)
  )
)</f>
        <v>0.9</v>
      </c>
      <c r="AR127" s="298">
        <f>IFERROR(
  _xlfn.XLOOKUP(AF127,'2) หลักการคำนวน Table'!$C$3:$K$3,'2) หลักการคำนวน Table'!$C$3:$K$3,,1),
  IF(AF127&lt;MIN('2) หลักการคำนวน Table'!$C$3:$K$3),
     MIN('2) หลักการคำนวน Table'!$C$3:$K$3),
     MAX('2) หลักการคำนวน Table'!$C$3:$K$3)
  )
)</f>
        <v>0.9</v>
      </c>
      <c r="AS127" s="298">
        <f>IFERROR(
  _xlfn.XLOOKUP(AG127,'2) หลักการคำนวน Table'!$C$3:$K$3,'2) หลักการคำนวน Table'!$C$3:$K$3,,1),
  IF(AG127&lt;MIN('2) หลักการคำนวน Table'!$C$3:$K$3),
     MIN('2) หลักการคำนวน Table'!$C$3:$K$3),
     MAX('2) หลักการคำนวน Table'!$C$3:$K$3)
  )
)</f>
        <v>0.9</v>
      </c>
      <c r="AT127" s="298">
        <f>IFERROR(
  _xlfn.XLOOKUP(AH127,'2) หลักการคำนวน Table'!$C$3:$K$3,'2) หลักการคำนวน Table'!$C$3:$K$3,,1),
  IF(AH127&lt;MIN('2) หลักการคำนวน Table'!$C$3:$K$3),
     MIN('2) หลักการคำนวน Table'!$C$3:$K$3),
     MAX('2) หลักการคำนวน Table'!$C$3:$K$3)
  )
)</f>
        <v>0.9</v>
      </c>
      <c r="AU127" s="298">
        <f>IFERROR(
  _xlfn.XLOOKUP(AI127,'2) หลักการคำนวน Table'!$C$3:$K$3,'2) หลักการคำนวน Table'!$C$3:$K$3,,1),
  IF(AI127&lt;MIN('2) หลักการคำนวน Table'!$C$3:$K$3),
     MIN('2) หลักการคำนวน Table'!$C$3:$K$3),
     MAX('2) หลักการคำนวน Table'!$C$3:$K$3)
  )
)</f>
        <v>0.9</v>
      </c>
      <c r="AV127" s="298">
        <f>IFERROR(
  _xlfn.XLOOKUP(AJ127,'2) หลักการคำนวน Table'!$C$3:$K$3,'2) หลักการคำนวน Table'!$C$3:$K$3,,1),
  IF(AJ127&lt;MIN('2) หลักการคำนวน Table'!$C$3:$K$3),
     MIN('2) หลักการคำนวน Table'!$C$3:$K$3),
     MAX('2) หลักการคำนวน Table'!$C$3:$K$3)
  )
)</f>
        <v>0.9</v>
      </c>
      <c r="AW127" s="298">
        <f>IFERROR(
  _xlfn.XLOOKUP(AK127,'2) หลักการคำนวน Table'!$C$3:$K$3,'2) หลักการคำนวน Table'!$C$3:$K$3,,1),
  IF(AK127&lt;MIN('2) หลักการคำนวน Table'!$C$3:$K$3),
     MIN('2) หลักการคำนวน Table'!$C$3:$K$3),
     MAX('2) หลักการคำนวน Table'!$C$3:$K$3)
  )
)</f>
        <v>0.9</v>
      </c>
      <c r="AX127" s="298">
        <f>IFERROR(
  _xlfn.XLOOKUP(AL127,'2) หลักการคำนวน Table'!$C$3:$K$3,'2) หลักการคำนวน Table'!$C$3:$K$3,,1),
  IF(AL127&lt;MIN('2) หลักการคำนวน Table'!$C$3:$K$3),
     MIN('2) หลักการคำนวน Table'!$C$3:$K$3),
     MAX('2) หลักการคำนวน Table'!$C$3:$K$3)
  )
)</f>
        <v>0.9</v>
      </c>
      <c r="AY127" s="298">
        <f>IFERROR(
  _xlfn.XLOOKUP(AM127,'2) หลักการคำนวน Table'!$C$3:$K$3,'2) หลักการคำนวน Table'!$C$3:$K$3,,1),
  IF(AM127&lt;MIN('2) หลักการคำนวน Table'!$C$3:$K$3),
     MIN('2) หลักการคำนวน Table'!$C$3:$K$3),
     MAX('2) หลักการคำนวน Table'!$C$3:$K$3)
  )
)</f>
        <v>0.9</v>
      </c>
      <c r="AZ127" s="299" cm="1">
        <f t="array" ref="AZ127">ROUND((_xlfn.XLOOKUP($C127,'2) หลักการคำนวน Table'!$A$4:$A$36,
_xlfn.XLOOKUP(AN127,'2)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1818</v>
      </c>
      <c r="BA127" s="299" cm="1">
        <f t="array" ref="BA127">ROUND((_xlfn.XLOOKUP($C127,'2) หลักการคำนวน Table'!$A$4:$A$36,
_xlfn.XLOOKUP(AO127,'2)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1588</v>
      </c>
      <c r="BB127" s="299" cm="1">
        <f t="array" ref="BB127">ROUND((_xlfn.XLOOKUP($C127,'2) หลักการคำนวน Table'!$A$4:$A$36,
_xlfn.XLOOKUP(AP127,'2)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1588</v>
      </c>
      <c r="BC127" s="299" cm="1">
        <f t="array" ref="BC127">ROUND((_xlfn.XLOOKUP($C127,'2) หลักการคำนวน Table'!$A$4:$A$36,
_xlfn.XLOOKUP(AQ127,'2)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1588</v>
      </c>
      <c r="BD127" s="299" cm="1">
        <f t="array" ref="BD127">ROUND((_xlfn.XLOOKUP($C127,'2) หลักการคำนวน Table'!$A$4:$A$36,
_xlfn.XLOOKUP(AR127,'2)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1588</v>
      </c>
      <c r="BE127" s="299" cm="1">
        <f t="array" ref="BE127">ROUND((_xlfn.XLOOKUP($C127,'2) หลักการคำนวน Table'!$A$4:$A$36,
_xlfn.XLOOKUP(AS127,'2)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1588</v>
      </c>
      <c r="BF127" s="299" cm="1">
        <f t="array" ref="BF127">ROUND((_xlfn.XLOOKUP($C127,'2) หลักการคำนวน Table'!$A$4:$A$36,
_xlfn.XLOOKUP(AT127,'2)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1588</v>
      </c>
      <c r="BG127" s="299" cm="1">
        <f t="array" ref="BG127">ROUND((_xlfn.XLOOKUP($C127,'2) หลักการคำนวน Table'!$A$4:$A$36,
_xlfn.XLOOKUP(AU127,'2)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1588</v>
      </c>
      <c r="BH127" s="299" cm="1">
        <f t="array" ref="BH127">ROUND((_xlfn.XLOOKUP($C127,'2) หลักการคำนวน Table'!$A$4:$A$36,
_xlfn.XLOOKUP(AV127,'2)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1588</v>
      </c>
      <c r="BI127" s="299" cm="1">
        <f t="array" ref="BI127">ROUND((_xlfn.XLOOKUP($C127,'2) หลักการคำนวน Table'!$A$4:$A$36,
_xlfn.XLOOKUP(AW127,'2)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1588</v>
      </c>
      <c r="BJ127" s="299" cm="1">
        <f t="array" ref="BJ127">ROUND((_xlfn.XLOOKUP($C127,'2) หลักการคำนวน Table'!$A$4:$A$36,
_xlfn.XLOOKUP(AX127,'2)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1588</v>
      </c>
      <c r="BK127" s="299" cm="1">
        <f t="array" ref="BK127">ROUND((_xlfn.XLOOKUP($C127,'2) หลักการคำนวน Table'!$A$4:$A$36,
_xlfn.XLOOKUP(AY127,'2) หลักการคำนวน Table'!$C$3:$K$3,'2) หลักการคำนวน Table'!$C$4:$K$36,,-1)))*(_xlfn.XLOOKUP($C127,'2) หลักการคำนวน Table'!$A$4:$A$36, _xlfn.XLOOKUP($B127,'2) หลักการคำนวน Table'!$L$3:$Z$3,'2) หลักการคำนวน Table'!$L$4:$Z$36))),0)</f>
        <v>1588</v>
      </c>
      <c r="BL127" s="295"/>
      <c r="BM127" s="295">
        <v>222205</v>
      </c>
      <c r="BN127" s="300">
        <v>1818</v>
      </c>
    </row>
    <row r="128" spans="1:66" ht="14.7" customHeight="1" x14ac:dyDescent="0.25">
      <c r="A128" s="126">
        <f>VLOOKUP(C128,ASTBase!E:S,13,FALSE)</f>
        <v>222237</v>
      </c>
      <c r="B128" s="126" t="s">
        <v>413</v>
      </c>
      <c r="C128" s="232" t="s">
        <v>397</v>
      </c>
      <c r="D128" s="296">
        <v>32000</v>
      </c>
      <c r="E128" s="296">
        <v>30000</v>
      </c>
      <c r="F128" s="296">
        <v>75000</v>
      </c>
      <c r="G128" s="296">
        <v>32000</v>
      </c>
      <c r="H128" s="296">
        <v>30000</v>
      </c>
      <c r="I128" s="296">
        <v>36500</v>
      </c>
      <c r="J128" s="296">
        <v>30000</v>
      </c>
      <c r="K128" s="296">
        <v>42500</v>
      </c>
      <c r="L128" s="296">
        <v>44500</v>
      </c>
      <c r="M128" s="296">
        <v>30000</v>
      </c>
      <c r="N128" s="296">
        <v>30000</v>
      </c>
      <c r="O128" s="296">
        <v>77500</v>
      </c>
      <c r="P128" s="295">
        <v>58134.47699999997</v>
      </c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  <c r="AA128" s="295"/>
      <c r="AB128" s="297">
        <f>IFERROR(IF(VLOOKUP($B128,Shortage!$A:$M,AB$2,FALSE)="Shortage",1,IFERROR(ROUND(P128/D128,4),0)),IFERROR(ROUND(P128/D128,4),0))</f>
        <v>1.8167</v>
      </c>
      <c r="AC128" s="297">
        <f>IFERROR(IF(VLOOKUP($B128,Shortage!$A:$M,AC$2,FALSE)="Shortage",1,IFERROR(ROUND(Q128/E128,4),0)),IFERROR(ROUND(Q128/E128,4),0))</f>
        <v>0</v>
      </c>
      <c r="AD128" s="297">
        <f>IFERROR(IF(VLOOKUP($B128,Shortage!$A:$M,AD$2,FALSE)="Shortage",1,IFERROR(ROUND(R128/F128,4),0)),IFERROR(ROUND(R128/F128,4),0))</f>
        <v>0</v>
      </c>
      <c r="AE128" s="297">
        <f>IFERROR(IF(VLOOKUP($B128,Shortage!$A:$M,AE$2,FALSE)="Shortage",1,IFERROR(ROUND(S128/G128,4),0)),IFERROR(ROUND(S128/G128,4),0))</f>
        <v>0</v>
      </c>
      <c r="AF128" s="297">
        <f>IFERROR(IF(VLOOKUP($B128,Shortage!$A:$M,AF$2,FALSE)="Shortage",1,IFERROR(ROUND(T128/H128,4),0)),IFERROR(ROUND(T128/H128,4),0))</f>
        <v>0</v>
      </c>
      <c r="AG128" s="297">
        <f>IFERROR(IF(VLOOKUP($B128,Shortage!$A:$M,AG$2,FALSE)="Shortage",1,IFERROR(ROUND(U128/I128,4),0)),IFERROR(ROUND(U128/I128,4),0))</f>
        <v>0</v>
      </c>
      <c r="AH128" s="297">
        <f>IFERROR(IF(VLOOKUP($B128,Shortage!$A:$M,AH$2,FALSE)="Shortage",1,IFERROR(ROUND(V128/J128,4),0)),IFERROR(ROUND(V128/J128,4),0))</f>
        <v>0</v>
      </c>
      <c r="AI128" s="297">
        <f>IFERROR(IF(VLOOKUP($B128,Shortage!$A:$M,AI$2,FALSE)="Shortage",1,IFERROR(ROUND(W128/K128,4),0)),IFERROR(ROUND(W128/K128,4),0))</f>
        <v>0</v>
      </c>
      <c r="AJ128" s="297">
        <f>IFERROR(IF(VLOOKUP($B128,Shortage!$A:$M,AJ$2,FALSE)="Shortage",1,IFERROR(ROUND(X128/L128,4),0)),IFERROR(ROUND(X128/L128,4),0))</f>
        <v>0</v>
      </c>
      <c r="AK128" s="297">
        <f>IFERROR(IF(VLOOKUP($B128,Shortage!$A:$M,AK$2,FALSE)="Shortage",1,IFERROR(ROUND(Y128/M128,4),0)),IFERROR(ROUND(Y128/M128,4),0))</f>
        <v>0</v>
      </c>
      <c r="AL128" s="297">
        <f>IFERROR(IF(VLOOKUP($B128,Shortage!$A:$M,AL$2,FALSE)="Shortage",1,IFERROR(ROUND(Z128/N128,4),0)),IFERROR(ROUND(Z128/N128,4),0))</f>
        <v>0</v>
      </c>
      <c r="AM128" s="297">
        <f>IFERROR(IF(VLOOKUP($B128,Shortage!$A:$M,AM$2,FALSE)="Shortage",1,IFERROR(ROUND(AA128/O128,4),0)),IFERROR(ROUND(AA128/O128,4),0))</f>
        <v>0</v>
      </c>
      <c r="AN128" s="298">
        <f>IFERROR(_xlfn.XLOOKUP(AB128,'2) หลักการคำนวน Table'!$C$3:$K$3,'2) หลักการคำนวน Table'!$C$3:$K$3,,1),INDEX('2) หลักการคำนวน Table'!$C$3:$K$3,1))</f>
        <v>20</v>
      </c>
      <c r="AO128" s="298">
        <f>IFERROR(
  _xlfn.XLOOKUP(AC128,'2) หลักการคำนวน Table'!$C$3:$K$3,'2) หลักการคำนวน Table'!$C$3:$K$3,,1),
  IF(AC128&lt;MIN('2) หลักการคำนวน Table'!$C$3:$K$3),
     MIN('2) หลักการคำนวน Table'!$C$3:$K$3),
     MAX('2) หลักการคำนวน Table'!$C$3:$K$3)
  )
)</f>
        <v>0.9</v>
      </c>
      <c r="AP128" s="298">
        <f>IFERROR(
  _xlfn.XLOOKUP(AD128,'2) หลักการคำนวน Table'!$C$3:$K$3,'2) หลักการคำนวน Table'!$C$3:$K$3,,1),
  IF(AD128&lt;MIN('2) หลักการคำนวน Table'!$C$3:$K$3),
     MIN('2) หลักการคำนวน Table'!$C$3:$K$3),
     MAX('2) หลักการคำนวน Table'!$C$3:$K$3)
  )
)</f>
        <v>0.9</v>
      </c>
      <c r="AQ128" s="298">
        <f>IFERROR(
  _xlfn.XLOOKUP(AE128,'2) หลักการคำนวน Table'!$C$3:$K$3,'2) หลักการคำนวน Table'!$C$3:$K$3,,1),
  IF(AE128&lt;MIN('2) หลักการคำนวน Table'!$C$3:$K$3),
     MIN('2) หลักการคำนวน Table'!$C$3:$K$3),
     MAX('2) หลักการคำนวน Table'!$C$3:$K$3)
  )
)</f>
        <v>0.9</v>
      </c>
      <c r="AR128" s="298">
        <f>IFERROR(
  _xlfn.XLOOKUP(AF128,'2) หลักการคำนวน Table'!$C$3:$K$3,'2) หลักการคำนวน Table'!$C$3:$K$3,,1),
  IF(AF128&lt;MIN('2) หลักการคำนวน Table'!$C$3:$K$3),
     MIN('2) หลักการคำนวน Table'!$C$3:$K$3),
     MAX('2) หลักการคำนวน Table'!$C$3:$K$3)
  )
)</f>
        <v>0.9</v>
      </c>
      <c r="AS128" s="298">
        <f>IFERROR(
  _xlfn.XLOOKUP(AG128,'2) หลักการคำนวน Table'!$C$3:$K$3,'2) หลักการคำนวน Table'!$C$3:$K$3,,1),
  IF(AG128&lt;MIN('2) หลักการคำนวน Table'!$C$3:$K$3),
     MIN('2) หลักการคำนวน Table'!$C$3:$K$3),
     MAX('2) หลักการคำนวน Table'!$C$3:$K$3)
  )
)</f>
        <v>0.9</v>
      </c>
      <c r="AT128" s="298">
        <f>IFERROR(
  _xlfn.XLOOKUP(AH128,'2) หลักการคำนวน Table'!$C$3:$K$3,'2) หลักการคำนวน Table'!$C$3:$K$3,,1),
  IF(AH128&lt;MIN('2) หลักการคำนวน Table'!$C$3:$K$3),
     MIN('2) หลักการคำนวน Table'!$C$3:$K$3),
     MAX('2) หลักการคำนวน Table'!$C$3:$K$3)
  )
)</f>
        <v>0.9</v>
      </c>
      <c r="AU128" s="298">
        <f>IFERROR(
  _xlfn.XLOOKUP(AI128,'2) หลักการคำนวน Table'!$C$3:$K$3,'2) หลักการคำนวน Table'!$C$3:$K$3,,1),
  IF(AI128&lt;MIN('2) หลักการคำนวน Table'!$C$3:$K$3),
     MIN('2) หลักการคำนวน Table'!$C$3:$K$3),
     MAX('2) หลักการคำนวน Table'!$C$3:$K$3)
  )
)</f>
        <v>0.9</v>
      </c>
      <c r="AV128" s="298">
        <f>IFERROR(
  _xlfn.XLOOKUP(AJ128,'2) หลักการคำนวน Table'!$C$3:$K$3,'2) หลักการคำนวน Table'!$C$3:$K$3,,1),
  IF(AJ128&lt;MIN('2) หลักการคำนวน Table'!$C$3:$K$3),
     MIN('2) หลักการคำนวน Table'!$C$3:$K$3),
     MAX('2) หลักการคำนวน Table'!$C$3:$K$3)
  )
)</f>
        <v>0.9</v>
      </c>
      <c r="AW128" s="298">
        <f>IFERROR(
  _xlfn.XLOOKUP(AK128,'2) หลักการคำนวน Table'!$C$3:$K$3,'2) หลักการคำนวน Table'!$C$3:$K$3,,1),
  IF(AK128&lt;MIN('2) หลักการคำนวน Table'!$C$3:$K$3),
     MIN('2) หลักการคำนวน Table'!$C$3:$K$3),
     MAX('2) หลักการคำนวน Table'!$C$3:$K$3)
  )
)</f>
        <v>0.9</v>
      </c>
      <c r="AX128" s="298">
        <f>IFERROR(
  _xlfn.XLOOKUP(AL128,'2) หลักการคำนวน Table'!$C$3:$K$3,'2) หลักการคำนวน Table'!$C$3:$K$3,,1),
  IF(AL128&lt;MIN('2) หลักการคำนวน Table'!$C$3:$K$3),
     MIN('2) หลักการคำนวน Table'!$C$3:$K$3),
     MAX('2) หลักการคำนวน Table'!$C$3:$K$3)
  )
)</f>
        <v>0.9</v>
      </c>
      <c r="AY128" s="298">
        <f>IFERROR(
  _xlfn.XLOOKUP(AM128,'2) หลักการคำนวน Table'!$C$3:$K$3,'2) หลักการคำนวน Table'!$C$3:$K$3,,1),
  IF(AM128&lt;MIN('2) หลักการคำนวน Table'!$C$3:$K$3),
     MIN('2) หลักการคำนวน Table'!$C$3:$K$3),
     MAX('2) หลักการคำนวน Table'!$C$3:$K$3)
  )
)</f>
        <v>0.9</v>
      </c>
      <c r="AZ128" s="299" cm="1">
        <f t="array" ref="AZ128">ROUND((_xlfn.XLOOKUP($C128,'2) หลักการคำนวน Table'!$A$4:$A$36,
_xlfn.XLOOKUP(AN128,'2)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2294</v>
      </c>
      <c r="BA128" s="299" cm="1">
        <f t="array" ref="BA128">ROUND((_xlfn.XLOOKUP($C128,'2) หลักการคำนวน Table'!$A$4:$A$36,
_xlfn.XLOOKUP(AO128,'2)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1588</v>
      </c>
      <c r="BB128" s="299" cm="1">
        <f t="array" ref="BB128">ROUND((_xlfn.XLOOKUP($C128,'2) หลักการคำนวน Table'!$A$4:$A$36,
_xlfn.XLOOKUP(AP128,'2)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1588</v>
      </c>
      <c r="BC128" s="299" cm="1">
        <f t="array" ref="BC128">ROUND((_xlfn.XLOOKUP($C128,'2) หลักการคำนวน Table'!$A$4:$A$36,
_xlfn.XLOOKUP(AQ128,'2)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1588</v>
      </c>
      <c r="BD128" s="299" cm="1">
        <f t="array" ref="BD128">ROUND((_xlfn.XLOOKUP($C128,'2) หลักการคำนวน Table'!$A$4:$A$36,
_xlfn.XLOOKUP(AR128,'2)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1588</v>
      </c>
      <c r="BE128" s="299" cm="1">
        <f t="array" ref="BE128">ROUND((_xlfn.XLOOKUP($C128,'2) หลักการคำนวน Table'!$A$4:$A$36,
_xlfn.XLOOKUP(AS128,'2)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1588</v>
      </c>
      <c r="BF128" s="299" cm="1">
        <f t="array" ref="BF128">ROUND((_xlfn.XLOOKUP($C128,'2) หลักการคำนวน Table'!$A$4:$A$36,
_xlfn.XLOOKUP(AT128,'2)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1588</v>
      </c>
      <c r="BG128" s="299" cm="1">
        <f t="array" ref="BG128">ROUND((_xlfn.XLOOKUP($C128,'2) หลักการคำนวน Table'!$A$4:$A$36,
_xlfn.XLOOKUP(AU128,'2)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1588</v>
      </c>
      <c r="BH128" s="299" cm="1">
        <f t="array" ref="BH128">ROUND((_xlfn.XLOOKUP($C128,'2) หลักการคำนวน Table'!$A$4:$A$36,
_xlfn.XLOOKUP(AV128,'2)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1588</v>
      </c>
      <c r="BI128" s="299" cm="1">
        <f t="array" ref="BI128">ROUND((_xlfn.XLOOKUP($C128,'2) หลักการคำนวน Table'!$A$4:$A$36,
_xlfn.XLOOKUP(AW128,'2)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1588</v>
      </c>
      <c r="BJ128" s="299" cm="1">
        <f t="array" ref="BJ128">ROUND((_xlfn.XLOOKUP($C128,'2) หลักการคำนวน Table'!$A$4:$A$36,
_xlfn.XLOOKUP(AX128,'2)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1588</v>
      </c>
      <c r="BK128" s="299" cm="1">
        <f t="array" ref="BK128">ROUND((_xlfn.XLOOKUP($C128,'2) หลักการคำนวน Table'!$A$4:$A$36,
_xlfn.XLOOKUP(AY128,'2) หลักการคำนวน Table'!$C$3:$K$3,'2) หลักการคำนวน Table'!$C$4:$K$36,,-1)))*(_xlfn.XLOOKUP($C128,'2) หลักการคำนวน Table'!$A$4:$A$36, _xlfn.XLOOKUP($B128,'2) หลักการคำนวน Table'!$L$3:$Z$3,'2) หลักการคำนวน Table'!$L$4:$Z$36))),0)</f>
        <v>1588</v>
      </c>
      <c r="BL128" s="295"/>
      <c r="BM128" s="295">
        <v>222205</v>
      </c>
      <c r="BN128" s="300">
        <v>2294</v>
      </c>
    </row>
    <row r="129" spans="1:66" ht="14.7" customHeight="1" x14ac:dyDescent="0.25">
      <c r="A129" s="126">
        <f>VLOOKUP(C129,ASTBase!E:S,13,FALSE)</f>
        <v>222237</v>
      </c>
      <c r="B129" s="126" t="s">
        <v>412</v>
      </c>
      <c r="C129" s="232" t="s">
        <v>397</v>
      </c>
      <c r="D129" s="296">
        <v>95000</v>
      </c>
      <c r="E129" s="296">
        <v>85000</v>
      </c>
      <c r="F129" s="296">
        <v>150000</v>
      </c>
      <c r="G129" s="296">
        <v>90000</v>
      </c>
      <c r="H129" s="296">
        <v>77000</v>
      </c>
      <c r="I129" s="296">
        <v>100000</v>
      </c>
      <c r="J129" s="296">
        <v>100000</v>
      </c>
      <c r="K129" s="296">
        <v>120000</v>
      </c>
      <c r="L129" s="296">
        <v>98000</v>
      </c>
      <c r="M129" s="296">
        <v>98000</v>
      </c>
      <c r="N129" s="296">
        <v>88000</v>
      </c>
      <c r="O129" s="296">
        <v>199000</v>
      </c>
      <c r="P129" s="295">
        <v>80194.999998917789</v>
      </c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7">
        <f>IFERROR(IF(VLOOKUP($B129,Shortage!$A:$M,AB$2,FALSE)="Shortage",1,IFERROR(ROUND(P129/D129,4),0)),IFERROR(ROUND(P129/D129,4),0))</f>
        <v>1</v>
      </c>
      <c r="AC129" s="297">
        <f>IFERROR(IF(VLOOKUP($B129,Shortage!$A:$M,AC$2,FALSE)="Shortage",1,IFERROR(ROUND(Q129/E129,4),0)),IFERROR(ROUND(Q129/E129,4),0))</f>
        <v>0</v>
      </c>
      <c r="AD129" s="297">
        <f>IFERROR(IF(VLOOKUP($B129,Shortage!$A:$M,AD$2,FALSE)="Shortage",1,IFERROR(ROUND(R129/F129,4),0)),IFERROR(ROUND(R129/F129,4),0))</f>
        <v>0</v>
      </c>
      <c r="AE129" s="297">
        <f>IFERROR(IF(VLOOKUP($B129,Shortage!$A:$M,AE$2,FALSE)="Shortage",1,IFERROR(ROUND(S129/G129,4),0)),IFERROR(ROUND(S129/G129,4),0))</f>
        <v>0</v>
      </c>
      <c r="AF129" s="297">
        <f>IFERROR(IF(VLOOKUP($B129,Shortage!$A:$M,AF$2,FALSE)="Shortage",1,IFERROR(ROUND(T129/H129,4),0)),IFERROR(ROUND(T129/H129,4),0))</f>
        <v>0</v>
      </c>
      <c r="AG129" s="297">
        <f>IFERROR(IF(VLOOKUP($B129,Shortage!$A:$M,AG$2,FALSE)="Shortage",1,IFERROR(ROUND(U129/I129,4),0)),IFERROR(ROUND(U129/I129,4),0))</f>
        <v>0</v>
      </c>
      <c r="AH129" s="297">
        <f>IFERROR(IF(VLOOKUP($B129,Shortage!$A:$M,AH$2,FALSE)="Shortage",1,IFERROR(ROUND(V129/J129,4),0)),IFERROR(ROUND(V129/J129,4),0))</f>
        <v>0</v>
      </c>
      <c r="AI129" s="297">
        <f>IFERROR(IF(VLOOKUP($B129,Shortage!$A:$M,AI$2,FALSE)="Shortage",1,IFERROR(ROUND(W129/K129,4),0)),IFERROR(ROUND(W129/K129,4),0))</f>
        <v>0</v>
      </c>
      <c r="AJ129" s="297">
        <f>IFERROR(IF(VLOOKUP($B129,Shortage!$A:$M,AJ$2,FALSE)="Shortage",1,IFERROR(ROUND(X129/L129,4),0)),IFERROR(ROUND(X129/L129,4),0))</f>
        <v>0</v>
      </c>
      <c r="AK129" s="297">
        <f>IFERROR(IF(VLOOKUP($B129,Shortage!$A:$M,AK$2,FALSE)="Shortage",1,IFERROR(ROUND(Y129/M129,4),0)),IFERROR(ROUND(Y129/M129,4),0))</f>
        <v>0</v>
      </c>
      <c r="AL129" s="297">
        <f>IFERROR(IF(VLOOKUP($B129,Shortage!$A:$M,AL$2,FALSE)="Shortage",1,IFERROR(ROUND(Z129/N129,4),0)),IFERROR(ROUND(Z129/N129,4),0))</f>
        <v>0</v>
      </c>
      <c r="AM129" s="297">
        <f>IFERROR(IF(VLOOKUP($B129,Shortage!$A:$M,AM$2,FALSE)="Shortage",1,IFERROR(ROUND(AA129/O129,4),0)),IFERROR(ROUND(AA129/O129,4),0))</f>
        <v>0</v>
      </c>
      <c r="AN129" s="298">
        <f>IFERROR(_xlfn.XLOOKUP(AB129,'2) หลักการคำนวน Table'!$C$3:$K$3,'2) หลักการคำนวน Table'!$C$3:$K$3,,1),INDEX('2) หลักการคำนวน Table'!$C$3:$K$3,1))</f>
        <v>1</v>
      </c>
      <c r="AO129" s="298">
        <f>IFERROR(
  _xlfn.XLOOKUP(AC129,'2) หลักการคำนวน Table'!$C$3:$K$3,'2) หลักการคำนวน Table'!$C$3:$K$3,,1),
  IF(AC129&lt;MIN('2) หลักการคำนวน Table'!$C$3:$K$3),
     MIN('2) หลักการคำนวน Table'!$C$3:$K$3),
     MAX('2) หลักการคำนวน Table'!$C$3:$K$3)
  )
)</f>
        <v>0.9</v>
      </c>
      <c r="AP129" s="298">
        <f>IFERROR(
  _xlfn.XLOOKUP(AD129,'2) หลักการคำนวน Table'!$C$3:$K$3,'2) หลักการคำนวน Table'!$C$3:$K$3,,1),
  IF(AD129&lt;MIN('2) หลักการคำนวน Table'!$C$3:$K$3),
     MIN('2) หลักการคำนวน Table'!$C$3:$K$3),
     MAX('2) หลักการคำนวน Table'!$C$3:$K$3)
  )
)</f>
        <v>0.9</v>
      </c>
      <c r="AQ129" s="298">
        <f>IFERROR(
  _xlfn.XLOOKUP(AE129,'2) หลักการคำนวน Table'!$C$3:$K$3,'2) หลักการคำนวน Table'!$C$3:$K$3,,1),
  IF(AE129&lt;MIN('2) หลักการคำนวน Table'!$C$3:$K$3),
     MIN('2) หลักการคำนวน Table'!$C$3:$K$3),
     MAX('2) หลักการคำนวน Table'!$C$3:$K$3)
  )
)</f>
        <v>0.9</v>
      </c>
      <c r="AR129" s="298">
        <f>IFERROR(
  _xlfn.XLOOKUP(AF129,'2) หลักการคำนวน Table'!$C$3:$K$3,'2) หลักการคำนวน Table'!$C$3:$K$3,,1),
  IF(AF129&lt;MIN('2) หลักการคำนวน Table'!$C$3:$K$3),
     MIN('2) หลักการคำนวน Table'!$C$3:$K$3),
     MAX('2) หลักการคำนวน Table'!$C$3:$K$3)
  )
)</f>
        <v>0.9</v>
      </c>
      <c r="AS129" s="298">
        <f>IFERROR(
  _xlfn.XLOOKUP(AG129,'2) หลักการคำนวน Table'!$C$3:$K$3,'2) หลักการคำนวน Table'!$C$3:$K$3,,1),
  IF(AG129&lt;MIN('2) หลักการคำนวน Table'!$C$3:$K$3),
     MIN('2) หลักการคำนวน Table'!$C$3:$K$3),
     MAX('2) หลักการคำนวน Table'!$C$3:$K$3)
  )
)</f>
        <v>0.9</v>
      </c>
      <c r="AT129" s="298">
        <f>IFERROR(
  _xlfn.XLOOKUP(AH129,'2) หลักการคำนวน Table'!$C$3:$K$3,'2) หลักการคำนวน Table'!$C$3:$K$3,,1),
  IF(AH129&lt;MIN('2) หลักการคำนวน Table'!$C$3:$K$3),
     MIN('2) หลักการคำนวน Table'!$C$3:$K$3),
     MAX('2) หลักการคำนวน Table'!$C$3:$K$3)
  )
)</f>
        <v>0.9</v>
      </c>
      <c r="AU129" s="298">
        <f>IFERROR(
  _xlfn.XLOOKUP(AI129,'2) หลักการคำนวน Table'!$C$3:$K$3,'2) หลักการคำนวน Table'!$C$3:$K$3,,1),
  IF(AI129&lt;MIN('2) หลักการคำนวน Table'!$C$3:$K$3),
     MIN('2) หลักการคำนวน Table'!$C$3:$K$3),
     MAX('2) หลักการคำนวน Table'!$C$3:$K$3)
  )
)</f>
        <v>0.9</v>
      </c>
      <c r="AV129" s="298">
        <f>IFERROR(
  _xlfn.XLOOKUP(AJ129,'2) หลักการคำนวน Table'!$C$3:$K$3,'2) หลักการคำนวน Table'!$C$3:$K$3,,1),
  IF(AJ129&lt;MIN('2) หลักการคำนวน Table'!$C$3:$K$3),
     MIN('2) หลักการคำนวน Table'!$C$3:$K$3),
     MAX('2) หลักการคำนวน Table'!$C$3:$K$3)
  )
)</f>
        <v>0.9</v>
      </c>
      <c r="AW129" s="298">
        <f>IFERROR(
  _xlfn.XLOOKUP(AK129,'2) หลักการคำนวน Table'!$C$3:$K$3,'2) หลักการคำนวน Table'!$C$3:$K$3,,1),
  IF(AK129&lt;MIN('2) หลักการคำนวน Table'!$C$3:$K$3),
     MIN('2) หลักการคำนวน Table'!$C$3:$K$3),
     MAX('2) หลักการคำนวน Table'!$C$3:$K$3)
  )
)</f>
        <v>0.9</v>
      </c>
      <c r="AX129" s="298">
        <f>IFERROR(
  _xlfn.XLOOKUP(AL129,'2) หลักการคำนวน Table'!$C$3:$K$3,'2) หลักการคำนวน Table'!$C$3:$K$3,,1),
  IF(AL129&lt;MIN('2) หลักการคำนวน Table'!$C$3:$K$3),
     MIN('2) หลักการคำนวน Table'!$C$3:$K$3),
     MAX('2) หลักการคำนวน Table'!$C$3:$K$3)
  )
)</f>
        <v>0.9</v>
      </c>
      <c r="AY129" s="298">
        <f>IFERROR(
  _xlfn.XLOOKUP(AM129,'2) หลักการคำนวน Table'!$C$3:$K$3,'2) หลักการคำนวน Table'!$C$3:$K$3,,1),
  IF(AM129&lt;MIN('2) หลักการคำนวน Table'!$C$3:$K$3),
     MIN('2) หลักการคำนวน Table'!$C$3:$K$3),
     MAX('2) หลักการคำนวน Table'!$C$3:$K$3)
  )
)</f>
        <v>0.9</v>
      </c>
      <c r="AZ129" s="299" cm="1">
        <f t="array" ref="AZ129">ROUND((_xlfn.XLOOKUP($C129,'2) หลักการคำนวน Table'!$A$4:$A$36,
_xlfn.XLOOKUP(AN129,'2)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1471</v>
      </c>
      <c r="BA129" s="299" cm="1">
        <f t="array" ref="BA129">ROUND((_xlfn.XLOOKUP($C129,'2) หลักการคำนวน Table'!$A$4:$A$36,
_xlfn.XLOOKUP(AO129,'2)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1324</v>
      </c>
      <c r="BB129" s="299" cm="1">
        <f t="array" ref="BB129">ROUND((_xlfn.XLOOKUP($C129,'2) หลักการคำนวน Table'!$A$4:$A$36,
_xlfn.XLOOKUP(AP129,'2)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1324</v>
      </c>
      <c r="BC129" s="299" cm="1">
        <f t="array" ref="BC129">ROUND((_xlfn.XLOOKUP($C129,'2) หลักการคำนวน Table'!$A$4:$A$36,
_xlfn.XLOOKUP(AQ129,'2)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1324</v>
      </c>
      <c r="BD129" s="299" cm="1">
        <f t="array" ref="BD129">ROUND((_xlfn.XLOOKUP($C129,'2) หลักการคำนวน Table'!$A$4:$A$36,
_xlfn.XLOOKUP(AR129,'2)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1324</v>
      </c>
      <c r="BE129" s="299" cm="1">
        <f t="array" ref="BE129">ROUND((_xlfn.XLOOKUP($C129,'2) หลักการคำนวน Table'!$A$4:$A$36,
_xlfn.XLOOKUP(AS129,'2)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1324</v>
      </c>
      <c r="BF129" s="299" cm="1">
        <f t="array" ref="BF129">ROUND((_xlfn.XLOOKUP($C129,'2) หลักการคำนวน Table'!$A$4:$A$36,
_xlfn.XLOOKUP(AT129,'2)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1324</v>
      </c>
      <c r="BG129" s="299" cm="1">
        <f t="array" ref="BG129">ROUND((_xlfn.XLOOKUP($C129,'2) หลักการคำนวน Table'!$A$4:$A$36,
_xlfn.XLOOKUP(AU129,'2)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1324</v>
      </c>
      <c r="BH129" s="299" cm="1">
        <f t="array" ref="BH129">ROUND((_xlfn.XLOOKUP($C129,'2) หลักการคำนวน Table'!$A$4:$A$36,
_xlfn.XLOOKUP(AV129,'2)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1324</v>
      </c>
      <c r="BI129" s="299" cm="1">
        <f t="array" ref="BI129">ROUND((_xlfn.XLOOKUP($C129,'2) หลักการคำนวน Table'!$A$4:$A$36,
_xlfn.XLOOKUP(AW129,'2)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1324</v>
      </c>
      <c r="BJ129" s="299" cm="1">
        <f t="array" ref="BJ129">ROUND((_xlfn.XLOOKUP($C129,'2) หลักการคำนวน Table'!$A$4:$A$36,
_xlfn.XLOOKUP(AX129,'2)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1324</v>
      </c>
      <c r="BK129" s="299" cm="1">
        <f t="array" ref="BK129">ROUND((_xlfn.XLOOKUP($C129,'2) หลักการคำนวน Table'!$A$4:$A$36,
_xlfn.XLOOKUP(AY129,'2) หลักการคำนวน Table'!$C$3:$K$3,'2) หลักการคำนวน Table'!$C$4:$K$36,,-1)))*(_xlfn.XLOOKUP($C129,'2) หลักการคำนวน Table'!$A$4:$A$36, _xlfn.XLOOKUP($B129,'2) หลักการคำนวน Table'!$L$3:$Z$3,'2) หลักการคำนวน Table'!$L$4:$Z$36))),0)</f>
        <v>1324</v>
      </c>
      <c r="BL129" s="295"/>
      <c r="BM129" s="295">
        <v>222205</v>
      </c>
      <c r="BN129" s="300">
        <v>1471</v>
      </c>
    </row>
    <row r="130" spans="1:66" ht="14.7" customHeight="1" x14ac:dyDescent="0.25">
      <c r="A130" s="126">
        <f>VLOOKUP(C130,ASTBase!E:S,13,FALSE)</f>
        <v>222237</v>
      </c>
      <c r="B130" s="126" t="s">
        <v>405</v>
      </c>
      <c r="C130" s="232" t="s">
        <v>396</v>
      </c>
      <c r="D130" s="296">
        <v>110000</v>
      </c>
      <c r="E130" s="296">
        <v>120000</v>
      </c>
      <c r="F130" s="296">
        <v>215000</v>
      </c>
      <c r="G130" s="296">
        <v>155000</v>
      </c>
      <c r="H130" s="296">
        <v>130000</v>
      </c>
      <c r="I130" s="296">
        <v>135000</v>
      </c>
      <c r="J130" s="296">
        <v>155000</v>
      </c>
      <c r="K130" s="296">
        <v>130000</v>
      </c>
      <c r="L130" s="296">
        <v>125000</v>
      </c>
      <c r="M130" s="296">
        <v>140000</v>
      </c>
      <c r="N130" s="296">
        <v>125000</v>
      </c>
      <c r="O130" s="296">
        <v>260000</v>
      </c>
      <c r="P130" s="295">
        <v>152751.09999999998</v>
      </c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7">
        <f>IFERROR(IF(VLOOKUP($B130,Shortage!$A:$M,AB$2,FALSE)="Shortage",1,IFERROR(ROUND(P130/D130,4),0)),IFERROR(ROUND(P130/D130,4),0))</f>
        <v>1</v>
      </c>
      <c r="AC130" s="297">
        <f>IFERROR(IF(VLOOKUP($B130,Shortage!$A:$M,AC$2,FALSE)="Shortage",1,IFERROR(ROUND(Q130/E130,4),0)),IFERROR(ROUND(Q130/E130,4),0))</f>
        <v>0</v>
      </c>
      <c r="AD130" s="297">
        <f>IFERROR(IF(VLOOKUP($B130,Shortage!$A:$M,AD$2,FALSE)="Shortage",1,IFERROR(ROUND(R130/F130,4),0)),IFERROR(ROUND(R130/F130,4),0))</f>
        <v>0</v>
      </c>
      <c r="AE130" s="297">
        <f>IFERROR(IF(VLOOKUP($B130,Shortage!$A:$M,AE$2,FALSE)="Shortage",1,IFERROR(ROUND(S130/G130,4),0)),IFERROR(ROUND(S130/G130,4),0))</f>
        <v>0</v>
      </c>
      <c r="AF130" s="297">
        <f>IFERROR(IF(VLOOKUP($B130,Shortage!$A:$M,AF$2,FALSE)="Shortage",1,IFERROR(ROUND(T130/H130,4),0)),IFERROR(ROUND(T130/H130,4),0))</f>
        <v>0</v>
      </c>
      <c r="AG130" s="297">
        <f>IFERROR(IF(VLOOKUP($B130,Shortage!$A:$M,AG$2,FALSE)="Shortage",1,IFERROR(ROUND(U130/I130,4),0)),IFERROR(ROUND(U130/I130,4),0))</f>
        <v>0</v>
      </c>
      <c r="AH130" s="297">
        <f>IFERROR(IF(VLOOKUP($B130,Shortage!$A:$M,AH$2,FALSE)="Shortage",1,IFERROR(ROUND(V130/J130,4),0)),IFERROR(ROUND(V130/J130,4),0))</f>
        <v>0</v>
      </c>
      <c r="AI130" s="297">
        <f>IFERROR(IF(VLOOKUP($B130,Shortage!$A:$M,AI$2,FALSE)="Shortage",1,IFERROR(ROUND(W130/K130,4),0)),IFERROR(ROUND(W130/K130,4),0))</f>
        <v>0</v>
      </c>
      <c r="AJ130" s="297">
        <f>IFERROR(IF(VLOOKUP($B130,Shortage!$A:$M,AJ$2,FALSE)="Shortage",1,IFERROR(ROUND(X130/L130,4),0)),IFERROR(ROUND(X130/L130,4),0))</f>
        <v>0</v>
      </c>
      <c r="AK130" s="297">
        <f>IFERROR(IF(VLOOKUP($B130,Shortage!$A:$M,AK$2,FALSE)="Shortage",1,IFERROR(ROUND(Y130/M130,4),0)),IFERROR(ROUND(Y130/M130,4),0))</f>
        <v>0</v>
      </c>
      <c r="AL130" s="297">
        <f>IFERROR(IF(VLOOKUP($B130,Shortage!$A:$M,AL$2,FALSE)="Shortage",1,IFERROR(ROUND(Z130/N130,4),0)),IFERROR(ROUND(Z130/N130,4),0))</f>
        <v>0</v>
      </c>
      <c r="AM130" s="297">
        <f>IFERROR(IF(VLOOKUP($B130,Shortage!$A:$M,AM$2,FALSE)="Shortage",1,IFERROR(ROUND(AA130/O130,4),0)),IFERROR(ROUND(AA130/O130,4),0))</f>
        <v>0</v>
      </c>
      <c r="AN130" s="298">
        <f>IFERROR(_xlfn.XLOOKUP(AB130,'2) หลักการคำนวน Table'!$C$3:$K$3,'2) หลักการคำนวน Table'!$C$3:$K$3,,1),INDEX('2) หลักการคำนวน Table'!$C$3:$K$3,1))</f>
        <v>1</v>
      </c>
      <c r="AO130" s="298">
        <f>IFERROR(
  _xlfn.XLOOKUP(AC130,'2) หลักการคำนวน Table'!$C$3:$K$3,'2) หลักการคำนวน Table'!$C$3:$K$3,,1),
  IF(AC130&lt;MIN('2) หลักการคำนวน Table'!$C$3:$K$3),
     MIN('2) หลักการคำนวน Table'!$C$3:$K$3),
     MAX('2) หลักการคำนวน Table'!$C$3:$K$3)
  )
)</f>
        <v>0.9</v>
      </c>
      <c r="AP130" s="298">
        <f>IFERROR(
  _xlfn.XLOOKUP(AD130,'2) หลักการคำนวน Table'!$C$3:$K$3,'2) หลักการคำนวน Table'!$C$3:$K$3,,1),
  IF(AD130&lt;MIN('2) หลักการคำนวน Table'!$C$3:$K$3),
     MIN('2) หลักการคำนวน Table'!$C$3:$K$3),
     MAX('2) หลักการคำนวน Table'!$C$3:$K$3)
  )
)</f>
        <v>0.9</v>
      </c>
      <c r="AQ130" s="298">
        <f>IFERROR(
  _xlfn.XLOOKUP(AE130,'2) หลักการคำนวน Table'!$C$3:$K$3,'2) หลักการคำนวน Table'!$C$3:$K$3,,1),
  IF(AE130&lt;MIN('2) หลักการคำนวน Table'!$C$3:$K$3),
     MIN('2) หลักการคำนวน Table'!$C$3:$K$3),
     MAX('2) หลักการคำนวน Table'!$C$3:$K$3)
  )
)</f>
        <v>0.9</v>
      </c>
      <c r="AR130" s="298">
        <f>IFERROR(
  _xlfn.XLOOKUP(AF130,'2) หลักการคำนวน Table'!$C$3:$K$3,'2) หลักการคำนวน Table'!$C$3:$K$3,,1),
  IF(AF130&lt;MIN('2) หลักการคำนวน Table'!$C$3:$K$3),
     MIN('2) หลักการคำนวน Table'!$C$3:$K$3),
     MAX('2) หลักการคำนวน Table'!$C$3:$K$3)
  )
)</f>
        <v>0.9</v>
      </c>
      <c r="AS130" s="298">
        <f>IFERROR(
  _xlfn.XLOOKUP(AG130,'2) หลักการคำนวน Table'!$C$3:$K$3,'2) หลักการคำนวน Table'!$C$3:$K$3,,1),
  IF(AG130&lt;MIN('2) หลักการคำนวน Table'!$C$3:$K$3),
     MIN('2) หลักการคำนวน Table'!$C$3:$K$3),
     MAX('2) หลักการคำนวน Table'!$C$3:$K$3)
  )
)</f>
        <v>0.9</v>
      </c>
      <c r="AT130" s="298">
        <f>IFERROR(
  _xlfn.XLOOKUP(AH130,'2) หลักการคำนวน Table'!$C$3:$K$3,'2) หลักการคำนวน Table'!$C$3:$K$3,,1),
  IF(AH130&lt;MIN('2) หลักการคำนวน Table'!$C$3:$K$3),
     MIN('2) หลักการคำนวน Table'!$C$3:$K$3),
     MAX('2) หลักการคำนวน Table'!$C$3:$K$3)
  )
)</f>
        <v>0.9</v>
      </c>
      <c r="AU130" s="298">
        <f>IFERROR(
  _xlfn.XLOOKUP(AI130,'2) หลักการคำนวน Table'!$C$3:$K$3,'2) หลักการคำนวน Table'!$C$3:$K$3,,1),
  IF(AI130&lt;MIN('2) หลักการคำนวน Table'!$C$3:$K$3),
     MIN('2) หลักการคำนวน Table'!$C$3:$K$3),
     MAX('2) หลักการคำนวน Table'!$C$3:$K$3)
  )
)</f>
        <v>0.9</v>
      </c>
      <c r="AV130" s="298">
        <f>IFERROR(
  _xlfn.XLOOKUP(AJ130,'2) หลักการคำนวน Table'!$C$3:$K$3,'2) หลักการคำนวน Table'!$C$3:$K$3,,1),
  IF(AJ130&lt;MIN('2) หลักการคำนวน Table'!$C$3:$K$3),
     MIN('2) หลักการคำนวน Table'!$C$3:$K$3),
     MAX('2) หลักการคำนวน Table'!$C$3:$K$3)
  )
)</f>
        <v>0.9</v>
      </c>
      <c r="AW130" s="298">
        <f>IFERROR(
  _xlfn.XLOOKUP(AK130,'2) หลักการคำนวน Table'!$C$3:$K$3,'2) หลักการคำนวน Table'!$C$3:$K$3,,1),
  IF(AK130&lt;MIN('2) หลักการคำนวน Table'!$C$3:$K$3),
     MIN('2) หลักการคำนวน Table'!$C$3:$K$3),
     MAX('2) หลักการคำนวน Table'!$C$3:$K$3)
  )
)</f>
        <v>0.9</v>
      </c>
      <c r="AX130" s="298">
        <f>IFERROR(
  _xlfn.XLOOKUP(AL130,'2) หลักการคำนวน Table'!$C$3:$K$3,'2) หลักการคำนวน Table'!$C$3:$K$3,,1),
  IF(AL130&lt;MIN('2) หลักการคำนวน Table'!$C$3:$K$3),
     MIN('2) หลักการคำนวน Table'!$C$3:$K$3),
     MAX('2) หลักการคำนวน Table'!$C$3:$K$3)
  )
)</f>
        <v>0.9</v>
      </c>
      <c r="AY130" s="298">
        <f>IFERROR(
  _xlfn.XLOOKUP(AM130,'2) หลักการคำนวน Table'!$C$3:$K$3,'2) หลักการคำนวน Table'!$C$3:$K$3,,1),
  IF(AM130&lt;MIN('2) หลักการคำนวน Table'!$C$3:$K$3),
     MIN('2) หลักการคำนวน Table'!$C$3:$K$3),
     MAX('2) หลักการคำนวน Table'!$C$3:$K$3)
  )
)</f>
        <v>0.9</v>
      </c>
      <c r="AZ130" s="299" cm="1">
        <f t="array" ref="AZ130">ROUND((_xlfn.XLOOKUP($C130,'2) หลักการคำนวน Table'!$A$4:$A$36,
_xlfn.XLOOKUP(AN130,'2)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288</v>
      </c>
      <c r="BA130" s="299" cm="1">
        <f t="array" ref="BA130">ROUND((_xlfn.XLOOKUP($C130,'2) หลักการคำนวน Table'!$A$4:$A$36,
_xlfn.XLOOKUP(AO130,'2)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260</v>
      </c>
      <c r="BB130" s="299" cm="1">
        <f t="array" ref="BB130">ROUND((_xlfn.XLOOKUP($C130,'2) หลักการคำนวน Table'!$A$4:$A$36,
_xlfn.XLOOKUP(AP130,'2)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260</v>
      </c>
      <c r="BC130" s="299" cm="1">
        <f t="array" ref="BC130">ROUND((_xlfn.XLOOKUP($C130,'2) หลักการคำนวน Table'!$A$4:$A$36,
_xlfn.XLOOKUP(AQ130,'2)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260</v>
      </c>
      <c r="BD130" s="299" cm="1">
        <f t="array" ref="BD130">ROUND((_xlfn.XLOOKUP($C130,'2) หลักการคำนวน Table'!$A$4:$A$36,
_xlfn.XLOOKUP(AR130,'2)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260</v>
      </c>
      <c r="BE130" s="299" cm="1">
        <f t="array" ref="BE130">ROUND((_xlfn.XLOOKUP($C130,'2) หลักการคำนวน Table'!$A$4:$A$36,
_xlfn.XLOOKUP(AS130,'2)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260</v>
      </c>
      <c r="BF130" s="299" cm="1">
        <f t="array" ref="BF130">ROUND((_xlfn.XLOOKUP($C130,'2) หลักการคำนวน Table'!$A$4:$A$36,
_xlfn.XLOOKUP(AT130,'2)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260</v>
      </c>
      <c r="BG130" s="299" cm="1">
        <f t="array" ref="BG130">ROUND((_xlfn.XLOOKUP($C130,'2) หลักการคำนวน Table'!$A$4:$A$36,
_xlfn.XLOOKUP(AU130,'2)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260</v>
      </c>
      <c r="BH130" s="299" cm="1">
        <f t="array" ref="BH130">ROUND((_xlfn.XLOOKUP($C130,'2) หลักการคำนวน Table'!$A$4:$A$36,
_xlfn.XLOOKUP(AV130,'2)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260</v>
      </c>
      <c r="BI130" s="299" cm="1">
        <f t="array" ref="BI130">ROUND((_xlfn.XLOOKUP($C130,'2) หลักการคำนวน Table'!$A$4:$A$36,
_xlfn.XLOOKUP(AW130,'2)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260</v>
      </c>
      <c r="BJ130" s="299" cm="1">
        <f t="array" ref="BJ130">ROUND((_xlfn.XLOOKUP($C130,'2) หลักการคำนวน Table'!$A$4:$A$36,
_xlfn.XLOOKUP(AX130,'2)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260</v>
      </c>
      <c r="BK130" s="299" cm="1">
        <f t="array" ref="BK130">ROUND((_xlfn.XLOOKUP($C130,'2) หลักการคำนวน Table'!$A$4:$A$36,
_xlfn.XLOOKUP(AY130,'2) หลักการคำนวน Table'!$C$3:$K$3,'2) หลักการคำนวน Table'!$C$4:$K$36,,-1)))*(_xlfn.XLOOKUP($C130,'2) หลักการคำนวน Table'!$A$4:$A$36, _xlfn.XLOOKUP($B130,'2) หลักการคำนวน Table'!$L$3:$Z$3,'2) หลักการคำนวน Table'!$L$4:$Z$36))),0)</f>
        <v>260</v>
      </c>
      <c r="BL130" s="295"/>
      <c r="BM130" s="295">
        <v>222204</v>
      </c>
      <c r="BN130" s="300">
        <v>288</v>
      </c>
    </row>
    <row r="131" spans="1:66" ht="14.7" customHeight="1" x14ac:dyDescent="0.25">
      <c r="A131" s="126">
        <f>VLOOKUP(C131,ASTBase!E:S,13,FALSE)</f>
        <v>222237</v>
      </c>
      <c r="B131" s="126" t="s">
        <v>408</v>
      </c>
      <c r="C131" s="232" t="s">
        <v>396</v>
      </c>
      <c r="D131" s="296">
        <v>7000</v>
      </c>
      <c r="E131" s="296">
        <v>8500</v>
      </c>
      <c r="F131" s="296">
        <v>23000</v>
      </c>
      <c r="G131" s="296">
        <v>10500</v>
      </c>
      <c r="H131" s="296">
        <v>8000</v>
      </c>
      <c r="I131" s="296">
        <v>8500</v>
      </c>
      <c r="J131" s="296">
        <v>8000</v>
      </c>
      <c r="K131" s="296">
        <v>10000</v>
      </c>
      <c r="L131" s="296">
        <v>8000</v>
      </c>
      <c r="M131" s="296">
        <v>9500</v>
      </c>
      <c r="N131" s="296">
        <v>9000</v>
      </c>
      <c r="O131" s="296">
        <v>26000</v>
      </c>
      <c r="P131" s="295">
        <v>9562.3199999999979</v>
      </c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  <c r="AA131" s="295"/>
      <c r="AB131" s="297">
        <f>IFERROR(IF(VLOOKUP($B131,Shortage!$A:$M,AB$2,FALSE)="Shortage",1,IFERROR(ROUND(P131/D131,4),0)),IFERROR(ROUND(P131/D131,4),0))</f>
        <v>1.3660000000000001</v>
      </c>
      <c r="AC131" s="297">
        <f>IFERROR(IF(VLOOKUP($B131,Shortage!$A:$M,AC$2,FALSE)="Shortage",1,IFERROR(ROUND(Q131/E131,4),0)),IFERROR(ROUND(Q131/E131,4),0))</f>
        <v>0</v>
      </c>
      <c r="AD131" s="297">
        <f>IFERROR(IF(VLOOKUP($B131,Shortage!$A:$M,AD$2,FALSE)="Shortage",1,IFERROR(ROUND(R131/F131,4),0)),IFERROR(ROUND(R131/F131,4),0))</f>
        <v>0</v>
      </c>
      <c r="AE131" s="297">
        <f>IFERROR(IF(VLOOKUP($B131,Shortage!$A:$M,AE$2,FALSE)="Shortage",1,IFERROR(ROUND(S131/G131,4),0)),IFERROR(ROUND(S131/G131,4),0))</f>
        <v>0</v>
      </c>
      <c r="AF131" s="297">
        <f>IFERROR(IF(VLOOKUP($B131,Shortage!$A:$M,AF$2,FALSE)="Shortage",1,IFERROR(ROUND(T131/H131,4),0)),IFERROR(ROUND(T131/H131,4),0))</f>
        <v>0</v>
      </c>
      <c r="AG131" s="297">
        <f>IFERROR(IF(VLOOKUP($B131,Shortage!$A:$M,AG$2,FALSE)="Shortage",1,IFERROR(ROUND(U131/I131,4),0)),IFERROR(ROUND(U131/I131,4),0))</f>
        <v>0</v>
      </c>
      <c r="AH131" s="297">
        <f>IFERROR(IF(VLOOKUP($B131,Shortage!$A:$M,AH$2,FALSE)="Shortage",1,IFERROR(ROUND(V131/J131,4),0)),IFERROR(ROUND(V131/J131,4),0))</f>
        <v>0</v>
      </c>
      <c r="AI131" s="297">
        <f>IFERROR(IF(VLOOKUP($B131,Shortage!$A:$M,AI$2,FALSE)="Shortage",1,IFERROR(ROUND(W131/K131,4),0)),IFERROR(ROUND(W131/K131,4),0))</f>
        <v>0</v>
      </c>
      <c r="AJ131" s="297">
        <f>IFERROR(IF(VLOOKUP($B131,Shortage!$A:$M,AJ$2,FALSE)="Shortage",1,IFERROR(ROUND(X131/L131,4),0)),IFERROR(ROUND(X131/L131,4),0))</f>
        <v>0</v>
      </c>
      <c r="AK131" s="297">
        <f>IFERROR(IF(VLOOKUP($B131,Shortage!$A:$M,AK$2,FALSE)="Shortage",1,IFERROR(ROUND(Y131/M131,4),0)),IFERROR(ROUND(Y131/M131,4),0))</f>
        <v>0</v>
      </c>
      <c r="AL131" s="297">
        <f>IFERROR(IF(VLOOKUP($B131,Shortage!$A:$M,AL$2,FALSE)="Shortage",1,IFERROR(ROUND(Z131/N131,4),0)),IFERROR(ROUND(Z131/N131,4),0))</f>
        <v>0</v>
      </c>
      <c r="AM131" s="297">
        <f>IFERROR(IF(VLOOKUP($B131,Shortage!$A:$M,AM$2,FALSE)="Shortage",1,IFERROR(ROUND(AA131/O131,4),0)),IFERROR(ROUND(AA131/O131,4),0))</f>
        <v>0</v>
      </c>
      <c r="AN131" s="298">
        <f>IFERROR(_xlfn.XLOOKUP(AB131,'2) หลักการคำนวน Table'!$C$3:$K$3,'2) หลักการคำนวน Table'!$C$3:$K$3,,1),INDEX('2) หลักการคำนวน Table'!$C$3:$K$3,1))</f>
        <v>20</v>
      </c>
      <c r="AO131" s="298">
        <f>IFERROR(
  _xlfn.XLOOKUP(AC131,'2) หลักการคำนวน Table'!$C$3:$K$3,'2) หลักการคำนวน Table'!$C$3:$K$3,,1),
  IF(AC131&lt;MIN('2) หลักการคำนวน Table'!$C$3:$K$3),
     MIN('2) หลักการคำนวน Table'!$C$3:$K$3),
     MAX('2) หลักการคำนวน Table'!$C$3:$K$3)
  )
)</f>
        <v>0.9</v>
      </c>
      <c r="AP131" s="298">
        <f>IFERROR(
  _xlfn.XLOOKUP(AD131,'2) หลักการคำนวน Table'!$C$3:$K$3,'2) หลักการคำนวน Table'!$C$3:$K$3,,1),
  IF(AD131&lt;MIN('2) หลักการคำนวน Table'!$C$3:$K$3),
     MIN('2) หลักการคำนวน Table'!$C$3:$K$3),
     MAX('2) หลักการคำนวน Table'!$C$3:$K$3)
  )
)</f>
        <v>0.9</v>
      </c>
      <c r="AQ131" s="298">
        <f>IFERROR(
  _xlfn.XLOOKUP(AE131,'2) หลักการคำนวน Table'!$C$3:$K$3,'2) หลักการคำนวน Table'!$C$3:$K$3,,1),
  IF(AE131&lt;MIN('2) หลักการคำนวน Table'!$C$3:$K$3),
     MIN('2) หลักการคำนวน Table'!$C$3:$K$3),
     MAX('2) หลักการคำนวน Table'!$C$3:$K$3)
  )
)</f>
        <v>0.9</v>
      </c>
      <c r="AR131" s="298">
        <f>IFERROR(
  _xlfn.XLOOKUP(AF131,'2) หลักการคำนวน Table'!$C$3:$K$3,'2) หลักการคำนวน Table'!$C$3:$K$3,,1),
  IF(AF131&lt;MIN('2) หลักการคำนวน Table'!$C$3:$K$3),
     MIN('2) หลักการคำนวน Table'!$C$3:$K$3),
     MAX('2) หลักการคำนวน Table'!$C$3:$K$3)
  )
)</f>
        <v>0.9</v>
      </c>
      <c r="AS131" s="298">
        <f>IFERROR(
  _xlfn.XLOOKUP(AG131,'2) หลักการคำนวน Table'!$C$3:$K$3,'2) หลักการคำนวน Table'!$C$3:$K$3,,1),
  IF(AG131&lt;MIN('2) หลักการคำนวน Table'!$C$3:$K$3),
     MIN('2) หลักการคำนวน Table'!$C$3:$K$3),
     MAX('2) หลักการคำนวน Table'!$C$3:$K$3)
  )
)</f>
        <v>0.9</v>
      </c>
      <c r="AT131" s="298">
        <f>IFERROR(
  _xlfn.XLOOKUP(AH131,'2) หลักการคำนวน Table'!$C$3:$K$3,'2) หลักการคำนวน Table'!$C$3:$K$3,,1),
  IF(AH131&lt;MIN('2) หลักการคำนวน Table'!$C$3:$K$3),
     MIN('2) หลักการคำนวน Table'!$C$3:$K$3),
     MAX('2) หลักการคำนวน Table'!$C$3:$K$3)
  )
)</f>
        <v>0.9</v>
      </c>
      <c r="AU131" s="298">
        <f>IFERROR(
  _xlfn.XLOOKUP(AI131,'2) หลักการคำนวน Table'!$C$3:$K$3,'2) หลักการคำนวน Table'!$C$3:$K$3,,1),
  IF(AI131&lt;MIN('2) หลักการคำนวน Table'!$C$3:$K$3),
     MIN('2) หลักการคำนวน Table'!$C$3:$K$3),
     MAX('2) หลักการคำนวน Table'!$C$3:$K$3)
  )
)</f>
        <v>0.9</v>
      </c>
      <c r="AV131" s="298">
        <f>IFERROR(
  _xlfn.XLOOKUP(AJ131,'2) หลักการคำนวน Table'!$C$3:$K$3,'2) หลักการคำนวน Table'!$C$3:$K$3,,1),
  IF(AJ131&lt;MIN('2) หลักการคำนวน Table'!$C$3:$K$3),
     MIN('2) หลักการคำนวน Table'!$C$3:$K$3),
     MAX('2) หลักการคำนวน Table'!$C$3:$K$3)
  )
)</f>
        <v>0.9</v>
      </c>
      <c r="AW131" s="298">
        <f>IFERROR(
  _xlfn.XLOOKUP(AK131,'2) หลักการคำนวน Table'!$C$3:$K$3,'2) หลักการคำนวน Table'!$C$3:$K$3,,1),
  IF(AK131&lt;MIN('2) หลักการคำนวน Table'!$C$3:$K$3),
     MIN('2) หลักการคำนวน Table'!$C$3:$K$3),
     MAX('2) หลักการคำนวน Table'!$C$3:$K$3)
  )
)</f>
        <v>0.9</v>
      </c>
      <c r="AX131" s="298">
        <f>IFERROR(
  _xlfn.XLOOKUP(AL131,'2) หลักการคำนวน Table'!$C$3:$K$3,'2) หลักการคำนวน Table'!$C$3:$K$3,,1),
  IF(AL131&lt;MIN('2) หลักการคำนวน Table'!$C$3:$K$3),
     MIN('2) หลักการคำนวน Table'!$C$3:$K$3),
     MAX('2) หลักการคำนวน Table'!$C$3:$K$3)
  )
)</f>
        <v>0.9</v>
      </c>
      <c r="AY131" s="298">
        <f>IFERROR(
  _xlfn.XLOOKUP(AM131,'2) หลักการคำนวน Table'!$C$3:$K$3,'2) หลักการคำนวน Table'!$C$3:$K$3,,1),
  IF(AM131&lt;MIN('2) หลักการคำนวน Table'!$C$3:$K$3),
     MIN('2) หลักการคำนวน Table'!$C$3:$K$3),
     MAX('2) หลักการคำนวน Table'!$C$3:$K$3)
  )
)</f>
        <v>0.9</v>
      </c>
      <c r="AZ131" s="299" cm="1">
        <f t="array" ref="AZ131">ROUND((_xlfn.XLOOKUP($C131,'2) หลักการคำนวน Table'!$A$4:$A$36,
_xlfn.XLOOKUP(AN131,'2)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625</v>
      </c>
      <c r="BA131" s="299" cm="1">
        <f t="array" ref="BA131">ROUND((_xlfn.XLOOKUP($C131,'2) หลักการคำนวน Table'!$A$4:$A$36,
_xlfn.XLOOKUP(AO131,'2)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433</v>
      </c>
      <c r="BB131" s="299" cm="1">
        <f t="array" ref="BB131">ROUND((_xlfn.XLOOKUP($C131,'2) หลักการคำนวน Table'!$A$4:$A$36,
_xlfn.XLOOKUP(AP131,'2)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433</v>
      </c>
      <c r="BC131" s="299" cm="1">
        <f t="array" ref="BC131">ROUND((_xlfn.XLOOKUP($C131,'2) หลักการคำนวน Table'!$A$4:$A$36,
_xlfn.XLOOKUP(AQ131,'2)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433</v>
      </c>
      <c r="BD131" s="299" cm="1">
        <f t="array" ref="BD131">ROUND((_xlfn.XLOOKUP($C131,'2) หลักการคำนวน Table'!$A$4:$A$36,
_xlfn.XLOOKUP(AR131,'2)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433</v>
      </c>
      <c r="BE131" s="299" cm="1">
        <f t="array" ref="BE131">ROUND((_xlfn.XLOOKUP($C131,'2) หลักการคำนวน Table'!$A$4:$A$36,
_xlfn.XLOOKUP(AS131,'2)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433</v>
      </c>
      <c r="BF131" s="299" cm="1">
        <f t="array" ref="BF131">ROUND((_xlfn.XLOOKUP($C131,'2) หลักการคำนวน Table'!$A$4:$A$36,
_xlfn.XLOOKUP(AT131,'2)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433</v>
      </c>
      <c r="BG131" s="299" cm="1">
        <f t="array" ref="BG131">ROUND((_xlfn.XLOOKUP($C131,'2) หลักการคำนวน Table'!$A$4:$A$36,
_xlfn.XLOOKUP(AU131,'2)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433</v>
      </c>
      <c r="BH131" s="299" cm="1">
        <f t="array" ref="BH131">ROUND((_xlfn.XLOOKUP($C131,'2) หลักการคำนวน Table'!$A$4:$A$36,
_xlfn.XLOOKUP(AV131,'2)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433</v>
      </c>
      <c r="BI131" s="299" cm="1">
        <f t="array" ref="BI131">ROUND((_xlfn.XLOOKUP($C131,'2) หลักการคำนวน Table'!$A$4:$A$36,
_xlfn.XLOOKUP(AW131,'2)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433</v>
      </c>
      <c r="BJ131" s="299" cm="1">
        <f t="array" ref="BJ131">ROUND((_xlfn.XLOOKUP($C131,'2) หลักการคำนวน Table'!$A$4:$A$36,
_xlfn.XLOOKUP(AX131,'2)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433</v>
      </c>
      <c r="BK131" s="299" cm="1">
        <f t="array" ref="BK131">ROUND((_xlfn.XLOOKUP($C131,'2) หลักการคำนวน Table'!$A$4:$A$36,
_xlfn.XLOOKUP(AY131,'2) หลักการคำนวน Table'!$C$3:$K$3,'2) หลักการคำนวน Table'!$C$4:$K$36,,-1)))*(_xlfn.XLOOKUP($C131,'2) หลักการคำนวน Table'!$A$4:$A$36, _xlfn.XLOOKUP($B131,'2) หลักการคำนวน Table'!$L$3:$Z$3,'2) หลักการคำนวน Table'!$L$4:$Z$36))),0)</f>
        <v>433</v>
      </c>
      <c r="BL131" s="295"/>
      <c r="BM131" s="295">
        <v>222204</v>
      </c>
      <c r="BN131" s="300">
        <v>625</v>
      </c>
    </row>
    <row r="132" spans="1:66" ht="14.7" customHeight="1" x14ac:dyDescent="0.25">
      <c r="A132" s="126">
        <f>VLOOKUP(C132,ASTBase!E:S,13,FALSE)</f>
        <v>222237</v>
      </c>
      <c r="B132" s="126" t="s">
        <v>406</v>
      </c>
      <c r="C132" s="232" t="s">
        <v>396</v>
      </c>
      <c r="D132" s="296">
        <v>120000</v>
      </c>
      <c r="E132" s="296">
        <v>100000</v>
      </c>
      <c r="F132" s="296">
        <v>175000</v>
      </c>
      <c r="G132" s="296">
        <v>100000</v>
      </c>
      <c r="H132" s="296">
        <v>100000</v>
      </c>
      <c r="I132" s="296">
        <v>100000</v>
      </c>
      <c r="J132" s="296">
        <v>95000</v>
      </c>
      <c r="K132" s="296">
        <v>100000</v>
      </c>
      <c r="L132" s="296">
        <v>120000</v>
      </c>
      <c r="M132" s="296">
        <v>110000</v>
      </c>
      <c r="N132" s="296">
        <v>105000</v>
      </c>
      <c r="O132" s="296">
        <v>175000</v>
      </c>
      <c r="P132" s="295">
        <v>133862.59999999995</v>
      </c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295"/>
      <c r="AB132" s="297">
        <f>IFERROR(IF(VLOOKUP($B132,Shortage!$A:$M,AB$2,FALSE)="Shortage",1,IFERROR(ROUND(P132/D132,4),0)),IFERROR(ROUND(P132/D132,4),0))</f>
        <v>1</v>
      </c>
      <c r="AC132" s="297">
        <f>IFERROR(IF(VLOOKUP($B132,Shortage!$A:$M,AC$2,FALSE)="Shortage",1,IFERROR(ROUND(Q132/E132,4),0)),IFERROR(ROUND(Q132/E132,4),0))</f>
        <v>0</v>
      </c>
      <c r="AD132" s="297">
        <f>IFERROR(IF(VLOOKUP($B132,Shortage!$A:$M,AD$2,FALSE)="Shortage",1,IFERROR(ROUND(R132/F132,4),0)),IFERROR(ROUND(R132/F132,4),0))</f>
        <v>0</v>
      </c>
      <c r="AE132" s="297">
        <f>IFERROR(IF(VLOOKUP($B132,Shortage!$A:$M,AE$2,FALSE)="Shortage",1,IFERROR(ROUND(S132/G132,4),0)),IFERROR(ROUND(S132/G132,4),0))</f>
        <v>0</v>
      </c>
      <c r="AF132" s="297">
        <f>IFERROR(IF(VLOOKUP($B132,Shortage!$A:$M,AF$2,FALSE)="Shortage",1,IFERROR(ROUND(T132/H132,4),0)),IFERROR(ROUND(T132/H132,4),0))</f>
        <v>0</v>
      </c>
      <c r="AG132" s="297">
        <f>IFERROR(IF(VLOOKUP($B132,Shortage!$A:$M,AG$2,FALSE)="Shortage",1,IFERROR(ROUND(U132/I132,4),0)),IFERROR(ROUND(U132/I132,4),0))</f>
        <v>0</v>
      </c>
      <c r="AH132" s="297">
        <f>IFERROR(IF(VLOOKUP($B132,Shortage!$A:$M,AH$2,FALSE)="Shortage",1,IFERROR(ROUND(V132/J132,4),0)),IFERROR(ROUND(V132/J132,4),0))</f>
        <v>0</v>
      </c>
      <c r="AI132" s="297">
        <f>IFERROR(IF(VLOOKUP($B132,Shortage!$A:$M,AI$2,FALSE)="Shortage",1,IFERROR(ROUND(W132/K132,4),0)),IFERROR(ROUND(W132/K132,4),0))</f>
        <v>0</v>
      </c>
      <c r="AJ132" s="297">
        <f>IFERROR(IF(VLOOKUP($B132,Shortage!$A:$M,AJ$2,FALSE)="Shortage",1,IFERROR(ROUND(X132/L132,4),0)),IFERROR(ROUND(X132/L132,4),0))</f>
        <v>0</v>
      </c>
      <c r="AK132" s="297">
        <f>IFERROR(IF(VLOOKUP($B132,Shortage!$A:$M,AK$2,FALSE)="Shortage",1,IFERROR(ROUND(Y132/M132,4),0)),IFERROR(ROUND(Y132/M132,4),0))</f>
        <v>0</v>
      </c>
      <c r="AL132" s="297">
        <f>IFERROR(IF(VLOOKUP($B132,Shortage!$A:$M,AL$2,FALSE)="Shortage",1,IFERROR(ROUND(Z132/N132,4),0)),IFERROR(ROUND(Z132/N132,4),0))</f>
        <v>0</v>
      </c>
      <c r="AM132" s="297">
        <f>IFERROR(IF(VLOOKUP($B132,Shortage!$A:$M,AM$2,FALSE)="Shortage",1,IFERROR(ROUND(AA132/O132,4),0)),IFERROR(ROUND(AA132/O132,4),0))</f>
        <v>0</v>
      </c>
      <c r="AN132" s="298">
        <f>IFERROR(_xlfn.XLOOKUP(AB132,'2) หลักการคำนวน Table'!$C$3:$K$3,'2) หลักการคำนวน Table'!$C$3:$K$3,,1),INDEX('2) หลักการคำนวน Table'!$C$3:$K$3,1))</f>
        <v>1</v>
      </c>
      <c r="AO132" s="298">
        <f>IFERROR(
  _xlfn.XLOOKUP(AC132,'2) หลักการคำนวน Table'!$C$3:$K$3,'2) หลักการคำนวน Table'!$C$3:$K$3,,1),
  IF(AC132&lt;MIN('2) หลักการคำนวน Table'!$C$3:$K$3),
     MIN('2) หลักการคำนวน Table'!$C$3:$K$3),
     MAX('2) หลักการคำนวน Table'!$C$3:$K$3)
  )
)</f>
        <v>0.9</v>
      </c>
      <c r="AP132" s="298">
        <f>IFERROR(
  _xlfn.XLOOKUP(AD132,'2) หลักการคำนวน Table'!$C$3:$K$3,'2) หลักการคำนวน Table'!$C$3:$K$3,,1),
  IF(AD132&lt;MIN('2) หลักการคำนวน Table'!$C$3:$K$3),
     MIN('2) หลักการคำนวน Table'!$C$3:$K$3),
     MAX('2) หลักการคำนวน Table'!$C$3:$K$3)
  )
)</f>
        <v>0.9</v>
      </c>
      <c r="AQ132" s="298">
        <f>IFERROR(
  _xlfn.XLOOKUP(AE132,'2) หลักการคำนวน Table'!$C$3:$K$3,'2) หลักการคำนวน Table'!$C$3:$K$3,,1),
  IF(AE132&lt;MIN('2) หลักการคำนวน Table'!$C$3:$K$3),
     MIN('2) หลักการคำนวน Table'!$C$3:$K$3),
     MAX('2) หลักการคำนวน Table'!$C$3:$K$3)
  )
)</f>
        <v>0.9</v>
      </c>
      <c r="AR132" s="298">
        <f>IFERROR(
  _xlfn.XLOOKUP(AF132,'2) หลักการคำนวน Table'!$C$3:$K$3,'2) หลักการคำนวน Table'!$C$3:$K$3,,1),
  IF(AF132&lt;MIN('2) หลักการคำนวน Table'!$C$3:$K$3),
     MIN('2) หลักการคำนวน Table'!$C$3:$K$3),
     MAX('2) หลักการคำนวน Table'!$C$3:$K$3)
  )
)</f>
        <v>0.9</v>
      </c>
      <c r="AS132" s="298">
        <f>IFERROR(
  _xlfn.XLOOKUP(AG132,'2) หลักการคำนวน Table'!$C$3:$K$3,'2) หลักการคำนวน Table'!$C$3:$K$3,,1),
  IF(AG132&lt;MIN('2) หลักการคำนวน Table'!$C$3:$K$3),
     MIN('2) หลักการคำนวน Table'!$C$3:$K$3),
     MAX('2) หลักการคำนวน Table'!$C$3:$K$3)
  )
)</f>
        <v>0.9</v>
      </c>
      <c r="AT132" s="298">
        <f>IFERROR(
  _xlfn.XLOOKUP(AH132,'2) หลักการคำนวน Table'!$C$3:$K$3,'2) หลักการคำนวน Table'!$C$3:$K$3,,1),
  IF(AH132&lt;MIN('2) หลักการคำนวน Table'!$C$3:$K$3),
     MIN('2) หลักการคำนวน Table'!$C$3:$K$3),
     MAX('2) หลักการคำนวน Table'!$C$3:$K$3)
  )
)</f>
        <v>0.9</v>
      </c>
      <c r="AU132" s="298">
        <f>IFERROR(
  _xlfn.XLOOKUP(AI132,'2) หลักการคำนวน Table'!$C$3:$K$3,'2) หลักการคำนวน Table'!$C$3:$K$3,,1),
  IF(AI132&lt;MIN('2) หลักการคำนวน Table'!$C$3:$K$3),
     MIN('2) หลักการคำนวน Table'!$C$3:$K$3),
     MAX('2) หลักการคำนวน Table'!$C$3:$K$3)
  )
)</f>
        <v>0.9</v>
      </c>
      <c r="AV132" s="298">
        <f>IFERROR(
  _xlfn.XLOOKUP(AJ132,'2) หลักการคำนวน Table'!$C$3:$K$3,'2) หลักการคำนวน Table'!$C$3:$K$3,,1),
  IF(AJ132&lt;MIN('2) หลักการคำนวน Table'!$C$3:$K$3),
     MIN('2) หลักการคำนวน Table'!$C$3:$K$3),
     MAX('2) หลักการคำนวน Table'!$C$3:$K$3)
  )
)</f>
        <v>0.9</v>
      </c>
      <c r="AW132" s="298">
        <f>IFERROR(
  _xlfn.XLOOKUP(AK132,'2) หลักการคำนวน Table'!$C$3:$K$3,'2) หลักการคำนวน Table'!$C$3:$K$3,,1),
  IF(AK132&lt;MIN('2) หลักการคำนวน Table'!$C$3:$K$3),
     MIN('2) หลักการคำนวน Table'!$C$3:$K$3),
     MAX('2) หลักการคำนวน Table'!$C$3:$K$3)
  )
)</f>
        <v>0.9</v>
      </c>
      <c r="AX132" s="298">
        <f>IFERROR(
  _xlfn.XLOOKUP(AL132,'2) หลักการคำนวน Table'!$C$3:$K$3,'2) หลักการคำนวน Table'!$C$3:$K$3,,1),
  IF(AL132&lt;MIN('2) หลักการคำนวน Table'!$C$3:$K$3),
     MIN('2) หลักการคำนวน Table'!$C$3:$K$3),
     MAX('2) หลักการคำนวน Table'!$C$3:$K$3)
  )
)</f>
        <v>0.9</v>
      </c>
      <c r="AY132" s="298">
        <f>IFERROR(
  _xlfn.XLOOKUP(AM132,'2) หลักการคำนวน Table'!$C$3:$K$3,'2) หลักการคำนวน Table'!$C$3:$K$3,,1),
  IF(AM132&lt;MIN('2) หลักการคำนวน Table'!$C$3:$K$3),
     MIN('2) หลักการคำนวน Table'!$C$3:$K$3),
     MAX('2) หลักการคำนวน Table'!$C$3:$K$3)
  )
)</f>
        <v>0.9</v>
      </c>
      <c r="AZ132" s="299" cm="1">
        <f t="array" ref="AZ132">ROUND((_xlfn.XLOOKUP($C132,'2) หลักการคำนวน Table'!$A$4:$A$36,
_xlfn.XLOOKUP(AN132,'2)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481</v>
      </c>
      <c r="BA132" s="299" cm="1">
        <f t="array" ref="BA132">ROUND((_xlfn.XLOOKUP($C132,'2) หลักการคำนวน Table'!$A$4:$A$36,
_xlfn.XLOOKUP(AO132,'2)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433</v>
      </c>
      <c r="BB132" s="299" cm="1">
        <f t="array" ref="BB132">ROUND((_xlfn.XLOOKUP($C132,'2) หลักการคำนวน Table'!$A$4:$A$36,
_xlfn.XLOOKUP(AP132,'2)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433</v>
      </c>
      <c r="BC132" s="299" cm="1">
        <f t="array" ref="BC132">ROUND((_xlfn.XLOOKUP($C132,'2) หลักการคำนวน Table'!$A$4:$A$36,
_xlfn.XLOOKUP(AQ132,'2)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433</v>
      </c>
      <c r="BD132" s="299" cm="1">
        <f t="array" ref="BD132">ROUND((_xlfn.XLOOKUP($C132,'2) หลักการคำนวน Table'!$A$4:$A$36,
_xlfn.XLOOKUP(AR132,'2)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433</v>
      </c>
      <c r="BE132" s="299" cm="1">
        <f t="array" ref="BE132">ROUND((_xlfn.XLOOKUP($C132,'2) หลักการคำนวน Table'!$A$4:$A$36,
_xlfn.XLOOKUP(AS132,'2)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433</v>
      </c>
      <c r="BF132" s="299" cm="1">
        <f t="array" ref="BF132">ROUND((_xlfn.XLOOKUP($C132,'2) หลักการคำนวน Table'!$A$4:$A$36,
_xlfn.XLOOKUP(AT132,'2)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433</v>
      </c>
      <c r="BG132" s="299" cm="1">
        <f t="array" ref="BG132">ROUND((_xlfn.XLOOKUP($C132,'2) หลักการคำนวน Table'!$A$4:$A$36,
_xlfn.XLOOKUP(AU132,'2)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433</v>
      </c>
      <c r="BH132" s="299" cm="1">
        <f t="array" ref="BH132">ROUND((_xlfn.XLOOKUP($C132,'2) หลักการคำนวน Table'!$A$4:$A$36,
_xlfn.XLOOKUP(AV132,'2)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433</v>
      </c>
      <c r="BI132" s="299" cm="1">
        <f t="array" ref="BI132">ROUND((_xlfn.XLOOKUP($C132,'2) หลักการคำนวน Table'!$A$4:$A$36,
_xlfn.XLOOKUP(AW132,'2)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433</v>
      </c>
      <c r="BJ132" s="299" cm="1">
        <f t="array" ref="BJ132">ROUND((_xlfn.XLOOKUP($C132,'2) หลักการคำนวน Table'!$A$4:$A$36,
_xlfn.XLOOKUP(AX132,'2)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433</v>
      </c>
      <c r="BK132" s="299" cm="1">
        <f t="array" ref="BK132">ROUND((_xlfn.XLOOKUP($C132,'2) หลักการคำนวน Table'!$A$4:$A$36,
_xlfn.XLOOKUP(AY132,'2) หลักการคำนวน Table'!$C$3:$K$3,'2) หลักการคำนวน Table'!$C$4:$K$36,,-1)))*(_xlfn.XLOOKUP($C132,'2) หลักการคำนวน Table'!$A$4:$A$36, _xlfn.XLOOKUP($B132,'2) หลักการคำนวน Table'!$L$3:$Z$3,'2) หลักการคำนวน Table'!$L$4:$Z$36))),0)</f>
        <v>433</v>
      </c>
      <c r="BL132" s="295"/>
      <c r="BM132" s="295">
        <v>222204</v>
      </c>
      <c r="BN132" s="300">
        <v>481</v>
      </c>
    </row>
    <row r="133" spans="1:66" ht="14.7" customHeight="1" x14ac:dyDescent="0.25">
      <c r="A133" s="126">
        <f>VLOOKUP(C133,ASTBase!E:S,13,FALSE)</f>
        <v>222237</v>
      </c>
      <c r="B133" s="126" t="s">
        <v>409</v>
      </c>
      <c r="C133" s="232" t="s">
        <v>396</v>
      </c>
      <c r="D133" s="296">
        <v>6000</v>
      </c>
      <c r="E133" s="296">
        <v>6000</v>
      </c>
      <c r="F133" s="296">
        <v>16000</v>
      </c>
      <c r="G133" s="296">
        <v>6000</v>
      </c>
      <c r="H133" s="296">
        <v>6000</v>
      </c>
      <c r="I133" s="296">
        <v>6800</v>
      </c>
      <c r="J133" s="296">
        <v>6000</v>
      </c>
      <c r="K133" s="296">
        <v>6000</v>
      </c>
      <c r="L133" s="296">
        <v>6500</v>
      </c>
      <c r="M133" s="296">
        <v>6000</v>
      </c>
      <c r="N133" s="296">
        <v>6600</v>
      </c>
      <c r="O133" s="296">
        <v>17100</v>
      </c>
      <c r="P133" s="295">
        <v>8916.480000000005</v>
      </c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7">
        <f>IFERROR(IF(VLOOKUP($B133,Shortage!$A:$M,AB$2,FALSE)="Shortage",1,IFERROR(ROUND(P133/D133,4),0)),IFERROR(ROUND(P133/D133,4),0))</f>
        <v>1.4861</v>
      </c>
      <c r="AC133" s="297">
        <f>IFERROR(IF(VLOOKUP($B133,Shortage!$A:$M,AC$2,FALSE)="Shortage",1,IFERROR(ROUND(Q133/E133,4),0)),IFERROR(ROUND(Q133/E133,4),0))</f>
        <v>0</v>
      </c>
      <c r="AD133" s="297">
        <f>IFERROR(IF(VLOOKUP($B133,Shortage!$A:$M,AD$2,FALSE)="Shortage",1,IFERROR(ROUND(R133/F133,4),0)),IFERROR(ROUND(R133/F133,4),0))</f>
        <v>0</v>
      </c>
      <c r="AE133" s="297">
        <f>IFERROR(IF(VLOOKUP($B133,Shortage!$A:$M,AE$2,FALSE)="Shortage",1,IFERROR(ROUND(S133/G133,4),0)),IFERROR(ROUND(S133/G133,4),0))</f>
        <v>0</v>
      </c>
      <c r="AF133" s="297">
        <f>IFERROR(IF(VLOOKUP($B133,Shortage!$A:$M,AF$2,FALSE)="Shortage",1,IFERROR(ROUND(T133/H133,4),0)),IFERROR(ROUND(T133/H133,4),0))</f>
        <v>0</v>
      </c>
      <c r="AG133" s="297">
        <f>IFERROR(IF(VLOOKUP($B133,Shortage!$A:$M,AG$2,FALSE)="Shortage",1,IFERROR(ROUND(U133/I133,4),0)),IFERROR(ROUND(U133/I133,4),0))</f>
        <v>0</v>
      </c>
      <c r="AH133" s="297">
        <f>IFERROR(IF(VLOOKUP($B133,Shortage!$A:$M,AH$2,FALSE)="Shortage",1,IFERROR(ROUND(V133/J133,4),0)),IFERROR(ROUND(V133/J133,4),0))</f>
        <v>0</v>
      </c>
      <c r="AI133" s="297">
        <f>IFERROR(IF(VLOOKUP($B133,Shortage!$A:$M,AI$2,FALSE)="Shortage",1,IFERROR(ROUND(W133/K133,4),0)),IFERROR(ROUND(W133/K133,4),0))</f>
        <v>0</v>
      </c>
      <c r="AJ133" s="297">
        <f>IFERROR(IF(VLOOKUP($B133,Shortage!$A:$M,AJ$2,FALSE)="Shortage",1,IFERROR(ROUND(X133/L133,4),0)),IFERROR(ROUND(X133/L133,4),0))</f>
        <v>0</v>
      </c>
      <c r="AK133" s="297">
        <f>IFERROR(IF(VLOOKUP($B133,Shortage!$A:$M,AK$2,FALSE)="Shortage",1,IFERROR(ROUND(Y133/M133,4),0)),IFERROR(ROUND(Y133/M133,4),0))</f>
        <v>0</v>
      </c>
      <c r="AL133" s="297">
        <f>IFERROR(IF(VLOOKUP($B133,Shortage!$A:$M,AL$2,FALSE)="Shortage",1,IFERROR(ROUND(Z133/N133,4),0)),IFERROR(ROUND(Z133/N133,4),0))</f>
        <v>0</v>
      </c>
      <c r="AM133" s="297">
        <f>IFERROR(IF(VLOOKUP($B133,Shortage!$A:$M,AM$2,FALSE)="Shortage",1,IFERROR(ROUND(AA133/O133,4),0)),IFERROR(ROUND(AA133/O133,4),0))</f>
        <v>0</v>
      </c>
      <c r="AN133" s="298">
        <f>IFERROR(_xlfn.XLOOKUP(AB133,'2) หลักการคำนวน Table'!$C$3:$K$3,'2) หลักการคำนวน Table'!$C$3:$K$3,,1),INDEX('2) หลักการคำนวน Table'!$C$3:$K$3,1))</f>
        <v>20</v>
      </c>
      <c r="AO133" s="298">
        <f>IFERROR(
  _xlfn.XLOOKUP(AC133,'2) หลักการคำนวน Table'!$C$3:$K$3,'2) หลักการคำนวน Table'!$C$3:$K$3,,1),
  IF(AC133&lt;MIN('2) หลักการคำนวน Table'!$C$3:$K$3),
     MIN('2) หลักการคำนวน Table'!$C$3:$K$3),
     MAX('2) หลักการคำนวน Table'!$C$3:$K$3)
  )
)</f>
        <v>0.9</v>
      </c>
      <c r="AP133" s="298">
        <f>IFERROR(
  _xlfn.XLOOKUP(AD133,'2) หลักการคำนวน Table'!$C$3:$K$3,'2) หลักการคำนวน Table'!$C$3:$K$3,,1),
  IF(AD133&lt;MIN('2) หลักการคำนวน Table'!$C$3:$K$3),
     MIN('2) หลักการคำนวน Table'!$C$3:$K$3),
     MAX('2) หลักการคำนวน Table'!$C$3:$K$3)
  )
)</f>
        <v>0.9</v>
      </c>
      <c r="AQ133" s="298">
        <f>IFERROR(
  _xlfn.XLOOKUP(AE133,'2) หลักการคำนวน Table'!$C$3:$K$3,'2) หลักการคำนวน Table'!$C$3:$K$3,,1),
  IF(AE133&lt;MIN('2) หลักการคำนวน Table'!$C$3:$K$3),
     MIN('2) หลักการคำนวน Table'!$C$3:$K$3),
     MAX('2) หลักการคำนวน Table'!$C$3:$K$3)
  )
)</f>
        <v>0.9</v>
      </c>
      <c r="AR133" s="298">
        <f>IFERROR(
  _xlfn.XLOOKUP(AF133,'2) หลักการคำนวน Table'!$C$3:$K$3,'2) หลักการคำนวน Table'!$C$3:$K$3,,1),
  IF(AF133&lt;MIN('2) หลักการคำนวน Table'!$C$3:$K$3),
     MIN('2) หลักการคำนวน Table'!$C$3:$K$3),
     MAX('2) หลักการคำนวน Table'!$C$3:$K$3)
  )
)</f>
        <v>0.9</v>
      </c>
      <c r="AS133" s="298">
        <f>IFERROR(
  _xlfn.XLOOKUP(AG133,'2) หลักการคำนวน Table'!$C$3:$K$3,'2) หลักการคำนวน Table'!$C$3:$K$3,,1),
  IF(AG133&lt;MIN('2) หลักการคำนวน Table'!$C$3:$K$3),
     MIN('2) หลักการคำนวน Table'!$C$3:$K$3),
     MAX('2) หลักการคำนวน Table'!$C$3:$K$3)
  )
)</f>
        <v>0.9</v>
      </c>
      <c r="AT133" s="298">
        <f>IFERROR(
  _xlfn.XLOOKUP(AH133,'2) หลักการคำนวน Table'!$C$3:$K$3,'2) หลักการคำนวน Table'!$C$3:$K$3,,1),
  IF(AH133&lt;MIN('2) หลักการคำนวน Table'!$C$3:$K$3),
     MIN('2) หลักการคำนวน Table'!$C$3:$K$3),
     MAX('2) หลักการคำนวน Table'!$C$3:$K$3)
  )
)</f>
        <v>0.9</v>
      </c>
      <c r="AU133" s="298">
        <f>IFERROR(
  _xlfn.XLOOKUP(AI133,'2) หลักการคำนวน Table'!$C$3:$K$3,'2) หลักการคำนวน Table'!$C$3:$K$3,,1),
  IF(AI133&lt;MIN('2) หลักการคำนวน Table'!$C$3:$K$3),
     MIN('2) หลักการคำนวน Table'!$C$3:$K$3),
     MAX('2) หลักการคำนวน Table'!$C$3:$K$3)
  )
)</f>
        <v>0.9</v>
      </c>
      <c r="AV133" s="298">
        <f>IFERROR(
  _xlfn.XLOOKUP(AJ133,'2) หลักการคำนวน Table'!$C$3:$K$3,'2) หลักการคำนวน Table'!$C$3:$K$3,,1),
  IF(AJ133&lt;MIN('2) หลักการคำนวน Table'!$C$3:$K$3),
     MIN('2) หลักการคำนวน Table'!$C$3:$K$3),
     MAX('2) หลักการคำนวน Table'!$C$3:$K$3)
  )
)</f>
        <v>0.9</v>
      </c>
      <c r="AW133" s="298">
        <f>IFERROR(
  _xlfn.XLOOKUP(AK133,'2) หลักการคำนวน Table'!$C$3:$K$3,'2) หลักการคำนวน Table'!$C$3:$K$3,,1),
  IF(AK133&lt;MIN('2) หลักการคำนวน Table'!$C$3:$K$3),
     MIN('2) หลักการคำนวน Table'!$C$3:$K$3),
     MAX('2) หลักการคำนวน Table'!$C$3:$K$3)
  )
)</f>
        <v>0.9</v>
      </c>
      <c r="AX133" s="298">
        <f>IFERROR(
  _xlfn.XLOOKUP(AL133,'2) หลักการคำนวน Table'!$C$3:$K$3,'2) หลักการคำนวน Table'!$C$3:$K$3,,1),
  IF(AL133&lt;MIN('2) หลักการคำนวน Table'!$C$3:$K$3),
     MIN('2) หลักการคำนวน Table'!$C$3:$K$3),
     MAX('2) หลักการคำนวน Table'!$C$3:$K$3)
  )
)</f>
        <v>0.9</v>
      </c>
      <c r="AY133" s="298">
        <f>IFERROR(
  _xlfn.XLOOKUP(AM133,'2) หลักการคำนวน Table'!$C$3:$K$3,'2) หลักการคำนวน Table'!$C$3:$K$3,,1),
  IF(AM133&lt;MIN('2) หลักการคำนวน Table'!$C$3:$K$3),
     MIN('2) หลักการคำนวน Table'!$C$3:$K$3),
     MAX('2) หลักการคำนวน Table'!$C$3:$K$3)
  )
)</f>
        <v>0.9</v>
      </c>
      <c r="AZ133" s="299" cm="1">
        <f t="array" ref="AZ133">ROUND((_xlfn.XLOOKUP($C133,'2) หลักการคำนวน Table'!$A$4:$A$36,
_xlfn.XLOOKUP(AN133,'2)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1250</v>
      </c>
      <c r="BA133" s="299" cm="1">
        <f t="array" ref="BA133">ROUND((_xlfn.XLOOKUP($C133,'2) หลักการคำนวน Table'!$A$4:$A$36,
_xlfn.XLOOKUP(AO133,'2)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865</v>
      </c>
      <c r="BB133" s="299" cm="1">
        <f t="array" ref="BB133">ROUND((_xlfn.XLOOKUP($C133,'2) หลักการคำนวน Table'!$A$4:$A$36,
_xlfn.XLOOKUP(AP133,'2)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865</v>
      </c>
      <c r="BC133" s="299" cm="1">
        <f t="array" ref="BC133">ROUND((_xlfn.XLOOKUP($C133,'2) หลักการคำนวน Table'!$A$4:$A$36,
_xlfn.XLOOKUP(AQ133,'2)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865</v>
      </c>
      <c r="BD133" s="299" cm="1">
        <f t="array" ref="BD133">ROUND((_xlfn.XLOOKUP($C133,'2) หลักการคำนวน Table'!$A$4:$A$36,
_xlfn.XLOOKUP(AR133,'2)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865</v>
      </c>
      <c r="BE133" s="299" cm="1">
        <f t="array" ref="BE133">ROUND((_xlfn.XLOOKUP($C133,'2) หลักการคำนวน Table'!$A$4:$A$36,
_xlfn.XLOOKUP(AS133,'2)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865</v>
      </c>
      <c r="BF133" s="299" cm="1">
        <f t="array" ref="BF133">ROUND((_xlfn.XLOOKUP($C133,'2) หลักการคำนวน Table'!$A$4:$A$36,
_xlfn.XLOOKUP(AT133,'2)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865</v>
      </c>
      <c r="BG133" s="299" cm="1">
        <f t="array" ref="BG133">ROUND((_xlfn.XLOOKUP($C133,'2) หลักการคำนวน Table'!$A$4:$A$36,
_xlfn.XLOOKUP(AU133,'2)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865</v>
      </c>
      <c r="BH133" s="299" cm="1">
        <f t="array" ref="BH133">ROUND((_xlfn.XLOOKUP($C133,'2) หลักการคำนวน Table'!$A$4:$A$36,
_xlfn.XLOOKUP(AV133,'2)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865</v>
      </c>
      <c r="BI133" s="299" cm="1">
        <f t="array" ref="BI133">ROUND((_xlfn.XLOOKUP($C133,'2) หลักการคำนวน Table'!$A$4:$A$36,
_xlfn.XLOOKUP(AW133,'2)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865</v>
      </c>
      <c r="BJ133" s="299" cm="1">
        <f t="array" ref="BJ133">ROUND((_xlfn.XLOOKUP($C133,'2) หลักการคำนวน Table'!$A$4:$A$36,
_xlfn.XLOOKUP(AX133,'2)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865</v>
      </c>
      <c r="BK133" s="299" cm="1">
        <f t="array" ref="BK133">ROUND((_xlfn.XLOOKUP($C133,'2) หลักการคำนวน Table'!$A$4:$A$36,
_xlfn.XLOOKUP(AY133,'2) หลักการคำนวน Table'!$C$3:$K$3,'2) หลักการคำนวน Table'!$C$4:$K$36,,-1)))*(_xlfn.XLOOKUP($C133,'2) หลักการคำนวน Table'!$A$4:$A$36, _xlfn.XLOOKUP($B133,'2) หลักการคำนวน Table'!$L$3:$Z$3,'2) หลักการคำนวน Table'!$L$4:$Z$36))),0)</f>
        <v>865</v>
      </c>
      <c r="BL133" s="295"/>
      <c r="BM133" s="295">
        <v>222204</v>
      </c>
      <c r="BN133" s="300">
        <v>1250</v>
      </c>
    </row>
    <row r="134" spans="1:66" ht="14.7" customHeight="1" x14ac:dyDescent="0.25">
      <c r="A134" s="126">
        <f>VLOOKUP(C134,ASTBase!E:S,13,FALSE)</f>
        <v>222237</v>
      </c>
      <c r="B134" s="126" t="s">
        <v>410</v>
      </c>
      <c r="C134" s="232" t="s">
        <v>396</v>
      </c>
      <c r="D134" s="296">
        <v>10500</v>
      </c>
      <c r="E134" s="296">
        <v>10000</v>
      </c>
      <c r="F134" s="296">
        <v>40000</v>
      </c>
      <c r="G134" s="296">
        <v>10000</v>
      </c>
      <c r="H134" s="296">
        <v>10000</v>
      </c>
      <c r="I134" s="296">
        <v>12000</v>
      </c>
      <c r="J134" s="296">
        <v>10000</v>
      </c>
      <c r="K134" s="296">
        <v>14000</v>
      </c>
      <c r="L134" s="296">
        <v>13000</v>
      </c>
      <c r="M134" s="296">
        <v>13000</v>
      </c>
      <c r="N134" s="296">
        <v>12000</v>
      </c>
      <c r="O134" s="296">
        <v>45500</v>
      </c>
      <c r="P134" s="295">
        <v>15304.8</v>
      </c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7">
        <f>IFERROR(IF(VLOOKUP($B134,Shortage!$A:$M,AB$2,FALSE)="Shortage",1,IFERROR(ROUND(P134/D134,4),0)),IFERROR(ROUND(P134/D134,4),0))</f>
        <v>1.4576</v>
      </c>
      <c r="AC134" s="297">
        <f>IFERROR(IF(VLOOKUP($B134,Shortage!$A:$M,AC$2,FALSE)="Shortage",1,IFERROR(ROUND(Q134/E134,4),0)),IFERROR(ROUND(Q134/E134,4),0))</f>
        <v>0</v>
      </c>
      <c r="AD134" s="297">
        <f>IFERROR(IF(VLOOKUP($B134,Shortage!$A:$M,AD$2,FALSE)="Shortage",1,IFERROR(ROUND(R134/F134,4),0)),IFERROR(ROUND(R134/F134,4),0))</f>
        <v>0</v>
      </c>
      <c r="AE134" s="297">
        <f>IFERROR(IF(VLOOKUP($B134,Shortage!$A:$M,AE$2,FALSE)="Shortage",1,IFERROR(ROUND(S134/G134,4),0)),IFERROR(ROUND(S134/G134,4),0))</f>
        <v>0</v>
      </c>
      <c r="AF134" s="297">
        <f>IFERROR(IF(VLOOKUP($B134,Shortage!$A:$M,AF$2,FALSE)="Shortage",1,IFERROR(ROUND(T134/H134,4),0)),IFERROR(ROUND(T134/H134,4),0))</f>
        <v>0</v>
      </c>
      <c r="AG134" s="297">
        <f>IFERROR(IF(VLOOKUP($B134,Shortage!$A:$M,AG$2,FALSE)="Shortage",1,IFERROR(ROUND(U134/I134,4),0)),IFERROR(ROUND(U134/I134,4),0))</f>
        <v>0</v>
      </c>
      <c r="AH134" s="297">
        <f>IFERROR(IF(VLOOKUP($B134,Shortage!$A:$M,AH$2,FALSE)="Shortage",1,IFERROR(ROUND(V134/J134,4),0)),IFERROR(ROUND(V134/J134,4),0))</f>
        <v>0</v>
      </c>
      <c r="AI134" s="297">
        <f>IFERROR(IF(VLOOKUP($B134,Shortage!$A:$M,AI$2,FALSE)="Shortage",1,IFERROR(ROUND(W134/K134,4),0)),IFERROR(ROUND(W134/K134,4),0))</f>
        <v>0</v>
      </c>
      <c r="AJ134" s="297">
        <f>IFERROR(IF(VLOOKUP($B134,Shortage!$A:$M,AJ$2,FALSE)="Shortage",1,IFERROR(ROUND(X134/L134,4),0)),IFERROR(ROUND(X134/L134,4),0))</f>
        <v>0</v>
      </c>
      <c r="AK134" s="297">
        <f>IFERROR(IF(VLOOKUP($B134,Shortage!$A:$M,AK$2,FALSE)="Shortage",1,IFERROR(ROUND(Y134/M134,4),0)),IFERROR(ROUND(Y134/M134,4),0))</f>
        <v>0</v>
      </c>
      <c r="AL134" s="297">
        <f>IFERROR(IF(VLOOKUP($B134,Shortage!$A:$M,AL$2,FALSE)="Shortage",1,IFERROR(ROUND(Z134/N134,4),0)),IFERROR(ROUND(Z134/N134,4),0))</f>
        <v>0</v>
      </c>
      <c r="AM134" s="297">
        <f>IFERROR(IF(VLOOKUP($B134,Shortage!$A:$M,AM$2,FALSE)="Shortage",1,IFERROR(ROUND(AA134/O134,4),0)),IFERROR(ROUND(AA134/O134,4),0))</f>
        <v>0</v>
      </c>
      <c r="AN134" s="298">
        <f>IFERROR(_xlfn.XLOOKUP(AB134,'2) หลักการคำนวน Table'!$C$3:$K$3,'2) หลักการคำนวน Table'!$C$3:$K$3,,1),INDEX('2) หลักการคำนวน Table'!$C$3:$K$3,1))</f>
        <v>20</v>
      </c>
      <c r="AO134" s="298">
        <f>IFERROR(
  _xlfn.XLOOKUP(AC134,'2) หลักการคำนวน Table'!$C$3:$K$3,'2) หลักการคำนวน Table'!$C$3:$K$3,,1),
  IF(AC134&lt;MIN('2) หลักการคำนวน Table'!$C$3:$K$3),
     MIN('2) หลักการคำนวน Table'!$C$3:$K$3),
     MAX('2) หลักการคำนวน Table'!$C$3:$K$3)
  )
)</f>
        <v>0.9</v>
      </c>
      <c r="AP134" s="298">
        <f>IFERROR(
  _xlfn.XLOOKUP(AD134,'2) หลักการคำนวน Table'!$C$3:$K$3,'2) หลักการคำนวน Table'!$C$3:$K$3,,1),
  IF(AD134&lt;MIN('2) หลักการคำนวน Table'!$C$3:$K$3),
     MIN('2) หลักการคำนวน Table'!$C$3:$K$3),
     MAX('2) หลักการคำนวน Table'!$C$3:$K$3)
  )
)</f>
        <v>0.9</v>
      </c>
      <c r="AQ134" s="298">
        <f>IFERROR(
  _xlfn.XLOOKUP(AE134,'2) หลักการคำนวน Table'!$C$3:$K$3,'2) หลักการคำนวน Table'!$C$3:$K$3,,1),
  IF(AE134&lt;MIN('2) หลักการคำนวน Table'!$C$3:$K$3),
     MIN('2) หลักการคำนวน Table'!$C$3:$K$3),
     MAX('2) หลักการคำนวน Table'!$C$3:$K$3)
  )
)</f>
        <v>0.9</v>
      </c>
      <c r="AR134" s="298">
        <f>IFERROR(
  _xlfn.XLOOKUP(AF134,'2) หลักการคำนวน Table'!$C$3:$K$3,'2) หลักการคำนวน Table'!$C$3:$K$3,,1),
  IF(AF134&lt;MIN('2) หลักการคำนวน Table'!$C$3:$K$3),
     MIN('2) หลักการคำนวน Table'!$C$3:$K$3),
     MAX('2) หลักการคำนวน Table'!$C$3:$K$3)
  )
)</f>
        <v>0.9</v>
      </c>
      <c r="AS134" s="298">
        <f>IFERROR(
  _xlfn.XLOOKUP(AG134,'2) หลักการคำนวน Table'!$C$3:$K$3,'2) หลักการคำนวน Table'!$C$3:$K$3,,1),
  IF(AG134&lt;MIN('2) หลักการคำนวน Table'!$C$3:$K$3),
     MIN('2) หลักการคำนวน Table'!$C$3:$K$3),
     MAX('2) หลักการคำนวน Table'!$C$3:$K$3)
  )
)</f>
        <v>0.9</v>
      </c>
      <c r="AT134" s="298">
        <f>IFERROR(
  _xlfn.XLOOKUP(AH134,'2) หลักการคำนวน Table'!$C$3:$K$3,'2) หลักการคำนวน Table'!$C$3:$K$3,,1),
  IF(AH134&lt;MIN('2) หลักการคำนวน Table'!$C$3:$K$3),
     MIN('2) หลักการคำนวน Table'!$C$3:$K$3),
     MAX('2) หลักการคำนวน Table'!$C$3:$K$3)
  )
)</f>
        <v>0.9</v>
      </c>
      <c r="AU134" s="298">
        <f>IFERROR(
  _xlfn.XLOOKUP(AI134,'2) หลักการคำนวน Table'!$C$3:$K$3,'2) หลักการคำนวน Table'!$C$3:$K$3,,1),
  IF(AI134&lt;MIN('2) หลักการคำนวน Table'!$C$3:$K$3),
     MIN('2) หลักการคำนวน Table'!$C$3:$K$3),
     MAX('2) หลักการคำนวน Table'!$C$3:$K$3)
  )
)</f>
        <v>0.9</v>
      </c>
      <c r="AV134" s="298">
        <f>IFERROR(
  _xlfn.XLOOKUP(AJ134,'2) หลักการคำนวน Table'!$C$3:$K$3,'2) หลักการคำนวน Table'!$C$3:$K$3,,1),
  IF(AJ134&lt;MIN('2) หลักการคำนวน Table'!$C$3:$K$3),
     MIN('2) หลักการคำนวน Table'!$C$3:$K$3),
     MAX('2) หลักการคำนวน Table'!$C$3:$K$3)
  )
)</f>
        <v>0.9</v>
      </c>
      <c r="AW134" s="298">
        <f>IFERROR(
  _xlfn.XLOOKUP(AK134,'2) หลักการคำนวน Table'!$C$3:$K$3,'2) หลักการคำนวน Table'!$C$3:$K$3,,1),
  IF(AK134&lt;MIN('2) หลักการคำนวน Table'!$C$3:$K$3),
     MIN('2) หลักการคำนวน Table'!$C$3:$K$3),
     MAX('2) หลักการคำนวน Table'!$C$3:$K$3)
  )
)</f>
        <v>0.9</v>
      </c>
      <c r="AX134" s="298">
        <f>IFERROR(
  _xlfn.XLOOKUP(AL134,'2) หลักการคำนวน Table'!$C$3:$K$3,'2) หลักการคำนวน Table'!$C$3:$K$3,,1),
  IF(AL134&lt;MIN('2) หลักการคำนวน Table'!$C$3:$K$3),
     MIN('2) หลักการคำนวน Table'!$C$3:$K$3),
     MAX('2) หลักการคำนวน Table'!$C$3:$K$3)
  )
)</f>
        <v>0.9</v>
      </c>
      <c r="AY134" s="298">
        <f>IFERROR(
  _xlfn.XLOOKUP(AM134,'2) หลักการคำนวน Table'!$C$3:$K$3,'2) หลักการคำนวน Table'!$C$3:$K$3,,1),
  IF(AM134&lt;MIN('2) หลักการคำนวน Table'!$C$3:$K$3),
     MIN('2) หลักการคำนวน Table'!$C$3:$K$3),
     MAX('2) หลักการคำนวน Table'!$C$3:$K$3)
  )
)</f>
        <v>0.9</v>
      </c>
      <c r="AZ134" s="299" cm="1">
        <f t="array" ref="AZ134">ROUND((_xlfn.XLOOKUP($C134,'2) หลักการคำนวน Table'!$A$4:$A$36,
_xlfn.XLOOKUP(AN134,'2)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1375</v>
      </c>
      <c r="BA134" s="299" cm="1">
        <f t="array" ref="BA134">ROUND((_xlfn.XLOOKUP($C134,'2) หลักการคำนวน Table'!$A$4:$A$36,
_xlfn.XLOOKUP(AO134,'2)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952</v>
      </c>
      <c r="BB134" s="299" cm="1">
        <f t="array" ref="BB134">ROUND((_xlfn.XLOOKUP($C134,'2) หลักการคำนวน Table'!$A$4:$A$36,
_xlfn.XLOOKUP(AP134,'2)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952</v>
      </c>
      <c r="BC134" s="299" cm="1">
        <f t="array" ref="BC134">ROUND((_xlfn.XLOOKUP($C134,'2) หลักการคำนวน Table'!$A$4:$A$36,
_xlfn.XLOOKUP(AQ134,'2)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952</v>
      </c>
      <c r="BD134" s="299" cm="1">
        <f t="array" ref="BD134">ROUND((_xlfn.XLOOKUP($C134,'2) หลักการคำนวน Table'!$A$4:$A$36,
_xlfn.XLOOKUP(AR134,'2)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952</v>
      </c>
      <c r="BE134" s="299" cm="1">
        <f t="array" ref="BE134">ROUND((_xlfn.XLOOKUP($C134,'2) หลักการคำนวน Table'!$A$4:$A$36,
_xlfn.XLOOKUP(AS134,'2)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952</v>
      </c>
      <c r="BF134" s="299" cm="1">
        <f t="array" ref="BF134">ROUND((_xlfn.XLOOKUP($C134,'2) หลักการคำนวน Table'!$A$4:$A$36,
_xlfn.XLOOKUP(AT134,'2)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952</v>
      </c>
      <c r="BG134" s="299" cm="1">
        <f t="array" ref="BG134">ROUND((_xlfn.XLOOKUP($C134,'2) หลักการคำนวน Table'!$A$4:$A$36,
_xlfn.XLOOKUP(AU134,'2)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952</v>
      </c>
      <c r="BH134" s="299" cm="1">
        <f t="array" ref="BH134">ROUND((_xlfn.XLOOKUP($C134,'2) หลักการคำนวน Table'!$A$4:$A$36,
_xlfn.XLOOKUP(AV134,'2)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952</v>
      </c>
      <c r="BI134" s="299" cm="1">
        <f t="array" ref="BI134">ROUND((_xlfn.XLOOKUP($C134,'2) หลักการคำนวน Table'!$A$4:$A$36,
_xlfn.XLOOKUP(AW134,'2)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952</v>
      </c>
      <c r="BJ134" s="299" cm="1">
        <f t="array" ref="BJ134">ROUND((_xlfn.XLOOKUP($C134,'2) หลักการคำนวน Table'!$A$4:$A$36,
_xlfn.XLOOKUP(AX134,'2)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952</v>
      </c>
      <c r="BK134" s="299" cm="1">
        <f t="array" ref="BK134">ROUND((_xlfn.XLOOKUP($C134,'2) หลักการคำนวน Table'!$A$4:$A$36,
_xlfn.XLOOKUP(AY134,'2) หลักการคำนวน Table'!$C$3:$K$3,'2) หลักการคำนวน Table'!$C$4:$K$36,,-1)))*(_xlfn.XLOOKUP($C134,'2) หลักการคำนวน Table'!$A$4:$A$36, _xlfn.XLOOKUP($B134,'2) หลักการคำนวน Table'!$L$3:$Z$3,'2) หลักการคำนวน Table'!$L$4:$Z$36))),0)</f>
        <v>952</v>
      </c>
      <c r="BL134" s="295"/>
      <c r="BM134" s="295">
        <v>222204</v>
      </c>
      <c r="BN134" s="300">
        <v>1375</v>
      </c>
    </row>
    <row r="135" spans="1:66" ht="14.7" customHeight="1" x14ac:dyDescent="0.25">
      <c r="A135" s="126">
        <f>VLOOKUP(C135,ASTBase!E:S,13,FALSE)</f>
        <v>222237</v>
      </c>
      <c r="B135" s="126" t="s">
        <v>415</v>
      </c>
      <c r="C135" s="232" t="s">
        <v>396</v>
      </c>
      <c r="D135" s="296">
        <v>2500</v>
      </c>
      <c r="E135" s="296">
        <v>3000</v>
      </c>
      <c r="F135" s="296">
        <v>12000</v>
      </c>
      <c r="G135" s="296">
        <v>2800</v>
      </c>
      <c r="H135" s="296">
        <v>2500</v>
      </c>
      <c r="I135" s="296">
        <v>2500</v>
      </c>
      <c r="J135" s="296">
        <v>3000</v>
      </c>
      <c r="K135" s="296">
        <v>2600</v>
      </c>
      <c r="L135" s="296">
        <v>3150</v>
      </c>
      <c r="M135" s="296">
        <v>3000</v>
      </c>
      <c r="N135" s="296">
        <v>3500</v>
      </c>
      <c r="O135" s="296">
        <v>15750</v>
      </c>
      <c r="P135" s="295">
        <v>2271.6000000000004</v>
      </c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7">
        <f>IFERROR(IF(VLOOKUP($B135,Shortage!$A:$M,AB$2,FALSE)="Shortage",1,IFERROR(ROUND(P135/D135,4),0)),IFERROR(ROUND(P135/D135,4),0))</f>
        <v>0.90859999999999996</v>
      </c>
      <c r="AC135" s="297">
        <f>IFERROR(IF(VLOOKUP($B135,Shortage!$A:$M,AC$2,FALSE)="Shortage",1,IFERROR(ROUND(Q135/E135,4),0)),IFERROR(ROUND(Q135/E135,4),0))</f>
        <v>0</v>
      </c>
      <c r="AD135" s="297">
        <f>IFERROR(IF(VLOOKUP($B135,Shortage!$A:$M,AD$2,FALSE)="Shortage",1,IFERROR(ROUND(R135/F135,4),0)),IFERROR(ROUND(R135/F135,4),0))</f>
        <v>0</v>
      </c>
      <c r="AE135" s="297">
        <f>IFERROR(IF(VLOOKUP($B135,Shortage!$A:$M,AE$2,FALSE)="Shortage",1,IFERROR(ROUND(S135/G135,4),0)),IFERROR(ROUND(S135/G135,4),0))</f>
        <v>0</v>
      </c>
      <c r="AF135" s="297">
        <f>IFERROR(IF(VLOOKUP($B135,Shortage!$A:$M,AF$2,FALSE)="Shortage",1,IFERROR(ROUND(T135/H135,4),0)),IFERROR(ROUND(T135/H135,4),0))</f>
        <v>0</v>
      </c>
      <c r="AG135" s="297">
        <f>IFERROR(IF(VLOOKUP($B135,Shortage!$A:$M,AG$2,FALSE)="Shortage",1,IFERROR(ROUND(U135/I135,4),0)),IFERROR(ROUND(U135/I135,4),0))</f>
        <v>0</v>
      </c>
      <c r="AH135" s="297">
        <f>IFERROR(IF(VLOOKUP($B135,Shortage!$A:$M,AH$2,FALSE)="Shortage",1,IFERROR(ROUND(V135/J135,4),0)),IFERROR(ROUND(V135/J135,4),0))</f>
        <v>0</v>
      </c>
      <c r="AI135" s="297">
        <f>IFERROR(IF(VLOOKUP($B135,Shortage!$A:$M,AI$2,FALSE)="Shortage",1,IFERROR(ROUND(W135/K135,4),0)),IFERROR(ROUND(W135/K135,4),0))</f>
        <v>0</v>
      </c>
      <c r="AJ135" s="297">
        <f>IFERROR(IF(VLOOKUP($B135,Shortage!$A:$M,AJ$2,FALSE)="Shortage",1,IFERROR(ROUND(X135/L135,4),0)),IFERROR(ROUND(X135/L135,4),0))</f>
        <v>0</v>
      </c>
      <c r="AK135" s="297">
        <f>IFERROR(IF(VLOOKUP($B135,Shortage!$A:$M,AK$2,FALSE)="Shortage",1,IFERROR(ROUND(Y135/M135,4),0)),IFERROR(ROUND(Y135/M135,4),0))</f>
        <v>0</v>
      </c>
      <c r="AL135" s="297">
        <f>IFERROR(IF(VLOOKUP($B135,Shortage!$A:$M,AL$2,FALSE)="Shortage",1,IFERROR(ROUND(Z135/N135,4),0)),IFERROR(ROUND(Z135/N135,4),0))</f>
        <v>0</v>
      </c>
      <c r="AM135" s="297">
        <f>IFERROR(IF(VLOOKUP($B135,Shortage!$A:$M,AM$2,FALSE)="Shortage",1,IFERROR(ROUND(AA135/O135,4),0)),IFERROR(ROUND(AA135/O135,4),0))</f>
        <v>0</v>
      </c>
      <c r="AN135" s="298">
        <f>IFERROR(_xlfn.XLOOKUP(AB135,'2) หลักการคำนวน Table'!$C$3:$K$3,'2) หลักการคำนวน Table'!$C$3:$K$3,,1),INDEX('2) หลักการคำนวน Table'!$C$3:$K$3,1))</f>
        <v>0.95</v>
      </c>
      <c r="AO135" s="298">
        <f>IFERROR(
  _xlfn.XLOOKUP(AC135,'2) หลักการคำนวน Table'!$C$3:$K$3,'2) หลักการคำนวน Table'!$C$3:$K$3,,1),
  IF(AC135&lt;MIN('2) หลักการคำนวน Table'!$C$3:$K$3),
     MIN('2) หลักการคำนวน Table'!$C$3:$K$3),
     MAX('2) หลักการคำนวน Table'!$C$3:$K$3)
  )
)</f>
        <v>0.9</v>
      </c>
      <c r="AP135" s="298">
        <f>IFERROR(
  _xlfn.XLOOKUP(AD135,'2) หลักการคำนวน Table'!$C$3:$K$3,'2) หลักการคำนวน Table'!$C$3:$K$3,,1),
  IF(AD135&lt;MIN('2) หลักการคำนวน Table'!$C$3:$K$3),
     MIN('2) หลักการคำนวน Table'!$C$3:$K$3),
     MAX('2) หลักการคำนวน Table'!$C$3:$K$3)
  )
)</f>
        <v>0.9</v>
      </c>
      <c r="AQ135" s="298">
        <f>IFERROR(
  _xlfn.XLOOKUP(AE135,'2) หลักการคำนวน Table'!$C$3:$K$3,'2) หลักการคำนวน Table'!$C$3:$K$3,,1),
  IF(AE135&lt;MIN('2) หลักการคำนวน Table'!$C$3:$K$3),
     MIN('2) หลักการคำนวน Table'!$C$3:$K$3),
     MAX('2) หลักการคำนวน Table'!$C$3:$K$3)
  )
)</f>
        <v>0.9</v>
      </c>
      <c r="AR135" s="298">
        <f>IFERROR(
  _xlfn.XLOOKUP(AF135,'2) หลักการคำนวน Table'!$C$3:$K$3,'2) หลักการคำนวน Table'!$C$3:$K$3,,1),
  IF(AF135&lt;MIN('2) หลักการคำนวน Table'!$C$3:$K$3),
     MIN('2) หลักการคำนวน Table'!$C$3:$K$3),
     MAX('2) หลักการคำนวน Table'!$C$3:$K$3)
  )
)</f>
        <v>0.9</v>
      </c>
      <c r="AS135" s="298">
        <f>IFERROR(
  _xlfn.XLOOKUP(AG135,'2) หลักการคำนวน Table'!$C$3:$K$3,'2) หลักการคำนวน Table'!$C$3:$K$3,,1),
  IF(AG135&lt;MIN('2) หลักการคำนวน Table'!$C$3:$K$3),
     MIN('2) หลักการคำนวน Table'!$C$3:$K$3),
     MAX('2) หลักการคำนวน Table'!$C$3:$K$3)
  )
)</f>
        <v>0.9</v>
      </c>
      <c r="AT135" s="298">
        <f>IFERROR(
  _xlfn.XLOOKUP(AH135,'2) หลักการคำนวน Table'!$C$3:$K$3,'2) หลักการคำนวน Table'!$C$3:$K$3,,1),
  IF(AH135&lt;MIN('2) หลักการคำนวน Table'!$C$3:$K$3),
     MIN('2) หลักการคำนวน Table'!$C$3:$K$3),
     MAX('2) หลักการคำนวน Table'!$C$3:$K$3)
  )
)</f>
        <v>0.9</v>
      </c>
      <c r="AU135" s="298">
        <f>IFERROR(
  _xlfn.XLOOKUP(AI135,'2) หลักการคำนวน Table'!$C$3:$K$3,'2) หลักการคำนวน Table'!$C$3:$K$3,,1),
  IF(AI135&lt;MIN('2) หลักการคำนวน Table'!$C$3:$K$3),
     MIN('2) หลักการคำนวน Table'!$C$3:$K$3),
     MAX('2) หลักการคำนวน Table'!$C$3:$K$3)
  )
)</f>
        <v>0.9</v>
      </c>
      <c r="AV135" s="298">
        <f>IFERROR(
  _xlfn.XLOOKUP(AJ135,'2) หลักการคำนวน Table'!$C$3:$K$3,'2) หลักการคำนวน Table'!$C$3:$K$3,,1),
  IF(AJ135&lt;MIN('2) หลักการคำนวน Table'!$C$3:$K$3),
     MIN('2) หลักการคำนวน Table'!$C$3:$K$3),
     MAX('2) หลักการคำนวน Table'!$C$3:$K$3)
  )
)</f>
        <v>0.9</v>
      </c>
      <c r="AW135" s="298">
        <f>IFERROR(
  _xlfn.XLOOKUP(AK135,'2) หลักการคำนวน Table'!$C$3:$K$3,'2) หลักการคำนวน Table'!$C$3:$K$3,,1),
  IF(AK135&lt;MIN('2) หลักการคำนวน Table'!$C$3:$K$3),
     MIN('2) หลักการคำนวน Table'!$C$3:$K$3),
     MAX('2) หลักการคำนวน Table'!$C$3:$K$3)
  )
)</f>
        <v>0.9</v>
      </c>
      <c r="AX135" s="298">
        <f>IFERROR(
  _xlfn.XLOOKUP(AL135,'2) หลักการคำนวน Table'!$C$3:$K$3,'2) หลักการคำนวน Table'!$C$3:$K$3,,1),
  IF(AL135&lt;MIN('2) หลักการคำนวน Table'!$C$3:$K$3),
     MIN('2) หลักการคำนวน Table'!$C$3:$K$3),
     MAX('2) หลักการคำนวน Table'!$C$3:$K$3)
  )
)</f>
        <v>0.9</v>
      </c>
      <c r="AY135" s="298">
        <f>IFERROR(
  _xlfn.XLOOKUP(AM135,'2) หลักการคำนวน Table'!$C$3:$K$3,'2) หลักการคำนวน Table'!$C$3:$K$3,,1),
  IF(AM135&lt;MIN('2) หลักการคำนวน Table'!$C$3:$K$3),
     MIN('2) หลักการคำนวน Table'!$C$3:$K$3),
     MAX('2) หลักการคำนวน Table'!$C$3:$K$3)
  )
)</f>
        <v>0.9</v>
      </c>
      <c r="AZ135" s="299" cm="1">
        <f t="array" ref="AZ135">ROUND((_xlfn.XLOOKUP($C135,'2) หลักการคำนวน Table'!$A$4:$A$36,
_xlfn.XLOOKUP(AN135,'2)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365</v>
      </c>
      <c r="BA135" s="299" cm="1">
        <f t="array" ref="BA135">ROUND((_xlfn.XLOOKUP($C135,'2) หลักการคำนวน Table'!$A$4:$A$36,
_xlfn.XLOOKUP(AO135,'2)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346</v>
      </c>
      <c r="BB135" s="299" cm="1">
        <f t="array" ref="BB135">ROUND((_xlfn.XLOOKUP($C135,'2) หลักการคำนวน Table'!$A$4:$A$36,
_xlfn.XLOOKUP(AP135,'2)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346</v>
      </c>
      <c r="BC135" s="299" cm="1">
        <f t="array" ref="BC135">ROUND((_xlfn.XLOOKUP($C135,'2) หลักการคำนวน Table'!$A$4:$A$36,
_xlfn.XLOOKUP(AQ135,'2)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346</v>
      </c>
      <c r="BD135" s="299" cm="1">
        <f t="array" ref="BD135">ROUND((_xlfn.XLOOKUP($C135,'2) หลักการคำนวน Table'!$A$4:$A$36,
_xlfn.XLOOKUP(AR135,'2)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346</v>
      </c>
      <c r="BE135" s="299" cm="1">
        <f t="array" ref="BE135">ROUND((_xlfn.XLOOKUP($C135,'2) หลักการคำนวน Table'!$A$4:$A$36,
_xlfn.XLOOKUP(AS135,'2)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346</v>
      </c>
      <c r="BF135" s="299" cm="1">
        <f t="array" ref="BF135">ROUND((_xlfn.XLOOKUP($C135,'2) หลักการคำนวน Table'!$A$4:$A$36,
_xlfn.XLOOKUP(AT135,'2)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346</v>
      </c>
      <c r="BG135" s="299" cm="1">
        <f t="array" ref="BG135">ROUND((_xlfn.XLOOKUP($C135,'2) หลักการคำนวน Table'!$A$4:$A$36,
_xlfn.XLOOKUP(AU135,'2)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346</v>
      </c>
      <c r="BH135" s="299" cm="1">
        <f t="array" ref="BH135">ROUND((_xlfn.XLOOKUP($C135,'2) หลักการคำนวน Table'!$A$4:$A$36,
_xlfn.XLOOKUP(AV135,'2)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346</v>
      </c>
      <c r="BI135" s="299" cm="1">
        <f t="array" ref="BI135">ROUND((_xlfn.XLOOKUP($C135,'2) หลักการคำนวน Table'!$A$4:$A$36,
_xlfn.XLOOKUP(AW135,'2)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346</v>
      </c>
      <c r="BJ135" s="299" cm="1">
        <f t="array" ref="BJ135">ROUND((_xlfn.XLOOKUP($C135,'2) หลักการคำนวน Table'!$A$4:$A$36,
_xlfn.XLOOKUP(AX135,'2)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346</v>
      </c>
      <c r="BK135" s="299" cm="1">
        <f t="array" ref="BK135">ROUND((_xlfn.XLOOKUP($C135,'2) หลักการคำนวน Table'!$A$4:$A$36,
_xlfn.XLOOKUP(AY135,'2) หลักการคำนวน Table'!$C$3:$K$3,'2) หลักการคำนวน Table'!$C$4:$K$36,,-1)))*(_xlfn.XLOOKUP($C135,'2) หลักการคำนวน Table'!$A$4:$A$36, _xlfn.XLOOKUP($B135,'2) หลักการคำนวน Table'!$L$3:$Z$3,'2) หลักการคำนวน Table'!$L$4:$Z$36))),0)</f>
        <v>346</v>
      </c>
      <c r="BL135" s="295"/>
      <c r="BM135" s="295">
        <v>222204</v>
      </c>
      <c r="BN135" s="300">
        <v>365</v>
      </c>
    </row>
    <row r="136" spans="1:66" ht="14.7" customHeight="1" x14ac:dyDescent="0.25">
      <c r="A136" s="126">
        <f>VLOOKUP(C136,ASTBase!E:S,13,FALSE)</f>
        <v>222237</v>
      </c>
      <c r="B136" s="126" t="s">
        <v>414</v>
      </c>
      <c r="C136" s="232" t="s">
        <v>396</v>
      </c>
      <c r="D136" s="296">
        <v>9000</v>
      </c>
      <c r="E136" s="296">
        <v>10000</v>
      </c>
      <c r="F136" s="296">
        <v>35000</v>
      </c>
      <c r="G136" s="296">
        <v>10000</v>
      </c>
      <c r="H136" s="296">
        <v>9000</v>
      </c>
      <c r="I136" s="296">
        <v>13500</v>
      </c>
      <c r="J136" s="296">
        <v>9500</v>
      </c>
      <c r="K136" s="296">
        <v>10000</v>
      </c>
      <c r="L136" s="296">
        <v>9500</v>
      </c>
      <c r="M136" s="296">
        <v>9500</v>
      </c>
      <c r="N136" s="296">
        <v>10000</v>
      </c>
      <c r="O136" s="296">
        <v>35000</v>
      </c>
      <c r="P136" s="295">
        <v>12822</v>
      </c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7">
        <f>IFERROR(IF(VLOOKUP($B136,Shortage!$A:$M,AB$2,FALSE)="Shortage",1,IFERROR(ROUND(P136/D136,4),0)),IFERROR(ROUND(P136/D136,4),0))</f>
        <v>1.4247000000000001</v>
      </c>
      <c r="AC136" s="297">
        <f>IFERROR(IF(VLOOKUP($B136,Shortage!$A:$M,AC$2,FALSE)="Shortage",1,IFERROR(ROUND(Q136/E136,4),0)),IFERROR(ROUND(Q136/E136,4),0))</f>
        <v>0</v>
      </c>
      <c r="AD136" s="297">
        <f>IFERROR(IF(VLOOKUP($B136,Shortage!$A:$M,AD$2,FALSE)="Shortage",1,IFERROR(ROUND(R136/F136,4),0)),IFERROR(ROUND(R136/F136,4),0))</f>
        <v>0</v>
      </c>
      <c r="AE136" s="297">
        <f>IFERROR(IF(VLOOKUP($B136,Shortage!$A:$M,AE$2,FALSE)="Shortage",1,IFERROR(ROUND(S136/G136,4),0)),IFERROR(ROUND(S136/G136,4),0))</f>
        <v>0</v>
      </c>
      <c r="AF136" s="297">
        <f>IFERROR(IF(VLOOKUP($B136,Shortage!$A:$M,AF$2,FALSE)="Shortage",1,IFERROR(ROUND(T136/H136,4),0)),IFERROR(ROUND(T136/H136,4),0))</f>
        <v>0</v>
      </c>
      <c r="AG136" s="297">
        <f>IFERROR(IF(VLOOKUP($B136,Shortage!$A:$M,AG$2,FALSE)="Shortage",1,IFERROR(ROUND(U136/I136,4),0)),IFERROR(ROUND(U136/I136,4),0))</f>
        <v>0</v>
      </c>
      <c r="AH136" s="297">
        <f>IFERROR(IF(VLOOKUP($B136,Shortage!$A:$M,AH$2,FALSE)="Shortage",1,IFERROR(ROUND(V136/J136,4),0)),IFERROR(ROUND(V136/J136,4),0))</f>
        <v>0</v>
      </c>
      <c r="AI136" s="297">
        <f>IFERROR(IF(VLOOKUP($B136,Shortage!$A:$M,AI$2,FALSE)="Shortage",1,IFERROR(ROUND(W136/K136,4),0)),IFERROR(ROUND(W136/K136,4),0))</f>
        <v>0</v>
      </c>
      <c r="AJ136" s="297">
        <f>IFERROR(IF(VLOOKUP($B136,Shortage!$A:$M,AJ$2,FALSE)="Shortage",1,IFERROR(ROUND(X136/L136,4),0)),IFERROR(ROUND(X136/L136,4),0))</f>
        <v>0</v>
      </c>
      <c r="AK136" s="297">
        <f>IFERROR(IF(VLOOKUP($B136,Shortage!$A:$M,AK$2,FALSE)="Shortage",1,IFERROR(ROUND(Y136/M136,4),0)),IFERROR(ROUND(Y136/M136,4),0))</f>
        <v>0</v>
      </c>
      <c r="AL136" s="297">
        <f>IFERROR(IF(VLOOKUP($B136,Shortage!$A:$M,AL$2,FALSE)="Shortage",1,IFERROR(ROUND(Z136/N136,4),0)),IFERROR(ROUND(Z136/N136,4),0))</f>
        <v>0</v>
      </c>
      <c r="AM136" s="297">
        <f>IFERROR(IF(VLOOKUP($B136,Shortage!$A:$M,AM$2,FALSE)="Shortage",1,IFERROR(ROUND(AA136/O136,4),0)),IFERROR(ROUND(AA136/O136,4),0))</f>
        <v>0</v>
      </c>
      <c r="AN136" s="298">
        <f>IFERROR(_xlfn.XLOOKUP(AB136,'2) หลักการคำนวน Table'!$C$3:$K$3,'2) หลักการคำนวน Table'!$C$3:$K$3,,1),INDEX('2) หลักการคำนวน Table'!$C$3:$K$3,1))</f>
        <v>20</v>
      </c>
      <c r="AO136" s="298">
        <f>IFERROR(
  _xlfn.XLOOKUP(AC136,'2) หลักการคำนวน Table'!$C$3:$K$3,'2) หลักการคำนวน Table'!$C$3:$K$3,,1),
  IF(AC136&lt;MIN('2) หลักการคำนวน Table'!$C$3:$K$3),
     MIN('2) หลักการคำนวน Table'!$C$3:$K$3),
     MAX('2) หลักการคำนวน Table'!$C$3:$K$3)
  )
)</f>
        <v>0.9</v>
      </c>
      <c r="AP136" s="298">
        <f>IFERROR(
  _xlfn.XLOOKUP(AD136,'2) หลักการคำนวน Table'!$C$3:$K$3,'2) หลักการคำนวน Table'!$C$3:$K$3,,1),
  IF(AD136&lt;MIN('2) หลักการคำนวน Table'!$C$3:$K$3),
     MIN('2) หลักการคำนวน Table'!$C$3:$K$3),
     MAX('2) หลักการคำนวน Table'!$C$3:$K$3)
  )
)</f>
        <v>0.9</v>
      </c>
      <c r="AQ136" s="298">
        <f>IFERROR(
  _xlfn.XLOOKUP(AE136,'2) หลักการคำนวน Table'!$C$3:$K$3,'2) หลักการคำนวน Table'!$C$3:$K$3,,1),
  IF(AE136&lt;MIN('2) หลักการคำนวน Table'!$C$3:$K$3),
     MIN('2) หลักการคำนวน Table'!$C$3:$K$3),
     MAX('2) หลักการคำนวน Table'!$C$3:$K$3)
  )
)</f>
        <v>0.9</v>
      </c>
      <c r="AR136" s="298">
        <f>IFERROR(
  _xlfn.XLOOKUP(AF136,'2) หลักการคำนวน Table'!$C$3:$K$3,'2) หลักการคำนวน Table'!$C$3:$K$3,,1),
  IF(AF136&lt;MIN('2) หลักการคำนวน Table'!$C$3:$K$3),
     MIN('2) หลักการคำนวน Table'!$C$3:$K$3),
     MAX('2) หลักการคำนวน Table'!$C$3:$K$3)
  )
)</f>
        <v>0.9</v>
      </c>
      <c r="AS136" s="298">
        <f>IFERROR(
  _xlfn.XLOOKUP(AG136,'2) หลักการคำนวน Table'!$C$3:$K$3,'2) หลักการคำนวน Table'!$C$3:$K$3,,1),
  IF(AG136&lt;MIN('2) หลักการคำนวน Table'!$C$3:$K$3),
     MIN('2) หลักการคำนวน Table'!$C$3:$K$3),
     MAX('2) หลักการคำนวน Table'!$C$3:$K$3)
  )
)</f>
        <v>0.9</v>
      </c>
      <c r="AT136" s="298">
        <f>IFERROR(
  _xlfn.XLOOKUP(AH136,'2) หลักการคำนวน Table'!$C$3:$K$3,'2) หลักการคำนวน Table'!$C$3:$K$3,,1),
  IF(AH136&lt;MIN('2) หลักการคำนวน Table'!$C$3:$K$3),
     MIN('2) หลักการคำนวน Table'!$C$3:$K$3),
     MAX('2) หลักการคำนวน Table'!$C$3:$K$3)
  )
)</f>
        <v>0.9</v>
      </c>
      <c r="AU136" s="298">
        <f>IFERROR(
  _xlfn.XLOOKUP(AI136,'2) หลักการคำนวน Table'!$C$3:$K$3,'2) หลักการคำนวน Table'!$C$3:$K$3,,1),
  IF(AI136&lt;MIN('2) หลักการคำนวน Table'!$C$3:$K$3),
     MIN('2) หลักการคำนวน Table'!$C$3:$K$3),
     MAX('2) หลักการคำนวน Table'!$C$3:$K$3)
  )
)</f>
        <v>0.9</v>
      </c>
      <c r="AV136" s="298">
        <f>IFERROR(
  _xlfn.XLOOKUP(AJ136,'2) หลักการคำนวน Table'!$C$3:$K$3,'2) หลักการคำนวน Table'!$C$3:$K$3,,1),
  IF(AJ136&lt;MIN('2) หลักการคำนวน Table'!$C$3:$K$3),
     MIN('2) หลักการคำนวน Table'!$C$3:$K$3),
     MAX('2) หลักการคำนวน Table'!$C$3:$K$3)
  )
)</f>
        <v>0.9</v>
      </c>
      <c r="AW136" s="298">
        <f>IFERROR(
  _xlfn.XLOOKUP(AK136,'2) หลักการคำนวน Table'!$C$3:$K$3,'2) หลักการคำนวน Table'!$C$3:$K$3,,1),
  IF(AK136&lt;MIN('2) หลักการคำนวน Table'!$C$3:$K$3),
     MIN('2) หลักการคำนวน Table'!$C$3:$K$3),
     MAX('2) หลักการคำนวน Table'!$C$3:$K$3)
  )
)</f>
        <v>0.9</v>
      </c>
      <c r="AX136" s="298">
        <f>IFERROR(
  _xlfn.XLOOKUP(AL136,'2) หลักการคำนวน Table'!$C$3:$K$3,'2) หลักการคำนวน Table'!$C$3:$K$3,,1),
  IF(AL136&lt;MIN('2) หลักการคำนวน Table'!$C$3:$K$3),
     MIN('2) หลักการคำนวน Table'!$C$3:$K$3),
     MAX('2) หลักการคำนวน Table'!$C$3:$K$3)
  )
)</f>
        <v>0.9</v>
      </c>
      <c r="AY136" s="298">
        <f>IFERROR(
  _xlfn.XLOOKUP(AM136,'2) หลักการคำนวน Table'!$C$3:$K$3,'2) หลักการคำนวน Table'!$C$3:$K$3,,1),
  IF(AM136&lt;MIN('2) หลักการคำนวน Table'!$C$3:$K$3),
     MIN('2) หลักการคำนวน Table'!$C$3:$K$3),
     MAX('2) หลักการคำนวน Table'!$C$3:$K$3)
  )
)</f>
        <v>0.9</v>
      </c>
      <c r="AZ136" s="299" cm="1">
        <f t="array" ref="AZ136">ROUND((_xlfn.XLOOKUP($C136,'2) หลักการคำนวน Table'!$A$4:$A$36,
_xlfn.XLOOKUP(AN136,'2)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500</v>
      </c>
      <c r="BA136" s="299" cm="1">
        <f t="array" ref="BA136">ROUND((_xlfn.XLOOKUP($C136,'2) หลักการคำนวน Table'!$A$4:$A$36,
_xlfn.XLOOKUP(AO136,'2)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346</v>
      </c>
      <c r="BB136" s="299" cm="1">
        <f t="array" ref="BB136">ROUND((_xlfn.XLOOKUP($C136,'2) หลักการคำนวน Table'!$A$4:$A$36,
_xlfn.XLOOKUP(AP136,'2)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346</v>
      </c>
      <c r="BC136" s="299" cm="1">
        <f t="array" ref="BC136">ROUND((_xlfn.XLOOKUP($C136,'2) หลักการคำนวน Table'!$A$4:$A$36,
_xlfn.XLOOKUP(AQ136,'2)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346</v>
      </c>
      <c r="BD136" s="299" cm="1">
        <f t="array" ref="BD136">ROUND((_xlfn.XLOOKUP($C136,'2) หลักการคำนวน Table'!$A$4:$A$36,
_xlfn.XLOOKUP(AR136,'2)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346</v>
      </c>
      <c r="BE136" s="299" cm="1">
        <f t="array" ref="BE136">ROUND((_xlfn.XLOOKUP($C136,'2) หลักการคำนวน Table'!$A$4:$A$36,
_xlfn.XLOOKUP(AS136,'2)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346</v>
      </c>
      <c r="BF136" s="299" cm="1">
        <f t="array" ref="BF136">ROUND((_xlfn.XLOOKUP($C136,'2) หลักการคำนวน Table'!$A$4:$A$36,
_xlfn.XLOOKUP(AT136,'2)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346</v>
      </c>
      <c r="BG136" s="299" cm="1">
        <f t="array" ref="BG136">ROUND((_xlfn.XLOOKUP($C136,'2) หลักการคำนวน Table'!$A$4:$A$36,
_xlfn.XLOOKUP(AU136,'2)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346</v>
      </c>
      <c r="BH136" s="299" cm="1">
        <f t="array" ref="BH136">ROUND((_xlfn.XLOOKUP($C136,'2) หลักการคำนวน Table'!$A$4:$A$36,
_xlfn.XLOOKUP(AV136,'2)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346</v>
      </c>
      <c r="BI136" s="299" cm="1">
        <f t="array" ref="BI136">ROUND((_xlfn.XLOOKUP($C136,'2) หลักการคำนวน Table'!$A$4:$A$36,
_xlfn.XLOOKUP(AW136,'2)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346</v>
      </c>
      <c r="BJ136" s="299" cm="1">
        <f t="array" ref="BJ136">ROUND((_xlfn.XLOOKUP($C136,'2) หลักการคำนวน Table'!$A$4:$A$36,
_xlfn.XLOOKUP(AX136,'2)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346</v>
      </c>
      <c r="BK136" s="299" cm="1">
        <f t="array" ref="BK136">ROUND((_xlfn.XLOOKUP($C136,'2) หลักการคำนวน Table'!$A$4:$A$36,
_xlfn.XLOOKUP(AY136,'2) หลักการคำนวน Table'!$C$3:$K$3,'2) หลักการคำนวน Table'!$C$4:$K$36,,-1)))*(_xlfn.XLOOKUP($C136,'2) หลักการคำนวน Table'!$A$4:$A$36, _xlfn.XLOOKUP($B136,'2) หลักการคำนวน Table'!$L$3:$Z$3,'2) หลักการคำนวน Table'!$L$4:$Z$36))),0)</f>
        <v>346</v>
      </c>
      <c r="BL136" s="295"/>
      <c r="BM136" s="295">
        <v>222204</v>
      </c>
      <c r="BN136" s="300">
        <v>500</v>
      </c>
    </row>
    <row r="137" spans="1:66" ht="14.7" customHeight="1" x14ac:dyDescent="0.25">
      <c r="A137" s="126">
        <f>VLOOKUP(C137,ASTBase!E:S,13,FALSE)</f>
        <v>222237</v>
      </c>
      <c r="B137" s="126" t="s">
        <v>411</v>
      </c>
      <c r="C137" s="232" t="s">
        <v>396</v>
      </c>
      <c r="D137" s="296">
        <v>3000</v>
      </c>
      <c r="E137" s="296">
        <v>2300</v>
      </c>
      <c r="F137" s="296">
        <v>19000</v>
      </c>
      <c r="G137" s="296">
        <v>2300</v>
      </c>
      <c r="H137" s="296">
        <v>2000</v>
      </c>
      <c r="I137" s="296">
        <v>2100</v>
      </c>
      <c r="J137" s="296">
        <v>2300</v>
      </c>
      <c r="K137" s="296">
        <v>2000</v>
      </c>
      <c r="L137" s="296">
        <v>2000</v>
      </c>
      <c r="M137" s="296">
        <v>2000</v>
      </c>
      <c r="N137" s="296">
        <v>2100</v>
      </c>
      <c r="O137" s="296">
        <v>18900</v>
      </c>
      <c r="P137" s="295">
        <v>5223.7800000000016</v>
      </c>
      <c r="Q137" s="295"/>
      <c r="R137" s="295"/>
      <c r="S137" s="295"/>
      <c r="T137" s="295"/>
      <c r="U137" s="295"/>
      <c r="V137" s="295"/>
      <c r="W137" s="295"/>
      <c r="X137" s="295"/>
      <c r="Y137" s="295"/>
      <c r="Z137" s="295"/>
      <c r="AA137" s="295"/>
      <c r="AB137" s="297">
        <f>IFERROR(IF(VLOOKUP($B137,Shortage!$A:$M,AB$2,FALSE)="Shortage",1,IFERROR(ROUND(P137/D137,4),0)),IFERROR(ROUND(P137/D137,4),0))</f>
        <v>1.7413000000000001</v>
      </c>
      <c r="AC137" s="297">
        <f>IFERROR(IF(VLOOKUP($B137,Shortage!$A:$M,AC$2,FALSE)="Shortage",1,IFERROR(ROUND(Q137/E137,4),0)),IFERROR(ROUND(Q137/E137,4),0))</f>
        <v>0</v>
      </c>
      <c r="AD137" s="297">
        <f>IFERROR(IF(VLOOKUP($B137,Shortage!$A:$M,AD$2,FALSE)="Shortage",1,IFERROR(ROUND(R137/F137,4),0)),IFERROR(ROUND(R137/F137,4),0))</f>
        <v>0</v>
      </c>
      <c r="AE137" s="297">
        <f>IFERROR(IF(VLOOKUP($B137,Shortage!$A:$M,AE$2,FALSE)="Shortage",1,IFERROR(ROUND(S137/G137,4),0)),IFERROR(ROUND(S137/G137,4),0))</f>
        <v>0</v>
      </c>
      <c r="AF137" s="297">
        <f>IFERROR(IF(VLOOKUP($B137,Shortage!$A:$M,AF$2,FALSE)="Shortage",1,IFERROR(ROUND(T137/H137,4),0)),IFERROR(ROUND(T137/H137,4),0))</f>
        <v>0</v>
      </c>
      <c r="AG137" s="297">
        <f>IFERROR(IF(VLOOKUP($B137,Shortage!$A:$M,AG$2,FALSE)="Shortage",1,IFERROR(ROUND(U137/I137,4),0)),IFERROR(ROUND(U137/I137,4),0))</f>
        <v>0</v>
      </c>
      <c r="AH137" s="297">
        <f>IFERROR(IF(VLOOKUP($B137,Shortage!$A:$M,AH$2,FALSE)="Shortage",1,IFERROR(ROUND(V137/J137,4),0)),IFERROR(ROUND(V137/J137,4),0))</f>
        <v>0</v>
      </c>
      <c r="AI137" s="297">
        <f>IFERROR(IF(VLOOKUP($B137,Shortage!$A:$M,AI$2,FALSE)="Shortage",1,IFERROR(ROUND(W137/K137,4),0)),IFERROR(ROUND(W137/K137,4),0))</f>
        <v>0</v>
      </c>
      <c r="AJ137" s="297">
        <f>IFERROR(IF(VLOOKUP($B137,Shortage!$A:$M,AJ$2,FALSE)="Shortage",1,IFERROR(ROUND(X137/L137,4),0)),IFERROR(ROUND(X137/L137,4),0))</f>
        <v>0</v>
      </c>
      <c r="AK137" s="297">
        <f>IFERROR(IF(VLOOKUP($B137,Shortage!$A:$M,AK$2,FALSE)="Shortage",1,IFERROR(ROUND(Y137/M137,4),0)),IFERROR(ROUND(Y137/M137,4),0))</f>
        <v>0</v>
      </c>
      <c r="AL137" s="297">
        <f>IFERROR(IF(VLOOKUP($B137,Shortage!$A:$M,AL$2,FALSE)="Shortage",1,IFERROR(ROUND(Z137/N137,4),0)),IFERROR(ROUND(Z137/N137,4),0))</f>
        <v>0</v>
      </c>
      <c r="AM137" s="297">
        <f>IFERROR(IF(VLOOKUP($B137,Shortage!$A:$M,AM$2,FALSE)="Shortage",1,IFERROR(ROUND(AA137/O137,4),0)),IFERROR(ROUND(AA137/O137,4),0))</f>
        <v>0</v>
      </c>
      <c r="AN137" s="298">
        <f>IFERROR(_xlfn.XLOOKUP(AB137,'2) หลักการคำนวน Table'!$C$3:$K$3,'2) หลักการคำนวน Table'!$C$3:$K$3,,1),INDEX('2) หลักการคำนวน Table'!$C$3:$K$3,1))</f>
        <v>20</v>
      </c>
      <c r="AO137" s="298">
        <f>IFERROR(
  _xlfn.XLOOKUP(AC137,'2) หลักการคำนวน Table'!$C$3:$K$3,'2) หลักการคำนวน Table'!$C$3:$K$3,,1),
  IF(AC137&lt;MIN('2) หลักการคำนวน Table'!$C$3:$K$3),
     MIN('2) หลักการคำนวน Table'!$C$3:$K$3),
     MAX('2) หลักการคำนวน Table'!$C$3:$K$3)
  )
)</f>
        <v>0.9</v>
      </c>
      <c r="AP137" s="298">
        <f>IFERROR(
  _xlfn.XLOOKUP(AD137,'2) หลักการคำนวน Table'!$C$3:$K$3,'2) หลักการคำนวน Table'!$C$3:$K$3,,1),
  IF(AD137&lt;MIN('2) หลักการคำนวน Table'!$C$3:$K$3),
     MIN('2) หลักการคำนวน Table'!$C$3:$K$3),
     MAX('2) หลักการคำนวน Table'!$C$3:$K$3)
  )
)</f>
        <v>0.9</v>
      </c>
      <c r="AQ137" s="298">
        <f>IFERROR(
  _xlfn.XLOOKUP(AE137,'2) หลักการคำนวน Table'!$C$3:$K$3,'2) หลักการคำนวน Table'!$C$3:$K$3,,1),
  IF(AE137&lt;MIN('2) หลักการคำนวน Table'!$C$3:$K$3),
     MIN('2) หลักการคำนวน Table'!$C$3:$K$3),
     MAX('2) หลักการคำนวน Table'!$C$3:$K$3)
  )
)</f>
        <v>0.9</v>
      </c>
      <c r="AR137" s="298">
        <f>IFERROR(
  _xlfn.XLOOKUP(AF137,'2) หลักการคำนวน Table'!$C$3:$K$3,'2) หลักการคำนวน Table'!$C$3:$K$3,,1),
  IF(AF137&lt;MIN('2) หลักการคำนวน Table'!$C$3:$K$3),
     MIN('2) หลักการคำนวน Table'!$C$3:$K$3),
     MAX('2) หลักการคำนวน Table'!$C$3:$K$3)
  )
)</f>
        <v>0.9</v>
      </c>
      <c r="AS137" s="298">
        <f>IFERROR(
  _xlfn.XLOOKUP(AG137,'2) หลักการคำนวน Table'!$C$3:$K$3,'2) หลักการคำนวน Table'!$C$3:$K$3,,1),
  IF(AG137&lt;MIN('2) หลักการคำนวน Table'!$C$3:$K$3),
     MIN('2) หลักการคำนวน Table'!$C$3:$K$3),
     MAX('2) หลักการคำนวน Table'!$C$3:$K$3)
  )
)</f>
        <v>0.9</v>
      </c>
      <c r="AT137" s="298">
        <f>IFERROR(
  _xlfn.XLOOKUP(AH137,'2) หลักการคำนวน Table'!$C$3:$K$3,'2) หลักการคำนวน Table'!$C$3:$K$3,,1),
  IF(AH137&lt;MIN('2) หลักการคำนวน Table'!$C$3:$K$3),
     MIN('2) หลักการคำนวน Table'!$C$3:$K$3),
     MAX('2) หลักการคำนวน Table'!$C$3:$K$3)
  )
)</f>
        <v>0.9</v>
      </c>
      <c r="AU137" s="298">
        <f>IFERROR(
  _xlfn.XLOOKUP(AI137,'2) หลักการคำนวน Table'!$C$3:$K$3,'2) หลักการคำนวน Table'!$C$3:$K$3,,1),
  IF(AI137&lt;MIN('2) หลักการคำนวน Table'!$C$3:$K$3),
     MIN('2) หลักการคำนวน Table'!$C$3:$K$3),
     MAX('2) หลักการคำนวน Table'!$C$3:$K$3)
  )
)</f>
        <v>0.9</v>
      </c>
      <c r="AV137" s="298">
        <f>IFERROR(
  _xlfn.XLOOKUP(AJ137,'2) หลักการคำนวน Table'!$C$3:$K$3,'2) หลักการคำนวน Table'!$C$3:$K$3,,1),
  IF(AJ137&lt;MIN('2) หลักการคำนวน Table'!$C$3:$K$3),
     MIN('2) หลักการคำนวน Table'!$C$3:$K$3),
     MAX('2) หลักการคำนวน Table'!$C$3:$K$3)
  )
)</f>
        <v>0.9</v>
      </c>
      <c r="AW137" s="298">
        <f>IFERROR(
  _xlfn.XLOOKUP(AK137,'2) หลักการคำนวน Table'!$C$3:$K$3,'2) หลักการคำนวน Table'!$C$3:$K$3,,1),
  IF(AK137&lt;MIN('2) หลักการคำนวน Table'!$C$3:$K$3),
     MIN('2) หลักการคำนวน Table'!$C$3:$K$3),
     MAX('2) หลักการคำนวน Table'!$C$3:$K$3)
  )
)</f>
        <v>0.9</v>
      </c>
      <c r="AX137" s="298">
        <f>IFERROR(
  _xlfn.XLOOKUP(AL137,'2) หลักการคำนวน Table'!$C$3:$K$3,'2) หลักการคำนวน Table'!$C$3:$K$3,,1),
  IF(AL137&lt;MIN('2) หลักการคำนวน Table'!$C$3:$K$3),
     MIN('2) หลักการคำนวน Table'!$C$3:$K$3),
     MAX('2) หลักการคำนวน Table'!$C$3:$K$3)
  )
)</f>
        <v>0.9</v>
      </c>
      <c r="AY137" s="298">
        <f>IFERROR(
  _xlfn.XLOOKUP(AM137,'2) หลักการคำนวน Table'!$C$3:$K$3,'2) หลักการคำนวน Table'!$C$3:$K$3,,1),
  IF(AM137&lt;MIN('2) หลักการคำนวน Table'!$C$3:$K$3),
     MIN('2) หลักการคำนวน Table'!$C$3:$K$3),
     MAX('2) หลักการคำนวน Table'!$C$3:$K$3)
  )
)</f>
        <v>0.9</v>
      </c>
      <c r="AZ137" s="299" cm="1">
        <f t="array" ref="AZ137">ROUND((_xlfn.XLOOKUP($C137,'2) หลักการคำนวน Table'!$A$4:$A$36,
_xlfn.XLOOKUP(AN137,'2)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1250</v>
      </c>
      <c r="BA137" s="299" cm="1">
        <f t="array" ref="BA137">ROUND((_xlfn.XLOOKUP($C137,'2) หลักการคำนวน Table'!$A$4:$A$36,
_xlfn.XLOOKUP(AO137,'2)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865</v>
      </c>
      <c r="BB137" s="299" cm="1">
        <f t="array" ref="BB137">ROUND((_xlfn.XLOOKUP($C137,'2) หลักการคำนวน Table'!$A$4:$A$36,
_xlfn.XLOOKUP(AP137,'2)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865</v>
      </c>
      <c r="BC137" s="299" cm="1">
        <f t="array" ref="BC137">ROUND((_xlfn.XLOOKUP($C137,'2) หลักการคำนวน Table'!$A$4:$A$36,
_xlfn.XLOOKUP(AQ137,'2)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865</v>
      </c>
      <c r="BD137" s="299" cm="1">
        <f t="array" ref="BD137">ROUND((_xlfn.XLOOKUP($C137,'2) หลักการคำนวน Table'!$A$4:$A$36,
_xlfn.XLOOKUP(AR137,'2)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865</v>
      </c>
      <c r="BE137" s="299" cm="1">
        <f t="array" ref="BE137">ROUND((_xlfn.XLOOKUP($C137,'2) หลักการคำนวน Table'!$A$4:$A$36,
_xlfn.XLOOKUP(AS137,'2)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865</v>
      </c>
      <c r="BF137" s="299" cm="1">
        <f t="array" ref="BF137">ROUND((_xlfn.XLOOKUP($C137,'2) หลักการคำนวน Table'!$A$4:$A$36,
_xlfn.XLOOKUP(AT137,'2)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865</v>
      </c>
      <c r="BG137" s="299" cm="1">
        <f t="array" ref="BG137">ROUND((_xlfn.XLOOKUP($C137,'2) หลักการคำนวน Table'!$A$4:$A$36,
_xlfn.XLOOKUP(AU137,'2)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865</v>
      </c>
      <c r="BH137" s="299" cm="1">
        <f t="array" ref="BH137">ROUND((_xlfn.XLOOKUP($C137,'2) หลักการคำนวน Table'!$A$4:$A$36,
_xlfn.XLOOKUP(AV137,'2)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865</v>
      </c>
      <c r="BI137" s="299" cm="1">
        <f t="array" ref="BI137">ROUND((_xlfn.XLOOKUP($C137,'2) หลักการคำนวน Table'!$A$4:$A$36,
_xlfn.XLOOKUP(AW137,'2)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865</v>
      </c>
      <c r="BJ137" s="299" cm="1">
        <f t="array" ref="BJ137">ROUND((_xlfn.XLOOKUP($C137,'2) หลักการคำนวน Table'!$A$4:$A$36,
_xlfn.XLOOKUP(AX137,'2)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865</v>
      </c>
      <c r="BK137" s="299" cm="1">
        <f t="array" ref="BK137">ROUND((_xlfn.XLOOKUP($C137,'2) หลักการคำนวน Table'!$A$4:$A$36,
_xlfn.XLOOKUP(AY137,'2) หลักการคำนวน Table'!$C$3:$K$3,'2) หลักการคำนวน Table'!$C$4:$K$36,,-1)))*(_xlfn.XLOOKUP($C137,'2) หลักการคำนวน Table'!$A$4:$A$36, _xlfn.XLOOKUP($B137,'2) หลักการคำนวน Table'!$L$3:$Z$3,'2) หลักการคำนวน Table'!$L$4:$Z$36))),0)</f>
        <v>865</v>
      </c>
      <c r="BL137" s="295"/>
      <c r="BM137" s="295">
        <v>222204</v>
      </c>
      <c r="BN137" s="300">
        <v>1250</v>
      </c>
    </row>
    <row r="138" spans="1:66" ht="14.7" customHeight="1" x14ac:dyDescent="0.25">
      <c r="A138" s="126">
        <f>VLOOKUP(C138,ASTBase!E:S,13,FALSE)</f>
        <v>222237</v>
      </c>
      <c r="B138" s="126" t="s">
        <v>418</v>
      </c>
      <c r="C138" s="232" t="s">
        <v>396</v>
      </c>
      <c r="D138" s="296">
        <v>0</v>
      </c>
      <c r="E138" s="296">
        <v>0</v>
      </c>
      <c r="F138" s="296">
        <v>0</v>
      </c>
      <c r="G138" s="296">
        <v>0</v>
      </c>
      <c r="H138" s="296">
        <v>0</v>
      </c>
      <c r="I138" s="296">
        <v>0</v>
      </c>
      <c r="J138" s="296">
        <v>400</v>
      </c>
      <c r="K138" s="296">
        <v>250</v>
      </c>
      <c r="L138" s="296">
        <v>300</v>
      </c>
      <c r="M138" s="296">
        <v>250</v>
      </c>
      <c r="N138" s="296">
        <v>300</v>
      </c>
      <c r="O138" s="296">
        <v>500</v>
      </c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295"/>
      <c r="AB138" s="297">
        <f>IFERROR(IF(VLOOKUP($B138,Shortage!$A:$M,AB$2,FALSE)="Shortage",1,IFERROR(ROUND(P138/D138,4),0)),IFERROR(ROUND(P138/D138,4),0))</f>
        <v>0</v>
      </c>
      <c r="AC138" s="297">
        <f>IFERROR(IF(VLOOKUP($B138,Shortage!$A:$M,AC$2,FALSE)="Shortage",1,IFERROR(ROUND(Q138/E138,4),0)),IFERROR(ROUND(Q138/E138,4),0))</f>
        <v>0</v>
      </c>
      <c r="AD138" s="297">
        <f>IFERROR(IF(VLOOKUP($B138,Shortage!$A:$M,AD$2,FALSE)="Shortage",1,IFERROR(ROUND(R138/F138,4),0)),IFERROR(ROUND(R138/F138,4),0))</f>
        <v>0</v>
      </c>
      <c r="AE138" s="297">
        <f>IFERROR(IF(VLOOKUP($B138,Shortage!$A:$M,AE$2,FALSE)="Shortage",1,IFERROR(ROUND(S138/G138,4),0)),IFERROR(ROUND(S138/G138,4),0))</f>
        <v>0</v>
      </c>
      <c r="AF138" s="297">
        <f>IFERROR(IF(VLOOKUP($B138,Shortage!$A:$M,AF$2,FALSE)="Shortage",1,IFERROR(ROUND(T138/H138,4),0)),IFERROR(ROUND(T138/H138,4),0))</f>
        <v>0</v>
      </c>
      <c r="AG138" s="297">
        <f>IFERROR(IF(VLOOKUP($B138,Shortage!$A:$M,AG$2,FALSE)="Shortage",1,IFERROR(ROUND(U138/I138,4),0)),IFERROR(ROUND(U138/I138,4),0))</f>
        <v>0</v>
      </c>
      <c r="AH138" s="297">
        <f>IFERROR(IF(VLOOKUP($B138,Shortage!$A:$M,AH$2,FALSE)="Shortage",1,IFERROR(ROUND(V138/J138,4),0)),IFERROR(ROUND(V138/J138,4),0))</f>
        <v>0</v>
      </c>
      <c r="AI138" s="297">
        <f>IFERROR(IF(VLOOKUP($B138,Shortage!$A:$M,AI$2,FALSE)="Shortage",1,IFERROR(ROUND(W138/K138,4),0)),IFERROR(ROUND(W138/K138,4),0))</f>
        <v>0</v>
      </c>
      <c r="AJ138" s="297">
        <f>IFERROR(IF(VLOOKUP($B138,Shortage!$A:$M,AJ$2,FALSE)="Shortage",1,IFERROR(ROUND(X138/L138,4),0)),IFERROR(ROUND(X138/L138,4),0))</f>
        <v>0</v>
      </c>
      <c r="AK138" s="297">
        <f>IFERROR(IF(VLOOKUP($B138,Shortage!$A:$M,AK$2,FALSE)="Shortage",1,IFERROR(ROUND(Y138/M138,4),0)),IFERROR(ROUND(Y138/M138,4),0))</f>
        <v>0</v>
      </c>
      <c r="AL138" s="297">
        <f>IFERROR(IF(VLOOKUP($B138,Shortage!$A:$M,AL$2,FALSE)="Shortage",1,IFERROR(ROUND(Z138/N138,4),0)),IFERROR(ROUND(Z138/N138,4),0))</f>
        <v>0</v>
      </c>
      <c r="AM138" s="297">
        <f>IFERROR(IF(VLOOKUP($B138,Shortage!$A:$M,AM$2,FALSE)="Shortage",1,IFERROR(ROUND(AA138/O138,4),0)),IFERROR(ROUND(AA138/O138,4),0))</f>
        <v>0</v>
      </c>
      <c r="AN138" s="298">
        <f>IFERROR(_xlfn.XLOOKUP(AB138,'2) หลักการคำนวน Table'!$C$3:$K$3,'2) หลักการคำนวน Table'!$C$3:$K$3,,1),INDEX('2) หลักการคำนวน Table'!$C$3:$K$3,1))</f>
        <v>0.9</v>
      </c>
      <c r="AO138" s="298">
        <f>IFERROR(
  _xlfn.XLOOKUP(AC138,'2) หลักการคำนวน Table'!$C$3:$K$3,'2) หลักการคำนวน Table'!$C$3:$K$3,,1),
  IF(AC138&lt;MIN('2) หลักการคำนวน Table'!$C$3:$K$3),
     MIN('2) หลักการคำนวน Table'!$C$3:$K$3),
     MAX('2) หลักการคำนวน Table'!$C$3:$K$3)
  )
)</f>
        <v>0.9</v>
      </c>
      <c r="AP138" s="298">
        <f>IFERROR(
  _xlfn.XLOOKUP(AD138,'2) หลักการคำนวน Table'!$C$3:$K$3,'2) หลักการคำนวน Table'!$C$3:$K$3,,1),
  IF(AD138&lt;MIN('2) หลักการคำนวน Table'!$C$3:$K$3),
     MIN('2) หลักการคำนวน Table'!$C$3:$K$3),
     MAX('2) หลักการคำนวน Table'!$C$3:$K$3)
  )
)</f>
        <v>0.9</v>
      </c>
      <c r="AQ138" s="298">
        <f>IFERROR(
  _xlfn.XLOOKUP(AE138,'2) หลักการคำนวน Table'!$C$3:$K$3,'2) หลักการคำนวน Table'!$C$3:$K$3,,1),
  IF(AE138&lt;MIN('2) หลักการคำนวน Table'!$C$3:$K$3),
     MIN('2) หลักการคำนวน Table'!$C$3:$K$3),
     MAX('2) หลักการคำนวน Table'!$C$3:$K$3)
  )
)</f>
        <v>0.9</v>
      </c>
      <c r="AR138" s="298">
        <f>IFERROR(
  _xlfn.XLOOKUP(AF138,'2) หลักการคำนวน Table'!$C$3:$K$3,'2) หลักการคำนวน Table'!$C$3:$K$3,,1),
  IF(AF138&lt;MIN('2) หลักการคำนวน Table'!$C$3:$K$3),
     MIN('2) หลักการคำนวน Table'!$C$3:$K$3),
     MAX('2) หลักการคำนวน Table'!$C$3:$K$3)
  )
)</f>
        <v>0.9</v>
      </c>
      <c r="AS138" s="298">
        <f>IFERROR(
  _xlfn.XLOOKUP(AG138,'2) หลักการคำนวน Table'!$C$3:$K$3,'2) หลักการคำนวน Table'!$C$3:$K$3,,1),
  IF(AG138&lt;MIN('2) หลักการคำนวน Table'!$C$3:$K$3),
     MIN('2) หลักการคำนวน Table'!$C$3:$K$3),
     MAX('2) หลักการคำนวน Table'!$C$3:$K$3)
  )
)</f>
        <v>0.9</v>
      </c>
      <c r="AT138" s="298">
        <f>IFERROR(
  _xlfn.XLOOKUP(AH138,'2) หลักการคำนวน Table'!$C$3:$K$3,'2) หลักการคำนวน Table'!$C$3:$K$3,,1),
  IF(AH138&lt;MIN('2) หลักการคำนวน Table'!$C$3:$K$3),
     MIN('2) หลักการคำนวน Table'!$C$3:$K$3),
     MAX('2) หลักการคำนวน Table'!$C$3:$K$3)
  )
)</f>
        <v>0.9</v>
      </c>
      <c r="AU138" s="298">
        <f>IFERROR(
  _xlfn.XLOOKUP(AI138,'2) หลักการคำนวน Table'!$C$3:$K$3,'2) หลักการคำนวน Table'!$C$3:$K$3,,1),
  IF(AI138&lt;MIN('2) หลักการคำนวน Table'!$C$3:$K$3),
     MIN('2) หลักการคำนวน Table'!$C$3:$K$3),
     MAX('2) หลักการคำนวน Table'!$C$3:$K$3)
  )
)</f>
        <v>0.9</v>
      </c>
      <c r="AV138" s="298">
        <f>IFERROR(
  _xlfn.XLOOKUP(AJ138,'2) หลักการคำนวน Table'!$C$3:$K$3,'2) หลักการคำนวน Table'!$C$3:$K$3,,1),
  IF(AJ138&lt;MIN('2) หลักการคำนวน Table'!$C$3:$K$3),
     MIN('2) หลักการคำนวน Table'!$C$3:$K$3),
     MAX('2) หลักการคำนวน Table'!$C$3:$K$3)
  )
)</f>
        <v>0.9</v>
      </c>
      <c r="AW138" s="298">
        <f>IFERROR(
  _xlfn.XLOOKUP(AK138,'2) หลักการคำนวน Table'!$C$3:$K$3,'2) หลักการคำนวน Table'!$C$3:$K$3,,1),
  IF(AK138&lt;MIN('2) หลักการคำนวน Table'!$C$3:$K$3),
     MIN('2) หลักการคำนวน Table'!$C$3:$K$3),
     MAX('2) หลักการคำนวน Table'!$C$3:$K$3)
  )
)</f>
        <v>0.9</v>
      </c>
      <c r="AX138" s="298">
        <f>IFERROR(
  _xlfn.XLOOKUP(AL138,'2) หลักการคำนวน Table'!$C$3:$K$3,'2) หลักการคำนวน Table'!$C$3:$K$3,,1),
  IF(AL138&lt;MIN('2) หลักการคำนวน Table'!$C$3:$K$3),
     MIN('2) หลักการคำนวน Table'!$C$3:$K$3),
     MAX('2) หลักการคำนวน Table'!$C$3:$K$3)
  )
)</f>
        <v>0.9</v>
      </c>
      <c r="AY138" s="298">
        <f>IFERROR(
  _xlfn.XLOOKUP(AM138,'2) หลักการคำนวน Table'!$C$3:$K$3,'2) หลักการคำนวน Table'!$C$3:$K$3,,1),
  IF(AM138&lt;MIN('2) หลักการคำนวน Table'!$C$3:$K$3),
     MIN('2) หลักการคำนวน Table'!$C$3:$K$3),
     MAX('2) หลักการคำนวน Table'!$C$3:$K$3)
  )
)</f>
        <v>0.9</v>
      </c>
      <c r="AZ138" s="299" cm="1">
        <f t="array" ref="AZ138">ROUND((_xlfn.XLOOKUP($C138,'2) หลักการคำนวน Table'!$A$4:$A$36,
_xlfn.XLOOKUP(AN138,'2)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A138" s="299" cm="1">
        <f t="array" ref="BA138">ROUND((_xlfn.XLOOKUP($C138,'2) หลักการคำนวน Table'!$A$4:$A$36,
_xlfn.XLOOKUP(AO138,'2)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B138" s="299" cm="1">
        <f t="array" ref="BB138">ROUND((_xlfn.XLOOKUP($C138,'2) หลักการคำนวน Table'!$A$4:$A$36,
_xlfn.XLOOKUP(AP138,'2)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C138" s="299" cm="1">
        <f t="array" ref="BC138">ROUND((_xlfn.XLOOKUP($C138,'2) หลักการคำนวน Table'!$A$4:$A$36,
_xlfn.XLOOKUP(AQ138,'2)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D138" s="299" cm="1">
        <f t="array" ref="BD138">ROUND((_xlfn.XLOOKUP($C138,'2) หลักการคำนวน Table'!$A$4:$A$36,
_xlfn.XLOOKUP(AR138,'2)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E138" s="299" cm="1">
        <f t="array" ref="BE138">ROUND((_xlfn.XLOOKUP($C138,'2) หลักการคำนวน Table'!$A$4:$A$36,
_xlfn.XLOOKUP(AS138,'2)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F138" s="299" cm="1">
        <f t="array" ref="BF138">ROUND((_xlfn.XLOOKUP($C138,'2) หลักการคำนวน Table'!$A$4:$A$36,
_xlfn.XLOOKUP(AT138,'2)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G138" s="299" cm="1">
        <f t="array" ref="BG138">ROUND((_xlfn.XLOOKUP($C138,'2) หลักการคำนวน Table'!$A$4:$A$36,
_xlfn.XLOOKUP(AU138,'2)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H138" s="299" cm="1">
        <f t="array" ref="BH138">ROUND((_xlfn.XLOOKUP($C138,'2) หลักการคำนวน Table'!$A$4:$A$36,
_xlfn.XLOOKUP(AV138,'2)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I138" s="299" cm="1">
        <f t="array" ref="BI138">ROUND((_xlfn.XLOOKUP($C138,'2) หลักการคำนวน Table'!$A$4:$A$36,
_xlfn.XLOOKUP(AW138,'2)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J138" s="299" cm="1">
        <f t="array" ref="BJ138">ROUND((_xlfn.XLOOKUP($C138,'2) หลักการคำนวน Table'!$A$4:$A$36,
_xlfn.XLOOKUP(AX138,'2)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K138" s="299" cm="1">
        <f t="array" ref="BK138">ROUND((_xlfn.XLOOKUP($C138,'2) หลักการคำนวน Table'!$A$4:$A$36,
_xlfn.XLOOKUP(AY138,'2) หลักการคำนวน Table'!$C$3:$K$3,'2) หลักการคำนวน Table'!$C$4:$K$36,,-1)))*(_xlfn.XLOOKUP($C138,'2) หลักการคำนวน Table'!$A$4:$A$36, _xlfn.XLOOKUP($B138,'2) หลักการคำนวน Table'!$L$3:$Z$3,'2) หลักการคำนวน Table'!$L$4:$Z$36))),0)</f>
        <v>0</v>
      </c>
      <c r="BL138" s="295"/>
      <c r="BM138" s="295">
        <v>222204</v>
      </c>
      <c r="BN138" s="300">
        <v>0</v>
      </c>
    </row>
    <row r="139" spans="1:66" ht="14.7" customHeight="1" x14ac:dyDescent="0.25">
      <c r="A139" s="126">
        <f>VLOOKUP(C139,ASTBase!E:S,13,FALSE)</f>
        <v>222236</v>
      </c>
      <c r="B139" s="126" t="s">
        <v>416</v>
      </c>
      <c r="C139" s="232" t="s">
        <v>400</v>
      </c>
      <c r="D139" s="296">
        <v>1083.2</v>
      </c>
      <c r="E139" s="296">
        <v>1270.5999999999999</v>
      </c>
      <c r="F139" s="296">
        <v>1416.6</v>
      </c>
      <c r="G139" s="296">
        <v>2417.8000000000002</v>
      </c>
      <c r="H139" s="296">
        <v>2522</v>
      </c>
      <c r="I139" s="296">
        <v>2162.25</v>
      </c>
      <c r="J139" s="296">
        <v>3971.7</v>
      </c>
      <c r="K139" s="296">
        <v>4136.45</v>
      </c>
      <c r="L139" s="296">
        <v>3748</v>
      </c>
      <c r="M139" s="296">
        <v>2373</v>
      </c>
      <c r="N139" s="296">
        <v>1622</v>
      </c>
      <c r="O139" s="296">
        <v>1528</v>
      </c>
      <c r="P139" s="295">
        <v>1566.9999999671545</v>
      </c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7">
        <f>IFERROR(IF(VLOOKUP($B139,Shortage!$A:$M,AB$2,FALSE)="Shortage",1,IFERROR(ROUND(P139/D139,4),0)),IFERROR(ROUND(P139/D139,4),0))</f>
        <v>1.4466000000000001</v>
      </c>
      <c r="AC139" s="297">
        <f>IFERROR(IF(VLOOKUP($B139,Shortage!$A:$M,AC$2,FALSE)="Shortage",1,IFERROR(ROUND(Q139/E139,4),0)),IFERROR(ROUND(Q139/E139,4),0))</f>
        <v>0</v>
      </c>
      <c r="AD139" s="297">
        <f>IFERROR(IF(VLOOKUP($B139,Shortage!$A:$M,AD$2,FALSE)="Shortage",1,IFERROR(ROUND(R139/F139,4),0)),IFERROR(ROUND(R139/F139,4),0))</f>
        <v>0</v>
      </c>
      <c r="AE139" s="297">
        <f>IFERROR(IF(VLOOKUP($B139,Shortage!$A:$M,AE$2,FALSE)="Shortage",1,IFERROR(ROUND(S139/G139,4),0)),IFERROR(ROUND(S139/G139,4),0))</f>
        <v>0</v>
      </c>
      <c r="AF139" s="297">
        <f>IFERROR(IF(VLOOKUP($B139,Shortage!$A:$M,AF$2,FALSE)="Shortage",1,IFERROR(ROUND(T139/H139,4),0)),IFERROR(ROUND(T139/H139,4),0))</f>
        <v>0</v>
      </c>
      <c r="AG139" s="297">
        <f>IFERROR(IF(VLOOKUP($B139,Shortage!$A:$M,AG$2,FALSE)="Shortage",1,IFERROR(ROUND(U139/I139,4),0)),IFERROR(ROUND(U139/I139,4),0))</f>
        <v>0</v>
      </c>
      <c r="AH139" s="297">
        <f>IFERROR(IF(VLOOKUP($B139,Shortage!$A:$M,AH$2,FALSE)="Shortage",1,IFERROR(ROUND(V139/J139,4),0)),IFERROR(ROUND(V139/J139,4),0))</f>
        <v>0</v>
      </c>
      <c r="AI139" s="297">
        <f>IFERROR(IF(VLOOKUP($B139,Shortage!$A:$M,AI$2,FALSE)="Shortage",1,IFERROR(ROUND(W139/K139,4),0)),IFERROR(ROUND(W139/K139,4),0))</f>
        <v>0</v>
      </c>
      <c r="AJ139" s="297">
        <f>IFERROR(IF(VLOOKUP($B139,Shortage!$A:$M,AJ$2,FALSE)="Shortage",1,IFERROR(ROUND(X139/L139,4),0)),IFERROR(ROUND(X139/L139,4),0))</f>
        <v>0</v>
      </c>
      <c r="AK139" s="297">
        <f>IFERROR(IF(VLOOKUP($B139,Shortage!$A:$M,AK$2,FALSE)="Shortage",1,IFERROR(ROUND(Y139/M139,4),0)),IFERROR(ROUND(Y139/M139,4),0))</f>
        <v>0</v>
      </c>
      <c r="AL139" s="297">
        <f>IFERROR(IF(VLOOKUP($B139,Shortage!$A:$M,AL$2,FALSE)="Shortage",1,IFERROR(ROUND(Z139/N139,4),0)),IFERROR(ROUND(Z139/N139,4),0))</f>
        <v>0</v>
      </c>
      <c r="AM139" s="297">
        <f>IFERROR(IF(VLOOKUP($B139,Shortage!$A:$M,AM$2,FALSE)="Shortage",1,IFERROR(ROUND(AA139/O139,4),0)),IFERROR(ROUND(AA139/O139,4),0))</f>
        <v>0</v>
      </c>
      <c r="AN139" s="298">
        <f>IFERROR(_xlfn.XLOOKUP(AB139,'2) หลักการคำนวน Table'!$C$3:$K$3,'2) หลักการคำนวน Table'!$C$3:$K$3,,1),INDEX('2) หลักการคำนวน Table'!$C$3:$K$3,1))</f>
        <v>20</v>
      </c>
      <c r="AO139" s="298">
        <f>IFERROR(
  _xlfn.XLOOKUP(AC139,'2) หลักการคำนวน Table'!$C$3:$K$3,'2) หลักการคำนวน Table'!$C$3:$K$3,,1),
  IF(AC139&lt;MIN('2) หลักการคำนวน Table'!$C$3:$K$3),
     MIN('2) หลักการคำนวน Table'!$C$3:$K$3),
     MAX('2) หลักการคำนวน Table'!$C$3:$K$3)
  )
)</f>
        <v>0.9</v>
      </c>
      <c r="AP139" s="298">
        <f>IFERROR(
  _xlfn.XLOOKUP(AD139,'2) หลักการคำนวน Table'!$C$3:$K$3,'2) หลักการคำนวน Table'!$C$3:$K$3,,1),
  IF(AD139&lt;MIN('2) หลักการคำนวน Table'!$C$3:$K$3),
     MIN('2) หลักการคำนวน Table'!$C$3:$K$3),
     MAX('2) หลักการคำนวน Table'!$C$3:$K$3)
  )
)</f>
        <v>0.9</v>
      </c>
      <c r="AQ139" s="298">
        <f>IFERROR(
  _xlfn.XLOOKUP(AE139,'2) หลักการคำนวน Table'!$C$3:$K$3,'2) หลักการคำนวน Table'!$C$3:$K$3,,1),
  IF(AE139&lt;MIN('2) หลักการคำนวน Table'!$C$3:$K$3),
     MIN('2) หลักการคำนวน Table'!$C$3:$K$3),
     MAX('2) หลักการคำนวน Table'!$C$3:$K$3)
  )
)</f>
        <v>0.9</v>
      </c>
      <c r="AR139" s="298">
        <f>IFERROR(
  _xlfn.XLOOKUP(AF139,'2) หลักการคำนวน Table'!$C$3:$K$3,'2) หลักการคำนวน Table'!$C$3:$K$3,,1),
  IF(AF139&lt;MIN('2) หลักการคำนวน Table'!$C$3:$K$3),
     MIN('2) หลักการคำนวน Table'!$C$3:$K$3),
     MAX('2) หลักการคำนวน Table'!$C$3:$K$3)
  )
)</f>
        <v>0.9</v>
      </c>
      <c r="AS139" s="298">
        <f>IFERROR(
  _xlfn.XLOOKUP(AG139,'2) หลักการคำนวน Table'!$C$3:$K$3,'2) หลักการคำนวน Table'!$C$3:$K$3,,1),
  IF(AG139&lt;MIN('2) หลักการคำนวน Table'!$C$3:$K$3),
     MIN('2) หลักการคำนวน Table'!$C$3:$K$3),
     MAX('2) หลักการคำนวน Table'!$C$3:$K$3)
  )
)</f>
        <v>0.9</v>
      </c>
      <c r="AT139" s="298">
        <f>IFERROR(
  _xlfn.XLOOKUP(AH139,'2) หลักการคำนวน Table'!$C$3:$K$3,'2) หลักการคำนวน Table'!$C$3:$K$3,,1),
  IF(AH139&lt;MIN('2) หลักการคำนวน Table'!$C$3:$K$3),
     MIN('2) หลักการคำนวน Table'!$C$3:$K$3),
     MAX('2) หลักการคำนวน Table'!$C$3:$K$3)
  )
)</f>
        <v>0.9</v>
      </c>
      <c r="AU139" s="298">
        <f>IFERROR(
  _xlfn.XLOOKUP(AI139,'2) หลักการคำนวน Table'!$C$3:$K$3,'2) หลักการคำนวน Table'!$C$3:$K$3,,1),
  IF(AI139&lt;MIN('2) หลักการคำนวน Table'!$C$3:$K$3),
     MIN('2) หลักการคำนวน Table'!$C$3:$K$3),
     MAX('2) หลักการคำนวน Table'!$C$3:$K$3)
  )
)</f>
        <v>0.9</v>
      </c>
      <c r="AV139" s="298">
        <f>IFERROR(
  _xlfn.XLOOKUP(AJ139,'2) หลักการคำนวน Table'!$C$3:$K$3,'2) หลักการคำนวน Table'!$C$3:$K$3,,1),
  IF(AJ139&lt;MIN('2) หลักการคำนวน Table'!$C$3:$K$3),
     MIN('2) หลักการคำนวน Table'!$C$3:$K$3),
     MAX('2) หลักการคำนวน Table'!$C$3:$K$3)
  )
)</f>
        <v>0.9</v>
      </c>
      <c r="AW139" s="298">
        <f>IFERROR(
  _xlfn.XLOOKUP(AK139,'2) หลักการคำนวน Table'!$C$3:$K$3,'2) หลักการคำนวน Table'!$C$3:$K$3,,1),
  IF(AK139&lt;MIN('2) หลักการคำนวน Table'!$C$3:$K$3),
     MIN('2) หลักการคำนวน Table'!$C$3:$K$3),
     MAX('2) หลักการคำนวน Table'!$C$3:$K$3)
  )
)</f>
        <v>0.9</v>
      </c>
      <c r="AX139" s="298">
        <f>IFERROR(
  _xlfn.XLOOKUP(AL139,'2) หลักการคำนวน Table'!$C$3:$K$3,'2) หลักการคำนวน Table'!$C$3:$K$3,,1),
  IF(AL139&lt;MIN('2) หลักการคำนวน Table'!$C$3:$K$3),
     MIN('2) หลักการคำนวน Table'!$C$3:$K$3),
     MAX('2) หลักการคำนวน Table'!$C$3:$K$3)
  )
)</f>
        <v>0.9</v>
      </c>
      <c r="AY139" s="298">
        <f>IFERROR(
  _xlfn.XLOOKUP(AM139,'2) หลักการคำนวน Table'!$C$3:$K$3,'2) หลักการคำนวน Table'!$C$3:$K$3,,1),
  IF(AM139&lt;MIN('2) หลักการคำนวน Table'!$C$3:$K$3),
     MIN('2) หลักการคำนวน Table'!$C$3:$K$3),
     MAX('2) หลักการคำนวน Table'!$C$3:$K$3)
  )
)</f>
        <v>0.9</v>
      </c>
      <c r="AZ139" s="299" cm="1">
        <f t="array" ref="AZ139">ROUND((_xlfn.XLOOKUP($C139,'2) หลักการคำนวน Table'!$A$4:$A$36,
_xlfn.XLOOKUP(AN139,'2)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4550</v>
      </c>
      <c r="BA139" s="299" cm="1">
        <f t="array" ref="BA139">ROUND((_xlfn.XLOOKUP($C139,'2) หลักการคำนวน Table'!$A$4:$A$36,
_xlfn.XLOOKUP(AO139,'2)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3150</v>
      </c>
      <c r="BB139" s="299" cm="1">
        <f t="array" ref="BB139">ROUND((_xlfn.XLOOKUP($C139,'2) หลักการคำนวน Table'!$A$4:$A$36,
_xlfn.XLOOKUP(AP139,'2)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3150</v>
      </c>
      <c r="BC139" s="299" cm="1">
        <f t="array" ref="BC139">ROUND((_xlfn.XLOOKUP($C139,'2) หลักการคำนวน Table'!$A$4:$A$36,
_xlfn.XLOOKUP(AQ139,'2)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3150</v>
      </c>
      <c r="BD139" s="299" cm="1">
        <f t="array" ref="BD139">ROUND((_xlfn.XLOOKUP($C139,'2) หลักการคำนวน Table'!$A$4:$A$36,
_xlfn.XLOOKUP(AR139,'2)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3150</v>
      </c>
      <c r="BE139" s="299" cm="1">
        <f t="array" ref="BE139">ROUND((_xlfn.XLOOKUP($C139,'2) หลักการคำนวน Table'!$A$4:$A$36,
_xlfn.XLOOKUP(AS139,'2)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3150</v>
      </c>
      <c r="BF139" s="299" cm="1">
        <f t="array" ref="BF139">ROUND((_xlfn.XLOOKUP($C139,'2) หลักการคำนวน Table'!$A$4:$A$36,
_xlfn.XLOOKUP(AT139,'2)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3150</v>
      </c>
      <c r="BG139" s="299" cm="1">
        <f t="array" ref="BG139">ROUND((_xlfn.XLOOKUP($C139,'2) หลักการคำนวน Table'!$A$4:$A$36,
_xlfn.XLOOKUP(AU139,'2)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3150</v>
      </c>
      <c r="BH139" s="299" cm="1">
        <f t="array" ref="BH139">ROUND((_xlfn.XLOOKUP($C139,'2) หลักการคำนวน Table'!$A$4:$A$36,
_xlfn.XLOOKUP(AV139,'2)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3150</v>
      </c>
      <c r="BI139" s="299" cm="1">
        <f t="array" ref="BI139">ROUND((_xlfn.XLOOKUP($C139,'2) หลักการคำนวน Table'!$A$4:$A$36,
_xlfn.XLOOKUP(AW139,'2)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3150</v>
      </c>
      <c r="BJ139" s="299" cm="1">
        <f t="array" ref="BJ139">ROUND((_xlfn.XLOOKUP($C139,'2) หลักการคำนวน Table'!$A$4:$A$36,
_xlfn.XLOOKUP(AX139,'2)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3150</v>
      </c>
      <c r="BK139" s="299" cm="1">
        <f t="array" ref="BK139">ROUND((_xlfn.XLOOKUP($C139,'2) หลักการคำนวน Table'!$A$4:$A$36,
_xlfn.XLOOKUP(AY139,'2) หลักการคำนวน Table'!$C$3:$K$3,'2) หลักการคำนวน Table'!$C$4:$K$36,,-1)))*(_xlfn.XLOOKUP($C139,'2) หลักการคำนวน Table'!$A$4:$A$36, _xlfn.XLOOKUP($B139,'2) หลักการคำนวน Table'!$L$3:$Z$3,'2) หลักการคำนวน Table'!$L$4:$Z$36))),0)</f>
        <v>3150</v>
      </c>
      <c r="BL139" s="295"/>
      <c r="BM139" s="295">
        <v>222214</v>
      </c>
      <c r="BN139" s="300">
        <v>4550</v>
      </c>
    </row>
    <row r="140" spans="1:66" ht="14.7" customHeight="1" x14ac:dyDescent="0.25">
      <c r="A140" s="126">
        <f>VLOOKUP(C140,ASTBase!E:S,13,FALSE)</f>
        <v>222236</v>
      </c>
      <c r="B140" s="126" t="s">
        <v>417</v>
      </c>
      <c r="C140" s="232" t="s">
        <v>400</v>
      </c>
      <c r="D140" s="296">
        <v>130</v>
      </c>
      <c r="E140" s="296">
        <v>30</v>
      </c>
      <c r="F140" s="296">
        <v>80</v>
      </c>
      <c r="G140" s="296">
        <v>80</v>
      </c>
      <c r="H140" s="296">
        <v>80</v>
      </c>
      <c r="I140" s="296">
        <v>80</v>
      </c>
      <c r="J140" s="296">
        <v>80</v>
      </c>
      <c r="K140" s="296">
        <v>80</v>
      </c>
      <c r="L140" s="296">
        <v>80</v>
      </c>
      <c r="M140" s="296">
        <v>80</v>
      </c>
      <c r="N140" s="296">
        <v>80</v>
      </c>
      <c r="O140" s="296">
        <v>80</v>
      </c>
      <c r="P140" s="295">
        <v>16.999999999271996</v>
      </c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7">
        <f>IFERROR(IF(VLOOKUP($B140,Shortage!$A:$M,AB$2,FALSE)="Shortage",1,IFERROR(ROUND(P140/D140,4),0)),IFERROR(ROUND(P140/D140,4),0))</f>
        <v>0.1308</v>
      </c>
      <c r="AC140" s="297">
        <f>IFERROR(IF(VLOOKUP($B140,Shortage!$A:$M,AC$2,FALSE)="Shortage",1,IFERROR(ROUND(Q140/E140,4),0)),IFERROR(ROUND(Q140/E140,4),0))</f>
        <v>0</v>
      </c>
      <c r="AD140" s="297">
        <f>IFERROR(IF(VLOOKUP($B140,Shortage!$A:$M,AD$2,FALSE)="Shortage",1,IFERROR(ROUND(R140/F140,4),0)),IFERROR(ROUND(R140/F140,4),0))</f>
        <v>0</v>
      </c>
      <c r="AE140" s="297">
        <f>IFERROR(IF(VLOOKUP($B140,Shortage!$A:$M,AE$2,FALSE)="Shortage",1,IFERROR(ROUND(S140/G140,4),0)),IFERROR(ROUND(S140/G140,4),0))</f>
        <v>0</v>
      </c>
      <c r="AF140" s="297">
        <f>IFERROR(IF(VLOOKUP($B140,Shortage!$A:$M,AF$2,FALSE)="Shortage",1,IFERROR(ROUND(T140/H140,4),0)),IFERROR(ROUND(T140/H140,4),0))</f>
        <v>0</v>
      </c>
      <c r="AG140" s="297">
        <f>IFERROR(IF(VLOOKUP($B140,Shortage!$A:$M,AG$2,FALSE)="Shortage",1,IFERROR(ROUND(U140/I140,4),0)),IFERROR(ROUND(U140/I140,4),0))</f>
        <v>0</v>
      </c>
      <c r="AH140" s="297">
        <f>IFERROR(IF(VLOOKUP($B140,Shortage!$A:$M,AH$2,FALSE)="Shortage",1,IFERROR(ROUND(V140/J140,4),0)),IFERROR(ROUND(V140/J140,4),0))</f>
        <v>0</v>
      </c>
      <c r="AI140" s="297">
        <f>IFERROR(IF(VLOOKUP($B140,Shortage!$A:$M,AI$2,FALSE)="Shortage",1,IFERROR(ROUND(W140/K140,4),0)),IFERROR(ROUND(W140/K140,4),0))</f>
        <v>0</v>
      </c>
      <c r="AJ140" s="297">
        <f>IFERROR(IF(VLOOKUP($B140,Shortage!$A:$M,AJ$2,FALSE)="Shortage",1,IFERROR(ROUND(X140/L140,4),0)),IFERROR(ROUND(X140/L140,4),0))</f>
        <v>0</v>
      </c>
      <c r="AK140" s="297">
        <f>IFERROR(IF(VLOOKUP($B140,Shortage!$A:$M,AK$2,FALSE)="Shortage",1,IFERROR(ROUND(Y140/M140,4),0)),IFERROR(ROUND(Y140/M140,4),0))</f>
        <v>0</v>
      </c>
      <c r="AL140" s="297">
        <f>IFERROR(IF(VLOOKUP($B140,Shortage!$A:$M,AL$2,FALSE)="Shortage",1,IFERROR(ROUND(Z140/N140,4),0)),IFERROR(ROUND(Z140/N140,4),0))</f>
        <v>0</v>
      </c>
      <c r="AM140" s="297">
        <f>IFERROR(IF(VLOOKUP($B140,Shortage!$A:$M,AM$2,FALSE)="Shortage",1,IFERROR(ROUND(AA140/O140,4),0)),IFERROR(ROUND(AA140/O140,4),0))</f>
        <v>0</v>
      </c>
      <c r="AN140" s="298">
        <f>IFERROR(_xlfn.XLOOKUP(AB140,'2) หลักการคำนวน Table'!$C$3:$K$3,'2) หลักการคำนวน Table'!$C$3:$K$3,,1),INDEX('2) หลักการคำนวน Table'!$C$3:$K$3,1))</f>
        <v>0.9</v>
      </c>
      <c r="AO140" s="298">
        <f>IFERROR(
  _xlfn.XLOOKUP(AC140,'2) หลักการคำนวน Table'!$C$3:$K$3,'2) หลักการคำนวน Table'!$C$3:$K$3,,1),
  IF(AC140&lt;MIN('2) หลักการคำนวน Table'!$C$3:$K$3),
     MIN('2) หลักการคำนวน Table'!$C$3:$K$3),
     MAX('2) หลักการคำนวน Table'!$C$3:$K$3)
  )
)</f>
        <v>0.9</v>
      </c>
      <c r="AP140" s="298">
        <f>IFERROR(
  _xlfn.XLOOKUP(AD140,'2) หลักการคำนวน Table'!$C$3:$K$3,'2) หลักการคำนวน Table'!$C$3:$K$3,,1),
  IF(AD140&lt;MIN('2) หลักการคำนวน Table'!$C$3:$K$3),
     MIN('2) หลักการคำนวน Table'!$C$3:$K$3),
     MAX('2) หลักการคำนวน Table'!$C$3:$K$3)
  )
)</f>
        <v>0.9</v>
      </c>
      <c r="AQ140" s="298">
        <f>IFERROR(
  _xlfn.XLOOKUP(AE140,'2) หลักการคำนวน Table'!$C$3:$K$3,'2) หลักการคำนวน Table'!$C$3:$K$3,,1),
  IF(AE140&lt;MIN('2) หลักการคำนวน Table'!$C$3:$K$3),
     MIN('2) หลักการคำนวน Table'!$C$3:$K$3),
     MAX('2) หลักการคำนวน Table'!$C$3:$K$3)
  )
)</f>
        <v>0.9</v>
      </c>
      <c r="AR140" s="298">
        <f>IFERROR(
  _xlfn.XLOOKUP(AF140,'2) หลักการคำนวน Table'!$C$3:$K$3,'2) หลักการคำนวน Table'!$C$3:$K$3,,1),
  IF(AF140&lt;MIN('2) หลักการคำนวน Table'!$C$3:$K$3),
     MIN('2) หลักการคำนวน Table'!$C$3:$K$3),
     MAX('2) หลักการคำนวน Table'!$C$3:$K$3)
  )
)</f>
        <v>0.9</v>
      </c>
      <c r="AS140" s="298">
        <f>IFERROR(
  _xlfn.XLOOKUP(AG140,'2) หลักการคำนวน Table'!$C$3:$K$3,'2) หลักการคำนวน Table'!$C$3:$K$3,,1),
  IF(AG140&lt;MIN('2) หลักการคำนวน Table'!$C$3:$K$3),
     MIN('2) หลักการคำนวน Table'!$C$3:$K$3),
     MAX('2) หลักการคำนวน Table'!$C$3:$K$3)
  )
)</f>
        <v>0.9</v>
      </c>
      <c r="AT140" s="298">
        <f>IFERROR(
  _xlfn.XLOOKUP(AH140,'2) หลักการคำนวน Table'!$C$3:$K$3,'2) หลักการคำนวน Table'!$C$3:$K$3,,1),
  IF(AH140&lt;MIN('2) หลักการคำนวน Table'!$C$3:$K$3),
     MIN('2) หลักการคำนวน Table'!$C$3:$K$3),
     MAX('2) หลักการคำนวน Table'!$C$3:$K$3)
  )
)</f>
        <v>0.9</v>
      </c>
      <c r="AU140" s="298">
        <f>IFERROR(
  _xlfn.XLOOKUP(AI140,'2) หลักการคำนวน Table'!$C$3:$K$3,'2) หลักการคำนวน Table'!$C$3:$K$3,,1),
  IF(AI140&lt;MIN('2) หลักการคำนวน Table'!$C$3:$K$3),
     MIN('2) หลักการคำนวน Table'!$C$3:$K$3),
     MAX('2) หลักการคำนวน Table'!$C$3:$K$3)
  )
)</f>
        <v>0.9</v>
      </c>
      <c r="AV140" s="298">
        <f>IFERROR(
  _xlfn.XLOOKUP(AJ140,'2) หลักการคำนวน Table'!$C$3:$K$3,'2) หลักการคำนวน Table'!$C$3:$K$3,,1),
  IF(AJ140&lt;MIN('2) หลักการคำนวน Table'!$C$3:$K$3),
     MIN('2) หลักการคำนวน Table'!$C$3:$K$3),
     MAX('2) หลักการคำนวน Table'!$C$3:$K$3)
  )
)</f>
        <v>0.9</v>
      </c>
      <c r="AW140" s="298">
        <f>IFERROR(
  _xlfn.XLOOKUP(AK140,'2) หลักการคำนวน Table'!$C$3:$K$3,'2) หลักการคำนวน Table'!$C$3:$K$3,,1),
  IF(AK140&lt;MIN('2) หลักการคำนวน Table'!$C$3:$K$3),
     MIN('2) หลักการคำนวน Table'!$C$3:$K$3),
     MAX('2) หลักการคำนวน Table'!$C$3:$K$3)
  )
)</f>
        <v>0.9</v>
      </c>
      <c r="AX140" s="298">
        <f>IFERROR(
  _xlfn.XLOOKUP(AL140,'2) หลักการคำนวน Table'!$C$3:$K$3,'2) หลักการคำนวน Table'!$C$3:$K$3,,1),
  IF(AL140&lt;MIN('2) หลักการคำนวน Table'!$C$3:$K$3),
     MIN('2) หลักการคำนวน Table'!$C$3:$K$3),
     MAX('2) หลักการคำนวน Table'!$C$3:$K$3)
  )
)</f>
        <v>0.9</v>
      </c>
      <c r="AY140" s="298">
        <f>IFERROR(
  _xlfn.XLOOKUP(AM140,'2) หลักการคำนวน Table'!$C$3:$K$3,'2) หลักการคำนวน Table'!$C$3:$K$3,,1),
  IF(AM140&lt;MIN('2) หลักการคำนวน Table'!$C$3:$K$3),
     MIN('2) หลักการคำนวน Table'!$C$3:$K$3),
     MAX('2) หลักการคำนวน Table'!$C$3:$K$3)
  )
)</f>
        <v>0.9</v>
      </c>
      <c r="AZ140" s="299" cm="1">
        <f t="array" ref="AZ140">ROUND((_xlfn.XLOOKUP($C140,'2) หลักการคำนวน Table'!$A$4:$A$36,
_xlfn.XLOOKUP(AN140,'2)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A140" s="299" cm="1">
        <f t="array" ref="BA140">ROUND((_xlfn.XLOOKUP($C140,'2) หลักการคำนวน Table'!$A$4:$A$36,
_xlfn.XLOOKUP(AO140,'2)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B140" s="299" cm="1">
        <f t="array" ref="BB140">ROUND((_xlfn.XLOOKUP($C140,'2) หลักการคำนวน Table'!$A$4:$A$36,
_xlfn.XLOOKUP(AP140,'2)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C140" s="299" cm="1">
        <f t="array" ref="BC140">ROUND((_xlfn.XLOOKUP($C140,'2) หลักการคำนวน Table'!$A$4:$A$36,
_xlfn.XLOOKUP(AQ140,'2)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D140" s="299" cm="1">
        <f t="array" ref="BD140">ROUND((_xlfn.XLOOKUP($C140,'2) หลักการคำนวน Table'!$A$4:$A$36,
_xlfn.XLOOKUP(AR140,'2)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E140" s="299" cm="1">
        <f t="array" ref="BE140">ROUND((_xlfn.XLOOKUP($C140,'2) หลักการคำนวน Table'!$A$4:$A$36,
_xlfn.XLOOKUP(AS140,'2)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F140" s="299" cm="1">
        <f t="array" ref="BF140">ROUND((_xlfn.XLOOKUP($C140,'2) หลักการคำนวน Table'!$A$4:$A$36,
_xlfn.XLOOKUP(AT140,'2)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G140" s="299" cm="1">
        <f t="array" ref="BG140">ROUND((_xlfn.XLOOKUP($C140,'2) หลักการคำนวน Table'!$A$4:$A$36,
_xlfn.XLOOKUP(AU140,'2)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H140" s="299" cm="1">
        <f t="array" ref="BH140">ROUND((_xlfn.XLOOKUP($C140,'2) หลักการคำนวน Table'!$A$4:$A$36,
_xlfn.XLOOKUP(AV140,'2)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I140" s="299" cm="1">
        <f t="array" ref="BI140">ROUND((_xlfn.XLOOKUP($C140,'2) หลักการคำนวน Table'!$A$4:$A$36,
_xlfn.XLOOKUP(AW140,'2)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J140" s="299" cm="1">
        <f t="array" ref="BJ140">ROUND((_xlfn.XLOOKUP($C140,'2) หลักการคำนวน Table'!$A$4:$A$36,
_xlfn.XLOOKUP(AX140,'2)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K140" s="299" cm="1">
        <f t="array" ref="BK140">ROUND((_xlfn.XLOOKUP($C140,'2) หลักการคำนวน Table'!$A$4:$A$36,
_xlfn.XLOOKUP(AY140,'2) หลักการคำนวน Table'!$C$3:$K$3,'2) หลักการคำนวน Table'!$C$4:$K$36,,-1)))*(_xlfn.XLOOKUP($C140,'2) หลักการคำนวน Table'!$A$4:$A$36, _xlfn.XLOOKUP($B140,'2) หลักการคำนวน Table'!$L$3:$Z$3,'2) หลักการคำนวน Table'!$L$4:$Z$36))),0)</f>
        <v>1350</v>
      </c>
      <c r="BL140" s="295"/>
      <c r="BM140" s="295">
        <v>222214</v>
      </c>
      <c r="BN140" s="300">
        <v>1350</v>
      </c>
    </row>
    <row r="141" spans="1:66" ht="14.7" customHeight="1" x14ac:dyDescent="0.25">
      <c r="A141" s="126">
        <f>VLOOKUP(C141,ASTBase!E:S,13,FALSE)</f>
        <v>222235</v>
      </c>
      <c r="B141" s="126" t="s">
        <v>405</v>
      </c>
      <c r="C141" s="232" t="s">
        <v>401</v>
      </c>
      <c r="D141" s="127">
        <v>22000</v>
      </c>
      <c r="E141" s="127">
        <v>22000</v>
      </c>
      <c r="F141" s="127">
        <v>32000</v>
      </c>
      <c r="G141" s="127">
        <v>15000</v>
      </c>
      <c r="H141" s="127">
        <v>26000</v>
      </c>
      <c r="I141" s="127">
        <v>21000</v>
      </c>
      <c r="J141" s="127">
        <v>39000</v>
      </c>
      <c r="K141" s="127">
        <v>45000</v>
      </c>
      <c r="L141" s="127">
        <v>35000</v>
      </c>
      <c r="M141" s="127">
        <v>28000</v>
      </c>
      <c r="N141" s="127">
        <v>45000</v>
      </c>
      <c r="O141" s="127">
        <v>30000</v>
      </c>
      <c r="P141" s="126">
        <v>24540.9</v>
      </c>
      <c r="AB141" s="317">
        <f>IFERROR(IF(VLOOKUP($B141,Shortage!$A:$M,AB$2,FALSE)="Shortage",1,IFERROR(ROUND(P141/D141,4),0)),IFERROR(ROUND(P141/D141,4),0))</f>
        <v>1</v>
      </c>
      <c r="AC141" s="317">
        <f>IFERROR(IF(VLOOKUP($B141,Shortage!$A:$M,AC$2,FALSE)="Shortage",1,IFERROR(ROUND(Q141/E141,4),0)),IFERROR(ROUND(Q141/E141,4),0))</f>
        <v>0</v>
      </c>
      <c r="AD141" s="317">
        <f>IFERROR(IF(VLOOKUP($B141,Shortage!$A:$M,AD$2,FALSE)="Shortage",1,IFERROR(ROUND(R141/F141,4),0)),IFERROR(ROUND(R141/F141,4),0))</f>
        <v>0</v>
      </c>
      <c r="AE141" s="317">
        <f>IFERROR(IF(VLOOKUP($B141,Shortage!$A:$M,AE$2,FALSE)="Shortage",1,IFERROR(ROUND(S141/G141,4),0)),IFERROR(ROUND(S141/G141,4),0))</f>
        <v>0</v>
      </c>
      <c r="AF141" s="317">
        <f>IFERROR(IF(VLOOKUP($B141,Shortage!$A:$M,AF$2,FALSE)="Shortage",1,IFERROR(ROUND(T141/H141,4),0)),IFERROR(ROUND(T141/H141,4),0))</f>
        <v>0</v>
      </c>
      <c r="AG141" s="317">
        <f>IFERROR(IF(VLOOKUP($B141,Shortage!$A:$M,AG$2,FALSE)="Shortage",1,IFERROR(ROUND(U141/I141,4),0)),IFERROR(ROUND(U141/I141,4),0))</f>
        <v>0</v>
      </c>
      <c r="AH141" s="317">
        <f>IFERROR(IF(VLOOKUP($B141,Shortage!$A:$M,AH$2,FALSE)="Shortage",1,IFERROR(ROUND(V141/J141,4),0)),IFERROR(ROUND(V141/J141,4),0))</f>
        <v>0</v>
      </c>
      <c r="AI141" s="317">
        <f>IFERROR(IF(VLOOKUP($B141,Shortage!$A:$M,AI$2,FALSE)="Shortage",1,IFERROR(ROUND(W141/K141,4),0)),IFERROR(ROUND(W141/K141,4),0))</f>
        <v>0</v>
      </c>
      <c r="AJ141" s="317">
        <f>IFERROR(IF(VLOOKUP($B141,Shortage!$A:$M,AJ$2,FALSE)="Shortage",1,IFERROR(ROUND(X141/L141,4),0)),IFERROR(ROUND(X141/L141,4),0))</f>
        <v>0</v>
      </c>
      <c r="AK141" s="317">
        <f>IFERROR(IF(VLOOKUP($B141,Shortage!$A:$M,AK$2,FALSE)="Shortage",1,IFERROR(ROUND(Y141/M141,4),0)),IFERROR(ROUND(Y141/M141,4),0))</f>
        <v>0</v>
      </c>
      <c r="AL141" s="317">
        <f>IFERROR(IF(VLOOKUP($B141,Shortage!$A:$M,AL$2,FALSE)="Shortage",1,IFERROR(ROUND(Z141/N141,4),0)),IFERROR(ROUND(Z141/N141,4),0))</f>
        <v>0</v>
      </c>
      <c r="AM141" s="317">
        <f>IFERROR(IF(VLOOKUP($B141,Shortage!$A:$M,AM$2,FALSE)="Shortage",1,IFERROR(ROUND(AA141/O141,4),0)),IFERROR(ROUND(AA141/O141,4),0))</f>
        <v>0</v>
      </c>
      <c r="AN141" s="318">
        <f>IFERROR(_xlfn.XLOOKUP(AB141,'2) หลักการคำนวน Table'!$C$3:$K$3,'2) หลักการคำนวน Table'!$C$3:$K$3,,1),INDEX('2) หลักการคำนวน Table'!$C$3:$K$3,1))</f>
        <v>1</v>
      </c>
      <c r="AO141" s="318">
        <f>IFERROR(
  _xlfn.XLOOKUP(AC141,'2) หลักการคำนวน Table'!$C$3:$K$3,'2) หลักการคำนวน Table'!$C$3:$K$3,,1),
  IF(AC141&lt;MIN('2) หลักการคำนวน Table'!$C$3:$K$3),
     MIN('2) หลักการคำนวน Table'!$C$3:$K$3),
     MAX('2) หลักการคำนวน Table'!$C$3:$K$3)
  )
)</f>
        <v>0.9</v>
      </c>
      <c r="AP141" s="318">
        <f>IFERROR(
  _xlfn.XLOOKUP(AD141,'2) หลักการคำนวน Table'!$C$3:$K$3,'2) หลักการคำนวน Table'!$C$3:$K$3,,1),
  IF(AD141&lt;MIN('2) หลักการคำนวน Table'!$C$3:$K$3),
     MIN('2) หลักการคำนวน Table'!$C$3:$K$3),
     MAX('2) หลักการคำนวน Table'!$C$3:$K$3)
  )
)</f>
        <v>0.9</v>
      </c>
      <c r="AQ141" s="318">
        <f>IFERROR(
  _xlfn.XLOOKUP(AE141,'2) หลักการคำนวน Table'!$C$3:$K$3,'2) หลักการคำนวน Table'!$C$3:$K$3,,1),
  IF(AE141&lt;MIN('2) หลักการคำนวน Table'!$C$3:$K$3),
     MIN('2) หลักการคำนวน Table'!$C$3:$K$3),
     MAX('2) หลักการคำนวน Table'!$C$3:$K$3)
  )
)</f>
        <v>0.9</v>
      </c>
      <c r="AR141" s="318">
        <f>IFERROR(
  _xlfn.XLOOKUP(AF141,'2) หลักการคำนวน Table'!$C$3:$K$3,'2) หลักการคำนวน Table'!$C$3:$K$3,,1),
  IF(AF141&lt;MIN('2) หลักการคำนวน Table'!$C$3:$K$3),
     MIN('2) หลักการคำนวน Table'!$C$3:$K$3),
     MAX('2) หลักการคำนวน Table'!$C$3:$K$3)
  )
)</f>
        <v>0.9</v>
      </c>
      <c r="AS141" s="318">
        <f>IFERROR(
  _xlfn.XLOOKUP(AG141,'2) หลักการคำนวน Table'!$C$3:$K$3,'2) หลักการคำนวน Table'!$C$3:$K$3,,1),
  IF(AG141&lt;MIN('2) หลักการคำนวน Table'!$C$3:$K$3),
     MIN('2) หลักการคำนวน Table'!$C$3:$K$3),
     MAX('2) หลักการคำนวน Table'!$C$3:$K$3)
  )
)</f>
        <v>0.9</v>
      </c>
      <c r="AT141" s="318">
        <f>IFERROR(
  _xlfn.XLOOKUP(AH141,'2) หลักการคำนวน Table'!$C$3:$K$3,'2) หลักการคำนวน Table'!$C$3:$K$3,,1),
  IF(AH141&lt;MIN('2) หลักการคำนวน Table'!$C$3:$K$3),
     MIN('2) หลักการคำนวน Table'!$C$3:$K$3),
     MAX('2) หลักการคำนวน Table'!$C$3:$K$3)
  )
)</f>
        <v>0.9</v>
      </c>
      <c r="AU141" s="318">
        <f>IFERROR(
  _xlfn.XLOOKUP(AI141,'2) หลักการคำนวน Table'!$C$3:$K$3,'2) หลักการคำนวน Table'!$C$3:$K$3,,1),
  IF(AI141&lt;MIN('2) หลักการคำนวน Table'!$C$3:$K$3),
     MIN('2) หลักการคำนวน Table'!$C$3:$K$3),
     MAX('2) หลักการคำนวน Table'!$C$3:$K$3)
  )
)</f>
        <v>0.9</v>
      </c>
      <c r="AV141" s="318">
        <f>IFERROR(
  _xlfn.XLOOKUP(AJ141,'2) หลักการคำนวน Table'!$C$3:$K$3,'2) หลักการคำนวน Table'!$C$3:$K$3,,1),
  IF(AJ141&lt;MIN('2) หลักการคำนวน Table'!$C$3:$K$3),
     MIN('2) หลักการคำนวน Table'!$C$3:$K$3),
     MAX('2) หลักการคำนวน Table'!$C$3:$K$3)
  )
)</f>
        <v>0.9</v>
      </c>
      <c r="AW141" s="318">
        <f>IFERROR(
  _xlfn.XLOOKUP(AK141,'2) หลักการคำนวน Table'!$C$3:$K$3,'2) หลักการคำนวน Table'!$C$3:$K$3,,1),
  IF(AK141&lt;MIN('2) หลักการคำนวน Table'!$C$3:$K$3),
     MIN('2) หลักการคำนวน Table'!$C$3:$K$3),
     MAX('2) หลักการคำนวน Table'!$C$3:$K$3)
  )
)</f>
        <v>0.9</v>
      </c>
      <c r="AX141" s="318">
        <f>IFERROR(
  _xlfn.XLOOKUP(AL141,'2) หลักการคำนวน Table'!$C$3:$K$3,'2) หลักการคำนวน Table'!$C$3:$K$3,,1),
  IF(AL141&lt;MIN('2) หลักการคำนวน Table'!$C$3:$K$3),
     MIN('2) หลักการคำนวน Table'!$C$3:$K$3),
     MAX('2) หลักการคำนวน Table'!$C$3:$K$3)
  )
)</f>
        <v>0.9</v>
      </c>
      <c r="AY141" s="318">
        <f>IFERROR(
  _xlfn.XLOOKUP(AM141,'2) หลักการคำนวน Table'!$C$3:$K$3,'2) หลักการคำนวน Table'!$C$3:$K$3,,1),
  IF(AM141&lt;MIN('2) หลักการคำนวน Table'!$C$3:$K$3),
     MIN('2) หลักการคำนวน Table'!$C$3:$K$3),
     MAX('2) หลักการคำนวน Table'!$C$3:$K$3)
  )
)</f>
        <v>0.9</v>
      </c>
      <c r="AZ141" s="319" cm="1">
        <f t="array" ref="AZ141">ROUND((_xlfn.XLOOKUP($C141,'2) หลักการคำนวน Table'!$A$4:$A$36,
_xlfn.XLOOKUP(AN141,'2)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174</v>
      </c>
      <c r="BA141" s="319" cm="1">
        <f t="array" ref="BA141">ROUND((_xlfn.XLOOKUP($C141,'2) หลักการคำนวน Table'!$A$4:$A$36,
_xlfn.XLOOKUP(AO141,'2)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156</v>
      </c>
      <c r="BB141" s="319" cm="1">
        <f t="array" ref="BB141">ROUND((_xlfn.XLOOKUP($C141,'2) หลักการคำนวน Table'!$A$4:$A$36,
_xlfn.XLOOKUP(AP141,'2)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156</v>
      </c>
      <c r="BC141" s="319" cm="1">
        <f t="array" ref="BC141">ROUND((_xlfn.XLOOKUP($C141,'2) หลักการคำนวน Table'!$A$4:$A$36,
_xlfn.XLOOKUP(AQ141,'2)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156</v>
      </c>
      <c r="BD141" s="319" cm="1">
        <f t="array" ref="BD141">ROUND((_xlfn.XLOOKUP($C141,'2) หลักการคำนวน Table'!$A$4:$A$36,
_xlfn.XLOOKUP(AR141,'2)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156</v>
      </c>
      <c r="BE141" s="319" cm="1">
        <f t="array" ref="BE141">ROUND((_xlfn.XLOOKUP($C141,'2) หลักการคำนวน Table'!$A$4:$A$36,
_xlfn.XLOOKUP(AS141,'2)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156</v>
      </c>
      <c r="BF141" s="319" cm="1">
        <f t="array" ref="BF141">ROUND((_xlfn.XLOOKUP($C141,'2) หลักการคำนวน Table'!$A$4:$A$36,
_xlfn.XLOOKUP(AT141,'2)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156</v>
      </c>
      <c r="BG141" s="319" cm="1">
        <f t="array" ref="BG141">ROUND((_xlfn.XLOOKUP($C141,'2) หลักการคำนวน Table'!$A$4:$A$36,
_xlfn.XLOOKUP(AU141,'2)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156</v>
      </c>
      <c r="BH141" s="319" cm="1">
        <f t="array" ref="BH141">ROUND((_xlfn.XLOOKUP($C141,'2) หลักการคำนวน Table'!$A$4:$A$36,
_xlfn.XLOOKUP(AV141,'2)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156</v>
      </c>
      <c r="BI141" s="319" cm="1">
        <f t="array" ref="BI141">ROUND((_xlfn.XLOOKUP($C141,'2) หลักการคำนวน Table'!$A$4:$A$36,
_xlfn.XLOOKUP(AW141,'2)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156</v>
      </c>
      <c r="BJ141" s="319" cm="1">
        <f t="array" ref="BJ141">ROUND((_xlfn.XLOOKUP($C141,'2) หลักการคำนวน Table'!$A$4:$A$36,
_xlfn.XLOOKUP(AX141,'2)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156</v>
      </c>
      <c r="BK141" s="319" cm="1">
        <f t="array" ref="BK141">ROUND((_xlfn.XLOOKUP($C141,'2) หลักการคำนวน Table'!$A$4:$A$36,
_xlfn.XLOOKUP(AY141,'2) หลักการคำนวน Table'!$C$3:$K$3,'2) หลักการคำนวน Table'!$C$4:$K$36,,-1)))*(_xlfn.XLOOKUP($C141,'2) หลักการคำนวน Table'!$A$4:$A$36, _xlfn.XLOOKUP($B141,'2) หลักการคำนวน Table'!$L$3:$Z$3,'2) หลักการคำนวน Table'!$L$4:$Z$36))),0)</f>
        <v>156</v>
      </c>
      <c r="BL141" s="320"/>
      <c r="BM141" s="320">
        <v>222215</v>
      </c>
      <c r="BN141" s="321">
        <v>174</v>
      </c>
    </row>
    <row r="142" spans="1:66" ht="14.7" customHeight="1" x14ac:dyDescent="0.25">
      <c r="A142" s="126">
        <f>VLOOKUP(C142,ASTBase!E:S,13,FALSE)</f>
        <v>222235</v>
      </c>
      <c r="B142" s="126" t="s">
        <v>408</v>
      </c>
      <c r="C142" s="232" t="s">
        <v>401</v>
      </c>
      <c r="D142" s="127">
        <v>2500</v>
      </c>
      <c r="E142" s="127">
        <v>3100</v>
      </c>
      <c r="F142" s="127">
        <v>3900</v>
      </c>
      <c r="G142" s="127">
        <v>3700</v>
      </c>
      <c r="H142" s="127">
        <v>2800</v>
      </c>
      <c r="I142" s="127">
        <v>2400</v>
      </c>
      <c r="J142" s="127">
        <v>4300</v>
      </c>
      <c r="K142" s="127">
        <v>4300</v>
      </c>
      <c r="L142" s="127">
        <v>5000</v>
      </c>
      <c r="M142" s="127">
        <v>2500</v>
      </c>
      <c r="N142" s="127">
        <v>4000</v>
      </c>
      <c r="O142" s="127">
        <v>3500</v>
      </c>
      <c r="P142" s="126">
        <v>4404.9600000000046</v>
      </c>
      <c r="AB142" s="317">
        <f>IFERROR(IF(VLOOKUP($B142,Shortage!$A:$M,AB$2,FALSE)="Shortage",1,IFERROR(ROUND(P142/D142,4),0)),IFERROR(ROUND(P142/D142,4),0))</f>
        <v>1.762</v>
      </c>
      <c r="AC142" s="317">
        <f>IFERROR(IF(VLOOKUP($B142,Shortage!$A:$M,AC$2,FALSE)="Shortage",1,IFERROR(ROUND(Q142/E142,4),0)),IFERROR(ROUND(Q142/E142,4),0))</f>
        <v>0</v>
      </c>
      <c r="AD142" s="317">
        <f>IFERROR(IF(VLOOKUP($B142,Shortage!$A:$M,AD$2,FALSE)="Shortage",1,IFERROR(ROUND(R142/F142,4),0)),IFERROR(ROUND(R142/F142,4),0))</f>
        <v>0</v>
      </c>
      <c r="AE142" s="317">
        <f>IFERROR(IF(VLOOKUP($B142,Shortage!$A:$M,AE$2,FALSE)="Shortage",1,IFERROR(ROUND(S142/G142,4),0)),IFERROR(ROUND(S142/G142,4),0))</f>
        <v>0</v>
      </c>
      <c r="AF142" s="317">
        <f>IFERROR(IF(VLOOKUP($B142,Shortage!$A:$M,AF$2,FALSE)="Shortage",1,IFERROR(ROUND(T142/H142,4),0)),IFERROR(ROUND(T142/H142,4),0))</f>
        <v>0</v>
      </c>
      <c r="AG142" s="317">
        <f>IFERROR(IF(VLOOKUP($B142,Shortage!$A:$M,AG$2,FALSE)="Shortage",1,IFERROR(ROUND(U142/I142,4),0)),IFERROR(ROUND(U142/I142,4),0))</f>
        <v>0</v>
      </c>
      <c r="AH142" s="317">
        <f>IFERROR(IF(VLOOKUP($B142,Shortage!$A:$M,AH$2,FALSE)="Shortage",1,IFERROR(ROUND(V142/J142,4),0)),IFERROR(ROUND(V142/J142,4),0))</f>
        <v>0</v>
      </c>
      <c r="AI142" s="317">
        <f>IFERROR(IF(VLOOKUP($B142,Shortage!$A:$M,AI$2,FALSE)="Shortage",1,IFERROR(ROUND(W142/K142,4),0)),IFERROR(ROUND(W142/K142,4),0))</f>
        <v>0</v>
      </c>
      <c r="AJ142" s="317">
        <f>IFERROR(IF(VLOOKUP($B142,Shortage!$A:$M,AJ$2,FALSE)="Shortage",1,IFERROR(ROUND(X142/L142,4),0)),IFERROR(ROUND(X142/L142,4),0))</f>
        <v>0</v>
      </c>
      <c r="AK142" s="317">
        <f>IFERROR(IF(VLOOKUP($B142,Shortage!$A:$M,AK$2,FALSE)="Shortage",1,IFERROR(ROUND(Y142/M142,4),0)),IFERROR(ROUND(Y142/M142,4),0))</f>
        <v>0</v>
      </c>
      <c r="AL142" s="317">
        <f>IFERROR(IF(VLOOKUP($B142,Shortage!$A:$M,AL$2,FALSE)="Shortage",1,IFERROR(ROUND(Z142/N142,4),0)),IFERROR(ROUND(Z142/N142,4),0))</f>
        <v>0</v>
      </c>
      <c r="AM142" s="317">
        <f>IFERROR(IF(VLOOKUP($B142,Shortage!$A:$M,AM$2,FALSE)="Shortage",1,IFERROR(ROUND(AA142/O142,4),0)),IFERROR(ROUND(AA142/O142,4),0))</f>
        <v>0</v>
      </c>
      <c r="AN142" s="318">
        <f>IFERROR(_xlfn.XLOOKUP(AB142,'2) หลักการคำนวน Table'!$C$3:$K$3,'2) หลักการคำนวน Table'!$C$3:$K$3,,1),INDEX('2) หลักการคำนวน Table'!$C$3:$K$3,1))</f>
        <v>20</v>
      </c>
      <c r="AO142" s="318">
        <f>IFERROR(
  _xlfn.XLOOKUP(AC142,'2) หลักการคำนวน Table'!$C$3:$K$3,'2) หลักการคำนวน Table'!$C$3:$K$3,,1),
  IF(AC142&lt;MIN('2) หลักการคำนวน Table'!$C$3:$K$3),
     MIN('2) หลักการคำนวน Table'!$C$3:$K$3),
     MAX('2) หลักการคำนวน Table'!$C$3:$K$3)
  )
)</f>
        <v>0.9</v>
      </c>
      <c r="AP142" s="318">
        <f>IFERROR(
  _xlfn.XLOOKUP(AD142,'2) หลักการคำนวน Table'!$C$3:$K$3,'2) หลักการคำนวน Table'!$C$3:$K$3,,1),
  IF(AD142&lt;MIN('2) หลักการคำนวน Table'!$C$3:$K$3),
     MIN('2) หลักการคำนวน Table'!$C$3:$K$3),
     MAX('2) หลักการคำนวน Table'!$C$3:$K$3)
  )
)</f>
        <v>0.9</v>
      </c>
      <c r="AQ142" s="318">
        <f>IFERROR(
  _xlfn.XLOOKUP(AE142,'2) หลักการคำนวน Table'!$C$3:$K$3,'2) หลักการคำนวน Table'!$C$3:$K$3,,1),
  IF(AE142&lt;MIN('2) หลักการคำนวน Table'!$C$3:$K$3),
     MIN('2) หลักการคำนวน Table'!$C$3:$K$3),
     MAX('2) หลักการคำนวน Table'!$C$3:$K$3)
  )
)</f>
        <v>0.9</v>
      </c>
      <c r="AR142" s="318">
        <f>IFERROR(
  _xlfn.XLOOKUP(AF142,'2) หลักการคำนวน Table'!$C$3:$K$3,'2) หลักการคำนวน Table'!$C$3:$K$3,,1),
  IF(AF142&lt;MIN('2) หลักการคำนวน Table'!$C$3:$K$3),
     MIN('2) หลักการคำนวน Table'!$C$3:$K$3),
     MAX('2) หลักการคำนวน Table'!$C$3:$K$3)
  )
)</f>
        <v>0.9</v>
      </c>
      <c r="AS142" s="318">
        <f>IFERROR(
  _xlfn.XLOOKUP(AG142,'2) หลักการคำนวน Table'!$C$3:$K$3,'2) หลักการคำนวน Table'!$C$3:$K$3,,1),
  IF(AG142&lt;MIN('2) หลักการคำนวน Table'!$C$3:$K$3),
     MIN('2) หลักการคำนวน Table'!$C$3:$K$3),
     MAX('2) หลักการคำนวน Table'!$C$3:$K$3)
  )
)</f>
        <v>0.9</v>
      </c>
      <c r="AT142" s="318">
        <f>IFERROR(
  _xlfn.XLOOKUP(AH142,'2) หลักการคำนวน Table'!$C$3:$K$3,'2) หลักการคำนวน Table'!$C$3:$K$3,,1),
  IF(AH142&lt;MIN('2) หลักการคำนวน Table'!$C$3:$K$3),
     MIN('2) หลักการคำนวน Table'!$C$3:$K$3),
     MAX('2) หลักการคำนวน Table'!$C$3:$K$3)
  )
)</f>
        <v>0.9</v>
      </c>
      <c r="AU142" s="318">
        <f>IFERROR(
  _xlfn.XLOOKUP(AI142,'2) หลักการคำนวน Table'!$C$3:$K$3,'2) หลักการคำนวน Table'!$C$3:$K$3,,1),
  IF(AI142&lt;MIN('2) หลักการคำนวน Table'!$C$3:$K$3),
     MIN('2) หลักการคำนวน Table'!$C$3:$K$3),
     MAX('2) หลักการคำนวน Table'!$C$3:$K$3)
  )
)</f>
        <v>0.9</v>
      </c>
      <c r="AV142" s="318">
        <f>IFERROR(
  _xlfn.XLOOKUP(AJ142,'2) หลักการคำนวน Table'!$C$3:$K$3,'2) หลักการคำนวน Table'!$C$3:$K$3,,1),
  IF(AJ142&lt;MIN('2) หลักการคำนวน Table'!$C$3:$K$3),
     MIN('2) หลักการคำนวน Table'!$C$3:$K$3),
     MAX('2) หลักการคำนวน Table'!$C$3:$K$3)
  )
)</f>
        <v>0.9</v>
      </c>
      <c r="AW142" s="318">
        <f>IFERROR(
  _xlfn.XLOOKUP(AK142,'2) หลักการคำนวน Table'!$C$3:$K$3,'2) หลักการคำนวน Table'!$C$3:$K$3,,1),
  IF(AK142&lt;MIN('2) หลักการคำนวน Table'!$C$3:$K$3),
     MIN('2) หลักการคำนวน Table'!$C$3:$K$3),
     MAX('2) หลักการคำนวน Table'!$C$3:$K$3)
  )
)</f>
        <v>0.9</v>
      </c>
      <c r="AX142" s="318">
        <f>IFERROR(
  _xlfn.XLOOKUP(AL142,'2) หลักการคำนวน Table'!$C$3:$K$3,'2) หลักการคำนวน Table'!$C$3:$K$3,,1),
  IF(AL142&lt;MIN('2) หลักการคำนวน Table'!$C$3:$K$3),
     MIN('2) หลักการคำนวน Table'!$C$3:$K$3),
     MAX('2) หลักการคำนวน Table'!$C$3:$K$3)
  )
)</f>
        <v>0.9</v>
      </c>
      <c r="AY142" s="318">
        <f>IFERROR(
  _xlfn.XLOOKUP(AM142,'2) หลักการคำนวน Table'!$C$3:$K$3,'2) หลักการคำนวน Table'!$C$3:$K$3,,1),
  IF(AM142&lt;MIN('2) หลักการคำนวน Table'!$C$3:$K$3),
     MIN('2) หลักการคำนวน Table'!$C$3:$K$3),
     MAX('2) หลักการคำนวน Table'!$C$3:$K$3)
  )
)</f>
        <v>0.9</v>
      </c>
      <c r="AZ142" s="319" cm="1">
        <f t="array" ref="AZ142">ROUND((_xlfn.XLOOKUP($C142,'2) หลักการคำนวน Table'!$A$4:$A$36,
_xlfn.XLOOKUP(AN142,'2)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376</v>
      </c>
      <c r="BA142" s="319" cm="1">
        <f t="array" ref="BA142">ROUND((_xlfn.XLOOKUP($C142,'2) หลักการคำนวน Table'!$A$4:$A$36,
_xlfn.XLOOKUP(AO142,'2)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261</v>
      </c>
      <c r="BB142" s="319" cm="1">
        <f t="array" ref="BB142">ROUND((_xlfn.XLOOKUP($C142,'2) หลักการคำนวน Table'!$A$4:$A$36,
_xlfn.XLOOKUP(AP142,'2)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261</v>
      </c>
      <c r="BC142" s="319" cm="1">
        <f t="array" ref="BC142">ROUND((_xlfn.XLOOKUP($C142,'2) หลักการคำนวน Table'!$A$4:$A$36,
_xlfn.XLOOKUP(AQ142,'2)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261</v>
      </c>
      <c r="BD142" s="319" cm="1">
        <f t="array" ref="BD142">ROUND((_xlfn.XLOOKUP($C142,'2) หลักการคำนวน Table'!$A$4:$A$36,
_xlfn.XLOOKUP(AR142,'2)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261</v>
      </c>
      <c r="BE142" s="319" cm="1">
        <f t="array" ref="BE142">ROUND((_xlfn.XLOOKUP($C142,'2) หลักการคำนวน Table'!$A$4:$A$36,
_xlfn.XLOOKUP(AS142,'2)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261</v>
      </c>
      <c r="BF142" s="319" cm="1">
        <f t="array" ref="BF142">ROUND((_xlfn.XLOOKUP($C142,'2) หลักการคำนวน Table'!$A$4:$A$36,
_xlfn.XLOOKUP(AT142,'2)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261</v>
      </c>
      <c r="BG142" s="319" cm="1">
        <f t="array" ref="BG142">ROUND((_xlfn.XLOOKUP($C142,'2) หลักการคำนวน Table'!$A$4:$A$36,
_xlfn.XLOOKUP(AU142,'2)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261</v>
      </c>
      <c r="BH142" s="319" cm="1">
        <f t="array" ref="BH142">ROUND((_xlfn.XLOOKUP($C142,'2) หลักการคำนวน Table'!$A$4:$A$36,
_xlfn.XLOOKUP(AV142,'2)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261</v>
      </c>
      <c r="BI142" s="319" cm="1">
        <f t="array" ref="BI142">ROUND((_xlfn.XLOOKUP($C142,'2) หลักการคำนวน Table'!$A$4:$A$36,
_xlfn.XLOOKUP(AW142,'2)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261</v>
      </c>
      <c r="BJ142" s="319" cm="1">
        <f t="array" ref="BJ142">ROUND((_xlfn.XLOOKUP($C142,'2) หลักการคำนวน Table'!$A$4:$A$36,
_xlfn.XLOOKUP(AX142,'2)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261</v>
      </c>
      <c r="BK142" s="319" cm="1">
        <f t="array" ref="BK142">ROUND((_xlfn.XLOOKUP($C142,'2) หลักการคำนวน Table'!$A$4:$A$36,
_xlfn.XLOOKUP(AY142,'2) หลักการคำนวน Table'!$C$3:$K$3,'2) หลักการคำนวน Table'!$C$4:$K$36,,-1)))*(_xlfn.XLOOKUP($C142,'2) หลักการคำนวน Table'!$A$4:$A$36, _xlfn.XLOOKUP($B142,'2) หลักการคำนวน Table'!$L$3:$Z$3,'2) หลักการคำนวน Table'!$L$4:$Z$36))),0)</f>
        <v>261</v>
      </c>
      <c r="BL142" s="320"/>
      <c r="BM142" s="320">
        <v>222215</v>
      </c>
      <c r="BN142" s="321">
        <v>376</v>
      </c>
    </row>
    <row r="143" spans="1:66" ht="14.7" customHeight="1" x14ac:dyDescent="0.25">
      <c r="A143" s="126">
        <f>VLOOKUP(C143,ASTBase!E:S,13,FALSE)</f>
        <v>222235</v>
      </c>
      <c r="B143" s="126" t="s">
        <v>407</v>
      </c>
      <c r="C143" s="232" t="s">
        <v>401</v>
      </c>
      <c r="D143" s="127">
        <v>15000</v>
      </c>
      <c r="E143" s="127">
        <v>15000</v>
      </c>
      <c r="F143" s="127">
        <v>15000</v>
      </c>
      <c r="G143" s="127">
        <v>25000</v>
      </c>
      <c r="H143" s="127">
        <v>15000</v>
      </c>
      <c r="I143" s="127">
        <v>15000</v>
      </c>
      <c r="J143" s="127">
        <v>25000</v>
      </c>
      <c r="K143" s="127">
        <v>15000</v>
      </c>
      <c r="L143" s="127">
        <v>25000</v>
      </c>
      <c r="M143" s="127">
        <v>15000</v>
      </c>
      <c r="N143" s="127">
        <v>15000</v>
      </c>
      <c r="O143" s="127">
        <v>25000</v>
      </c>
      <c r="P143" s="126">
        <v>7562.9999999244419</v>
      </c>
      <c r="AB143" s="317">
        <f>IFERROR(IF(VLOOKUP($B143,Shortage!$A:$M,AB$2,FALSE)="Shortage",1,IFERROR(ROUND(P143/D143,4),0)),IFERROR(ROUND(P143/D143,4),0))</f>
        <v>0.50419999999999998</v>
      </c>
      <c r="AC143" s="317">
        <f>IFERROR(IF(VLOOKUP($B143,Shortage!$A:$M,AC$2,FALSE)="Shortage",1,IFERROR(ROUND(Q143/E143,4),0)),IFERROR(ROUND(Q143/E143,4),0))</f>
        <v>0</v>
      </c>
      <c r="AD143" s="317">
        <f>IFERROR(IF(VLOOKUP($B143,Shortage!$A:$M,AD$2,FALSE)="Shortage",1,IFERROR(ROUND(R143/F143,4),0)),IFERROR(ROUND(R143/F143,4),0))</f>
        <v>0</v>
      </c>
      <c r="AE143" s="317">
        <f>IFERROR(IF(VLOOKUP($B143,Shortage!$A:$M,AE$2,FALSE)="Shortage",1,IFERROR(ROUND(S143/G143,4),0)),IFERROR(ROUND(S143/G143,4),0))</f>
        <v>0</v>
      </c>
      <c r="AF143" s="317">
        <f>IFERROR(IF(VLOOKUP($B143,Shortage!$A:$M,AF$2,FALSE)="Shortage",1,IFERROR(ROUND(T143/H143,4),0)),IFERROR(ROUND(T143/H143,4),0))</f>
        <v>0</v>
      </c>
      <c r="AG143" s="317">
        <f>IFERROR(IF(VLOOKUP($B143,Shortage!$A:$M,AG$2,FALSE)="Shortage",1,IFERROR(ROUND(U143/I143,4),0)),IFERROR(ROUND(U143/I143,4),0))</f>
        <v>0</v>
      </c>
      <c r="AH143" s="317">
        <f>IFERROR(IF(VLOOKUP($B143,Shortage!$A:$M,AH$2,FALSE)="Shortage",1,IFERROR(ROUND(V143/J143,4),0)),IFERROR(ROUND(V143/J143,4),0))</f>
        <v>0</v>
      </c>
      <c r="AI143" s="317">
        <f>IFERROR(IF(VLOOKUP($B143,Shortage!$A:$M,AI$2,FALSE)="Shortage",1,IFERROR(ROUND(W143/K143,4),0)),IFERROR(ROUND(W143/K143,4),0))</f>
        <v>0</v>
      </c>
      <c r="AJ143" s="317">
        <f>IFERROR(IF(VLOOKUP($B143,Shortage!$A:$M,AJ$2,FALSE)="Shortage",1,IFERROR(ROUND(X143/L143,4),0)),IFERROR(ROUND(X143/L143,4),0))</f>
        <v>0</v>
      </c>
      <c r="AK143" s="317">
        <f>IFERROR(IF(VLOOKUP($B143,Shortage!$A:$M,AK$2,FALSE)="Shortage",1,IFERROR(ROUND(Y143/M143,4),0)),IFERROR(ROUND(Y143/M143,4),0))</f>
        <v>0</v>
      </c>
      <c r="AL143" s="317">
        <f>IFERROR(IF(VLOOKUP($B143,Shortage!$A:$M,AL$2,FALSE)="Shortage",1,IFERROR(ROUND(Z143/N143,4),0)),IFERROR(ROUND(Z143/N143,4),0))</f>
        <v>0</v>
      </c>
      <c r="AM143" s="317">
        <f>IFERROR(IF(VLOOKUP($B143,Shortage!$A:$M,AM$2,FALSE)="Shortage",1,IFERROR(ROUND(AA143/O143,4),0)),IFERROR(ROUND(AA143/O143,4),0))</f>
        <v>0</v>
      </c>
      <c r="AN143" s="318">
        <f>IFERROR(_xlfn.XLOOKUP(AB143,'2) หลักการคำนวน Table'!$C$3:$K$3,'2) หลักการคำนวน Table'!$C$3:$K$3,,1),INDEX('2) หลักการคำนวน Table'!$C$3:$K$3,1))</f>
        <v>0.9</v>
      </c>
      <c r="AO143" s="318">
        <f>IFERROR(
  _xlfn.XLOOKUP(AC143,'2) หลักการคำนวน Table'!$C$3:$K$3,'2) หลักการคำนวน Table'!$C$3:$K$3,,1),
  IF(AC143&lt;MIN('2) หลักการคำนวน Table'!$C$3:$K$3),
     MIN('2) หลักการคำนวน Table'!$C$3:$K$3),
     MAX('2) หลักการคำนวน Table'!$C$3:$K$3)
  )
)</f>
        <v>0.9</v>
      </c>
      <c r="AP143" s="318">
        <f>IFERROR(
  _xlfn.XLOOKUP(AD143,'2) หลักการคำนวน Table'!$C$3:$K$3,'2) หลักการคำนวน Table'!$C$3:$K$3,,1),
  IF(AD143&lt;MIN('2) หลักการคำนวน Table'!$C$3:$K$3),
     MIN('2) หลักการคำนวน Table'!$C$3:$K$3),
     MAX('2) หลักการคำนวน Table'!$C$3:$K$3)
  )
)</f>
        <v>0.9</v>
      </c>
      <c r="AQ143" s="318">
        <f>IFERROR(
  _xlfn.XLOOKUP(AE143,'2) หลักการคำนวน Table'!$C$3:$K$3,'2) หลักการคำนวน Table'!$C$3:$K$3,,1),
  IF(AE143&lt;MIN('2) หลักการคำนวน Table'!$C$3:$K$3),
     MIN('2) หลักการคำนวน Table'!$C$3:$K$3),
     MAX('2) หลักการคำนวน Table'!$C$3:$K$3)
  )
)</f>
        <v>0.9</v>
      </c>
      <c r="AR143" s="318">
        <f>IFERROR(
  _xlfn.XLOOKUP(AF143,'2) หลักการคำนวน Table'!$C$3:$K$3,'2) หลักการคำนวน Table'!$C$3:$K$3,,1),
  IF(AF143&lt;MIN('2) หลักการคำนวน Table'!$C$3:$K$3),
     MIN('2) หลักการคำนวน Table'!$C$3:$K$3),
     MAX('2) หลักการคำนวน Table'!$C$3:$K$3)
  )
)</f>
        <v>0.9</v>
      </c>
      <c r="AS143" s="318">
        <f>IFERROR(
  _xlfn.XLOOKUP(AG143,'2) หลักการคำนวน Table'!$C$3:$K$3,'2) หลักการคำนวน Table'!$C$3:$K$3,,1),
  IF(AG143&lt;MIN('2) หลักการคำนวน Table'!$C$3:$K$3),
     MIN('2) หลักการคำนวน Table'!$C$3:$K$3),
     MAX('2) หลักการคำนวน Table'!$C$3:$K$3)
  )
)</f>
        <v>0.9</v>
      </c>
      <c r="AT143" s="318">
        <f>IFERROR(
  _xlfn.XLOOKUP(AH143,'2) หลักการคำนวน Table'!$C$3:$K$3,'2) หลักการคำนวน Table'!$C$3:$K$3,,1),
  IF(AH143&lt;MIN('2) หลักการคำนวน Table'!$C$3:$K$3),
     MIN('2) หลักการคำนวน Table'!$C$3:$K$3),
     MAX('2) หลักการคำนวน Table'!$C$3:$K$3)
  )
)</f>
        <v>0.9</v>
      </c>
      <c r="AU143" s="318">
        <f>IFERROR(
  _xlfn.XLOOKUP(AI143,'2) หลักการคำนวน Table'!$C$3:$K$3,'2) หลักการคำนวน Table'!$C$3:$K$3,,1),
  IF(AI143&lt;MIN('2) หลักการคำนวน Table'!$C$3:$K$3),
     MIN('2) หลักการคำนวน Table'!$C$3:$K$3),
     MAX('2) หลักการคำนวน Table'!$C$3:$K$3)
  )
)</f>
        <v>0.9</v>
      </c>
      <c r="AV143" s="318">
        <f>IFERROR(
  _xlfn.XLOOKUP(AJ143,'2) หลักการคำนวน Table'!$C$3:$K$3,'2) หลักการคำนวน Table'!$C$3:$K$3,,1),
  IF(AJ143&lt;MIN('2) หลักการคำนวน Table'!$C$3:$K$3),
     MIN('2) หลักการคำนวน Table'!$C$3:$K$3),
     MAX('2) หลักการคำนวน Table'!$C$3:$K$3)
  )
)</f>
        <v>0.9</v>
      </c>
      <c r="AW143" s="318">
        <f>IFERROR(
  _xlfn.XLOOKUP(AK143,'2) หลักการคำนวน Table'!$C$3:$K$3,'2) หลักการคำนวน Table'!$C$3:$K$3,,1),
  IF(AK143&lt;MIN('2) หลักการคำนวน Table'!$C$3:$K$3),
     MIN('2) หลักการคำนวน Table'!$C$3:$K$3),
     MAX('2) หลักการคำนวน Table'!$C$3:$K$3)
  )
)</f>
        <v>0.9</v>
      </c>
      <c r="AX143" s="318">
        <f>IFERROR(
  _xlfn.XLOOKUP(AL143,'2) หลักการคำนวน Table'!$C$3:$K$3,'2) หลักการคำนวน Table'!$C$3:$K$3,,1),
  IF(AL143&lt;MIN('2) หลักการคำนวน Table'!$C$3:$K$3),
     MIN('2) หลักการคำนวน Table'!$C$3:$K$3),
     MAX('2) หลักการคำนวน Table'!$C$3:$K$3)
  )
)</f>
        <v>0.9</v>
      </c>
      <c r="AY143" s="318">
        <f>IFERROR(
  _xlfn.XLOOKUP(AM143,'2) หลักการคำนวน Table'!$C$3:$K$3,'2) หลักการคำนวน Table'!$C$3:$K$3,,1),
  IF(AM143&lt;MIN('2) หลักการคำนวน Table'!$C$3:$K$3),
     MIN('2) หลักการคำนวน Table'!$C$3:$K$3),
     MAX('2) หลักการคำนวน Table'!$C$3:$K$3)
  )
)</f>
        <v>0.9</v>
      </c>
      <c r="AZ143" s="319" cm="1">
        <f t="array" ref="AZ143">ROUND((_xlfn.XLOOKUP($C143,'2) หลักการคำนวน Table'!$A$4:$A$36,
_xlfn.XLOOKUP(AN143,'2)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A143" s="319" cm="1">
        <f t="array" ref="BA143">ROUND((_xlfn.XLOOKUP($C143,'2) หลักการคำนวน Table'!$A$4:$A$36,
_xlfn.XLOOKUP(AO143,'2)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B143" s="319" cm="1">
        <f t="array" ref="BB143">ROUND((_xlfn.XLOOKUP($C143,'2) หลักการคำนวน Table'!$A$4:$A$36,
_xlfn.XLOOKUP(AP143,'2)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C143" s="319" cm="1">
        <f t="array" ref="BC143">ROUND((_xlfn.XLOOKUP($C143,'2) หลักการคำนวน Table'!$A$4:$A$36,
_xlfn.XLOOKUP(AQ143,'2)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D143" s="319" cm="1">
        <f t="array" ref="BD143">ROUND((_xlfn.XLOOKUP($C143,'2) หลักการคำนวน Table'!$A$4:$A$36,
_xlfn.XLOOKUP(AR143,'2)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E143" s="319" cm="1">
        <f t="array" ref="BE143">ROUND((_xlfn.XLOOKUP($C143,'2) หลักการคำนวน Table'!$A$4:$A$36,
_xlfn.XLOOKUP(AS143,'2)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F143" s="319" cm="1">
        <f t="array" ref="BF143">ROUND((_xlfn.XLOOKUP($C143,'2) หลักการคำนวน Table'!$A$4:$A$36,
_xlfn.XLOOKUP(AT143,'2)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G143" s="319" cm="1">
        <f t="array" ref="BG143">ROUND((_xlfn.XLOOKUP($C143,'2) หลักการคำนวน Table'!$A$4:$A$36,
_xlfn.XLOOKUP(AU143,'2)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H143" s="319" cm="1">
        <f t="array" ref="BH143">ROUND((_xlfn.XLOOKUP($C143,'2) หลักการคำนวน Table'!$A$4:$A$36,
_xlfn.XLOOKUP(AV143,'2)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I143" s="319" cm="1">
        <f t="array" ref="BI143">ROUND((_xlfn.XLOOKUP($C143,'2) หลักการคำนวน Table'!$A$4:$A$36,
_xlfn.XLOOKUP(AW143,'2)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J143" s="319" cm="1">
        <f t="array" ref="BJ143">ROUND((_xlfn.XLOOKUP($C143,'2) หลักการคำนวน Table'!$A$4:$A$36,
_xlfn.XLOOKUP(AX143,'2)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K143" s="319" cm="1">
        <f t="array" ref="BK143">ROUND((_xlfn.XLOOKUP($C143,'2) หลักการคำนวน Table'!$A$4:$A$36,
_xlfn.XLOOKUP(AY143,'2) หลักการคำนวน Table'!$C$3:$K$3,'2) หลักการคำนวน Table'!$C$4:$K$36,,-1)))*(_xlfn.XLOOKUP($C143,'2) หลักการคำนวน Table'!$A$4:$A$36, _xlfn.XLOOKUP($B143,'2) หลักการคำนวน Table'!$L$3:$Z$3,'2) หลักการคำนวน Table'!$L$4:$Z$36))),0)</f>
        <v>782</v>
      </c>
      <c r="BL143" s="320"/>
      <c r="BM143" s="320">
        <v>222215</v>
      </c>
      <c r="BN143" s="321">
        <v>782</v>
      </c>
    </row>
    <row r="144" spans="1:66" ht="14.7" customHeight="1" x14ac:dyDescent="0.25">
      <c r="A144" s="126">
        <f>VLOOKUP(C144,ASTBase!E:S,13,FALSE)</f>
        <v>222235</v>
      </c>
      <c r="B144" s="126" t="s">
        <v>418</v>
      </c>
      <c r="C144" s="232" t="s">
        <v>401</v>
      </c>
      <c r="H144" s="127">
        <v>75</v>
      </c>
      <c r="I144" s="127">
        <v>75</v>
      </c>
      <c r="J144" s="127">
        <v>35</v>
      </c>
      <c r="K144" s="127">
        <v>35</v>
      </c>
      <c r="L144" s="127">
        <v>85</v>
      </c>
      <c r="M144" s="127">
        <v>60</v>
      </c>
      <c r="N144" s="127">
        <v>60</v>
      </c>
      <c r="O144" s="127">
        <v>75</v>
      </c>
      <c r="AB144" s="317">
        <f>IFERROR(IF(VLOOKUP($B144,Shortage!$A:$M,AB$2,FALSE)="Shortage",1,IFERROR(ROUND(P144/D144,4),0)),IFERROR(ROUND(P144/D144,4),0))</f>
        <v>0</v>
      </c>
      <c r="AC144" s="317">
        <f>IFERROR(IF(VLOOKUP($B144,Shortage!$A:$M,AC$2,FALSE)="Shortage",1,IFERROR(ROUND(Q144/E144,4),0)),IFERROR(ROUND(Q144/E144,4),0))</f>
        <v>0</v>
      </c>
      <c r="AD144" s="317">
        <f>IFERROR(IF(VLOOKUP($B144,Shortage!$A:$M,AD$2,FALSE)="Shortage",1,IFERROR(ROUND(R144/F144,4),0)),IFERROR(ROUND(R144/F144,4),0))</f>
        <v>0</v>
      </c>
      <c r="AE144" s="317">
        <f>IFERROR(IF(VLOOKUP($B144,Shortage!$A:$M,AE$2,FALSE)="Shortage",1,IFERROR(ROUND(S144/G144,4),0)),IFERROR(ROUND(S144/G144,4),0))</f>
        <v>0</v>
      </c>
      <c r="AF144" s="317">
        <f>IFERROR(IF(VLOOKUP($B144,Shortage!$A:$M,AF$2,FALSE)="Shortage",1,IFERROR(ROUND(T144/H144,4),0)),IFERROR(ROUND(T144/H144,4),0))</f>
        <v>0</v>
      </c>
      <c r="AG144" s="317">
        <f>IFERROR(IF(VLOOKUP($B144,Shortage!$A:$M,AG$2,FALSE)="Shortage",1,IFERROR(ROUND(U144/I144,4),0)),IFERROR(ROUND(U144/I144,4),0))</f>
        <v>0</v>
      </c>
      <c r="AH144" s="317">
        <f>IFERROR(IF(VLOOKUP($B144,Shortage!$A:$M,AH$2,FALSE)="Shortage",1,IFERROR(ROUND(V144/J144,4),0)),IFERROR(ROUND(V144/J144,4),0))</f>
        <v>0</v>
      </c>
      <c r="AI144" s="317">
        <f>IFERROR(IF(VLOOKUP($B144,Shortage!$A:$M,AI$2,FALSE)="Shortage",1,IFERROR(ROUND(W144/K144,4),0)),IFERROR(ROUND(W144/K144,4),0))</f>
        <v>0</v>
      </c>
      <c r="AJ144" s="317">
        <f>IFERROR(IF(VLOOKUP($B144,Shortage!$A:$M,AJ$2,FALSE)="Shortage",1,IFERROR(ROUND(X144/L144,4),0)),IFERROR(ROUND(X144/L144,4),0))</f>
        <v>0</v>
      </c>
      <c r="AK144" s="317">
        <f>IFERROR(IF(VLOOKUP($B144,Shortage!$A:$M,AK$2,FALSE)="Shortage",1,IFERROR(ROUND(Y144/M144,4),0)),IFERROR(ROUND(Y144/M144,4),0))</f>
        <v>0</v>
      </c>
      <c r="AL144" s="317">
        <f>IFERROR(IF(VLOOKUP($B144,Shortage!$A:$M,AL$2,FALSE)="Shortage",1,IFERROR(ROUND(Z144/N144,4),0)),IFERROR(ROUND(Z144/N144,4),0))</f>
        <v>0</v>
      </c>
      <c r="AM144" s="317">
        <f>IFERROR(IF(VLOOKUP($B144,Shortage!$A:$M,AM$2,FALSE)="Shortage",1,IFERROR(ROUND(AA144/O144,4),0)),IFERROR(ROUND(AA144/O144,4),0))</f>
        <v>0</v>
      </c>
      <c r="AN144" s="318">
        <f>IFERROR(_xlfn.XLOOKUP(AB144,'2) หลักการคำนวน Table'!$C$3:$K$3,'2) หลักการคำนวน Table'!$C$3:$K$3,,1),INDEX('2) หลักการคำนวน Table'!$C$3:$K$3,1))</f>
        <v>0.9</v>
      </c>
      <c r="AO144" s="318">
        <f>IFERROR(
  _xlfn.XLOOKUP(AC144,'2) หลักการคำนวน Table'!$C$3:$K$3,'2) หลักการคำนวน Table'!$C$3:$K$3,,1),
  IF(AC144&lt;MIN('2) หลักการคำนวน Table'!$C$3:$K$3),
     MIN('2) หลักการคำนวน Table'!$C$3:$K$3),
     MAX('2) หลักการคำนวน Table'!$C$3:$K$3)
  )
)</f>
        <v>0.9</v>
      </c>
      <c r="AP144" s="318">
        <f>IFERROR(
  _xlfn.XLOOKUP(AD144,'2) หลักการคำนวน Table'!$C$3:$K$3,'2) หลักการคำนวน Table'!$C$3:$K$3,,1),
  IF(AD144&lt;MIN('2) หลักการคำนวน Table'!$C$3:$K$3),
     MIN('2) หลักการคำนวน Table'!$C$3:$K$3),
     MAX('2) หลักการคำนวน Table'!$C$3:$K$3)
  )
)</f>
        <v>0.9</v>
      </c>
      <c r="AQ144" s="318">
        <f>IFERROR(
  _xlfn.XLOOKUP(AE144,'2) หลักการคำนวน Table'!$C$3:$K$3,'2) หลักการคำนวน Table'!$C$3:$K$3,,1),
  IF(AE144&lt;MIN('2) หลักการคำนวน Table'!$C$3:$K$3),
     MIN('2) หลักการคำนวน Table'!$C$3:$K$3),
     MAX('2) หลักการคำนวน Table'!$C$3:$K$3)
  )
)</f>
        <v>0.9</v>
      </c>
      <c r="AR144" s="318">
        <f>IFERROR(
  _xlfn.XLOOKUP(AF144,'2) หลักการคำนวน Table'!$C$3:$K$3,'2) หลักการคำนวน Table'!$C$3:$K$3,,1),
  IF(AF144&lt;MIN('2) หลักการคำนวน Table'!$C$3:$K$3),
     MIN('2) หลักการคำนวน Table'!$C$3:$K$3),
     MAX('2) หลักการคำนวน Table'!$C$3:$K$3)
  )
)</f>
        <v>0.9</v>
      </c>
      <c r="AS144" s="318">
        <f>IFERROR(
  _xlfn.XLOOKUP(AG144,'2) หลักการคำนวน Table'!$C$3:$K$3,'2) หลักการคำนวน Table'!$C$3:$K$3,,1),
  IF(AG144&lt;MIN('2) หลักการคำนวน Table'!$C$3:$K$3),
     MIN('2) หลักการคำนวน Table'!$C$3:$K$3),
     MAX('2) หลักการคำนวน Table'!$C$3:$K$3)
  )
)</f>
        <v>0.9</v>
      </c>
      <c r="AT144" s="318">
        <f>IFERROR(
  _xlfn.XLOOKUP(AH144,'2) หลักการคำนวน Table'!$C$3:$K$3,'2) หลักการคำนวน Table'!$C$3:$K$3,,1),
  IF(AH144&lt;MIN('2) หลักการคำนวน Table'!$C$3:$K$3),
     MIN('2) หลักการคำนวน Table'!$C$3:$K$3),
     MAX('2) หลักการคำนวน Table'!$C$3:$K$3)
  )
)</f>
        <v>0.9</v>
      </c>
      <c r="AU144" s="318">
        <f>IFERROR(
  _xlfn.XLOOKUP(AI144,'2) หลักการคำนวน Table'!$C$3:$K$3,'2) หลักการคำนวน Table'!$C$3:$K$3,,1),
  IF(AI144&lt;MIN('2) หลักการคำนวน Table'!$C$3:$K$3),
     MIN('2) หลักการคำนวน Table'!$C$3:$K$3),
     MAX('2) หลักการคำนวน Table'!$C$3:$K$3)
  )
)</f>
        <v>0.9</v>
      </c>
      <c r="AV144" s="318">
        <f>IFERROR(
  _xlfn.XLOOKUP(AJ144,'2) หลักการคำนวน Table'!$C$3:$K$3,'2) หลักการคำนวน Table'!$C$3:$K$3,,1),
  IF(AJ144&lt;MIN('2) หลักการคำนวน Table'!$C$3:$K$3),
     MIN('2) หลักการคำนวน Table'!$C$3:$K$3),
     MAX('2) หลักการคำนวน Table'!$C$3:$K$3)
  )
)</f>
        <v>0.9</v>
      </c>
      <c r="AW144" s="318">
        <f>IFERROR(
  _xlfn.XLOOKUP(AK144,'2) หลักการคำนวน Table'!$C$3:$K$3,'2) หลักการคำนวน Table'!$C$3:$K$3,,1),
  IF(AK144&lt;MIN('2) หลักการคำนวน Table'!$C$3:$K$3),
     MIN('2) หลักการคำนวน Table'!$C$3:$K$3),
     MAX('2) หลักการคำนวน Table'!$C$3:$K$3)
  )
)</f>
        <v>0.9</v>
      </c>
      <c r="AX144" s="318">
        <f>IFERROR(
  _xlfn.XLOOKUP(AL144,'2) หลักการคำนวน Table'!$C$3:$K$3,'2) หลักการคำนวน Table'!$C$3:$K$3,,1),
  IF(AL144&lt;MIN('2) หลักการคำนวน Table'!$C$3:$K$3),
     MIN('2) หลักการคำนวน Table'!$C$3:$K$3),
     MAX('2) หลักการคำนวน Table'!$C$3:$K$3)
  )
)</f>
        <v>0.9</v>
      </c>
      <c r="AY144" s="318">
        <f>IFERROR(
  _xlfn.XLOOKUP(AM144,'2) หลักการคำนวน Table'!$C$3:$K$3,'2) หลักการคำนวน Table'!$C$3:$K$3,,1),
  IF(AM144&lt;MIN('2) หลักการคำนวน Table'!$C$3:$K$3),
     MIN('2) หลักการคำนวน Table'!$C$3:$K$3),
     MAX('2) หลักการคำนวน Table'!$C$3:$K$3)
  )
)</f>
        <v>0.9</v>
      </c>
      <c r="AZ144" s="319" cm="1">
        <f t="array" ref="AZ144">ROUND((_xlfn.XLOOKUP($C144,'2) หลักการคำนวน Table'!$A$4:$A$36,
_xlfn.XLOOKUP(AN144,'2)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A144" s="319" cm="1">
        <f t="array" ref="BA144">ROUND((_xlfn.XLOOKUP($C144,'2) หลักการคำนวน Table'!$A$4:$A$36,
_xlfn.XLOOKUP(AO144,'2)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B144" s="319" cm="1">
        <f t="array" ref="BB144">ROUND((_xlfn.XLOOKUP($C144,'2) หลักการคำนวน Table'!$A$4:$A$36,
_xlfn.XLOOKUP(AP144,'2)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C144" s="319" cm="1">
        <f t="array" ref="BC144">ROUND((_xlfn.XLOOKUP($C144,'2) หลักการคำนวน Table'!$A$4:$A$36,
_xlfn.XLOOKUP(AQ144,'2)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D144" s="319" cm="1">
        <f t="array" ref="BD144">ROUND((_xlfn.XLOOKUP($C144,'2) หลักการคำนวน Table'!$A$4:$A$36,
_xlfn.XLOOKUP(AR144,'2)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E144" s="319" cm="1">
        <f t="array" ref="BE144">ROUND((_xlfn.XLOOKUP($C144,'2) หลักการคำนวน Table'!$A$4:$A$36,
_xlfn.XLOOKUP(AS144,'2)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F144" s="319" cm="1">
        <f t="array" ref="BF144">ROUND((_xlfn.XLOOKUP($C144,'2) หลักการคำนวน Table'!$A$4:$A$36,
_xlfn.XLOOKUP(AT144,'2)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G144" s="319" cm="1">
        <f t="array" ref="BG144">ROUND((_xlfn.XLOOKUP($C144,'2) หลักการคำนวน Table'!$A$4:$A$36,
_xlfn.XLOOKUP(AU144,'2)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H144" s="319" cm="1">
        <f t="array" ref="BH144">ROUND((_xlfn.XLOOKUP($C144,'2) หลักการคำนวน Table'!$A$4:$A$36,
_xlfn.XLOOKUP(AV144,'2)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I144" s="319" cm="1">
        <f t="array" ref="BI144">ROUND((_xlfn.XLOOKUP($C144,'2) หลักการคำนวน Table'!$A$4:$A$36,
_xlfn.XLOOKUP(AW144,'2)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J144" s="319" cm="1">
        <f t="array" ref="BJ144">ROUND((_xlfn.XLOOKUP($C144,'2) หลักการคำนวน Table'!$A$4:$A$36,
_xlfn.XLOOKUP(AX144,'2)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K144" s="319" cm="1">
        <f t="array" ref="BK144">ROUND((_xlfn.XLOOKUP($C144,'2) หลักการคำนวน Table'!$A$4:$A$36,
_xlfn.XLOOKUP(AY144,'2) หลักการคำนวน Table'!$C$3:$K$3,'2) หลักการคำนวน Table'!$C$4:$K$36,,-1)))*(_xlfn.XLOOKUP($C144,'2) หลักการคำนวน Table'!$A$4:$A$36, _xlfn.XLOOKUP($B144,'2) หลักการคำนวน Table'!$L$3:$Z$3,'2) หลักการคำนวน Table'!$L$4:$Z$36))),0)</f>
        <v>0</v>
      </c>
      <c r="BL144" s="320"/>
      <c r="BM144" s="320">
        <v>222215</v>
      </c>
      <c r="BN144" s="321">
        <v>0</v>
      </c>
    </row>
    <row r="145" spans="1:66" ht="14.7" customHeight="1" x14ac:dyDescent="0.25">
      <c r="A145" s="126">
        <f>VLOOKUP(C145,ASTBase!E:S,13,FALSE)</f>
        <v>222235</v>
      </c>
      <c r="B145" s="126" t="s">
        <v>413</v>
      </c>
      <c r="C145" s="232" t="s">
        <v>401</v>
      </c>
      <c r="D145" s="127">
        <v>1850</v>
      </c>
      <c r="E145" s="127">
        <v>1850</v>
      </c>
      <c r="F145" s="127">
        <v>2700</v>
      </c>
      <c r="G145" s="127">
        <v>1850</v>
      </c>
      <c r="H145" s="127">
        <v>2550</v>
      </c>
      <c r="I145" s="127">
        <v>1850</v>
      </c>
      <c r="J145" s="127">
        <v>2700</v>
      </c>
      <c r="K145" s="127">
        <v>1850</v>
      </c>
      <c r="L145" s="127">
        <v>2700</v>
      </c>
      <c r="M145" s="127">
        <v>2700</v>
      </c>
      <c r="N145" s="127">
        <v>2700</v>
      </c>
      <c r="O145" s="127">
        <v>2700</v>
      </c>
      <c r="P145" s="126">
        <v>900.93959999999993</v>
      </c>
      <c r="AB145" s="317">
        <f>IFERROR(IF(VLOOKUP($B145,Shortage!$A:$M,AB$2,FALSE)="Shortage",1,IFERROR(ROUND(P145/D145,4),0)),IFERROR(ROUND(P145/D145,4),0))</f>
        <v>0.48699999999999999</v>
      </c>
      <c r="AC145" s="317">
        <f>IFERROR(IF(VLOOKUP($B145,Shortage!$A:$M,AC$2,FALSE)="Shortage",1,IFERROR(ROUND(Q145/E145,4),0)),IFERROR(ROUND(Q145/E145,4),0))</f>
        <v>0</v>
      </c>
      <c r="AD145" s="317">
        <f>IFERROR(IF(VLOOKUP($B145,Shortage!$A:$M,AD$2,FALSE)="Shortage",1,IFERROR(ROUND(R145/F145,4),0)),IFERROR(ROUND(R145/F145,4),0))</f>
        <v>0</v>
      </c>
      <c r="AE145" s="317">
        <f>IFERROR(IF(VLOOKUP($B145,Shortage!$A:$M,AE$2,FALSE)="Shortage",1,IFERROR(ROUND(S145/G145,4),0)),IFERROR(ROUND(S145/G145,4),0))</f>
        <v>0</v>
      </c>
      <c r="AF145" s="317">
        <f>IFERROR(IF(VLOOKUP($B145,Shortage!$A:$M,AF$2,FALSE)="Shortage",1,IFERROR(ROUND(T145/H145,4),0)),IFERROR(ROUND(T145/H145,4),0))</f>
        <v>0</v>
      </c>
      <c r="AG145" s="317">
        <f>IFERROR(IF(VLOOKUP($B145,Shortage!$A:$M,AG$2,FALSE)="Shortage",1,IFERROR(ROUND(U145/I145,4),0)),IFERROR(ROUND(U145/I145,4),0))</f>
        <v>0</v>
      </c>
      <c r="AH145" s="317">
        <f>IFERROR(IF(VLOOKUP($B145,Shortage!$A:$M,AH$2,FALSE)="Shortage",1,IFERROR(ROUND(V145/J145,4),0)),IFERROR(ROUND(V145/J145,4),0))</f>
        <v>0</v>
      </c>
      <c r="AI145" s="317">
        <f>IFERROR(IF(VLOOKUP($B145,Shortage!$A:$M,AI$2,FALSE)="Shortage",1,IFERROR(ROUND(W145/K145,4),0)),IFERROR(ROUND(W145/K145,4),0))</f>
        <v>0</v>
      </c>
      <c r="AJ145" s="317">
        <f>IFERROR(IF(VLOOKUP($B145,Shortage!$A:$M,AJ$2,FALSE)="Shortage",1,IFERROR(ROUND(X145/L145,4),0)),IFERROR(ROUND(X145/L145,4),0))</f>
        <v>0</v>
      </c>
      <c r="AK145" s="317">
        <f>IFERROR(IF(VLOOKUP($B145,Shortage!$A:$M,AK$2,FALSE)="Shortage",1,IFERROR(ROUND(Y145/M145,4),0)),IFERROR(ROUND(Y145/M145,4),0))</f>
        <v>0</v>
      </c>
      <c r="AL145" s="317">
        <f>IFERROR(IF(VLOOKUP($B145,Shortage!$A:$M,AL$2,FALSE)="Shortage",1,IFERROR(ROUND(Z145/N145,4),0)),IFERROR(ROUND(Z145/N145,4),0))</f>
        <v>0</v>
      </c>
      <c r="AM145" s="317">
        <f>IFERROR(IF(VLOOKUP($B145,Shortage!$A:$M,AM$2,FALSE)="Shortage",1,IFERROR(ROUND(AA145/O145,4),0)),IFERROR(ROUND(AA145/O145,4),0))</f>
        <v>0</v>
      </c>
      <c r="AN145" s="318">
        <f>IFERROR(_xlfn.XLOOKUP(AB145,'2) หลักการคำนวน Table'!$C$3:$K$3,'2) หลักการคำนวน Table'!$C$3:$K$3,,1),INDEX('2) หลักการคำนวน Table'!$C$3:$K$3,1))</f>
        <v>0.9</v>
      </c>
      <c r="AO145" s="318">
        <f>IFERROR(
  _xlfn.XLOOKUP(AC145,'2) หลักการคำนวน Table'!$C$3:$K$3,'2) หลักการคำนวน Table'!$C$3:$K$3,,1),
  IF(AC145&lt;MIN('2) หลักการคำนวน Table'!$C$3:$K$3),
     MIN('2) หลักการคำนวน Table'!$C$3:$K$3),
     MAX('2) หลักการคำนวน Table'!$C$3:$K$3)
  )
)</f>
        <v>0.9</v>
      </c>
      <c r="AP145" s="318">
        <f>IFERROR(
  _xlfn.XLOOKUP(AD145,'2) หลักการคำนวน Table'!$C$3:$K$3,'2) หลักการคำนวน Table'!$C$3:$K$3,,1),
  IF(AD145&lt;MIN('2) หลักการคำนวน Table'!$C$3:$K$3),
     MIN('2) หลักการคำนวน Table'!$C$3:$K$3),
     MAX('2) หลักการคำนวน Table'!$C$3:$K$3)
  )
)</f>
        <v>0.9</v>
      </c>
      <c r="AQ145" s="318">
        <f>IFERROR(
  _xlfn.XLOOKUP(AE145,'2) หลักการคำนวน Table'!$C$3:$K$3,'2) หลักการคำนวน Table'!$C$3:$K$3,,1),
  IF(AE145&lt;MIN('2) หลักการคำนวน Table'!$C$3:$K$3),
     MIN('2) หลักการคำนวน Table'!$C$3:$K$3),
     MAX('2) หลักการคำนวน Table'!$C$3:$K$3)
  )
)</f>
        <v>0.9</v>
      </c>
      <c r="AR145" s="318">
        <f>IFERROR(
  _xlfn.XLOOKUP(AF145,'2) หลักการคำนวน Table'!$C$3:$K$3,'2) หลักการคำนวน Table'!$C$3:$K$3,,1),
  IF(AF145&lt;MIN('2) หลักการคำนวน Table'!$C$3:$K$3),
     MIN('2) หลักการคำนวน Table'!$C$3:$K$3),
     MAX('2) หลักการคำนวน Table'!$C$3:$K$3)
  )
)</f>
        <v>0.9</v>
      </c>
      <c r="AS145" s="318">
        <f>IFERROR(
  _xlfn.XLOOKUP(AG145,'2) หลักการคำนวน Table'!$C$3:$K$3,'2) หลักการคำนวน Table'!$C$3:$K$3,,1),
  IF(AG145&lt;MIN('2) หลักการคำนวน Table'!$C$3:$K$3),
     MIN('2) หลักการคำนวน Table'!$C$3:$K$3),
     MAX('2) หลักการคำนวน Table'!$C$3:$K$3)
  )
)</f>
        <v>0.9</v>
      </c>
      <c r="AT145" s="318">
        <f>IFERROR(
  _xlfn.XLOOKUP(AH145,'2) หลักการคำนวน Table'!$C$3:$K$3,'2) หลักการคำนวน Table'!$C$3:$K$3,,1),
  IF(AH145&lt;MIN('2) หลักการคำนวน Table'!$C$3:$K$3),
     MIN('2) หลักการคำนวน Table'!$C$3:$K$3),
     MAX('2) หลักการคำนวน Table'!$C$3:$K$3)
  )
)</f>
        <v>0.9</v>
      </c>
      <c r="AU145" s="318">
        <f>IFERROR(
  _xlfn.XLOOKUP(AI145,'2) หลักการคำนวน Table'!$C$3:$K$3,'2) หลักการคำนวน Table'!$C$3:$K$3,,1),
  IF(AI145&lt;MIN('2) หลักการคำนวน Table'!$C$3:$K$3),
     MIN('2) หลักการคำนวน Table'!$C$3:$K$3),
     MAX('2) หลักการคำนวน Table'!$C$3:$K$3)
  )
)</f>
        <v>0.9</v>
      </c>
      <c r="AV145" s="318">
        <f>IFERROR(
  _xlfn.XLOOKUP(AJ145,'2) หลักการคำนวน Table'!$C$3:$K$3,'2) หลักการคำนวน Table'!$C$3:$K$3,,1),
  IF(AJ145&lt;MIN('2) หลักการคำนวน Table'!$C$3:$K$3),
     MIN('2) หลักการคำนวน Table'!$C$3:$K$3),
     MAX('2) หลักการคำนวน Table'!$C$3:$K$3)
  )
)</f>
        <v>0.9</v>
      </c>
      <c r="AW145" s="318">
        <f>IFERROR(
  _xlfn.XLOOKUP(AK145,'2) หลักการคำนวน Table'!$C$3:$K$3,'2) หลักการคำนวน Table'!$C$3:$K$3,,1),
  IF(AK145&lt;MIN('2) หลักการคำนวน Table'!$C$3:$K$3),
     MIN('2) หลักการคำนวน Table'!$C$3:$K$3),
     MAX('2) หลักการคำนวน Table'!$C$3:$K$3)
  )
)</f>
        <v>0.9</v>
      </c>
      <c r="AX145" s="318">
        <f>IFERROR(
  _xlfn.XLOOKUP(AL145,'2) หลักการคำนวน Table'!$C$3:$K$3,'2) หลักการคำนวน Table'!$C$3:$K$3,,1),
  IF(AL145&lt;MIN('2) หลักการคำนวน Table'!$C$3:$K$3),
     MIN('2) หลักการคำนวน Table'!$C$3:$K$3),
     MAX('2) หลักการคำนวน Table'!$C$3:$K$3)
  )
)</f>
        <v>0.9</v>
      </c>
      <c r="AY145" s="318">
        <f>IFERROR(
  _xlfn.XLOOKUP(AM145,'2) หลักการคำนวน Table'!$C$3:$K$3,'2) หลักการคำนวน Table'!$C$3:$K$3,,1),
  IF(AM145&lt;MIN('2) หลักการคำนวน Table'!$C$3:$K$3),
     MIN('2) หลักการคำนวน Table'!$C$3:$K$3),
     MAX('2) หลักการคำนวน Table'!$C$3:$K$3)
  )
)</f>
        <v>0.9</v>
      </c>
      <c r="AZ145" s="319" cm="1">
        <f t="array" ref="AZ145">ROUND((_xlfn.XLOOKUP($C145,'2) หลักการคำนวน Table'!$A$4:$A$36,
_xlfn.XLOOKUP(AN145,'2)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A145" s="319" cm="1">
        <f t="array" ref="BA145">ROUND((_xlfn.XLOOKUP($C145,'2) หลักการคำนวน Table'!$A$4:$A$36,
_xlfn.XLOOKUP(AO145,'2)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B145" s="319" cm="1">
        <f t="array" ref="BB145">ROUND((_xlfn.XLOOKUP($C145,'2) หลักการคำนวน Table'!$A$4:$A$36,
_xlfn.XLOOKUP(AP145,'2)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C145" s="319" cm="1">
        <f t="array" ref="BC145">ROUND((_xlfn.XLOOKUP($C145,'2) หลักการคำนวน Table'!$A$4:$A$36,
_xlfn.XLOOKUP(AQ145,'2)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D145" s="319" cm="1">
        <f t="array" ref="BD145">ROUND((_xlfn.XLOOKUP($C145,'2) หลักการคำนวน Table'!$A$4:$A$36,
_xlfn.XLOOKUP(AR145,'2)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E145" s="319" cm="1">
        <f t="array" ref="BE145">ROUND((_xlfn.XLOOKUP($C145,'2) หลักการคำนวน Table'!$A$4:$A$36,
_xlfn.XLOOKUP(AS145,'2)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F145" s="319" cm="1">
        <f t="array" ref="BF145">ROUND((_xlfn.XLOOKUP($C145,'2) หลักการคำนวน Table'!$A$4:$A$36,
_xlfn.XLOOKUP(AT145,'2)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G145" s="319" cm="1">
        <f t="array" ref="BG145">ROUND((_xlfn.XLOOKUP($C145,'2) หลักการคำนวน Table'!$A$4:$A$36,
_xlfn.XLOOKUP(AU145,'2)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H145" s="319" cm="1">
        <f t="array" ref="BH145">ROUND((_xlfn.XLOOKUP($C145,'2) หลักการคำนวน Table'!$A$4:$A$36,
_xlfn.XLOOKUP(AV145,'2)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I145" s="319" cm="1">
        <f t="array" ref="BI145">ROUND((_xlfn.XLOOKUP($C145,'2) หลักการคำนวน Table'!$A$4:$A$36,
_xlfn.XLOOKUP(AW145,'2)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J145" s="319" cm="1">
        <f t="array" ref="BJ145">ROUND((_xlfn.XLOOKUP($C145,'2) หลักการคำนวน Table'!$A$4:$A$36,
_xlfn.XLOOKUP(AX145,'2)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K145" s="319" cm="1">
        <f t="array" ref="BK145">ROUND((_xlfn.XLOOKUP($C145,'2) หลักการคำนวน Table'!$A$4:$A$36,
_xlfn.XLOOKUP(AY145,'2) หลักการคำนวน Table'!$C$3:$K$3,'2) หลักการคำนวน Table'!$C$4:$K$36,,-1)))*(_xlfn.XLOOKUP($C145,'2) หลักการคำนวน Table'!$A$4:$A$36, _xlfn.XLOOKUP($B145,'2) หลักการคำนวน Table'!$L$3:$Z$3,'2) หลักการคำนวน Table'!$L$4:$Z$36))),0)</f>
        <v>782</v>
      </c>
      <c r="BL145" s="320"/>
      <c r="BM145" s="320">
        <v>222215</v>
      </c>
      <c r="BN145" s="321">
        <v>782</v>
      </c>
    </row>
    <row r="146" spans="1:66" ht="14.7" customHeight="1" x14ac:dyDescent="0.25">
      <c r="A146" s="126">
        <f>VLOOKUP(C146,ASTBase!E:S,13,FALSE)</f>
        <v>222235</v>
      </c>
      <c r="B146" s="126" t="s">
        <v>406</v>
      </c>
      <c r="C146" s="232" t="s">
        <v>401</v>
      </c>
      <c r="D146" s="127">
        <v>26000</v>
      </c>
      <c r="E146" s="127">
        <v>23000</v>
      </c>
      <c r="F146" s="127">
        <v>175000</v>
      </c>
      <c r="G146" s="127">
        <v>48000</v>
      </c>
      <c r="H146" s="127">
        <v>14000</v>
      </c>
      <c r="I146" s="127">
        <v>21000</v>
      </c>
      <c r="J146" s="127">
        <v>24000</v>
      </c>
      <c r="K146" s="127">
        <v>18000</v>
      </c>
      <c r="L146" s="127">
        <v>33000</v>
      </c>
      <c r="M146" s="127">
        <v>31000</v>
      </c>
      <c r="N146" s="127">
        <v>25000</v>
      </c>
      <c r="O146" s="127">
        <v>28000</v>
      </c>
      <c r="P146" s="126">
        <v>23936.499999999993</v>
      </c>
      <c r="AB146" s="317">
        <f>IFERROR(IF(VLOOKUP($B146,Shortage!$A:$M,AB$2,FALSE)="Shortage",1,IFERROR(ROUND(P146/D146,4),0)),IFERROR(ROUND(P146/D146,4),0))</f>
        <v>1</v>
      </c>
      <c r="AC146" s="317">
        <f>IFERROR(IF(VLOOKUP($B146,Shortage!$A:$M,AC$2,FALSE)="Shortage",1,IFERROR(ROUND(Q146/E146,4),0)),IFERROR(ROUND(Q146/E146,4),0))</f>
        <v>0</v>
      </c>
      <c r="AD146" s="317">
        <f>IFERROR(IF(VLOOKUP($B146,Shortage!$A:$M,AD$2,FALSE)="Shortage",1,IFERROR(ROUND(R146/F146,4),0)),IFERROR(ROUND(R146/F146,4),0))</f>
        <v>0</v>
      </c>
      <c r="AE146" s="317">
        <f>IFERROR(IF(VLOOKUP($B146,Shortage!$A:$M,AE$2,FALSE)="Shortage",1,IFERROR(ROUND(S146/G146,4),0)),IFERROR(ROUND(S146/G146,4),0))</f>
        <v>0</v>
      </c>
      <c r="AF146" s="317">
        <f>IFERROR(IF(VLOOKUP($B146,Shortage!$A:$M,AF$2,FALSE)="Shortage",1,IFERROR(ROUND(T146/H146,4),0)),IFERROR(ROUND(T146/H146,4),0))</f>
        <v>0</v>
      </c>
      <c r="AG146" s="317">
        <f>IFERROR(IF(VLOOKUP($B146,Shortage!$A:$M,AG$2,FALSE)="Shortage",1,IFERROR(ROUND(U146/I146,4),0)),IFERROR(ROUND(U146/I146,4),0))</f>
        <v>0</v>
      </c>
      <c r="AH146" s="317">
        <f>IFERROR(IF(VLOOKUP($B146,Shortage!$A:$M,AH$2,FALSE)="Shortage",1,IFERROR(ROUND(V146/J146,4),0)),IFERROR(ROUND(V146/J146,4),0))</f>
        <v>0</v>
      </c>
      <c r="AI146" s="317">
        <f>IFERROR(IF(VLOOKUP($B146,Shortage!$A:$M,AI$2,FALSE)="Shortage",1,IFERROR(ROUND(W146/K146,4),0)),IFERROR(ROUND(W146/K146,4),0))</f>
        <v>0</v>
      </c>
      <c r="AJ146" s="317">
        <f>IFERROR(IF(VLOOKUP($B146,Shortage!$A:$M,AJ$2,FALSE)="Shortage",1,IFERROR(ROUND(X146/L146,4),0)),IFERROR(ROUND(X146/L146,4),0))</f>
        <v>0</v>
      </c>
      <c r="AK146" s="317">
        <f>IFERROR(IF(VLOOKUP($B146,Shortage!$A:$M,AK$2,FALSE)="Shortage",1,IFERROR(ROUND(Y146/M146,4),0)),IFERROR(ROUND(Y146/M146,4),0))</f>
        <v>0</v>
      </c>
      <c r="AL146" s="317">
        <f>IFERROR(IF(VLOOKUP($B146,Shortage!$A:$M,AL$2,FALSE)="Shortage",1,IFERROR(ROUND(Z146/N146,4),0)),IFERROR(ROUND(Z146/N146,4),0))</f>
        <v>0</v>
      </c>
      <c r="AM146" s="317">
        <f>IFERROR(IF(VLOOKUP($B146,Shortage!$A:$M,AM$2,FALSE)="Shortage",1,IFERROR(ROUND(AA146/O146,4),0)),IFERROR(ROUND(AA146/O146,4),0))</f>
        <v>0</v>
      </c>
      <c r="AN146" s="318">
        <f>IFERROR(_xlfn.XLOOKUP(AB146,'2) หลักการคำนวน Table'!$C$3:$K$3,'2) หลักการคำนวน Table'!$C$3:$K$3,,1),INDEX('2) หลักการคำนวน Table'!$C$3:$K$3,1))</f>
        <v>1</v>
      </c>
      <c r="AO146" s="318">
        <f>IFERROR(
  _xlfn.XLOOKUP(AC146,'2) หลักการคำนวน Table'!$C$3:$K$3,'2) หลักการคำนวน Table'!$C$3:$K$3,,1),
  IF(AC146&lt;MIN('2) หลักการคำนวน Table'!$C$3:$K$3),
     MIN('2) หลักการคำนวน Table'!$C$3:$K$3),
     MAX('2) หลักการคำนวน Table'!$C$3:$K$3)
  )
)</f>
        <v>0.9</v>
      </c>
      <c r="AP146" s="318">
        <f>IFERROR(
  _xlfn.XLOOKUP(AD146,'2) หลักการคำนวน Table'!$C$3:$K$3,'2) หลักการคำนวน Table'!$C$3:$K$3,,1),
  IF(AD146&lt;MIN('2) หลักการคำนวน Table'!$C$3:$K$3),
     MIN('2) หลักการคำนวน Table'!$C$3:$K$3),
     MAX('2) หลักการคำนวน Table'!$C$3:$K$3)
  )
)</f>
        <v>0.9</v>
      </c>
      <c r="AQ146" s="318">
        <f>IFERROR(
  _xlfn.XLOOKUP(AE146,'2) หลักการคำนวน Table'!$C$3:$K$3,'2) หลักการคำนวน Table'!$C$3:$K$3,,1),
  IF(AE146&lt;MIN('2) หลักการคำนวน Table'!$C$3:$K$3),
     MIN('2) หลักการคำนวน Table'!$C$3:$K$3),
     MAX('2) หลักการคำนวน Table'!$C$3:$K$3)
  )
)</f>
        <v>0.9</v>
      </c>
      <c r="AR146" s="318">
        <f>IFERROR(
  _xlfn.XLOOKUP(AF146,'2) หลักการคำนวน Table'!$C$3:$K$3,'2) หลักการคำนวน Table'!$C$3:$K$3,,1),
  IF(AF146&lt;MIN('2) หลักการคำนวน Table'!$C$3:$K$3),
     MIN('2) หลักการคำนวน Table'!$C$3:$K$3),
     MAX('2) หลักการคำนวน Table'!$C$3:$K$3)
  )
)</f>
        <v>0.9</v>
      </c>
      <c r="AS146" s="318">
        <f>IFERROR(
  _xlfn.XLOOKUP(AG146,'2) หลักการคำนวน Table'!$C$3:$K$3,'2) หลักการคำนวน Table'!$C$3:$K$3,,1),
  IF(AG146&lt;MIN('2) หลักการคำนวน Table'!$C$3:$K$3),
     MIN('2) หลักการคำนวน Table'!$C$3:$K$3),
     MAX('2) หลักการคำนวน Table'!$C$3:$K$3)
  )
)</f>
        <v>0.9</v>
      </c>
      <c r="AT146" s="318">
        <f>IFERROR(
  _xlfn.XLOOKUP(AH146,'2) หลักการคำนวน Table'!$C$3:$K$3,'2) หลักการคำนวน Table'!$C$3:$K$3,,1),
  IF(AH146&lt;MIN('2) หลักการคำนวน Table'!$C$3:$K$3),
     MIN('2) หลักการคำนวน Table'!$C$3:$K$3),
     MAX('2) หลักการคำนวน Table'!$C$3:$K$3)
  )
)</f>
        <v>0.9</v>
      </c>
      <c r="AU146" s="318">
        <f>IFERROR(
  _xlfn.XLOOKUP(AI146,'2) หลักการคำนวน Table'!$C$3:$K$3,'2) หลักการคำนวน Table'!$C$3:$K$3,,1),
  IF(AI146&lt;MIN('2) หลักการคำนวน Table'!$C$3:$K$3),
     MIN('2) หลักการคำนวน Table'!$C$3:$K$3),
     MAX('2) หลักการคำนวน Table'!$C$3:$K$3)
  )
)</f>
        <v>0.9</v>
      </c>
      <c r="AV146" s="318">
        <f>IFERROR(
  _xlfn.XLOOKUP(AJ146,'2) หลักการคำนวน Table'!$C$3:$K$3,'2) หลักการคำนวน Table'!$C$3:$K$3,,1),
  IF(AJ146&lt;MIN('2) หลักการคำนวน Table'!$C$3:$K$3),
     MIN('2) หลักการคำนวน Table'!$C$3:$K$3),
     MAX('2) หลักการคำนวน Table'!$C$3:$K$3)
  )
)</f>
        <v>0.9</v>
      </c>
      <c r="AW146" s="318">
        <f>IFERROR(
  _xlfn.XLOOKUP(AK146,'2) หลักการคำนวน Table'!$C$3:$K$3,'2) หลักการคำนวน Table'!$C$3:$K$3,,1),
  IF(AK146&lt;MIN('2) หลักการคำนวน Table'!$C$3:$K$3),
     MIN('2) หลักการคำนวน Table'!$C$3:$K$3),
     MAX('2) หลักการคำนวน Table'!$C$3:$K$3)
  )
)</f>
        <v>0.9</v>
      </c>
      <c r="AX146" s="318">
        <f>IFERROR(
  _xlfn.XLOOKUP(AL146,'2) หลักการคำนวน Table'!$C$3:$K$3,'2) หลักการคำนวน Table'!$C$3:$K$3,,1),
  IF(AL146&lt;MIN('2) หลักการคำนวน Table'!$C$3:$K$3),
     MIN('2) หลักการคำนวน Table'!$C$3:$K$3),
     MAX('2) หลักการคำนวน Table'!$C$3:$K$3)
  )
)</f>
        <v>0.9</v>
      </c>
      <c r="AY146" s="318">
        <f>IFERROR(
  _xlfn.XLOOKUP(AM146,'2) หลักการคำนวน Table'!$C$3:$K$3,'2) หลักการคำนวน Table'!$C$3:$K$3,,1),
  IF(AM146&lt;MIN('2) หลักการคำนวน Table'!$C$3:$K$3),
     MIN('2) หลักการคำนวน Table'!$C$3:$K$3),
     MAX('2) หลักการคำนวน Table'!$C$3:$K$3)
  )
)</f>
        <v>0.9</v>
      </c>
      <c r="AZ146" s="319" cm="1">
        <f t="array" ref="AZ146">ROUND((_xlfn.XLOOKUP($C146,'2) หลักการคำนวน Table'!$A$4:$A$36,
_xlfn.XLOOKUP(AN146,'2)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174</v>
      </c>
      <c r="BA146" s="319" cm="1">
        <f t="array" ref="BA146">ROUND((_xlfn.XLOOKUP($C146,'2) หลักการคำนวน Table'!$A$4:$A$36,
_xlfn.XLOOKUP(AO146,'2)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156</v>
      </c>
      <c r="BB146" s="319" cm="1">
        <f t="array" ref="BB146">ROUND((_xlfn.XLOOKUP($C146,'2) หลักการคำนวน Table'!$A$4:$A$36,
_xlfn.XLOOKUP(AP146,'2)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156</v>
      </c>
      <c r="BC146" s="319" cm="1">
        <f t="array" ref="BC146">ROUND((_xlfn.XLOOKUP($C146,'2) หลักการคำนวน Table'!$A$4:$A$36,
_xlfn.XLOOKUP(AQ146,'2)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156</v>
      </c>
      <c r="BD146" s="319" cm="1">
        <f t="array" ref="BD146">ROUND((_xlfn.XLOOKUP($C146,'2) หลักการคำนวน Table'!$A$4:$A$36,
_xlfn.XLOOKUP(AR146,'2)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156</v>
      </c>
      <c r="BE146" s="319" cm="1">
        <f t="array" ref="BE146">ROUND((_xlfn.XLOOKUP($C146,'2) หลักการคำนวน Table'!$A$4:$A$36,
_xlfn.XLOOKUP(AS146,'2)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156</v>
      </c>
      <c r="BF146" s="319" cm="1">
        <f t="array" ref="BF146">ROUND((_xlfn.XLOOKUP($C146,'2) หลักการคำนวน Table'!$A$4:$A$36,
_xlfn.XLOOKUP(AT146,'2)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156</v>
      </c>
      <c r="BG146" s="319" cm="1">
        <f t="array" ref="BG146">ROUND((_xlfn.XLOOKUP($C146,'2) หลักการคำนวน Table'!$A$4:$A$36,
_xlfn.XLOOKUP(AU146,'2)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156</v>
      </c>
      <c r="BH146" s="319" cm="1">
        <f t="array" ref="BH146">ROUND((_xlfn.XLOOKUP($C146,'2) หลักการคำนวน Table'!$A$4:$A$36,
_xlfn.XLOOKUP(AV146,'2)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156</v>
      </c>
      <c r="BI146" s="319" cm="1">
        <f t="array" ref="BI146">ROUND((_xlfn.XLOOKUP($C146,'2) หลักการคำนวน Table'!$A$4:$A$36,
_xlfn.XLOOKUP(AW146,'2)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156</v>
      </c>
      <c r="BJ146" s="319" cm="1">
        <f t="array" ref="BJ146">ROUND((_xlfn.XLOOKUP($C146,'2) หลักการคำนวน Table'!$A$4:$A$36,
_xlfn.XLOOKUP(AX146,'2)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156</v>
      </c>
      <c r="BK146" s="319" cm="1">
        <f t="array" ref="BK146">ROUND((_xlfn.XLOOKUP($C146,'2) หลักการคำนวน Table'!$A$4:$A$36,
_xlfn.XLOOKUP(AY146,'2) หลักการคำนวน Table'!$C$3:$K$3,'2) หลักการคำนวน Table'!$C$4:$K$36,,-1)))*(_xlfn.XLOOKUP($C146,'2) หลักการคำนวน Table'!$A$4:$A$36, _xlfn.XLOOKUP($B146,'2) หลักการคำนวน Table'!$L$3:$Z$3,'2) หลักการคำนวน Table'!$L$4:$Z$36))),0)</f>
        <v>156</v>
      </c>
      <c r="BL146" s="320"/>
      <c r="BM146" s="320">
        <v>222215</v>
      </c>
      <c r="BN146" s="321">
        <v>174</v>
      </c>
    </row>
    <row r="147" spans="1:66" ht="14.7" customHeight="1" x14ac:dyDescent="0.25">
      <c r="A147" s="126">
        <f>VLOOKUP(C147,ASTBase!E:S,13,FALSE)</f>
        <v>222235</v>
      </c>
      <c r="B147" s="126" t="s">
        <v>409</v>
      </c>
      <c r="C147" s="232" t="s">
        <v>401</v>
      </c>
      <c r="D147" s="127">
        <v>400</v>
      </c>
      <c r="E147" s="127">
        <v>400</v>
      </c>
      <c r="F147" s="127">
        <v>600</v>
      </c>
      <c r="G147" s="127">
        <v>400</v>
      </c>
      <c r="H147" s="127">
        <v>400</v>
      </c>
      <c r="I147" s="127">
        <v>300</v>
      </c>
      <c r="J147" s="127">
        <v>400</v>
      </c>
      <c r="K147" s="127">
        <v>400</v>
      </c>
      <c r="L147" s="127">
        <v>600</v>
      </c>
      <c r="M147" s="127">
        <v>300</v>
      </c>
      <c r="N147" s="127">
        <v>400</v>
      </c>
      <c r="O147" s="127">
        <v>400</v>
      </c>
      <c r="P147" s="126">
        <v>384.7679999999998</v>
      </c>
      <c r="AB147" s="317">
        <f>IFERROR(IF(VLOOKUP($B147,Shortage!$A:$M,AB$2,FALSE)="Shortage",1,IFERROR(ROUND(P147/D147,4),0)),IFERROR(ROUND(P147/D147,4),0))</f>
        <v>0.96189999999999998</v>
      </c>
      <c r="AC147" s="317">
        <f>IFERROR(IF(VLOOKUP($B147,Shortage!$A:$M,AC$2,FALSE)="Shortage",1,IFERROR(ROUND(Q147/E147,4),0)),IFERROR(ROUND(Q147/E147,4),0))</f>
        <v>0</v>
      </c>
      <c r="AD147" s="317">
        <f>IFERROR(IF(VLOOKUP($B147,Shortage!$A:$M,AD$2,FALSE)="Shortage",1,IFERROR(ROUND(R147/F147,4),0)),IFERROR(ROUND(R147/F147,4),0))</f>
        <v>0</v>
      </c>
      <c r="AE147" s="317">
        <f>IFERROR(IF(VLOOKUP($B147,Shortage!$A:$M,AE$2,FALSE)="Shortage",1,IFERROR(ROUND(S147/G147,4),0)),IFERROR(ROUND(S147/G147,4),0))</f>
        <v>0</v>
      </c>
      <c r="AF147" s="317">
        <f>IFERROR(IF(VLOOKUP($B147,Shortage!$A:$M,AF$2,FALSE)="Shortage",1,IFERROR(ROUND(T147/H147,4),0)),IFERROR(ROUND(T147/H147,4),0))</f>
        <v>0</v>
      </c>
      <c r="AG147" s="317">
        <f>IFERROR(IF(VLOOKUP($B147,Shortage!$A:$M,AG$2,FALSE)="Shortage",1,IFERROR(ROUND(U147/I147,4),0)),IFERROR(ROUND(U147/I147,4),0))</f>
        <v>0</v>
      </c>
      <c r="AH147" s="317">
        <f>IFERROR(IF(VLOOKUP($B147,Shortage!$A:$M,AH$2,FALSE)="Shortage",1,IFERROR(ROUND(V147/J147,4),0)),IFERROR(ROUND(V147/J147,4),0))</f>
        <v>0</v>
      </c>
      <c r="AI147" s="317">
        <f>IFERROR(IF(VLOOKUP($B147,Shortage!$A:$M,AI$2,FALSE)="Shortage",1,IFERROR(ROUND(W147/K147,4),0)),IFERROR(ROUND(W147/K147,4),0))</f>
        <v>0</v>
      </c>
      <c r="AJ147" s="317">
        <f>IFERROR(IF(VLOOKUP($B147,Shortage!$A:$M,AJ$2,FALSE)="Shortage",1,IFERROR(ROUND(X147/L147,4),0)),IFERROR(ROUND(X147/L147,4),0))</f>
        <v>0</v>
      </c>
      <c r="AK147" s="317">
        <f>IFERROR(IF(VLOOKUP($B147,Shortage!$A:$M,AK$2,FALSE)="Shortage",1,IFERROR(ROUND(Y147/M147,4),0)),IFERROR(ROUND(Y147/M147,4),0))</f>
        <v>0</v>
      </c>
      <c r="AL147" s="317">
        <f>IFERROR(IF(VLOOKUP($B147,Shortage!$A:$M,AL$2,FALSE)="Shortage",1,IFERROR(ROUND(Z147/N147,4),0)),IFERROR(ROUND(Z147/N147,4),0))</f>
        <v>0</v>
      </c>
      <c r="AM147" s="317">
        <f>IFERROR(IF(VLOOKUP($B147,Shortage!$A:$M,AM$2,FALSE)="Shortage",1,IFERROR(ROUND(AA147/O147,4),0)),IFERROR(ROUND(AA147/O147,4),0))</f>
        <v>0</v>
      </c>
      <c r="AN147" s="318">
        <f>IFERROR(_xlfn.XLOOKUP(AB147,'2) หลักการคำนวน Table'!$C$3:$K$3,'2) หลักการคำนวน Table'!$C$3:$K$3,,1),INDEX('2) หลักการคำนวน Table'!$C$3:$K$3,1))</f>
        <v>1</v>
      </c>
      <c r="AO147" s="318">
        <f>IFERROR(
  _xlfn.XLOOKUP(AC147,'2) หลักการคำนวน Table'!$C$3:$K$3,'2) หลักการคำนวน Table'!$C$3:$K$3,,1),
  IF(AC147&lt;MIN('2) หลักการคำนวน Table'!$C$3:$K$3),
     MIN('2) หลักการคำนวน Table'!$C$3:$K$3),
     MAX('2) หลักการคำนวน Table'!$C$3:$K$3)
  )
)</f>
        <v>0.9</v>
      </c>
      <c r="AP147" s="318">
        <f>IFERROR(
  _xlfn.XLOOKUP(AD147,'2) หลักการคำนวน Table'!$C$3:$K$3,'2) หลักการคำนวน Table'!$C$3:$K$3,,1),
  IF(AD147&lt;MIN('2) หลักการคำนวน Table'!$C$3:$K$3),
     MIN('2) หลักการคำนวน Table'!$C$3:$K$3),
     MAX('2) หลักการคำนวน Table'!$C$3:$K$3)
  )
)</f>
        <v>0.9</v>
      </c>
      <c r="AQ147" s="318">
        <f>IFERROR(
  _xlfn.XLOOKUP(AE147,'2) หลักการคำนวน Table'!$C$3:$K$3,'2) หลักการคำนวน Table'!$C$3:$K$3,,1),
  IF(AE147&lt;MIN('2) หลักการคำนวน Table'!$C$3:$K$3),
     MIN('2) หลักการคำนวน Table'!$C$3:$K$3),
     MAX('2) หลักการคำนวน Table'!$C$3:$K$3)
  )
)</f>
        <v>0.9</v>
      </c>
      <c r="AR147" s="318">
        <f>IFERROR(
  _xlfn.XLOOKUP(AF147,'2) หลักการคำนวน Table'!$C$3:$K$3,'2) หลักการคำนวน Table'!$C$3:$K$3,,1),
  IF(AF147&lt;MIN('2) หลักการคำนวน Table'!$C$3:$K$3),
     MIN('2) หลักการคำนวน Table'!$C$3:$K$3),
     MAX('2) หลักการคำนวน Table'!$C$3:$K$3)
  )
)</f>
        <v>0.9</v>
      </c>
      <c r="AS147" s="318">
        <f>IFERROR(
  _xlfn.XLOOKUP(AG147,'2) หลักการคำนวน Table'!$C$3:$K$3,'2) หลักการคำนวน Table'!$C$3:$K$3,,1),
  IF(AG147&lt;MIN('2) หลักการคำนวน Table'!$C$3:$K$3),
     MIN('2) หลักการคำนวน Table'!$C$3:$K$3),
     MAX('2) หลักการคำนวน Table'!$C$3:$K$3)
  )
)</f>
        <v>0.9</v>
      </c>
      <c r="AT147" s="318">
        <f>IFERROR(
  _xlfn.XLOOKUP(AH147,'2) หลักการคำนวน Table'!$C$3:$K$3,'2) หลักการคำนวน Table'!$C$3:$K$3,,1),
  IF(AH147&lt;MIN('2) หลักการคำนวน Table'!$C$3:$K$3),
     MIN('2) หลักการคำนวน Table'!$C$3:$K$3),
     MAX('2) หลักการคำนวน Table'!$C$3:$K$3)
  )
)</f>
        <v>0.9</v>
      </c>
      <c r="AU147" s="318">
        <f>IFERROR(
  _xlfn.XLOOKUP(AI147,'2) หลักการคำนวน Table'!$C$3:$K$3,'2) หลักการคำนวน Table'!$C$3:$K$3,,1),
  IF(AI147&lt;MIN('2) หลักการคำนวน Table'!$C$3:$K$3),
     MIN('2) หลักการคำนวน Table'!$C$3:$K$3),
     MAX('2) หลักการคำนวน Table'!$C$3:$K$3)
  )
)</f>
        <v>0.9</v>
      </c>
      <c r="AV147" s="318">
        <f>IFERROR(
  _xlfn.XLOOKUP(AJ147,'2) หลักการคำนวน Table'!$C$3:$K$3,'2) หลักการคำนวน Table'!$C$3:$K$3,,1),
  IF(AJ147&lt;MIN('2) หลักการคำนวน Table'!$C$3:$K$3),
     MIN('2) หลักการคำนวน Table'!$C$3:$K$3),
     MAX('2) หลักการคำนวน Table'!$C$3:$K$3)
  )
)</f>
        <v>0.9</v>
      </c>
      <c r="AW147" s="318">
        <f>IFERROR(
  _xlfn.XLOOKUP(AK147,'2) หลักการคำนวน Table'!$C$3:$K$3,'2) หลักการคำนวน Table'!$C$3:$K$3,,1),
  IF(AK147&lt;MIN('2) หลักการคำนวน Table'!$C$3:$K$3),
     MIN('2) หลักการคำนวน Table'!$C$3:$K$3),
     MAX('2) หลักการคำนวน Table'!$C$3:$K$3)
  )
)</f>
        <v>0.9</v>
      </c>
      <c r="AX147" s="318">
        <f>IFERROR(
  _xlfn.XLOOKUP(AL147,'2) หลักการคำนวน Table'!$C$3:$K$3,'2) หลักการคำนวน Table'!$C$3:$K$3,,1),
  IF(AL147&lt;MIN('2) หลักการคำนวน Table'!$C$3:$K$3),
     MIN('2) หลักการคำนวน Table'!$C$3:$K$3),
     MAX('2) หลักการคำนวน Table'!$C$3:$K$3)
  )
)</f>
        <v>0.9</v>
      </c>
      <c r="AY147" s="318">
        <f>IFERROR(
  _xlfn.XLOOKUP(AM147,'2) หลักการคำนวน Table'!$C$3:$K$3,'2) หลักการคำนวน Table'!$C$3:$K$3,,1),
  IF(AM147&lt;MIN('2) หลักการคำนวน Table'!$C$3:$K$3),
     MIN('2) หลักการคำนวน Table'!$C$3:$K$3),
     MAX('2) หลักการคำนวน Table'!$C$3:$K$3)
  )
)</f>
        <v>0.9</v>
      </c>
      <c r="AZ147" s="319" cm="1">
        <f t="array" ref="AZ147">ROUND((_xlfn.XLOOKUP($C147,'2) หลักการคำนวน Table'!$A$4:$A$36,
_xlfn.XLOOKUP(AN147,'2)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637</v>
      </c>
      <c r="BA147" s="319" cm="1">
        <f t="array" ref="BA147">ROUND((_xlfn.XLOOKUP($C147,'2) หลักการคำนวน Table'!$A$4:$A$36,
_xlfn.XLOOKUP(AO147,'2)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573</v>
      </c>
      <c r="BB147" s="319" cm="1">
        <f t="array" ref="BB147">ROUND((_xlfn.XLOOKUP($C147,'2) หลักการคำนวน Table'!$A$4:$A$36,
_xlfn.XLOOKUP(AP147,'2)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573</v>
      </c>
      <c r="BC147" s="319" cm="1">
        <f t="array" ref="BC147">ROUND((_xlfn.XLOOKUP($C147,'2) หลักการคำนวน Table'!$A$4:$A$36,
_xlfn.XLOOKUP(AQ147,'2)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573</v>
      </c>
      <c r="BD147" s="319" cm="1">
        <f t="array" ref="BD147">ROUND((_xlfn.XLOOKUP($C147,'2) หลักการคำนวน Table'!$A$4:$A$36,
_xlfn.XLOOKUP(AR147,'2)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573</v>
      </c>
      <c r="BE147" s="319" cm="1">
        <f t="array" ref="BE147">ROUND((_xlfn.XLOOKUP($C147,'2) หลักการคำนวน Table'!$A$4:$A$36,
_xlfn.XLOOKUP(AS147,'2)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573</v>
      </c>
      <c r="BF147" s="319" cm="1">
        <f t="array" ref="BF147">ROUND((_xlfn.XLOOKUP($C147,'2) หลักการคำนวน Table'!$A$4:$A$36,
_xlfn.XLOOKUP(AT147,'2)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573</v>
      </c>
      <c r="BG147" s="319" cm="1">
        <f t="array" ref="BG147">ROUND((_xlfn.XLOOKUP($C147,'2) หลักการคำนวน Table'!$A$4:$A$36,
_xlfn.XLOOKUP(AU147,'2)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573</v>
      </c>
      <c r="BH147" s="319" cm="1">
        <f t="array" ref="BH147">ROUND((_xlfn.XLOOKUP($C147,'2) หลักการคำนวน Table'!$A$4:$A$36,
_xlfn.XLOOKUP(AV147,'2)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573</v>
      </c>
      <c r="BI147" s="319" cm="1">
        <f t="array" ref="BI147">ROUND((_xlfn.XLOOKUP($C147,'2) หลักการคำนวน Table'!$A$4:$A$36,
_xlfn.XLOOKUP(AW147,'2)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573</v>
      </c>
      <c r="BJ147" s="319" cm="1">
        <f t="array" ref="BJ147">ROUND((_xlfn.XLOOKUP($C147,'2) หลักการคำนวน Table'!$A$4:$A$36,
_xlfn.XLOOKUP(AX147,'2)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573</v>
      </c>
      <c r="BK147" s="319" cm="1">
        <f t="array" ref="BK147">ROUND((_xlfn.XLOOKUP($C147,'2) หลักการคำนวน Table'!$A$4:$A$36,
_xlfn.XLOOKUP(AY147,'2) หลักการคำนวน Table'!$C$3:$K$3,'2) หลักการคำนวน Table'!$C$4:$K$36,,-1)))*(_xlfn.XLOOKUP($C147,'2) หลักการคำนวน Table'!$A$4:$A$36, _xlfn.XLOOKUP($B147,'2) หลักการคำนวน Table'!$L$3:$Z$3,'2) หลักการคำนวน Table'!$L$4:$Z$36))),0)</f>
        <v>573</v>
      </c>
      <c r="BL147" s="320"/>
      <c r="BM147" s="320">
        <v>222215</v>
      </c>
      <c r="BN147" s="321">
        <v>637</v>
      </c>
    </row>
    <row r="148" spans="1:66" ht="14.7" customHeight="1" x14ac:dyDescent="0.25">
      <c r="A148" s="126">
        <f>VLOOKUP(C148,ASTBase!E:S,13,FALSE)</f>
        <v>222235</v>
      </c>
      <c r="B148" s="126" t="s">
        <v>410</v>
      </c>
      <c r="C148" s="232" t="s">
        <v>401</v>
      </c>
      <c r="D148" s="127">
        <v>600</v>
      </c>
      <c r="E148" s="127">
        <v>800</v>
      </c>
      <c r="F148" s="127">
        <v>1500</v>
      </c>
      <c r="G148" s="127">
        <v>1000</v>
      </c>
      <c r="H148" s="127">
        <v>1000</v>
      </c>
      <c r="I148" s="127">
        <v>600</v>
      </c>
      <c r="J148" s="127">
        <v>1500</v>
      </c>
      <c r="K148" s="127">
        <v>700</v>
      </c>
      <c r="L148" s="127">
        <v>1200</v>
      </c>
      <c r="M148" s="127">
        <v>1300</v>
      </c>
      <c r="N148" s="127">
        <v>800</v>
      </c>
      <c r="O148" s="127">
        <v>1000</v>
      </c>
      <c r="P148" s="126">
        <v>711.4</v>
      </c>
      <c r="AB148" s="317">
        <f>IFERROR(IF(VLOOKUP($B148,Shortage!$A:$M,AB$2,FALSE)="Shortage",1,IFERROR(ROUND(P148/D148,4),0)),IFERROR(ROUND(P148/D148,4),0))</f>
        <v>1.1857</v>
      </c>
      <c r="AC148" s="317">
        <f>IFERROR(IF(VLOOKUP($B148,Shortage!$A:$M,AC$2,FALSE)="Shortage",1,IFERROR(ROUND(Q148/E148,4),0)),IFERROR(ROUND(Q148/E148,4),0))</f>
        <v>0</v>
      </c>
      <c r="AD148" s="317">
        <f>IFERROR(IF(VLOOKUP($B148,Shortage!$A:$M,AD$2,FALSE)="Shortage",1,IFERROR(ROUND(R148/F148,4),0)),IFERROR(ROUND(R148/F148,4),0))</f>
        <v>0</v>
      </c>
      <c r="AE148" s="317">
        <f>IFERROR(IF(VLOOKUP($B148,Shortage!$A:$M,AE$2,FALSE)="Shortage",1,IFERROR(ROUND(S148/G148,4),0)),IFERROR(ROUND(S148/G148,4),0))</f>
        <v>0</v>
      </c>
      <c r="AF148" s="317">
        <f>IFERROR(IF(VLOOKUP($B148,Shortage!$A:$M,AF$2,FALSE)="Shortage",1,IFERROR(ROUND(T148/H148,4),0)),IFERROR(ROUND(T148/H148,4),0))</f>
        <v>0</v>
      </c>
      <c r="AG148" s="317">
        <f>IFERROR(IF(VLOOKUP($B148,Shortage!$A:$M,AG$2,FALSE)="Shortage",1,IFERROR(ROUND(U148/I148,4),0)),IFERROR(ROUND(U148/I148,4),0))</f>
        <v>0</v>
      </c>
      <c r="AH148" s="317">
        <f>IFERROR(IF(VLOOKUP($B148,Shortage!$A:$M,AH$2,FALSE)="Shortage",1,IFERROR(ROUND(V148/J148,4),0)),IFERROR(ROUND(V148/J148,4),0))</f>
        <v>0</v>
      </c>
      <c r="AI148" s="317">
        <f>IFERROR(IF(VLOOKUP($B148,Shortage!$A:$M,AI$2,FALSE)="Shortage",1,IFERROR(ROUND(W148/K148,4),0)),IFERROR(ROUND(W148/K148,4),0))</f>
        <v>0</v>
      </c>
      <c r="AJ148" s="317">
        <f>IFERROR(IF(VLOOKUP($B148,Shortage!$A:$M,AJ$2,FALSE)="Shortage",1,IFERROR(ROUND(X148/L148,4),0)),IFERROR(ROUND(X148/L148,4),0))</f>
        <v>0</v>
      </c>
      <c r="AK148" s="317">
        <f>IFERROR(IF(VLOOKUP($B148,Shortage!$A:$M,AK$2,FALSE)="Shortage",1,IFERROR(ROUND(Y148/M148,4),0)),IFERROR(ROUND(Y148/M148,4),0))</f>
        <v>0</v>
      </c>
      <c r="AL148" s="317">
        <f>IFERROR(IF(VLOOKUP($B148,Shortage!$A:$M,AL$2,FALSE)="Shortage",1,IFERROR(ROUND(Z148/N148,4),0)),IFERROR(ROUND(Z148/N148,4),0))</f>
        <v>0</v>
      </c>
      <c r="AM148" s="317">
        <f>IFERROR(IF(VLOOKUP($B148,Shortage!$A:$M,AM$2,FALSE)="Shortage",1,IFERROR(ROUND(AA148/O148,4),0)),IFERROR(ROUND(AA148/O148,4),0))</f>
        <v>0</v>
      </c>
      <c r="AN148" s="318">
        <f>IFERROR(_xlfn.XLOOKUP(AB148,'2) หลักการคำนวน Table'!$C$3:$K$3,'2) หลักการคำนวน Table'!$C$3:$K$3,,1),INDEX('2) หลักการคำนวน Table'!$C$3:$K$3,1))</f>
        <v>1.2</v>
      </c>
      <c r="AO148" s="318">
        <f>IFERROR(
  _xlfn.XLOOKUP(AC148,'2) หลักการคำนวน Table'!$C$3:$K$3,'2) หลักการคำนวน Table'!$C$3:$K$3,,1),
  IF(AC148&lt;MIN('2) หลักการคำนวน Table'!$C$3:$K$3),
     MIN('2) หลักการคำนวน Table'!$C$3:$K$3),
     MAX('2) หลักการคำนวน Table'!$C$3:$K$3)
  )
)</f>
        <v>0.9</v>
      </c>
      <c r="AP148" s="318">
        <f>IFERROR(
  _xlfn.XLOOKUP(AD148,'2) หลักการคำนวน Table'!$C$3:$K$3,'2) หลักการคำนวน Table'!$C$3:$K$3,,1),
  IF(AD148&lt;MIN('2) หลักการคำนวน Table'!$C$3:$K$3),
     MIN('2) หลักการคำนวน Table'!$C$3:$K$3),
     MAX('2) หลักการคำนวน Table'!$C$3:$K$3)
  )
)</f>
        <v>0.9</v>
      </c>
      <c r="AQ148" s="318">
        <f>IFERROR(
  _xlfn.XLOOKUP(AE148,'2) หลักการคำนวน Table'!$C$3:$K$3,'2) หลักการคำนวน Table'!$C$3:$K$3,,1),
  IF(AE148&lt;MIN('2) หลักการคำนวน Table'!$C$3:$K$3),
     MIN('2) หลักการคำนวน Table'!$C$3:$K$3),
     MAX('2) หลักการคำนวน Table'!$C$3:$K$3)
  )
)</f>
        <v>0.9</v>
      </c>
      <c r="AR148" s="318">
        <f>IFERROR(
  _xlfn.XLOOKUP(AF148,'2) หลักการคำนวน Table'!$C$3:$K$3,'2) หลักการคำนวน Table'!$C$3:$K$3,,1),
  IF(AF148&lt;MIN('2) หลักการคำนวน Table'!$C$3:$K$3),
     MIN('2) หลักการคำนวน Table'!$C$3:$K$3),
     MAX('2) หลักการคำนวน Table'!$C$3:$K$3)
  )
)</f>
        <v>0.9</v>
      </c>
      <c r="AS148" s="318">
        <f>IFERROR(
  _xlfn.XLOOKUP(AG148,'2) หลักการคำนวน Table'!$C$3:$K$3,'2) หลักการคำนวน Table'!$C$3:$K$3,,1),
  IF(AG148&lt;MIN('2) หลักการคำนวน Table'!$C$3:$K$3),
     MIN('2) หลักการคำนวน Table'!$C$3:$K$3),
     MAX('2) หลักการคำนวน Table'!$C$3:$K$3)
  )
)</f>
        <v>0.9</v>
      </c>
      <c r="AT148" s="318">
        <f>IFERROR(
  _xlfn.XLOOKUP(AH148,'2) หลักการคำนวน Table'!$C$3:$K$3,'2) หลักการคำนวน Table'!$C$3:$K$3,,1),
  IF(AH148&lt;MIN('2) หลักการคำนวน Table'!$C$3:$K$3),
     MIN('2) หลักการคำนวน Table'!$C$3:$K$3),
     MAX('2) หลักการคำนวน Table'!$C$3:$K$3)
  )
)</f>
        <v>0.9</v>
      </c>
      <c r="AU148" s="318">
        <f>IFERROR(
  _xlfn.XLOOKUP(AI148,'2) หลักการคำนวน Table'!$C$3:$K$3,'2) หลักการคำนวน Table'!$C$3:$K$3,,1),
  IF(AI148&lt;MIN('2) หลักการคำนวน Table'!$C$3:$K$3),
     MIN('2) หลักการคำนวน Table'!$C$3:$K$3),
     MAX('2) หลักการคำนวน Table'!$C$3:$K$3)
  )
)</f>
        <v>0.9</v>
      </c>
      <c r="AV148" s="318">
        <f>IFERROR(
  _xlfn.XLOOKUP(AJ148,'2) หลักการคำนวน Table'!$C$3:$K$3,'2) หลักการคำนวน Table'!$C$3:$K$3,,1),
  IF(AJ148&lt;MIN('2) หลักการคำนวน Table'!$C$3:$K$3),
     MIN('2) หลักการคำนวน Table'!$C$3:$K$3),
     MAX('2) หลักการคำนวน Table'!$C$3:$K$3)
  )
)</f>
        <v>0.9</v>
      </c>
      <c r="AW148" s="318">
        <f>IFERROR(
  _xlfn.XLOOKUP(AK148,'2) หลักการคำนวน Table'!$C$3:$K$3,'2) หลักการคำนวน Table'!$C$3:$K$3,,1),
  IF(AK148&lt;MIN('2) หลักการคำนวน Table'!$C$3:$K$3),
     MIN('2) หลักการคำนวน Table'!$C$3:$K$3),
     MAX('2) หลักการคำนวน Table'!$C$3:$K$3)
  )
)</f>
        <v>0.9</v>
      </c>
      <c r="AX148" s="318">
        <f>IFERROR(
  _xlfn.XLOOKUP(AL148,'2) หลักการคำนวน Table'!$C$3:$K$3,'2) หลักการคำนวน Table'!$C$3:$K$3,,1),
  IF(AL148&lt;MIN('2) หลักการคำนวน Table'!$C$3:$K$3),
     MIN('2) หลักการคำนวน Table'!$C$3:$K$3),
     MAX('2) หลักการคำนวน Table'!$C$3:$K$3)
  )
)</f>
        <v>0.9</v>
      </c>
      <c r="AY148" s="318">
        <f>IFERROR(
  _xlfn.XLOOKUP(AM148,'2) หลักการคำนวน Table'!$C$3:$K$3,'2) หลักการคำนวน Table'!$C$3:$K$3,,1),
  IF(AM148&lt;MIN('2) หลักการคำนวน Table'!$C$3:$K$3),
     MIN('2) หลักการคำนวน Table'!$C$3:$K$3),
     MAX('2) หลักการคำนวน Table'!$C$3:$K$3)
  )
)</f>
        <v>0.9</v>
      </c>
      <c r="AZ148" s="319" cm="1">
        <f t="array" ref="AZ148">ROUND((_xlfn.XLOOKUP($C148,'2) หลักการคำนวน Table'!$A$4:$A$36,
_xlfn.XLOOKUP(AN148,'2)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695</v>
      </c>
      <c r="BA148" s="319" cm="1">
        <f t="array" ref="BA148">ROUND((_xlfn.XLOOKUP($C148,'2) หลักการคำนวน Table'!$A$4:$A$36,
_xlfn.XLOOKUP(AO148,'2)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521</v>
      </c>
      <c r="BB148" s="319" cm="1">
        <f t="array" ref="BB148">ROUND((_xlfn.XLOOKUP($C148,'2) หลักการคำนวน Table'!$A$4:$A$36,
_xlfn.XLOOKUP(AP148,'2)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521</v>
      </c>
      <c r="BC148" s="319" cm="1">
        <f t="array" ref="BC148">ROUND((_xlfn.XLOOKUP($C148,'2) หลักการคำนวน Table'!$A$4:$A$36,
_xlfn.XLOOKUP(AQ148,'2)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521</v>
      </c>
      <c r="BD148" s="319" cm="1">
        <f t="array" ref="BD148">ROUND((_xlfn.XLOOKUP($C148,'2) หลักการคำนวน Table'!$A$4:$A$36,
_xlfn.XLOOKUP(AR148,'2)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521</v>
      </c>
      <c r="BE148" s="319" cm="1">
        <f t="array" ref="BE148">ROUND((_xlfn.XLOOKUP($C148,'2) หลักการคำนวน Table'!$A$4:$A$36,
_xlfn.XLOOKUP(AS148,'2)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521</v>
      </c>
      <c r="BF148" s="319" cm="1">
        <f t="array" ref="BF148">ROUND((_xlfn.XLOOKUP($C148,'2) หลักการคำนวน Table'!$A$4:$A$36,
_xlfn.XLOOKUP(AT148,'2)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521</v>
      </c>
      <c r="BG148" s="319" cm="1">
        <f t="array" ref="BG148">ROUND((_xlfn.XLOOKUP($C148,'2) หลักการคำนวน Table'!$A$4:$A$36,
_xlfn.XLOOKUP(AU148,'2)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521</v>
      </c>
      <c r="BH148" s="319" cm="1">
        <f t="array" ref="BH148">ROUND((_xlfn.XLOOKUP($C148,'2) หลักการคำนวน Table'!$A$4:$A$36,
_xlfn.XLOOKUP(AV148,'2)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521</v>
      </c>
      <c r="BI148" s="319" cm="1">
        <f t="array" ref="BI148">ROUND((_xlfn.XLOOKUP($C148,'2) หลักการคำนวน Table'!$A$4:$A$36,
_xlfn.XLOOKUP(AW148,'2)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521</v>
      </c>
      <c r="BJ148" s="319" cm="1">
        <f t="array" ref="BJ148">ROUND((_xlfn.XLOOKUP($C148,'2) หลักการคำนวน Table'!$A$4:$A$36,
_xlfn.XLOOKUP(AX148,'2)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521</v>
      </c>
      <c r="BK148" s="319" cm="1">
        <f t="array" ref="BK148">ROUND((_xlfn.XLOOKUP($C148,'2) หลักการคำนวน Table'!$A$4:$A$36,
_xlfn.XLOOKUP(AY148,'2) หลักการคำนวน Table'!$C$3:$K$3,'2) หลักการคำนวน Table'!$C$4:$K$36,,-1)))*(_xlfn.XLOOKUP($C148,'2) หลักการคำนวน Table'!$A$4:$A$36, _xlfn.XLOOKUP($B148,'2) หลักการคำนวน Table'!$L$3:$Z$3,'2) หลักการคำนวน Table'!$L$4:$Z$36))),0)</f>
        <v>521</v>
      </c>
      <c r="BL148" s="320"/>
      <c r="BM148" s="320">
        <v>222215</v>
      </c>
      <c r="BN148" s="321">
        <v>695</v>
      </c>
    </row>
    <row r="149" spans="1:66" ht="14.7" customHeight="1" x14ac:dyDescent="0.25">
      <c r="A149" s="126">
        <f>VLOOKUP(C149,ASTBase!E:S,13,FALSE)</f>
        <v>222235</v>
      </c>
      <c r="B149" s="126" t="s">
        <v>415</v>
      </c>
      <c r="C149" s="232" t="s">
        <v>401</v>
      </c>
      <c r="D149" s="127">
        <v>300</v>
      </c>
      <c r="E149" s="127">
        <v>300</v>
      </c>
      <c r="F149" s="127">
        <v>300</v>
      </c>
      <c r="G149" s="127">
        <v>300</v>
      </c>
      <c r="H149" s="127">
        <v>300</v>
      </c>
      <c r="I149" s="127">
        <v>300</v>
      </c>
      <c r="J149" s="127">
        <v>300</v>
      </c>
      <c r="K149" s="127">
        <v>300</v>
      </c>
      <c r="L149" s="127">
        <v>350</v>
      </c>
      <c r="M149" s="127">
        <v>300</v>
      </c>
      <c r="N149" s="127">
        <v>300</v>
      </c>
      <c r="O149" s="127">
        <v>300</v>
      </c>
      <c r="P149" s="126">
        <v>113.4</v>
      </c>
      <c r="AB149" s="317">
        <f>IFERROR(IF(VLOOKUP($B149,Shortage!$A:$M,AB$2,FALSE)="Shortage",1,IFERROR(ROUND(P149/D149,4),0)),IFERROR(ROUND(P149/D149,4),0))</f>
        <v>0.378</v>
      </c>
      <c r="AC149" s="317">
        <f>IFERROR(IF(VLOOKUP($B149,Shortage!$A:$M,AC$2,FALSE)="Shortage",1,IFERROR(ROUND(Q149/E149,4),0)),IFERROR(ROUND(Q149/E149,4),0))</f>
        <v>0</v>
      </c>
      <c r="AD149" s="317">
        <f>IFERROR(IF(VLOOKUP($B149,Shortage!$A:$M,AD$2,FALSE)="Shortage",1,IFERROR(ROUND(R149/F149,4),0)),IFERROR(ROUND(R149/F149,4),0))</f>
        <v>0</v>
      </c>
      <c r="AE149" s="317">
        <f>IFERROR(IF(VLOOKUP($B149,Shortage!$A:$M,AE$2,FALSE)="Shortage",1,IFERROR(ROUND(S149/G149,4),0)),IFERROR(ROUND(S149/G149,4),0))</f>
        <v>0</v>
      </c>
      <c r="AF149" s="317">
        <f>IFERROR(IF(VLOOKUP($B149,Shortage!$A:$M,AF$2,FALSE)="Shortage",1,IFERROR(ROUND(T149/H149,4),0)),IFERROR(ROUND(T149/H149,4),0))</f>
        <v>0</v>
      </c>
      <c r="AG149" s="317">
        <f>IFERROR(IF(VLOOKUP($B149,Shortage!$A:$M,AG$2,FALSE)="Shortage",1,IFERROR(ROUND(U149/I149,4),0)),IFERROR(ROUND(U149/I149,4),0))</f>
        <v>0</v>
      </c>
      <c r="AH149" s="317">
        <f>IFERROR(IF(VLOOKUP($B149,Shortage!$A:$M,AH$2,FALSE)="Shortage",1,IFERROR(ROUND(V149/J149,4),0)),IFERROR(ROUND(V149/J149,4),0))</f>
        <v>0</v>
      </c>
      <c r="AI149" s="317">
        <f>IFERROR(IF(VLOOKUP($B149,Shortage!$A:$M,AI$2,FALSE)="Shortage",1,IFERROR(ROUND(W149/K149,4),0)),IFERROR(ROUND(W149/K149,4),0))</f>
        <v>0</v>
      </c>
      <c r="AJ149" s="317">
        <f>IFERROR(IF(VLOOKUP($B149,Shortage!$A:$M,AJ$2,FALSE)="Shortage",1,IFERROR(ROUND(X149/L149,4),0)),IFERROR(ROUND(X149/L149,4),0))</f>
        <v>0</v>
      </c>
      <c r="AK149" s="317">
        <f>IFERROR(IF(VLOOKUP($B149,Shortage!$A:$M,AK$2,FALSE)="Shortage",1,IFERROR(ROUND(Y149/M149,4),0)),IFERROR(ROUND(Y149/M149,4),0))</f>
        <v>0</v>
      </c>
      <c r="AL149" s="317">
        <f>IFERROR(IF(VLOOKUP($B149,Shortage!$A:$M,AL$2,FALSE)="Shortage",1,IFERROR(ROUND(Z149/N149,4),0)),IFERROR(ROUND(Z149/N149,4),0))</f>
        <v>0</v>
      </c>
      <c r="AM149" s="317">
        <f>IFERROR(IF(VLOOKUP($B149,Shortage!$A:$M,AM$2,FALSE)="Shortage",1,IFERROR(ROUND(AA149/O149,4),0)),IFERROR(ROUND(AA149/O149,4),0))</f>
        <v>0</v>
      </c>
      <c r="AN149" s="318">
        <f>IFERROR(_xlfn.XLOOKUP(AB149,'2) หลักการคำนวน Table'!$C$3:$K$3,'2) หลักการคำนวน Table'!$C$3:$K$3,,1),INDEX('2) หลักการคำนวน Table'!$C$3:$K$3,1))</f>
        <v>0.9</v>
      </c>
      <c r="AO149" s="318">
        <f>IFERROR(
  _xlfn.XLOOKUP(AC149,'2) หลักการคำนวน Table'!$C$3:$K$3,'2) หลักการคำนวน Table'!$C$3:$K$3,,1),
  IF(AC149&lt;MIN('2) หลักการคำนวน Table'!$C$3:$K$3),
     MIN('2) หลักการคำนวน Table'!$C$3:$K$3),
     MAX('2) หลักการคำนวน Table'!$C$3:$K$3)
  )
)</f>
        <v>0.9</v>
      </c>
      <c r="AP149" s="318">
        <f>IFERROR(
  _xlfn.XLOOKUP(AD149,'2) หลักการคำนวน Table'!$C$3:$K$3,'2) หลักการคำนวน Table'!$C$3:$K$3,,1),
  IF(AD149&lt;MIN('2) หลักการคำนวน Table'!$C$3:$K$3),
     MIN('2) หลักการคำนวน Table'!$C$3:$K$3),
     MAX('2) หลักการคำนวน Table'!$C$3:$K$3)
  )
)</f>
        <v>0.9</v>
      </c>
      <c r="AQ149" s="318">
        <f>IFERROR(
  _xlfn.XLOOKUP(AE149,'2) หลักการคำนวน Table'!$C$3:$K$3,'2) หลักการคำนวน Table'!$C$3:$K$3,,1),
  IF(AE149&lt;MIN('2) หลักการคำนวน Table'!$C$3:$K$3),
     MIN('2) หลักการคำนวน Table'!$C$3:$K$3),
     MAX('2) หลักการคำนวน Table'!$C$3:$K$3)
  )
)</f>
        <v>0.9</v>
      </c>
      <c r="AR149" s="318">
        <f>IFERROR(
  _xlfn.XLOOKUP(AF149,'2) หลักการคำนวน Table'!$C$3:$K$3,'2) หลักการคำนวน Table'!$C$3:$K$3,,1),
  IF(AF149&lt;MIN('2) หลักการคำนวน Table'!$C$3:$K$3),
     MIN('2) หลักการคำนวน Table'!$C$3:$K$3),
     MAX('2) หลักการคำนวน Table'!$C$3:$K$3)
  )
)</f>
        <v>0.9</v>
      </c>
      <c r="AS149" s="318">
        <f>IFERROR(
  _xlfn.XLOOKUP(AG149,'2) หลักการคำนวน Table'!$C$3:$K$3,'2) หลักการคำนวน Table'!$C$3:$K$3,,1),
  IF(AG149&lt;MIN('2) หลักการคำนวน Table'!$C$3:$K$3),
     MIN('2) หลักการคำนวน Table'!$C$3:$K$3),
     MAX('2) หลักการคำนวน Table'!$C$3:$K$3)
  )
)</f>
        <v>0.9</v>
      </c>
      <c r="AT149" s="318">
        <f>IFERROR(
  _xlfn.XLOOKUP(AH149,'2) หลักการคำนวน Table'!$C$3:$K$3,'2) หลักการคำนวน Table'!$C$3:$K$3,,1),
  IF(AH149&lt;MIN('2) หลักการคำนวน Table'!$C$3:$K$3),
     MIN('2) หลักการคำนวน Table'!$C$3:$K$3),
     MAX('2) หลักการคำนวน Table'!$C$3:$K$3)
  )
)</f>
        <v>0.9</v>
      </c>
      <c r="AU149" s="318">
        <f>IFERROR(
  _xlfn.XLOOKUP(AI149,'2) หลักการคำนวน Table'!$C$3:$K$3,'2) หลักการคำนวน Table'!$C$3:$K$3,,1),
  IF(AI149&lt;MIN('2) หลักการคำนวน Table'!$C$3:$K$3),
     MIN('2) หลักการคำนวน Table'!$C$3:$K$3),
     MAX('2) หลักการคำนวน Table'!$C$3:$K$3)
  )
)</f>
        <v>0.9</v>
      </c>
      <c r="AV149" s="318">
        <f>IFERROR(
  _xlfn.XLOOKUP(AJ149,'2) หลักการคำนวน Table'!$C$3:$K$3,'2) หลักการคำนวน Table'!$C$3:$K$3,,1),
  IF(AJ149&lt;MIN('2) หลักการคำนวน Table'!$C$3:$K$3),
     MIN('2) หลักการคำนวน Table'!$C$3:$K$3),
     MAX('2) หลักการคำนวน Table'!$C$3:$K$3)
  )
)</f>
        <v>0.9</v>
      </c>
      <c r="AW149" s="318">
        <f>IFERROR(
  _xlfn.XLOOKUP(AK149,'2) หลักการคำนวน Table'!$C$3:$K$3,'2) หลักการคำนวน Table'!$C$3:$K$3,,1),
  IF(AK149&lt;MIN('2) หลักการคำนวน Table'!$C$3:$K$3),
     MIN('2) หลักการคำนวน Table'!$C$3:$K$3),
     MAX('2) หลักการคำนวน Table'!$C$3:$K$3)
  )
)</f>
        <v>0.9</v>
      </c>
      <c r="AX149" s="318">
        <f>IFERROR(
  _xlfn.XLOOKUP(AL149,'2) หลักการคำนวน Table'!$C$3:$K$3,'2) หลักการคำนวน Table'!$C$3:$K$3,,1),
  IF(AL149&lt;MIN('2) หลักการคำนวน Table'!$C$3:$K$3),
     MIN('2) หลักการคำนวน Table'!$C$3:$K$3),
     MAX('2) หลักการคำนวน Table'!$C$3:$K$3)
  )
)</f>
        <v>0.9</v>
      </c>
      <c r="AY149" s="318">
        <f>IFERROR(
  _xlfn.XLOOKUP(AM149,'2) หลักการคำนวน Table'!$C$3:$K$3,'2) หลักการคำนวน Table'!$C$3:$K$3,,1),
  IF(AM149&lt;MIN('2) หลักการคำนวน Table'!$C$3:$K$3),
     MIN('2) หลักการคำนวน Table'!$C$3:$K$3),
     MAX('2) หลักการคำนวน Table'!$C$3:$K$3)
  )
)</f>
        <v>0.9</v>
      </c>
      <c r="AZ149" s="319" cm="1">
        <f t="array" ref="AZ149">ROUND((_xlfn.XLOOKUP($C149,'2) หลักการคำนวน Table'!$A$4:$A$36,
_xlfn.XLOOKUP(AN149,'2)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A149" s="319" cm="1">
        <f t="array" ref="BA149">ROUND((_xlfn.XLOOKUP($C149,'2) หลักการคำนวน Table'!$A$4:$A$36,
_xlfn.XLOOKUP(AO149,'2)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B149" s="319" cm="1">
        <f t="array" ref="BB149">ROUND((_xlfn.XLOOKUP($C149,'2) หลักการคำนวน Table'!$A$4:$A$36,
_xlfn.XLOOKUP(AP149,'2)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C149" s="319" cm="1">
        <f t="array" ref="BC149">ROUND((_xlfn.XLOOKUP($C149,'2) หลักการคำนวน Table'!$A$4:$A$36,
_xlfn.XLOOKUP(AQ149,'2)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D149" s="319" cm="1">
        <f t="array" ref="BD149">ROUND((_xlfn.XLOOKUP($C149,'2) หลักการคำนวน Table'!$A$4:$A$36,
_xlfn.XLOOKUP(AR149,'2)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E149" s="319" cm="1">
        <f t="array" ref="BE149">ROUND((_xlfn.XLOOKUP($C149,'2) หลักการคำนวน Table'!$A$4:$A$36,
_xlfn.XLOOKUP(AS149,'2)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F149" s="319" cm="1">
        <f t="array" ref="BF149">ROUND((_xlfn.XLOOKUP($C149,'2) หลักการคำนวน Table'!$A$4:$A$36,
_xlfn.XLOOKUP(AT149,'2)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G149" s="319" cm="1">
        <f t="array" ref="BG149">ROUND((_xlfn.XLOOKUP($C149,'2) หลักการคำนวน Table'!$A$4:$A$36,
_xlfn.XLOOKUP(AU149,'2)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H149" s="319" cm="1">
        <f t="array" ref="BH149">ROUND((_xlfn.XLOOKUP($C149,'2) หลักการคำนวน Table'!$A$4:$A$36,
_xlfn.XLOOKUP(AV149,'2)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I149" s="319" cm="1">
        <f t="array" ref="BI149">ROUND((_xlfn.XLOOKUP($C149,'2) หลักการคำนวน Table'!$A$4:$A$36,
_xlfn.XLOOKUP(AW149,'2)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J149" s="319" cm="1">
        <f t="array" ref="BJ149">ROUND((_xlfn.XLOOKUP($C149,'2) หลักการคำนวน Table'!$A$4:$A$36,
_xlfn.XLOOKUP(AX149,'2)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K149" s="319" cm="1">
        <f t="array" ref="BK149">ROUND((_xlfn.XLOOKUP($C149,'2) หลักการคำนวน Table'!$A$4:$A$36,
_xlfn.XLOOKUP(AY149,'2) หลักการคำนวน Table'!$C$3:$K$3,'2) หลักการคำนวน Table'!$C$4:$K$36,,-1)))*(_xlfn.XLOOKUP($C149,'2) หลักการคำนวน Table'!$A$4:$A$36, _xlfn.XLOOKUP($B149,'2) หลักการคำนวน Table'!$L$3:$Z$3,'2) หลักการคำนวน Table'!$L$4:$Z$36))),0)</f>
        <v>208</v>
      </c>
      <c r="BL149" s="320"/>
      <c r="BM149" s="320">
        <v>222215</v>
      </c>
      <c r="BN149" s="321">
        <v>208</v>
      </c>
    </row>
    <row r="150" spans="1:66" ht="14.7" customHeight="1" x14ac:dyDescent="0.25">
      <c r="A150" s="126">
        <f>VLOOKUP(C150,ASTBase!E:S,13,FALSE)</f>
        <v>222235</v>
      </c>
      <c r="B150" s="126" t="s">
        <v>414</v>
      </c>
      <c r="C150" s="232" t="s">
        <v>401</v>
      </c>
      <c r="D150" s="127">
        <v>3050</v>
      </c>
      <c r="E150" s="127">
        <v>2950</v>
      </c>
      <c r="F150" s="127">
        <v>2900</v>
      </c>
      <c r="G150" s="127">
        <v>2500</v>
      </c>
      <c r="H150" s="127">
        <v>3600</v>
      </c>
      <c r="I150" s="127">
        <v>3100</v>
      </c>
      <c r="J150" s="127">
        <v>3200</v>
      </c>
      <c r="K150" s="127">
        <v>3800</v>
      </c>
      <c r="L150" s="127">
        <v>2800</v>
      </c>
      <c r="M150" s="127">
        <v>3700</v>
      </c>
      <c r="N150" s="127">
        <v>3200</v>
      </c>
      <c r="O150" s="127">
        <v>3200</v>
      </c>
      <c r="P150" s="126">
        <v>3693.6000000000013</v>
      </c>
      <c r="AB150" s="317">
        <f>IFERROR(IF(VLOOKUP($B150,Shortage!$A:$M,AB$2,FALSE)="Shortage",1,IFERROR(ROUND(P150/D150,4),0)),IFERROR(ROUND(P150/D150,4),0))</f>
        <v>1.2110000000000001</v>
      </c>
      <c r="AC150" s="317">
        <f>IFERROR(IF(VLOOKUP($B150,Shortage!$A:$M,AC$2,FALSE)="Shortage",1,IFERROR(ROUND(Q150/E150,4),0)),IFERROR(ROUND(Q150/E150,4),0))</f>
        <v>0</v>
      </c>
      <c r="AD150" s="317">
        <f>IFERROR(IF(VLOOKUP($B150,Shortage!$A:$M,AD$2,FALSE)="Shortage",1,IFERROR(ROUND(R150/F150,4),0)),IFERROR(ROUND(R150/F150,4),0))</f>
        <v>0</v>
      </c>
      <c r="AE150" s="317">
        <f>IFERROR(IF(VLOOKUP($B150,Shortage!$A:$M,AE$2,FALSE)="Shortage",1,IFERROR(ROUND(S150/G150,4),0)),IFERROR(ROUND(S150/G150,4),0))</f>
        <v>0</v>
      </c>
      <c r="AF150" s="317">
        <f>IFERROR(IF(VLOOKUP($B150,Shortage!$A:$M,AF$2,FALSE)="Shortage",1,IFERROR(ROUND(T150/H150,4),0)),IFERROR(ROUND(T150/H150,4),0))</f>
        <v>0</v>
      </c>
      <c r="AG150" s="317">
        <f>IFERROR(IF(VLOOKUP($B150,Shortage!$A:$M,AG$2,FALSE)="Shortage",1,IFERROR(ROUND(U150/I150,4),0)),IFERROR(ROUND(U150/I150,4),0))</f>
        <v>0</v>
      </c>
      <c r="AH150" s="317">
        <f>IFERROR(IF(VLOOKUP($B150,Shortage!$A:$M,AH$2,FALSE)="Shortage",1,IFERROR(ROUND(V150/J150,4),0)),IFERROR(ROUND(V150/J150,4),0))</f>
        <v>0</v>
      </c>
      <c r="AI150" s="317">
        <f>IFERROR(IF(VLOOKUP($B150,Shortage!$A:$M,AI$2,FALSE)="Shortage",1,IFERROR(ROUND(W150/K150,4),0)),IFERROR(ROUND(W150/K150,4),0))</f>
        <v>0</v>
      </c>
      <c r="AJ150" s="317">
        <f>IFERROR(IF(VLOOKUP($B150,Shortage!$A:$M,AJ$2,FALSE)="Shortage",1,IFERROR(ROUND(X150/L150,4),0)),IFERROR(ROUND(X150/L150,4),0))</f>
        <v>0</v>
      </c>
      <c r="AK150" s="317">
        <f>IFERROR(IF(VLOOKUP($B150,Shortage!$A:$M,AK$2,FALSE)="Shortage",1,IFERROR(ROUND(Y150/M150,4),0)),IFERROR(ROUND(Y150/M150,4),0))</f>
        <v>0</v>
      </c>
      <c r="AL150" s="317">
        <f>IFERROR(IF(VLOOKUP($B150,Shortage!$A:$M,AL$2,FALSE)="Shortage",1,IFERROR(ROUND(Z150/N150,4),0)),IFERROR(ROUND(Z150/N150,4),0))</f>
        <v>0</v>
      </c>
      <c r="AM150" s="317">
        <f>IFERROR(IF(VLOOKUP($B150,Shortage!$A:$M,AM$2,FALSE)="Shortage",1,IFERROR(ROUND(AA150/O150,4),0)),IFERROR(ROUND(AA150/O150,4),0))</f>
        <v>0</v>
      </c>
      <c r="AN150" s="318">
        <f>IFERROR(_xlfn.XLOOKUP(AB150,'2) หลักการคำนวน Table'!$C$3:$K$3,'2) หลักการคำนวน Table'!$C$3:$K$3,,1),INDEX('2) หลักการคำนวน Table'!$C$3:$K$3,1))</f>
        <v>20</v>
      </c>
      <c r="AO150" s="318">
        <f>IFERROR(
  _xlfn.XLOOKUP(AC150,'2) หลักการคำนวน Table'!$C$3:$K$3,'2) หลักการคำนวน Table'!$C$3:$K$3,,1),
  IF(AC150&lt;MIN('2) หลักการคำนวน Table'!$C$3:$K$3),
     MIN('2) หลักการคำนวน Table'!$C$3:$K$3),
     MAX('2) หลักการคำนวน Table'!$C$3:$K$3)
  )
)</f>
        <v>0.9</v>
      </c>
      <c r="AP150" s="318">
        <f>IFERROR(
  _xlfn.XLOOKUP(AD150,'2) หลักการคำนวน Table'!$C$3:$K$3,'2) หลักการคำนวน Table'!$C$3:$K$3,,1),
  IF(AD150&lt;MIN('2) หลักการคำนวน Table'!$C$3:$K$3),
     MIN('2) หลักการคำนวน Table'!$C$3:$K$3),
     MAX('2) หลักการคำนวน Table'!$C$3:$K$3)
  )
)</f>
        <v>0.9</v>
      </c>
      <c r="AQ150" s="318">
        <f>IFERROR(
  _xlfn.XLOOKUP(AE150,'2) หลักการคำนวน Table'!$C$3:$K$3,'2) หลักการคำนวน Table'!$C$3:$K$3,,1),
  IF(AE150&lt;MIN('2) หลักการคำนวน Table'!$C$3:$K$3),
     MIN('2) หลักการคำนวน Table'!$C$3:$K$3),
     MAX('2) หลักการคำนวน Table'!$C$3:$K$3)
  )
)</f>
        <v>0.9</v>
      </c>
      <c r="AR150" s="318">
        <f>IFERROR(
  _xlfn.XLOOKUP(AF150,'2) หลักการคำนวน Table'!$C$3:$K$3,'2) หลักการคำนวน Table'!$C$3:$K$3,,1),
  IF(AF150&lt;MIN('2) หลักการคำนวน Table'!$C$3:$K$3),
     MIN('2) หลักการคำนวน Table'!$C$3:$K$3),
     MAX('2) หลักการคำนวน Table'!$C$3:$K$3)
  )
)</f>
        <v>0.9</v>
      </c>
      <c r="AS150" s="318">
        <f>IFERROR(
  _xlfn.XLOOKUP(AG150,'2) หลักการคำนวน Table'!$C$3:$K$3,'2) หลักการคำนวน Table'!$C$3:$K$3,,1),
  IF(AG150&lt;MIN('2) หลักการคำนวน Table'!$C$3:$K$3),
     MIN('2) หลักการคำนวน Table'!$C$3:$K$3),
     MAX('2) หลักการคำนวน Table'!$C$3:$K$3)
  )
)</f>
        <v>0.9</v>
      </c>
      <c r="AT150" s="318">
        <f>IFERROR(
  _xlfn.XLOOKUP(AH150,'2) หลักการคำนวน Table'!$C$3:$K$3,'2) หลักการคำนวน Table'!$C$3:$K$3,,1),
  IF(AH150&lt;MIN('2) หลักการคำนวน Table'!$C$3:$K$3),
     MIN('2) หลักการคำนวน Table'!$C$3:$K$3),
     MAX('2) หลักการคำนวน Table'!$C$3:$K$3)
  )
)</f>
        <v>0.9</v>
      </c>
      <c r="AU150" s="318">
        <f>IFERROR(
  _xlfn.XLOOKUP(AI150,'2) หลักการคำนวน Table'!$C$3:$K$3,'2) หลักการคำนวน Table'!$C$3:$K$3,,1),
  IF(AI150&lt;MIN('2) หลักการคำนวน Table'!$C$3:$K$3),
     MIN('2) หลักการคำนวน Table'!$C$3:$K$3),
     MAX('2) หลักการคำนวน Table'!$C$3:$K$3)
  )
)</f>
        <v>0.9</v>
      </c>
      <c r="AV150" s="318">
        <f>IFERROR(
  _xlfn.XLOOKUP(AJ150,'2) หลักการคำนวน Table'!$C$3:$K$3,'2) หลักการคำนวน Table'!$C$3:$K$3,,1),
  IF(AJ150&lt;MIN('2) หลักการคำนวน Table'!$C$3:$K$3),
     MIN('2) หลักการคำนวน Table'!$C$3:$K$3),
     MAX('2) หลักการคำนวน Table'!$C$3:$K$3)
  )
)</f>
        <v>0.9</v>
      </c>
      <c r="AW150" s="318">
        <f>IFERROR(
  _xlfn.XLOOKUP(AK150,'2) หลักการคำนวน Table'!$C$3:$K$3,'2) หลักการคำนวน Table'!$C$3:$K$3,,1),
  IF(AK150&lt;MIN('2) หลักการคำนวน Table'!$C$3:$K$3),
     MIN('2) หลักการคำนวน Table'!$C$3:$K$3),
     MAX('2) หลักการคำนวน Table'!$C$3:$K$3)
  )
)</f>
        <v>0.9</v>
      </c>
      <c r="AX150" s="318">
        <f>IFERROR(
  _xlfn.XLOOKUP(AL150,'2) หลักการคำนวน Table'!$C$3:$K$3,'2) หลักการคำนวน Table'!$C$3:$K$3,,1),
  IF(AL150&lt;MIN('2) หลักการคำนวน Table'!$C$3:$K$3),
     MIN('2) หลักการคำนวน Table'!$C$3:$K$3),
     MAX('2) หลักการคำนวน Table'!$C$3:$K$3)
  )
)</f>
        <v>0.9</v>
      </c>
      <c r="AY150" s="318">
        <f>IFERROR(
  _xlfn.XLOOKUP(AM150,'2) หลักการคำนวน Table'!$C$3:$K$3,'2) หลักการคำนวน Table'!$C$3:$K$3,,1),
  IF(AM150&lt;MIN('2) หลักการคำนวน Table'!$C$3:$K$3),
     MIN('2) หลักการคำนวน Table'!$C$3:$K$3),
     MAX('2) หลักการคำนวน Table'!$C$3:$K$3)
  )
)</f>
        <v>0.9</v>
      </c>
      <c r="AZ150" s="319" cm="1">
        <f t="array" ref="AZ150">ROUND((_xlfn.XLOOKUP($C150,'2) หลักการคำนวน Table'!$A$4:$A$36,
_xlfn.XLOOKUP(AN150,'2)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376</v>
      </c>
      <c r="BA150" s="319" cm="1">
        <f t="array" ref="BA150">ROUND((_xlfn.XLOOKUP($C150,'2) หลักการคำนวน Table'!$A$4:$A$36,
_xlfn.XLOOKUP(AO150,'2)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261</v>
      </c>
      <c r="BB150" s="319" cm="1">
        <f t="array" ref="BB150">ROUND((_xlfn.XLOOKUP($C150,'2) หลักการคำนวน Table'!$A$4:$A$36,
_xlfn.XLOOKUP(AP150,'2)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261</v>
      </c>
      <c r="BC150" s="319" cm="1">
        <f t="array" ref="BC150">ROUND((_xlfn.XLOOKUP($C150,'2) หลักการคำนวน Table'!$A$4:$A$36,
_xlfn.XLOOKUP(AQ150,'2)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261</v>
      </c>
      <c r="BD150" s="319" cm="1">
        <f t="array" ref="BD150">ROUND((_xlfn.XLOOKUP($C150,'2) หลักการคำนวน Table'!$A$4:$A$36,
_xlfn.XLOOKUP(AR150,'2)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261</v>
      </c>
      <c r="BE150" s="319" cm="1">
        <f t="array" ref="BE150">ROUND((_xlfn.XLOOKUP($C150,'2) หลักการคำนวน Table'!$A$4:$A$36,
_xlfn.XLOOKUP(AS150,'2)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261</v>
      </c>
      <c r="BF150" s="319" cm="1">
        <f t="array" ref="BF150">ROUND((_xlfn.XLOOKUP($C150,'2) หลักการคำนวน Table'!$A$4:$A$36,
_xlfn.XLOOKUP(AT150,'2)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261</v>
      </c>
      <c r="BG150" s="319" cm="1">
        <f t="array" ref="BG150">ROUND((_xlfn.XLOOKUP($C150,'2) หลักการคำนวน Table'!$A$4:$A$36,
_xlfn.XLOOKUP(AU150,'2)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261</v>
      </c>
      <c r="BH150" s="319" cm="1">
        <f t="array" ref="BH150">ROUND((_xlfn.XLOOKUP($C150,'2) หลักการคำนวน Table'!$A$4:$A$36,
_xlfn.XLOOKUP(AV150,'2)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261</v>
      </c>
      <c r="BI150" s="319" cm="1">
        <f t="array" ref="BI150">ROUND((_xlfn.XLOOKUP($C150,'2) หลักการคำนวน Table'!$A$4:$A$36,
_xlfn.XLOOKUP(AW150,'2)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261</v>
      </c>
      <c r="BJ150" s="319" cm="1">
        <f t="array" ref="BJ150">ROUND((_xlfn.XLOOKUP($C150,'2) หลักการคำนวน Table'!$A$4:$A$36,
_xlfn.XLOOKUP(AX150,'2)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261</v>
      </c>
      <c r="BK150" s="319" cm="1">
        <f t="array" ref="BK150">ROUND((_xlfn.XLOOKUP($C150,'2) หลักการคำนวน Table'!$A$4:$A$36,
_xlfn.XLOOKUP(AY150,'2) หลักการคำนวน Table'!$C$3:$K$3,'2) หลักการคำนวน Table'!$C$4:$K$36,,-1)))*(_xlfn.XLOOKUP($C150,'2) หลักการคำนวน Table'!$A$4:$A$36, _xlfn.XLOOKUP($B150,'2) หลักการคำนวน Table'!$L$3:$Z$3,'2) หลักการคำนวน Table'!$L$4:$Z$36))),0)</f>
        <v>261</v>
      </c>
      <c r="BL150" s="320"/>
      <c r="BM150" s="320">
        <v>222215</v>
      </c>
      <c r="BN150" s="321">
        <v>376</v>
      </c>
    </row>
    <row r="151" spans="1:66" ht="14.7" customHeight="1" x14ac:dyDescent="0.25">
      <c r="A151" s="126">
        <f>VLOOKUP(C151,ASTBase!E:S,13,FALSE)</f>
        <v>222235</v>
      </c>
      <c r="B151" s="126" t="s">
        <v>412</v>
      </c>
      <c r="C151" s="232" t="s">
        <v>401</v>
      </c>
      <c r="D151" s="127">
        <v>11800</v>
      </c>
      <c r="E151" s="127">
        <v>15000</v>
      </c>
      <c r="F151" s="127">
        <v>11800</v>
      </c>
      <c r="G151" s="127">
        <v>15000</v>
      </c>
      <c r="H151" s="127">
        <v>11800</v>
      </c>
      <c r="I151" s="127">
        <v>10800</v>
      </c>
      <c r="J151" s="127">
        <v>15000</v>
      </c>
      <c r="K151" s="127">
        <v>15000</v>
      </c>
      <c r="L151" s="127">
        <v>18400</v>
      </c>
      <c r="M151" s="127">
        <v>11800</v>
      </c>
      <c r="N151" s="127">
        <v>11800</v>
      </c>
      <c r="O151" s="127">
        <v>11800</v>
      </c>
      <c r="P151" s="126">
        <v>3334.9999999573411</v>
      </c>
      <c r="AB151" s="317">
        <f>IFERROR(IF(VLOOKUP($B151,Shortage!$A:$M,AB$2,FALSE)="Shortage",1,IFERROR(ROUND(P151/D151,4),0)),IFERROR(ROUND(P151/D151,4),0))</f>
        <v>1</v>
      </c>
      <c r="AC151" s="317">
        <f>IFERROR(IF(VLOOKUP($B151,Shortage!$A:$M,AC$2,FALSE)="Shortage",1,IFERROR(ROUND(Q151/E151,4),0)),IFERROR(ROUND(Q151/E151,4),0))</f>
        <v>0</v>
      </c>
      <c r="AD151" s="317">
        <f>IFERROR(IF(VLOOKUP($B151,Shortage!$A:$M,AD$2,FALSE)="Shortage",1,IFERROR(ROUND(R151/F151,4),0)),IFERROR(ROUND(R151/F151,4),0))</f>
        <v>0</v>
      </c>
      <c r="AE151" s="317">
        <f>IFERROR(IF(VLOOKUP($B151,Shortage!$A:$M,AE$2,FALSE)="Shortage",1,IFERROR(ROUND(S151/G151,4),0)),IFERROR(ROUND(S151/G151,4),0))</f>
        <v>0</v>
      </c>
      <c r="AF151" s="317">
        <f>IFERROR(IF(VLOOKUP($B151,Shortage!$A:$M,AF$2,FALSE)="Shortage",1,IFERROR(ROUND(T151/H151,4),0)),IFERROR(ROUND(T151/H151,4),0))</f>
        <v>0</v>
      </c>
      <c r="AG151" s="317">
        <f>IFERROR(IF(VLOOKUP($B151,Shortage!$A:$M,AG$2,FALSE)="Shortage",1,IFERROR(ROUND(U151/I151,4),0)),IFERROR(ROUND(U151/I151,4),0))</f>
        <v>0</v>
      </c>
      <c r="AH151" s="317">
        <f>IFERROR(IF(VLOOKUP($B151,Shortage!$A:$M,AH$2,FALSE)="Shortage",1,IFERROR(ROUND(V151/J151,4),0)),IFERROR(ROUND(V151/J151,4),0))</f>
        <v>0</v>
      </c>
      <c r="AI151" s="317">
        <f>IFERROR(IF(VLOOKUP($B151,Shortage!$A:$M,AI$2,FALSE)="Shortage",1,IFERROR(ROUND(W151/K151,4),0)),IFERROR(ROUND(W151/K151,4),0))</f>
        <v>0</v>
      </c>
      <c r="AJ151" s="317">
        <f>IFERROR(IF(VLOOKUP($B151,Shortage!$A:$M,AJ$2,FALSE)="Shortage",1,IFERROR(ROUND(X151/L151,4),0)),IFERROR(ROUND(X151/L151,4),0))</f>
        <v>0</v>
      </c>
      <c r="AK151" s="317">
        <f>IFERROR(IF(VLOOKUP($B151,Shortage!$A:$M,AK$2,FALSE)="Shortage",1,IFERROR(ROUND(Y151/M151,4),0)),IFERROR(ROUND(Y151/M151,4),0))</f>
        <v>0</v>
      </c>
      <c r="AL151" s="317">
        <f>IFERROR(IF(VLOOKUP($B151,Shortage!$A:$M,AL$2,FALSE)="Shortage",1,IFERROR(ROUND(Z151/N151,4),0)),IFERROR(ROUND(Z151/N151,4),0))</f>
        <v>0</v>
      </c>
      <c r="AM151" s="317">
        <f>IFERROR(IF(VLOOKUP($B151,Shortage!$A:$M,AM$2,FALSE)="Shortage",1,IFERROR(ROUND(AA151/O151,4),0)),IFERROR(ROUND(AA151/O151,4),0))</f>
        <v>0</v>
      </c>
      <c r="AN151" s="318">
        <f>IFERROR(_xlfn.XLOOKUP(AB151,'2) หลักการคำนวน Table'!$C$3:$K$3,'2) หลักการคำนวน Table'!$C$3:$K$3,,1),INDEX('2) หลักการคำนวน Table'!$C$3:$K$3,1))</f>
        <v>1</v>
      </c>
      <c r="AO151" s="318">
        <f>IFERROR(
  _xlfn.XLOOKUP(AC151,'2) หลักการคำนวน Table'!$C$3:$K$3,'2) หลักการคำนวน Table'!$C$3:$K$3,,1),
  IF(AC151&lt;MIN('2) หลักการคำนวน Table'!$C$3:$K$3),
     MIN('2) หลักการคำนวน Table'!$C$3:$K$3),
     MAX('2) หลักการคำนวน Table'!$C$3:$K$3)
  )
)</f>
        <v>0.9</v>
      </c>
      <c r="AP151" s="318">
        <f>IFERROR(
  _xlfn.XLOOKUP(AD151,'2) หลักการคำนวน Table'!$C$3:$K$3,'2) หลักการคำนวน Table'!$C$3:$K$3,,1),
  IF(AD151&lt;MIN('2) หลักการคำนวน Table'!$C$3:$K$3),
     MIN('2) หลักการคำนวน Table'!$C$3:$K$3),
     MAX('2) หลักการคำนวน Table'!$C$3:$K$3)
  )
)</f>
        <v>0.9</v>
      </c>
      <c r="AQ151" s="318">
        <f>IFERROR(
  _xlfn.XLOOKUP(AE151,'2) หลักการคำนวน Table'!$C$3:$K$3,'2) หลักการคำนวน Table'!$C$3:$K$3,,1),
  IF(AE151&lt;MIN('2) หลักการคำนวน Table'!$C$3:$K$3),
     MIN('2) หลักการคำนวน Table'!$C$3:$K$3),
     MAX('2) หลักการคำนวน Table'!$C$3:$K$3)
  )
)</f>
        <v>0.9</v>
      </c>
      <c r="AR151" s="318">
        <f>IFERROR(
  _xlfn.XLOOKUP(AF151,'2) หลักการคำนวน Table'!$C$3:$K$3,'2) หลักการคำนวน Table'!$C$3:$K$3,,1),
  IF(AF151&lt;MIN('2) หลักการคำนวน Table'!$C$3:$K$3),
     MIN('2) หลักการคำนวน Table'!$C$3:$K$3),
     MAX('2) หลักการคำนวน Table'!$C$3:$K$3)
  )
)</f>
        <v>0.9</v>
      </c>
      <c r="AS151" s="318">
        <f>IFERROR(
  _xlfn.XLOOKUP(AG151,'2) หลักการคำนวน Table'!$C$3:$K$3,'2) หลักการคำนวน Table'!$C$3:$K$3,,1),
  IF(AG151&lt;MIN('2) หลักการคำนวน Table'!$C$3:$K$3),
     MIN('2) หลักการคำนวน Table'!$C$3:$K$3),
     MAX('2) หลักการคำนวน Table'!$C$3:$K$3)
  )
)</f>
        <v>0.9</v>
      </c>
      <c r="AT151" s="318">
        <f>IFERROR(
  _xlfn.XLOOKUP(AH151,'2) หลักการคำนวน Table'!$C$3:$K$3,'2) หลักการคำนวน Table'!$C$3:$K$3,,1),
  IF(AH151&lt;MIN('2) หลักการคำนวน Table'!$C$3:$K$3),
     MIN('2) หลักการคำนวน Table'!$C$3:$K$3),
     MAX('2) หลักการคำนวน Table'!$C$3:$K$3)
  )
)</f>
        <v>0.9</v>
      </c>
      <c r="AU151" s="318">
        <f>IFERROR(
  _xlfn.XLOOKUP(AI151,'2) หลักการคำนวน Table'!$C$3:$K$3,'2) หลักการคำนวน Table'!$C$3:$K$3,,1),
  IF(AI151&lt;MIN('2) หลักการคำนวน Table'!$C$3:$K$3),
     MIN('2) หลักการคำนวน Table'!$C$3:$K$3),
     MAX('2) หลักการคำนวน Table'!$C$3:$K$3)
  )
)</f>
        <v>0.9</v>
      </c>
      <c r="AV151" s="318">
        <f>IFERROR(
  _xlfn.XLOOKUP(AJ151,'2) หลักการคำนวน Table'!$C$3:$K$3,'2) หลักการคำนวน Table'!$C$3:$K$3,,1),
  IF(AJ151&lt;MIN('2) หลักการคำนวน Table'!$C$3:$K$3),
     MIN('2) หลักการคำนวน Table'!$C$3:$K$3),
     MAX('2) หลักการคำนวน Table'!$C$3:$K$3)
  )
)</f>
        <v>0.9</v>
      </c>
      <c r="AW151" s="318">
        <f>IFERROR(
  _xlfn.XLOOKUP(AK151,'2) หลักการคำนวน Table'!$C$3:$K$3,'2) หลักการคำนวน Table'!$C$3:$K$3,,1),
  IF(AK151&lt;MIN('2) หลักการคำนวน Table'!$C$3:$K$3),
     MIN('2) หลักการคำนวน Table'!$C$3:$K$3),
     MAX('2) หลักการคำนวน Table'!$C$3:$K$3)
  )
)</f>
        <v>0.9</v>
      </c>
      <c r="AX151" s="318">
        <f>IFERROR(
  _xlfn.XLOOKUP(AL151,'2) หลักการคำนวน Table'!$C$3:$K$3,'2) หลักการคำนวน Table'!$C$3:$K$3,,1),
  IF(AL151&lt;MIN('2) หลักการคำนวน Table'!$C$3:$K$3),
     MIN('2) หลักการคำนวน Table'!$C$3:$K$3),
     MAX('2) หลักการคำนวน Table'!$C$3:$K$3)
  )
)</f>
        <v>0.9</v>
      </c>
      <c r="AY151" s="318">
        <f>IFERROR(
  _xlfn.XLOOKUP(AM151,'2) หลักการคำนวน Table'!$C$3:$K$3,'2) หลักการคำนวน Table'!$C$3:$K$3,,1),
  IF(AM151&lt;MIN('2) หลักการคำนวน Table'!$C$3:$K$3),
     MIN('2) หลักการคำนวน Table'!$C$3:$K$3),
     MAX('2) หลักการคำนวน Table'!$C$3:$K$3)
  )
)</f>
        <v>0.9</v>
      </c>
      <c r="AZ151" s="319" cm="1">
        <f t="array" ref="AZ151">ROUND((_xlfn.XLOOKUP($C151,'2) หลักการคำนวน Table'!$A$4:$A$36,
_xlfn.XLOOKUP(AN151,'2)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695</v>
      </c>
      <c r="BA151" s="319" cm="1">
        <f t="array" ref="BA151">ROUND((_xlfn.XLOOKUP($C151,'2) หลักการคำนวน Table'!$A$4:$A$36,
_xlfn.XLOOKUP(AO151,'2)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625</v>
      </c>
      <c r="BB151" s="319" cm="1">
        <f t="array" ref="BB151">ROUND((_xlfn.XLOOKUP($C151,'2) หลักการคำนวน Table'!$A$4:$A$36,
_xlfn.XLOOKUP(AP151,'2)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625</v>
      </c>
      <c r="BC151" s="319" cm="1">
        <f t="array" ref="BC151">ROUND((_xlfn.XLOOKUP($C151,'2) หลักการคำนวน Table'!$A$4:$A$36,
_xlfn.XLOOKUP(AQ151,'2)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625</v>
      </c>
      <c r="BD151" s="319" cm="1">
        <f t="array" ref="BD151">ROUND((_xlfn.XLOOKUP($C151,'2) หลักการคำนวน Table'!$A$4:$A$36,
_xlfn.XLOOKUP(AR151,'2)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625</v>
      </c>
      <c r="BE151" s="319" cm="1">
        <f t="array" ref="BE151">ROUND((_xlfn.XLOOKUP($C151,'2) หลักการคำนวน Table'!$A$4:$A$36,
_xlfn.XLOOKUP(AS151,'2)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625</v>
      </c>
      <c r="BF151" s="319" cm="1">
        <f t="array" ref="BF151">ROUND((_xlfn.XLOOKUP($C151,'2) หลักการคำนวน Table'!$A$4:$A$36,
_xlfn.XLOOKUP(AT151,'2)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625</v>
      </c>
      <c r="BG151" s="319" cm="1">
        <f t="array" ref="BG151">ROUND((_xlfn.XLOOKUP($C151,'2) หลักการคำนวน Table'!$A$4:$A$36,
_xlfn.XLOOKUP(AU151,'2)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625</v>
      </c>
      <c r="BH151" s="319" cm="1">
        <f t="array" ref="BH151">ROUND((_xlfn.XLOOKUP($C151,'2) หลักการคำนวน Table'!$A$4:$A$36,
_xlfn.XLOOKUP(AV151,'2)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625</v>
      </c>
      <c r="BI151" s="319" cm="1">
        <f t="array" ref="BI151">ROUND((_xlfn.XLOOKUP($C151,'2) หลักการคำนวน Table'!$A$4:$A$36,
_xlfn.XLOOKUP(AW151,'2)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625</v>
      </c>
      <c r="BJ151" s="319" cm="1">
        <f t="array" ref="BJ151">ROUND((_xlfn.XLOOKUP($C151,'2) หลักการคำนวน Table'!$A$4:$A$36,
_xlfn.XLOOKUP(AX151,'2)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625</v>
      </c>
      <c r="BK151" s="319" cm="1">
        <f t="array" ref="BK151">ROUND((_xlfn.XLOOKUP($C151,'2) หลักการคำนวน Table'!$A$4:$A$36,
_xlfn.XLOOKUP(AY151,'2) หลักการคำนวน Table'!$C$3:$K$3,'2) หลักการคำนวน Table'!$C$4:$K$36,,-1)))*(_xlfn.XLOOKUP($C151,'2) หลักการคำนวน Table'!$A$4:$A$36, _xlfn.XLOOKUP($B151,'2) หลักการคำนวน Table'!$L$3:$Z$3,'2) หลักการคำนวน Table'!$L$4:$Z$36))),0)</f>
        <v>625</v>
      </c>
      <c r="BL151" s="320"/>
      <c r="BM151" s="320">
        <v>222215</v>
      </c>
      <c r="BN151" s="321">
        <v>695</v>
      </c>
    </row>
    <row r="152" spans="1:66" ht="14.7" customHeight="1" x14ac:dyDescent="0.25">
      <c r="A152" s="126">
        <f>VLOOKUP(C152,ASTBase!E:S,13,FALSE)</f>
        <v>222235</v>
      </c>
      <c r="B152" s="126" t="s">
        <v>411</v>
      </c>
      <c r="C152" s="232" t="s">
        <v>401</v>
      </c>
      <c r="D152" s="127">
        <v>700</v>
      </c>
      <c r="E152" s="127">
        <v>900</v>
      </c>
      <c r="F152" s="127">
        <v>1600</v>
      </c>
      <c r="G152" s="127">
        <v>1000</v>
      </c>
      <c r="H152" s="127">
        <v>900</v>
      </c>
      <c r="I152" s="127">
        <v>1000</v>
      </c>
      <c r="J152" s="127">
        <v>900</v>
      </c>
      <c r="K152" s="127">
        <v>900</v>
      </c>
      <c r="L152" s="127">
        <v>900</v>
      </c>
      <c r="M152" s="127">
        <v>1200</v>
      </c>
      <c r="N152" s="127">
        <v>1000</v>
      </c>
      <c r="O152" s="127">
        <v>1000</v>
      </c>
      <c r="P152" s="126">
        <v>482.76</v>
      </c>
      <c r="AB152" s="317">
        <f>IFERROR(IF(VLOOKUP($B152,Shortage!$A:$M,AB$2,FALSE)="Shortage",1,IFERROR(ROUND(P152/D152,4),0)),IFERROR(ROUND(P152/D152,4),0))</f>
        <v>0.68969999999999998</v>
      </c>
      <c r="AC152" s="317">
        <f>IFERROR(IF(VLOOKUP($B152,Shortage!$A:$M,AC$2,FALSE)="Shortage",1,IFERROR(ROUND(Q152/E152,4),0)),IFERROR(ROUND(Q152/E152,4),0))</f>
        <v>0</v>
      </c>
      <c r="AD152" s="317">
        <f>IFERROR(IF(VLOOKUP($B152,Shortage!$A:$M,AD$2,FALSE)="Shortage",1,IFERROR(ROUND(R152/F152,4),0)),IFERROR(ROUND(R152/F152,4),0))</f>
        <v>0</v>
      </c>
      <c r="AE152" s="317">
        <f>IFERROR(IF(VLOOKUP($B152,Shortage!$A:$M,AE$2,FALSE)="Shortage",1,IFERROR(ROUND(S152/G152,4),0)),IFERROR(ROUND(S152/G152,4),0))</f>
        <v>0</v>
      </c>
      <c r="AF152" s="317">
        <f>IFERROR(IF(VLOOKUP($B152,Shortage!$A:$M,AF$2,FALSE)="Shortage",1,IFERROR(ROUND(T152/H152,4),0)),IFERROR(ROUND(T152/H152,4),0))</f>
        <v>0</v>
      </c>
      <c r="AG152" s="317">
        <f>IFERROR(IF(VLOOKUP($B152,Shortage!$A:$M,AG$2,FALSE)="Shortage",1,IFERROR(ROUND(U152/I152,4),0)),IFERROR(ROUND(U152/I152,4),0))</f>
        <v>0</v>
      </c>
      <c r="AH152" s="317">
        <f>IFERROR(IF(VLOOKUP($B152,Shortage!$A:$M,AH$2,FALSE)="Shortage",1,IFERROR(ROUND(V152/J152,4),0)),IFERROR(ROUND(V152/J152,4),0))</f>
        <v>0</v>
      </c>
      <c r="AI152" s="317">
        <f>IFERROR(IF(VLOOKUP($B152,Shortage!$A:$M,AI$2,FALSE)="Shortage",1,IFERROR(ROUND(W152/K152,4),0)),IFERROR(ROUND(W152/K152,4),0))</f>
        <v>0</v>
      </c>
      <c r="AJ152" s="317">
        <f>IFERROR(IF(VLOOKUP($B152,Shortage!$A:$M,AJ$2,FALSE)="Shortage",1,IFERROR(ROUND(X152/L152,4),0)),IFERROR(ROUND(X152/L152,4),0))</f>
        <v>0</v>
      </c>
      <c r="AK152" s="317">
        <f>IFERROR(IF(VLOOKUP($B152,Shortage!$A:$M,AK$2,FALSE)="Shortage",1,IFERROR(ROUND(Y152/M152,4),0)),IFERROR(ROUND(Y152/M152,4),0))</f>
        <v>0</v>
      </c>
      <c r="AL152" s="317">
        <f>IFERROR(IF(VLOOKUP($B152,Shortage!$A:$M,AL$2,FALSE)="Shortage",1,IFERROR(ROUND(Z152/N152,4),0)),IFERROR(ROUND(Z152/N152,4),0))</f>
        <v>0</v>
      </c>
      <c r="AM152" s="317">
        <f>IFERROR(IF(VLOOKUP($B152,Shortage!$A:$M,AM$2,FALSE)="Shortage",1,IFERROR(ROUND(AA152/O152,4),0)),IFERROR(ROUND(AA152/O152,4),0))</f>
        <v>0</v>
      </c>
      <c r="AN152" s="318">
        <f>IFERROR(_xlfn.XLOOKUP(AB152,'2) หลักการคำนวน Table'!$C$3:$K$3,'2) หลักการคำนวน Table'!$C$3:$K$3,,1),INDEX('2) หลักการคำนวน Table'!$C$3:$K$3,1))</f>
        <v>0.9</v>
      </c>
      <c r="AO152" s="318">
        <f>IFERROR(
  _xlfn.XLOOKUP(AC152,'2) หลักการคำนวน Table'!$C$3:$K$3,'2) หลักการคำนวน Table'!$C$3:$K$3,,1),
  IF(AC152&lt;MIN('2) หลักการคำนวน Table'!$C$3:$K$3),
     MIN('2) หลักการคำนวน Table'!$C$3:$K$3),
     MAX('2) หลักการคำนวน Table'!$C$3:$K$3)
  )
)</f>
        <v>0.9</v>
      </c>
      <c r="AP152" s="318">
        <f>IFERROR(
  _xlfn.XLOOKUP(AD152,'2) หลักการคำนวน Table'!$C$3:$K$3,'2) หลักการคำนวน Table'!$C$3:$K$3,,1),
  IF(AD152&lt;MIN('2) หลักการคำนวน Table'!$C$3:$K$3),
     MIN('2) หลักการคำนวน Table'!$C$3:$K$3),
     MAX('2) หลักการคำนวน Table'!$C$3:$K$3)
  )
)</f>
        <v>0.9</v>
      </c>
      <c r="AQ152" s="318">
        <f>IFERROR(
  _xlfn.XLOOKUP(AE152,'2) หลักการคำนวน Table'!$C$3:$K$3,'2) หลักการคำนวน Table'!$C$3:$K$3,,1),
  IF(AE152&lt;MIN('2) หลักการคำนวน Table'!$C$3:$K$3),
     MIN('2) หลักการคำนวน Table'!$C$3:$K$3),
     MAX('2) หลักการคำนวน Table'!$C$3:$K$3)
  )
)</f>
        <v>0.9</v>
      </c>
      <c r="AR152" s="318">
        <f>IFERROR(
  _xlfn.XLOOKUP(AF152,'2) หลักการคำนวน Table'!$C$3:$K$3,'2) หลักการคำนวน Table'!$C$3:$K$3,,1),
  IF(AF152&lt;MIN('2) หลักการคำนวน Table'!$C$3:$K$3),
     MIN('2) หลักการคำนวน Table'!$C$3:$K$3),
     MAX('2) หลักการคำนวน Table'!$C$3:$K$3)
  )
)</f>
        <v>0.9</v>
      </c>
      <c r="AS152" s="318">
        <f>IFERROR(
  _xlfn.XLOOKUP(AG152,'2) หลักการคำนวน Table'!$C$3:$K$3,'2) หลักการคำนวน Table'!$C$3:$K$3,,1),
  IF(AG152&lt;MIN('2) หลักการคำนวน Table'!$C$3:$K$3),
     MIN('2) หลักการคำนวน Table'!$C$3:$K$3),
     MAX('2) หลักการคำนวน Table'!$C$3:$K$3)
  )
)</f>
        <v>0.9</v>
      </c>
      <c r="AT152" s="318">
        <f>IFERROR(
  _xlfn.XLOOKUP(AH152,'2) หลักการคำนวน Table'!$C$3:$K$3,'2) หลักการคำนวน Table'!$C$3:$K$3,,1),
  IF(AH152&lt;MIN('2) หลักการคำนวน Table'!$C$3:$K$3),
     MIN('2) หลักการคำนวน Table'!$C$3:$K$3),
     MAX('2) หลักการคำนวน Table'!$C$3:$K$3)
  )
)</f>
        <v>0.9</v>
      </c>
      <c r="AU152" s="318">
        <f>IFERROR(
  _xlfn.XLOOKUP(AI152,'2) หลักการคำนวน Table'!$C$3:$K$3,'2) หลักการคำนวน Table'!$C$3:$K$3,,1),
  IF(AI152&lt;MIN('2) หลักการคำนวน Table'!$C$3:$K$3),
     MIN('2) หลักการคำนวน Table'!$C$3:$K$3),
     MAX('2) หลักการคำนวน Table'!$C$3:$K$3)
  )
)</f>
        <v>0.9</v>
      </c>
      <c r="AV152" s="318">
        <f>IFERROR(
  _xlfn.XLOOKUP(AJ152,'2) หลักการคำนวน Table'!$C$3:$K$3,'2) หลักการคำนวน Table'!$C$3:$K$3,,1),
  IF(AJ152&lt;MIN('2) หลักการคำนวน Table'!$C$3:$K$3),
     MIN('2) หลักการคำนวน Table'!$C$3:$K$3),
     MAX('2) หลักการคำนวน Table'!$C$3:$K$3)
  )
)</f>
        <v>0.9</v>
      </c>
      <c r="AW152" s="318">
        <f>IFERROR(
  _xlfn.XLOOKUP(AK152,'2) หลักการคำนวน Table'!$C$3:$K$3,'2) หลักการคำนวน Table'!$C$3:$K$3,,1),
  IF(AK152&lt;MIN('2) หลักการคำนวน Table'!$C$3:$K$3),
     MIN('2) หลักการคำนวน Table'!$C$3:$K$3),
     MAX('2) หลักการคำนวน Table'!$C$3:$K$3)
  )
)</f>
        <v>0.9</v>
      </c>
      <c r="AX152" s="318">
        <f>IFERROR(
  _xlfn.XLOOKUP(AL152,'2) หลักการคำนวน Table'!$C$3:$K$3,'2) หลักการคำนวน Table'!$C$3:$K$3,,1),
  IF(AL152&lt;MIN('2) หลักการคำนวน Table'!$C$3:$K$3),
     MIN('2) หลักการคำนวน Table'!$C$3:$K$3),
     MAX('2) หลักการคำนวน Table'!$C$3:$K$3)
  )
)</f>
        <v>0.9</v>
      </c>
      <c r="AY152" s="318">
        <f>IFERROR(
  _xlfn.XLOOKUP(AM152,'2) หลักการคำนวน Table'!$C$3:$K$3,'2) หลักการคำนวน Table'!$C$3:$K$3,,1),
  IF(AM152&lt;MIN('2) หลักการคำนวน Table'!$C$3:$K$3),
     MIN('2) หลักการคำนวน Table'!$C$3:$K$3),
     MAX('2) หลักการคำนวน Table'!$C$3:$K$3)
  )
)</f>
        <v>0.9</v>
      </c>
      <c r="AZ152" s="319" cm="1">
        <f t="array" ref="AZ152">ROUND((_xlfn.XLOOKUP($C152,'2) หลักการคำนวน Table'!$A$4:$A$36,
_xlfn.XLOOKUP(AN152,'2)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A152" s="319" cm="1">
        <f t="array" ref="BA152">ROUND((_xlfn.XLOOKUP($C152,'2) หลักการคำนวน Table'!$A$4:$A$36,
_xlfn.XLOOKUP(AO152,'2)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B152" s="319" cm="1">
        <f t="array" ref="BB152">ROUND((_xlfn.XLOOKUP($C152,'2) หลักการคำนวน Table'!$A$4:$A$36,
_xlfn.XLOOKUP(AP152,'2)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C152" s="319" cm="1">
        <f t="array" ref="BC152">ROUND((_xlfn.XLOOKUP($C152,'2) หลักการคำนวน Table'!$A$4:$A$36,
_xlfn.XLOOKUP(AQ152,'2)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D152" s="319" cm="1">
        <f t="array" ref="BD152">ROUND((_xlfn.XLOOKUP($C152,'2) หลักการคำนวน Table'!$A$4:$A$36,
_xlfn.XLOOKUP(AR152,'2)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E152" s="319" cm="1">
        <f t="array" ref="BE152">ROUND((_xlfn.XLOOKUP($C152,'2) หลักการคำนวน Table'!$A$4:$A$36,
_xlfn.XLOOKUP(AS152,'2)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F152" s="319" cm="1">
        <f t="array" ref="BF152">ROUND((_xlfn.XLOOKUP($C152,'2) หลักการคำนวน Table'!$A$4:$A$36,
_xlfn.XLOOKUP(AT152,'2)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G152" s="319" cm="1">
        <f t="array" ref="BG152">ROUND((_xlfn.XLOOKUP($C152,'2) หลักการคำนวน Table'!$A$4:$A$36,
_xlfn.XLOOKUP(AU152,'2)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H152" s="319" cm="1">
        <f t="array" ref="BH152">ROUND((_xlfn.XLOOKUP($C152,'2) หลักการคำนวน Table'!$A$4:$A$36,
_xlfn.XLOOKUP(AV152,'2)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I152" s="319" cm="1">
        <f t="array" ref="BI152">ROUND((_xlfn.XLOOKUP($C152,'2) หลักการคำนวน Table'!$A$4:$A$36,
_xlfn.XLOOKUP(AW152,'2)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J152" s="319" cm="1">
        <f t="array" ref="BJ152">ROUND((_xlfn.XLOOKUP($C152,'2) หลักการคำนวน Table'!$A$4:$A$36,
_xlfn.XLOOKUP(AX152,'2)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K152" s="319" cm="1">
        <f t="array" ref="BK152">ROUND((_xlfn.XLOOKUP($C152,'2) หลักการคำนวน Table'!$A$4:$A$36,
_xlfn.XLOOKUP(AY152,'2) หลักการคำนวน Table'!$C$3:$K$3,'2) หลักการคำนวน Table'!$C$4:$K$36,,-1)))*(_xlfn.XLOOKUP($C152,'2) หลักการคำนวน Table'!$A$4:$A$36, _xlfn.XLOOKUP($B152,'2) หลักการคำนวน Table'!$L$3:$Z$3,'2) หลักการคำนวน Table'!$L$4:$Z$36))),0)</f>
        <v>625</v>
      </c>
      <c r="BL152" s="320"/>
      <c r="BM152" s="320">
        <v>222215</v>
      </c>
      <c r="BN152" s="321">
        <v>625</v>
      </c>
    </row>
    <row r="153" spans="1:66" ht="14.7" customHeight="1" x14ac:dyDescent="0.25">
      <c r="A153" s="126">
        <f>VLOOKUP(C153,ASTBase!E:S,13,FALSE)</f>
        <v>222235</v>
      </c>
      <c r="B153" s="126" t="s">
        <v>407</v>
      </c>
      <c r="C153" s="232" t="s">
        <v>402</v>
      </c>
      <c r="D153" s="127">
        <v>300000</v>
      </c>
      <c r="E153" s="127">
        <v>280000</v>
      </c>
      <c r="F153" s="127">
        <v>280000</v>
      </c>
      <c r="G153" s="127">
        <v>300000</v>
      </c>
      <c r="H153" s="127">
        <v>300000</v>
      </c>
      <c r="I153" s="127">
        <v>390000</v>
      </c>
      <c r="J153" s="127">
        <v>270000</v>
      </c>
      <c r="K153" s="127">
        <v>390000</v>
      </c>
      <c r="L153" s="127">
        <v>310000</v>
      </c>
      <c r="M153" s="127">
        <v>390000</v>
      </c>
      <c r="N153" s="127">
        <v>270000</v>
      </c>
      <c r="O153" s="127">
        <v>270000</v>
      </c>
      <c r="P153" s="126">
        <v>231004.99999769052</v>
      </c>
      <c r="AB153" s="317">
        <f>IFERROR(IF(VLOOKUP($B153,Shortage!$A:$M,AB$2,FALSE)="Shortage",1,IFERROR(ROUND(P153/D153,4),0)),IFERROR(ROUND(P153/D153,4),0))</f>
        <v>0.77</v>
      </c>
      <c r="AC153" s="317">
        <f>IFERROR(IF(VLOOKUP($B153,Shortage!$A:$M,AC$2,FALSE)="Shortage",1,IFERROR(ROUND(Q153/E153,4),0)),IFERROR(ROUND(Q153/E153,4),0))</f>
        <v>0</v>
      </c>
      <c r="AD153" s="317">
        <f>IFERROR(IF(VLOOKUP($B153,Shortage!$A:$M,AD$2,FALSE)="Shortage",1,IFERROR(ROUND(R153/F153,4),0)),IFERROR(ROUND(R153/F153,4),0))</f>
        <v>0</v>
      </c>
      <c r="AE153" s="317">
        <f>IFERROR(IF(VLOOKUP($B153,Shortage!$A:$M,AE$2,FALSE)="Shortage",1,IFERROR(ROUND(S153/G153,4),0)),IFERROR(ROUND(S153/G153,4),0))</f>
        <v>0</v>
      </c>
      <c r="AF153" s="317">
        <f>IFERROR(IF(VLOOKUP($B153,Shortage!$A:$M,AF$2,FALSE)="Shortage",1,IFERROR(ROUND(T153/H153,4),0)),IFERROR(ROUND(T153/H153,4),0))</f>
        <v>0</v>
      </c>
      <c r="AG153" s="317">
        <f>IFERROR(IF(VLOOKUP($B153,Shortage!$A:$M,AG$2,FALSE)="Shortage",1,IFERROR(ROUND(U153/I153,4),0)),IFERROR(ROUND(U153/I153,4),0))</f>
        <v>0</v>
      </c>
      <c r="AH153" s="317">
        <f>IFERROR(IF(VLOOKUP($B153,Shortage!$A:$M,AH$2,FALSE)="Shortage",1,IFERROR(ROUND(V153/J153,4),0)),IFERROR(ROUND(V153/J153,4),0))</f>
        <v>0</v>
      </c>
      <c r="AI153" s="317">
        <f>IFERROR(IF(VLOOKUP($B153,Shortage!$A:$M,AI$2,FALSE)="Shortage",1,IFERROR(ROUND(W153/K153,4),0)),IFERROR(ROUND(W153/K153,4),0))</f>
        <v>0</v>
      </c>
      <c r="AJ153" s="317">
        <f>IFERROR(IF(VLOOKUP($B153,Shortage!$A:$M,AJ$2,FALSE)="Shortage",1,IFERROR(ROUND(X153/L153,4),0)),IFERROR(ROUND(X153/L153,4),0))</f>
        <v>0</v>
      </c>
      <c r="AK153" s="317">
        <f>IFERROR(IF(VLOOKUP($B153,Shortage!$A:$M,AK$2,FALSE)="Shortage",1,IFERROR(ROUND(Y153/M153,4),0)),IFERROR(ROUND(Y153/M153,4),0))</f>
        <v>0</v>
      </c>
      <c r="AL153" s="317">
        <f>IFERROR(IF(VLOOKUP($B153,Shortage!$A:$M,AL$2,FALSE)="Shortage",1,IFERROR(ROUND(Z153/N153,4),0)),IFERROR(ROUND(Z153/N153,4),0))</f>
        <v>0</v>
      </c>
      <c r="AM153" s="317">
        <f>IFERROR(IF(VLOOKUP($B153,Shortage!$A:$M,AM$2,FALSE)="Shortage",1,IFERROR(ROUND(AA153/O153,4),0)),IFERROR(ROUND(AA153/O153,4),0))</f>
        <v>0</v>
      </c>
      <c r="AN153" s="318">
        <f>IFERROR(_xlfn.XLOOKUP(AB153,'2) หลักการคำนวน Table'!$C$3:$K$3,'2) หลักการคำนวน Table'!$C$3:$K$3,,1),INDEX('2) หลักการคำนวน Table'!$C$3:$K$3,1))</f>
        <v>0.9</v>
      </c>
      <c r="AO153" s="318">
        <f>IFERROR(
  _xlfn.XLOOKUP(AC153,'2) หลักการคำนวน Table'!$C$3:$K$3,'2) หลักการคำนวน Table'!$C$3:$K$3,,1),
  IF(AC153&lt;MIN('2) หลักการคำนวน Table'!$C$3:$K$3),
     MIN('2) หลักการคำนวน Table'!$C$3:$K$3),
     MAX('2) หลักการคำนวน Table'!$C$3:$K$3)
  )
)</f>
        <v>0.9</v>
      </c>
      <c r="AP153" s="318">
        <f>IFERROR(
  _xlfn.XLOOKUP(AD153,'2) หลักการคำนวน Table'!$C$3:$K$3,'2) หลักการคำนวน Table'!$C$3:$K$3,,1),
  IF(AD153&lt;MIN('2) หลักการคำนวน Table'!$C$3:$K$3),
     MIN('2) หลักการคำนวน Table'!$C$3:$K$3),
     MAX('2) หลักการคำนวน Table'!$C$3:$K$3)
  )
)</f>
        <v>0.9</v>
      </c>
      <c r="AQ153" s="318">
        <f>IFERROR(
  _xlfn.XLOOKUP(AE153,'2) หลักการคำนวน Table'!$C$3:$K$3,'2) หลักการคำนวน Table'!$C$3:$K$3,,1),
  IF(AE153&lt;MIN('2) หลักการคำนวน Table'!$C$3:$K$3),
     MIN('2) หลักการคำนวน Table'!$C$3:$K$3),
     MAX('2) หลักการคำนวน Table'!$C$3:$K$3)
  )
)</f>
        <v>0.9</v>
      </c>
      <c r="AR153" s="318">
        <f>IFERROR(
  _xlfn.XLOOKUP(AF153,'2) หลักการคำนวน Table'!$C$3:$K$3,'2) หลักการคำนวน Table'!$C$3:$K$3,,1),
  IF(AF153&lt;MIN('2) หลักการคำนวน Table'!$C$3:$K$3),
     MIN('2) หลักการคำนวน Table'!$C$3:$K$3),
     MAX('2) หลักการคำนวน Table'!$C$3:$K$3)
  )
)</f>
        <v>0.9</v>
      </c>
      <c r="AS153" s="318">
        <f>IFERROR(
  _xlfn.XLOOKUP(AG153,'2) หลักการคำนวน Table'!$C$3:$K$3,'2) หลักการคำนวน Table'!$C$3:$K$3,,1),
  IF(AG153&lt;MIN('2) หลักการคำนวน Table'!$C$3:$K$3),
     MIN('2) หลักการคำนวน Table'!$C$3:$K$3),
     MAX('2) หลักการคำนวน Table'!$C$3:$K$3)
  )
)</f>
        <v>0.9</v>
      </c>
      <c r="AT153" s="318">
        <f>IFERROR(
  _xlfn.XLOOKUP(AH153,'2) หลักการคำนวน Table'!$C$3:$K$3,'2) หลักการคำนวน Table'!$C$3:$K$3,,1),
  IF(AH153&lt;MIN('2) หลักการคำนวน Table'!$C$3:$K$3),
     MIN('2) หลักการคำนวน Table'!$C$3:$K$3),
     MAX('2) หลักการคำนวน Table'!$C$3:$K$3)
  )
)</f>
        <v>0.9</v>
      </c>
      <c r="AU153" s="318">
        <f>IFERROR(
  _xlfn.XLOOKUP(AI153,'2) หลักการคำนวน Table'!$C$3:$K$3,'2) หลักการคำนวน Table'!$C$3:$K$3,,1),
  IF(AI153&lt;MIN('2) หลักการคำนวน Table'!$C$3:$K$3),
     MIN('2) หลักการคำนวน Table'!$C$3:$K$3),
     MAX('2) หลักการคำนวน Table'!$C$3:$K$3)
  )
)</f>
        <v>0.9</v>
      </c>
      <c r="AV153" s="318">
        <f>IFERROR(
  _xlfn.XLOOKUP(AJ153,'2) หลักการคำนวน Table'!$C$3:$K$3,'2) หลักการคำนวน Table'!$C$3:$K$3,,1),
  IF(AJ153&lt;MIN('2) หลักการคำนวน Table'!$C$3:$K$3),
     MIN('2) หลักการคำนวน Table'!$C$3:$K$3),
     MAX('2) หลักการคำนวน Table'!$C$3:$K$3)
  )
)</f>
        <v>0.9</v>
      </c>
      <c r="AW153" s="318">
        <f>IFERROR(
  _xlfn.XLOOKUP(AK153,'2) หลักการคำนวน Table'!$C$3:$K$3,'2) หลักการคำนวน Table'!$C$3:$K$3,,1),
  IF(AK153&lt;MIN('2) หลักการคำนวน Table'!$C$3:$K$3),
     MIN('2) หลักการคำนวน Table'!$C$3:$K$3),
     MAX('2) หลักการคำนวน Table'!$C$3:$K$3)
  )
)</f>
        <v>0.9</v>
      </c>
      <c r="AX153" s="318">
        <f>IFERROR(
  _xlfn.XLOOKUP(AL153,'2) หลักการคำนวน Table'!$C$3:$K$3,'2) หลักการคำนวน Table'!$C$3:$K$3,,1),
  IF(AL153&lt;MIN('2) หลักการคำนวน Table'!$C$3:$K$3),
     MIN('2) หลักการคำนวน Table'!$C$3:$K$3),
     MAX('2) หลักการคำนวน Table'!$C$3:$K$3)
  )
)</f>
        <v>0.9</v>
      </c>
      <c r="AY153" s="318">
        <f>IFERROR(
  _xlfn.XLOOKUP(AM153,'2) หลักการคำนวน Table'!$C$3:$K$3,'2) หลักการคำนวน Table'!$C$3:$K$3,,1),
  IF(AM153&lt;MIN('2) หลักการคำนวน Table'!$C$3:$K$3),
     MIN('2) หลักการคำนวน Table'!$C$3:$K$3),
     MAX('2) หลักการคำนวน Table'!$C$3:$K$3)
  )
)</f>
        <v>0.9</v>
      </c>
      <c r="AZ153" s="319" cm="1">
        <f t="array" ref="AZ153">ROUND((_xlfn.XLOOKUP($C153,'2) หลักการคำนวน Table'!$A$4:$A$36,
_xlfn.XLOOKUP(AN153,'2)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A153" s="319" cm="1">
        <f t="array" ref="BA153">ROUND((_xlfn.XLOOKUP($C153,'2) หลักการคำนวน Table'!$A$4:$A$36,
_xlfn.XLOOKUP(AO153,'2)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B153" s="319" cm="1">
        <f t="array" ref="BB153">ROUND((_xlfn.XLOOKUP($C153,'2) หลักการคำนวน Table'!$A$4:$A$36,
_xlfn.XLOOKUP(AP153,'2)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C153" s="319" cm="1">
        <f t="array" ref="BC153">ROUND((_xlfn.XLOOKUP($C153,'2) หลักการคำนวน Table'!$A$4:$A$36,
_xlfn.XLOOKUP(AQ153,'2)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D153" s="319" cm="1">
        <f t="array" ref="BD153">ROUND((_xlfn.XLOOKUP($C153,'2) หลักการคำนวน Table'!$A$4:$A$36,
_xlfn.XLOOKUP(AR153,'2)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E153" s="319" cm="1">
        <f t="array" ref="BE153">ROUND((_xlfn.XLOOKUP($C153,'2) หลักการคำนวน Table'!$A$4:$A$36,
_xlfn.XLOOKUP(AS153,'2)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F153" s="319" cm="1">
        <f t="array" ref="BF153">ROUND((_xlfn.XLOOKUP($C153,'2) หลักการคำนวน Table'!$A$4:$A$36,
_xlfn.XLOOKUP(AT153,'2)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G153" s="319" cm="1">
        <f t="array" ref="BG153">ROUND((_xlfn.XLOOKUP($C153,'2) หลักการคำนวน Table'!$A$4:$A$36,
_xlfn.XLOOKUP(AU153,'2)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H153" s="319" cm="1">
        <f t="array" ref="BH153">ROUND((_xlfn.XLOOKUP($C153,'2) หลักการคำนวน Table'!$A$4:$A$36,
_xlfn.XLOOKUP(AV153,'2)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I153" s="319" cm="1">
        <f t="array" ref="BI153">ROUND((_xlfn.XLOOKUP($C153,'2) หลักการคำนวน Table'!$A$4:$A$36,
_xlfn.XLOOKUP(AW153,'2)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J153" s="319" cm="1">
        <f t="array" ref="BJ153">ROUND((_xlfn.XLOOKUP($C153,'2) หลักการคำนวน Table'!$A$4:$A$36,
_xlfn.XLOOKUP(AX153,'2)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K153" s="319" cm="1">
        <f t="array" ref="BK153">ROUND((_xlfn.XLOOKUP($C153,'2) หลักการคำนวน Table'!$A$4:$A$36,
_xlfn.XLOOKUP(AY153,'2) หลักการคำนวน Table'!$C$3:$K$3,'2) หลักการคำนวน Table'!$C$4:$K$36,,-1)))*(_xlfn.XLOOKUP($C153,'2) หลักการคำนวน Table'!$A$4:$A$36, _xlfn.XLOOKUP($B153,'2) หลักการคำนวน Table'!$L$3:$Z$3,'2) หลักการคำนวน Table'!$L$4:$Z$36))),0)</f>
        <v>2121</v>
      </c>
      <c r="BL153" s="320"/>
      <c r="BM153" s="320">
        <v>222216</v>
      </c>
      <c r="BN153" s="321">
        <v>2121</v>
      </c>
    </row>
    <row r="154" spans="1:66" ht="14.7" customHeight="1" x14ac:dyDescent="0.25">
      <c r="A154" s="126">
        <f>VLOOKUP(C154,ASTBase!E:S,13,FALSE)</f>
        <v>222235</v>
      </c>
      <c r="B154" s="126" t="s">
        <v>418</v>
      </c>
      <c r="C154" s="232" t="s">
        <v>402</v>
      </c>
      <c r="AB154" s="317">
        <f>IFERROR(IF(VLOOKUP($B154,Shortage!$A:$M,AB$2,FALSE)="Shortage",1,IFERROR(ROUND(P154/D154,4),0)),IFERROR(ROUND(P154/D154,4),0))</f>
        <v>0</v>
      </c>
      <c r="AC154" s="317">
        <f>IFERROR(IF(VLOOKUP($B154,Shortage!$A:$M,AC$2,FALSE)="Shortage",1,IFERROR(ROUND(Q154/E154,4),0)),IFERROR(ROUND(Q154/E154,4),0))</f>
        <v>0</v>
      </c>
      <c r="AD154" s="317">
        <f>IFERROR(IF(VLOOKUP($B154,Shortage!$A:$M,AD$2,FALSE)="Shortage",1,IFERROR(ROUND(R154/F154,4),0)),IFERROR(ROUND(R154/F154,4),0))</f>
        <v>0</v>
      </c>
      <c r="AE154" s="317">
        <f>IFERROR(IF(VLOOKUP($B154,Shortage!$A:$M,AE$2,FALSE)="Shortage",1,IFERROR(ROUND(S154/G154,4),0)),IFERROR(ROUND(S154/G154,4),0))</f>
        <v>0</v>
      </c>
      <c r="AF154" s="317">
        <f>IFERROR(IF(VLOOKUP($B154,Shortage!$A:$M,AF$2,FALSE)="Shortage",1,IFERROR(ROUND(T154/H154,4),0)),IFERROR(ROUND(T154/H154,4),0))</f>
        <v>0</v>
      </c>
      <c r="AG154" s="317">
        <f>IFERROR(IF(VLOOKUP($B154,Shortage!$A:$M,AG$2,FALSE)="Shortage",1,IFERROR(ROUND(U154/I154,4),0)),IFERROR(ROUND(U154/I154,4),0))</f>
        <v>0</v>
      </c>
      <c r="AH154" s="317">
        <f>IFERROR(IF(VLOOKUP($B154,Shortage!$A:$M,AH$2,FALSE)="Shortage",1,IFERROR(ROUND(V154/J154,4),0)),IFERROR(ROUND(V154/J154,4),0))</f>
        <v>0</v>
      </c>
      <c r="AI154" s="317">
        <f>IFERROR(IF(VLOOKUP($B154,Shortage!$A:$M,AI$2,FALSE)="Shortage",1,IFERROR(ROUND(W154/K154,4),0)),IFERROR(ROUND(W154/K154,4),0))</f>
        <v>0</v>
      </c>
      <c r="AJ154" s="317">
        <f>IFERROR(IF(VLOOKUP($B154,Shortage!$A:$M,AJ$2,FALSE)="Shortage",1,IFERROR(ROUND(X154/L154,4),0)),IFERROR(ROUND(X154/L154,4),0))</f>
        <v>0</v>
      </c>
      <c r="AK154" s="317">
        <f>IFERROR(IF(VLOOKUP($B154,Shortage!$A:$M,AK$2,FALSE)="Shortage",1,IFERROR(ROUND(Y154/M154,4),0)),IFERROR(ROUND(Y154/M154,4),0))</f>
        <v>0</v>
      </c>
      <c r="AL154" s="317">
        <f>IFERROR(IF(VLOOKUP($B154,Shortage!$A:$M,AL$2,FALSE)="Shortage",1,IFERROR(ROUND(Z154/N154,4),0)),IFERROR(ROUND(Z154/N154,4),0))</f>
        <v>0</v>
      </c>
      <c r="AM154" s="317">
        <f>IFERROR(IF(VLOOKUP($B154,Shortage!$A:$M,AM$2,FALSE)="Shortage",1,IFERROR(ROUND(AA154/O154,4),0)),IFERROR(ROUND(AA154/O154,4),0))</f>
        <v>0</v>
      </c>
      <c r="AN154" s="318">
        <f>IFERROR(_xlfn.XLOOKUP(AB154,'2) หลักการคำนวน Table'!$C$3:$K$3,'2) หลักการคำนวน Table'!$C$3:$K$3,,1),INDEX('2) หลักการคำนวน Table'!$C$3:$K$3,1))</f>
        <v>0.9</v>
      </c>
      <c r="AO154" s="318">
        <f>IFERROR(
  _xlfn.XLOOKUP(AC154,'2) หลักการคำนวน Table'!$C$3:$K$3,'2) หลักการคำนวน Table'!$C$3:$K$3,,1),
  IF(AC154&lt;MIN('2) หลักการคำนวน Table'!$C$3:$K$3),
     MIN('2) หลักการคำนวน Table'!$C$3:$K$3),
     MAX('2) หลักการคำนวน Table'!$C$3:$K$3)
  )
)</f>
        <v>0.9</v>
      </c>
      <c r="AP154" s="318">
        <f>IFERROR(
  _xlfn.XLOOKUP(AD154,'2) หลักการคำนวน Table'!$C$3:$K$3,'2) หลักการคำนวน Table'!$C$3:$K$3,,1),
  IF(AD154&lt;MIN('2) หลักการคำนวน Table'!$C$3:$K$3),
     MIN('2) หลักการคำนวน Table'!$C$3:$K$3),
     MAX('2) หลักการคำนวน Table'!$C$3:$K$3)
  )
)</f>
        <v>0.9</v>
      </c>
      <c r="AQ154" s="318">
        <f>IFERROR(
  _xlfn.XLOOKUP(AE154,'2) หลักการคำนวน Table'!$C$3:$K$3,'2) หลักการคำนวน Table'!$C$3:$K$3,,1),
  IF(AE154&lt;MIN('2) หลักการคำนวน Table'!$C$3:$K$3),
     MIN('2) หลักการคำนวน Table'!$C$3:$K$3),
     MAX('2) หลักการคำนวน Table'!$C$3:$K$3)
  )
)</f>
        <v>0.9</v>
      </c>
      <c r="AR154" s="318">
        <f>IFERROR(
  _xlfn.XLOOKUP(AF154,'2) หลักการคำนวน Table'!$C$3:$K$3,'2) หลักการคำนวน Table'!$C$3:$K$3,,1),
  IF(AF154&lt;MIN('2) หลักการคำนวน Table'!$C$3:$K$3),
     MIN('2) หลักการคำนวน Table'!$C$3:$K$3),
     MAX('2) หลักการคำนวน Table'!$C$3:$K$3)
  )
)</f>
        <v>0.9</v>
      </c>
      <c r="AS154" s="318">
        <f>IFERROR(
  _xlfn.XLOOKUP(AG154,'2) หลักการคำนวน Table'!$C$3:$K$3,'2) หลักการคำนวน Table'!$C$3:$K$3,,1),
  IF(AG154&lt;MIN('2) หลักการคำนวน Table'!$C$3:$K$3),
     MIN('2) หลักการคำนวน Table'!$C$3:$K$3),
     MAX('2) หลักการคำนวน Table'!$C$3:$K$3)
  )
)</f>
        <v>0.9</v>
      </c>
      <c r="AT154" s="318">
        <f>IFERROR(
  _xlfn.XLOOKUP(AH154,'2) หลักการคำนวน Table'!$C$3:$K$3,'2) หลักการคำนวน Table'!$C$3:$K$3,,1),
  IF(AH154&lt;MIN('2) หลักการคำนวน Table'!$C$3:$K$3),
     MIN('2) หลักการคำนวน Table'!$C$3:$K$3),
     MAX('2) หลักการคำนวน Table'!$C$3:$K$3)
  )
)</f>
        <v>0.9</v>
      </c>
      <c r="AU154" s="318">
        <f>IFERROR(
  _xlfn.XLOOKUP(AI154,'2) หลักการคำนวน Table'!$C$3:$K$3,'2) หลักการคำนวน Table'!$C$3:$K$3,,1),
  IF(AI154&lt;MIN('2) หลักการคำนวน Table'!$C$3:$K$3),
     MIN('2) หลักการคำนวน Table'!$C$3:$K$3),
     MAX('2) หลักการคำนวน Table'!$C$3:$K$3)
  )
)</f>
        <v>0.9</v>
      </c>
      <c r="AV154" s="318">
        <f>IFERROR(
  _xlfn.XLOOKUP(AJ154,'2) หลักการคำนวน Table'!$C$3:$K$3,'2) หลักการคำนวน Table'!$C$3:$K$3,,1),
  IF(AJ154&lt;MIN('2) หลักการคำนวน Table'!$C$3:$K$3),
     MIN('2) หลักการคำนวน Table'!$C$3:$K$3),
     MAX('2) หลักการคำนวน Table'!$C$3:$K$3)
  )
)</f>
        <v>0.9</v>
      </c>
      <c r="AW154" s="318">
        <f>IFERROR(
  _xlfn.XLOOKUP(AK154,'2) หลักการคำนวน Table'!$C$3:$K$3,'2) หลักการคำนวน Table'!$C$3:$K$3,,1),
  IF(AK154&lt;MIN('2) หลักการคำนวน Table'!$C$3:$K$3),
     MIN('2) หลักการคำนวน Table'!$C$3:$K$3),
     MAX('2) หลักการคำนวน Table'!$C$3:$K$3)
  )
)</f>
        <v>0.9</v>
      </c>
      <c r="AX154" s="318">
        <f>IFERROR(
  _xlfn.XLOOKUP(AL154,'2) หลักการคำนวน Table'!$C$3:$K$3,'2) หลักการคำนวน Table'!$C$3:$K$3,,1),
  IF(AL154&lt;MIN('2) หลักการคำนวน Table'!$C$3:$K$3),
     MIN('2) หลักการคำนวน Table'!$C$3:$K$3),
     MAX('2) หลักการคำนวน Table'!$C$3:$K$3)
  )
)</f>
        <v>0.9</v>
      </c>
      <c r="AY154" s="318">
        <f>IFERROR(
  _xlfn.XLOOKUP(AM154,'2) หลักการคำนวน Table'!$C$3:$K$3,'2) หลักการคำนวน Table'!$C$3:$K$3,,1),
  IF(AM154&lt;MIN('2) หลักการคำนวน Table'!$C$3:$K$3),
     MIN('2) หลักการคำนวน Table'!$C$3:$K$3),
     MAX('2) หลักการคำนวน Table'!$C$3:$K$3)
  )
)</f>
        <v>0.9</v>
      </c>
      <c r="AZ154" s="319" cm="1">
        <f t="array" ref="AZ154">ROUND((_xlfn.XLOOKUP($C154,'2) หลักการคำนวน Table'!$A$4:$A$36,
_xlfn.XLOOKUP(AN154,'2)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A154" s="319" cm="1">
        <f t="array" ref="BA154">ROUND((_xlfn.XLOOKUP($C154,'2) หลักการคำนวน Table'!$A$4:$A$36,
_xlfn.XLOOKUP(AO154,'2)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B154" s="319" cm="1">
        <f t="array" ref="BB154">ROUND((_xlfn.XLOOKUP($C154,'2) หลักการคำนวน Table'!$A$4:$A$36,
_xlfn.XLOOKUP(AP154,'2)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C154" s="319" cm="1">
        <f t="array" ref="BC154">ROUND((_xlfn.XLOOKUP($C154,'2) หลักการคำนวน Table'!$A$4:$A$36,
_xlfn.XLOOKUP(AQ154,'2)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D154" s="319" cm="1">
        <f t="array" ref="BD154">ROUND((_xlfn.XLOOKUP($C154,'2) หลักการคำนวน Table'!$A$4:$A$36,
_xlfn.XLOOKUP(AR154,'2)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E154" s="319" cm="1">
        <f t="array" ref="BE154">ROUND((_xlfn.XLOOKUP($C154,'2) หลักการคำนวน Table'!$A$4:$A$36,
_xlfn.XLOOKUP(AS154,'2)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F154" s="319" cm="1">
        <f t="array" ref="BF154">ROUND((_xlfn.XLOOKUP($C154,'2) หลักการคำนวน Table'!$A$4:$A$36,
_xlfn.XLOOKUP(AT154,'2)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G154" s="319" cm="1">
        <f t="array" ref="BG154">ROUND((_xlfn.XLOOKUP($C154,'2) หลักการคำนวน Table'!$A$4:$A$36,
_xlfn.XLOOKUP(AU154,'2)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H154" s="319" cm="1">
        <f t="array" ref="BH154">ROUND((_xlfn.XLOOKUP($C154,'2) หลักการคำนวน Table'!$A$4:$A$36,
_xlfn.XLOOKUP(AV154,'2)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I154" s="319" cm="1">
        <f t="array" ref="BI154">ROUND((_xlfn.XLOOKUP($C154,'2) หลักการคำนวน Table'!$A$4:$A$36,
_xlfn.XLOOKUP(AW154,'2)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J154" s="319" cm="1">
        <f t="array" ref="BJ154">ROUND((_xlfn.XLOOKUP($C154,'2) หลักการคำนวน Table'!$A$4:$A$36,
_xlfn.XLOOKUP(AX154,'2)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K154" s="319" cm="1">
        <f t="array" ref="BK154">ROUND((_xlfn.XLOOKUP($C154,'2) หลักการคำนวน Table'!$A$4:$A$36,
_xlfn.XLOOKUP(AY154,'2) หลักการคำนวน Table'!$C$3:$K$3,'2) หลักการคำนวน Table'!$C$4:$K$36,,-1)))*(_xlfn.XLOOKUP($C154,'2) หลักการคำนวน Table'!$A$4:$A$36, _xlfn.XLOOKUP($B154,'2) หลักการคำนวน Table'!$L$3:$Z$3,'2) หลักการคำนวน Table'!$L$4:$Z$36))),0)</f>
        <v>0</v>
      </c>
      <c r="BL154" s="320"/>
      <c r="BM154" s="320">
        <v>222216</v>
      </c>
      <c r="BN154" s="321">
        <v>0</v>
      </c>
    </row>
    <row r="155" spans="1:66" ht="14.7" customHeight="1" x14ac:dyDescent="0.25">
      <c r="A155" s="126">
        <f>VLOOKUP(C155,ASTBase!E:S,13,FALSE)</f>
        <v>222235</v>
      </c>
      <c r="B155" s="126" t="s">
        <v>413</v>
      </c>
      <c r="C155" s="232" t="s">
        <v>402</v>
      </c>
      <c r="D155" s="127">
        <v>260000</v>
      </c>
      <c r="E155" s="127">
        <v>220000</v>
      </c>
      <c r="F155" s="127">
        <v>260000</v>
      </c>
      <c r="G155" s="127">
        <v>480000</v>
      </c>
      <c r="H155" s="127">
        <v>250000</v>
      </c>
      <c r="I155" s="127">
        <v>170000</v>
      </c>
      <c r="J155" s="127">
        <v>290000</v>
      </c>
      <c r="K155" s="127">
        <v>480000</v>
      </c>
      <c r="L155" s="127">
        <v>270000</v>
      </c>
      <c r="M155" s="127">
        <v>400000</v>
      </c>
      <c r="N155" s="127">
        <v>290000</v>
      </c>
      <c r="O155" s="127">
        <v>230000</v>
      </c>
      <c r="P155" s="126">
        <v>175518.67139999926</v>
      </c>
      <c r="AB155" s="317">
        <f>IFERROR(IF(VLOOKUP($B155,Shortage!$A:$M,AB$2,FALSE)="Shortage",1,IFERROR(ROUND(P155/D155,4),0)),IFERROR(ROUND(P155/D155,4),0))</f>
        <v>0.67510000000000003</v>
      </c>
      <c r="AC155" s="317">
        <f>IFERROR(IF(VLOOKUP($B155,Shortage!$A:$M,AC$2,FALSE)="Shortage",1,IFERROR(ROUND(Q155/E155,4),0)),IFERROR(ROUND(Q155/E155,4),0))</f>
        <v>0</v>
      </c>
      <c r="AD155" s="317">
        <f>IFERROR(IF(VLOOKUP($B155,Shortage!$A:$M,AD$2,FALSE)="Shortage",1,IFERROR(ROUND(R155/F155,4),0)),IFERROR(ROUND(R155/F155,4),0))</f>
        <v>0</v>
      </c>
      <c r="AE155" s="317">
        <f>IFERROR(IF(VLOOKUP($B155,Shortage!$A:$M,AE$2,FALSE)="Shortage",1,IFERROR(ROUND(S155/G155,4),0)),IFERROR(ROUND(S155/G155,4),0))</f>
        <v>0</v>
      </c>
      <c r="AF155" s="317">
        <f>IFERROR(IF(VLOOKUP($B155,Shortage!$A:$M,AF$2,FALSE)="Shortage",1,IFERROR(ROUND(T155/H155,4),0)),IFERROR(ROUND(T155/H155,4),0))</f>
        <v>0</v>
      </c>
      <c r="AG155" s="317">
        <f>IFERROR(IF(VLOOKUP($B155,Shortage!$A:$M,AG$2,FALSE)="Shortage",1,IFERROR(ROUND(U155/I155,4),0)),IFERROR(ROUND(U155/I155,4),0))</f>
        <v>0</v>
      </c>
      <c r="AH155" s="317">
        <f>IFERROR(IF(VLOOKUP($B155,Shortage!$A:$M,AH$2,FALSE)="Shortage",1,IFERROR(ROUND(V155/J155,4),0)),IFERROR(ROUND(V155/J155,4),0))</f>
        <v>0</v>
      </c>
      <c r="AI155" s="317">
        <f>IFERROR(IF(VLOOKUP($B155,Shortage!$A:$M,AI$2,FALSE)="Shortage",1,IFERROR(ROUND(W155/K155,4),0)),IFERROR(ROUND(W155/K155,4),0))</f>
        <v>0</v>
      </c>
      <c r="AJ155" s="317">
        <f>IFERROR(IF(VLOOKUP($B155,Shortage!$A:$M,AJ$2,FALSE)="Shortage",1,IFERROR(ROUND(X155/L155,4),0)),IFERROR(ROUND(X155/L155,4),0))</f>
        <v>0</v>
      </c>
      <c r="AK155" s="317">
        <f>IFERROR(IF(VLOOKUP($B155,Shortage!$A:$M,AK$2,FALSE)="Shortage",1,IFERROR(ROUND(Y155/M155,4),0)),IFERROR(ROUND(Y155/M155,4),0))</f>
        <v>0</v>
      </c>
      <c r="AL155" s="317">
        <f>IFERROR(IF(VLOOKUP($B155,Shortage!$A:$M,AL$2,FALSE)="Shortage",1,IFERROR(ROUND(Z155/N155,4),0)),IFERROR(ROUND(Z155/N155,4),0))</f>
        <v>0</v>
      </c>
      <c r="AM155" s="317">
        <f>IFERROR(IF(VLOOKUP($B155,Shortage!$A:$M,AM$2,FALSE)="Shortage",1,IFERROR(ROUND(AA155/O155,4),0)),IFERROR(ROUND(AA155/O155,4),0))</f>
        <v>0</v>
      </c>
      <c r="AN155" s="318">
        <f>IFERROR(_xlfn.XLOOKUP(AB155,'2) หลักการคำนวน Table'!$C$3:$K$3,'2) หลักการคำนวน Table'!$C$3:$K$3,,1),INDEX('2) หลักการคำนวน Table'!$C$3:$K$3,1))</f>
        <v>0.9</v>
      </c>
      <c r="AO155" s="318">
        <f>IFERROR(
  _xlfn.XLOOKUP(AC155,'2) หลักการคำนวน Table'!$C$3:$K$3,'2) หลักการคำนวน Table'!$C$3:$K$3,,1),
  IF(AC155&lt;MIN('2) หลักการคำนวน Table'!$C$3:$K$3),
     MIN('2) หลักการคำนวน Table'!$C$3:$K$3),
     MAX('2) หลักการคำนวน Table'!$C$3:$K$3)
  )
)</f>
        <v>0.9</v>
      </c>
      <c r="AP155" s="318">
        <f>IFERROR(
  _xlfn.XLOOKUP(AD155,'2) หลักการคำนวน Table'!$C$3:$K$3,'2) หลักการคำนวน Table'!$C$3:$K$3,,1),
  IF(AD155&lt;MIN('2) หลักการคำนวน Table'!$C$3:$K$3),
     MIN('2) หลักการคำนวน Table'!$C$3:$K$3),
     MAX('2) หลักการคำนวน Table'!$C$3:$K$3)
  )
)</f>
        <v>0.9</v>
      </c>
      <c r="AQ155" s="318">
        <f>IFERROR(
  _xlfn.XLOOKUP(AE155,'2) หลักการคำนวน Table'!$C$3:$K$3,'2) หลักการคำนวน Table'!$C$3:$K$3,,1),
  IF(AE155&lt;MIN('2) หลักการคำนวน Table'!$C$3:$K$3),
     MIN('2) หลักการคำนวน Table'!$C$3:$K$3),
     MAX('2) หลักการคำนวน Table'!$C$3:$K$3)
  )
)</f>
        <v>0.9</v>
      </c>
      <c r="AR155" s="318">
        <f>IFERROR(
  _xlfn.XLOOKUP(AF155,'2) หลักการคำนวน Table'!$C$3:$K$3,'2) หลักการคำนวน Table'!$C$3:$K$3,,1),
  IF(AF155&lt;MIN('2) หลักการคำนวน Table'!$C$3:$K$3),
     MIN('2) หลักการคำนวน Table'!$C$3:$K$3),
     MAX('2) หลักการคำนวน Table'!$C$3:$K$3)
  )
)</f>
        <v>0.9</v>
      </c>
      <c r="AS155" s="318">
        <f>IFERROR(
  _xlfn.XLOOKUP(AG155,'2) หลักการคำนวน Table'!$C$3:$K$3,'2) หลักการคำนวน Table'!$C$3:$K$3,,1),
  IF(AG155&lt;MIN('2) หลักการคำนวน Table'!$C$3:$K$3),
     MIN('2) หลักการคำนวน Table'!$C$3:$K$3),
     MAX('2) หลักการคำนวน Table'!$C$3:$K$3)
  )
)</f>
        <v>0.9</v>
      </c>
      <c r="AT155" s="318">
        <f>IFERROR(
  _xlfn.XLOOKUP(AH155,'2) หลักการคำนวน Table'!$C$3:$K$3,'2) หลักการคำนวน Table'!$C$3:$K$3,,1),
  IF(AH155&lt;MIN('2) หลักการคำนวน Table'!$C$3:$K$3),
     MIN('2) หลักการคำนวน Table'!$C$3:$K$3),
     MAX('2) หลักการคำนวน Table'!$C$3:$K$3)
  )
)</f>
        <v>0.9</v>
      </c>
      <c r="AU155" s="318">
        <f>IFERROR(
  _xlfn.XLOOKUP(AI155,'2) หลักการคำนวน Table'!$C$3:$K$3,'2) หลักการคำนวน Table'!$C$3:$K$3,,1),
  IF(AI155&lt;MIN('2) หลักการคำนวน Table'!$C$3:$K$3),
     MIN('2) หลักการคำนวน Table'!$C$3:$K$3),
     MAX('2) หลักการคำนวน Table'!$C$3:$K$3)
  )
)</f>
        <v>0.9</v>
      </c>
      <c r="AV155" s="318">
        <f>IFERROR(
  _xlfn.XLOOKUP(AJ155,'2) หลักการคำนวน Table'!$C$3:$K$3,'2) หลักการคำนวน Table'!$C$3:$K$3,,1),
  IF(AJ155&lt;MIN('2) หลักการคำนวน Table'!$C$3:$K$3),
     MIN('2) หลักการคำนวน Table'!$C$3:$K$3),
     MAX('2) หลักการคำนวน Table'!$C$3:$K$3)
  )
)</f>
        <v>0.9</v>
      </c>
      <c r="AW155" s="318">
        <f>IFERROR(
  _xlfn.XLOOKUP(AK155,'2) หลักการคำนวน Table'!$C$3:$K$3,'2) หลักการคำนวน Table'!$C$3:$K$3,,1),
  IF(AK155&lt;MIN('2) หลักการคำนวน Table'!$C$3:$K$3),
     MIN('2) หลักการคำนวน Table'!$C$3:$K$3),
     MAX('2) หลักการคำนวน Table'!$C$3:$K$3)
  )
)</f>
        <v>0.9</v>
      </c>
      <c r="AX155" s="318">
        <f>IFERROR(
  _xlfn.XLOOKUP(AL155,'2) หลักการคำนวน Table'!$C$3:$K$3,'2) หลักการคำนวน Table'!$C$3:$K$3,,1),
  IF(AL155&lt;MIN('2) หลักการคำนวน Table'!$C$3:$K$3),
     MIN('2) หลักการคำนวน Table'!$C$3:$K$3),
     MAX('2) หลักการคำนวน Table'!$C$3:$K$3)
  )
)</f>
        <v>0.9</v>
      </c>
      <c r="AY155" s="318">
        <f>IFERROR(
  _xlfn.XLOOKUP(AM155,'2) หลักการคำนวน Table'!$C$3:$K$3,'2) หลักการคำนวน Table'!$C$3:$K$3,,1),
  IF(AM155&lt;MIN('2) หลักการคำนวน Table'!$C$3:$K$3),
     MIN('2) หลักการคำนวน Table'!$C$3:$K$3),
     MAX('2) หลักการคำนวน Table'!$C$3:$K$3)
  )
)</f>
        <v>0.9</v>
      </c>
      <c r="AZ155" s="319" cm="1">
        <f t="array" ref="AZ155">ROUND((_xlfn.XLOOKUP($C155,'2) หลักการคำนวน Table'!$A$4:$A$36,
_xlfn.XLOOKUP(AN155,'2)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A155" s="319" cm="1">
        <f t="array" ref="BA155">ROUND((_xlfn.XLOOKUP($C155,'2) หลักการคำนวน Table'!$A$4:$A$36,
_xlfn.XLOOKUP(AO155,'2)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B155" s="319" cm="1">
        <f t="array" ref="BB155">ROUND((_xlfn.XLOOKUP($C155,'2) หลักการคำนวน Table'!$A$4:$A$36,
_xlfn.XLOOKUP(AP155,'2)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C155" s="319" cm="1">
        <f t="array" ref="BC155">ROUND((_xlfn.XLOOKUP($C155,'2) หลักการคำนวน Table'!$A$4:$A$36,
_xlfn.XLOOKUP(AQ155,'2)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D155" s="319" cm="1">
        <f t="array" ref="BD155">ROUND((_xlfn.XLOOKUP($C155,'2) หลักการคำนวน Table'!$A$4:$A$36,
_xlfn.XLOOKUP(AR155,'2)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E155" s="319" cm="1">
        <f t="array" ref="BE155">ROUND((_xlfn.XLOOKUP($C155,'2) หลักการคำนวน Table'!$A$4:$A$36,
_xlfn.XLOOKUP(AS155,'2)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F155" s="319" cm="1">
        <f t="array" ref="BF155">ROUND((_xlfn.XLOOKUP($C155,'2) หลักการคำนวน Table'!$A$4:$A$36,
_xlfn.XLOOKUP(AT155,'2)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G155" s="319" cm="1">
        <f t="array" ref="BG155">ROUND((_xlfn.XLOOKUP($C155,'2) หลักการคำนวน Table'!$A$4:$A$36,
_xlfn.XLOOKUP(AU155,'2)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H155" s="319" cm="1">
        <f t="array" ref="BH155">ROUND((_xlfn.XLOOKUP($C155,'2) หลักการคำนวน Table'!$A$4:$A$36,
_xlfn.XLOOKUP(AV155,'2)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I155" s="319" cm="1">
        <f t="array" ref="BI155">ROUND((_xlfn.XLOOKUP($C155,'2) หลักการคำนวน Table'!$A$4:$A$36,
_xlfn.XLOOKUP(AW155,'2)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J155" s="319" cm="1">
        <f t="array" ref="BJ155">ROUND((_xlfn.XLOOKUP($C155,'2) หลักการคำนวน Table'!$A$4:$A$36,
_xlfn.XLOOKUP(AX155,'2)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K155" s="319" cm="1">
        <f t="array" ref="BK155">ROUND((_xlfn.XLOOKUP($C155,'2) หลักการคำนวน Table'!$A$4:$A$36,
_xlfn.XLOOKUP(AY155,'2) หลักการคำนวน Table'!$C$3:$K$3,'2) หลักการคำนวน Table'!$C$4:$K$36,,-1)))*(_xlfn.XLOOKUP($C155,'2) หลักการคำนวน Table'!$A$4:$A$36, _xlfn.XLOOKUP($B155,'2) หลักการคำนวน Table'!$L$3:$Z$3,'2) หลักการคำนวน Table'!$L$4:$Z$36))),0)</f>
        <v>2121</v>
      </c>
      <c r="BL155" s="320"/>
      <c r="BM155" s="320">
        <v>222216</v>
      </c>
      <c r="BN155" s="321">
        <v>2121</v>
      </c>
    </row>
    <row r="156" spans="1:66" ht="14.7" customHeight="1" x14ac:dyDescent="0.25">
      <c r="A156" s="126">
        <f>VLOOKUP(C156,ASTBase!E:S,13,FALSE)</f>
        <v>222235</v>
      </c>
      <c r="B156" s="126" t="s">
        <v>414</v>
      </c>
      <c r="C156" s="232" t="s">
        <v>402</v>
      </c>
      <c r="D156" s="127">
        <v>80000</v>
      </c>
      <c r="E156" s="127">
        <v>80000</v>
      </c>
      <c r="F156" s="127">
        <v>90000</v>
      </c>
      <c r="G156" s="127">
        <v>80000</v>
      </c>
      <c r="H156" s="127">
        <v>100000</v>
      </c>
      <c r="I156" s="127">
        <v>80000</v>
      </c>
      <c r="J156" s="127">
        <v>80000</v>
      </c>
      <c r="K156" s="127">
        <v>100000</v>
      </c>
      <c r="L156" s="127">
        <v>100000</v>
      </c>
      <c r="M156" s="127">
        <v>80000</v>
      </c>
      <c r="N156" s="127">
        <v>90000</v>
      </c>
      <c r="O156" s="127">
        <v>80000</v>
      </c>
      <c r="P156" s="126">
        <v>82689.599999999846</v>
      </c>
      <c r="AB156" s="317">
        <f>IFERROR(IF(VLOOKUP($B156,Shortage!$A:$M,AB$2,FALSE)="Shortage",1,IFERROR(ROUND(P156/D156,4),0)),IFERROR(ROUND(P156/D156,4),0))</f>
        <v>1.0336000000000001</v>
      </c>
      <c r="AC156" s="317">
        <f>IFERROR(IF(VLOOKUP($B156,Shortage!$A:$M,AC$2,FALSE)="Shortage",1,IFERROR(ROUND(Q156/E156,4),0)),IFERROR(ROUND(Q156/E156,4),0))</f>
        <v>0</v>
      </c>
      <c r="AD156" s="317">
        <f>IFERROR(IF(VLOOKUP($B156,Shortage!$A:$M,AD$2,FALSE)="Shortage",1,IFERROR(ROUND(R156/F156,4),0)),IFERROR(ROUND(R156/F156,4),0))</f>
        <v>0</v>
      </c>
      <c r="AE156" s="317">
        <f>IFERROR(IF(VLOOKUP($B156,Shortage!$A:$M,AE$2,FALSE)="Shortage",1,IFERROR(ROUND(S156/G156,4),0)),IFERROR(ROUND(S156/G156,4),0))</f>
        <v>0</v>
      </c>
      <c r="AF156" s="317">
        <f>IFERROR(IF(VLOOKUP($B156,Shortage!$A:$M,AF$2,FALSE)="Shortage",1,IFERROR(ROUND(T156/H156,4),0)),IFERROR(ROUND(T156/H156,4),0))</f>
        <v>0</v>
      </c>
      <c r="AG156" s="317">
        <f>IFERROR(IF(VLOOKUP($B156,Shortage!$A:$M,AG$2,FALSE)="Shortage",1,IFERROR(ROUND(U156/I156,4),0)),IFERROR(ROUND(U156/I156,4),0))</f>
        <v>0</v>
      </c>
      <c r="AH156" s="317">
        <f>IFERROR(IF(VLOOKUP($B156,Shortage!$A:$M,AH$2,FALSE)="Shortage",1,IFERROR(ROUND(V156/J156,4),0)),IFERROR(ROUND(V156/J156,4),0))</f>
        <v>0</v>
      </c>
      <c r="AI156" s="317">
        <f>IFERROR(IF(VLOOKUP($B156,Shortage!$A:$M,AI$2,FALSE)="Shortage",1,IFERROR(ROUND(W156/K156,4),0)),IFERROR(ROUND(W156/K156,4),0))</f>
        <v>0</v>
      </c>
      <c r="AJ156" s="317">
        <f>IFERROR(IF(VLOOKUP($B156,Shortage!$A:$M,AJ$2,FALSE)="Shortage",1,IFERROR(ROUND(X156/L156,4),0)),IFERROR(ROUND(X156/L156,4),0))</f>
        <v>0</v>
      </c>
      <c r="AK156" s="317">
        <f>IFERROR(IF(VLOOKUP($B156,Shortage!$A:$M,AK$2,FALSE)="Shortage",1,IFERROR(ROUND(Y156/M156,4),0)),IFERROR(ROUND(Y156/M156,4),0))</f>
        <v>0</v>
      </c>
      <c r="AL156" s="317">
        <f>IFERROR(IF(VLOOKUP($B156,Shortage!$A:$M,AL$2,FALSE)="Shortage",1,IFERROR(ROUND(Z156/N156,4),0)),IFERROR(ROUND(Z156/N156,4),0))</f>
        <v>0</v>
      </c>
      <c r="AM156" s="317">
        <f>IFERROR(IF(VLOOKUP($B156,Shortage!$A:$M,AM$2,FALSE)="Shortage",1,IFERROR(ROUND(AA156/O156,4),0)),IFERROR(ROUND(AA156/O156,4),0))</f>
        <v>0</v>
      </c>
      <c r="AN156" s="318">
        <f>IFERROR(_xlfn.XLOOKUP(AB156,'2) หลักการคำนวน Table'!$C$3:$K$3,'2) หลักการคำนวน Table'!$C$3:$K$3,,1),INDEX('2) หลักการคำนวน Table'!$C$3:$K$3,1))</f>
        <v>1.06</v>
      </c>
      <c r="AO156" s="318">
        <f>IFERROR(
  _xlfn.XLOOKUP(AC156,'2) หลักการคำนวน Table'!$C$3:$K$3,'2) หลักการคำนวน Table'!$C$3:$K$3,,1),
  IF(AC156&lt;MIN('2) หลักการคำนวน Table'!$C$3:$K$3),
     MIN('2) หลักการคำนวน Table'!$C$3:$K$3),
     MAX('2) หลักการคำนวน Table'!$C$3:$K$3)
  )
)</f>
        <v>0.9</v>
      </c>
      <c r="AP156" s="318">
        <f>IFERROR(
  _xlfn.XLOOKUP(AD156,'2) หลักการคำนวน Table'!$C$3:$K$3,'2) หลักการคำนวน Table'!$C$3:$K$3,,1),
  IF(AD156&lt;MIN('2) หลักการคำนวน Table'!$C$3:$K$3),
     MIN('2) หลักการคำนวน Table'!$C$3:$K$3),
     MAX('2) หลักการคำนวน Table'!$C$3:$K$3)
  )
)</f>
        <v>0.9</v>
      </c>
      <c r="AQ156" s="318">
        <f>IFERROR(
  _xlfn.XLOOKUP(AE156,'2) หลักการคำนวน Table'!$C$3:$K$3,'2) หลักการคำนวน Table'!$C$3:$K$3,,1),
  IF(AE156&lt;MIN('2) หลักการคำนวน Table'!$C$3:$K$3),
     MIN('2) หลักการคำนวน Table'!$C$3:$K$3),
     MAX('2) หลักการคำนวน Table'!$C$3:$K$3)
  )
)</f>
        <v>0.9</v>
      </c>
      <c r="AR156" s="318">
        <f>IFERROR(
  _xlfn.XLOOKUP(AF156,'2) หลักการคำนวน Table'!$C$3:$K$3,'2) หลักการคำนวน Table'!$C$3:$K$3,,1),
  IF(AF156&lt;MIN('2) หลักการคำนวน Table'!$C$3:$K$3),
     MIN('2) หลักการคำนวน Table'!$C$3:$K$3),
     MAX('2) หลักการคำนวน Table'!$C$3:$K$3)
  )
)</f>
        <v>0.9</v>
      </c>
      <c r="AS156" s="318">
        <f>IFERROR(
  _xlfn.XLOOKUP(AG156,'2) หลักการคำนวน Table'!$C$3:$K$3,'2) หลักการคำนวน Table'!$C$3:$K$3,,1),
  IF(AG156&lt;MIN('2) หลักการคำนวน Table'!$C$3:$K$3),
     MIN('2) หลักการคำนวน Table'!$C$3:$K$3),
     MAX('2) หลักการคำนวน Table'!$C$3:$K$3)
  )
)</f>
        <v>0.9</v>
      </c>
      <c r="AT156" s="318">
        <f>IFERROR(
  _xlfn.XLOOKUP(AH156,'2) หลักการคำนวน Table'!$C$3:$K$3,'2) หลักการคำนวน Table'!$C$3:$K$3,,1),
  IF(AH156&lt;MIN('2) หลักการคำนวน Table'!$C$3:$K$3),
     MIN('2) หลักการคำนวน Table'!$C$3:$K$3),
     MAX('2) หลักการคำนวน Table'!$C$3:$K$3)
  )
)</f>
        <v>0.9</v>
      </c>
      <c r="AU156" s="318">
        <f>IFERROR(
  _xlfn.XLOOKUP(AI156,'2) หลักการคำนวน Table'!$C$3:$K$3,'2) หลักการคำนวน Table'!$C$3:$K$3,,1),
  IF(AI156&lt;MIN('2) หลักการคำนวน Table'!$C$3:$K$3),
     MIN('2) หลักการคำนวน Table'!$C$3:$K$3),
     MAX('2) หลักการคำนวน Table'!$C$3:$K$3)
  )
)</f>
        <v>0.9</v>
      </c>
      <c r="AV156" s="318">
        <f>IFERROR(
  _xlfn.XLOOKUP(AJ156,'2) หลักการคำนวน Table'!$C$3:$K$3,'2) หลักการคำนวน Table'!$C$3:$K$3,,1),
  IF(AJ156&lt;MIN('2) หลักการคำนวน Table'!$C$3:$K$3),
     MIN('2) หลักการคำนวน Table'!$C$3:$K$3),
     MAX('2) หลักการคำนวน Table'!$C$3:$K$3)
  )
)</f>
        <v>0.9</v>
      </c>
      <c r="AW156" s="318">
        <f>IFERROR(
  _xlfn.XLOOKUP(AK156,'2) หลักการคำนวน Table'!$C$3:$K$3,'2) หลักการคำนวน Table'!$C$3:$K$3,,1),
  IF(AK156&lt;MIN('2) หลักการคำนวน Table'!$C$3:$K$3),
     MIN('2) หลักการคำนวน Table'!$C$3:$K$3),
     MAX('2) หลักการคำนวน Table'!$C$3:$K$3)
  )
)</f>
        <v>0.9</v>
      </c>
      <c r="AX156" s="318">
        <f>IFERROR(
  _xlfn.XLOOKUP(AL156,'2) หลักการคำนวน Table'!$C$3:$K$3,'2) หลักการคำนวน Table'!$C$3:$K$3,,1),
  IF(AL156&lt;MIN('2) หลักการคำนวน Table'!$C$3:$K$3),
     MIN('2) หลักการคำนวน Table'!$C$3:$K$3),
     MAX('2) หลักการคำนวน Table'!$C$3:$K$3)
  )
)</f>
        <v>0.9</v>
      </c>
      <c r="AY156" s="318">
        <f>IFERROR(
  _xlfn.XLOOKUP(AM156,'2) หลักการคำนวน Table'!$C$3:$K$3,'2) หลักการคำนวน Table'!$C$3:$K$3,,1),
  IF(AM156&lt;MIN('2) หลักการคำนวน Table'!$C$3:$K$3),
     MIN('2) หลักการคำนวน Table'!$C$3:$K$3),
     MAX('2) หลักการคำนวน Table'!$C$3:$K$3)
  )
)</f>
        <v>0.9</v>
      </c>
      <c r="AZ156" s="319" cm="1">
        <f t="array" ref="AZ156">ROUND((_xlfn.XLOOKUP($C156,'2) หลักการคำนวน Table'!$A$4:$A$36,
_xlfn.XLOOKUP(AN156,'2)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849</v>
      </c>
      <c r="BA156" s="319" cm="1">
        <f t="array" ref="BA156">ROUND((_xlfn.XLOOKUP($C156,'2) หลักการคำนวน Table'!$A$4:$A$36,
_xlfn.XLOOKUP(AO156,'2)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707</v>
      </c>
      <c r="BB156" s="319" cm="1">
        <f t="array" ref="BB156">ROUND((_xlfn.XLOOKUP($C156,'2) หลักการคำนวน Table'!$A$4:$A$36,
_xlfn.XLOOKUP(AP156,'2)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707</v>
      </c>
      <c r="BC156" s="319" cm="1">
        <f t="array" ref="BC156">ROUND((_xlfn.XLOOKUP($C156,'2) หลักการคำนวน Table'!$A$4:$A$36,
_xlfn.XLOOKUP(AQ156,'2)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707</v>
      </c>
      <c r="BD156" s="319" cm="1">
        <f t="array" ref="BD156">ROUND((_xlfn.XLOOKUP($C156,'2) หลักการคำนวน Table'!$A$4:$A$36,
_xlfn.XLOOKUP(AR156,'2)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707</v>
      </c>
      <c r="BE156" s="319" cm="1">
        <f t="array" ref="BE156">ROUND((_xlfn.XLOOKUP($C156,'2) หลักการคำนวน Table'!$A$4:$A$36,
_xlfn.XLOOKUP(AS156,'2)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707</v>
      </c>
      <c r="BF156" s="319" cm="1">
        <f t="array" ref="BF156">ROUND((_xlfn.XLOOKUP($C156,'2) หลักการคำนวน Table'!$A$4:$A$36,
_xlfn.XLOOKUP(AT156,'2)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707</v>
      </c>
      <c r="BG156" s="319" cm="1">
        <f t="array" ref="BG156">ROUND((_xlfn.XLOOKUP($C156,'2) หลักการคำนวน Table'!$A$4:$A$36,
_xlfn.XLOOKUP(AU156,'2)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707</v>
      </c>
      <c r="BH156" s="319" cm="1">
        <f t="array" ref="BH156">ROUND((_xlfn.XLOOKUP($C156,'2) หลักการคำนวน Table'!$A$4:$A$36,
_xlfn.XLOOKUP(AV156,'2)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707</v>
      </c>
      <c r="BI156" s="319" cm="1">
        <f t="array" ref="BI156">ROUND((_xlfn.XLOOKUP($C156,'2) หลักการคำนวน Table'!$A$4:$A$36,
_xlfn.XLOOKUP(AW156,'2)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707</v>
      </c>
      <c r="BJ156" s="319" cm="1">
        <f t="array" ref="BJ156">ROUND((_xlfn.XLOOKUP($C156,'2) หลักการคำนวน Table'!$A$4:$A$36,
_xlfn.XLOOKUP(AX156,'2)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707</v>
      </c>
      <c r="BK156" s="319" cm="1">
        <f t="array" ref="BK156">ROUND((_xlfn.XLOOKUP($C156,'2) หลักการคำนวน Table'!$A$4:$A$36,
_xlfn.XLOOKUP(AY156,'2) หลักการคำนวน Table'!$C$3:$K$3,'2) หลักการคำนวน Table'!$C$4:$K$36,,-1)))*(_xlfn.XLOOKUP($C156,'2) หลักการคำนวน Table'!$A$4:$A$36, _xlfn.XLOOKUP($B156,'2) หลักการคำนวน Table'!$L$3:$Z$3,'2) หลักการคำนวน Table'!$L$4:$Z$36))),0)</f>
        <v>707</v>
      </c>
      <c r="BL156" s="320"/>
      <c r="BM156" s="320">
        <v>222216</v>
      </c>
      <c r="BN156" s="321">
        <v>849</v>
      </c>
    </row>
    <row r="157" spans="1:66" ht="14.7" customHeight="1" x14ac:dyDescent="0.25">
      <c r="A157" s="126">
        <f>VLOOKUP(C157,ASTBase!E:S,13,FALSE)</f>
        <v>222235</v>
      </c>
      <c r="B157" s="126" t="s">
        <v>406</v>
      </c>
      <c r="C157" s="232" t="s">
        <v>403</v>
      </c>
      <c r="D157" s="127">
        <v>1500000</v>
      </c>
      <c r="E157" s="127">
        <v>1850000</v>
      </c>
      <c r="F157" s="127">
        <v>1550000</v>
      </c>
      <c r="G157" s="127">
        <v>1800000</v>
      </c>
      <c r="H157" s="127">
        <v>1400000</v>
      </c>
      <c r="I157" s="127">
        <v>1660000</v>
      </c>
      <c r="J157" s="127">
        <v>900000</v>
      </c>
      <c r="K157" s="127">
        <v>2100000</v>
      </c>
      <c r="L157" s="127">
        <v>1540000</v>
      </c>
      <c r="M157" s="127">
        <v>2066891</v>
      </c>
      <c r="N157" s="127">
        <v>1330000</v>
      </c>
      <c r="O157" s="127">
        <v>1350000</v>
      </c>
      <c r="P157" s="126">
        <v>1487755.9000000092</v>
      </c>
      <c r="AB157" s="317">
        <f>IFERROR(IF(VLOOKUP($B157,Shortage!$A:$M,AB$2,FALSE)="Shortage",1,IFERROR(ROUND(P157/D157,4),0)),IFERROR(ROUND(P157/D157,4),0))</f>
        <v>1</v>
      </c>
      <c r="AC157" s="317">
        <f>IFERROR(IF(VLOOKUP($B157,Shortage!$A:$M,AC$2,FALSE)="Shortage",1,IFERROR(ROUND(Q157/E157,4),0)),IFERROR(ROUND(Q157/E157,4),0))</f>
        <v>0</v>
      </c>
      <c r="AD157" s="317">
        <f>IFERROR(IF(VLOOKUP($B157,Shortage!$A:$M,AD$2,FALSE)="Shortage",1,IFERROR(ROUND(R157/F157,4),0)),IFERROR(ROUND(R157/F157,4),0))</f>
        <v>0</v>
      </c>
      <c r="AE157" s="317">
        <f>IFERROR(IF(VLOOKUP($B157,Shortage!$A:$M,AE$2,FALSE)="Shortage",1,IFERROR(ROUND(S157/G157,4),0)),IFERROR(ROUND(S157/G157,4),0))</f>
        <v>0</v>
      </c>
      <c r="AF157" s="317">
        <f>IFERROR(IF(VLOOKUP($B157,Shortage!$A:$M,AF$2,FALSE)="Shortage",1,IFERROR(ROUND(T157/H157,4),0)),IFERROR(ROUND(T157/H157,4),0))</f>
        <v>0</v>
      </c>
      <c r="AG157" s="317">
        <f>IFERROR(IF(VLOOKUP($B157,Shortage!$A:$M,AG$2,FALSE)="Shortage",1,IFERROR(ROUND(U157/I157,4),0)),IFERROR(ROUND(U157/I157,4),0))</f>
        <v>0</v>
      </c>
      <c r="AH157" s="317">
        <f>IFERROR(IF(VLOOKUP($B157,Shortage!$A:$M,AH$2,FALSE)="Shortage",1,IFERROR(ROUND(V157/J157,4),0)),IFERROR(ROUND(V157/J157,4),0))</f>
        <v>0</v>
      </c>
      <c r="AI157" s="317">
        <f>IFERROR(IF(VLOOKUP($B157,Shortage!$A:$M,AI$2,FALSE)="Shortage",1,IFERROR(ROUND(W157/K157,4),0)),IFERROR(ROUND(W157/K157,4),0))</f>
        <v>0</v>
      </c>
      <c r="AJ157" s="317">
        <f>IFERROR(IF(VLOOKUP($B157,Shortage!$A:$M,AJ$2,FALSE)="Shortage",1,IFERROR(ROUND(X157/L157,4),0)),IFERROR(ROUND(X157/L157,4),0))</f>
        <v>0</v>
      </c>
      <c r="AK157" s="317">
        <f>IFERROR(IF(VLOOKUP($B157,Shortage!$A:$M,AK$2,FALSE)="Shortage",1,IFERROR(ROUND(Y157/M157,4),0)),IFERROR(ROUND(Y157/M157,4),0))</f>
        <v>0</v>
      </c>
      <c r="AL157" s="317">
        <f>IFERROR(IF(VLOOKUP($B157,Shortage!$A:$M,AL$2,FALSE)="Shortage",1,IFERROR(ROUND(Z157/N157,4),0)),IFERROR(ROUND(Z157/N157,4),0))</f>
        <v>0</v>
      </c>
      <c r="AM157" s="317">
        <f>IFERROR(IF(VLOOKUP($B157,Shortage!$A:$M,AM$2,FALSE)="Shortage",1,IFERROR(ROUND(AA157/O157,4),0)),IFERROR(ROUND(AA157/O157,4),0))</f>
        <v>0</v>
      </c>
      <c r="AN157" s="318">
        <f>IFERROR(_xlfn.XLOOKUP(AB157,'2) หลักการคำนวน Table'!$C$3:$K$3,'2) หลักการคำนวน Table'!$C$3:$K$3,,1),INDEX('2) หลักการคำนวน Table'!$C$3:$K$3,1))</f>
        <v>1</v>
      </c>
      <c r="AO157" s="318">
        <f>IFERROR(
  _xlfn.XLOOKUP(AC157,'2) หลักการคำนวน Table'!$C$3:$K$3,'2) หลักการคำนวน Table'!$C$3:$K$3,,1),
  IF(AC157&lt;MIN('2) หลักการคำนวน Table'!$C$3:$K$3),
     MIN('2) หลักการคำนวน Table'!$C$3:$K$3),
     MAX('2) หลักการคำนวน Table'!$C$3:$K$3)
  )
)</f>
        <v>0.9</v>
      </c>
      <c r="AP157" s="318">
        <f>IFERROR(
  _xlfn.XLOOKUP(AD157,'2) หลักการคำนวน Table'!$C$3:$K$3,'2) หลักการคำนวน Table'!$C$3:$K$3,,1),
  IF(AD157&lt;MIN('2) หลักการคำนวน Table'!$C$3:$K$3),
     MIN('2) หลักการคำนวน Table'!$C$3:$K$3),
     MAX('2) หลักการคำนวน Table'!$C$3:$K$3)
  )
)</f>
        <v>0.9</v>
      </c>
      <c r="AQ157" s="318">
        <f>IFERROR(
  _xlfn.XLOOKUP(AE157,'2) หลักการคำนวน Table'!$C$3:$K$3,'2) หลักการคำนวน Table'!$C$3:$K$3,,1),
  IF(AE157&lt;MIN('2) หลักการคำนวน Table'!$C$3:$K$3),
     MIN('2) หลักการคำนวน Table'!$C$3:$K$3),
     MAX('2) หลักการคำนวน Table'!$C$3:$K$3)
  )
)</f>
        <v>0.9</v>
      </c>
      <c r="AR157" s="318">
        <f>IFERROR(
  _xlfn.XLOOKUP(AF157,'2) หลักการคำนวน Table'!$C$3:$K$3,'2) หลักการคำนวน Table'!$C$3:$K$3,,1),
  IF(AF157&lt;MIN('2) หลักการคำนวน Table'!$C$3:$K$3),
     MIN('2) หลักการคำนวน Table'!$C$3:$K$3),
     MAX('2) หลักการคำนวน Table'!$C$3:$K$3)
  )
)</f>
        <v>0.9</v>
      </c>
      <c r="AS157" s="318">
        <f>IFERROR(
  _xlfn.XLOOKUP(AG157,'2) หลักการคำนวน Table'!$C$3:$K$3,'2) หลักการคำนวน Table'!$C$3:$K$3,,1),
  IF(AG157&lt;MIN('2) หลักการคำนวน Table'!$C$3:$K$3),
     MIN('2) หลักการคำนวน Table'!$C$3:$K$3),
     MAX('2) หลักการคำนวน Table'!$C$3:$K$3)
  )
)</f>
        <v>0.9</v>
      </c>
      <c r="AT157" s="318">
        <f>IFERROR(
  _xlfn.XLOOKUP(AH157,'2) หลักการคำนวน Table'!$C$3:$K$3,'2) หลักการคำนวน Table'!$C$3:$K$3,,1),
  IF(AH157&lt;MIN('2) หลักการคำนวน Table'!$C$3:$K$3),
     MIN('2) หลักการคำนวน Table'!$C$3:$K$3),
     MAX('2) หลักการคำนวน Table'!$C$3:$K$3)
  )
)</f>
        <v>0.9</v>
      </c>
      <c r="AU157" s="318">
        <f>IFERROR(
  _xlfn.XLOOKUP(AI157,'2) หลักการคำนวน Table'!$C$3:$K$3,'2) หลักการคำนวน Table'!$C$3:$K$3,,1),
  IF(AI157&lt;MIN('2) หลักการคำนวน Table'!$C$3:$K$3),
     MIN('2) หลักการคำนวน Table'!$C$3:$K$3),
     MAX('2) หลักการคำนวน Table'!$C$3:$K$3)
  )
)</f>
        <v>0.9</v>
      </c>
      <c r="AV157" s="318">
        <f>IFERROR(
  _xlfn.XLOOKUP(AJ157,'2) หลักการคำนวน Table'!$C$3:$K$3,'2) หลักการคำนวน Table'!$C$3:$K$3,,1),
  IF(AJ157&lt;MIN('2) หลักการคำนวน Table'!$C$3:$K$3),
     MIN('2) หลักการคำนวน Table'!$C$3:$K$3),
     MAX('2) หลักการคำนวน Table'!$C$3:$K$3)
  )
)</f>
        <v>0.9</v>
      </c>
      <c r="AW157" s="318">
        <f>IFERROR(
  _xlfn.XLOOKUP(AK157,'2) หลักการคำนวน Table'!$C$3:$K$3,'2) หลักการคำนวน Table'!$C$3:$K$3,,1),
  IF(AK157&lt;MIN('2) หลักการคำนวน Table'!$C$3:$K$3),
     MIN('2) หลักการคำนวน Table'!$C$3:$K$3),
     MAX('2) หลักการคำนวน Table'!$C$3:$K$3)
  )
)</f>
        <v>0.9</v>
      </c>
      <c r="AX157" s="318">
        <f>IFERROR(
  _xlfn.XLOOKUP(AL157,'2) หลักการคำนวน Table'!$C$3:$K$3,'2) หลักการคำนวน Table'!$C$3:$K$3,,1),
  IF(AL157&lt;MIN('2) หลักการคำนวน Table'!$C$3:$K$3),
     MIN('2) หลักการคำนวน Table'!$C$3:$K$3),
     MAX('2) หลักการคำนวน Table'!$C$3:$K$3)
  )
)</f>
        <v>0.9</v>
      </c>
      <c r="AY157" s="318">
        <f>IFERROR(
  _xlfn.XLOOKUP(AM157,'2) หลักการคำนวน Table'!$C$3:$K$3,'2) หลักการคำนวน Table'!$C$3:$K$3,,1),
  IF(AM157&lt;MIN('2) หลักการคำนวน Table'!$C$3:$K$3),
     MIN('2) หลักการคำนวน Table'!$C$3:$K$3),
     MAX('2) หลักการคำนวน Table'!$C$3:$K$3)
  )
)</f>
        <v>0.9</v>
      </c>
      <c r="AZ157" s="319" cm="1">
        <f t="array" ref="AZ157">ROUND((_xlfn.XLOOKUP($C157,'2) หลักการคำนวน Table'!$A$4:$A$36,
_xlfn.XLOOKUP(AN157,'2)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458</v>
      </c>
      <c r="BA157" s="319" cm="1">
        <f t="array" ref="BA157">ROUND((_xlfn.XLOOKUP($C157,'2) หลักการคำนวน Table'!$A$4:$A$36,
_xlfn.XLOOKUP(AO157,'2)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413</v>
      </c>
      <c r="BB157" s="319" cm="1">
        <f t="array" ref="BB157">ROUND((_xlfn.XLOOKUP($C157,'2) หลักการคำนวน Table'!$A$4:$A$36,
_xlfn.XLOOKUP(AP157,'2)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413</v>
      </c>
      <c r="BC157" s="319" cm="1">
        <f t="array" ref="BC157">ROUND((_xlfn.XLOOKUP($C157,'2) หลักการคำนวน Table'!$A$4:$A$36,
_xlfn.XLOOKUP(AQ157,'2)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413</v>
      </c>
      <c r="BD157" s="319" cm="1">
        <f t="array" ref="BD157">ROUND((_xlfn.XLOOKUP($C157,'2) หลักการคำนวน Table'!$A$4:$A$36,
_xlfn.XLOOKUP(AR157,'2)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413</v>
      </c>
      <c r="BE157" s="319" cm="1">
        <f t="array" ref="BE157">ROUND((_xlfn.XLOOKUP($C157,'2) หลักการคำนวน Table'!$A$4:$A$36,
_xlfn.XLOOKUP(AS157,'2)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413</v>
      </c>
      <c r="BF157" s="319" cm="1">
        <f t="array" ref="BF157">ROUND((_xlfn.XLOOKUP($C157,'2) หลักการคำนวน Table'!$A$4:$A$36,
_xlfn.XLOOKUP(AT157,'2)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413</v>
      </c>
      <c r="BG157" s="319" cm="1">
        <f t="array" ref="BG157">ROUND((_xlfn.XLOOKUP($C157,'2) หลักการคำนวน Table'!$A$4:$A$36,
_xlfn.XLOOKUP(AU157,'2)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413</v>
      </c>
      <c r="BH157" s="319" cm="1">
        <f t="array" ref="BH157">ROUND((_xlfn.XLOOKUP($C157,'2) หลักการคำนวน Table'!$A$4:$A$36,
_xlfn.XLOOKUP(AV157,'2)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413</v>
      </c>
      <c r="BI157" s="319" cm="1">
        <f t="array" ref="BI157">ROUND((_xlfn.XLOOKUP($C157,'2) หลักการคำนวน Table'!$A$4:$A$36,
_xlfn.XLOOKUP(AW157,'2)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413</v>
      </c>
      <c r="BJ157" s="319" cm="1">
        <f t="array" ref="BJ157">ROUND((_xlfn.XLOOKUP($C157,'2) หลักการคำนวน Table'!$A$4:$A$36,
_xlfn.XLOOKUP(AX157,'2)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413</v>
      </c>
      <c r="BK157" s="319" cm="1">
        <f t="array" ref="BK157">ROUND((_xlfn.XLOOKUP($C157,'2) หลักการคำนวน Table'!$A$4:$A$36,
_xlfn.XLOOKUP(AY157,'2) หลักการคำนวน Table'!$C$3:$K$3,'2) หลักการคำนวน Table'!$C$4:$K$36,,-1)))*(_xlfn.XLOOKUP($C157,'2) หลักการคำนวน Table'!$A$4:$A$36, _xlfn.XLOOKUP($B157,'2) หลักการคำนวน Table'!$L$3:$Z$3,'2) หลักการคำนวน Table'!$L$4:$Z$36))),0)</f>
        <v>413</v>
      </c>
      <c r="BL157" s="320"/>
      <c r="BM157" s="320">
        <v>222207</v>
      </c>
      <c r="BN157" s="321">
        <v>458</v>
      </c>
    </row>
    <row r="158" spans="1:66" ht="14.7" customHeight="1" x14ac:dyDescent="0.25">
      <c r="A158" s="126">
        <f>VLOOKUP(C158,ASTBase!E:S,13,FALSE)</f>
        <v>222235</v>
      </c>
      <c r="B158" s="126" t="s">
        <v>409</v>
      </c>
      <c r="C158" s="232" t="s">
        <v>403</v>
      </c>
      <c r="D158" s="127">
        <v>19000</v>
      </c>
      <c r="E158" s="127">
        <v>19000</v>
      </c>
      <c r="F158" s="127">
        <v>23000</v>
      </c>
      <c r="G158" s="127">
        <v>19000</v>
      </c>
      <c r="H158" s="127">
        <v>15000</v>
      </c>
      <c r="I158" s="127">
        <v>23000</v>
      </c>
      <c r="J158" s="127">
        <v>20000</v>
      </c>
      <c r="K158" s="127">
        <v>15000</v>
      </c>
      <c r="L158" s="127">
        <v>25000</v>
      </c>
      <c r="M158" s="127">
        <v>19000</v>
      </c>
      <c r="N158" s="127">
        <v>19000</v>
      </c>
      <c r="O158" s="127">
        <v>19000</v>
      </c>
      <c r="P158" s="126">
        <v>14215.680000000057</v>
      </c>
      <c r="AB158" s="317">
        <f>IFERROR(IF(VLOOKUP($B158,Shortage!$A:$M,AB$2,FALSE)="Shortage",1,IFERROR(ROUND(P158/D158,4),0)),IFERROR(ROUND(P158/D158,4),0))</f>
        <v>0.74819999999999998</v>
      </c>
      <c r="AC158" s="317">
        <f>IFERROR(IF(VLOOKUP($B158,Shortage!$A:$M,AC$2,FALSE)="Shortage",1,IFERROR(ROUND(Q158/E158,4),0)),IFERROR(ROUND(Q158/E158,4),0))</f>
        <v>0</v>
      </c>
      <c r="AD158" s="317">
        <f>IFERROR(IF(VLOOKUP($B158,Shortage!$A:$M,AD$2,FALSE)="Shortage",1,IFERROR(ROUND(R158/F158,4),0)),IFERROR(ROUND(R158/F158,4),0))</f>
        <v>0</v>
      </c>
      <c r="AE158" s="317">
        <f>IFERROR(IF(VLOOKUP($B158,Shortage!$A:$M,AE$2,FALSE)="Shortage",1,IFERROR(ROUND(S158/G158,4),0)),IFERROR(ROUND(S158/G158,4),0))</f>
        <v>0</v>
      </c>
      <c r="AF158" s="317">
        <f>IFERROR(IF(VLOOKUP($B158,Shortage!$A:$M,AF$2,FALSE)="Shortage",1,IFERROR(ROUND(T158/H158,4),0)),IFERROR(ROUND(T158/H158,4),0))</f>
        <v>0</v>
      </c>
      <c r="AG158" s="317">
        <f>IFERROR(IF(VLOOKUP($B158,Shortage!$A:$M,AG$2,FALSE)="Shortage",1,IFERROR(ROUND(U158/I158,4),0)),IFERROR(ROUND(U158/I158,4),0))</f>
        <v>0</v>
      </c>
      <c r="AH158" s="317">
        <f>IFERROR(IF(VLOOKUP($B158,Shortage!$A:$M,AH$2,FALSE)="Shortage",1,IFERROR(ROUND(V158/J158,4),0)),IFERROR(ROUND(V158/J158,4),0))</f>
        <v>0</v>
      </c>
      <c r="AI158" s="317">
        <f>IFERROR(IF(VLOOKUP($B158,Shortage!$A:$M,AI$2,FALSE)="Shortage",1,IFERROR(ROUND(W158/K158,4),0)),IFERROR(ROUND(W158/K158,4),0))</f>
        <v>0</v>
      </c>
      <c r="AJ158" s="317">
        <f>IFERROR(IF(VLOOKUP($B158,Shortage!$A:$M,AJ$2,FALSE)="Shortage",1,IFERROR(ROUND(X158/L158,4),0)),IFERROR(ROUND(X158/L158,4),0))</f>
        <v>0</v>
      </c>
      <c r="AK158" s="317">
        <f>IFERROR(IF(VLOOKUP($B158,Shortage!$A:$M,AK$2,FALSE)="Shortage",1,IFERROR(ROUND(Y158/M158,4),0)),IFERROR(ROUND(Y158/M158,4),0))</f>
        <v>0</v>
      </c>
      <c r="AL158" s="317">
        <f>IFERROR(IF(VLOOKUP($B158,Shortage!$A:$M,AL$2,FALSE)="Shortage",1,IFERROR(ROUND(Z158/N158,4),0)),IFERROR(ROUND(Z158/N158,4),0))</f>
        <v>0</v>
      </c>
      <c r="AM158" s="317">
        <f>IFERROR(IF(VLOOKUP($B158,Shortage!$A:$M,AM$2,FALSE)="Shortage",1,IFERROR(ROUND(AA158/O158,4),0)),IFERROR(ROUND(AA158/O158,4),0))</f>
        <v>0</v>
      </c>
      <c r="AN158" s="318">
        <f>IFERROR(_xlfn.XLOOKUP(AB158,'2) หลักการคำนวน Table'!$C$3:$K$3,'2) หลักการคำนวน Table'!$C$3:$K$3,,1),INDEX('2) หลักการคำนวน Table'!$C$3:$K$3,1))</f>
        <v>0.9</v>
      </c>
      <c r="AO158" s="318">
        <f>IFERROR(
  _xlfn.XLOOKUP(AC158,'2) หลักการคำนวน Table'!$C$3:$K$3,'2) หลักการคำนวน Table'!$C$3:$K$3,,1),
  IF(AC158&lt;MIN('2) หลักการคำนวน Table'!$C$3:$K$3),
     MIN('2) หลักการคำนวน Table'!$C$3:$K$3),
     MAX('2) หลักการคำนวน Table'!$C$3:$K$3)
  )
)</f>
        <v>0.9</v>
      </c>
      <c r="AP158" s="318">
        <f>IFERROR(
  _xlfn.XLOOKUP(AD158,'2) หลักการคำนวน Table'!$C$3:$K$3,'2) หลักการคำนวน Table'!$C$3:$K$3,,1),
  IF(AD158&lt;MIN('2) หลักการคำนวน Table'!$C$3:$K$3),
     MIN('2) หลักการคำนวน Table'!$C$3:$K$3),
     MAX('2) หลักการคำนวน Table'!$C$3:$K$3)
  )
)</f>
        <v>0.9</v>
      </c>
      <c r="AQ158" s="318">
        <f>IFERROR(
  _xlfn.XLOOKUP(AE158,'2) หลักการคำนวน Table'!$C$3:$K$3,'2) หลักการคำนวน Table'!$C$3:$K$3,,1),
  IF(AE158&lt;MIN('2) หลักการคำนวน Table'!$C$3:$K$3),
     MIN('2) หลักการคำนวน Table'!$C$3:$K$3),
     MAX('2) หลักการคำนวน Table'!$C$3:$K$3)
  )
)</f>
        <v>0.9</v>
      </c>
      <c r="AR158" s="318">
        <f>IFERROR(
  _xlfn.XLOOKUP(AF158,'2) หลักการคำนวน Table'!$C$3:$K$3,'2) หลักการคำนวน Table'!$C$3:$K$3,,1),
  IF(AF158&lt;MIN('2) หลักการคำนวน Table'!$C$3:$K$3),
     MIN('2) หลักการคำนวน Table'!$C$3:$K$3),
     MAX('2) หลักการคำนวน Table'!$C$3:$K$3)
  )
)</f>
        <v>0.9</v>
      </c>
      <c r="AS158" s="318">
        <f>IFERROR(
  _xlfn.XLOOKUP(AG158,'2) หลักการคำนวน Table'!$C$3:$K$3,'2) หลักการคำนวน Table'!$C$3:$K$3,,1),
  IF(AG158&lt;MIN('2) หลักการคำนวน Table'!$C$3:$K$3),
     MIN('2) หลักการคำนวน Table'!$C$3:$K$3),
     MAX('2) หลักการคำนวน Table'!$C$3:$K$3)
  )
)</f>
        <v>0.9</v>
      </c>
      <c r="AT158" s="318">
        <f>IFERROR(
  _xlfn.XLOOKUP(AH158,'2) หลักการคำนวน Table'!$C$3:$K$3,'2) หลักการคำนวน Table'!$C$3:$K$3,,1),
  IF(AH158&lt;MIN('2) หลักการคำนวน Table'!$C$3:$K$3),
     MIN('2) หลักการคำนวน Table'!$C$3:$K$3),
     MAX('2) หลักการคำนวน Table'!$C$3:$K$3)
  )
)</f>
        <v>0.9</v>
      </c>
      <c r="AU158" s="318">
        <f>IFERROR(
  _xlfn.XLOOKUP(AI158,'2) หลักการคำนวน Table'!$C$3:$K$3,'2) หลักการคำนวน Table'!$C$3:$K$3,,1),
  IF(AI158&lt;MIN('2) หลักการคำนวน Table'!$C$3:$K$3),
     MIN('2) หลักการคำนวน Table'!$C$3:$K$3),
     MAX('2) หลักการคำนวน Table'!$C$3:$K$3)
  )
)</f>
        <v>0.9</v>
      </c>
      <c r="AV158" s="318">
        <f>IFERROR(
  _xlfn.XLOOKUP(AJ158,'2) หลักการคำนวน Table'!$C$3:$K$3,'2) หลักการคำนวน Table'!$C$3:$K$3,,1),
  IF(AJ158&lt;MIN('2) หลักการคำนวน Table'!$C$3:$K$3),
     MIN('2) หลักการคำนวน Table'!$C$3:$K$3),
     MAX('2) หลักการคำนวน Table'!$C$3:$K$3)
  )
)</f>
        <v>0.9</v>
      </c>
      <c r="AW158" s="318">
        <f>IFERROR(
  _xlfn.XLOOKUP(AK158,'2) หลักการคำนวน Table'!$C$3:$K$3,'2) หลักการคำนวน Table'!$C$3:$K$3,,1),
  IF(AK158&lt;MIN('2) หลักการคำนวน Table'!$C$3:$K$3),
     MIN('2) หลักการคำนวน Table'!$C$3:$K$3),
     MAX('2) หลักการคำนวน Table'!$C$3:$K$3)
  )
)</f>
        <v>0.9</v>
      </c>
      <c r="AX158" s="318">
        <f>IFERROR(
  _xlfn.XLOOKUP(AL158,'2) หลักการคำนวน Table'!$C$3:$K$3,'2) หลักการคำนวน Table'!$C$3:$K$3,,1),
  IF(AL158&lt;MIN('2) หลักการคำนวน Table'!$C$3:$K$3),
     MIN('2) หลักการคำนวน Table'!$C$3:$K$3),
     MAX('2) หลักการคำนวน Table'!$C$3:$K$3)
  )
)</f>
        <v>0.9</v>
      </c>
      <c r="AY158" s="318">
        <f>IFERROR(
  _xlfn.XLOOKUP(AM158,'2) หลักการคำนวน Table'!$C$3:$K$3,'2) หลักการคำนวน Table'!$C$3:$K$3,,1),
  IF(AM158&lt;MIN('2) หลักการคำนวน Table'!$C$3:$K$3),
     MIN('2) หลักการคำนวน Table'!$C$3:$K$3),
     MAX('2) หลักการคำนวน Table'!$C$3:$K$3)
  )
)</f>
        <v>0.9</v>
      </c>
      <c r="AZ158" s="319" cm="1">
        <f t="array" ref="AZ158">ROUND((_xlfn.XLOOKUP($C158,'2) หลักการคำนวน Table'!$A$4:$A$36,
_xlfn.XLOOKUP(AN158,'2)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A158" s="319" cm="1">
        <f t="array" ref="BA158">ROUND((_xlfn.XLOOKUP($C158,'2) หลักการคำนวน Table'!$A$4:$A$36,
_xlfn.XLOOKUP(AO158,'2)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B158" s="319" cm="1">
        <f t="array" ref="BB158">ROUND((_xlfn.XLOOKUP($C158,'2) หลักการคำนวน Table'!$A$4:$A$36,
_xlfn.XLOOKUP(AP158,'2)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C158" s="319" cm="1">
        <f t="array" ref="BC158">ROUND((_xlfn.XLOOKUP($C158,'2) หลักการคำนวน Table'!$A$4:$A$36,
_xlfn.XLOOKUP(AQ158,'2)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D158" s="319" cm="1">
        <f t="array" ref="BD158">ROUND((_xlfn.XLOOKUP($C158,'2) หลักการคำนวน Table'!$A$4:$A$36,
_xlfn.XLOOKUP(AR158,'2)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E158" s="319" cm="1">
        <f t="array" ref="BE158">ROUND((_xlfn.XLOOKUP($C158,'2) หลักการคำนวน Table'!$A$4:$A$36,
_xlfn.XLOOKUP(AS158,'2)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F158" s="319" cm="1">
        <f t="array" ref="BF158">ROUND((_xlfn.XLOOKUP($C158,'2) หลักการคำนวน Table'!$A$4:$A$36,
_xlfn.XLOOKUP(AT158,'2)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G158" s="319" cm="1">
        <f t="array" ref="BG158">ROUND((_xlfn.XLOOKUP($C158,'2) หลักการคำนวน Table'!$A$4:$A$36,
_xlfn.XLOOKUP(AU158,'2)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H158" s="319" cm="1">
        <f t="array" ref="BH158">ROUND((_xlfn.XLOOKUP($C158,'2) หลักการคำนวน Table'!$A$4:$A$36,
_xlfn.XLOOKUP(AV158,'2)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I158" s="319" cm="1">
        <f t="array" ref="BI158">ROUND((_xlfn.XLOOKUP($C158,'2) หลักการคำนวน Table'!$A$4:$A$36,
_xlfn.XLOOKUP(AW158,'2)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J158" s="319" cm="1">
        <f t="array" ref="BJ158">ROUND((_xlfn.XLOOKUP($C158,'2) หลักการคำนวน Table'!$A$4:$A$36,
_xlfn.XLOOKUP(AX158,'2)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K158" s="319" cm="1">
        <f t="array" ref="BK158">ROUND((_xlfn.XLOOKUP($C158,'2) หลักการคำนวน Table'!$A$4:$A$36,
_xlfn.XLOOKUP(AY158,'2) หลักการคำนวน Table'!$C$3:$K$3,'2) หลักการคำนวน Table'!$C$4:$K$36,,-1)))*(_xlfn.XLOOKUP($C158,'2) หลักการคำนวน Table'!$A$4:$A$36, _xlfn.XLOOKUP($B158,'2) หลักการคำนวน Table'!$L$3:$Z$3,'2) หลักการคำนวน Table'!$L$4:$Z$36))),0)</f>
        <v>1513</v>
      </c>
      <c r="BL158" s="320"/>
      <c r="BM158" s="320">
        <v>222207</v>
      </c>
      <c r="BN158" s="321">
        <v>1513</v>
      </c>
    </row>
    <row r="159" spans="1:66" ht="14.7" customHeight="1" x14ac:dyDescent="0.25">
      <c r="A159" s="126">
        <f>VLOOKUP(C159,ASTBase!E:S,13,FALSE)</f>
        <v>222235</v>
      </c>
      <c r="B159" s="126" t="s">
        <v>410</v>
      </c>
      <c r="C159" s="232" t="s">
        <v>403</v>
      </c>
      <c r="D159" s="127">
        <v>112800</v>
      </c>
      <c r="E159" s="127">
        <v>33500</v>
      </c>
      <c r="F159" s="127">
        <v>34500</v>
      </c>
      <c r="G159" s="127">
        <v>120000</v>
      </c>
      <c r="H159" s="127">
        <v>33500</v>
      </c>
      <c r="I159" s="127">
        <v>36000</v>
      </c>
      <c r="J159" s="127">
        <v>35300</v>
      </c>
      <c r="K159" s="127">
        <v>125000</v>
      </c>
      <c r="L159" s="127">
        <v>95000</v>
      </c>
      <c r="M159" s="127">
        <v>63000</v>
      </c>
      <c r="N159" s="127">
        <v>26400</v>
      </c>
      <c r="O159" s="127">
        <v>35000</v>
      </c>
      <c r="P159" s="126">
        <v>158454.3999999995</v>
      </c>
      <c r="AB159" s="317">
        <f>IFERROR(IF(VLOOKUP($B159,Shortage!$A:$M,AB$2,FALSE)="Shortage",1,IFERROR(ROUND(P159/D159,4),0)),IFERROR(ROUND(P159/D159,4),0))</f>
        <v>1.4047000000000001</v>
      </c>
      <c r="AC159" s="317">
        <f>IFERROR(IF(VLOOKUP($B159,Shortage!$A:$M,AC$2,FALSE)="Shortage",1,IFERROR(ROUND(Q159/E159,4),0)),IFERROR(ROUND(Q159/E159,4),0))</f>
        <v>0</v>
      </c>
      <c r="AD159" s="317">
        <f>IFERROR(IF(VLOOKUP($B159,Shortage!$A:$M,AD$2,FALSE)="Shortage",1,IFERROR(ROUND(R159/F159,4),0)),IFERROR(ROUND(R159/F159,4),0))</f>
        <v>0</v>
      </c>
      <c r="AE159" s="317">
        <f>IFERROR(IF(VLOOKUP($B159,Shortage!$A:$M,AE$2,FALSE)="Shortage",1,IFERROR(ROUND(S159/G159,4),0)),IFERROR(ROUND(S159/G159,4),0))</f>
        <v>0</v>
      </c>
      <c r="AF159" s="317">
        <f>IFERROR(IF(VLOOKUP($B159,Shortage!$A:$M,AF$2,FALSE)="Shortage",1,IFERROR(ROUND(T159/H159,4),0)),IFERROR(ROUND(T159/H159,4),0))</f>
        <v>0</v>
      </c>
      <c r="AG159" s="317">
        <f>IFERROR(IF(VLOOKUP($B159,Shortage!$A:$M,AG$2,FALSE)="Shortage",1,IFERROR(ROUND(U159/I159,4),0)),IFERROR(ROUND(U159/I159,4),0))</f>
        <v>0</v>
      </c>
      <c r="AH159" s="317">
        <f>IFERROR(IF(VLOOKUP($B159,Shortage!$A:$M,AH$2,FALSE)="Shortage",1,IFERROR(ROUND(V159/J159,4),0)),IFERROR(ROUND(V159/J159,4),0))</f>
        <v>0</v>
      </c>
      <c r="AI159" s="317">
        <f>IFERROR(IF(VLOOKUP($B159,Shortage!$A:$M,AI$2,FALSE)="Shortage",1,IFERROR(ROUND(W159/K159,4),0)),IFERROR(ROUND(W159/K159,4),0))</f>
        <v>0</v>
      </c>
      <c r="AJ159" s="317">
        <f>IFERROR(IF(VLOOKUP($B159,Shortage!$A:$M,AJ$2,FALSE)="Shortage",1,IFERROR(ROUND(X159/L159,4),0)),IFERROR(ROUND(X159/L159,4),0))</f>
        <v>0</v>
      </c>
      <c r="AK159" s="317">
        <f>IFERROR(IF(VLOOKUP($B159,Shortage!$A:$M,AK$2,FALSE)="Shortage",1,IFERROR(ROUND(Y159/M159,4),0)),IFERROR(ROUND(Y159/M159,4),0))</f>
        <v>0</v>
      </c>
      <c r="AL159" s="317">
        <f>IFERROR(IF(VLOOKUP($B159,Shortage!$A:$M,AL$2,FALSE)="Shortage",1,IFERROR(ROUND(Z159/N159,4),0)),IFERROR(ROUND(Z159/N159,4),0))</f>
        <v>0</v>
      </c>
      <c r="AM159" s="317">
        <f>IFERROR(IF(VLOOKUP($B159,Shortage!$A:$M,AM$2,FALSE)="Shortage",1,IFERROR(ROUND(AA159/O159,4),0)),IFERROR(ROUND(AA159/O159,4),0))</f>
        <v>0</v>
      </c>
      <c r="AN159" s="318">
        <f>IFERROR(_xlfn.XLOOKUP(AB159,'2) หลักการคำนวน Table'!$C$3:$K$3,'2) หลักการคำนวน Table'!$C$3:$K$3,,1),INDEX('2) หลักการคำนวน Table'!$C$3:$K$3,1))</f>
        <v>20</v>
      </c>
      <c r="AO159" s="318">
        <f>IFERROR(
  _xlfn.XLOOKUP(AC159,'2) หลักการคำนวน Table'!$C$3:$K$3,'2) หลักการคำนวน Table'!$C$3:$K$3,,1),
  IF(AC159&lt;MIN('2) หลักการคำนวน Table'!$C$3:$K$3),
     MIN('2) หลักการคำนวน Table'!$C$3:$K$3),
     MAX('2) หลักการคำนวน Table'!$C$3:$K$3)
  )
)</f>
        <v>0.9</v>
      </c>
      <c r="AP159" s="318">
        <f>IFERROR(
  _xlfn.XLOOKUP(AD159,'2) หลักการคำนวน Table'!$C$3:$K$3,'2) หลักการคำนวน Table'!$C$3:$K$3,,1),
  IF(AD159&lt;MIN('2) หลักการคำนวน Table'!$C$3:$K$3),
     MIN('2) หลักการคำนวน Table'!$C$3:$K$3),
     MAX('2) หลักการคำนวน Table'!$C$3:$K$3)
  )
)</f>
        <v>0.9</v>
      </c>
      <c r="AQ159" s="318">
        <f>IFERROR(
  _xlfn.XLOOKUP(AE159,'2) หลักการคำนวน Table'!$C$3:$K$3,'2) หลักการคำนวน Table'!$C$3:$K$3,,1),
  IF(AE159&lt;MIN('2) หลักการคำนวน Table'!$C$3:$K$3),
     MIN('2) หลักการคำนวน Table'!$C$3:$K$3),
     MAX('2) หลักการคำนวน Table'!$C$3:$K$3)
  )
)</f>
        <v>0.9</v>
      </c>
      <c r="AR159" s="318">
        <f>IFERROR(
  _xlfn.XLOOKUP(AF159,'2) หลักการคำนวน Table'!$C$3:$K$3,'2) หลักการคำนวน Table'!$C$3:$K$3,,1),
  IF(AF159&lt;MIN('2) หลักการคำนวน Table'!$C$3:$K$3),
     MIN('2) หลักการคำนวน Table'!$C$3:$K$3),
     MAX('2) หลักการคำนวน Table'!$C$3:$K$3)
  )
)</f>
        <v>0.9</v>
      </c>
      <c r="AS159" s="318">
        <f>IFERROR(
  _xlfn.XLOOKUP(AG159,'2) หลักการคำนวน Table'!$C$3:$K$3,'2) หลักการคำนวน Table'!$C$3:$K$3,,1),
  IF(AG159&lt;MIN('2) หลักการคำนวน Table'!$C$3:$K$3),
     MIN('2) หลักการคำนวน Table'!$C$3:$K$3),
     MAX('2) หลักการคำนวน Table'!$C$3:$K$3)
  )
)</f>
        <v>0.9</v>
      </c>
      <c r="AT159" s="318">
        <f>IFERROR(
  _xlfn.XLOOKUP(AH159,'2) หลักการคำนวน Table'!$C$3:$K$3,'2) หลักการคำนวน Table'!$C$3:$K$3,,1),
  IF(AH159&lt;MIN('2) หลักการคำนวน Table'!$C$3:$K$3),
     MIN('2) หลักการคำนวน Table'!$C$3:$K$3),
     MAX('2) หลักการคำนวน Table'!$C$3:$K$3)
  )
)</f>
        <v>0.9</v>
      </c>
      <c r="AU159" s="318">
        <f>IFERROR(
  _xlfn.XLOOKUP(AI159,'2) หลักการคำนวน Table'!$C$3:$K$3,'2) หลักการคำนวน Table'!$C$3:$K$3,,1),
  IF(AI159&lt;MIN('2) หลักการคำนวน Table'!$C$3:$K$3),
     MIN('2) หลักการคำนวน Table'!$C$3:$K$3),
     MAX('2) หลักการคำนวน Table'!$C$3:$K$3)
  )
)</f>
        <v>0.9</v>
      </c>
      <c r="AV159" s="318">
        <f>IFERROR(
  _xlfn.XLOOKUP(AJ159,'2) หลักการคำนวน Table'!$C$3:$K$3,'2) หลักการคำนวน Table'!$C$3:$K$3,,1),
  IF(AJ159&lt;MIN('2) หลักการคำนวน Table'!$C$3:$K$3),
     MIN('2) หลักการคำนวน Table'!$C$3:$K$3),
     MAX('2) หลักการคำนวน Table'!$C$3:$K$3)
  )
)</f>
        <v>0.9</v>
      </c>
      <c r="AW159" s="318">
        <f>IFERROR(
  _xlfn.XLOOKUP(AK159,'2) หลักการคำนวน Table'!$C$3:$K$3,'2) หลักการคำนวน Table'!$C$3:$K$3,,1),
  IF(AK159&lt;MIN('2) หลักการคำนวน Table'!$C$3:$K$3),
     MIN('2) หลักการคำนวน Table'!$C$3:$K$3),
     MAX('2) หลักการคำนวน Table'!$C$3:$K$3)
  )
)</f>
        <v>0.9</v>
      </c>
      <c r="AX159" s="318">
        <f>IFERROR(
  _xlfn.XLOOKUP(AL159,'2) หลักการคำนวน Table'!$C$3:$K$3,'2) หลักการคำนวน Table'!$C$3:$K$3,,1),
  IF(AL159&lt;MIN('2) หลักการคำนวน Table'!$C$3:$K$3),
     MIN('2) หลักการคำนวน Table'!$C$3:$K$3),
     MAX('2) หลักการคำนวน Table'!$C$3:$K$3)
  )
)</f>
        <v>0.9</v>
      </c>
      <c r="AY159" s="318">
        <f>IFERROR(
  _xlfn.XLOOKUP(AM159,'2) หลักการคำนวน Table'!$C$3:$K$3,'2) หลักการคำนวน Table'!$C$3:$K$3,,1),
  IF(AM159&lt;MIN('2) หลักการคำนวน Table'!$C$3:$K$3),
     MIN('2) หลักการคำนวน Table'!$C$3:$K$3),
     MAX('2) หลักการคำนวน Table'!$C$3:$K$3)
  )
)</f>
        <v>0.9</v>
      </c>
      <c r="AZ159" s="319" cm="1">
        <f t="array" ref="AZ159">ROUND((_xlfn.XLOOKUP($C159,'2) หลักการคำนวน Table'!$A$4:$A$36,
_xlfn.XLOOKUP(AN159,'2)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1986</v>
      </c>
      <c r="BA159" s="319" cm="1">
        <f t="array" ref="BA159">ROUND((_xlfn.XLOOKUP($C159,'2) หลักการคำนวน Table'!$A$4:$A$36,
_xlfn.XLOOKUP(AO159,'2)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1375</v>
      </c>
      <c r="BB159" s="319" cm="1">
        <f t="array" ref="BB159">ROUND((_xlfn.XLOOKUP($C159,'2) หลักการคำนวน Table'!$A$4:$A$36,
_xlfn.XLOOKUP(AP159,'2)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1375</v>
      </c>
      <c r="BC159" s="319" cm="1">
        <f t="array" ref="BC159">ROUND((_xlfn.XLOOKUP($C159,'2) หลักการคำนวน Table'!$A$4:$A$36,
_xlfn.XLOOKUP(AQ159,'2)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1375</v>
      </c>
      <c r="BD159" s="319" cm="1">
        <f t="array" ref="BD159">ROUND((_xlfn.XLOOKUP($C159,'2) หลักการคำนวน Table'!$A$4:$A$36,
_xlfn.XLOOKUP(AR159,'2)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1375</v>
      </c>
      <c r="BE159" s="319" cm="1">
        <f t="array" ref="BE159">ROUND((_xlfn.XLOOKUP($C159,'2) หลักการคำนวน Table'!$A$4:$A$36,
_xlfn.XLOOKUP(AS159,'2)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1375</v>
      </c>
      <c r="BF159" s="319" cm="1">
        <f t="array" ref="BF159">ROUND((_xlfn.XLOOKUP($C159,'2) หลักการคำนวน Table'!$A$4:$A$36,
_xlfn.XLOOKUP(AT159,'2)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1375</v>
      </c>
      <c r="BG159" s="319" cm="1">
        <f t="array" ref="BG159">ROUND((_xlfn.XLOOKUP($C159,'2) หลักการคำนวน Table'!$A$4:$A$36,
_xlfn.XLOOKUP(AU159,'2)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1375</v>
      </c>
      <c r="BH159" s="319" cm="1">
        <f t="array" ref="BH159">ROUND((_xlfn.XLOOKUP($C159,'2) หลักการคำนวน Table'!$A$4:$A$36,
_xlfn.XLOOKUP(AV159,'2)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1375</v>
      </c>
      <c r="BI159" s="319" cm="1">
        <f t="array" ref="BI159">ROUND((_xlfn.XLOOKUP($C159,'2) หลักการคำนวน Table'!$A$4:$A$36,
_xlfn.XLOOKUP(AW159,'2)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1375</v>
      </c>
      <c r="BJ159" s="319" cm="1">
        <f t="array" ref="BJ159">ROUND((_xlfn.XLOOKUP($C159,'2) หลักการคำนวน Table'!$A$4:$A$36,
_xlfn.XLOOKUP(AX159,'2)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1375</v>
      </c>
      <c r="BK159" s="319" cm="1">
        <f t="array" ref="BK159">ROUND((_xlfn.XLOOKUP($C159,'2) หลักการคำนวน Table'!$A$4:$A$36,
_xlfn.XLOOKUP(AY159,'2) หลักการคำนวน Table'!$C$3:$K$3,'2) หลักการคำนวน Table'!$C$4:$K$36,,-1)))*(_xlfn.XLOOKUP($C159,'2) หลักการคำนวน Table'!$A$4:$A$36, _xlfn.XLOOKUP($B159,'2) หลักการคำนวน Table'!$L$3:$Z$3,'2) หลักการคำนวน Table'!$L$4:$Z$36))),0)</f>
        <v>1375</v>
      </c>
      <c r="BL159" s="320"/>
      <c r="BM159" s="320">
        <v>222207</v>
      </c>
      <c r="BN159" s="321">
        <v>1986</v>
      </c>
    </row>
    <row r="160" spans="1:66" ht="14.7" customHeight="1" x14ac:dyDescent="0.25">
      <c r="A160" s="126">
        <f>VLOOKUP(C160,ASTBase!E:S,13,FALSE)</f>
        <v>222235</v>
      </c>
      <c r="B160" s="126" t="s">
        <v>411</v>
      </c>
      <c r="C160" s="232" t="s">
        <v>403</v>
      </c>
      <c r="D160" s="127">
        <v>42000</v>
      </c>
      <c r="E160" s="127">
        <v>42000</v>
      </c>
      <c r="F160" s="127">
        <v>43000</v>
      </c>
      <c r="G160" s="127">
        <v>44000</v>
      </c>
      <c r="H160" s="127">
        <v>42000</v>
      </c>
      <c r="I160" s="127">
        <v>44000</v>
      </c>
      <c r="J160" s="127">
        <v>41600</v>
      </c>
      <c r="K160" s="127">
        <v>78500</v>
      </c>
      <c r="L160" s="127">
        <v>58400</v>
      </c>
      <c r="M160" s="127">
        <v>66500</v>
      </c>
      <c r="N160" s="127">
        <v>61500</v>
      </c>
      <c r="O160" s="127">
        <v>86500</v>
      </c>
      <c r="P160" s="126">
        <v>58243.059999999816</v>
      </c>
      <c r="AB160" s="317">
        <f>IFERROR(IF(VLOOKUP($B160,Shortage!$A:$M,AB$2,FALSE)="Shortage",1,IFERROR(ROUND(P160/D160,4),0)),IFERROR(ROUND(P160/D160,4),0))</f>
        <v>1.3867</v>
      </c>
      <c r="AC160" s="317">
        <f>IFERROR(IF(VLOOKUP($B160,Shortage!$A:$M,AC$2,FALSE)="Shortage",1,IFERROR(ROUND(Q160/E160,4),0)),IFERROR(ROUND(Q160/E160,4),0))</f>
        <v>0</v>
      </c>
      <c r="AD160" s="317">
        <f>IFERROR(IF(VLOOKUP($B160,Shortage!$A:$M,AD$2,FALSE)="Shortage",1,IFERROR(ROUND(R160/F160,4),0)),IFERROR(ROUND(R160/F160,4),0))</f>
        <v>0</v>
      </c>
      <c r="AE160" s="317">
        <f>IFERROR(IF(VLOOKUP($B160,Shortage!$A:$M,AE$2,FALSE)="Shortage",1,IFERROR(ROUND(S160/G160,4),0)),IFERROR(ROUND(S160/G160,4),0))</f>
        <v>0</v>
      </c>
      <c r="AF160" s="317">
        <f>IFERROR(IF(VLOOKUP($B160,Shortage!$A:$M,AF$2,FALSE)="Shortage",1,IFERROR(ROUND(T160/H160,4),0)),IFERROR(ROUND(T160/H160,4),0))</f>
        <v>0</v>
      </c>
      <c r="AG160" s="317">
        <f>IFERROR(IF(VLOOKUP($B160,Shortage!$A:$M,AG$2,FALSE)="Shortage",1,IFERROR(ROUND(U160/I160,4),0)),IFERROR(ROUND(U160/I160,4),0))</f>
        <v>0</v>
      </c>
      <c r="AH160" s="317">
        <f>IFERROR(IF(VLOOKUP($B160,Shortage!$A:$M,AH$2,FALSE)="Shortage",1,IFERROR(ROUND(V160/J160,4),0)),IFERROR(ROUND(V160/J160,4),0))</f>
        <v>0</v>
      </c>
      <c r="AI160" s="317">
        <f>IFERROR(IF(VLOOKUP($B160,Shortage!$A:$M,AI$2,FALSE)="Shortage",1,IFERROR(ROUND(W160/K160,4),0)),IFERROR(ROUND(W160/K160,4),0))</f>
        <v>0</v>
      </c>
      <c r="AJ160" s="317">
        <f>IFERROR(IF(VLOOKUP($B160,Shortage!$A:$M,AJ$2,FALSE)="Shortage",1,IFERROR(ROUND(X160/L160,4),0)),IFERROR(ROUND(X160/L160,4),0))</f>
        <v>0</v>
      </c>
      <c r="AK160" s="317">
        <f>IFERROR(IF(VLOOKUP($B160,Shortage!$A:$M,AK$2,FALSE)="Shortage",1,IFERROR(ROUND(Y160/M160,4),0)),IFERROR(ROUND(Y160/M160,4),0))</f>
        <v>0</v>
      </c>
      <c r="AL160" s="317">
        <f>IFERROR(IF(VLOOKUP($B160,Shortage!$A:$M,AL$2,FALSE)="Shortage",1,IFERROR(ROUND(Z160/N160,4),0)),IFERROR(ROUND(Z160/N160,4),0))</f>
        <v>0</v>
      </c>
      <c r="AM160" s="317">
        <f>IFERROR(IF(VLOOKUP($B160,Shortage!$A:$M,AM$2,FALSE)="Shortage",1,IFERROR(ROUND(AA160/O160,4),0)),IFERROR(ROUND(AA160/O160,4),0))</f>
        <v>0</v>
      </c>
      <c r="AN160" s="318">
        <f>IFERROR(_xlfn.XLOOKUP(AB160,'2) หลักการคำนวน Table'!$C$3:$K$3,'2) หลักการคำนวน Table'!$C$3:$K$3,,1),INDEX('2) หลักการคำนวน Table'!$C$3:$K$3,1))</f>
        <v>20</v>
      </c>
      <c r="AO160" s="318">
        <f>IFERROR(
  _xlfn.XLOOKUP(AC160,'2) หลักการคำนวน Table'!$C$3:$K$3,'2) หลักการคำนวน Table'!$C$3:$K$3,,1),
  IF(AC160&lt;MIN('2) หลักการคำนวน Table'!$C$3:$K$3),
     MIN('2) หลักการคำนวน Table'!$C$3:$K$3),
     MAX('2) หลักการคำนวน Table'!$C$3:$K$3)
  )
)</f>
        <v>0.9</v>
      </c>
      <c r="AP160" s="318">
        <f>IFERROR(
  _xlfn.XLOOKUP(AD160,'2) หลักการคำนวน Table'!$C$3:$K$3,'2) หลักการคำนวน Table'!$C$3:$K$3,,1),
  IF(AD160&lt;MIN('2) หลักการคำนวน Table'!$C$3:$K$3),
     MIN('2) หลักการคำนวน Table'!$C$3:$K$3),
     MAX('2) หลักการคำนวน Table'!$C$3:$K$3)
  )
)</f>
        <v>0.9</v>
      </c>
      <c r="AQ160" s="318">
        <f>IFERROR(
  _xlfn.XLOOKUP(AE160,'2) หลักการคำนวน Table'!$C$3:$K$3,'2) หลักการคำนวน Table'!$C$3:$K$3,,1),
  IF(AE160&lt;MIN('2) หลักการคำนวน Table'!$C$3:$K$3),
     MIN('2) หลักการคำนวน Table'!$C$3:$K$3),
     MAX('2) หลักการคำนวน Table'!$C$3:$K$3)
  )
)</f>
        <v>0.9</v>
      </c>
      <c r="AR160" s="318">
        <f>IFERROR(
  _xlfn.XLOOKUP(AF160,'2) หลักการคำนวน Table'!$C$3:$K$3,'2) หลักการคำนวน Table'!$C$3:$K$3,,1),
  IF(AF160&lt;MIN('2) หลักการคำนวน Table'!$C$3:$K$3),
     MIN('2) หลักการคำนวน Table'!$C$3:$K$3),
     MAX('2) หลักการคำนวน Table'!$C$3:$K$3)
  )
)</f>
        <v>0.9</v>
      </c>
      <c r="AS160" s="318">
        <f>IFERROR(
  _xlfn.XLOOKUP(AG160,'2) หลักการคำนวน Table'!$C$3:$K$3,'2) หลักการคำนวน Table'!$C$3:$K$3,,1),
  IF(AG160&lt;MIN('2) หลักการคำนวน Table'!$C$3:$K$3),
     MIN('2) หลักการคำนวน Table'!$C$3:$K$3),
     MAX('2) หลักการคำนวน Table'!$C$3:$K$3)
  )
)</f>
        <v>0.9</v>
      </c>
      <c r="AT160" s="318">
        <f>IFERROR(
  _xlfn.XLOOKUP(AH160,'2) หลักการคำนวน Table'!$C$3:$K$3,'2) หลักการคำนวน Table'!$C$3:$K$3,,1),
  IF(AH160&lt;MIN('2) หลักการคำนวน Table'!$C$3:$K$3),
     MIN('2) หลักการคำนวน Table'!$C$3:$K$3),
     MAX('2) หลักการคำนวน Table'!$C$3:$K$3)
  )
)</f>
        <v>0.9</v>
      </c>
      <c r="AU160" s="318">
        <f>IFERROR(
  _xlfn.XLOOKUP(AI160,'2) หลักการคำนวน Table'!$C$3:$K$3,'2) หลักการคำนวน Table'!$C$3:$K$3,,1),
  IF(AI160&lt;MIN('2) หลักการคำนวน Table'!$C$3:$K$3),
     MIN('2) หลักการคำนวน Table'!$C$3:$K$3),
     MAX('2) หลักการคำนวน Table'!$C$3:$K$3)
  )
)</f>
        <v>0.9</v>
      </c>
      <c r="AV160" s="318">
        <f>IFERROR(
  _xlfn.XLOOKUP(AJ160,'2) หลักการคำนวน Table'!$C$3:$K$3,'2) หลักการคำนวน Table'!$C$3:$K$3,,1),
  IF(AJ160&lt;MIN('2) หลักการคำนวน Table'!$C$3:$K$3),
     MIN('2) หลักการคำนวน Table'!$C$3:$K$3),
     MAX('2) หลักการคำนวน Table'!$C$3:$K$3)
  )
)</f>
        <v>0.9</v>
      </c>
      <c r="AW160" s="318">
        <f>IFERROR(
  _xlfn.XLOOKUP(AK160,'2) หลักการคำนวน Table'!$C$3:$K$3,'2) หลักการคำนวน Table'!$C$3:$K$3,,1),
  IF(AK160&lt;MIN('2) หลักการคำนวน Table'!$C$3:$K$3),
     MIN('2) หลักการคำนวน Table'!$C$3:$K$3),
     MAX('2) หลักการคำนวน Table'!$C$3:$K$3)
  )
)</f>
        <v>0.9</v>
      </c>
      <c r="AX160" s="318">
        <f>IFERROR(
  _xlfn.XLOOKUP(AL160,'2) หลักการคำนวน Table'!$C$3:$K$3,'2) หลักการคำนวน Table'!$C$3:$K$3,,1),
  IF(AL160&lt;MIN('2) หลักการคำนวน Table'!$C$3:$K$3),
     MIN('2) หลักการคำนวน Table'!$C$3:$K$3),
     MAX('2) หลักการคำนวน Table'!$C$3:$K$3)
  )
)</f>
        <v>0.9</v>
      </c>
      <c r="AY160" s="318">
        <f>IFERROR(
  _xlfn.XLOOKUP(AM160,'2) หลักการคำนวน Table'!$C$3:$K$3,'2) หลักการคำนวน Table'!$C$3:$K$3,,1),
  IF(AM160&lt;MIN('2) หลักการคำนวน Table'!$C$3:$K$3),
     MIN('2) หลักการคำนวน Table'!$C$3:$K$3),
     MAX('2) หลักการคำนวน Table'!$C$3:$K$3)
  )
)</f>
        <v>0.9</v>
      </c>
      <c r="AZ160" s="319" cm="1">
        <f t="array" ref="AZ160">ROUND((_xlfn.XLOOKUP($C160,'2) หลักการคำนวน Table'!$A$4:$A$36,
_xlfn.XLOOKUP(AN160,'2)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2383</v>
      </c>
      <c r="BA160" s="319" cm="1">
        <f t="array" ref="BA160">ROUND((_xlfn.XLOOKUP($C160,'2) หลักการคำนวน Table'!$A$4:$A$36,
_xlfn.XLOOKUP(AO160,'2)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1650</v>
      </c>
      <c r="BB160" s="319" cm="1">
        <f t="array" ref="BB160">ROUND((_xlfn.XLOOKUP($C160,'2) หลักการคำนวน Table'!$A$4:$A$36,
_xlfn.XLOOKUP(AP160,'2)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1650</v>
      </c>
      <c r="BC160" s="319" cm="1">
        <f t="array" ref="BC160">ROUND((_xlfn.XLOOKUP($C160,'2) หลักการคำนวน Table'!$A$4:$A$36,
_xlfn.XLOOKUP(AQ160,'2)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1650</v>
      </c>
      <c r="BD160" s="319" cm="1">
        <f t="array" ref="BD160">ROUND((_xlfn.XLOOKUP($C160,'2) หลักการคำนวน Table'!$A$4:$A$36,
_xlfn.XLOOKUP(AR160,'2)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1650</v>
      </c>
      <c r="BE160" s="319" cm="1">
        <f t="array" ref="BE160">ROUND((_xlfn.XLOOKUP($C160,'2) หลักการคำนวน Table'!$A$4:$A$36,
_xlfn.XLOOKUP(AS160,'2)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1650</v>
      </c>
      <c r="BF160" s="319" cm="1">
        <f t="array" ref="BF160">ROUND((_xlfn.XLOOKUP($C160,'2) หลักการคำนวน Table'!$A$4:$A$36,
_xlfn.XLOOKUP(AT160,'2)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1650</v>
      </c>
      <c r="BG160" s="319" cm="1">
        <f t="array" ref="BG160">ROUND((_xlfn.XLOOKUP($C160,'2) หลักการคำนวน Table'!$A$4:$A$36,
_xlfn.XLOOKUP(AU160,'2)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1650</v>
      </c>
      <c r="BH160" s="319" cm="1">
        <f t="array" ref="BH160">ROUND((_xlfn.XLOOKUP($C160,'2) หลักการคำนวน Table'!$A$4:$A$36,
_xlfn.XLOOKUP(AV160,'2)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1650</v>
      </c>
      <c r="BI160" s="319" cm="1">
        <f t="array" ref="BI160">ROUND((_xlfn.XLOOKUP($C160,'2) หลักการคำนวน Table'!$A$4:$A$36,
_xlfn.XLOOKUP(AW160,'2)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1650</v>
      </c>
      <c r="BJ160" s="319" cm="1">
        <f t="array" ref="BJ160">ROUND((_xlfn.XLOOKUP($C160,'2) หลักการคำนวน Table'!$A$4:$A$36,
_xlfn.XLOOKUP(AX160,'2)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1650</v>
      </c>
      <c r="BK160" s="319" cm="1">
        <f t="array" ref="BK160">ROUND((_xlfn.XLOOKUP($C160,'2) หลักการคำนวน Table'!$A$4:$A$36,
_xlfn.XLOOKUP(AY160,'2) หลักการคำนวน Table'!$C$3:$K$3,'2) หลักการคำนวน Table'!$C$4:$K$36,,-1)))*(_xlfn.XLOOKUP($C160,'2) หลักการคำนวน Table'!$A$4:$A$36, _xlfn.XLOOKUP($B160,'2) หลักการคำนวน Table'!$L$3:$Z$3,'2) หลักการคำนวน Table'!$L$4:$Z$36))),0)</f>
        <v>1650</v>
      </c>
      <c r="BL160" s="320"/>
      <c r="BM160" s="320">
        <v>222207</v>
      </c>
      <c r="BN160" s="321">
        <v>2383</v>
      </c>
    </row>
    <row r="161" spans="1:66" ht="14.7" customHeight="1" x14ac:dyDescent="0.25">
      <c r="A161" s="126">
        <f>VLOOKUP(C161,ASTBase!E:S,13,FALSE)</f>
        <v>222235</v>
      </c>
      <c r="B161" s="126" t="s">
        <v>405</v>
      </c>
      <c r="C161" s="232" t="s">
        <v>404</v>
      </c>
      <c r="D161" s="127">
        <v>1482500</v>
      </c>
      <c r="E161" s="127">
        <v>1310000</v>
      </c>
      <c r="F161" s="127">
        <v>1412000</v>
      </c>
      <c r="G161" s="127">
        <v>1398000</v>
      </c>
      <c r="H161" s="127">
        <v>1295000</v>
      </c>
      <c r="I161" s="127">
        <v>1504000</v>
      </c>
      <c r="J161" s="127">
        <v>1397500</v>
      </c>
      <c r="K161" s="127">
        <v>1297500</v>
      </c>
      <c r="L161" s="127">
        <v>1520000</v>
      </c>
      <c r="M161" s="127">
        <v>1398500</v>
      </c>
      <c r="N161" s="127">
        <v>1397500</v>
      </c>
      <c r="O161" s="127">
        <v>1357500</v>
      </c>
      <c r="P161" s="126">
        <v>1441616.8000000007</v>
      </c>
      <c r="AB161" s="317">
        <f>IFERROR(IF(VLOOKUP($B161,Shortage!$A:$M,AB$2,FALSE)="Shortage",1,IFERROR(ROUND(P161/D161,4),0)),IFERROR(ROUND(P161/D161,4),0))</f>
        <v>1</v>
      </c>
      <c r="AC161" s="317">
        <f>IFERROR(IF(VLOOKUP($B161,Shortage!$A:$M,AC$2,FALSE)="Shortage",1,IFERROR(ROUND(Q161/E161,4),0)),IFERROR(ROUND(Q161/E161,4),0))</f>
        <v>0</v>
      </c>
      <c r="AD161" s="317">
        <f>IFERROR(IF(VLOOKUP($B161,Shortage!$A:$M,AD$2,FALSE)="Shortage",1,IFERROR(ROUND(R161/F161,4),0)),IFERROR(ROUND(R161/F161,4),0))</f>
        <v>0</v>
      </c>
      <c r="AE161" s="317">
        <f>IFERROR(IF(VLOOKUP($B161,Shortage!$A:$M,AE$2,FALSE)="Shortage",1,IFERROR(ROUND(S161/G161,4),0)),IFERROR(ROUND(S161/G161,4),0))</f>
        <v>0</v>
      </c>
      <c r="AF161" s="317">
        <f>IFERROR(IF(VLOOKUP($B161,Shortage!$A:$M,AF$2,FALSE)="Shortage",1,IFERROR(ROUND(T161/H161,4),0)),IFERROR(ROUND(T161/H161,4),0))</f>
        <v>0</v>
      </c>
      <c r="AG161" s="317">
        <f>IFERROR(IF(VLOOKUP($B161,Shortage!$A:$M,AG$2,FALSE)="Shortage",1,IFERROR(ROUND(U161/I161,4),0)),IFERROR(ROUND(U161/I161,4),0))</f>
        <v>0</v>
      </c>
      <c r="AH161" s="317">
        <f>IFERROR(IF(VLOOKUP($B161,Shortage!$A:$M,AH$2,FALSE)="Shortage",1,IFERROR(ROUND(V161/J161,4),0)),IFERROR(ROUND(V161/J161,4),0))</f>
        <v>0</v>
      </c>
      <c r="AI161" s="317">
        <f>IFERROR(IF(VLOOKUP($B161,Shortage!$A:$M,AI$2,FALSE)="Shortage",1,IFERROR(ROUND(W161/K161,4),0)),IFERROR(ROUND(W161/K161,4),0))</f>
        <v>0</v>
      </c>
      <c r="AJ161" s="317">
        <f>IFERROR(IF(VLOOKUP($B161,Shortage!$A:$M,AJ$2,FALSE)="Shortage",1,IFERROR(ROUND(X161/L161,4),0)),IFERROR(ROUND(X161/L161,4),0))</f>
        <v>0</v>
      </c>
      <c r="AK161" s="317">
        <f>IFERROR(IF(VLOOKUP($B161,Shortage!$A:$M,AK$2,FALSE)="Shortage",1,IFERROR(ROUND(Y161/M161,4),0)),IFERROR(ROUND(Y161/M161,4),0))</f>
        <v>0</v>
      </c>
      <c r="AL161" s="317">
        <f>IFERROR(IF(VLOOKUP($B161,Shortage!$A:$M,AL$2,FALSE)="Shortage",1,IFERROR(ROUND(Z161/N161,4),0)),IFERROR(ROUND(Z161/N161,4),0))</f>
        <v>0</v>
      </c>
      <c r="AM161" s="317">
        <f>IFERROR(IF(VLOOKUP($B161,Shortage!$A:$M,AM$2,FALSE)="Shortage",1,IFERROR(ROUND(AA161/O161,4),0)),IFERROR(ROUND(AA161/O161,4),0))</f>
        <v>0</v>
      </c>
      <c r="AN161" s="318">
        <f>IFERROR(_xlfn.XLOOKUP(AB161,'2) หลักการคำนวน Table'!$C$3:$K$3,'2) หลักการคำนวน Table'!$C$3:$K$3,,1),INDEX('2) หลักการคำนวน Table'!$C$3:$K$3,1))</f>
        <v>1</v>
      </c>
      <c r="AO161" s="318">
        <f>IFERROR(
  _xlfn.XLOOKUP(AC161,'2) หลักการคำนวน Table'!$C$3:$K$3,'2) หลักการคำนวน Table'!$C$3:$K$3,,1),
  IF(AC161&lt;MIN('2) หลักการคำนวน Table'!$C$3:$K$3),
     MIN('2) หลักการคำนวน Table'!$C$3:$K$3),
     MAX('2) หลักการคำนวน Table'!$C$3:$K$3)
  )
)</f>
        <v>0.9</v>
      </c>
      <c r="AP161" s="318">
        <f>IFERROR(
  _xlfn.XLOOKUP(AD161,'2) หลักการคำนวน Table'!$C$3:$K$3,'2) หลักการคำนวน Table'!$C$3:$K$3,,1),
  IF(AD161&lt;MIN('2) หลักการคำนวน Table'!$C$3:$K$3),
     MIN('2) หลักการคำนวน Table'!$C$3:$K$3),
     MAX('2) หลักการคำนวน Table'!$C$3:$K$3)
  )
)</f>
        <v>0.9</v>
      </c>
      <c r="AQ161" s="318">
        <f>IFERROR(
  _xlfn.XLOOKUP(AE161,'2) หลักการคำนวน Table'!$C$3:$K$3,'2) หลักการคำนวน Table'!$C$3:$K$3,,1),
  IF(AE161&lt;MIN('2) หลักการคำนวน Table'!$C$3:$K$3),
     MIN('2) หลักการคำนวน Table'!$C$3:$K$3),
     MAX('2) หลักการคำนวน Table'!$C$3:$K$3)
  )
)</f>
        <v>0.9</v>
      </c>
      <c r="AR161" s="318">
        <f>IFERROR(
  _xlfn.XLOOKUP(AF161,'2) หลักการคำนวน Table'!$C$3:$K$3,'2) หลักการคำนวน Table'!$C$3:$K$3,,1),
  IF(AF161&lt;MIN('2) หลักการคำนวน Table'!$C$3:$K$3),
     MIN('2) หลักการคำนวน Table'!$C$3:$K$3),
     MAX('2) หลักการคำนวน Table'!$C$3:$K$3)
  )
)</f>
        <v>0.9</v>
      </c>
      <c r="AS161" s="318">
        <f>IFERROR(
  _xlfn.XLOOKUP(AG161,'2) หลักการคำนวน Table'!$C$3:$K$3,'2) หลักการคำนวน Table'!$C$3:$K$3,,1),
  IF(AG161&lt;MIN('2) หลักการคำนวน Table'!$C$3:$K$3),
     MIN('2) หลักการคำนวน Table'!$C$3:$K$3),
     MAX('2) หลักการคำนวน Table'!$C$3:$K$3)
  )
)</f>
        <v>0.9</v>
      </c>
      <c r="AT161" s="318">
        <f>IFERROR(
  _xlfn.XLOOKUP(AH161,'2) หลักการคำนวน Table'!$C$3:$K$3,'2) หลักการคำนวน Table'!$C$3:$K$3,,1),
  IF(AH161&lt;MIN('2) หลักการคำนวน Table'!$C$3:$K$3),
     MIN('2) หลักการคำนวน Table'!$C$3:$K$3),
     MAX('2) หลักการคำนวน Table'!$C$3:$K$3)
  )
)</f>
        <v>0.9</v>
      </c>
      <c r="AU161" s="318">
        <f>IFERROR(
  _xlfn.XLOOKUP(AI161,'2) หลักการคำนวน Table'!$C$3:$K$3,'2) หลักการคำนวน Table'!$C$3:$K$3,,1),
  IF(AI161&lt;MIN('2) หลักการคำนวน Table'!$C$3:$K$3),
     MIN('2) หลักการคำนวน Table'!$C$3:$K$3),
     MAX('2) หลักการคำนวน Table'!$C$3:$K$3)
  )
)</f>
        <v>0.9</v>
      </c>
      <c r="AV161" s="318">
        <f>IFERROR(
  _xlfn.XLOOKUP(AJ161,'2) หลักการคำนวน Table'!$C$3:$K$3,'2) หลักการคำนวน Table'!$C$3:$K$3,,1),
  IF(AJ161&lt;MIN('2) หลักการคำนวน Table'!$C$3:$K$3),
     MIN('2) หลักการคำนวน Table'!$C$3:$K$3),
     MAX('2) หลักการคำนวน Table'!$C$3:$K$3)
  )
)</f>
        <v>0.9</v>
      </c>
      <c r="AW161" s="318">
        <f>IFERROR(
  _xlfn.XLOOKUP(AK161,'2) หลักการคำนวน Table'!$C$3:$K$3,'2) หลักการคำนวน Table'!$C$3:$K$3,,1),
  IF(AK161&lt;MIN('2) หลักการคำนวน Table'!$C$3:$K$3),
     MIN('2) หลักการคำนวน Table'!$C$3:$K$3),
     MAX('2) หลักการคำนวน Table'!$C$3:$K$3)
  )
)</f>
        <v>0.9</v>
      </c>
      <c r="AX161" s="318">
        <f>IFERROR(
  _xlfn.XLOOKUP(AL161,'2) หลักการคำนวน Table'!$C$3:$K$3,'2) หลักการคำนวน Table'!$C$3:$K$3,,1),
  IF(AL161&lt;MIN('2) หลักการคำนวน Table'!$C$3:$K$3),
     MIN('2) หลักการคำนวน Table'!$C$3:$K$3),
     MAX('2) หลักการคำนวน Table'!$C$3:$K$3)
  )
)</f>
        <v>0.9</v>
      </c>
      <c r="AY161" s="318">
        <f>IFERROR(
  _xlfn.XLOOKUP(AM161,'2) หลักการคำนวน Table'!$C$3:$K$3,'2) หลักการคำนวน Table'!$C$3:$K$3,,1),
  IF(AM161&lt;MIN('2) หลักการคำนวน Table'!$C$3:$K$3),
     MIN('2) หลักการคำนวน Table'!$C$3:$K$3),
     MAX('2) หลักการคำนวน Table'!$C$3:$K$3)
  )
)</f>
        <v>0.9</v>
      </c>
      <c r="AZ161" s="319" cm="1">
        <f t="array" ref="AZ161">ROUND((_xlfn.XLOOKUP($C161,'2) หลักการคำนวน Table'!$A$4:$A$36,
_xlfn.XLOOKUP(AN161,'2)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688</v>
      </c>
      <c r="BA161" s="319" cm="1">
        <f t="array" ref="BA161">ROUND((_xlfn.XLOOKUP($C161,'2) หลักการคำนวน Table'!$A$4:$A$36,
_xlfn.XLOOKUP(AO161,'2)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619</v>
      </c>
      <c r="BB161" s="319" cm="1">
        <f t="array" ref="BB161">ROUND((_xlfn.XLOOKUP($C161,'2) หลักการคำนวน Table'!$A$4:$A$36,
_xlfn.XLOOKUP(AP161,'2)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619</v>
      </c>
      <c r="BC161" s="319" cm="1">
        <f t="array" ref="BC161">ROUND((_xlfn.XLOOKUP($C161,'2) หลักการคำนวน Table'!$A$4:$A$36,
_xlfn.XLOOKUP(AQ161,'2)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619</v>
      </c>
      <c r="BD161" s="319" cm="1">
        <f t="array" ref="BD161">ROUND((_xlfn.XLOOKUP($C161,'2) หลักการคำนวน Table'!$A$4:$A$36,
_xlfn.XLOOKUP(AR161,'2)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619</v>
      </c>
      <c r="BE161" s="319" cm="1">
        <f t="array" ref="BE161">ROUND((_xlfn.XLOOKUP($C161,'2) หลักการคำนวน Table'!$A$4:$A$36,
_xlfn.XLOOKUP(AS161,'2)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619</v>
      </c>
      <c r="BF161" s="319" cm="1">
        <f t="array" ref="BF161">ROUND((_xlfn.XLOOKUP($C161,'2) หลักการคำนวน Table'!$A$4:$A$36,
_xlfn.XLOOKUP(AT161,'2)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619</v>
      </c>
      <c r="BG161" s="319" cm="1">
        <f t="array" ref="BG161">ROUND((_xlfn.XLOOKUP($C161,'2) หลักการคำนวน Table'!$A$4:$A$36,
_xlfn.XLOOKUP(AU161,'2)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619</v>
      </c>
      <c r="BH161" s="319" cm="1">
        <f t="array" ref="BH161">ROUND((_xlfn.XLOOKUP($C161,'2) หลักการคำนวน Table'!$A$4:$A$36,
_xlfn.XLOOKUP(AV161,'2)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619</v>
      </c>
      <c r="BI161" s="319" cm="1">
        <f t="array" ref="BI161">ROUND((_xlfn.XLOOKUP($C161,'2) หลักการคำนวน Table'!$A$4:$A$36,
_xlfn.XLOOKUP(AW161,'2)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619</v>
      </c>
      <c r="BJ161" s="319" cm="1">
        <f t="array" ref="BJ161">ROUND((_xlfn.XLOOKUP($C161,'2) หลักการคำนวน Table'!$A$4:$A$36,
_xlfn.XLOOKUP(AX161,'2)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619</v>
      </c>
      <c r="BK161" s="319" cm="1">
        <f t="array" ref="BK161">ROUND((_xlfn.XLOOKUP($C161,'2) หลักการคำนวน Table'!$A$4:$A$36,
_xlfn.XLOOKUP(AY161,'2) หลักการคำนวน Table'!$C$3:$K$3,'2) หลักการคำนวน Table'!$C$4:$K$36,,-1)))*(_xlfn.XLOOKUP($C161,'2) หลักการคำนวน Table'!$A$4:$A$36, _xlfn.XLOOKUP($B161,'2) หลักการคำนวน Table'!$L$3:$Z$3,'2) หลักการคำนวน Table'!$L$4:$Z$36))),0)</f>
        <v>619</v>
      </c>
      <c r="BL161" s="320"/>
      <c r="BM161" s="320">
        <v>222229</v>
      </c>
      <c r="BN161" s="321">
        <v>688</v>
      </c>
    </row>
    <row r="162" spans="1:66" ht="14.7" customHeight="1" x14ac:dyDescent="0.25">
      <c r="A162" s="126">
        <f>VLOOKUP(C162,ASTBase!E:S,13,FALSE)</f>
        <v>222235</v>
      </c>
      <c r="B162" s="126" t="s">
        <v>408</v>
      </c>
      <c r="C162" s="232" t="s">
        <v>404</v>
      </c>
      <c r="D162" s="127">
        <v>123125</v>
      </c>
      <c r="E162" s="127">
        <v>121000</v>
      </c>
      <c r="F162" s="127">
        <v>119000</v>
      </c>
      <c r="G162" s="127">
        <v>129000</v>
      </c>
      <c r="H162" s="127">
        <v>117000</v>
      </c>
      <c r="I162" s="127">
        <v>121000</v>
      </c>
      <c r="J162" s="127">
        <v>123791.66666666667</v>
      </c>
      <c r="K162" s="127">
        <v>123791.66666666667</v>
      </c>
      <c r="L162" s="127">
        <v>135000</v>
      </c>
      <c r="M162" s="127">
        <v>123791.66666666667</v>
      </c>
      <c r="N162" s="127">
        <v>120000</v>
      </c>
      <c r="O162" s="127">
        <v>129000</v>
      </c>
      <c r="P162" s="126">
        <v>140978.88000000027</v>
      </c>
      <c r="AB162" s="317">
        <f>IFERROR(IF(VLOOKUP($B162,Shortage!$A:$M,AB$2,FALSE)="Shortage",1,IFERROR(ROUND(P162/D162,4),0)),IFERROR(ROUND(P162/D162,4),0))</f>
        <v>1.145</v>
      </c>
      <c r="AC162" s="317">
        <f>IFERROR(IF(VLOOKUP($B162,Shortage!$A:$M,AC$2,FALSE)="Shortage",1,IFERROR(ROUND(Q162/E162,4),0)),IFERROR(ROUND(Q162/E162,4),0))</f>
        <v>0</v>
      </c>
      <c r="AD162" s="317">
        <f>IFERROR(IF(VLOOKUP($B162,Shortage!$A:$M,AD$2,FALSE)="Shortage",1,IFERROR(ROUND(R162/F162,4),0)),IFERROR(ROUND(R162/F162,4),0))</f>
        <v>0</v>
      </c>
      <c r="AE162" s="317">
        <f>IFERROR(IF(VLOOKUP($B162,Shortage!$A:$M,AE$2,FALSE)="Shortage",1,IFERROR(ROUND(S162/G162,4),0)),IFERROR(ROUND(S162/G162,4),0))</f>
        <v>0</v>
      </c>
      <c r="AF162" s="317">
        <f>IFERROR(IF(VLOOKUP($B162,Shortage!$A:$M,AF$2,FALSE)="Shortage",1,IFERROR(ROUND(T162/H162,4),0)),IFERROR(ROUND(T162/H162,4),0))</f>
        <v>0</v>
      </c>
      <c r="AG162" s="317">
        <f>IFERROR(IF(VLOOKUP($B162,Shortage!$A:$M,AG$2,FALSE)="Shortage",1,IFERROR(ROUND(U162/I162,4),0)),IFERROR(ROUND(U162/I162,4),0))</f>
        <v>0</v>
      </c>
      <c r="AH162" s="317">
        <f>IFERROR(IF(VLOOKUP($B162,Shortage!$A:$M,AH$2,FALSE)="Shortage",1,IFERROR(ROUND(V162/J162,4),0)),IFERROR(ROUND(V162/J162,4),0))</f>
        <v>0</v>
      </c>
      <c r="AI162" s="317">
        <f>IFERROR(IF(VLOOKUP($B162,Shortage!$A:$M,AI$2,FALSE)="Shortage",1,IFERROR(ROUND(W162/K162,4),0)),IFERROR(ROUND(W162/K162,4),0))</f>
        <v>0</v>
      </c>
      <c r="AJ162" s="317">
        <f>IFERROR(IF(VLOOKUP($B162,Shortage!$A:$M,AJ$2,FALSE)="Shortage",1,IFERROR(ROUND(X162/L162,4),0)),IFERROR(ROUND(X162/L162,4),0))</f>
        <v>0</v>
      </c>
      <c r="AK162" s="317">
        <f>IFERROR(IF(VLOOKUP($B162,Shortage!$A:$M,AK$2,FALSE)="Shortage",1,IFERROR(ROUND(Y162/M162,4),0)),IFERROR(ROUND(Y162/M162,4),0))</f>
        <v>0</v>
      </c>
      <c r="AL162" s="317">
        <f>IFERROR(IF(VLOOKUP($B162,Shortage!$A:$M,AL$2,FALSE)="Shortage",1,IFERROR(ROUND(Z162/N162,4),0)),IFERROR(ROUND(Z162/N162,4),0))</f>
        <v>0</v>
      </c>
      <c r="AM162" s="317">
        <f>IFERROR(IF(VLOOKUP($B162,Shortage!$A:$M,AM$2,FALSE)="Shortage",1,IFERROR(ROUND(AA162/O162,4),0)),IFERROR(ROUND(AA162/O162,4),0))</f>
        <v>0</v>
      </c>
      <c r="AN162" s="318">
        <f>IFERROR(_xlfn.XLOOKUP(AB162,'2) หลักการคำนวน Table'!$C$3:$K$3,'2) หลักการคำนวน Table'!$C$3:$K$3,,1),INDEX('2) หลักการคำนวน Table'!$C$3:$K$3,1))</f>
        <v>1.1499999999999999</v>
      </c>
      <c r="AO162" s="318">
        <f>IFERROR(
  _xlfn.XLOOKUP(AC162,'2) หลักการคำนวน Table'!$C$3:$K$3,'2) หลักการคำนวน Table'!$C$3:$K$3,,1),
  IF(AC162&lt;MIN('2) หลักการคำนวน Table'!$C$3:$K$3),
     MIN('2) หลักการคำนวน Table'!$C$3:$K$3),
     MAX('2) หลักการคำนวน Table'!$C$3:$K$3)
  )
)</f>
        <v>0.9</v>
      </c>
      <c r="AP162" s="318">
        <f>IFERROR(
  _xlfn.XLOOKUP(AD162,'2) หลักการคำนวน Table'!$C$3:$K$3,'2) หลักการคำนวน Table'!$C$3:$K$3,,1),
  IF(AD162&lt;MIN('2) หลักการคำนวน Table'!$C$3:$K$3),
     MIN('2) หลักการคำนวน Table'!$C$3:$K$3),
     MAX('2) หลักการคำนวน Table'!$C$3:$K$3)
  )
)</f>
        <v>0.9</v>
      </c>
      <c r="AQ162" s="318">
        <f>IFERROR(
  _xlfn.XLOOKUP(AE162,'2) หลักการคำนวน Table'!$C$3:$K$3,'2) หลักการคำนวน Table'!$C$3:$K$3,,1),
  IF(AE162&lt;MIN('2) หลักการคำนวน Table'!$C$3:$K$3),
     MIN('2) หลักการคำนวน Table'!$C$3:$K$3),
     MAX('2) หลักการคำนวน Table'!$C$3:$K$3)
  )
)</f>
        <v>0.9</v>
      </c>
      <c r="AR162" s="318">
        <f>IFERROR(
  _xlfn.XLOOKUP(AF162,'2) หลักการคำนวน Table'!$C$3:$K$3,'2) หลักการคำนวน Table'!$C$3:$K$3,,1),
  IF(AF162&lt;MIN('2) หลักการคำนวน Table'!$C$3:$K$3),
     MIN('2) หลักการคำนวน Table'!$C$3:$K$3),
     MAX('2) หลักการคำนวน Table'!$C$3:$K$3)
  )
)</f>
        <v>0.9</v>
      </c>
      <c r="AS162" s="318">
        <f>IFERROR(
  _xlfn.XLOOKUP(AG162,'2) หลักการคำนวน Table'!$C$3:$K$3,'2) หลักการคำนวน Table'!$C$3:$K$3,,1),
  IF(AG162&lt;MIN('2) หลักการคำนวน Table'!$C$3:$K$3),
     MIN('2) หลักการคำนวน Table'!$C$3:$K$3),
     MAX('2) หลักการคำนวน Table'!$C$3:$K$3)
  )
)</f>
        <v>0.9</v>
      </c>
      <c r="AT162" s="318">
        <f>IFERROR(
  _xlfn.XLOOKUP(AH162,'2) หลักการคำนวน Table'!$C$3:$K$3,'2) หลักการคำนวน Table'!$C$3:$K$3,,1),
  IF(AH162&lt;MIN('2) หลักการคำนวน Table'!$C$3:$K$3),
     MIN('2) หลักการคำนวน Table'!$C$3:$K$3),
     MAX('2) หลักการคำนวน Table'!$C$3:$K$3)
  )
)</f>
        <v>0.9</v>
      </c>
      <c r="AU162" s="318">
        <f>IFERROR(
  _xlfn.XLOOKUP(AI162,'2) หลักการคำนวน Table'!$C$3:$K$3,'2) หลักการคำนวน Table'!$C$3:$K$3,,1),
  IF(AI162&lt;MIN('2) หลักการคำนวน Table'!$C$3:$K$3),
     MIN('2) หลักการคำนวน Table'!$C$3:$K$3),
     MAX('2) หลักการคำนวน Table'!$C$3:$K$3)
  )
)</f>
        <v>0.9</v>
      </c>
      <c r="AV162" s="318">
        <f>IFERROR(
  _xlfn.XLOOKUP(AJ162,'2) หลักการคำนวน Table'!$C$3:$K$3,'2) หลักการคำนวน Table'!$C$3:$K$3,,1),
  IF(AJ162&lt;MIN('2) หลักการคำนวน Table'!$C$3:$K$3),
     MIN('2) หลักการคำนวน Table'!$C$3:$K$3),
     MAX('2) หลักการคำนวน Table'!$C$3:$K$3)
  )
)</f>
        <v>0.9</v>
      </c>
      <c r="AW162" s="318">
        <f>IFERROR(
  _xlfn.XLOOKUP(AK162,'2) หลักการคำนวน Table'!$C$3:$K$3,'2) หลักการคำนวน Table'!$C$3:$K$3,,1),
  IF(AK162&lt;MIN('2) หลักการคำนวน Table'!$C$3:$K$3),
     MIN('2) หลักการคำนวน Table'!$C$3:$K$3),
     MAX('2) หลักการคำนวน Table'!$C$3:$K$3)
  )
)</f>
        <v>0.9</v>
      </c>
      <c r="AX162" s="318">
        <f>IFERROR(
  _xlfn.XLOOKUP(AL162,'2) หลักการคำนวน Table'!$C$3:$K$3,'2) หลักการคำนวน Table'!$C$3:$K$3,,1),
  IF(AL162&lt;MIN('2) หลักการคำนวน Table'!$C$3:$K$3),
     MIN('2) หลักการคำนวน Table'!$C$3:$K$3),
     MAX('2) หลักการคำนวน Table'!$C$3:$K$3)
  )
)</f>
        <v>0.9</v>
      </c>
      <c r="AY162" s="318">
        <f>IFERROR(
  _xlfn.XLOOKUP(AM162,'2) หลักการคำนวน Table'!$C$3:$K$3,'2) หลักการคำนวน Table'!$C$3:$K$3,,1),
  IF(AM162&lt;MIN('2) หลักการคำนวน Table'!$C$3:$K$3),
     MIN('2) หลักการคำนวน Table'!$C$3:$K$3),
     MAX('2) หลักการคำนวน Table'!$C$3:$K$3)
  )
)</f>
        <v>0.9</v>
      </c>
      <c r="AZ162" s="319" cm="1">
        <f t="array" ref="AZ162">ROUND((_xlfn.XLOOKUP($C162,'2) หลักการคำนวน Table'!$A$4:$A$36,
_xlfn.XLOOKUP(AN162,'2)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1318</v>
      </c>
      <c r="BA162" s="319" cm="1">
        <f t="array" ref="BA162">ROUND((_xlfn.XLOOKUP($C162,'2) หลักการคำนวน Table'!$A$4:$A$36,
_xlfn.XLOOKUP(AO162,'2)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1031</v>
      </c>
      <c r="BB162" s="319" cm="1">
        <f t="array" ref="BB162">ROUND((_xlfn.XLOOKUP($C162,'2) หลักการคำนวน Table'!$A$4:$A$36,
_xlfn.XLOOKUP(AP162,'2)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1031</v>
      </c>
      <c r="BC162" s="319" cm="1">
        <f t="array" ref="BC162">ROUND((_xlfn.XLOOKUP($C162,'2) หลักการคำนวน Table'!$A$4:$A$36,
_xlfn.XLOOKUP(AQ162,'2)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1031</v>
      </c>
      <c r="BD162" s="319" cm="1">
        <f t="array" ref="BD162">ROUND((_xlfn.XLOOKUP($C162,'2) หลักการคำนวน Table'!$A$4:$A$36,
_xlfn.XLOOKUP(AR162,'2)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1031</v>
      </c>
      <c r="BE162" s="319" cm="1">
        <f t="array" ref="BE162">ROUND((_xlfn.XLOOKUP($C162,'2) หลักการคำนวน Table'!$A$4:$A$36,
_xlfn.XLOOKUP(AS162,'2)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1031</v>
      </c>
      <c r="BF162" s="319" cm="1">
        <f t="array" ref="BF162">ROUND((_xlfn.XLOOKUP($C162,'2) หลักการคำนวน Table'!$A$4:$A$36,
_xlfn.XLOOKUP(AT162,'2)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1031</v>
      </c>
      <c r="BG162" s="319" cm="1">
        <f t="array" ref="BG162">ROUND((_xlfn.XLOOKUP($C162,'2) หลักการคำนวน Table'!$A$4:$A$36,
_xlfn.XLOOKUP(AU162,'2)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1031</v>
      </c>
      <c r="BH162" s="319" cm="1">
        <f t="array" ref="BH162">ROUND((_xlfn.XLOOKUP($C162,'2) หลักการคำนวน Table'!$A$4:$A$36,
_xlfn.XLOOKUP(AV162,'2)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1031</v>
      </c>
      <c r="BI162" s="319" cm="1">
        <f t="array" ref="BI162">ROUND((_xlfn.XLOOKUP($C162,'2) หลักการคำนวน Table'!$A$4:$A$36,
_xlfn.XLOOKUP(AW162,'2)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1031</v>
      </c>
      <c r="BJ162" s="319" cm="1">
        <f t="array" ref="BJ162">ROUND((_xlfn.XLOOKUP($C162,'2) หลักการคำนวน Table'!$A$4:$A$36,
_xlfn.XLOOKUP(AX162,'2)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1031</v>
      </c>
      <c r="BK162" s="319" cm="1">
        <f t="array" ref="BK162">ROUND((_xlfn.XLOOKUP($C162,'2) หลักการคำนวน Table'!$A$4:$A$36,
_xlfn.XLOOKUP(AY162,'2) หลักการคำนวน Table'!$C$3:$K$3,'2) หลักการคำนวน Table'!$C$4:$K$36,,-1)))*(_xlfn.XLOOKUP($C162,'2) หลักการคำนวน Table'!$A$4:$A$36, _xlfn.XLOOKUP($B162,'2) หลักการคำนวน Table'!$L$3:$Z$3,'2) หลักการคำนวน Table'!$L$4:$Z$36))),0)</f>
        <v>1031</v>
      </c>
      <c r="BL162" s="320"/>
      <c r="BM162" s="320">
        <v>222229</v>
      </c>
      <c r="BN162" s="321">
        <v>1318</v>
      </c>
    </row>
    <row r="163" spans="1:66" ht="14.7" customHeight="1" x14ac:dyDescent="0.25">
      <c r="A163" s="126">
        <f>VLOOKUP(C163,ASTBase!E:S,13,FALSE)</f>
        <v>222235</v>
      </c>
      <c r="B163" s="126" t="s">
        <v>415</v>
      </c>
      <c r="C163" s="232" t="s">
        <v>404</v>
      </c>
      <c r="D163" s="127">
        <v>28000</v>
      </c>
      <c r="E163" s="127">
        <v>15500</v>
      </c>
      <c r="F163" s="127">
        <v>20000</v>
      </c>
      <c r="G163" s="127">
        <v>26500</v>
      </c>
      <c r="H163" s="127">
        <v>18700</v>
      </c>
      <c r="I163" s="127">
        <v>27200</v>
      </c>
      <c r="J163" s="127">
        <v>24000</v>
      </c>
      <c r="K163" s="127">
        <v>24500</v>
      </c>
      <c r="L163" s="127">
        <v>25500</v>
      </c>
      <c r="M163" s="127">
        <v>17100</v>
      </c>
      <c r="N163" s="127">
        <v>23000</v>
      </c>
      <c r="O163" s="127">
        <v>24600</v>
      </c>
      <c r="P163" s="126">
        <v>25498.799999999672</v>
      </c>
      <c r="AB163" s="317">
        <f>IFERROR(IF(VLOOKUP($B163,Shortage!$A:$M,AB$2,FALSE)="Shortage",1,IFERROR(ROUND(P163/D163,4),0)),IFERROR(ROUND(P163/D163,4),0))</f>
        <v>0.91069999999999995</v>
      </c>
      <c r="AC163" s="317">
        <f>IFERROR(IF(VLOOKUP($B163,Shortage!$A:$M,AC$2,FALSE)="Shortage",1,IFERROR(ROUND(Q163/E163,4),0)),IFERROR(ROUND(Q163/E163,4),0))</f>
        <v>0</v>
      </c>
      <c r="AD163" s="317">
        <f>IFERROR(IF(VLOOKUP($B163,Shortage!$A:$M,AD$2,FALSE)="Shortage",1,IFERROR(ROUND(R163/F163,4),0)),IFERROR(ROUND(R163/F163,4),0))</f>
        <v>0</v>
      </c>
      <c r="AE163" s="317">
        <f>IFERROR(IF(VLOOKUP($B163,Shortage!$A:$M,AE$2,FALSE)="Shortage",1,IFERROR(ROUND(S163/G163,4),0)),IFERROR(ROUND(S163/G163,4),0))</f>
        <v>0</v>
      </c>
      <c r="AF163" s="317">
        <f>IFERROR(IF(VLOOKUP($B163,Shortage!$A:$M,AF$2,FALSE)="Shortage",1,IFERROR(ROUND(T163/H163,4),0)),IFERROR(ROUND(T163/H163,4),0))</f>
        <v>0</v>
      </c>
      <c r="AG163" s="317">
        <f>IFERROR(IF(VLOOKUP($B163,Shortage!$A:$M,AG$2,FALSE)="Shortage",1,IFERROR(ROUND(U163/I163,4),0)),IFERROR(ROUND(U163/I163,4),0))</f>
        <v>0</v>
      </c>
      <c r="AH163" s="317">
        <f>IFERROR(IF(VLOOKUP($B163,Shortage!$A:$M,AH$2,FALSE)="Shortage",1,IFERROR(ROUND(V163/J163,4),0)),IFERROR(ROUND(V163/J163,4),0))</f>
        <v>0</v>
      </c>
      <c r="AI163" s="317">
        <f>IFERROR(IF(VLOOKUP($B163,Shortage!$A:$M,AI$2,FALSE)="Shortage",1,IFERROR(ROUND(W163/K163,4),0)),IFERROR(ROUND(W163/K163,4),0))</f>
        <v>0</v>
      </c>
      <c r="AJ163" s="317">
        <f>IFERROR(IF(VLOOKUP($B163,Shortage!$A:$M,AJ$2,FALSE)="Shortage",1,IFERROR(ROUND(X163/L163,4),0)),IFERROR(ROUND(X163/L163,4),0))</f>
        <v>0</v>
      </c>
      <c r="AK163" s="317">
        <f>IFERROR(IF(VLOOKUP($B163,Shortage!$A:$M,AK$2,FALSE)="Shortage",1,IFERROR(ROUND(Y163/M163,4),0)),IFERROR(ROUND(Y163/M163,4),0))</f>
        <v>0</v>
      </c>
      <c r="AL163" s="317">
        <f>IFERROR(IF(VLOOKUP($B163,Shortage!$A:$M,AL$2,FALSE)="Shortage",1,IFERROR(ROUND(Z163/N163,4),0)),IFERROR(ROUND(Z163/N163,4),0))</f>
        <v>0</v>
      </c>
      <c r="AM163" s="317">
        <f>IFERROR(IF(VLOOKUP($B163,Shortage!$A:$M,AM$2,FALSE)="Shortage",1,IFERROR(ROUND(AA163/O163,4),0)),IFERROR(ROUND(AA163/O163,4),0))</f>
        <v>0</v>
      </c>
      <c r="AN163" s="318">
        <f>IFERROR(_xlfn.XLOOKUP(AB163,'2) หลักการคำนวน Table'!$C$3:$K$3,'2) หลักการคำนวน Table'!$C$3:$K$3,,1),INDEX('2) หลักการคำนวน Table'!$C$3:$K$3,1))</f>
        <v>0.95</v>
      </c>
      <c r="AO163" s="318">
        <f>IFERROR(
  _xlfn.XLOOKUP(AC163,'2) หลักการคำนวน Table'!$C$3:$K$3,'2) หลักการคำนวน Table'!$C$3:$K$3,,1),
  IF(AC163&lt;MIN('2) หลักการคำนวน Table'!$C$3:$K$3),
     MIN('2) หลักการคำนวน Table'!$C$3:$K$3),
     MAX('2) หลักการคำนวน Table'!$C$3:$K$3)
  )
)</f>
        <v>0.9</v>
      </c>
      <c r="AP163" s="318">
        <f>IFERROR(
  _xlfn.XLOOKUP(AD163,'2) หลักการคำนวน Table'!$C$3:$K$3,'2) หลักการคำนวน Table'!$C$3:$K$3,,1),
  IF(AD163&lt;MIN('2) หลักการคำนวน Table'!$C$3:$K$3),
     MIN('2) หลักการคำนวน Table'!$C$3:$K$3),
     MAX('2) หลักการคำนวน Table'!$C$3:$K$3)
  )
)</f>
        <v>0.9</v>
      </c>
      <c r="AQ163" s="318">
        <f>IFERROR(
  _xlfn.XLOOKUP(AE163,'2) หลักการคำนวน Table'!$C$3:$K$3,'2) หลักการคำนวน Table'!$C$3:$K$3,,1),
  IF(AE163&lt;MIN('2) หลักการคำนวน Table'!$C$3:$K$3),
     MIN('2) หลักการคำนวน Table'!$C$3:$K$3),
     MAX('2) หลักการคำนวน Table'!$C$3:$K$3)
  )
)</f>
        <v>0.9</v>
      </c>
      <c r="AR163" s="318">
        <f>IFERROR(
  _xlfn.XLOOKUP(AF163,'2) หลักการคำนวน Table'!$C$3:$K$3,'2) หลักการคำนวน Table'!$C$3:$K$3,,1),
  IF(AF163&lt;MIN('2) หลักการคำนวน Table'!$C$3:$K$3),
     MIN('2) หลักการคำนวน Table'!$C$3:$K$3),
     MAX('2) หลักการคำนวน Table'!$C$3:$K$3)
  )
)</f>
        <v>0.9</v>
      </c>
      <c r="AS163" s="318">
        <f>IFERROR(
  _xlfn.XLOOKUP(AG163,'2) หลักการคำนวน Table'!$C$3:$K$3,'2) หลักการคำนวน Table'!$C$3:$K$3,,1),
  IF(AG163&lt;MIN('2) หลักการคำนวน Table'!$C$3:$K$3),
     MIN('2) หลักการคำนวน Table'!$C$3:$K$3),
     MAX('2) หลักการคำนวน Table'!$C$3:$K$3)
  )
)</f>
        <v>0.9</v>
      </c>
      <c r="AT163" s="318">
        <f>IFERROR(
  _xlfn.XLOOKUP(AH163,'2) หลักการคำนวน Table'!$C$3:$K$3,'2) หลักการคำนวน Table'!$C$3:$K$3,,1),
  IF(AH163&lt;MIN('2) หลักการคำนวน Table'!$C$3:$K$3),
     MIN('2) หลักการคำนวน Table'!$C$3:$K$3),
     MAX('2) หลักการคำนวน Table'!$C$3:$K$3)
  )
)</f>
        <v>0.9</v>
      </c>
      <c r="AU163" s="318">
        <f>IFERROR(
  _xlfn.XLOOKUP(AI163,'2) หลักการคำนวน Table'!$C$3:$K$3,'2) หลักการคำนวน Table'!$C$3:$K$3,,1),
  IF(AI163&lt;MIN('2) หลักการคำนวน Table'!$C$3:$K$3),
     MIN('2) หลักการคำนวน Table'!$C$3:$K$3),
     MAX('2) หลักการคำนวน Table'!$C$3:$K$3)
  )
)</f>
        <v>0.9</v>
      </c>
      <c r="AV163" s="318">
        <f>IFERROR(
  _xlfn.XLOOKUP(AJ163,'2) หลักการคำนวน Table'!$C$3:$K$3,'2) หลักการคำนวน Table'!$C$3:$K$3,,1),
  IF(AJ163&lt;MIN('2) หลักการคำนวน Table'!$C$3:$K$3),
     MIN('2) หลักการคำนวน Table'!$C$3:$K$3),
     MAX('2) หลักการคำนวน Table'!$C$3:$K$3)
  )
)</f>
        <v>0.9</v>
      </c>
      <c r="AW163" s="318">
        <f>IFERROR(
  _xlfn.XLOOKUP(AK163,'2) หลักการคำนวน Table'!$C$3:$K$3,'2) หลักการคำนวน Table'!$C$3:$K$3,,1),
  IF(AK163&lt;MIN('2) หลักการคำนวน Table'!$C$3:$K$3),
     MIN('2) หลักการคำนวน Table'!$C$3:$K$3),
     MAX('2) หลักการคำนวน Table'!$C$3:$K$3)
  )
)</f>
        <v>0.9</v>
      </c>
      <c r="AX163" s="318">
        <f>IFERROR(
  _xlfn.XLOOKUP(AL163,'2) หลักการคำนวน Table'!$C$3:$K$3,'2) หลักการคำนวน Table'!$C$3:$K$3,,1),
  IF(AL163&lt;MIN('2) หลักการคำนวน Table'!$C$3:$K$3),
     MIN('2) หลักการคำนวน Table'!$C$3:$K$3),
     MAX('2) หลักการคำนวน Table'!$C$3:$K$3)
  )
)</f>
        <v>0.9</v>
      </c>
      <c r="AY163" s="318">
        <f>IFERROR(
  _xlfn.XLOOKUP(AM163,'2) หลักการคำนวน Table'!$C$3:$K$3,'2) หลักการคำนวน Table'!$C$3:$K$3,,1),
  IF(AM163&lt;MIN('2) หลักการคำนวน Table'!$C$3:$K$3),
     MIN('2) หลักการคำนวน Table'!$C$3:$K$3),
     MAX('2) หลักการคำนวน Table'!$C$3:$K$3)
  )
)</f>
        <v>0.9</v>
      </c>
      <c r="AZ163" s="319" cm="1">
        <f t="array" ref="AZ163">ROUND((_xlfn.XLOOKUP($C163,'2) หลักการคำนวน Table'!$A$4:$A$36,
_xlfn.XLOOKUP(AN163,'2)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871</v>
      </c>
      <c r="BA163" s="319" cm="1">
        <f t="array" ref="BA163">ROUND((_xlfn.XLOOKUP($C163,'2) หลักการคำนวน Table'!$A$4:$A$36,
_xlfn.XLOOKUP(AO163,'2)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825</v>
      </c>
      <c r="BB163" s="319" cm="1">
        <f t="array" ref="BB163">ROUND((_xlfn.XLOOKUP($C163,'2) หลักการคำนวน Table'!$A$4:$A$36,
_xlfn.XLOOKUP(AP163,'2)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825</v>
      </c>
      <c r="BC163" s="319" cm="1">
        <f t="array" ref="BC163">ROUND((_xlfn.XLOOKUP($C163,'2) หลักการคำนวน Table'!$A$4:$A$36,
_xlfn.XLOOKUP(AQ163,'2)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825</v>
      </c>
      <c r="BD163" s="319" cm="1">
        <f t="array" ref="BD163">ROUND((_xlfn.XLOOKUP($C163,'2) หลักการคำนวน Table'!$A$4:$A$36,
_xlfn.XLOOKUP(AR163,'2)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825</v>
      </c>
      <c r="BE163" s="319" cm="1">
        <f t="array" ref="BE163">ROUND((_xlfn.XLOOKUP($C163,'2) หลักการคำนวน Table'!$A$4:$A$36,
_xlfn.XLOOKUP(AS163,'2)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825</v>
      </c>
      <c r="BF163" s="319" cm="1">
        <f t="array" ref="BF163">ROUND((_xlfn.XLOOKUP($C163,'2) หลักการคำนวน Table'!$A$4:$A$36,
_xlfn.XLOOKUP(AT163,'2)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825</v>
      </c>
      <c r="BG163" s="319" cm="1">
        <f t="array" ref="BG163">ROUND((_xlfn.XLOOKUP($C163,'2) หลักการคำนวน Table'!$A$4:$A$36,
_xlfn.XLOOKUP(AU163,'2)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825</v>
      </c>
      <c r="BH163" s="319" cm="1">
        <f t="array" ref="BH163">ROUND((_xlfn.XLOOKUP($C163,'2) หลักการคำนวน Table'!$A$4:$A$36,
_xlfn.XLOOKUP(AV163,'2)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825</v>
      </c>
      <c r="BI163" s="319" cm="1">
        <f t="array" ref="BI163">ROUND((_xlfn.XLOOKUP($C163,'2) หลักการคำนวน Table'!$A$4:$A$36,
_xlfn.XLOOKUP(AW163,'2)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825</v>
      </c>
      <c r="BJ163" s="319" cm="1">
        <f t="array" ref="BJ163">ROUND((_xlfn.XLOOKUP($C163,'2) หลักการคำนวน Table'!$A$4:$A$36,
_xlfn.XLOOKUP(AX163,'2)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825</v>
      </c>
      <c r="BK163" s="319" cm="1">
        <f t="array" ref="BK163">ROUND((_xlfn.XLOOKUP($C163,'2) หลักการคำนวน Table'!$A$4:$A$36,
_xlfn.XLOOKUP(AY163,'2) หลักการคำนวน Table'!$C$3:$K$3,'2) หลักการคำนวน Table'!$C$4:$K$36,,-1)))*(_xlfn.XLOOKUP($C163,'2) หลักการคำนวน Table'!$A$4:$A$36, _xlfn.XLOOKUP($B163,'2) หลักการคำนวน Table'!$L$3:$Z$3,'2) หลักการคำนวน Table'!$L$4:$Z$36))),0)</f>
        <v>825</v>
      </c>
      <c r="BL163" s="320"/>
      <c r="BM163" s="320">
        <v>222229</v>
      </c>
      <c r="BN163" s="321">
        <v>871</v>
      </c>
    </row>
    <row r="164" spans="1:66" ht="14.7" customHeight="1" x14ac:dyDescent="0.25">
      <c r="A164" s="126">
        <f>VLOOKUP(C164,ASTBase!E:S,13,FALSE)</f>
        <v>222235</v>
      </c>
      <c r="B164" s="126" t="s">
        <v>412</v>
      </c>
      <c r="C164" s="232" t="s">
        <v>404</v>
      </c>
      <c r="D164" s="127">
        <v>475000</v>
      </c>
      <c r="E164" s="127">
        <v>355000</v>
      </c>
      <c r="F164" s="127">
        <v>440000</v>
      </c>
      <c r="G164" s="127">
        <v>410000</v>
      </c>
      <c r="H164" s="127">
        <v>481300</v>
      </c>
      <c r="I164" s="127">
        <v>460700</v>
      </c>
      <c r="J164" s="127">
        <v>369000</v>
      </c>
      <c r="K164" s="127">
        <v>444000</v>
      </c>
      <c r="L164" s="127">
        <v>480000</v>
      </c>
      <c r="M164" s="127">
        <v>420000</v>
      </c>
      <c r="N164" s="127">
        <v>420000</v>
      </c>
      <c r="O164" s="127">
        <v>395000</v>
      </c>
      <c r="P164" s="126">
        <v>354380.99999476352</v>
      </c>
      <c r="AB164" s="317">
        <f>IFERROR(IF(VLOOKUP($B164,Shortage!$A:$M,AB$2,FALSE)="Shortage",1,IFERROR(ROUND(P164/D164,4),0)),IFERROR(ROUND(P164/D164,4),0))</f>
        <v>1</v>
      </c>
      <c r="AC164" s="317">
        <f>IFERROR(IF(VLOOKUP($B164,Shortage!$A:$M,AC$2,FALSE)="Shortage",1,IFERROR(ROUND(Q164/E164,4),0)),IFERROR(ROUND(Q164/E164,4),0))</f>
        <v>0</v>
      </c>
      <c r="AD164" s="317">
        <f>IFERROR(IF(VLOOKUP($B164,Shortage!$A:$M,AD$2,FALSE)="Shortage",1,IFERROR(ROUND(R164/F164,4),0)),IFERROR(ROUND(R164/F164,4),0))</f>
        <v>0</v>
      </c>
      <c r="AE164" s="317">
        <f>IFERROR(IF(VLOOKUP($B164,Shortage!$A:$M,AE$2,FALSE)="Shortage",1,IFERROR(ROUND(S164/G164,4),0)),IFERROR(ROUND(S164/G164,4),0))</f>
        <v>0</v>
      </c>
      <c r="AF164" s="317">
        <f>IFERROR(IF(VLOOKUP($B164,Shortage!$A:$M,AF$2,FALSE)="Shortage",1,IFERROR(ROUND(T164/H164,4),0)),IFERROR(ROUND(T164/H164,4),0))</f>
        <v>0</v>
      </c>
      <c r="AG164" s="317">
        <f>IFERROR(IF(VLOOKUP($B164,Shortage!$A:$M,AG$2,FALSE)="Shortage",1,IFERROR(ROUND(U164/I164,4),0)),IFERROR(ROUND(U164/I164,4),0))</f>
        <v>0</v>
      </c>
      <c r="AH164" s="317">
        <f>IFERROR(IF(VLOOKUP($B164,Shortage!$A:$M,AH$2,FALSE)="Shortage",1,IFERROR(ROUND(V164/J164,4),0)),IFERROR(ROUND(V164/J164,4),0))</f>
        <v>0</v>
      </c>
      <c r="AI164" s="317">
        <f>IFERROR(IF(VLOOKUP($B164,Shortage!$A:$M,AI$2,FALSE)="Shortage",1,IFERROR(ROUND(W164/K164,4),0)),IFERROR(ROUND(W164/K164,4),0))</f>
        <v>0</v>
      </c>
      <c r="AJ164" s="317">
        <f>IFERROR(IF(VLOOKUP($B164,Shortage!$A:$M,AJ$2,FALSE)="Shortage",1,IFERROR(ROUND(X164/L164,4),0)),IFERROR(ROUND(X164/L164,4),0))</f>
        <v>0</v>
      </c>
      <c r="AK164" s="317">
        <f>IFERROR(IF(VLOOKUP($B164,Shortage!$A:$M,AK$2,FALSE)="Shortage",1,IFERROR(ROUND(Y164/M164,4),0)),IFERROR(ROUND(Y164/M164,4),0))</f>
        <v>0</v>
      </c>
      <c r="AL164" s="317">
        <f>IFERROR(IF(VLOOKUP($B164,Shortage!$A:$M,AL$2,FALSE)="Shortage",1,IFERROR(ROUND(Z164/N164,4),0)),IFERROR(ROUND(Z164/N164,4),0))</f>
        <v>0</v>
      </c>
      <c r="AM164" s="317">
        <f>IFERROR(IF(VLOOKUP($B164,Shortage!$A:$M,AM$2,FALSE)="Shortage",1,IFERROR(ROUND(AA164/O164,4),0)),IFERROR(ROUND(AA164/O164,4),0))</f>
        <v>0</v>
      </c>
      <c r="AN164" s="318">
        <f>IFERROR(_xlfn.XLOOKUP(AB164,'2) หลักการคำนวน Table'!$C$3:$K$3,'2) หลักการคำนวน Table'!$C$3:$K$3,,1),INDEX('2) หลักการคำนวน Table'!$C$3:$K$3,1))</f>
        <v>1</v>
      </c>
      <c r="AO164" s="318">
        <f>IFERROR(
  _xlfn.XLOOKUP(AC164,'2) หลักการคำนวน Table'!$C$3:$K$3,'2) หลักการคำนวน Table'!$C$3:$K$3,,1),
  IF(AC164&lt;MIN('2) หลักการคำนวน Table'!$C$3:$K$3),
     MIN('2) หลักการคำนวน Table'!$C$3:$K$3),
     MAX('2) หลักการคำนวน Table'!$C$3:$K$3)
  )
)</f>
        <v>0.9</v>
      </c>
      <c r="AP164" s="318">
        <f>IFERROR(
  _xlfn.XLOOKUP(AD164,'2) หลักการคำนวน Table'!$C$3:$K$3,'2) หลักการคำนวน Table'!$C$3:$K$3,,1),
  IF(AD164&lt;MIN('2) หลักการคำนวน Table'!$C$3:$K$3),
     MIN('2) หลักการคำนวน Table'!$C$3:$K$3),
     MAX('2) หลักการคำนวน Table'!$C$3:$K$3)
  )
)</f>
        <v>0.9</v>
      </c>
      <c r="AQ164" s="318">
        <f>IFERROR(
  _xlfn.XLOOKUP(AE164,'2) หลักการคำนวน Table'!$C$3:$K$3,'2) หลักการคำนวน Table'!$C$3:$K$3,,1),
  IF(AE164&lt;MIN('2) หลักการคำนวน Table'!$C$3:$K$3),
     MIN('2) หลักการคำนวน Table'!$C$3:$K$3),
     MAX('2) หลักการคำนวน Table'!$C$3:$K$3)
  )
)</f>
        <v>0.9</v>
      </c>
      <c r="AR164" s="318">
        <f>IFERROR(
  _xlfn.XLOOKUP(AF164,'2) หลักการคำนวน Table'!$C$3:$K$3,'2) หลักการคำนวน Table'!$C$3:$K$3,,1),
  IF(AF164&lt;MIN('2) หลักการคำนวน Table'!$C$3:$K$3),
     MIN('2) หลักการคำนวน Table'!$C$3:$K$3),
     MAX('2) หลักการคำนวน Table'!$C$3:$K$3)
  )
)</f>
        <v>0.9</v>
      </c>
      <c r="AS164" s="318">
        <f>IFERROR(
  _xlfn.XLOOKUP(AG164,'2) หลักการคำนวน Table'!$C$3:$K$3,'2) หลักการคำนวน Table'!$C$3:$K$3,,1),
  IF(AG164&lt;MIN('2) หลักการคำนวน Table'!$C$3:$K$3),
     MIN('2) หลักการคำนวน Table'!$C$3:$K$3),
     MAX('2) หลักการคำนวน Table'!$C$3:$K$3)
  )
)</f>
        <v>0.9</v>
      </c>
      <c r="AT164" s="318">
        <f>IFERROR(
  _xlfn.XLOOKUP(AH164,'2) หลักการคำนวน Table'!$C$3:$K$3,'2) หลักการคำนวน Table'!$C$3:$K$3,,1),
  IF(AH164&lt;MIN('2) หลักการคำนวน Table'!$C$3:$K$3),
     MIN('2) หลักการคำนวน Table'!$C$3:$K$3),
     MAX('2) หลักการคำนวน Table'!$C$3:$K$3)
  )
)</f>
        <v>0.9</v>
      </c>
      <c r="AU164" s="318">
        <f>IFERROR(
  _xlfn.XLOOKUP(AI164,'2) หลักการคำนวน Table'!$C$3:$K$3,'2) หลักการคำนวน Table'!$C$3:$K$3,,1),
  IF(AI164&lt;MIN('2) หลักการคำนวน Table'!$C$3:$K$3),
     MIN('2) หลักการคำนวน Table'!$C$3:$K$3),
     MAX('2) หลักการคำนวน Table'!$C$3:$K$3)
  )
)</f>
        <v>0.9</v>
      </c>
      <c r="AV164" s="318">
        <f>IFERROR(
  _xlfn.XLOOKUP(AJ164,'2) หลักการคำนวน Table'!$C$3:$K$3,'2) หลักการคำนวน Table'!$C$3:$K$3,,1),
  IF(AJ164&lt;MIN('2) หลักการคำนวน Table'!$C$3:$K$3),
     MIN('2) หลักการคำนวน Table'!$C$3:$K$3),
     MAX('2) หลักการคำนวน Table'!$C$3:$K$3)
  )
)</f>
        <v>0.9</v>
      </c>
      <c r="AW164" s="318">
        <f>IFERROR(
  _xlfn.XLOOKUP(AK164,'2) หลักการคำนวน Table'!$C$3:$K$3,'2) หลักการคำนวน Table'!$C$3:$K$3,,1),
  IF(AK164&lt;MIN('2) หลักการคำนวน Table'!$C$3:$K$3),
     MIN('2) หลักการคำนวน Table'!$C$3:$K$3),
     MAX('2) หลักการคำนวน Table'!$C$3:$K$3)
  )
)</f>
        <v>0.9</v>
      </c>
      <c r="AX164" s="318">
        <f>IFERROR(
  _xlfn.XLOOKUP(AL164,'2) หลักการคำนวน Table'!$C$3:$K$3,'2) หลักการคำนวน Table'!$C$3:$K$3,,1),
  IF(AL164&lt;MIN('2) หลักการคำนวน Table'!$C$3:$K$3),
     MIN('2) หลักการคำนวน Table'!$C$3:$K$3),
     MAX('2) หลักการคำนวน Table'!$C$3:$K$3)
  )
)</f>
        <v>0.9</v>
      </c>
      <c r="AY164" s="318">
        <f>IFERROR(
  _xlfn.XLOOKUP(AM164,'2) หลักการคำนวน Table'!$C$3:$K$3,'2) หลักการคำนวน Table'!$C$3:$K$3,,1),
  IF(AM164&lt;MIN('2) หลักการคำนวน Table'!$C$3:$K$3),
     MIN('2) หลักการคำนวน Table'!$C$3:$K$3),
     MAX('2) หลักการคำนวน Table'!$C$3:$K$3)
  )
)</f>
        <v>0.9</v>
      </c>
      <c r="AZ164" s="319" cm="1">
        <f t="array" ref="AZ164">ROUND((_xlfn.XLOOKUP($C164,'2) หลักการคำนวน Table'!$A$4:$A$36,
_xlfn.XLOOKUP(AN164,'2)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2750</v>
      </c>
      <c r="BA164" s="319" cm="1">
        <f t="array" ref="BA164">ROUND((_xlfn.XLOOKUP($C164,'2) หลักการคำนวน Table'!$A$4:$A$36,
_xlfn.XLOOKUP(AO164,'2)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2475</v>
      </c>
      <c r="BB164" s="319" cm="1">
        <f t="array" ref="BB164">ROUND((_xlfn.XLOOKUP($C164,'2) หลักการคำนวน Table'!$A$4:$A$36,
_xlfn.XLOOKUP(AP164,'2)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2475</v>
      </c>
      <c r="BC164" s="319" cm="1">
        <f t="array" ref="BC164">ROUND((_xlfn.XLOOKUP($C164,'2) หลักการคำนวน Table'!$A$4:$A$36,
_xlfn.XLOOKUP(AQ164,'2)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2475</v>
      </c>
      <c r="BD164" s="319" cm="1">
        <f t="array" ref="BD164">ROUND((_xlfn.XLOOKUP($C164,'2) หลักการคำนวน Table'!$A$4:$A$36,
_xlfn.XLOOKUP(AR164,'2)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2475</v>
      </c>
      <c r="BE164" s="319" cm="1">
        <f t="array" ref="BE164">ROUND((_xlfn.XLOOKUP($C164,'2) หลักการคำนวน Table'!$A$4:$A$36,
_xlfn.XLOOKUP(AS164,'2)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2475</v>
      </c>
      <c r="BF164" s="319" cm="1">
        <f t="array" ref="BF164">ROUND((_xlfn.XLOOKUP($C164,'2) หลักการคำนวน Table'!$A$4:$A$36,
_xlfn.XLOOKUP(AT164,'2)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2475</v>
      </c>
      <c r="BG164" s="319" cm="1">
        <f t="array" ref="BG164">ROUND((_xlfn.XLOOKUP($C164,'2) หลักการคำนวน Table'!$A$4:$A$36,
_xlfn.XLOOKUP(AU164,'2)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2475</v>
      </c>
      <c r="BH164" s="319" cm="1">
        <f t="array" ref="BH164">ROUND((_xlfn.XLOOKUP($C164,'2) หลักการคำนวน Table'!$A$4:$A$36,
_xlfn.XLOOKUP(AV164,'2)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2475</v>
      </c>
      <c r="BI164" s="319" cm="1">
        <f t="array" ref="BI164">ROUND((_xlfn.XLOOKUP($C164,'2) หลักการคำนวน Table'!$A$4:$A$36,
_xlfn.XLOOKUP(AW164,'2)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2475</v>
      </c>
      <c r="BJ164" s="319" cm="1">
        <f t="array" ref="BJ164">ROUND((_xlfn.XLOOKUP($C164,'2) หลักการคำนวน Table'!$A$4:$A$36,
_xlfn.XLOOKUP(AX164,'2)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2475</v>
      </c>
      <c r="BK164" s="319" cm="1">
        <f t="array" ref="BK164">ROUND((_xlfn.XLOOKUP($C164,'2) หลักการคำนวน Table'!$A$4:$A$36,
_xlfn.XLOOKUP(AY164,'2) หลักการคำนวน Table'!$C$3:$K$3,'2) หลักการคำนวน Table'!$C$4:$K$36,,-1)))*(_xlfn.XLOOKUP($C164,'2) หลักการคำนวน Table'!$A$4:$A$36, _xlfn.XLOOKUP($B164,'2) หลักการคำนวน Table'!$L$3:$Z$3,'2) หลักการคำนวน Table'!$L$4:$Z$36))),0)</f>
        <v>2475</v>
      </c>
      <c r="BL164" s="320"/>
      <c r="BM164" s="320">
        <v>222229</v>
      </c>
      <c r="BN164" s="321">
        <v>2750</v>
      </c>
    </row>
    <row r="165" spans="1:66" ht="14.7" customHeight="1" x14ac:dyDescent="0.25">
      <c r="C165" s="232"/>
      <c r="AJ165" s="132"/>
      <c r="AK165" s="132"/>
      <c r="AL165" s="132"/>
      <c r="AM165" s="132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</row>
  </sheetData>
  <autoFilter ref="A3:BN164" xr:uid="{A1CD279D-F71F-423D-AE12-843149B1119C}"/>
  <mergeCells count="5">
    <mergeCell ref="D1:O1"/>
    <mergeCell ref="P1:AA1"/>
    <mergeCell ref="AB1:AM1"/>
    <mergeCell ref="AZ1:BK1"/>
    <mergeCell ref="AN1:AY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C588-8359-4084-87ED-2B91FAFC500A}">
  <sheetPr>
    <tabColor rgb="FF00B050"/>
  </sheetPr>
  <dimension ref="A1:BN151"/>
  <sheetViews>
    <sheetView zoomScaleNormal="100" workbookViewId="0">
      <pane xSplit="3" ySplit="3" topLeftCell="AB4" activePane="bottomRight" state="frozen"/>
      <selection pane="topRight" activeCell="AH12" sqref="AH12"/>
      <selection pane="bottomLeft" activeCell="AH12" sqref="AH12"/>
      <selection pane="bottomRight" activeCell="BN1" sqref="BN1:BN1048576"/>
    </sheetView>
  </sheetViews>
  <sheetFormatPr defaultColWidth="6.8984375" defaultRowHeight="13.2" customHeight="1" x14ac:dyDescent="0.25"/>
  <cols>
    <col min="1" max="1" width="13.5" style="128" bestFit="1" customWidth="1"/>
    <col min="2" max="2" width="17.3984375" style="126" customWidth="1"/>
    <col min="3" max="3" width="13.3984375" style="128" customWidth="1"/>
    <col min="4" max="4" width="9.3984375" style="127" customWidth="1"/>
    <col min="5" max="5" width="9.59765625" style="127" customWidth="1"/>
    <col min="6" max="6" width="9.5" style="127" customWidth="1"/>
    <col min="7" max="7" width="10.69921875" style="127" bestFit="1" customWidth="1"/>
    <col min="8" max="9" width="9.59765625" style="127" customWidth="1"/>
    <col min="10" max="10" width="9.3984375" style="127" customWidth="1"/>
    <col min="11" max="11" width="9.59765625" style="127" customWidth="1"/>
    <col min="12" max="12" width="10.3984375" style="127" bestFit="1" customWidth="1"/>
    <col min="13" max="13" width="10.19921875" style="127" bestFit="1" customWidth="1"/>
    <col min="14" max="15" width="10.3984375" style="127" bestFit="1" customWidth="1"/>
    <col min="16" max="16" width="10.5" style="126" bestFit="1" customWidth="1"/>
    <col min="17" max="17" width="10.59765625" style="126" bestFit="1" customWidth="1"/>
    <col min="18" max="18" width="10.3984375" style="126" bestFit="1" customWidth="1"/>
    <col min="19" max="19" width="10" style="126" bestFit="1" customWidth="1"/>
    <col min="20" max="20" width="10.69921875" style="126" bestFit="1" customWidth="1"/>
    <col min="21" max="21" width="10.5" style="126" bestFit="1" customWidth="1"/>
    <col min="22" max="22" width="10.3984375" style="126" bestFit="1" customWidth="1"/>
    <col min="23" max="23" width="10.59765625" style="126" bestFit="1" customWidth="1"/>
    <col min="24" max="24" width="10.5" style="126" bestFit="1" customWidth="1"/>
    <col min="25" max="26" width="10.3984375" style="126" bestFit="1" customWidth="1"/>
    <col min="27" max="27" width="10.5" style="126" customWidth="1"/>
    <col min="28" max="28" width="9.69921875" style="126" customWidth="1"/>
    <col min="29" max="59" width="6.8984375" style="126" customWidth="1"/>
    <col min="60" max="63" width="6.8984375" style="126"/>
    <col min="64" max="64" width="3.59765625" style="126" customWidth="1"/>
    <col min="65" max="65" width="6.8984375" style="126" bestFit="1" customWidth="1"/>
    <col min="66" max="66" width="7.69921875" style="126" bestFit="1" customWidth="1"/>
    <col min="67" max="16384" width="6.8984375" style="126"/>
  </cols>
  <sheetData>
    <row r="1" spans="1:66" ht="13.2" customHeight="1" x14ac:dyDescent="0.25">
      <c r="A1" s="143" t="s">
        <v>145</v>
      </c>
      <c r="D1" s="362" t="s">
        <v>146</v>
      </c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3" t="s">
        <v>91</v>
      </c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4" t="s">
        <v>147</v>
      </c>
      <c r="AC1" s="364"/>
      <c r="AD1" s="364"/>
      <c r="AE1" s="364"/>
      <c r="AF1" s="364"/>
      <c r="AG1" s="364"/>
      <c r="AH1" s="364"/>
      <c r="AI1" s="364"/>
      <c r="AJ1" s="364"/>
      <c r="AK1" s="364"/>
      <c r="AL1" s="364"/>
      <c r="AM1" s="364"/>
      <c r="AN1" s="366" t="s">
        <v>148</v>
      </c>
      <c r="AO1" s="366"/>
      <c r="AP1" s="366"/>
      <c r="AQ1" s="366"/>
      <c r="AR1" s="366"/>
      <c r="AS1" s="366"/>
      <c r="AT1" s="366"/>
      <c r="AU1" s="366"/>
      <c r="AV1" s="366"/>
      <c r="AW1" s="366"/>
      <c r="AX1" s="366"/>
      <c r="AY1" s="366"/>
      <c r="AZ1" s="365" t="s">
        <v>39</v>
      </c>
      <c r="BA1" s="365"/>
      <c r="BB1" s="365"/>
      <c r="BC1" s="365"/>
      <c r="BD1" s="365"/>
      <c r="BE1" s="365"/>
      <c r="BF1" s="365"/>
      <c r="BG1" s="365"/>
      <c r="BH1" s="365"/>
      <c r="BI1" s="365"/>
      <c r="BJ1" s="365"/>
      <c r="BK1" s="365"/>
      <c r="BL1" s="239"/>
      <c r="BM1" s="241"/>
      <c r="BN1" s="241"/>
    </row>
    <row r="2" spans="1:66" ht="13.2" customHeight="1" x14ac:dyDescent="0.25">
      <c r="A2" s="143"/>
      <c r="D2" s="199">
        <v>2</v>
      </c>
      <c r="E2" s="199">
        <v>3</v>
      </c>
      <c r="F2" s="199">
        <v>4</v>
      </c>
      <c r="G2" s="199">
        <v>5</v>
      </c>
      <c r="H2" s="199">
        <v>6</v>
      </c>
      <c r="I2" s="199">
        <v>7</v>
      </c>
      <c r="J2" s="199">
        <v>8</v>
      </c>
      <c r="K2" s="199">
        <v>9</v>
      </c>
      <c r="L2" s="199">
        <v>10</v>
      </c>
      <c r="M2" s="199">
        <v>11</v>
      </c>
      <c r="N2" s="199">
        <v>12</v>
      </c>
      <c r="O2" s="199">
        <v>13</v>
      </c>
      <c r="P2" s="203">
        <v>2</v>
      </c>
      <c r="Q2" s="203">
        <v>3</v>
      </c>
      <c r="R2" s="203">
        <v>4</v>
      </c>
      <c r="S2" s="203">
        <v>5</v>
      </c>
      <c r="T2" s="203">
        <v>6</v>
      </c>
      <c r="U2" s="203">
        <v>7</v>
      </c>
      <c r="V2" s="203">
        <v>8</v>
      </c>
      <c r="W2" s="203">
        <v>9</v>
      </c>
      <c r="X2" s="203">
        <v>10</v>
      </c>
      <c r="Y2" s="203">
        <v>11</v>
      </c>
      <c r="Z2" s="203">
        <v>12</v>
      </c>
      <c r="AA2" s="203">
        <v>13</v>
      </c>
      <c r="AB2" s="202">
        <v>2</v>
      </c>
      <c r="AC2" s="202">
        <v>3</v>
      </c>
      <c r="AD2" s="202">
        <v>4</v>
      </c>
      <c r="AE2" s="202">
        <v>5</v>
      </c>
      <c r="AF2" s="202">
        <v>6</v>
      </c>
      <c r="AG2" s="202">
        <v>7</v>
      </c>
      <c r="AH2" s="202">
        <v>8</v>
      </c>
      <c r="AI2" s="202">
        <v>9</v>
      </c>
      <c r="AJ2" s="202">
        <v>10</v>
      </c>
      <c r="AK2" s="202">
        <v>11</v>
      </c>
      <c r="AL2" s="202">
        <v>12</v>
      </c>
      <c r="AM2" s="202">
        <v>13</v>
      </c>
      <c r="AN2" s="201">
        <v>2</v>
      </c>
      <c r="AO2" s="201">
        <v>3</v>
      </c>
      <c r="AP2" s="201">
        <v>4</v>
      </c>
      <c r="AQ2" s="201">
        <v>5</v>
      </c>
      <c r="AR2" s="201">
        <v>6</v>
      </c>
      <c r="AS2" s="201">
        <v>7</v>
      </c>
      <c r="AT2" s="201">
        <v>8</v>
      </c>
      <c r="AU2" s="201">
        <v>9</v>
      </c>
      <c r="AV2" s="201">
        <v>10</v>
      </c>
      <c r="AW2" s="201">
        <v>11</v>
      </c>
      <c r="AX2" s="201">
        <v>12</v>
      </c>
      <c r="AY2" s="201">
        <v>13</v>
      </c>
      <c r="AZ2" s="200">
        <v>2</v>
      </c>
      <c r="BA2" s="200">
        <v>3</v>
      </c>
      <c r="BB2" s="200">
        <v>4</v>
      </c>
      <c r="BC2" s="200">
        <v>5</v>
      </c>
      <c r="BD2" s="200">
        <v>6</v>
      </c>
      <c r="BE2" s="200">
        <v>7</v>
      </c>
      <c r="BF2" s="200">
        <v>8</v>
      </c>
      <c r="BG2" s="200">
        <v>9</v>
      </c>
      <c r="BH2" s="200">
        <v>10</v>
      </c>
      <c r="BI2" s="200">
        <v>11</v>
      </c>
      <c r="BJ2" s="200">
        <v>12</v>
      </c>
      <c r="BK2" s="200">
        <v>13</v>
      </c>
      <c r="BL2" s="239"/>
      <c r="BM2" s="241"/>
      <c r="BN2" s="241"/>
    </row>
    <row r="3" spans="1:66" s="128" customFormat="1" ht="13.2" customHeight="1" x14ac:dyDescent="0.25">
      <c r="A3" s="329" t="s">
        <v>137</v>
      </c>
      <c r="B3" s="329" t="s">
        <v>116</v>
      </c>
      <c r="C3" s="329" t="s">
        <v>144</v>
      </c>
      <c r="D3" s="129" t="s">
        <v>149</v>
      </c>
      <c r="E3" s="129" t="s">
        <v>150</v>
      </c>
      <c r="F3" s="129" t="s">
        <v>151</v>
      </c>
      <c r="G3" s="129" t="s">
        <v>152</v>
      </c>
      <c r="H3" s="129" t="s">
        <v>153</v>
      </c>
      <c r="I3" s="129" t="s">
        <v>154</v>
      </c>
      <c r="J3" s="129" t="s">
        <v>155</v>
      </c>
      <c r="K3" s="129" t="s">
        <v>156</v>
      </c>
      <c r="L3" s="129" t="s">
        <v>157</v>
      </c>
      <c r="M3" s="129" t="s">
        <v>158</v>
      </c>
      <c r="N3" s="129" t="s">
        <v>159</v>
      </c>
      <c r="O3" s="129" t="s">
        <v>160</v>
      </c>
      <c r="P3" s="130" t="s">
        <v>161</v>
      </c>
      <c r="Q3" s="130" t="s">
        <v>162</v>
      </c>
      <c r="R3" s="130" t="s">
        <v>163</v>
      </c>
      <c r="S3" s="130" t="s">
        <v>164</v>
      </c>
      <c r="T3" s="130" t="s">
        <v>165</v>
      </c>
      <c r="U3" s="130" t="s">
        <v>166</v>
      </c>
      <c r="V3" s="130" t="s">
        <v>167</v>
      </c>
      <c r="W3" s="130" t="s">
        <v>168</v>
      </c>
      <c r="X3" s="130" t="s">
        <v>169</v>
      </c>
      <c r="Y3" s="130" t="s">
        <v>170</v>
      </c>
      <c r="Z3" s="130" t="s">
        <v>171</v>
      </c>
      <c r="AA3" s="130" t="s">
        <v>172</v>
      </c>
      <c r="AB3" s="131" t="s">
        <v>173</v>
      </c>
      <c r="AC3" s="131" t="s">
        <v>174</v>
      </c>
      <c r="AD3" s="131" t="s">
        <v>175</v>
      </c>
      <c r="AE3" s="131" t="s">
        <v>176</v>
      </c>
      <c r="AF3" s="131" t="s">
        <v>177</v>
      </c>
      <c r="AG3" s="131" t="s">
        <v>178</v>
      </c>
      <c r="AH3" s="131" t="s">
        <v>179</v>
      </c>
      <c r="AI3" s="131" t="s">
        <v>180</v>
      </c>
      <c r="AJ3" s="131" t="s">
        <v>181</v>
      </c>
      <c r="AK3" s="131" t="s">
        <v>182</v>
      </c>
      <c r="AL3" s="131" t="s">
        <v>183</v>
      </c>
      <c r="AM3" s="131" t="s">
        <v>184</v>
      </c>
      <c r="AN3" s="185" t="s">
        <v>185</v>
      </c>
      <c r="AO3" s="185" t="s">
        <v>186</v>
      </c>
      <c r="AP3" s="185" t="s">
        <v>187</v>
      </c>
      <c r="AQ3" s="185" t="s">
        <v>188</v>
      </c>
      <c r="AR3" s="185" t="s">
        <v>189</v>
      </c>
      <c r="AS3" s="185" t="s">
        <v>190</v>
      </c>
      <c r="AT3" s="185" t="s">
        <v>191</v>
      </c>
      <c r="AU3" s="185" t="s">
        <v>192</v>
      </c>
      <c r="AV3" s="185" t="s">
        <v>193</v>
      </c>
      <c r="AW3" s="185" t="s">
        <v>194</v>
      </c>
      <c r="AX3" s="185" t="s">
        <v>195</v>
      </c>
      <c r="AY3" s="185" t="s">
        <v>196</v>
      </c>
      <c r="AZ3" s="134" t="s">
        <v>185</v>
      </c>
      <c r="BA3" s="134" t="s">
        <v>186</v>
      </c>
      <c r="BB3" s="134" t="s">
        <v>187</v>
      </c>
      <c r="BC3" s="134" t="s">
        <v>188</v>
      </c>
      <c r="BD3" s="134" t="s">
        <v>189</v>
      </c>
      <c r="BE3" s="134" t="s">
        <v>190</v>
      </c>
      <c r="BF3" s="134" t="s">
        <v>191</v>
      </c>
      <c r="BG3" s="134" t="s">
        <v>192</v>
      </c>
      <c r="BH3" s="134" t="s">
        <v>193</v>
      </c>
      <c r="BI3" s="134" t="s">
        <v>194</v>
      </c>
      <c r="BJ3" s="134" t="s">
        <v>195</v>
      </c>
      <c r="BK3" s="134" t="s">
        <v>196</v>
      </c>
      <c r="BL3" s="240"/>
      <c r="BM3" s="242" t="s">
        <v>197</v>
      </c>
      <c r="BN3" s="243" t="s">
        <v>39</v>
      </c>
    </row>
    <row r="4" spans="1:66" ht="13.2" customHeight="1" x14ac:dyDescent="0.25">
      <c r="A4" s="128">
        <f>VLOOKUP(C4,ASTBase!F:S,12,FALSE)</f>
        <v>222234</v>
      </c>
      <c r="B4" s="126" t="s">
        <v>405</v>
      </c>
      <c r="C4" s="128">
        <v>222208</v>
      </c>
      <c r="D4" s="127">
        <f>SUMIFS('3)Target &amp; Cal_Staff'!D$4:D$164,'3)Target &amp; Cal_Staff'!$B$4:$B$164,'3)Target &amp; Cal_Sect'!$B4,'3)Target &amp; Cal_Staff'!$A$4:$A$164,'3)Target &amp; Cal_Sect'!$C4)</f>
        <v>104658</v>
      </c>
      <c r="E4" s="127">
        <f>SUMIFS('3)Target &amp; Cal_Staff'!E$4:E$164,'3)Target &amp; Cal_Staff'!$B$4:$B$164,'3)Target &amp; Cal_Sect'!$B4,'3)Target &amp; Cal_Staff'!$A$4:$A$164,'3)Target &amp; Cal_Sect'!$C4)</f>
        <v>97060</v>
      </c>
      <c r="F4" s="127">
        <f>SUMIFS('3)Target &amp; Cal_Staff'!F$4:F$164,'3)Target &amp; Cal_Staff'!$B$4:$B$164,'3)Target &amp; Cal_Sect'!$B4,'3)Target &amp; Cal_Staff'!$A$4:$A$164,'3)Target &amp; Cal_Sect'!$C4)</f>
        <v>107594</v>
      </c>
      <c r="G4" s="127">
        <f>SUMIFS('3)Target &amp; Cal_Staff'!G$4:G$164,'3)Target &amp; Cal_Staff'!$B$4:$B$164,'3)Target &amp; Cal_Sect'!$B4,'3)Target &amp; Cal_Staff'!$A$4:$A$164,'3)Target &amp; Cal_Sect'!$C4)</f>
        <v>99290</v>
      </c>
      <c r="H4" s="127">
        <f>SUMIFS('3)Target &amp; Cal_Staff'!H$4:H$164,'3)Target &amp; Cal_Staff'!$B$4:$B$164,'3)Target &amp; Cal_Sect'!$B4,'3)Target &amp; Cal_Staff'!$A$4:$A$164,'3)Target &amp; Cal_Sect'!$C4)</f>
        <v>108279.75</v>
      </c>
      <c r="I4" s="127">
        <f>SUMIFS('3)Target &amp; Cal_Staff'!I$4:I$164,'3)Target &amp; Cal_Staff'!$B$4:$B$164,'3)Target &amp; Cal_Sect'!$B4,'3)Target &amp; Cal_Staff'!$A$4:$A$164,'3)Target &amp; Cal_Sect'!$C4)</f>
        <v>102399.5</v>
      </c>
      <c r="J4" s="127">
        <f>SUMIFS('3)Target &amp; Cal_Staff'!J$4:J$164,'3)Target &amp; Cal_Staff'!$B$4:$B$164,'3)Target &amp; Cal_Sect'!$B4,'3)Target &amp; Cal_Staff'!$A$4:$A$164,'3)Target &amp; Cal_Sect'!$C4)</f>
        <v>102089.5</v>
      </c>
      <c r="K4" s="127">
        <f>SUMIFS('3)Target &amp; Cal_Staff'!K$4:K$164,'3)Target &amp; Cal_Staff'!$B$4:$B$164,'3)Target &amp; Cal_Sect'!$B4,'3)Target &amp; Cal_Staff'!$A$4:$A$164,'3)Target &amp; Cal_Sect'!$C4)</f>
        <v>106169.5</v>
      </c>
      <c r="L4" s="127">
        <f>SUMIFS('3)Target &amp; Cal_Staff'!L$4:L$164,'3)Target &amp; Cal_Staff'!$B$4:$B$164,'3)Target &amp; Cal_Sect'!$B4,'3)Target &amp; Cal_Staff'!$A$4:$A$164,'3)Target &amp; Cal_Sect'!$C4)</f>
        <v>105690</v>
      </c>
      <c r="M4" s="127">
        <f>SUMIFS('3)Target &amp; Cal_Staff'!M$4:M$164,'3)Target &amp; Cal_Staff'!$B$4:$B$164,'3)Target &amp; Cal_Sect'!$B4,'3)Target &amp; Cal_Staff'!$A$4:$A$164,'3)Target &amp; Cal_Sect'!$C4)</f>
        <v>101000</v>
      </c>
      <c r="N4" s="127">
        <f>SUMIFS('3)Target &amp; Cal_Staff'!N$4:N$164,'3)Target &amp; Cal_Staff'!$B$4:$B$164,'3)Target &amp; Cal_Sect'!$B4,'3)Target &amp; Cal_Staff'!$A$4:$A$164,'3)Target &amp; Cal_Sect'!$C4)</f>
        <v>102310</v>
      </c>
      <c r="O4" s="127">
        <f>SUMIFS('3)Target &amp; Cal_Staff'!O$4:O$164,'3)Target &amp; Cal_Staff'!$B$4:$B$164,'3)Target &amp; Cal_Sect'!$B4,'3)Target &amp; Cal_Staff'!$A$4:$A$164,'3)Target &amp; Cal_Sect'!$C4)</f>
        <v>107000</v>
      </c>
      <c r="P4" s="127">
        <f>SUMIFS('3)Target &amp; Cal_Staff'!P$4:P$164,'3)Target &amp; Cal_Staff'!$B$4:$B$164,'3)Target &amp; Cal_Sect'!$B4,'3)Target &amp; Cal_Staff'!$A$4:$A$164,'3)Target &amp; Cal_Sect'!$C4)</f>
        <v>115719.4</v>
      </c>
      <c r="Q4" s="127">
        <f>SUMIFS('3)Target &amp; Cal_Staff'!Q$4:Q$164,'3)Target &amp; Cal_Staff'!$B$4:$B$164,'3)Target &amp; Cal_Sect'!$B4,'3)Target &amp; Cal_Staff'!$A$4:$A$164,'3)Target &amp; Cal_Sect'!$C4)</f>
        <v>0</v>
      </c>
      <c r="R4" s="127">
        <f>SUMIFS('3)Target &amp; Cal_Staff'!R$4:R$164,'3)Target &amp; Cal_Staff'!$B$4:$B$164,'3)Target &amp; Cal_Sect'!$B4,'3)Target &amp; Cal_Staff'!$A$4:$A$164,'3)Target &amp; Cal_Sect'!$C4)</f>
        <v>0</v>
      </c>
      <c r="S4" s="127">
        <f>SUMIFS('3)Target &amp; Cal_Staff'!S$4:S$164,'3)Target &amp; Cal_Staff'!$B$4:$B$164,'3)Target &amp; Cal_Sect'!$B4,'3)Target &amp; Cal_Staff'!$A$4:$A$164,'3)Target &amp; Cal_Sect'!$C4)</f>
        <v>0</v>
      </c>
      <c r="T4" s="127">
        <f>SUMIFS('3)Target &amp; Cal_Staff'!T$4:T$164,'3)Target &amp; Cal_Staff'!$B$4:$B$164,'3)Target &amp; Cal_Sect'!$B4,'3)Target &amp; Cal_Staff'!$A$4:$A$164,'3)Target &amp; Cal_Sect'!$C4)</f>
        <v>0</v>
      </c>
      <c r="U4" s="127">
        <f>SUMIFS('3)Target &amp; Cal_Staff'!U$4:U$164,'3)Target &amp; Cal_Staff'!$B$4:$B$164,'3)Target &amp; Cal_Sect'!$B4,'3)Target &amp; Cal_Staff'!$A$4:$A$164,'3)Target &amp; Cal_Sect'!$C4)</f>
        <v>0</v>
      </c>
      <c r="V4" s="127">
        <f>SUMIFS('3)Target &amp; Cal_Staff'!V$4:V$164,'3)Target &amp; Cal_Staff'!$B$4:$B$164,'3)Target &amp; Cal_Sect'!$B4,'3)Target &amp; Cal_Staff'!$A$4:$A$164,'3)Target &amp; Cal_Sect'!$C4)</f>
        <v>0</v>
      </c>
      <c r="W4" s="127">
        <f>SUMIFS('3)Target &amp; Cal_Staff'!W$4:W$164,'3)Target &amp; Cal_Staff'!$B$4:$B$164,'3)Target &amp; Cal_Sect'!$B4,'3)Target &amp; Cal_Staff'!$A$4:$A$164,'3)Target &amp; Cal_Sect'!$C4)</f>
        <v>0</v>
      </c>
      <c r="X4" s="127">
        <f>SUMIFS('3)Target &amp; Cal_Staff'!X$4:X$164,'3)Target &amp; Cal_Staff'!$B$4:$B$164,'3)Target &amp; Cal_Sect'!$B4,'3)Target &amp; Cal_Staff'!$A$4:$A$164,'3)Target &amp; Cal_Sect'!$C4)</f>
        <v>0</v>
      </c>
      <c r="Y4" s="127">
        <f>SUMIFS('3)Target &amp; Cal_Staff'!Y$4:Y$164,'3)Target &amp; Cal_Staff'!$B$4:$B$164,'3)Target &amp; Cal_Sect'!$B4,'3)Target &amp; Cal_Staff'!$A$4:$A$164,'3)Target &amp; Cal_Sect'!$C4)</f>
        <v>0</v>
      </c>
      <c r="Z4" s="127">
        <f>SUMIFS('3)Target &amp; Cal_Staff'!Z$4:Z$164,'3)Target &amp; Cal_Staff'!$B$4:$B$164,'3)Target &amp; Cal_Sect'!$B4,'3)Target &amp; Cal_Staff'!$A$4:$A$164,'3)Target &amp; Cal_Sect'!$C4)</f>
        <v>0</v>
      </c>
      <c r="AA4" s="127">
        <f>SUMIFS('3)Target &amp; Cal_Staff'!AA$4:AA$164,'3)Target &amp; Cal_Staff'!$B$4:$B$164,'3)Target &amp; Cal_Sect'!$B4,'3)Target &amp; Cal_Staff'!$A$4:$A$164,'3)Target &amp; Cal_Sect'!$C4)</f>
        <v>0</v>
      </c>
      <c r="AB4" s="132">
        <f>IFERROR(IF(VLOOKUP($B4,Shortage!$A:$M,AB$2,FALSE)="Shortage",1,IFERROR(ROUND(P4/D4,4),0)),IFERROR(ROUND(P4/D4,4),0))</f>
        <v>1</v>
      </c>
      <c r="AC4" s="132">
        <f>IFERROR(IF(VLOOKUP($B4,Shortage!$A:$M,AC$2,FALSE)="Shortage",1,IFERROR(ROUND(Q4/E4,4),0)),IFERROR(ROUND(Q4/E4,4),0))</f>
        <v>0</v>
      </c>
      <c r="AD4" s="132">
        <f>IFERROR(IF(VLOOKUP($B4,Shortage!$A:$M,AD$2,FALSE)="Shortage",1,IFERROR(ROUND(R4/F4,4),0)),IFERROR(ROUND(R4/F4,4),0))</f>
        <v>0</v>
      </c>
      <c r="AE4" s="132">
        <f>IFERROR(IF(VLOOKUP($B4,Shortage!$A:$M,AE$2,FALSE)="Shortage",1,IFERROR(ROUND(S4/G4,4),0)),IFERROR(ROUND(S4/G4,4),0))</f>
        <v>0</v>
      </c>
      <c r="AF4" s="132">
        <f>IFERROR(IF(VLOOKUP($B4,Shortage!$A:$M,AF$2,FALSE)="Shortage",1,IFERROR(ROUND(T4/H4,4),0)),IFERROR(ROUND(T4/H4,4),0))</f>
        <v>0</v>
      </c>
      <c r="AG4" s="132">
        <f>IFERROR(IF(VLOOKUP($B4,Shortage!$A:$M,AG$2,FALSE)="Shortage",1,IFERROR(ROUND(U4/I4,4),0)),IFERROR(ROUND(U4/I4,4),0))</f>
        <v>0</v>
      </c>
      <c r="AH4" s="132">
        <f>IFERROR(IF(VLOOKUP($B4,Shortage!$A:$M,AH$2,FALSE)="Shortage",1,IFERROR(ROUND(V4/J4,4),0)),IFERROR(ROUND(V4/J4,4),0))</f>
        <v>0</v>
      </c>
      <c r="AI4" s="132">
        <f>IFERROR(IF(VLOOKUP($B4,Shortage!$A:$M,AI$2,FALSE)="Shortage",1,IFERROR(ROUND(W4/K4,4),0)),IFERROR(ROUND(W4/K4,4),0))</f>
        <v>0</v>
      </c>
      <c r="AJ4" s="132">
        <f>IFERROR(IF(VLOOKUP($B4,Shortage!$A:$M,AJ$2,FALSE)="Shortage",1,IFERROR(ROUND(X4/L4,4),0)),IFERROR(ROUND(X4/L4,4),0))</f>
        <v>0</v>
      </c>
      <c r="AK4" s="132">
        <f>IFERROR(IF(VLOOKUP($B4,Shortage!$A:$M,AK$2,FALSE)="Shortage",1,IFERROR(ROUND(Y4/M4,4),0)),IFERROR(ROUND(Y4/M4,4),0))</f>
        <v>0</v>
      </c>
      <c r="AL4" s="132">
        <f>IFERROR(IF(VLOOKUP($B4,Shortage!$A:$M,AL$2,FALSE)="Shortage",1,IFERROR(ROUND(Z4/N4,4),0)),IFERROR(ROUND(Z4/N4,4),0))</f>
        <v>0</v>
      </c>
      <c r="AM4" s="132">
        <f>IFERROR(IF(VLOOKUP($B4,Shortage!$A:$M,AM$2,FALSE)="Shortage",1,IFERROR(ROUND(AA4/O4,4),0)),IFERROR(ROUND(AA4/O4,4),0))</f>
        <v>0</v>
      </c>
      <c r="AN4" s="186">
        <f>IFERROR(_xlfn.XLOOKUP(AB4,'2) หลักการคำนวน Table'!$C$3:$K$3,'2) หลักการคำนวน Table'!$C$3:$K$3,,1),INDEX('2) หลักการคำนวน Table'!$C$3:$K$3,1))</f>
        <v>1</v>
      </c>
      <c r="AO4" s="186">
        <f>IFERROR(
  _xlfn.XLOOKUP(AC4,'2) หลักการคำนวน Table'!$C$3:$K$3,'2) หลักการคำนวน Table'!$C$3:$K$3,,1),
  IF(AC4&lt;MIN('2) หลักการคำนวน Table'!$C$3:$K$3),
     MIN('2) หลักการคำนวน Table'!$C$3:$K$3),
     MAX('2) หลักการคำนวน Table'!$C$3:$K$3)
  )
)</f>
        <v>0.9</v>
      </c>
      <c r="AP4" s="186">
        <f>IFERROR(
  _xlfn.XLOOKUP(AD4,'2) หลักการคำนวน Table'!$C$3:$K$3,'2) หลักการคำนวน Table'!$C$3:$K$3,,1),
  IF(AD4&lt;MIN('2) หลักการคำนวน Table'!$C$3:$K$3),
     MIN('2) หลักการคำนวน Table'!$C$3:$K$3),
     MAX('2) หลักการคำนวน Table'!$C$3:$K$3)
  )
)</f>
        <v>0.9</v>
      </c>
      <c r="AQ4" s="186">
        <f>IFERROR(
  _xlfn.XLOOKUP(AE4,'2) หลักการคำนวน Table'!$C$3:$K$3,'2) หลักการคำนวน Table'!$C$3:$K$3,,1),
  IF(AE4&lt;MIN('2) หลักการคำนวน Table'!$C$3:$K$3),
     MIN('2) หลักการคำนวน Table'!$C$3:$K$3),
     MAX('2) หลักการคำนวน Table'!$C$3:$K$3)
  )
)</f>
        <v>0.9</v>
      </c>
      <c r="AR4" s="186">
        <f>IFERROR(
  _xlfn.XLOOKUP(AF4,'2) หลักการคำนวน Table'!$C$3:$K$3,'2) หลักการคำนวน Table'!$C$3:$K$3,,1),
  IF(AF4&lt;MIN('2) หลักการคำนวน Table'!$C$3:$K$3),
     MIN('2) หลักการคำนวน Table'!$C$3:$K$3),
     MAX('2) หลักการคำนวน Table'!$C$3:$K$3)
  )
)</f>
        <v>0.9</v>
      </c>
      <c r="AS4" s="186">
        <f>IFERROR(
  _xlfn.XLOOKUP(AG4,'2) หลักการคำนวน Table'!$C$3:$K$3,'2) หลักการคำนวน Table'!$C$3:$K$3,,1),
  IF(AG4&lt;MIN('2) หลักการคำนวน Table'!$C$3:$K$3),
     MIN('2) หลักการคำนวน Table'!$C$3:$K$3),
     MAX('2) หลักการคำนวน Table'!$C$3:$K$3)
  )
)</f>
        <v>0.9</v>
      </c>
      <c r="AT4" s="186">
        <f>IFERROR(
  _xlfn.XLOOKUP(AH4,'2) หลักการคำนวน Table'!$C$3:$K$3,'2) หลักการคำนวน Table'!$C$3:$K$3,,1),
  IF(AH4&lt;MIN('2) หลักการคำนวน Table'!$C$3:$K$3),
     MIN('2) หลักการคำนวน Table'!$C$3:$K$3),
     MAX('2) หลักการคำนวน Table'!$C$3:$K$3)
  )
)</f>
        <v>0.9</v>
      </c>
      <c r="AU4" s="186">
        <f>IFERROR(
  _xlfn.XLOOKUP(AI4,'2) หลักการคำนวน Table'!$C$3:$K$3,'2) หลักการคำนวน Table'!$C$3:$K$3,,1),
  IF(AI4&lt;MIN('2) หลักการคำนวน Table'!$C$3:$K$3),
     MIN('2) หลักการคำนวน Table'!$C$3:$K$3),
     MAX('2) หลักการคำนวน Table'!$C$3:$K$3)
  )
)</f>
        <v>0.9</v>
      </c>
      <c r="AV4" s="186">
        <f>IFERROR(
  _xlfn.XLOOKUP(AJ4,'2) หลักการคำนวน Table'!$C$3:$K$3,'2) หลักการคำนวน Table'!$C$3:$K$3,,1),
  IF(AJ4&lt;MIN('2) หลักการคำนวน Table'!$C$3:$K$3),
     MIN('2) หลักการคำนวน Table'!$C$3:$K$3),
     MAX('2) หลักการคำนวน Table'!$C$3:$K$3)
  )
)</f>
        <v>0.9</v>
      </c>
      <c r="AW4" s="186">
        <f>IFERROR(
  _xlfn.XLOOKUP(AK4,'2) หลักการคำนวน Table'!$C$3:$K$3,'2) หลักการคำนวน Table'!$C$3:$K$3,,1),
  IF(AK4&lt;MIN('2) หลักการคำนวน Table'!$C$3:$K$3),
     MIN('2) หลักการคำนวน Table'!$C$3:$K$3),
     MAX('2) หลักการคำนวน Table'!$C$3:$K$3)
  )
)</f>
        <v>0.9</v>
      </c>
      <c r="AX4" s="186">
        <f>IFERROR(
  _xlfn.XLOOKUP(AL4,'2) หลักการคำนวน Table'!$C$3:$K$3,'2) หลักการคำนวน Table'!$C$3:$K$3,,1),
  IF(AL4&lt;MIN('2) หลักการคำนวน Table'!$C$3:$K$3),
     MIN('2) หลักการคำนวน Table'!$C$3:$K$3),
     MAX('2) หลักการคำนวน Table'!$C$3:$K$3)
  )
)</f>
        <v>0.9</v>
      </c>
      <c r="AY4" s="186">
        <f>IFERROR(
  _xlfn.XLOOKUP(AM4,'2) หลักการคำนวน Table'!$C$3:$K$3,'2) หลักการคำนวน Table'!$C$3:$K$3,,1),
  IF(AM4&lt;MIN('2) หลักการคำนวน Table'!$C$3:$K$3),
     MIN('2) หลักการคำนวน Table'!$C$3:$K$3),
     MAX('2) หลักการคำนวน Table'!$C$3:$K$3)
  )
)</f>
        <v>0.9</v>
      </c>
      <c r="AZ4" s="135" t="e" cm="1">
        <f t="array" ref="AZ4">(_xlfn.XLOOKUP($C4,'2) หลักการคำนวน Table'!$A$4:$A$36,
_xlfn.XLOOKUP(AN4,'2)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A4" s="135" t="e" cm="1">
        <f t="array" ref="BA4">(_xlfn.XLOOKUP($C4,'2) หลักการคำนวน Table'!$A$4:$A$36,
_xlfn.XLOOKUP(AO4,'2)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B4" s="135" t="e" cm="1">
        <f t="array" ref="BB4">(_xlfn.XLOOKUP($C4,'2) หลักการคำนวน Table'!$A$4:$A$36,
_xlfn.XLOOKUP(AP4,'2)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C4" s="135" t="e" cm="1">
        <f t="array" ref="BC4">(_xlfn.XLOOKUP($C4,'2) หลักการคำนวน Table'!$A$4:$A$36,
_xlfn.XLOOKUP(AQ4,'2)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D4" s="135" t="e" cm="1">
        <f t="array" ref="BD4">(_xlfn.XLOOKUP($C4,'2) หลักการคำนวน Table'!$A$4:$A$36,
_xlfn.XLOOKUP(AR4,'2)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E4" s="135" t="e" cm="1">
        <f t="array" ref="BE4">(_xlfn.XLOOKUP($C4,'2) หลักการคำนวน Table'!$A$4:$A$36,
_xlfn.XLOOKUP(AS4,'2)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F4" s="135" t="e" cm="1">
        <f t="array" ref="BF4">(_xlfn.XLOOKUP($C4,'2) หลักการคำนวน Table'!$A$4:$A$36,
_xlfn.XLOOKUP(AT4,'2)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G4" s="135" t="e" cm="1">
        <f t="array" ref="BG4">(_xlfn.XLOOKUP($C4,'2) หลักการคำนวน Table'!$A$4:$A$36,
_xlfn.XLOOKUP(AU4,'2)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H4" s="135" t="e" cm="1">
        <f t="array" ref="BH4">ROUND((_xlfn.XLOOKUP($C4,'2) หลักการคำนวน Table'!$A$4:$A$36,
_xlfn.XLOOKUP(AV4,'2)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I4" s="135" t="e" cm="1">
        <f t="array" ref="BI4">ROUND((_xlfn.XLOOKUP($C4,'2) หลักการคำนวน Table'!$A$4:$A$36,
_xlfn.XLOOKUP(AW4,'2)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J4" s="135" t="e" cm="1">
        <f t="array" ref="BJ4">ROUND((_xlfn.XLOOKUP($C4,'2) หลักการคำนวน Table'!$A$4:$A$36,
_xlfn.XLOOKUP(AX4,'2)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K4" s="135" t="e" cm="1">
        <f t="array" ref="BK4">ROUND((_xlfn.XLOOKUP($C4,'2) หลักการคำนวน Table'!$A$4:$A$36,
_xlfn.XLOOKUP(AY4,'2)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L4" s="239"/>
      <c r="BM4" s="126">
        <v>222208</v>
      </c>
      <c r="BN4" s="245">
        <v>150</v>
      </c>
    </row>
    <row r="5" spans="1:66" ht="13.2" customHeight="1" x14ac:dyDescent="0.25">
      <c r="A5" s="128">
        <f>VLOOKUP(C5,ASTBase!F:S,12,FALSE)</f>
        <v>222234</v>
      </c>
      <c r="B5" s="126" t="s">
        <v>408</v>
      </c>
      <c r="C5" s="128">
        <v>222208</v>
      </c>
      <c r="D5" s="127">
        <f>SUMIFS('3)Target &amp; Cal_Staff'!D$4:D$164,'3)Target &amp; Cal_Staff'!$B$4:$B$164,'3)Target &amp; Cal_Sect'!$B5,'3)Target &amp; Cal_Staff'!$A$4:$A$164,'3)Target &amp; Cal_Sect'!$C5)</f>
        <v>398</v>
      </c>
      <c r="E5" s="127">
        <f>SUMIFS('3)Target &amp; Cal_Staff'!E$4:E$164,'3)Target &amp; Cal_Staff'!$B$4:$B$164,'3)Target &amp; Cal_Sect'!$B5,'3)Target &amp; Cal_Staff'!$A$4:$A$164,'3)Target &amp; Cal_Sect'!$C5)</f>
        <v>310</v>
      </c>
      <c r="F5" s="127">
        <f>SUMIFS('3)Target &amp; Cal_Staff'!F$4:F$164,'3)Target &amp; Cal_Staff'!$B$4:$B$164,'3)Target &amp; Cal_Sect'!$B5,'3)Target &amp; Cal_Staff'!$A$4:$A$164,'3)Target &amp; Cal_Sect'!$C5)</f>
        <v>360</v>
      </c>
      <c r="G5" s="127">
        <f>SUMIFS('3)Target &amp; Cal_Staff'!G$4:G$164,'3)Target &amp; Cal_Staff'!$B$4:$B$164,'3)Target &amp; Cal_Sect'!$B5,'3)Target &amp; Cal_Staff'!$A$4:$A$164,'3)Target &amp; Cal_Sect'!$C5)</f>
        <v>300</v>
      </c>
      <c r="H5" s="127">
        <f>SUMIFS('3)Target &amp; Cal_Staff'!H$4:H$164,'3)Target &amp; Cal_Staff'!$B$4:$B$164,'3)Target &amp; Cal_Sect'!$B5,'3)Target &amp; Cal_Staff'!$A$4:$A$164,'3)Target &amp; Cal_Sect'!$C5)</f>
        <v>351</v>
      </c>
      <c r="I5" s="127">
        <f>SUMIFS('3)Target &amp; Cal_Staff'!I$4:I$164,'3)Target &amp; Cal_Staff'!$B$4:$B$164,'3)Target &amp; Cal_Sect'!$B5,'3)Target &amp; Cal_Staff'!$A$4:$A$164,'3)Target &amp; Cal_Sect'!$C5)</f>
        <v>314</v>
      </c>
      <c r="J5" s="127">
        <f>SUMIFS('3)Target &amp; Cal_Staff'!J$4:J$164,'3)Target &amp; Cal_Staff'!$B$4:$B$164,'3)Target &amp; Cal_Sect'!$B5,'3)Target &amp; Cal_Staff'!$A$4:$A$164,'3)Target &amp; Cal_Sect'!$C5)</f>
        <v>341</v>
      </c>
      <c r="K5" s="127">
        <f>SUMIFS('3)Target &amp; Cal_Staff'!K$4:K$164,'3)Target &amp; Cal_Staff'!$B$4:$B$164,'3)Target &amp; Cal_Sect'!$B5,'3)Target &amp; Cal_Staff'!$A$4:$A$164,'3)Target &amp; Cal_Sect'!$C5)</f>
        <v>321</v>
      </c>
      <c r="L5" s="127">
        <f>SUMIFS('3)Target &amp; Cal_Staff'!L$4:L$164,'3)Target &amp; Cal_Staff'!$B$4:$B$164,'3)Target &amp; Cal_Sect'!$B5,'3)Target &amp; Cal_Staff'!$A$4:$A$164,'3)Target &amp; Cal_Sect'!$C5)</f>
        <v>282</v>
      </c>
      <c r="M5" s="127">
        <f>SUMIFS('3)Target &amp; Cal_Staff'!M$4:M$164,'3)Target &amp; Cal_Staff'!$B$4:$B$164,'3)Target &amp; Cal_Sect'!$B5,'3)Target &amp; Cal_Staff'!$A$4:$A$164,'3)Target &amp; Cal_Sect'!$C5)</f>
        <v>303</v>
      </c>
      <c r="N5" s="127">
        <f>SUMIFS('3)Target &amp; Cal_Staff'!N$4:N$164,'3)Target &amp; Cal_Staff'!$B$4:$B$164,'3)Target &amp; Cal_Sect'!$B5,'3)Target &amp; Cal_Staff'!$A$4:$A$164,'3)Target &amp; Cal_Sect'!$C5)</f>
        <v>300</v>
      </c>
      <c r="O5" s="127">
        <f>SUMIFS('3)Target &amp; Cal_Staff'!O$4:O$164,'3)Target &amp; Cal_Staff'!$B$4:$B$164,'3)Target &amp; Cal_Sect'!$B5,'3)Target &amp; Cal_Staff'!$A$4:$A$164,'3)Target &amp; Cal_Sect'!$C5)</f>
        <v>260</v>
      </c>
      <c r="P5" s="127">
        <f>SUMIFS('3)Target &amp; Cal_Staff'!P$4:P$164,'3)Target &amp; Cal_Staff'!$B$4:$B$164,'3)Target &amp; Cal_Sect'!$B5,'3)Target &amp; Cal_Staff'!$A$4:$A$164,'3)Target &amp; Cal_Sect'!$C5)</f>
        <v>1491.36</v>
      </c>
      <c r="Q5" s="127">
        <f>SUMIFS('3)Target &amp; Cal_Staff'!Q$4:Q$164,'3)Target &amp; Cal_Staff'!$B$4:$B$164,'3)Target &amp; Cal_Sect'!$B5,'3)Target &amp; Cal_Staff'!$A$4:$A$164,'3)Target &amp; Cal_Sect'!$C5)</f>
        <v>0</v>
      </c>
      <c r="R5" s="127">
        <f>SUMIFS('3)Target &amp; Cal_Staff'!R$4:R$164,'3)Target &amp; Cal_Staff'!$B$4:$B$164,'3)Target &amp; Cal_Sect'!$B5,'3)Target &amp; Cal_Staff'!$A$4:$A$164,'3)Target &amp; Cal_Sect'!$C5)</f>
        <v>0</v>
      </c>
      <c r="S5" s="127">
        <f>SUMIFS('3)Target &amp; Cal_Staff'!S$4:S$164,'3)Target &amp; Cal_Staff'!$B$4:$B$164,'3)Target &amp; Cal_Sect'!$B5,'3)Target &amp; Cal_Staff'!$A$4:$A$164,'3)Target &amp; Cal_Sect'!$C5)</f>
        <v>0</v>
      </c>
      <c r="T5" s="127">
        <f>SUMIFS('3)Target &amp; Cal_Staff'!T$4:T$164,'3)Target &amp; Cal_Staff'!$B$4:$B$164,'3)Target &amp; Cal_Sect'!$B5,'3)Target &amp; Cal_Staff'!$A$4:$A$164,'3)Target &amp; Cal_Sect'!$C5)</f>
        <v>0</v>
      </c>
      <c r="U5" s="127">
        <f>SUMIFS('3)Target &amp; Cal_Staff'!U$4:U$164,'3)Target &amp; Cal_Staff'!$B$4:$B$164,'3)Target &amp; Cal_Sect'!$B5,'3)Target &amp; Cal_Staff'!$A$4:$A$164,'3)Target &amp; Cal_Sect'!$C5)</f>
        <v>0</v>
      </c>
      <c r="V5" s="127">
        <f>SUMIFS('3)Target &amp; Cal_Staff'!V$4:V$164,'3)Target &amp; Cal_Staff'!$B$4:$B$164,'3)Target &amp; Cal_Sect'!$B5,'3)Target &amp; Cal_Staff'!$A$4:$A$164,'3)Target &amp; Cal_Sect'!$C5)</f>
        <v>0</v>
      </c>
      <c r="W5" s="127">
        <f>SUMIFS('3)Target &amp; Cal_Staff'!W$4:W$164,'3)Target &amp; Cal_Staff'!$B$4:$B$164,'3)Target &amp; Cal_Sect'!$B5,'3)Target &amp; Cal_Staff'!$A$4:$A$164,'3)Target &amp; Cal_Sect'!$C5)</f>
        <v>0</v>
      </c>
      <c r="X5" s="127">
        <f>SUMIFS('3)Target &amp; Cal_Staff'!X$4:X$164,'3)Target &amp; Cal_Staff'!$B$4:$B$164,'3)Target &amp; Cal_Sect'!$B5,'3)Target &amp; Cal_Staff'!$A$4:$A$164,'3)Target &amp; Cal_Sect'!$C5)</f>
        <v>0</v>
      </c>
      <c r="Y5" s="127">
        <f>SUMIFS('3)Target &amp; Cal_Staff'!Y$4:Y$164,'3)Target &amp; Cal_Staff'!$B$4:$B$164,'3)Target &amp; Cal_Sect'!$B5,'3)Target &amp; Cal_Staff'!$A$4:$A$164,'3)Target &amp; Cal_Sect'!$C5)</f>
        <v>0</v>
      </c>
      <c r="Z5" s="127">
        <f>SUMIFS('3)Target &amp; Cal_Staff'!Z$4:Z$164,'3)Target &amp; Cal_Staff'!$B$4:$B$164,'3)Target &amp; Cal_Sect'!$B5,'3)Target &amp; Cal_Staff'!$A$4:$A$164,'3)Target &amp; Cal_Sect'!$C5)</f>
        <v>0</v>
      </c>
      <c r="AA5" s="127">
        <f>SUMIFS('3)Target &amp; Cal_Staff'!AA$4:AA$164,'3)Target &amp; Cal_Staff'!$B$4:$B$164,'3)Target &amp; Cal_Sect'!$B5,'3)Target &amp; Cal_Staff'!$A$4:$A$164,'3)Target &amp; Cal_Sect'!$C5)</f>
        <v>0</v>
      </c>
      <c r="AB5" s="132">
        <f>IFERROR(IF(VLOOKUP($B5,Shortage!$A:$M,AB$2,FALSE)="Shortage",1,IFERROR(ROUND(P5/D5,4),0)),IFERROR(ROUND(P5/D5,4),0))</f>
        <v>3.7471000000000001</v>
      </c>
      <c r="AC5" s="132">
        <f>IFERROR(IF(VLOOKUP($B5,Shortage!$A:$M,AC$2,FALSE)="Shortage",1,IFERROR(ROUND(Q5/E5,4),0)),IFERROR(ROUND(Q5/E5,4),0))</f>
        <v>0</v>
      </c>
      <c r="AD5" s="132">
        <f>IFERROR(IF(VLOOKUP($B5,Shortage!$A:$M,AD$2,FALSE)="Shortage",1,IFERROR(ROUND(R5/F5,4),0)),IFERROR(ROUND(R5/F5,4),0))</f>
        <v>0</v>
      </c>
      <c r="AE5" s="132">
        <f>IFERROR(IF(VLOOKUP($B5,Shortage!$A:$M,AE$2,FALSE)="Shortage",1,IFERROR(ROUND(S5/G5,4),0)),IFERROR(ROUND(S5/G5,4),0))</f>
        <v>0</v>
      </c>
      <c r="AF5" s="132">
        <f>IFERROR(IF(VLOOKUP($B5,Shortage!$A:$M,AF$2,FALSE)="Shortage",1,IFERROR(ROUND(T5/H5,4),0)),IFERROR(ROUND(T5/H5,4),0))</f>
        <v>0</v>
      </c>
      <c r="AG5" s="132">
        <f>IFERROR(IF(VLOOKUP($B5,Shortage!$A:$M,AG$2,FALSE)="Shortage",1,IFERROR(ROUND(U5/I5,4),0)),IFERROR(ROUND(U5/I5,4),0))</f>
        <v>0</v>
      </c>
      <c r="AH5" s="132">
        <f>IFERROR(IF(VLOOKUP($B5,Shortage!$A:$M,AH$2,FALSE)="Shortage",1,IFERROR(ROUND(V5/J5,4),0)),IFERROR(ROUND(V5/J5,4),0))</f>
        <v>0</v>
      </c>
      <c r="AI5" s="132">
        <f>IFERROR(IF(VLOOKUP($B5,Shortage!$A:$M,AI$2,FALSE)="Shortage",1,IFERROR(ROUND(W5/K5,4),0)),IFERROR(ROUND(W5/K5,4),0))</f>
        <v>0</v>
      </c>
      <c r="AJ5" s="132">
        <f>IFERROR(IF(VLOOKUP($B5,Shortage!$A:$M,AJ$2,FALSE)="Shortage",1,IFERROR(ROUND(X5/L5,4),0)),IFERROR(ROUND(X5/L5,4),0))</f>
        <v>0</v>
      </c>
      <c r="AK5" s="132">
        <f>IFERROR(IF(VLOOKUP($B5,Shortage!$A:$M,AK$2,FALSE)="Shortage",1,IFERROR(ROUND(Y5/M5,4),0)),IFERROR(ROUND(Y5/M5,4),0))</f>
        <v>0</v>
      </c>
      <c r="AL5" s="132">
        <f>IFERROR(IF(VLOOKUP($B5,Shortage!$A:$M,AL$2,FALSE)="Shortage",1,IFERROR(ROUND(Z5/N5,4),0)),IFERROR(ROUND(Z5/N5,4),0))</f>
        <v>0</v>
      </c>
      <c r="AM5" s="132">
        <f>IFERROR(IF(VLOOKUP($B5,Shortage!$A:$M,AM$2,FALSE)="Shortage",1,IFERROR(ROUND(AA5/O5,4),0)),IFERROR(ROUND(AA5/O5,4),0))</f>
        <v>0</v>
      </c>
      <c r="AN5" s="186">
        <f>IFERROR(_xlfn.XLOOKUP(AB5,'2) หลักการคำนวน Table'!$C$3:$K$3,'2) หลักการคำนวน Table'!$C$3:$K$3,,1),INDEX('2) หลักการคำนวน Table'!$C$3:$K$3,1))</f>
        <v>20</v>
      </c>
      <c r="AO5" s="186">
        <f>IFERROR(
  _xlfn.XLOOKUP(AC5,'2) หลักการคำนวน Table'!$C$3:$K$3,'2) หลักการคำนวน Table'!$C$3:$K$3,,1),
  IF(AC5&lt;MIN('2) หลักการคำนวน Table'!$C$3:$K$3),
     MIN('2) หลักการคำนวน Table'!$C$3:$K$3),
     MAX('2) หลักการคำนวน Table'!$C$3:$K$3)
  )
)</f>
        <v>0.9</v>
      </c>
      <c r="AP5" s="186">
        <f>IFERROR(
  _xlfn.XLOOKUP(AD5,'2) หลักการคำนวน Table'!$C$3:$K$3,'2) หลักการคำนวน Table'!$C$3:$K$3,,1),
  IF(AD5&lt;MIN('2) หลักการคำนวน Table'!$C$3:$K$3),
     MIN('2) หลักการคำนวน Table'!$C$3:$K$3),
     MAX('2) หลักการคำนวน Table'!$C$3:$K$3)
  )
)</f>
        <v>0.9</v>
      </c>
      <c r="AQ5" s="186">
        <f>IFERROR(
  _xlfn.XLOOKUP(AE5,'2) หลักการคำนวน Table'!$C$3:$K$3,'2) หลักการคำนวน Table'!$C$3:$K$3,,1),
  IF(AE5&lt;MIN('2) หลักการคำนวน Table'!$C$3:$K$3),
     MIN('2) หลักการคำนวน Table'!$C$3:$K$3),
     MAX('2) หลักการคำนวน Table'!$C$3:$K$3)
  )
)</f>
        <v>0.9</v>
      </c>
      <c r="AR5" s="186">
        <f>IFERROR(
  _xlfn.XLOOKUP(AF5,'2) หลักการคำนวน Table'!$C$3:$K$3,'2) หลักการคำนวน Table'!$C$3:$K$3,,1),
  IF(AF5&lt;MIN('2) หลักการคำนวน Table'!$C$3:$K$3),
     MIN('2) หลักการคำนวน Table'!$C$3:$K$3),
     MAX('2) หลักการคำนวน Table'!$C$3:$K$3)
  )
)</f>
        <v>0.9</v>
      </c>
      <c r="AS5" s="186">
        <f>IFERROR(
  _xlfn.XLOOKUP(AG5,'2) หลักการคำนวน Table'!$C$3:$K$3,'2) หลักการคำนวน Table'!$C$3:$K$3,,1),
  IF(AG5&lt;MIN('2) หลักการคำนวน Table'!$C$3:$K$3),
     MIN('2) หลักการคำนวน Table'!$C$3:$K$3),
     MAX('2) หลักการคำนวน Table'!$C$3:$K$3)
  )
)</f>
        <v>0.9</v>
      </c>
      <c r="AT5" s="186">
        <f>IFERROR(
  _xlfn.XLOOKUP(AH5,'2) หลักการคำนวน Table'!$C$3:$K$3,'2) หลักการคำนวน Table'!$C$3:$K$3,,1),
  IF(AH5&lt;MIN('2) หลักการคำนวน Table'!$C$3:$K$3),
     MIN('2) หลักการคำนวน Table'!$C$3:$K$3),
     MAX('2) หลักการคำนวน Table'!$C$3:$K$3)
  )
)</f>
        <v>0.9</v>
      </c>
      <c r="AU5" s="186">
        <f>IFERROR(
  _xlfn.XLOOKUP(AI5,'2) หลักการคำนวน Table'!$C$3:$K$3,'2) หลักการคำนวน Table'!$C$3:$K$3,,1),
  IF(AI5&lt;MIN('2) หลักการคำนวน Table'!$C$3:$K$3),
     MIN('2) หลักการคำนวน Table'!$C$3:$K$3),
     MAX('2) หลักการคำนวน Table'!$C$3:$K$3)
  )
)</f>
        <v>0.9</v>
      </c>
      <c r="AV5" s="186">
        <f>IFERROR(
  _xlfn.XLOOKUP(AJ5,'2) หลักการคำนวน Table'!$C$3:$K$3,'2) หลักการคำนวน Table'!$C$3:$K$3,,1),
  IF(AJ5&lt;MIN('2) หลักการคำนวน Table'!$C$3:$K$3),
     MIN('2) หลักการคำนวน Table'!$C$3:$K$3),
     MAX('2) หลักการคำนวน Table'!$C$3:$K$3)
  )
)</f>
        <v>0.9</v>
      </c>
      <c r="AW5" s="186">
        <f>IFERROR(
  _xlfn.XLOOKUP(AK5,'2) หลักการคำนวน Table'!$C$3:$K$3,'2) หลักการคำนวน Table'!$C$3:$K$3,,1),
  IF(AK5&lt;MIN('2) หลักการคำนวน Table'!$C$3:$K$3),
     MIN('2) หลักการคำนวน Table'!$C$3:$K$3),
     MAX('2) หลักการคำนวน Table'!$C$3:$K$3)
  )
)</f>
        <v>0.9</v>
      </c>
      <c r="AX5" s="186">
        <f>IFERROR(
  _xlfn.XLOOKUP(AL5,'2) หลักการคำนวน Table'!$C$3:$K$3,'2) หลักการคำนวน Table'!$C$3:$K$3,,1),
  IF(AL5&lt;MIN('2) หลักการคำนวน Table'!$C$3:$K$3),
     MIN('2) หลักการคำนวน Table'!$C$3:$K$3),
     MAX('2) หลักการคำนวน Table'!$C$3:$K$3)
  )
)</f>
        <v>0.9</v>
      </c>
      <c r="AY5" s="186">
        <f>IFERROR(
  _xlfn.XLOOKUP(AM5,'2) หลักการคำนวน Table'!$C$3:$K$3,'2) หลักการคำนวน Table'!$C$3:$K$3,,1),
  IF(AM5&lt;MIN('2) หลักการคำนวน Table'!$C$3:$K$3),
     MIN('2) หลักการคำนวน Table'!$C$3:$K$3),
     MAX('2) หลักการคำนวน Table'!$C$3:$K$3)
  )
)</f>
        <v>0.9</v>
      </c>
      <c r="AZ5" s="135" t="e" cm="1">
        <f t="array" ref="AZ5">(_xlfn.XLOOKUP($C5,'2) หลักการคำนวน Table'!$A$4:$A$36,
_xlfn.XLOOKUP(AN5,'2)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A5" s="135" t="e" cm="1">
        <f t="array" ref="BA5">(_xlfn.XLOOKUP($C5,'2) หลักการคำนวน Table'!$A$4:$A$36,
_xlfn.XLOOKUP(AO5,'2)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B5" s="135" t="e" cm="1">
        <f t="array" ref="BB5">(_xlfn.XLOOKUP($C5,'2) หลักการคำนวน Table'!$A$4:$A$36,
_xlfn.XLOOKUP(AP5,'2)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C5" s="135" t="e" cm="1">
        <f t="array" ref="BC5">(_xlfn.XLOOKUP($C5,'2) หลักการคำนวน Table'!$A$4:$A$36,
_xlfn.XLOOKUP(AQ5,'2)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D5" s="135" t="e" cm="1">
        <f t="array" ref="BD5">(_xlfn.XLOOKUP($C5,'2) หลักการคำนวน Table'!$A$4:$A$36,
_xlfn.XLOOKUP(AR5,'2)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E5" s="135" t="e" cm="1">
        <f t="array" ref="BE5">(_xlfn.XLOOKUP($C5,'2) หลักการคำนวน Table'!$A$4:$A$36,
_xlfn.XLOOKUP(AS5,'2)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F5" s="135" t="e" cm="1">
        <f t="array" ref="BF5">(_xlfn.XLOOKUP($C5,'2) หลักการคำนวน Table'!$A$4:$A$36,
_xlfn.XLOOKUP(AT5,'2)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G5" s="135" t="e" cm="1">
        <f t="array" ref="BG5">(_xlfn.XLOOKUP($C5,'2) หลักการคำนวน Table'!$A$4:$A$36,
_xlfn.XLOOKUP(AU5,'2)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H5" s="135" t="e" cm="1">
        <f t="array" ref="BH5">ROUND((_xlfn.XLOOKUP($C5,'2) หลักการคำนวน Table'!$A$4:$A$36,
_xlfn.XLOOKUP(AV5,'2)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I5" s="135" t="e" cm="1">
        <f t="array" ref="BI5">ROUND((_xlfn.XLOOKUP($C5,'2) หลักการคำนวน Table'!$A$4:$A$36,
_xlfn.XLOOKUP(AW5,'2)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J5" s="135" t="e" cm="1">
        <f t="array" ref="BJ5">ROUND((_xlfn.XLOOKUP($C5,'2) หลักการคำนวน Table'!$A$4:$A$36,
_xlfn.XLOOKUP(AX5,'2)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K5" s="135" t="e" cm="1">
        <f t="array" ref="BK5">ROUND((_xlfn.XLOOKUP($C5,'2) หลักการคำนวน Table'!$A$4:$A$36,
_xlfn.XLOOKUP(AY5,'2)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L5" s="239"/>
      <c r="BM5" s="126">
        <v>222208</v>
      </c>
      <c r="BN5" s="245">
        <v>325</v>
      </c>
    </row>
    <row r="6" spans="1:66" ht="13.2" customHeight="1" x14ac:dyDescent="0.25">
      <c r="A6" s="128">
        <f>VLOOKUP(C6,ASTBase!F:S,12,FALSE)</f>
        <v>222234</v>
      </c>
      <c r="B6" s="126" t="s">
        <v>416</v>
      </c>
      <c r="C6" s="128">
        <v>222208</v>
      </c>
      <c r="D6" s="127">
        <f>SUMIFS('3)Target &amp; Cal_Staff'!D$4:D$164,'3)Target &amp; Cal_Staff'!$B$4:$B$164,'3)Target &amp; Cal_Sect'!$B6,'3)Target &amp; Cal_Staff'!$A$4:$A$164,'3)Target &amp; Cal_Sect'!$C6)</f>
        <v>78</v>
      </c>
      <c r="E6" s="127">
        <f>SUMIFS('3)Target &amp; Cal_Staff'!E$4:E$164,'3)Target &amp; Cal_Staff'!$B$4:$B$164,'3)Target &amp; Cal_Sect'!$B6,'3)Target &amp; Cal_Staff'!$A$4:$A$164,'3)Target &amp; Cal_Sect'!$C6)</f>
        <v>61</v>
      </c>
      <c r="F6" s="127">
        <f>SUMIFS('3)Target &amp; Cal_Staff'!F$4:F$164,'3)Target &amp; Cal_Staff'!$B$4:$B$164,'3)Target &amp; Cal_Sect'!$B6,'3)Target &amp; Cal_Staff'!$A$4:$A$164,'3)Target &amp; Cal_Sect'!$C6)</f>
        <v>59</v>
      </c>
      <c r="G6" s="127">
        <f>SUMIFS('3)Target &amp; Cal_Staff'!G$4:G$164,'3)Target &amp; Cal_Staff'!$B$4:$B$164,'3)Target &amp; Cal_Sect'!$B6,'3)Target &amp; Cal_Staff'!$A$4:$A$164,'3)Target &amp; Cal_Sect'!$C6)</f>
        <v>51</v>
      </c>
      <c r="H6" s="127">
        <f>SUMIFS('3)Target &amp; Cal_Staff'!H$4:H$164,'3)Target &amp; Cal_Staff'!$B$4:$B$164,'3)Target &amp; Cal_Sect'!$B6,'3)Target &amp; Cal_Staff'!$A$4:$A$164,'3)Target &amp; Cal_Sect'!$C6)</f>
        <v>70</v>
      </c>
      <c r="I6" s="127">
        <f>SUMIFS('3)Target &amp; Cal_Staff'!I$4:I$164,'3)Target &amp; Cal_Staff'!$B$4:$B$164,'3)Target &amp; Cal_Sect'!$B6,'3)Target &amp; Cal_Staff'!$A$4:$A$164,'3)Target &amp; Cal_Sect'!$C6)</f>
        <v>57</v>
      </c>
      <c r="J6" s="127">
        <f>SUMIFS('3)Target &amp; Cal_Staff'!J$4:J$164,'3)Target &amp; Cal_Staff'!$B$4:$B$164,'3)Target &amp; Cal_Sect'!$B6,'3)Target &amp; Cal_Staff'!$A$4:$A$164,'3)Target &amp; Cal_Sect'!$C6)</f>
        <v>61</v>
      </c>
      <c r="K6" s="127">
        <f>SUMIFS('3)Target &amp; Cal_Staff'!K$4:K$164,'3)Target &amp; Cal_Staff'!$B$4:$B$164,'3)Target &amp; Cal_Sect'!$B6,'3)Target &amp; Cal_Staff'!$A$4:$A$164,'3)Target &amp; Cal_Sect'!$C6)</f>
        <v>63</v>
      </c>
      <c r="L6" s="127">
        <f>SUMIFS('3)Target &amp; Cal_Staff'!L$4:L$164,'3)Target &amp; Cal_Staff'!$B$4:$B$164,'3)Target &amp; Cal_Sect'!$B6,'3)Target &amp; Cal_Staff'!$A$4:$A$164,'3)Target &amp; Cal_Sect'!$C6)</f>
        <v>71</v>
      </c>
      <c r="M6" s="127">
        <f>SUMIFS('3)Target &amp; Cal_Staff'!M$4:M$164,'3)Target &amp; Cal_Staff'!$B$4:$B$164,'3)Target &amp; Cal_Sect'!$B6,'3)Target &amp; Cal_Staff'!$A$4:$A$164,'3)Target &amp; Cal_Sect'!$C6)</f>
        <v>61</v>
      </c>
      <c r="N6" s="127">
        <f>SUMIFS('3)Target &amp; Cal_Staff'!N$4:N$164,'3)Target &amp; Cal_Staff'!$B$4:$B$164,'3)Target &amp; Cal_Sect'!$B6,'3)Target &amp; Cal_Staff'!$A$4:$A$164,'3)Target &amp; Cal_Sect'!$C6)</f>
        <v>61</v>
      </c>
      <c r="O6" s="127">
        <f>SUMIFS('3)Target &amp; Cal_Staff'!O$4:O$164,'3)Target &amp; Cal_Staff'!$B$4:$B$164,'3)Target &amp; Cal_Sect'!$B6,'3)Target &amp; Cal_Staff'!$A$4:$A$164,'3)Target &amp; Cal_Sect'!$C6)</f>
        <v>52</v>
      </c>
      <c r="P6" s="127">
        <f>SUMIFS('3)Target &amp; Cal_Staff'!P$4:P$164,'3)Target &amp; Cal_Staff'!$B$4:$B$164,'3)Target &amp; Cal_Sect'!$B6,'3)Target &amp; Cal_Staff'!$A$4:$A$164,'3)Target &amp; Cal_Sect'!$C6)</f>
        <v>216.99999999532801</v>
      </c>
      <c r="Q6" s="127">
        <f>SUMIFS('3)Target &amp; Cal_Staff'!Q$4:Q$164,'3)Target &amp; Cal_Staff'!$B$4:$B$164,'3)Target &amp; Cal_Sect'!$B6,'3)Target &amp; Cal_Staff'!$A$4:$A$164,'3)Target &amp; Cal_Sect'!$C6)</f>
        <v>0</v>
      </c>
      <c r="R6" s="127">
        <f>SUMIFS('3)Target &amp; Cal_Staff'!R$4:R$164,'3)Target &amp; Cal_Staff'!$B$4:$B$164,'3)Target &amp; Cal_Sect'!$B6,'3)Target &amp; Cal_Staff'!$A$4:$A$164,'3)Target &amp; Cal_Sect'!$C6)</f>
        <v>0</v>
      </c>
      <c r="S6" s="127">
        <f>SUMIFS('3)Target &amp; Cal_Staff'!S$4:S$164,'3)Target &amp; Cal_Staff'!$B$4:$B$164,'3)Target &amp; Cal_Sect'!$B6,'3)Target &amp; Cal_Staff'!$A$4:$A$164,'3)Target &amp; Cal_Sect'!$C6)</f>
        <v>0</v>
      </c>
      <c r="T6" s="127">
        <f>SUMIFS('3)Target &amp; Cal_Staff'!T$4:T$164,'3)Target &amp; Cal_Staff'!$B$4:$B$164,'3)Target &amp; Cal_Sect'!$B6,'3)Target &amp; Cal_Staff'!$A$4:$A$164,'3)Target &amp; Cal_Sect'!$C6)</f>
        <v>0</v>
      </c>
      <c r="U6" s="127">
        <f>SUMIFS('3)Target &amp; Cal_Staff'!U$4:U$164,'3)Target &amp; Cal_Staff'!$B$4:$B$164,'3)Target &amp; Cal_Sect'!$B6,'3)Target &amp; Cal_Staff'!$A$4:$A$164,'3)Target &amp; Cal_Sect'!$C6)</f>
        <v>0</v>
      </c>
      <c r="V6" s="127">
        <f>SUMIFS('3)Target &amp; Cal_Staff'!V$4:V$164,'3)Target &amp; Cal_Staff'!$B$4:$B$164,'3)Target &amp; Cal_Sect'!$B6,'3)Target &amp; Cal_Staff'!$A$4:$A$164,'3)Target &amp; Cal_Sect'!$C6)</f>
        <v>0</v>
      </c>
      <c r="W6" s="127">
        <f>SUMIFS('3)Target &amp; Cal_Staff'!W$4:W$164,'3)Target &amp; Cal_Staff'!$B$4:$B$164,'3)Target &amp; Cal_Sect'!$B6,'3)Target &amp; Cal_Staff'!$A$4:$A$164,'3)Target &amp; Cal_Sect'!$C6)</f>
        <v>0</v>
      </c>
      <c r="X6" s="127">
        <f>SUMIFS('3)Target &amp; Cal_Staff'!X$4:X$164,'3)Target &amp; Cal_Staff'!$B$4:$B$164,'3)Target &amp; Cal_Sect'!$B6,'3)Target &amp; Cal_Staff'!$A$4:$A$164,'3)Target &amp; Cal_Sect'!$C6)</f>
        <v>0</v>
      </c>
      <c r="Y6" s="127">
        <f>SUMIFS('3)Target &amp; Cal_Staff'!Y$4:Y$164,'3)Target &amp; Cal_Staff'!$B$4:$B$164,'3)Target &amp; Cal_Sect'!$B6,'3)Target &amp; Cal_Staff'!$A$4:$A$164,'3)Target &amp; Cal_Sect'!$C6)</f>
        <v>0</v>
      </c>
      <c r="Z6" s="127">
        <f>SUMIFS('3)Target &amp; Cal_Staff'!Z$4:Z$164,'3)Target &amp; Cal_Staff'!$B$4:$B$164,'3)Target &amp; Cal_Sect'!$B6,'3)Target &amp; Cal_Staff'!$A$4:$A$164,'3)Target &amp; Cal_Sect'!$C6)</f>
        <v>0</v>
      </c>
      <c r="AA6" s="127">
        <f>SUMIFS('3)Target &amp; Cal_Staff'!AA$4:AA$164,'3)Target &amp; Cal_Staff'!$B$4:$B$164,'3)Target &amp; Cal_Sect'!$B6,'3)Target &amp; Cal_Staff'!$A$4:$A$164,'3)Target &amp; Cal_Sect'!$C6)</f>
        <v>0</v>
      </c>
      <c r="AB6" s="132">
        <f>IFERROR(IF(VLOOKUP($B6,Shortage!$A:$M,AB$2,FALSE)="Shortage",1,IFERROR(ROUND(P6/D6,4),0)),IFERROR(ROUND(P6/D6,4),0))</f>
        <v>2.7820999999999998</v>
      </c>
      <c r="AC6" s="132">
        <f>IFERROR(IF(VLOOKUP($B6,Shortage!$A:$M,AC$2,FALSE)="Shortage",1,IFERROR(ROUND(Q6/E6,4),0)),IFERROR(ROUND(Q6/E6,4),0))</f>
        <v>0</v>
      </c>
      <c r="AD6" s="132">
        <f>IFERROR(IF(VLOOKUP($B6,Shortage!$A:$M,AD$2,FALSE)="Shortage",1,IFERROR(ROUND(R6/F6,4),0)),IFERROR(ROUND(R6/F6,4),0))</f>
        <v>0</v>
      </c>
      <c r="AE6" s="132">
        <f>IFERROR(IF(VLOOKUP($B6,Shortage!$A:$M,AE$2,FALSE)="Shortage",1,IFERROR(ROUND(S6/G6,4),0)),IFERROR(ROUND(S6/G6,4),0))</f>
        <v>0</v>
      </c>
      <c r="AF6" s="132">
        <f>IFERROR(IF(VLOOKUP($B6,Shortage!$A:$M,AF$2,FALSE)="Shortage",1,IFERROR(ROUND(T6/H6,4),0)),IFERROR(ROUND(T6/H6,4),0))</f>
        <v>0</v>
      </c>
      <c r="AG6" s="132">
        <f>IFERROR(IF(VLOOKUP($B6,Shortage!$A:$M,AG$2,FALSE)="Shortage",1,IFERROR(ROUND(U6/I6,4),0)),IFERROR(ROUND(U6/I6,4),0))</f>
        <v>0</v>
      </c>
      <c r="AH6" s="132">
        <f>IFERROR(IF(VLOOKUP($B6,Shortage!$A:$M,AH$2,FALSE)="Shortage",1,IFERROR(ROUND(V6/J6,4),0)),IFERROR(ROUND(V6/J6,4),0))</f>
        <v>0</v>
      </c>
      <c r="AI6" s="132">
        <f>IFERROR(IF(VLOOKUP($B6,Shortage!$A:$M,AI$2,FALSE)="Shortage",1,IFERROR(ROUND(W6/K6,4),0)),IFERROR(ROUND(W6/K6,4),0))</f>
        <v>0</v>
      </c>
      <c r="AJ6" s="132">
        <f>IFERROR(IF(VLOOKUP($B6,Shortage!$A:$M,AJ$2,FALSE)="Shortage",1,IFERROR(ROUND(X6/L6,4),0)),IFERROR(ROUND(X6/L6,4),0))</f>
        <v>0</v>
      </c>
      <c r="AK6" s="132">
        <f>IFERROR(IF(VLOOKUP($B6,Shortage!$A:$M,AK$2,FALSE)="Shortage",1,IFERROR(ROUND(Y6/M6,4),0)),IFERROR(ROUND(Y6/M6,4),0))</f>
        <v>0</v>
      </c>
      <c r="AL6" s="132">
        <f>IFERROR(IF(VLOOKUP($B6,Shortage!$A:$M,AL$2,FALSE)="Shortage",1,IFERROR(ROUND(Z6/N6,4),0)),IFERROR(ROUND(Z6/N6,4),0))</f>
        <v>0</v>
      </c>
      <c r="AM6" s="132">
        <f>IFERROR(IF(VLOOKUP($B6,Shortage!$A:$M,AM$2,FALSE)="Shortage",1,IFERROR(ROUND(AA6/O6,4),0)),IFERROR(ROUND(AA6/O6,4),0))</f>
        <v>0</v>
      </c>
      <c r="AN6" s="186">
        <f>IFERROR(_xlfn.XLOOKUP(AB6,'2) หลักการคำนวน Table'!$C$3:$K$3,'2) หลักการคำนวน Table'!$C$3:$K$3,,1),INDEX('2) หลักการคำนวน Table'!$C$3:$K$3,1))</f>
        <v>20</v>
      </c>
      <c r="AO6" s="186">
        <f>IFERROR(
  _xlfn.XLOOKUP(AC6,'2) หลักการคำนวน Table'!$C$3:$K$3,'2) หลักการคำนวน Table'!$C$3:$K$3,,1),
  IF(AC6&lt;MIN('2) หลักการคำนวน Table'!$C$3:$K$3),
     MIN('2) หลักการคำนวน Table'!$C$3:$K$3),
     MAX('2) หลักการคำนวน Table'!$C$3:$K$3)
  )
)</f>
        <v>0.9</v>
      </c>
      <c r="AP6" s="186">
        <f>IFERROR(
  _xlfn.XLOOKUP(AD6,'2) หลักการคำนวน Table'!$C$3:$K$3,'2) หลักการคำนวน Table'!$C$3:$K$3,,1),
  IF(AD6&lt;MIN('2) หลักการคำนวน Table'!$C$3:$K$3),
     MIN('2) หลักการคำนวน Table'!$C$3:$K$3),
     MAX('2) หลักการคำนวน Table'!$C$3:$K$3)
  )
)</f>
        <v>0.9</v>
      </c>
      <c r="AQ6" s="186">
        <f>IFERROR(
  _xlfn.XLOOKUP(AE6,'2) หลักการคำนวน Table'!$C$3:$K$3,'2) หลักการคำนวน Table'!$C$3:$K$3,,1),
  IF(AE6&lt;MIN('2) หลักการคำนวน Table'!$C$3:$K$3),
     MIN('2) หลักการคำนวน Table'!$C$3:$K$3),
     MAX('2) หลักการคำนวน Table'!$C$3:$K$3)
  )
)</f>
        <v>0.9</v>
      </c>
      <c r="AR6" s="186">
        <f>IFERROR(
  _xlfn.XLOOKUP(AF6,'2) หลักการคำนวน Table'!$C$3:$K$3,'2) หลักการคำนวน Table'!$C$3:$K$3,,1),
  IF(AF6&lt;MIN('2) หลักการคำนวน Table'!$C$3:$K$3),
     MIN('2) หลักการคำนวน Table'!$C$3:$K$3),
     MAX('2) หลักการคำนวน Table'!$C$3:$K$3)
  )
)</f>
        <v>0.9</v>
      </c>
      <c r="AS6" s="186">
        <f>IFERROR(
  _xlfn.XLOOKUP(AG6,'2) หลักการคำนวน Table'!$C$3:$K$3,'2) หลักการคำนวน Table'!$C$3:$K$3,,1),
  IF(AG6&lt;MIN('2) หลักการคำนวน Table'!$C$3:$K$3),
     MIN('2) หลักการคำนวน Table'!$C$3:$K$3),
     MAX('2) หลักการคำนวน Table'!$C$3:$K$3)
  )
)</f>
        <v>0.9</v>
      </c>
      <c r="AT6" s="186">
        <f>IFERROR(
  _xlfn.XLOOKUP(AH6,'2) หลักการคำนวน Table'!$C$3:$K$3,'2) หลักการคำนวน Table'!$C$3:$K$3,,1),
  IF(AH6&lt;MIN('2) หลักการคำนวน Table'!$C$3:$K$3),
     MIN('2) หลักการคำนวน Table'!$C$3:$K$3),
     MAX('2) หลักการคำนวน Table'!$C$3:$K$3)
  )
)</f>
        <v>0.9</v>
      </c>
      <c r="AU6" s="186">
        <f>IFERROR(
  _xlfn.XLOOKUP(AI6,'2) หลักการคำนวน Table'!$C$3:$K$3,'2) หลักการคำนวน Table'!$C$3:$K$3,,1),
  IF(AI6&lt;MIN('2) หลักการคำนวน Table'!$C$3:$K$3),
     MIN('2) หลักการคำนวน Table'!$C$3:$K$3),
     MAX('2) หลักการคำนวน Table'!$C$3:$K$3)
  )
)</f>
        <v>0.9</v>
      </c>
      <c r="AV6" s="186">
        <f>IFERROR(
  _xlfn.XLOOKUP(AJ6,'2) หลักการคำนวน Table'!$C$3:$K$3,'2) หลักการคำนวน Table'!$C$3:$K$3,,1),
  IF(AJ6&lt;MIN('2) หลักการคำนวน Table'!$C$3:$K$3),
     MIN('2) หลักการคำนวน Table'!$C$3:$K$3),
     MAX('2) หลักการคำนวน Table'!$C$3:$K$3)
  )
)</f>
        <v>0.9</v>
      </c>
      <c r="AW6" s="186">
        <f>IFERROR(
  _xlfn.XLOOKUP(AK6,'2) หลักการคำนวน Table'!$C$3:$K$3,'2) หลักการคำนวน Table'!$C$3:$K$3,,1),
  IF(AK6&lt;MIN('2) หลักการคำนวน Table'!$C$3:$K$3),
     MIN('2) หลักการคำนวน Table'!$C$3:$K$3),
     MAX('2) หลักการคำนวน Table'!$C$3:$K$3)
  )
)</f>
        <v>0.9</v>
      </c>
      <c r="AX6" s="186">
        <f>IFERROR(
  _xlfn.XLOOKUP(AL6,'2) หลักการคำนวน Table'!$C$3:$K$3,'2) หลักการคำนวน Table'!$C$3:$K$3,,1),
  IF(AL6&lt;MIN('2) หลักการคำนวน Table'!$C$3:$K$3),
     MIN('2) หลักการคำนวน Table'!$C$3:$K$3),
     MAX('2) หลักการคำนวน Table'!$C$3:$K$3)
  )
)</f>
        <v>0.9</v>
      </c>
      <c r="AY6" s="186">
        <f>IFERROR(
  _xlfn.XLOOKUP(AM6,'2) หลักการคำนวน Table'!$C$3:$K$3,'2) หลักการคำนวน Table'!$C$3:$K$3,,1),
  IF(AM6&lt;MIN('2) หลักการคำนวน Table'!$C$3:$K$3),
     MIN('2) หลักการคำนวน Table'!$C$3:$K$3),
     MAX('2) หลักการคำนวน Table'!$C$3:$K$3)
  )
)</f>
        <v>0.9</v>
      </c>
      <c r="AZ6" s="135" t="e" cm="1">
        <f t="array" ref="AZ6">(_xlfn.XLOOKUP($C6,'2) หลักการคำนวน Table'!$A$4:$A$36,
_xlfn.XLOOKUP(AN6,'2)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A6" s="135" t="e" cm="1">
        <f t="array" ref="BA6">(_xlfn.XLOOKUP($C6,'2) หลักการคำนวน Table'!$A$4:$A$36,
_xlfn.XLOOKUP(AO6,'2)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B6" s="135" t="e" cm="1">
        <f t="array" ref="BB6">(_xlfn.XLOOKUP($C6,'2) หลักการคำนวน Table'!$A$4:$A$36,
_xlfn.XLOOKUP(AP6,'2)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C6" s="135" t="e" cm="1">
        <f t="array" ref="BC6">(_xlfn.XLOOKUP($C6,'2) หลักการคำนวน Table'!$A$4:$A$36,
_xlfn.XLOOKUP(AQ6,'2)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D6" s="135" t="e" cm="1">
        <f t="array" ref="BD6">(_xlfn.XLOOKUP($C6,'2) หลักการคำนวน Table'!$A$4:$A$36,
_xlfn.XLOOKUP(AR6,'2)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E6" s="135" t="e" cm="1">
        <f t="array" ref="BE6">(_xlfn.XLOOKUP($C6,'2) หลักการคำนวน Table'!$A$4:$A$36,
_xlfn.XLOOKUP(AS6,'2)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F6" s="135" t="e" cm="1">
        <f t="array" ref="BF6">(_xlfn.XLOOKUP($C6,'2) หลักการคำนวน Table'!$A$4:$A$36,
_xlfn.XLOOKUP(AT6,'2)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G6" s="135" t="e" cm="1">
        <f t="array" ref="BG6">(_xlfn.XLOOKUP($C6,'2) หลักการคำนวน Table'!$A$4:$A$36,
_xlfn.XLOOKUP(AU6,'2)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H6" s="135" t="e" cm="1">
        <f t="array" ref="BH6">ROUND((_xlfn.XLOOKUP($C6,'2) หลักการคำนวน Table'!$A$4:$A$36,
_xlfn.XLOOKUP(AV6,'2)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I6" s="135" t="e" cm="1">
        <f t="array" ref="BI6">ROUND((_xlfn.XLOOKUP($C6,'2) หลักการคำนวน Table'!$A$4:$A$36,
_xlfn.XLOOKUP(AW6,'2)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J6" s="135" t="e" cm="1">
        <f t="array" ref="BJ6">ROUND((_xlfn.XLOOKUP($C6,'2) หลักการคำนวน Table'!$A$4:$A$36,
_xlfn.XLOOKUP(AX6,'2)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K6" s="135" t="e" cm="1">
        <f t="array" ref="BK6">ROUND((_xlfn.XLOOKUP($C6,'2) หลักการคำนวน Table'!$A$4:$A$36,
_xlfn.XLOOKUP(AY6,'2)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L6" s="239"/>
      <c r="BM6" s="126">
        <v>222208</v>
      </c>
      <c r="BN6" s="245">
        <v>130</v>
      </c>
    </row>
    <row r="7" spans="1:66" ht="13.2" customHeight="1" x14ac:dyDescent="0.25">
      <c r="A7" s="128">
        <f>VLOOKUP(C7,ASTBase!F:S,12,FALSE)</f>
        <v>222234</v>
      </c>
      <c r="B7" s="126" t="s">
        <v>407</v>
      </c>
      <c r="C7" s="128">
        <v>222208</v>
      </c>
      <c r="D7" s="127">
        <f>SUMIFS('3)Target &amp; Cal_Staff'!D$4:D$164,'3)Target &amp; Cal_Staff'!$B$4:$B$164,'3)Target &amp; Cal_Sect'!$B7,'3)Target &amp; Cal_Staff'!$A$4:$A$164,'3)Target &amp; Cal_Sect'!$C7)</f>
        <v>4826.9999999984439</v>
      </c>
      <c r="E7" s="127">
        <f>SUMIFS('3)Target &amp; Cal_Staff'!E$4:E$164,'3)Target &amp; Cal_Staff'!$B$4:$B$164,'3)Target &amp; Cal_Sect'!$B7,'3)Target &amp; Cal_Staff'!$A$4:$A$164,'3)Target &amp; Cal_Sect'!$C7)</f>
        <v>4409.9999999983684</v>
      </c>
      <c r="F7" s="127">
        <f>SUMIFS('3)Target &amp; Cal_Staff'!F$4:F$164,'3)Target &amp; Cal_Staff'!$B$4:$B$164,'3)Target &amp; Cal_Sect'!$B7,'3)Target &amp; Cal_Staff'!$A$4:$A$164,'3)Target &amp; Cal_Sect'!$C7)</f>
        <v>4590</v>
      </c>
      <c r="G7" s="127">
        <f>SUMIFS('3)Target &amp; Cal_Staff'!G$4:G$164,'3)Target &amp; Cal_Staff'!$B$4:$B$164,'3)Target &amp; Cal_Sect'!$B7,'3)Target &amp; Cal_Staff'!$A$4:$A$164,'3)Target &amp; Cal_Sect'!$C7)</f>
        <v>5357.9999999985503</v>
      </c>
      <c r="H7" s="127">
        <f>SUMIFS('3)Target &amp; Cal_Staff'!H$4:H$164,'3)Target &amp; Cal_Staff'!$B$4:$B$164,'3)Target &amp; Cal_Sect'!$B7,'3)Target &amp; Cal_Staff'!$A$4:$A$164,'3)Target &amp; Cal_Sect'!$C7)</f>
        <v>4802.9999999789507</v>
      </c>
      <c r="I7" s="127">
        <f>SUMIFS('3)Target &amp; Cal_Staff'!I$4:I$164,'3)Target &amp; Cal_Staff'!$B$4:$B$164,'3)Target &amp; Cal_Sect'!$B7,'3)Target &amp; Cal_Staff'!$A$4:$A$164,'3)Target &amp; Cal_Sect'!$C7)</f>
        <v>5564.999999994774</v>
      </c>
      <c r="J7" s="127">
        <f>SUMIFS('3)Target &amp; Cal_Staff'!J$4:J$164,'3)Target &amp; Cal_Staff'!$B$4:$B$164,'3)Target &amp; Cal_Sect'!$B7,'3)Target &amp; Cal_Staff'!$A$4:$A$164,'3)Target &amp; Cal_Sect'!$C7)</f>
        <v>5651.9999999984402</v>
      </c>
      <c r="K7" s="127">
        <f>SUMIFS('3)Target &amp; Cal_Staff'!K$4:K$164,'3)Target &amp; Cal_Staff'!$B$4:$B$164,'3)Target &amp; Cal_Sect'!$B7,'3)Target &amp; Cal_Staff'!$A$4:$A$164,'3)Target &amp; Cal_Sect'!$C7)</f>
        <v>5261.9999999941056</v>
      </c>
      <c r="L7" s="127">
        <f>SUMIFS('3)Target &amp; Cal_Staff'!L$4:L$164,'3)Target &amp; Cal_Staff'!$B$4:$B$164,'3)Target &amp; Cal_Sect'!$B7,'3)Target &amp; Cal_Staff'!$A$4:$A$164,'3)Target &amp; Cal_Sect'!$C7)</f>
        <v>5294</v>
      </c>
      <c r="M7" s="127">
        <f>SUMIFS('3)Target &amp; Cal_Staff'!M$4:M$164,'3)Target &amp; Cal_Staff'!$B$4:$B$164,'3)Target &amp; Cal_Sect'!$B7,'3)Target &amp; Cal_Staff'!$A$4:$A$164,'3)Target &amp; Cal_Sect'!$C7)</f>
        <v>6099</v>
      </c>
      <c r="N7" s="127">
        <f>SUMIFS('3)Target &amp; Cal_Staff'!N$4:N$164,'3)Target &amp; Cal_Staff'!$B$4:$B$164,'3)Target &amp; Cal_Sect'!$B7,'3)Target &amp; Cal_Staff'!$A$4:$A$164,'3)Target &amp; Cal_Sect'!$C7)</f>
        <v>5465</v>
      </c>
      <c r="O7" s="127">
        <f>SUMIFS('3)Target &amp; Cal_Staff'!O$4:O$164,'3)Target &amp; Cal_Staff'!$B$4:$B$164,'3)Target &amp; Cal_Sect'!$B7,'3)Target &amp; Cal_Staff'!$A$4:$A$164,'3)Target &amp; Cal_Sect'!$C7)</f>
        <v>5683.9999999981701</v>
      </c>
      <c r="P7" s="127">
        <f>SUMIFS('3)Target &amp; Cal_Staff'!P$4:P$164,'3)Target &amp; Cal_Staff'!$B$4:$B$164,'3)Target &amp; Cal_Sect'!$B7,'3)Target &amp; Cal_Staff'!$A$4:$A$164,'3)Target &amp; Cal_Sect'!$C7)</f>
        <v>8790.9999999129286</v>
      </c>
      <c r="Q7" s="127">
        <f>SUMIFS('3)Target &amp; Cal_Staff'!Q$4:Q$164,'3)Target &amp; Cal_Staff'!$B$4:$B$164,'3)Target &amp; Cal_Sect'!$B7,'3)Target &amp; Cal_Staff'!$A$4:$A$164,'3)Target &amp; Cal_Sect'!$C7)</f>
        <v>0</v>
      </c>
      <c r="R7" s="127">
        <f>SUMIFS('3)Target &amp; Cal_Staff'!R$4:R$164,'3)Target &amp; Cal_Staff'!$B$4:$B$164,'3)Target &amp; Cal_Sect'!$B7,'3)Target &amp; Cal_Staff'!$A$4:$A$164,'3)Target &amp; Cal_Sect'!$C7)</f>
        <v>0</v>
      </c>
      <c r="S7" s="127">
        <f>SUMIFS('3)Target &amp; Cal_Staff'!S$4:S$164,'3)Target &amp; Cal_Staff'!$B$4:$B$164,'3)Target &amp; Cal_Sect'!$B7,'3)Target &amp; Cal_Staff'!$A$4:$A$164,'3)Target &amp; Cal_Sect'!$C7)</f>
        <v>0</v>
      </c>
      <c r="T7" s="127">
        <f>SUMIFS('3)Target &amp; Cal_Staff'!T$4:T$164,'3)Target &amp; Cal_Staff'!$B$4:$B$164,'3)Target &amp; Cal_Sect'!$B7,'3)Target &amp; Cal_Staff'!$A$4:$A$164,'3)Target &amp; Cal_Sect'!$C7)</f>
        <v>0</v>
      </c>
      <c r="U7" s="127">
        <f>SUMIFS('3)Target &amp; Cal_Staff'!U$4:U$164,'3)Target &amp; Cal_Staff'!$B$4:$B$164,'3)Target &amp; Cal_Sect'!$B7,'3)Target &amp; Cal_Staff'!$A$4:$A$164,'3)Target &amp; Cal_Sect'!$C7)</f>
        <v>0</v>
      </c>
      <c r="V7" s="127">
        <f>SUMIFS('3)Target &amp; Cal_Staff'!V$4:V$164,'3)Target &amp; Cal_Staff'!$B$4:$B$164,'3)Target &amp; Cal_Sect'!$B7,'3)Target &amp; Cal_Staff'!$A$4:$A$164,'3)Target &amp; Cal_Sect'!$C7)</f>
        <v>0</v>
      </c>
      <c r="W7" s="127">
        <f>SUMIFS('3)Target &amp; Cal_Staff'!W$4:W$164,'3)Target &amp; Cal_Staff'!$B$4:$B$164,'3)Target &amp; Cal_Sect'!$B7,'3)Target &amp; Cal_Staff'!$A$4:$A$164,'3)Target &amp; Cal_Sect'!$C7)</f>
        <v>0</v>
      </c>
      <c r="X7" s="127">
        <f>SUMIFS('3)Target &amp; Cal_Staff'!X$4:X$164,'3)Target &amp; Cal_Staff'!$B$4:$B$164,'3)Target &amp; Cal_Sect'!$B7,'3)Target &amp; Cal_Staff'!$A$4:$A$164,'3)Target &amp; Cal_Sect'!$C7)</f>
        <v>0</v>
      </c>
      <c r="Y7" s="127">
        <f>SUMIFS('3)Target &amp; Cal_Staff'!Y$4:Y$164,'3)Target &amp; Cal_Staff'!$B$4:$B$164,'3)Target &amp; Cal_Sect'!$B7,'3)Target &amp; Cal_Staff'!$A$4:$A$164,'3)Target &amp; Cal_Sect'!$C7)</f>
        <v>0</v>
      </c>
      <c r="Z7" s="127">
        <f>SUMIFS('3)Target &amp; Cal_Staff'!Z$4:Z$164,'3)Target &amp; Cal_Staff'!$B$4:$B$164,'3)Target &amp; Cal_Sect'!$B7,'3)Target &amp; Cal_Staff'!$A$4:$A$164,'3)Target &amp; Cal_Sect'!$C7)</f>
        <v>0</v>
      </c>
      <c r="AA7" s="127">
        <f>SUMIFS('3)Target &amp; Cal_Staff'!AA$4:AA$164,'3)Target &amp; Cal_Staff'!$B$4:$B$164,'3)Target &amp; Cal_Sect'!$B7,'3)Target &amp; Cal_Staff'!$A$4:$A$164,'3)Target &amp; Cal_Sect'!$C7)</f>
        <v>0</v>
      </c>
      <c r="AB7" s="132">
        <f>IFERROR(IF(VLOOKUP($B7,Shortage!$A:$M,AB$2,FALSE)="Shortage",1,IFERROR(ROUND(P7/D7,4),0)),IFERROR(ROUND(P7/D7,4),0))</f>
        <v>1.8211999999999999</v>
      </c>
      <c r="AC7" s="132">
        <f>IFERROR(IF(VLOOKUP($B7,Shortage!$A:$M,AC$2,FALSE)="Shortage",1,IFERROR(ROUND(Q7/E7,4),0)),IFERROR(ROUND(Q7/E7,4),0))</f>
        <v>0</v>
      </c>
      <c r="AD7" s="132">
        <f>IFERROR(IF(VLOOKUP($B7,Shortage!$A:$M,AD$2,FALSE)="Shortage",1,IFERROR(ROUND(R7/F7,4),0)),IFERROR(ROUND(R7/F7,4),0))</f>
        <v>0</v>
      </c>
      <c r="AE7" s="132">
        <f>IFERROR(IF(VLOOKUP($B7,Shortage!$A:$M,AE$2,FALSE)="Shortage",1,IFERROR(ROUND(S7/G7,4),0)),IFERROR(ROUND(S7/G7,4),0))</f>
        <v>0</v>
      </c>
      <c r="AF7" s="132">
        <f>IFERROR(IF(VLOOKUP($B7,Shortage!$A:$M,AF$2,FALSE)="Shortage",1,IFERROR(ROUND(T7/H7,4),0)),IFERROR(ROUND(T7/H7,4),0))</f>
        <v>0</v>
      </c>
      <c r="AG7" s="132">
        <f>IFERROR(IF(VLOOKUP($B7,Shortage!$A:$M,AG$2,FALSE)="Shortage",1,IFERROR(ROUND(U7/I7,4),0)),IFERROR(ROUND(U7/I7,4),0))</f>
        <v>0</v>
      </c>
      <c r="AH7" s="132">
        <f>IFERROR(IF(VLOOKUP($B7,Shortage!$A:$M,AH$2,FALSE)="Shortage",1,IFERROR(ROUND(V7/J7,4),0)),IFERROR(ROUND(V7/J7,4),0))</f>
        <v>0</v>
      </c>
      <c r="AI7" s="132">
        <f>IFERROR(IF(VLOOKUP($B7,Shortage!$A:$M,AI$2,FALSE)="Shortage",1,IFERROR(ROUND(W7/K7,4),0)),IFERROR(ROUND(W7/K7,4),0))</f>
        <v>0</v>
      </c>
      <c r="AJ7" s="132">
        <f>IFERROR(IF(VLOOKUP($B7,Shortage!$A:$M,AJ$2,FALSE)="Shortage",1,IFERROR(ROUND(X7/L7,4),0)),IFERROR(ROUND(X7/L7,4),0))</f>
        <v>0</v>
      </c>
      <c r="AK7" s="132">
        <f>IFERROR(IF(VLOOKUP($B7,Shortage!$A:$M,AK$2,FALSE)="Shortage",1,IFERROR(ROUND(Y7/M7,4),0)),IFERROR(ROUND(Y7/M7,4),0))</f>
        <v>0</v>
      </c>
      <c r="AL7" s="132">
        <f>IFERROR(IF(VLOOKUP($B7,Shortage!$A:$M,AL$2,FALSE)="Shortage",1,IFERROR(ROUND(Z7/N7,4),0)),IFERROR(ROUND(Z7/N7,4),0))</f>
        <v>0</v>
      </c>
      <c r="AM7" s="132">
        <f>IFERROR(IF(VLOOKUP($B7,Shortage!$A:$M,AM$2,FALSE)="Shortage",1,IFERROR(ROUND(AA7/O7,4),0)),IFERROR(ROUND(AA7/O7,4),0))</f>
        <v>0</v>
      </c>
      <c r="AN7" s="186">
        <f>IFERROR(_xlfn.XLOOKUP(AB7,'2) หลักการคำนวน Table'!$C$3:$K$3,'2) หลักการคำนวน Table'!$C$3:$K$3,,1),INDEX('2) หลักการคำนวน Table'!$C$3:$K$3,1))</f>
        <v>20</v>
      </c>
      <c r="AO7" s="186">
        <f>IFERROR(
  _xlfn.XLOOKUP(AC7,'2) หลักการคำนวน Table'!$C$3:$K$3,'2) หลักการคำนวน Table'!$C$3:$K$3,,1),
  IF(AC7&lt;MIN('2) หลักการคำนวน Table'!$C$3:$K$3),
     MIN('2) หลักการคำนวน Table'!$C$3:$K$3),
     MAX('2) หลักการคำนวน Table'!$C$3:$K$3)
  )
)</f>
        <v>0.9</v>
      </c>
      <c r="AP7" s="186">
        <f>IFERROR(
  _xlfn.XLOOKUP(AD7,'2) หลักการคำนวน Table'!$C$3:$K$3,'2) หลักการคำนวน Table'!$C$3:$K$3,,1),
  IF(AD7&lt;MIN('2) หลักการคำนวน Table'!$C$3:$K$3),
     MIN('2) หลักการคำนวน Table'!$C$3:$K$3),
     MAX('2) หลักการคำนวน Table'!$C$3:$K$3)
  )
)</f>
        <v>0.9</v>
      </c>
      <c r="AQ7" s="186">
        <f>IFERROR(
  _xlfn.XLOOKUP(AE7,'2) หลักการคำนวน Table'!$C$3:$K$3,'2) หลักการคำนวน Table'!$C$3:$K$3,,1),
  IF(AE7&lt;MIN('2) หลักการคำนวน Table'!$C$3:$K$3),
     MIN('2) หลักการคำนวน Table'!$C$3:$K$3),
     MAX('2) หลักการคำนวน Table'!$C$3:$K$3)
  )
)</f>
        <v>0.9</v>
      </c>
      <c r="AR7" s="186">
        <f>IFERROR(
  _xlfn.XLOOKUP(AF7,'2) หลักการคำนวน Table'!$C$3:$K$3,'2) หลักการคำนวน Table'!$C$3:$K$3,,1),
  IF(AF7&lt;MIN('2) หลักการคำนวน Table'!$C$3:$K$3),
     MIN('2) หลักการคำนวน Table'!$C$3:$K$3),
     MAX('2) หลักการคำนวน Table'!$C$3:$K$3)
  )
)</f>
        <v>0.9</v>
      </c>
      <c r="AS7" s="186">
        <f>IFERROR(
  _xlfn.XLOOKUP(AG7,'2) หลักการคำนวน Table'!$C$3:$K$3,'2) หลักการคำนวน Table'!$C$3:$K$3,,1),
  IF(AG7&lt;MIN('2) หลักการคำนวน Table'!$C$3:$K$3),
     MIN('2) หลักการคำนวน Table'!$C$3:$K$3),
     MAX('2) หลักการคำนวน Table'!$C$3:$K$3)
  )
)</f>
        <v>0.9</v>
      </c>
      <c r="AT7" s="186">
        <f>IFERROR(
  _xlfn.XLOOKUP(AH7,'2) หลักการคำนวน Table'!$C$3:$K$3,'2) หลักการคำนวน Table'!$C$3:$K$3,,1),
  IF(AH7&lt;MIN('2) หลักการคำนวน Table'!$C$3:$K$3),
     MIN('2) หลักการคำนวน Table'!$C$3:$K$3),
     MAX('2) หลักการคำนวน Table'!$C$3:$K$3)
  )
)</f>
        <v>0.9</v>
      </c>
      <c r="AU7" s="186">
        <f>IFERROR(
  _xlfn.XLOOKUP(AI7,'2) หลักการคำนวน Table'!$C$3:$K$3,'2) หลักการคำนวน Table'!$C$3:$K$3,,1),
  IF(AI7&lt;MIN('2) หลักการคำนวน Table'!$C$3:$K$3),
     MIN('2) หลักการคำนวน Table'!$C$3:$K$3),
     MAX('2) หลักการคำนวน Table'!$C$3:$K$3)
  )
)</f>
        <v>0.9</v>
      </c>
      <c r="AV7" s="186">
        <f>IFERROR(
  _xlfn.XLOOKUP(AJ7,'2) หลักการคำนวน Table'!$C$3:$K$3,'2) หลักการคำนวน Table'!$C$3:$K$3,,1),
  IF(AJ7&lt;MIN('2) หลักการคำนวน Table'!$C$3:$K$3),
     MIN('2) หลักการคำนวน Table'!$C$3:$K$3),
     MAX('2) หลักการคำนวน Table'!$C$3:$K$3)
  )
)</f>
        <v>0.9</v>
      </c>
      <c r="AW7" s="186">
        <f>IFERROR(
  _xlfn.XLOOKUP(AK7,'2) หลักการคำนวน Table'!$C$3:$K$3,'2) หลักการคำนวน Table'!$C$3:$K$3,,1),
  IF(AK7&lt;MIN('2) หลักการคำนวน Table'!$C$3:$K$3),
     MIN('2) หลักการคำนวน Table'!$C$3:$K$3),
     MAX('2) หลักการคำนวน Table'!$C$3:$K$3)
  )
)</f>
        <v>0.9</v>
      </c>
      <c r="AX7" s="186">
        <f>IFERROR(
  _xlfn.XLOOKUP(AL7,'2) หลักการคำนวน Table'!$C$3:$K$3,'2) หลักการคำนวน Table'!$C$3:$K$3,,1),
  IF(AL7&lt;MIN('2) หลักการคำนวน Table'!$C$3:$K$3),
     MIN('2) หลักการคำนวน Table'!$C$3:$K$3),
     MAX('2) หลักการคำนวน Table'!$C$3:$K$3)
  )
)</f>
        <v>0.9</v>
      </c>
      <c r="AY7" s="186">
        <f>IFERROR(
  _xlfn.XLOOKUP(AM7,'2) หลักการคำนวน Table'!$C$3:$K$3,'2) หลักการคำนวน Table'!$C$3:$K$3,,1),
  IF(AM7&lt;MIN('2) หลักการคำนวน Table'!$C$3:$K$3),
     MIN('2) หลักการคำนวน Table'!$C$3:$K$3),
     MAX('2) หลักการคำนวน Table'!$C$3:$K$3)
  )
)</f>
        <v>0.9</v>
      </c>
      <c r="AZ7" s="135" t="e" cm="1">
        <f t="array" ref="AZ7">(_xlfn.XLOOKUP($C7,'2) หลักการคำนวน Table'!$A$4:$A$36,
_xlfn.XLOOKUP(AN7,'2)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A7" s="135" t="e" cm="1">
        <f t="array" ref="BA7">(_xlfn.XLOOKUP($C7,'2) หลักการคำนวน Table'!$A$4:$A$36,
_xlfn.XLOOKUP(AO7,'2)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B7" s="135" t="e" cm="1">
        <f t="array" ref="BB7">(_xlfn.XLOOKUP($C7,'2) หลักการคำนวน Table'!$A$4:$A$36,
_xlfn.XLOOKUP(AP7,'2)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C7" s="135" t="e" cm="1">
        <f t="array" ref="BC7">(_xlfn.XLOOKUP($C7,'2) หลักการคำนวน Table'!$A$4:$A$36,
_xlfn.XLOOKUP(AQ7,'2)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D7" s="135" t="e" cm="1">
        <f t="array" ref="BD7">(_xlfn.XLOOKUP($C7,'2) หลักการคำนวน Table'!$A$4:$A$36,
_xlfn.XLOOKUP(AR7,'2)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E7" s="135" t="e" cm="1">
        <f t="array" ref="BE7">(_xlfn.XLOOKUP($C7,'2) หลักการคำนวน Table'!$A$4:$A$36,
_xlfn.XLOOKUP(AS7,'2)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F7" s="135" t="e" cm="1">
        <f t="array" ref="BF7">(_xlfn.XLOOKUP($C7,'2) หลักการคำนวน Table'!$A$4:$A$36,
_xlfn.XLOOKUP(AT7,'2)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G7" s="135" t="e" cm="1">
        <f t="array" ref="BG7">(_xlfn.XLOOKUP($C7,'2) หลักการคำนวน Table'!$A$4:$A$36,
_xlfn.XLOOKUP(AU7,'2)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H7" s="135" t="e" cm="1">
        <f t="array" ref="BH7">ROUND((_xlfn.XLOOKUP($C7,'2) หลักการคำนวน Table'!$A$4:$A$36,
_xlfn.XLOOKUP(AV7,'2)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I7" s="135" t="e" cm="1">
        <f t="array" ref="BI7">ROUND((_xlfn.XLOOKUP($C7,'2) หลักการคำนวน Table'!$A$4:$A$36,
_xlfn.XLOOKUP(AW7,'2)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J7" s="135" t="e" cm="1">
        <f t="array" ref="BJ7">ROUND((_xlfn.XLOOKUP($C7,'2) หลักการคำนวน Table'!$A$4:$A$36,
_xlfn.XLOOKUP(AX7,'2)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K7" s="135" t="e" cm="1">
        <f t="array" ref="BK7">ROUND((_xlfn.XLOOKUP($C7,'2) หลักการคำนวน Table'!$A$4:$A$36,
_xlfn.XLOOKUP(AY7,'2)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L7" s="239"/>
      <c r="BM7" s="126">
        <v>222208</v>
      </c>
      <c r="BN7" s="245">
        <v>540</v>
      </c>
    </row>
    <row r="8" spans="1:66" ht="13.2" customHeight="1" x14ac:dyDescent="0.25">
      <c r="A8" s="128">
        <f>VLOOKUP(C8,ASTBase!F:S,12,FALSE)</f>
        <v>222234</v>
      </c>
      <c r="B8" s="126" t="s">
        <v>418</v>
      </c>
      <c r="C8" s="128">
        <v>222208</v>
      </c>
      <c r="D8" s="127">
        <f>SUMIFS('3)Target &amp; Cal_Staff'!D$4:D$164,'3)Target &amp; Cal_Staff'!$B$4:$B$164,'3)Target &amp; Cal_Sect'!$B8,'3)Target &amp; Cal_Staff'!$A$4:$A$164,'3)Target &amp; Cal_Sect'!$C8)</f>
        <v>731.16</v>
      </c>
      <c r="E8" s="127">
        <f>SUMIFS('3)Target &amp; Cal_Staff'!E$4:E$164,'3)Target &amp; Cal_Staff'!$B$4:$B$164,'3)Target &amp; Cal_Sect'!$B8,'3)Target &amp; Cal_Staff'!$A$4:$A$164,'3)Target &amp; Cal_Sect'!$C8)</f>
        <v>647.48</v>
      </c>
      <c r="F8" s="127">
        <f>SUMIFS('3)Target &amp; Cal_Staff'!F$4:F$164,'3)Target &amp; Cal_Staff'!$B$4:$B$164,'3)Target &amp; Cal_Sect'!$B8,'3)Target &amp; Cal_Staff'!$A$4:$A$164,'3)Target &amp; Cal_Sect'!$C8)</f>
        <v>470.19200000000001</v>
      </c>
      <c r="G8" s="127">
        <f>SUMIFS('3)Target &amp; Cal_Staff'!G$4:G$164,'3)Target &amp; Cal_Staff'!$B$4:$B$164,'3)Target &amp; Cal_Sect'!$B8,'3)Target &amp; Cal_Staff'!$A$4:$A$164,'3)Target &amp; Cal_Sect'!$C8)</f>
        <v>275.13599999999997</v>
      </c>
      <c r="H8" s="127">
        <f>SUMIFS('3)Target &amp; Cal_Staff'!H$4:H$164,'3)Target &amp; Cal_Staff'!$B$4:$B$164,'3)Target &amp; Cal_Sect'!$B8,'3)Target &amp; Cal_Staff'!$A$4:$A$164,'3)Target &amp; Cal_Sect'!$C8)</f>
        <v>433.13599999999997</v>
      </c>
      <c r="I8" s="127">
        <f>SUMIFS('3)Target &amp; Cal_Staff'!I$4:I$164,'3)Target &amp; Cal_Staff'!$B$4:$B$164,'3)Target &amp; Cal_Sect'!$B8,'3)Target &amp; Cal_Staff'!$A$4:$A$164,'3)Target &amp; Cal_Sect'!$C8)</f>
        <v>363.84000000000003</v>
      </c>
      <c r="J8" s="127">
        <f>SUMIFS('3)Target &amp; Cal_Staff'!J$4:J$164,'3)Target &amp; Cal_Staff'!$B$4:$B$164,'3)Target &amp; Cal_Sect'!$B8,'3)Target &amp; Cal_Staff'!$A$4:$A$164,'3)Target &amp; Cal_Sect'!$C8)</f>
        <v>342.13599999999997</v>
      </c>
      <c r="K8" s="127">
        <f>SUMIFS('3)Target &amp; Cal_Staff'!K$4:K$164,'3)Target &amp; Cal_Staff'!$B$4:$B$164,'3)Target &amp; Cal_Sect'!$B8,'3)Target &amp; Cal_Staff'!$A$4:$A$164,'3)Target &amp; Cal_Sect'!$C8)</f>
        <v>283.56799999999998</v>
      </c>
      <c r="L8" s="127">
        <f>SUMIFS('3)Target &amp; Cal_Staff'!L$4:L$164,'3)Target &amp; Cal_Staff'!$B$4:$B$164,'3)Target &amp; Cal_Sect'!$B8,'3)Target &amp; Cal_Staff'!$A$4:$A$164,'3)Target &amp; Cal_Sect'!$C8)</f>
        <v>463.70400000000001</v>
      </c>
      <c r="M8" s="127">
        <f>SUMIFS('3)Target &amp; Cal_Staff'!M$4:M$164,'3)Target &amp; Cal_Staff'!$B$4:$B$164,'3)Target &amp; Cal_Sect'!$B8,'3)Target &amp; Cal_Staff'!$A$4:$A$164,'3)Target &amp; Cal_Sect'!$C8)</f>
        <v>2143.84</v>
      </c>
      <c r="N8" s="127">
        <f>SUMIFS('3)Target &amp; Cal_Staff'!N$4:N$164,'3)Target &amp; Cal_Staff'!$B$4:$B$164,'3)Target &amp; Cal_Sect'!$B8,'3)Target &amp; Cal_Staff'!$A$4:$A$164,'3)Target &amp; Cal_Sect'!$C8)</f>
        <v>1341.136</v>
      </c>
      <c r="O8" s="127">
        <f>SUMIFS('3)Target &amp; Cal_Staff'!O$4:O$164,'3)Target &amp; Cal_Staff'!$B$4:$B$164,'3)Target &amp; Cal_Sect'!$B8,'3)Target &amp; Cal_Staff'!$A$4:$A$164,'3)Target &amp; Cal_Sect'!$C8)</f>
        <v>304.70400000000001</v>
      </c>
      <c r="P8" s="127">
        <f>SUMIFS('3)Target &amp; Cal_Staff'!P$4:P$164,'3)Target &amp; Cal_Staff'!$B$4:$B$164,'3)Target &amp; Cal_Sect'!$B8,'3)Target &amp; Cal_Staff'!$A$4:$A$164,'3)Target &amp; Cal_Sect'!$C8)</f>
        <v>699.95999999999981</v>
      </c>
      <c r="Q8" s="127">
        <f>SUMIFS('3)Target &amp; Cal_Staff'!Q$4:Q$164,'3)Target &amp; Cal_Staff'!$B$4:$B$164,'3)Target &amp; Cal_Sect'!$B8,'3)Target &amp; Cal_Staff'!$A$4:$A$164,'3)Target &amp; Cal_Sect'!$C8)</f>
        <v>0</v>
      </c>
      <c r="R8" s="127">
        <f>SUMIFS('3)Target &amp; Cal_Staff'!R$4:R$164,'3)Target &amp; Cal_Staff'!$B$4:$B$164,'3)Target &amp; Cal_Sect'!$B8,'3)Target &amp; Cal_Staff'!$A$4:$A$164,'3)Target &amp; Cal_Sect'!$C8)</f>
        <v>0</v>
      </c>
      <c r="S8" s="127">
        <f>SUMIFS('3)Target &amp; Cal_Staff'!S$4:S$164,'3)Target &amp; Cal_Staff'!$B$4:$B$164,'3)Target &amp; Cal_Sect'!$B8,'3)Target &amp; Cal_Staff'!$A$4:$A$164,'3)Target &amp; Cal_Sect'!$C8)</f>
        <v>0</v>
      </c>
      <c r="T8" s="127">
        <f>SUMIFS('3)Target &amp; Cal_Staff'!T$4:T$164,'3)Target &amp; Cal_Staff'!$B$4:$B$164,'3)Target &amp; Cal_Sect'!$B8,'3)Target &amp; Cal_Staff'!$A$4:$A$164,'3)Target &amp; Cal_Sect'!$C8)</f>
        <v>0</v>
      </c>
      <c r="U8" s="127">
        <f>SUMIFS('3)Target &amp; Cal_Staff'!U$4:U$164,'3)Target &amp; Cal_Staff'!$B$4:$B$164,'3)Target &amp; Cal_Sect'!$B8,'3)Target &amp; Cal_Staff'!$A$4:$A$164,'3)Target &amp; Cal_Sect'!$C8)</f>
        <v>0</v>
      </c>
      <c r="V8" s="127">
        <f>SUMIFS('3)Target &amp; Cal_Staff'!V$4:V$164,'3)Target &amp; Cal_Staff'!$B$4:$B$164,'3)Target &amp; Cal_Sect'!$B8,'3)Target &amp; Cal_Staff'!$A$4:$A$164,'3)Target &amp; Cal_Sect'!$C8)</f>
        <v>0</v>
      </c>
      <c r="W8" s="127">
        <f>SUMIFS('3)Target &amp; Cal_Staff'!W$4:W$164,'3)Target &amp; Cal_Staff'!$B$4:$B$164,'3)Target &amp; Cal_Sect'!$B8,'3)Target &amp; Cal_Staff'!$A$4:$A$164,'3)Target &amp; Cal_Sect'!$C8)</f>
        <v>0</v>
      </c>
      <c r="X8" s="127">
        <f>SUMIFS('3)Target &amp; Cal_Staff'!X$4:X$164,'3)Target &amp; Cal_Staff'!$B$4:$B$164,'3)Target &amp; Cal_Sect'!$B8,'3)Target &amp; Cal_Staff'!$A$4:$A$164,'3)Target &amp; Cal_Sect'!$C8)</f>
        <v>0</v>
      </c>
      <c r="Y8" s="127">
        <f>SUMIFS('3)Target &amp; Cal_Staff'!Y$4:Y$164,'3)Target &amp; Cal_Staff'!$B$4:$B$164,'3)Target &amp; Cal_Sect'!$B8,'3)Target &amp; Cal_Staff'!$A$4:$A$164,'3)Target &amp; Cal_Sect'!$C8)</f>
        <v>0</v>
      </c>
      <c r="Z8" s="127">
        <f>SUMIFS('3)Target &amp; Cal_Staff'!Z$4:Z$164,'3)Target &amp; Cal_Staff'!$B$4:$B$164,'3)Target &amp; Cal_Sect'!$B8,'3)Target &amp; Cal_Staff'!$A$4:$A$164,'3)Target &amp; Cal_Sect'!$C8)</f>
        <v>0</v>
      </c>
      <c r="AA8" s="127">
        <f>SUMIFS('3)Target &amp; Cal_Staff'!AA$4:AA$164,'3)Target &amp; Cal_Staff'!$B$4:$B$164,'3)Target &amp; Cal_Sect'!$B8,'3)Target &amp; Cal_Staff'!$A$4:$A$164,'3)Target &amp; Cal_Sect'!$C8)</f>
        <v>0</v>
      </c>
      <c r="AB8" s="132">
        <f>IFERROR(IF(VLOOKUP($B8,Shortage!$A:$M,AB$2,FALSE)="Shortage",1,IFERROR(ROUND(P8/D8,4),0)),IFERROR(ROUND(P8/D8,4),0))</f>
        <v>0.95730000000000004</v>
      </c>
      <c r="AC8" s="132">
        <f>IFERROR(IF(VLOOKUP($B8,Shortage!$A:$M,AC$2,FALSE)="Shortage",1,IFERROR(ROUND(Q8/E8,4),0)),IFERROR(ROUND(Q8/E8,4),0))</f>
        <v>0</v>
      </c>
      <c r="AD8" s="132">
        <f>IFERROR(IF(VLOOKUP($B8,Shortage!$A:$M,AD$2,FALSE)="Shortage",1,IFERROR(ROUND(R8/F8,4),0)),IFERROR(ROUND(R8/F8,4),0))</f>
        <v>0</v>
      </c>
      <c r="AE8" s="132">
        <f>IFERROR(IF(VLOOKUP($B8,Shortage!$A:$M,AE$2,FALSE)="Shortage",1,IFERROR(ROUND(S8/G8,4),0)),IFERROR(ROUND(S8/G8,4),0))</f>
        <v>0</v>
      </c>
      <c r="AF8" s="132">
        <f>IFERROR(IF(VLOOKUP($B8,Shortage!$A:$M,AF$2,FALSE)="Shortage",1,IFERROR(ROUND(T8/H8,4),0)),IFERROR(ROUND(T8/H8,4),0))</f>
        <v>0</v>
      </c>
      <c r="AG8" s="132">
        <f>IFERROR(IF(VLOOKUP($B8,Shortage!$A:$M,AG$2,FALSE)="Shortage",1,IFERROR(ROUND(U8/I8,4),0)),IFERROR(ROUND(U8/I8,4),0))</f>
        <v>0</v>
      </c>
      <c r="AH8" s="132">
        <f>IFERROR(IF(VLOOKUP($B8,Shortage!$A:$M,AH$2,FALSE)="Shortage",1,IFERROR(ROUND(V8/J8,4),0)),IFERROR(ROUND(V8/J8,4),0))</f>
        <v>0</v>
      </c>
      <c r="AI8" s="132">
        <f>IFERROR(IF(VLOOKUP($B8,Shortage!$A:$M,AI$2,FALSE)="Shortage",1,IFERROR(ROUND(W8/K8,4),0)),IFERROR(ROUND(W8/K8,4),0))</f>
        <v>0</v>
      </c>
      <c r="AJ8" s="132">
        <f>IFERROR(IF(VLOOKUP($B8,Shortage!$A:$M,AJ$2,FALSE)="Shortage",1,IFERROR(ROUND(X8/L8,4),0)),IFERROR(ROUND(X8/L8,4),0))</f>
        <v>0</v>
      </c>
      <c r="AK8" s="132">
        <f>IFERROR(IF(VLOOKUP($B8,Shortage!$A:$M,AK$2,FALSE)="Shortage",1,IFERROR(ROUND(Y8/M8,4),0)),IFERROR(ROUND(Y8/M8,4),0))</f>
        <v>0</v>
      </c>
      <c r="AL8" s="132">
        <f>IFERROR(IF(VLOOKUP($B8,Shortage!$A:$M,AL$2,FALSE)="Shortage",1,IFERROR(ROUND(Z8/N8,4),0)),IFERROR(ROUND(Z8/N8,4),0))</f>
        <v>0</v>
      </c>
      <c r="AM8" s="132">
        <f>IFERROR(IF(VLOOKUP($B8,Shortage!$A:$M,AM$2,FALSE)="Shortage",1,IFERROR(ROUND(AA8/O8,4),0)),IFERROR(ROUND(AA8/O8,4),0))</f>
        <v>0</v>
      </c>
      <c r="AN8" s="186">
        <f>IFERROR(_xlfn.XLOOKUP(AB8,'2) หลักการคำนวน Table'!$C$3:$K$3,'2) หลักการคำนวน Table'!$C$3:$K$3,,1),INDEX('2) หลักการคำนวน Table'!$C$3:$K$3,1))</f>
        <v>1</v>
      </c>
      <c r="AO8" s="186">
        <f>IFERROR(
  _xlfn.XLOOKUP(AC8,'2) หลักการคำนวน Table'!$C$3:$K$3,'2) หลักการคำนวน Table'!$C$3:$K$3,,1),
  IF(AC8&lt;MIN('2) หลักการคำนวน Table'!$C$3:$K$3),
     MIN('2) หลักการคำนวน Table'!$C$3:$K$3),
     MAX('2) หลักการคำนวน Table'!$C$3:$K$3)
  )
)</f>
        <v>0.9</v>
      </c>
      <c r="AP8" s="186">
        <f>IFERROR(
  _xlfn.XLOOKUP(AD8,'2) หลักการคำนวน Table'!$C$3:$K$3,'2) หลักการคำนวน Table'!$C$3:$K$3,,1),
  IF(AD8&lt;MIN('2) หลักการคำนวน Table'!$C$3:$K$3),
     MIN('2) หลักการคำนวน Table'!$C$3:$K$3),
     MAX('2) หลักการคำนวน Table'!$C$3:$K$3)
  )
)</f>
        <v>0.9</v>
      </c>
      <c r="AQ8" s="186">
        <f>IFERROR(
  _xlfn.XLOOKUP(AE8,'2) หลักการคำนวน Table'!$C$3:$K$3,'2) หลักการคำนวน Table'!$C$3:$K$3,,1),
  IF(AE8&lt;MIN('2) หลักการคำนวน Table'!$C$3:$K$3),
     MIN('2) หลักการคำนวน Table'!$C$3:$K$3),
     MAX('2) หลักการคำนวน Table'!$C$3:$K$3)
  )
)</f>
        <v>0.9</v>
      </c>
      <c r="AR8" s="186">
        <f>IFERROR(
  _xlfn.XLOOKUP(AF8,'2) หลักการคำนวน Table'!$C$3:$K$3,'2) หลักการคำนวน Table'!$C$3:$K$3,,1),
  IF(AF8&lt;MIN('2) หลักการคำนวน Table'!$C$3:$K$3),
     MIN('2) หลักการคำนวน Table'!$C$3:$K$3),
     MAX('2) หลักการคำนวน Table'!$C$3:$K$3)
  )
)</f>
        <v>0.9</v>
      </c>
      <c r="AS8" s="186">
        <f>IFERROR(
  _xlfn.XLOOKUP(AG8,'2) หลักการคำนวน Table'!$C$3:$K$3,'2) หลักการคำนวน Table'!$C$3:$K$3,,1),
  IF(AG8&lt;MIN('2) หลักการคำนวน Table'!$C$3:$K$3),
     MIN('2) หลักการคำนวน Table'!$C$3:$K$3),
     MAX('2) หลักการคำนวน Table'!$C$3:$K$3)
  )
)</f>
        <v>0.9</v>
      </c>
      <c r="AT8" s="186">
        <f>IFERROR(
  _xlfn.XLOOKUP(AH8,'2) หลักการคำนวน Table'!$C$3:$K$3,'2) หลักการคำนวน Table'!$C$3:$K$3,,1),
  IF(AH8&lt;MIN('2) หลักการคำนวน Table'!$C$3:$K$3),
     MIN('2) หลักการคำนวน Table'!$C$3:$K$3),
     MAX('2) หลักการคำนวน Table'!$C$3:$K$3)
  )
)</f>
        <v>0.9</v>
      </c>
      <c r="AU8" s="186">
        <f>IFERROR(
  _xlfn.XLOOKUP(AI8,'2) หลักการคำนวน Table'!$C$3:$K$3,'2) หลักการคำนวน Table'!$C$3:$K$3,,1),
  IF(AI8&lt;MIN('2) หลักการคำนวน Table'!$C$3:$K$3),
     MIN('2) หลักการคำนวน Table'!$C$3:$K$3),
     MAX('2) หลักการคำนวน Table'!$C$3:$K$3)
  )
)</f>
        <v>0.9</v>
      </c>
      <c r="AV8" s="186">
        <f>IFERROR(
  _xlfn.XLOOKUP(AJ8,'2) หลักการคำนวน Table'!$C$3:$K$3,'2) หลักการคำนวน Table'!$C$3:$K$3,,1),
  IF(AJ8&lt;MIN('2) หลักการคำนวน Table'!$C$3:$K$3),
     MIN('2) หลักการคำนวน Table'!$C$3:$K$3),
     MAX('2) หลักการคำนวน Table'!$C$3:$K$3)
  )
)</f>
        <v>0.9</v>
      </c>
      <c r="AW8" s="186">
        <f>IFERROR(
  _xlfn.XLOOKUP(AK8,'2) หลักการคำนวน Table'!$C$3:$K$3,'2) หลักการคำนวน Table'!$C$3:$K$3,,1),
  IF(AK8&lt;MIN('2) หลักการคำนวน Table'!$C$3:$K$3),
     MIN('2) หลักการคำนวน Table'!$C$3:$K$3),
     MAX('2) หลักการคำนวน Table'!$C$3:$K$3)
  )
)</f>
        <v>0.9</v>
      </c>
      <c r="AX8" s="186">
        <f>IFERROR(
  _xlfn.XLOOKUP(AL8,'2) หลักการคำนวน Table'!$C$3:$K$3,'2) หลักการคำนวน Table'!$C$3:$K$3,,1),
  IF(AL8&lt;MIN('2) หลักการคำนวน Table'!$C$3:$K$3),
     MIN('2) หลักการคำนวน Table'!$C$3:$K$3),
     MAX('2) หลักการคำนวน Table'!$C$3:$K$3)
  )
)</f>
        <v>0.9</v>
      </c>
      <c r="AY8" s="186">
        <f>IFERROR(
  _xlfn.XLOOKUP(AM8,'2) หลักการคำนวน Table'!$C$3:$K$3,'2) หลักการคำนวน Table'!$C$3:$K$3,,1),
  IF(AM8&lt;MIN('2) หลักการคำนวน Table'!$C$3:$K$3),
     MIN('2) หลักการคำนวน Table'!$C$3:$K$3),
     MAX('2) หลักการคำนวน Table'!$C$3:$K$3)
  )
)</f>
        <v>0.9</v>
      </c>
      <c r="AZ8" s="135" t="e" cm="1">
        <f t="array" ref="AZ8">(_xlfn.XLOOKUP($C8,'2) หลักการคำนวน Table'!$A$4:$A$36,
_xlfn.XLOOKUP(AN8,'2)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A8" s="135" t="e" cm="1">
        <f t="array" ref="BA8">(_xlfn.XLOOKUP($C8,'2) หลักการคำนวน Table'!$A$4:$A$36,
_xlfn.XLOOKUP(AO8,'2)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B8" s="135" t="e" cm="1">
        <f t="array" ref="BB8">(_xlfn.XLOOKUP($C8,'2) หลักการคำนวน Table'!$A$4:$A$36,
_xlfn.XLOOKUP(AP8,'2)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C8" s="135" t="e" cm="1">
        <f t="array" ref="BC8">(_xlfn.XLOOKUP($C8,'2) หลักการคำนวน Table'!$A$4:$A$36,
_xlfn.XLOOKUP(AQ8,'2)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D8" s="135" t="e" cm="1">
        <f t="array" ref="BD8">(_xlfn.XLOOKUP($C8,'2) หลักการคำนวน Table'!$A$4:$A$36,
_xlfn.XLOOKUP(AR8,'2)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E8" s="135" t="e" cm="1">
        <f t="array" ref="BE8">(_xlfn.XLOOKUP($C8,'2) หลักการคำนวน Table'!$A$4:$A$36,
_xlfn.XLOOKUP(AS8,'2)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F8" s="135" t="e" cm="1">
        <f t="array" ref="BF8">(_xlfn.XLOOKUP($C8,'2) หลักการคำนวน Table'!$A$4:$A$36,
_xlfn.XLOOKUP(AT8,'2)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G8" s="135" t="e" cm="1">
        <f t="array" ref="BG8">(_xlfn.XLOOKUP($C8,'2) หลักการคำนวน Table'!$A$4:$A$36,
_xlfn.XLOOKUP(AU8,'2)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H8" s="135" t="e" cm="1">
        <f t="array" ref="BH8">ROUND((_xlfn.XLOOKUP($C8,'2) หลักการคำนวน Table'!$A$4:$A$36,
_xlfn.XLOOKUP(AV8,'2)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I8" s="135" t="e" cm="1">
        <f t="array" ref="BI8">ROUND((_xlfn.XLOOKUP($C8,'2) หลักการคำนวน Table'!$A$4:$A$36,
_xlfn.XLOOKUP(AW8,'2)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J8" s="135" t="e" cm="1">
        <f t="array" ref="BJ8">ROUND((_xlfn.XLOOKUP($C8,'2) หลักการคำนวน Table'!$A$4:$A$36,
_xlfn.XLOOKUP(AX8,'2)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K8" s="135" t="e" cm="1">
        <f t="array" ref="BK8">ROUND((_xlfn.XLOOKUP($C8,'2) หลักการคำนวน Table'!$A$4:$A$36,
_xlfn.XLOOKUP(AY8,'2)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L8" s="239"/>
      <c r="BM8" s="126">
        <v>222208</v>
      </c>
      <c r="BN8" s="245">
        <v>650</v>
      </c>
    </row>
    <row r="9" spans="1:66" ht="13.2" customHeight="1" x14ac:dyDescent="0.25">
      <c r="A9" s="128">
        <f>VLOOKUP(C9,ASTBase!F:S,12,FALSE)</f>
        <v>222234</v>
      </c>
      <c r="B9" s="126" t="s">
        <v>413</v>
      </c>
      <c r="C9" s="128">
        <v>222208</v>
      </c>
      <c r="D9" s="127">
        <f>SUMIFS('3)Target &amp; Cal_Staff'!D$4:D$164,'3)Target &amp; Cal_Staff'!$B$4:$B$164,'3)Target &amp; Cal_Sect'!$B9,'3)Target &amp; Cal_Staff'!$A$4:$A$164,'3)Target &amp; Cal_Sect'!$C9)</f>
        <v>828.55240000000003</v>
      </c>
      <c r="E9" s="127">
        <f>SUMIFS('3)Target &amp; Cal_Staff'!E$4:E$164,'3)Target &amp; Cal_Staff'!$B$4:$B$164,'3)Target &amp; Cal_Sect'!$B9,'3)Target &amp; Cal_Staff'!$A$4:$A$164,'3)Target &amp; Cal_Sect'!$C9)</f>
        <v>847</v>
      </c>
      <c r="F9" s="127">
        <f>SUMIFS('3)Target &amp; Cal_Staff'!F$4:F$164,'3)Target &amp; Cal_Staff'!$B$4:$B$164,'3)Target &amp; Cal_Sect'!$B9,'3)Target &amp; Cal_Staff'!$A$4:$A$164,'3)Target &amp; Cal_Sect'!$C9)</f>
        <v>749.9434</v>
      </c>
      <c r="G9" s="127">
        <f>SUMIFS('3)Target &amp; Cal_Staff'!G$4:G$164,'3)Target &amp; Cal_Staff'!$B$4:$B$164,'3)Target &amp; Cal_Sect'!$B9,'3)Target &amp; Cal_Staff'!$A$4:$A$164,'3)Target &amp; Cal_Sect'!$C9)</f>
        <v>995.20360000000005</v>
      </c>
      <c r="H9" s="127">
        <f>SUMIFS('3)Target &amp; Cal_Staff'!H$4:H$164,'3)Target &amp; Cal_Staff'!$B$4:$B$164,'3)Target &amp; Cal_Sect'!$B9,'3)Target &amp; Cal_Staff'!$A$4:$A$164,'3)Target &amp; Cal_Sect'!$C9)</f>
        <v>750.42809999999997</v>
      </c>
      <c r="I9" s="127">
        <f>SUMIFS('3)Target &amp; Cal_Staff'!I$4:I$164,'3)Target &amp; Cal_Staff'!$B$4:$B$164,'3)Target &amp; Cal_Sect'!$B9,'3)Target &amp; Cal_Staff'!$A$4:$A$164,'3)Target &amp; Cal_Sect'!$C9)</f>
        <v>784.24530000000004</v>
      </c>
      <c r="J9" s="127">
        <f>SUMIFS('3)Target &amp; Cal_Staff'!J$4:J$164,'3)Target &amp; Cal_Staff'!$B$4:$B$164,'3)Target &amp; Cal_Sect'!$B9,'3)Target &amp; Cal_Staff'!$A$4:$A$164,'3)Target &amp; Cal_Sect'!$C9)</f>
        <v>6752.0869000000002</v>
      </c>
      <c r="K9" s="127">
        <f>SUMIFS('3)Target &amp; Cal_Staff'!K$4:K$164,'3)Target &amp; Cal_Staff'!$B$4:$B$164,'3)Target &amp; Cal_Sect'!$B9,'3)Target &amp; Cal_Staff'!$A$4:$A$164,'3)Target &amp; Cal_Sect'!$C9)</f>
        <v>772.56140000000005</v>
      </c>
      <c r="L9" s="127">
        <f>SUMIFS('3)Target &amp; Cal_Staff'!L$4:L$164,'3)Target &amp; Cal_Staff'!$B$4:$B$164,'3)Target &amp; Cal_Sect'!$B9,'3)Target &amp; Cal_Staff'!$A$4:$A$164,'3)Target &amp; Cal_Sect'!$C9)</f>
        <v>909.84759999999994</v>
      </c>
      <c r="M9" s="127">
        <f>SUMIFS('3)Target &amp; Cal_Staff'!M$4:M$164,'3)Target &amp; Cal_Staff'!$B$4:$B$164,'3)Target &amp; Cal_Sect'!$B9,'3)Target &amp; Cal_Staff'!$A$4:$A$164,'3)Target &amp; Cal_Sect'!$C9)</f>
        <v>9476</v>
      </c>
      <c r="N9" s="127">
        <f>SUMIFS('3)Target &amp; Cal_Staff'!N$4:N$164,'3)Target &amp; Cal_Staff'!$B$4:$B$164,'3)Target &amp; Cal_Sect'!$B9,'3)Target &amp; Cal_Staff'!$A$4:$A$164,'3)Target &amp; Cal_Sect'!$C9)</f>
        <v>702</v>
      </c>
      <c r="O9" s="127">
        <f>SUMIFS('3)Target &amp; Cal_Staff'!O$4:O$164,'3)Target &amp; Cal_Staff'!$B$4:$B$164,'3)Target &amp; Cal_Sect'!$B9,'3)Target &amp; Cal_Staff'!$A$4:$A$164,'3)Target &amp; Cal_Sect'!$C9)</f>
        <v>822</v>
      </c>
      <c r="P9" s="127">
        <f>SUMIFS('3)Target &amp; Cal_Staff'!P$4:P$164,'3)Target &amp; Cal_Staff'!$B$4:$B$164,'3)Target &amp; Cal_Sect'!$B9,'3)Target &amp; Cal_Staff'!$A$4:$A$164,'3)Target &amp; Cal_Sect'!$C9)</f>
        <v>681.9063000000001</v>
      </c>
      <c r="Q9" s="127">
        <f>SUMIFS('3)Target &amp; Cal_Staff'!Q$4:Q$164,'3)Target &amp; Cal_Staff'!$B$4:$B$164,'3)Target &amp; Cal_Sect'!$B9,'3)Target &amp; Cal_Staff'!$A$4:$A$164,'3)Target &amp; Cal_Sect'!$C9)</f>
        <v>0</v>
      </c>
      <c r="R9" s="127">
        <f>SUMIFS('3)Target &amp; Cal_Staff'!R$4:R$164,'3)Target &amp; Cal_Staff'!$B$4:$B$164,'3)Target &amp; Cal_Sect'!$B9,'3)Target &amp; Cal_Staff'!$A$4:$A$164,'3)Target &amp; Cal_Sect'!$C9)</f>
        <v>0</v>
      </c>
      <c r="S9" s="127">
        <f>SUMIFS('3)Target &amp; Cal_Staff'!S$4:S$164,'3)Target &amp; Cal_Staff'!$B$4:$B$164,'3)Target &amp; Cal_Sect'!$B9,'3)Target &amp; Cal_Staff'!$A$4:$A$164,'3)Target &amp; Cal_Sect'!$C9)</f>
        <v>0</v>
      </c>
      <c r="T9" s="127">
        <f>SUMIFS('3)Target &amp; Cal_Staff'!T$4:T$164,'3)Target &amp; Cal_Staff'!$B$4:$B$164,'3)Target &amp; Cal_Sect'!$B9,'3)Target &amp; Cal_Staff'!$A$4:$A$164,'3)Target &amp; Cal_Sect'!$C9)</f>
        <v>0</v>
      </c>
      <c r="U9" s="127">
        <f>SUMIFS('3)Target &amp; Cal_Staff'!U$4:U$164,'3)Target &amp; Cal_Staff'!$B$4:$B$164,'3)Target &amp; Cal_Sect'!$B9,'3)Target &amp; Cal_Staff'!$A$4:$A$164,'3)Target &amp; Cal_Sect'!$C9)</f>
        <v>0</v>
      </c>
      <c r="V9" s="127">
        <f>SUMIFS('3)Target &amp; Cal_Staff'!V$4:V$164,'3)Target &amp; Cal_Staff'!$B$4:$B$164,'3)Target &amp; Cal_Sect'!$B9,'3)Target &amp; Cal_Staff'!$A$4:$A$164,'3)Target &amp; Cal_Sect'!$C9)</f>
        <v>0</v>
      </c>
      <c r="W9" s="127">
        <f>SUMIFS('3)Target &amp; Cal_Staff'!W$4:W$164,'3)Target &amp; Cal_Staff'!$B$4:$B$164,'3)Target &amp; Cal_Sect'!$B9,'3)Target &amp; Cal_Staff'!$A$4:$A$164,'3)Target &amp; Cal_Sect'!$C9)</f>
        <v>0</v>
      </c>
      <c r="X9" s="127">
        <f>SUMIFS('3)Target &amp; Cal_Staff'!X$4:X$164,'3)Target &amp; Cal_Staff'!$B$4:$B$164,'3)Target &amp; Cal_Sect'!$B9,'3)Target &amp; Cal_Staff'!$A$4:$A$164,'3)Target &amp; Cal_Sect'!$C9)</f>
        <v>0</v>
      </c>
      <c r="Y9" s="127">
        <f>SUMIFS('3)Target &amp; Cal_Staff'!Y$4:Y$164,'3)Target &amp; Cal_Staff'!$B$4:$B$164,'3)Target &amp; Cal_Sect'!$B9,'3)Target &amp; Cal_Staff'!$A$4:$A$164,'3)Target &amp; Cal_Sect'!$C9)</f>
        <v>0</v>
      </c>
      <c r="Z9" s="127">
        <f>SUMIFS('3)Target &amp; Cal_Staff'!Z$4:Z$164,'3)Target &amp; Cal_Staff'!$B$4:$B$164,'3)Target &amp; Cal_Sect'!$B9,'3)Target &amp; Cal_Staff'!$A$4:$A$164,'3)Target &amp; Cal_Sect'!$C9)</f>
        <v>0</v>
      </c>
      <c r="AA9" s="127">
        <f>SUMIFS('3)Target &amp; Cal_Staff'!AA$4:AA$164,'3)Target &amp; Cal_Staff'!$B$4:$B$164,'3)Target &amp; Cal_Sect'!$B9,'3)Target &amp; Cal_Staff'!$A$4:$A$164,'3)Target &amp; Cal_Sect'!$C9)</f>
        <v>0</v>
      </c>
      <c r="AB9" s="132">
        <f>IFERROR(IF(VLOOKUP($B9,Shortage!$A:$M,AB$2,FALSE)="Shortage",1,IFERROR(ROUND(P9/D9,4),0)),IFERROR(ROUND(P9/D9,4),0))</f>
        <v>0.82299999999999995</v>
      </c>
      <c r="AC9" s="132">
        <f>IFERROR(IF(VLOOKUP($B9,Shortage!$A:$M,AC$2,FALSE)="Shortage",1,IFERROR(ROUND(Q9/E9,4),0)),IFERROR(ROUND(Q9/E9,4),0))</f>
        <v>0</v>
      </c>
      <c r="AD9" s="132">
        <f>IFERROR(IF(VLOOKUP($B9,Shortage!$A:$M,AD$2,FALSE)="Shortage",1,IFERROR(ROUND(R9/F9,4),0)),IFERROR(ROUND(R9/F9,4),0))</f>
        <v>0</v>
      </c>
      <c r="AE9" s="132">
        <f>IFERROR(IF(VLOOKUP($B9,Shortage!$A:$M,AE$2,FALSE)="Shortage",1,IFERROR(ROUND(S9/G9,4),0)),IFERROR(ROUND(S9/G9,4),0))</f>
        <v>0</v>
      </c>
      <c r="AF9" s="132">
        <f>IFERROR(IF(VLOOKUP($B9,Shortage!$A:$M,AF$2,FALSE)="Shortage",1,IFERROR(ROUND(T9/H9,4),0)),IFERROR(ROUND(T9/H9,4),0))</f>
        <v>0</v>
      </c>
      <c r="AG9" s="132">
        <f>IFERROR(IF(VLOOKUP($B9,Shortage!$A:$M,AG$2,FALSE)="Shortage",1,IFERROR(ROUND(U9/I9,4),0)),IFERROR(ROUND(U9/I9,4),0))</f>
        <v>0</v>
      </c>
      <c r="AH9" s="132">
        <f>IFERROR(IF(VLOOKUP($B9,Shortage!$A:$M,AH$2,FALSE)="Shortage",1,IFERROR(ROUND(V9/J9,4),0)),IFERROR(ROUND(V9/J9,4),0))</f>
        <v>0</v>
      </c>
      <c r="AI9" s="132">
        <f>IFERROR(IF(VLOOKUP($B9,Shortage!$A:$M,AI$2,FALSE)="Shortage",1,IFERROR(ROUND(W9/K9,4),0)),IFERROR(ROUND(W9/K9,4),0))</f>
        <v>0</v>
      </c>
      <c r="AJ9" s="132">
        <f>IFERROR(IF(VLOOKUP($B9,Shortage!$A:$M,AJ$2,FALSE)="Shortage",1,IFERROR(ROUND(X9/L9,4),0)),IFERROR(ROUND(X9/L9,4),0))</f>
        <v>0</v>
      </c>
      <c r="AK9" s="132">
        <f>IFERROR(IF(VLOOKUP($B9,Shortage!$A:$M,AK$2,FALSE)="Shortage",1,IFERROR(ROUND(Y9/M9,4),0)),IFERROR(ROUND(Y9/M9,4),0))</f>
        <v>0</v>
      </c>
      <c r="AL9" s="132">
        <f>IFERROR(IF(VLOOKUP($B9,Shortage!$A:$M,AL$2,FALSE)="Shortage",1,IFERROR(ROUND(Z9/N9,4),0)),IFERROR(ROUND(Z9/N9,4),0))</f>
        <v>0</v>
      </c>
      <c r="AM9" s="132">
        <f>IFERROR(IF(VLOOKUP($B9,Shortage!$A:$M,AM$2,FALSE)="Shortage",1,IFERROR(ROUND(AA9/O9,4),0)),IFERROR(ROUND(AA9/O9,4),0))</f>
        <v>0</v>
      </c>
      <c r="AN9" s="186">
        <f>IFERROR(_xlfn.XLOOKUP(AB9,'2) หลักการคำนวน Table'!$C$3:$K$3,'2) หลักการคำนวน Table'!$C$3:$K$3,,1),INDEX('2) หลักการคำนวน Table'!$C$3:$K$3,1))</f>
        <v>0.9</v>
      </c>
      <c r="AO9" s="186">
        <f>IFERROR(
  _xlfn.XLOOKUP(AC9,'2) หลักการคำนวน Table'!$C$3:$K$3,'2) หลักการคำนวน Table'!$C$3:$K$3,,1),
  IF(AC9&lt;MIN('2) หลักการคำนวน Table'!$C$3:$K$3),
     MIN('2) หลักการคำนวน Table'!$C$3:$K$3),
     MAX('2) หลักการคำนวน Table'!$C$3:$K$3)
  )
)</f>
        <v>0.9</v>
      </c>
      <c r="AP9" s="186">
        <f>IFERROR(
  _xlfn.XLOOKUP(AD9,'2) หลักการคำนวน Table'!$C$3:$K$3,'2) หลักการคำนวน Table'!$C$3:$K$3,,1),
  IF(AD9&lt;MIN('2) หลักการคำนวน Table'!$C$3:$K$3),
     MIN('2) หลักการคำนวน Table'!$C$3:$K$3),
     MAX('2) หลักการคำนวน Table'!$C$3:$K$3)
  )
)</f>
        <v>0.9</v>
      </c>
      <c r="AQ9" s="186">
        <f>IFERROR(
  _xlfn.XLOOKUP(AE9,'2) หลักการคำนวน Table'!$C$3:$K$3,'2) หลักการคำนวน Table'!$C$3:$K$3,,1),
  IF(AE9&lt;MIN('2) หลักการคำนวน Table'!$C$3:$K$3),
     MIN('2) หลักการคำนวน Table'!$C$3:$K$3),
     MAX('2) หลักการคำนวน Table'!$C$3:$K$3)
  )
)</f>
        <v>0.9</v>
      </c>
      <c r="AR9" s="186">
        <f>IFERROR(
  _xlfn.XLOOKUP(AF9,'2) หลักการคำนวน Table'!$C$3:$K$3,'2) หลักการคำนวน Table'!$C$3:$K$3,,1),
  IF(AF9&lt;MIN('2) หลักการคำนวน Table'!$C$3:$K$3),
     MIN('2) หลักการคำนวน Table'!$C$3:$K$3),
     MAX('2) หลักการคำนวน Table'!$C$3:$K$3)
  )
)</f>
        <v>0.9</v>
      </c>
      <c r="AS9" s="186">
        <f>IFERROR(
  _xlfn.XLOOKUP(AG9,'2) หลักการคำนวน Table'!$C$3:$K$3,'2) หลักการคำนวน Table'!$C$3:$K$3,,1),
  IF(AG9&lt;MIN('2) หลักการคำนวน Table'!$C$3:$K$3),
     MIN('2) หลักการคำนวน Table'!$C$3:$K$3),
     MAX('2) หลักการคำนวน Table'!$C$3:$K$3)
  )
)</f>
        <v>0.9</v>
      </c>
      <c r="AT9" s="186">
        <f>IFERROR(
  _xlfn.XLOOKUP(AH9,'2) หลักการคำนวน Table'!$C$3:$K$3,'2) หลักการคำนวน Table'!$C$3:$K$3,,1),
  IF(AH9&lt;MIN('2) หลักการคำนวน Table'!$C$3:$K$3),
     MIN('2) หลักการคำนวน Table'!$C$3:$K$3),
     MAX('2) หลักการคำนวน Table'!$C$3:$K$3)
  )
)</f>
        <v>0.9</v>
      </c>
      <c r="AU9" s="186">
        <f>IFERROR(
  _xlfn.XLOOKUP(AI9,'2) หลักการคำนวน Table'!$C$3:$K$3,'2) หลักการคำนวน Table'!$C$3:$K$3,,1),
  IF(AI9&lt;MIN('2) หลักการคำนวน Table'!$C$3:$K$3),
     MIN('2) หลักการคำนวน Table'!$C$3:$K$3),
     MAX('2) หลักการคำนวน Table'!$C$3:$K$3)
  )
)</f>
        <v>0.9</v>
      </c>
      <c r="AV9" s="186">
        <f>IFERROR(
  _xlfn.XLOOKUP(AJ9,'2) หลักการคำนวน Table'!$C$3:$K$3,'2) หลักการคำนวน Table'!$C$3:$K$3,,1),
  IF(AJ9&lt;MIN('2) หลักการคำนวน Table'!$C$3:$K$3),
     MIN('2) หลักการคำนวน Table'!$C$3:$K$3),
     MAX('2) หลักการคำนวน Table'!$C$3:$K$3)
  )
)</f>
        <v>0.9</v>
      </c>
      <c r="AW9" s="186">
        <f>IFERROR(
  _xlfn.XLOOKUP(AK9,'2) หลักการคำนวน Table'!$C$3:$K$3,'2) หลักการคำนวน Table'!$C$3:$K$3,,1),
  IF(AK9&lt;MIN('2) หลักการคำนวน Table'!$C$3:$K$3),
     MIN('2) หลักการคำนวน Table'!$C$3:$K$3),
     MAX('2) หลักการคำนวน Table'!$C$3:$K$3)
  )
)</f>
        <v>0.9</v>
      </c>
      <c r="AX9" s="186">
        <f>IFERROR(
  _xlfn.XLOOKUP(AL9,'2) หลักการคำนวน Table'!$C$3:$K$3,'2) หลักการคำนวน Table'!$C$3:$K$3,,1),
  IF(AL9&lt;MIN('2) หลักการคำนวน Table'!$C$3:$K$3),
     MIN('2) หลักการคำนวน Table'!$C$3:$K$3),
     MAX('2) หลักการคำนวน Table'!$C$3:$K$3)
  )
)</f>
        <v>0.9</v>
      </c>
      <c r="AY9" s="186">
        <f>IFERROR(
  _xlfn.XLOOKUP(AM9,'2) หลักการคำนวน Table'!$C$3:$K$3,'2) หลักการคำนวน Table'!$C$3:$K$3,,1),
  IF(AM9&lt;MIN('2) หลักการคำนวน Table'!$C$3:$K$3),
     MIN('2) หลักการคำนวน Table'!$C$3:$K$3),
     MAX('2) หลักการคำนวน Table'!$C$3:$K$3)
  )
)</f>
        <v>0.9</v>
      </c>
      <c r="AZ9" s="135" t="e" cm="1">
        <f t="array" ref="AZ9">(_xlfn.XLOOKUP($C9,'2) หลักการคำนวน Table'!$A$4:$A$36,
_xlfn.XLOOKUP(AN9,'2)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A9" s="135" t="e" cm="1">
        <f t="array" ref="BA9">(_xlfn.XLOOKUP($C9,'2) หลักการคำนวน Table'!$A$4:$A$36,
_xlfn.XLOOKUP(AO9,'2)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B9" s="135" t="e" cm="1">
        <f t="array" ref="BB9">(_xlfn.XLOOKUP($C9,'2) หลักการคำนวน Table'!$A$4:$A$36,
_xlfn.XLOOKUP(AP9,'2)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C9" s="135" t="e" cm="1">
        <f t="array" ref="BC9">(_xlfn.XLOOKUP($C9,'2) หลักการคำนวน Table'!$A$4:$A$36,
_xlfn.XLOOKUP(AQ9,'2)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D9" s="135" t="e" cm="1">
        <f t="array" ref="BD9">(_xlfn.XLOOKUP($C9,'2) หลักการคำนวน Table'!$A$4:$A$36,
_xlfn.XLOOKUP(AR9,'2)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E9" s="135" t="e" cm="1">
        <f t="array" ref="BE9">(_xlfn.XLOOKUP($C9,'2) หลักการคำนวน Table'!$A$4:$A$36,
_xlfn.XLOOKUP(AS9,'2)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F9" s="135" t="e" cm="1">
        <f t="array" ref="BF9">(_xlfn.XLOOKUP($C9,'2) หลักการคำนวน Table'!$A$4:$A$36,
_xlfn.XLOOKUP(AT9,'2)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G9" s="135" t="e" cm="1">
        <f t="array" ref="BG9">(_xlfn.XLOOKUP($C9,'2) หลักการคำนวน Table'!$A$4:$A$36,
_xlfn.XLOOKUP(AU9,'2)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H9" s="135" t="e" cm="1">
        <f t="array" ref="BH9">ROUND((_xlfn.XLOOKUP($C9,'2) หลักการคำนวน Table'!$A$4:$A$36,
_xlfn.XLOOKUP(AV9,'2)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I9" s="135" t="e" cm="1">
        <f t="array" ref="BI9">ROUND((_xlfn.XLOOKUP($C9,'2) หลักการคำนวน Table'!$A$4:$A$36,
_xlfn.XLOOKUP(AW9,'2)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J9" s="135" t="e" cm="1">
        <f t="array" ref="BJ9">ROUND((_xlfn.XLOOKUP($C9,'2) หลักการคำนวน Table'!$A$4:$A$36,
_xlfn.XLOOKUP(AX9,'2)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K9" s="135" t="e" cm="1">
        <f t="array" ref="BK9">ROUND((_xlfn.XLOOKUP($C9,'2) หลักการคำนวน Table'!$A$4:$A$36,
_xlfn.XLOOKUP(AY9,'2)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L9" s="239"/>
      <c r="BM9" s="126">
        <v>222208</v>
      </c>
      <c r="BN9" s="245">
        <v>900</v>
      </c>
    </row>
    <row r="10" spans="1:66" ht="13.2" customHeight="1" x14ac:dyDescent="0.25">
      <c r="A10" s="128">
        <f>VLOOKUP(C10,ASTBase!F:S,12,FALSE)</f>
        <v>222234</v>
      </c>
      <c r="B10" s="126" t="s">
        <v>406</v>
      </c>
      <c r="C10" s="128">
        <v>222208</v>
      </c>
      <c r="D10" s="127">
        <f>SUMIFS('3)Target &amp; Cal_Staff'!D$4:D$164,'3)Target &amp; Cal_Staff'!$B$4:$B$164,'3)Target &amp; Cal_Sect'!$B10,'3)Target &amp; Cal_Staff'!$A$4:$A$164,'3)Target &amp; Cal_Sect'!$C10)</f>
        <v>4186.2000000000007</v>
      </c>
      <c r="E10" s="127">
        <f>SUMIFS('3)Target &amp; Cal_Staff'!E$4:E$164,'3)Target &amp; Cal_Staff'!$B$4:$B$164,'3)Target &amp; Cal_Sect'!$B10,'3)Target &amp; Cal_Staff'!$A$4:$A$164,'3)Target &amp; Cal_Sect'!$C10)</f>
        <v>3626.43</v>
      </c>
      <c r="F10" s="127">
        <f>SUMIFS('3)Target &amp; Cal_Staff'!F$4:F$164,'3)Target &amp; Cal_Staff'!$B$4:$B$164,'3)Target &amp; Cal_Sect'!$B10,'3)Target &amp; Cal_Staff'!$A$4:$A$164,'3)Target &amp; Cal_Sect'!$C10)</f>
        <v>3539.92</v>
      </c>
      <c r="G10" s="127">
        <f>SUMIFS('3)Target &amp; Cal_Staff'!G$4:G$164,'3)Target &amp; Cal_Staff'!$B$4:$B$164,'3)Target &amp; Cal_Sect'!$B10,'3)Target &amp; Cal_Staff'!$A$4:$A$164,'3)Target &amp; Cal_Sect'!$C10)</f>
        <v>3761.92</v>
      </c>
      <c r="H10" s="127">
        <f>SUMIFS('3)Target &amp; Cal_Staff'!H$4:H$164,'3)Target &amp; Cal_Staff'!$B$4:$B$164,'3)Target &amp; Cal_Sect'!$B10,'3)Target &amp; Cal_Staff'!$A$4:$A$164,'3)Target &amp; Cal_Sect'!$C10)</f>
        <v>3883.34</v>
      </c>
      <c r="I10" s="127">
        <f>SUMIFS('3)Target &amp; Cal_Staff'!I$4:I$164,'3)Target &amp; Cal_Staff'!$B$4:$B$164,'3)Target &amp; Cal_Sect'!$B10,'3)Target &amp; Cal_Staff'!$A$4:$A$164,'3)Target &amp; Cal_Sect'!$C10)</f>
        <v>3931.87</v>
      </c>
      <c r="J10" s="127">
        <f>SUMIFS('3)Target &amp; Cal_Staff'!J$4:J$164,'3)Target &amp; Cal_Staff'!$B$4:$B$164,'3)Target &amp; Cal_Sect'!$B10,'3)Target &amp; Cal_Staff'!$A$4:$A$164,'3)Target &amp; Cal_Sect'!$C10)</f>
        <v>3565.3199999999997</v>
      </c>
      <c r="K10" s="127">
        <f>SUMIFS('3)Target &amp; Cal_Staff'!K$4:K$164,'3)Target &amp; Cal_Staff'!$B$4:$B$164,'3)Target &amp; Cal_Sect'!$B10,'3)Target &amp; Cal_Staff'!$A$4:$A$164,'3)Target &amp; Cal_Sect'!$C10)</f>
        <v>4004.18</v>
      </c>
      <c r="L10" s="127">
        <f>SUMIFS('3)Target &amp; Cal_Staff'!L$4:L$164,'3)Target &amp; Cal_Staff'!$B$4:$B$164,'3)Target &amp; Cal_Sect'!$B10,'3)Target &amp; Cal_Staff'!$A$4:$A$164,'3)Target &amp; Cal_Sect'!$C10)</f>
        <v>3983</v>
      </c>
      <c r="M10" s="127">
        <f>SUMIFS('3)Target &amp; Cal_Staff'!M$4:M$164,'3)Target &amp; Cal_Staff'!$B$4:$B$164,'3)Target &amp; Cal_Sect'!$B10,'3)Target &amp; Cal_Staff'!$A$4:$A$164,'3)Target &amp; Cal_Sect'!$C10)</f>
        <v>3950.44</v>
      </c>
      <c r="N10" s="127">
        <f>SUMIFS('3)Target &amp; Cal_Staff'!N$4:N$164,'3)Target &amp; Cal_Staff'!$B$4:$B$164,'3)Target &amp; Cal_Sect'!$B10,'3)Target &amp; Cal_Staff'!$A$4:$A$164,'3)Target &amp; Cal_Sect'!$C10)</f>
        <v>4002.41</v>
      </c>
      <c r="O10" s="127">
        <f>SUMIFS('3)Target &amp; Cal_Staff'!O$4:O$164,'3)Target &amp; Cal_Staff'!$B$4:$B$164,'3)Target &amp; Cal_Sect'!$B10,'3)Target &amp; Cal_Staff'!$A$4:$A$164,'3)Target &amp; Cal_Sect'!$C10)</f>
        <v>3865.4</v>
      </c>
      <c r="P10" s="127">
        <f>SUMIFS('3)Target &amp; Cal_Staff'!P$4:P$164,'3)Target &amp; Cal_Staff'!$B$4:$B$164,'3)Target &amp; Cal_Sect'!$B10,'3)Target &amp; Cal_Staff'!$A$4:$A$164,'3)Target &amp; Cal_Sect'!$C10)</f>
        <v>4241.6799999999985</v>
      </c>
      <c r="Q10" s="127">
        <f>SUMIFS('3)Target &amp; Cal_Staff'!Q$4:Q$164,'3)Target &amp; Cal_Staff'!$B$4:$B$164,'3)Target &amp; Cal_Sect'!$B10,'3)Target &amp; Cal_Staff'!$A$4:$A$164,'3)Target &amp; Cal_Sect'!$C10)</f>
        <v>0</v>
      </c>
      <c r="R10" s="127">
        <f>SUMIFS('3)Target &amp; Cal_Staff'!R$4:R$164,'3)Target &amp; Cal_Staff'!$B$4:$B$164,'3)Target &amp; Cal_Sect'!$B10,'3)Target &amp; Cal_Staff'!$A$4:$A$164,'3)Target &amp; Cal_Sect'!$C10)</f>
        <v>0</v>
      </c>
      <c r="S10" s="127">
        <f>SUMIFS('3)Target &amp; Cal_Staff'!S$4:S$164,'3)Target &amp; Cal_Staff'!$B$4:$B$164,'3)Target &amp; Cal_Sect'!$B10,'3)Target &amp; Cal_Staff'!$A$4:$A$164,'3)Target &amp; Cal_Sect'!$C10)</f>
        <v>0</v>
      </c>
      <c r="T10" s="127">
        <f>SUMIFS('3)Target &amp; Cal_Staff'!T$4:T$164,'3)Target &amp; Cal_Staff'!$B$4:$B$164,'3)Target &amp; Cal_Sect'!$B10,'3)Target &amp; Cal_Staff'!$A$4:$A$164,'3)Target &amp; Cal_Sect'!$C10)</f>
        <v>0</v>
      </c>
      <c r="U10" s="127">
        <f>SUMIFS('3)Target &amp; Cal_Staff'!U$4:U$164,'3)Target &amp; Cal_Staff'!$B$4:$B$164,'3)Target &amp; Cal_Sect'!$B10,'3)Target &amp; Cal_Staff'!$A$4:$A$164,'3)Target &amp; Cal_Sect'!$C10)</f>
        <v>0</v>
      </c>
      <c r="V10" s="127">
        <f>SUMIFS('3)Target &amp; Cal_Staff'!V$4:V$164,'3)Target &amp; Cal_Staff'!$B$4:$B$164,'3)Target &amp; Cal_Sect'!$B10,'3)Target &amp; Cal_Staff'!$A$4:$A$164,'3)Target &amp; Cal_Sect'!$C10)</f>
        <v>0</v>
      </c>
      <c r="W10" s="127">
        <f>SUMIFS('3)Target &amp; Cal_Staff'!W$4:W$164,'3)Target &amp; Cal_Staff'!$B$4:$B$164,'3)Target &amp; Cal_Sect'!$B10,'3)Target &amp; Cal_Staff'!$A$4:$A$164,'3)Target &amp; Cal_Sect'!$C10)</f>
        <v>0</v>
      </c>
      <c r="X10" s="127">
        <f>SUMIFS('3)Target &amp; Cal_Staff'!X$4:X$164,'3)Target &amp; Cal_Staff'!$B$4:$B$164,'3)Target &amp; Cal_Sect'!$B10,'3)Target &amp; Cal_Staff'!$A$4:$A$164,'3)Target &amp; Cal_Sect'!$C10)</f>
        <v>0</v>
      </c>
      <c r="Y10" s="127">
        <f>SUMIFS('3)Target &amp; Cal_Staff'!Y$4:Y$164,'3)Target &amp; Cal_Staff'!$B$4:$B$164,'3)Target &amp; Cal_Sect'!$B10,'3)Target &amp; Cal_Staff'!$A$4:$A$164,'3)Target &amp; Cal_Sect'!$C10)</f>
        <v>0</v>
      </c>
      <c r="Z10" s="127">
        <f>SUMIFS('3)Target &amp; Cal_Staff'!Z$4:Z$164,'3)Target &amp; Cal_Staff'!$B$4:$B$164,'3)Target &amp; Cal_Sect'!$B10,'3)Target &amp; Cal_Staff'!$A$4:$A$164,'3)Target &amp; Cal_Sect'!$C10)</f>
        <v>0</v>
      </c>
      <c r="AA10" s="127">
        <f>SUMIFS('3)Target &amp; Cal_Staff'!AA$4:AA$164,'3)Target &amp; Cal_Staff'!$B$4:$B$164,'3)Target &amp; Cal_Sect'!$B10,'3)Target &amp; Cal_Staff'!$A$4:$A$164,'3)Target &amp; Cal_Sect'!$C10)</f>
        <v>0</v>
      </c>
      <c r="AB10" s="132">
        <f>IFERROR(IF(VLOOKUP($B10,Shortage!$A:$M,AB$2,FALSE)="Shortage",1,IFERROR(ROUND(P10/D10,4),0)),IFERROR(ROUND(P10/D10,4),0))</f>
        <v>1</v>
      </c>
      <c r="AC10" s="132">
        <f>IFERROR(IF(VLOOKUP($B10,Shortage!$A:$M,AC$2,FALSE)="Shortage",1,IFERROR(ROUND(Q10/E10,4),0)),IFERROR(ROUND(Q10/E10,4),0))</f>
        <v>0</v>
      </c>
      <c r="AD10" s="132">
        <f>IFERROR(IF(VLOOKUP($B10,Shortage!$A:$M,AD$2,FALSE)="Shortage",1,IFERROR(ROUND(R10/F10,4),0)),IFERROR(ROUND(R10/F10,4),0))</f>
        <v>0</v>
      </c>
      <c r="AE10" s="132">
        <f>IFERROR(IF(VLOOKUP($B10,Shortage!$A:$M,AE$2,FALSE)="Shortage",1,IFERROR(ROUND(S10/G10,4),0)),IFERROR(ROUND(S10/G10,4),0))</f>
        <v>0</v>
      </c>
      <c r="AF10" s="132">
        <f>IFERROR(IF(VLOOKUP($B10,Shortage!$A:$M,AF$2,FALSE)="Shortage",1,IFERROR(ROUND(T10/H10,4),0)),IFERROR(ROUND(T10/H10,4),0))</f>
        <v>0</v>
      </c>
      <c r="AG10" s="132">
        <f>IFERROR(IF(VLOOKUP($B10,Shortage!$A:$M,AG$2,FALSE)="Shortage",1,IFERROR(ROUND(U10/I10,4),0)),IFERROR(ROUND(U10/I10,4),0))</f>
        <v>0</v>
      </c>
      <c r="AH10" s="132">
        <f>IFERROR(IF(VLOOKUP($B10,Shortage!$A:$M,AH$2,FALSE)="Shortage",1,IFERROR(ROUND(V10/J10,4),0)),IFERROR(ROUND(V10/J10,4),0))</f>
        <v>0</v>
      </c>
      <c r="AI10" s="132">
        <f>IFERROR(IF(VLOOKUP($B10,Shortage!$A:$M,AI$2,FALSE)="Shortage",1,IFERROR(ROUND(W10/K10,4),0)),IFERROR(ROUND(W10/K10,4),0))</f>
        <v>0</v>
      </c>
      <c r="AJ10" s="132">
        <f>IFERROR(IF(VLOOKUP($B10,Shortage!$A:$M,AJ$2,FALSE)="Shortage",1,IFERROR(ROUND(X10/L10,4),0)),IFERROR(ROUND(X10/L10,4),0))</f>
        <v>0</v>
      </c>
      <c r="AK10" s="132">
        <f>IFERROR(IF(VLOOKUP($B10,Shortage!$A:$M,AK$2,FALSE)="Shortage",1,IFERROR(ROUND(Y10/M10,4),0)),IFERROR(ROUND(Y10/M10,4),0))</f>
        <v>0</v>
      </c>
      <c r="AL10" s="132">
        <f>IFERROR(IF(VLOOKUP($B10,Shortage!$A:$M,AL$2,FALSE)="Shortage",1,IFERROR(ROUND(Z10/N10,4),0)),IFERROR(ROUND(Z10/N10,4),0))</f>
        <v>0</v>
      </c>
      <c r="AM10" s="132">
        <f>IFERROR(IF(VLOOKUP($B10,Shortage!$A:$M,AM$2,FALSE)="Shortage",1,IFERROR(ROUND(AA10/O10,4),0)),IFERROR(ROUND(AA10/O10,4),0))</f>
        <v>0</v>
      </c>
      <c r="AN10" s="186">
        <f>IFERROR(_xlfn.XLOOKUP(AB10,'2) หลักการคำนวน Table'!$C$3:$K$3,'2) หลักการคำนวน Table'!$C$3:$K$3,,1),INDEX('2) หลักการคำนวน Table'!$C$3:$K$3,1))</f>
        <v>1</v>
      </c>
      <c r="AO10" s="186">
        <f>IFERROR(
  _xlfn.XLOOKUP(AC10,'2) หลักการคำนวน Table'!$C$3:$K$3,'2) หลักการคำนวน Table'!$C$3:$K$3,,1),
  IF(AC10&lt;MIN('2) หลักการคำนวน Table'!$C$3:$K$3),
     MIN('2) หลักการคำนวน Table'!$C$3:$K$3),
     MAX('2) หลักการคำนวน Table'!$C$3:$K$3)
  )
)</f>
        <v>0.9</v>
      </c>
      <c r="AP10" s="186">
        <f>IFERROR(
  _xlfn.XLOOKUP(AD10,'2) หลักการคำนวน Table'!$C$3:$K$3,'2) หลักการคำนวน Table'!$C$3:$K$3,,1),
  IF(AD10&lt;MIN('2) หลักการคำนวน Table'!$C$3:$K$3),
     MIN('2) หลักการคำนวน Table'!$C$3:$K$3),
     MAX('2) หลักการคำนวน Table'!$C$3:$K$3)
  )
)</f>
        <v>0.9</v>
      </c>
      <c r="AQ10" s="186">
        <f>IFERROR(
  _xlfn.XLOOKUP(AE10,'2) หลักการคำนวน Table'!$C$3:$K$3,'2) หลักการคำนวน Table'!$C$3:$K$3,,1),
  IF(AE10&lt;MIN('2) หลักการคำนวน Table'!$C$3:$K$3),
     MIN('2) หลักการคำนวน Table'!$C$3:$K$3),
     MAX('2) หลักการคำนวน Table'!$C$3:$K$3)
  )
)</f>
        <v>0.9</v>
      </c>
      <c r="AR10" s="186">
        <f>IFERROR(
  _xlfn.XLOOKUP(AF10,'2) หลักการคำนวน Table'!$C$3:$K$3,'2) หลักการคำนวน Table'!$C$3:$K$3,,1),
  IF(AF10&lt;MIN('2) หลักการคำนวน Table'!$C$3:$K$3),
     MIN('2) หลักการคำนวน Table'!$C$3:$K$3),
     MAX('2) หลักการคำนวน Table'!$C$3:$K$3)
  )
)</f>
        <v>0.9</v>
      </c>
      <c r="AS10" s="186">
        <f>IFERROR(
  _xlfn.XLOOKUP(AG10,'2) หลักการคำนวน Table'!$C$3:$K$3,'2) หลักการคำนวน Table'!$C$3:$K$3,,1),
  IF(AG10&lt;MIN('2) หลักการคำนวน Table'!$C$3:$K$3),
     MIN('2) หลักการคำนวน Table'!$C$3:$K$3),
     MAX('2) หลักการคำนวน Table'!$C$3:$K$3)
  )
)</f>
        <v>0.9</v>
      </c>
      <c r="AT10" s="186">
        <f>IFERROR(
  _xlfn.XLOOKUP(AH10,'2) หลักการคำนวน Table'!$C$3:$K$3,'2) หลักการคำนวน Table'!$C$3:$K$3,,1),
  IF(AH10&lt;MIN('2) หลักการคำนวน Table'!$C$3:$K$3),
     MIN('2) หลักการคำนวน Table'!$C$3:$K$3),
     MAX('2) หลักการคำนวน Table'!$C$3:$K$3)
  )
)</f>
        <v>0.9</v>
      </c>
      <c r="AU10" s="186">
        <f>IFERROR(
  _xlfn.XLOOKUP(AI10,'2) หลักการคำนวน Table'!$C$3:$K$3,'2) หลักการคำนวน Table'!$C$3:$K$3,,1),
  IF(AI10&lt;MIN('2) หลักการคำนวน Table'!$C$3:$K$3),
     MIN('2) หลักการคำนวน Table'!$C$3:$K$3),
     MAX('2) หลักการคำนวน Table'!$C$3:$K$3)
  )
)</f>
        <v>0.9</v>
      </c>
      <c r="AV10" s="186">
        <f>IFERROR(
  _xlfn.XLOOKUP(AJ10,'2) หลักการคำนวน Table'!$C$3:$K$3,'2) หลักการคำนวน Table'!$C$3:$K$3,,1),
  IF(AJ10&lt;MIN('2) หลักการคำนวน Table'!$C$3:$K$3),
     MIN('2) หลักการคำนวน Table'!$C$3:$K$3),
     MAX('2) หลักการคำนวน Table'!$C$3:$K$3)
  )
)</f>
        <v>0.9</v>
      </c>
      <c r="AW10" s="186">
        <f>IFERROR(
  _xlfn.XLOOKUP(AK10,'2) หลักการคำนวน Table'!$C$3:$K$3,'2) หลักการคำนวน Table'!$C$3:$K$3,,1),
  IF(AK10&lt;MIN('2) หลักการคำนวน Table'!$C$3:$K$3),
     MIN('2) หลักการคำนวน Table'!$C$3:$K$3),
     MAX('2) หลักการคำนวน Table'!$C$3:$K$3)
  )
)</f>
        <v>0.9</v>
      </c>
      <c r="AX10" s="186">
        <f>IFERROR(
  _xlfn.XLOOKUP(AL10,'2) หลักการคำนวน Table'!$C$3:$K$3,'2) หลักการคำนวน Table'!$C$3:$K$3,,1),
  IF(AL10&lt;MIN('2) หลักการคำนวน Table'!$C$3:$K$3),
     MIN('2) หลักการคำนวน Table'!$C$3:$K$3),
     MAX('2) หลักการคำนวน Table'!$C$3:$K$3)
  )
)</f>
        <v>0.9</v>
      </c>
      <c r="AY10" s="186">
        <f>IFERROR(
  _xlfn.XLOOKUP(AM10,'2) หลักการคำนวน Table'!$C$3:$K$3,'2) หลักการคำนวน Table'!$C$3:$K$3,,1),
  IF(AM10&lt;MIN('2) หลักการคำนวน Table'!$C$3:$K$3),
     MIN('2) หลักการคำนวน Table'!$C$3:$K$3),
     MAX('2) หลักการคำนวน Table'!$C$3:$K$3)
  )
)</f>
        <v>0.9</v>
      </c>
      <c r="AZ10" s="135" t="e" cm="1">
        <f t="array" ref="AZ10">(_xlfn.XLOOKUP($C10,'2) หลักการคำนวน Table'!$A$4:$A$36,
_xlfn.XLOOKUP(AN10,'2)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A10" s="135" t="e" cm="1">
        <f t="array" ref="BA10">(_xlfn.XLOOKUP($C10,'2) หลักการคำนวน Table'!$A$4:$A$36,
_xlfn.XLOOKUP(AO10,'2)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B10" s="135" t="e" cm="1">
        <f t="array" ref="BB10">(_xlfn.XLOOKUP($C10,'2) หลักการคำนวน Table'!$A$4:$A$36,
_xlfn.XLOOKUP(AP10,'2)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C10" s="135" t="e" cm="1">
        <f t="array" ref="BC10">(_xlfn.XLOOKUP($C10,'2) หลักการคำนวน Table'!$A$4:$A$36,
_xlfn.XLOOKUP(AQ10,'2)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D10" s="135" t="e" cm="1">
        <f t="array" ref="BD10">(_xlfn.XLOOKUP($C10,'2) หลักการคำนวน Table'!$A$4:$A$36,
_xlfn.XLOOKUP(AR10,'2)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E10" s="135" t="e" cm="1">
        <f t="array" ref="BE10">(_xlfn.XLOOKUP($C10,'2) หลักการคำนวน Table'!$A$4:$A$36,
_xlfn.XLOOKUP(AS10,'2)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F10" s="135" t="e" cm="1">
        <f t="array" ref="BF10">(_xlfn.XLOOKUP($C10,'2) หลักการคำนวน Table'!$A$4:$A$36,
_xlfn.XLOOKUP(AT10,'2)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G10" s="135" t="e" cm="1">
        <f t="array" ref="BG10">(_xlfn.XLOOKUP($C10,'2) หลักการคำนวน Table'!$A$4:$A$36,
_xlfn.XLOOKUP(AU10,'2)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H10" s="135" t="e" cm="1">
        <f t="array" ref="BH10">ROUND((_xlfn.XLOOKUP($C10,'2) หลักการคำนวน Table'!$A$4:$A$36,
_xlfn.XLOOKUP(AV10,'2)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I10" s="135" t="e" cm="1">
        <f t="array" ref="BI10">ROUND((_xlfn.XLOOKUP($C10,'2) หลักการคำนวน Table'!$A$4:$A$36,
_xlfn.XLOOKUP(AW10,'2)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J10" s="135" t="e" cm="1">
        <f t="array" ref="BJ10">ROUND((_xlfn.XLOOKUP($C10,'2) หลักการคำนวน Table'!$A$4:$A$36,
_xlfn.XLOOKUP(AX10,'2)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K10" s="135" t="e" cm="1">
        <f t="array" ref="BK10">ROUND((_xlfn.XLOOKUP($C10,'2) หลักการคำนวน Table'!$A$4:$A$36,
_xlfn.XLOOKUP(AY10,'2)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L10" s="239"/>
      <c r="BM10" s="126">
        <v>222208</v>
      </c>
      <c r="BN10" s="245">
        <v>250</v>
      </c>
    </row>
    <row r="11" spans="1:66" ht="13.2" customHeight="1" x14ac:dyDescent="0.25">
      <c r="A11" s="128">
        <f>VLOOKUP(C11,ASTBase!F:S,12,FALSE)</f>
        <v>222234</v>
      </c>
      <c r="B11" s="126" t="s">
        <v>409</v>
      </c>
      <c r="C11" s="128">
        <v>222208</v>
      </c>
      <c r="D11" s="127">
        <f>SUMIFS('3)Target &amp; Cal_Staff'!D$4:D$164,'3)Target &amp; Cal_Staff'!$B$4:$B$164,'3)Target &amp; Cal_Sect'!$B11,'3)Target &amp; Cal_Staff'!$A$4:$A$164,'3)Target &amp; Cal_Sect'!$C11)</f>
        <v>702.24</v>
      </c>
      <c r="E11" s="127">
        <f>SUMIFS('3)Target &amp; Cal_Staff'!E$4:E$164,'3)Target &amp; Cal_Staff'!$B$4:$B$164,'3)Target &amp; Cal_Sect'!$B11,'3)Target &amp; Cal_Staff'!$A$4:$A$164,'3)Target &amp; Cal_Sect'!$C11)</f>
        <v>667.48</v>
      </c>
      <c r="F11" s="127">
        <f>SUMIFS('3)Target &amp; Cal_Staff'!F$4:F$164,'3)Target &amp; Cal_Staff'!$B$4:$B$164,'3)Target &amp; Cal_Sect'!$B11,'3)Target &amp; Cal_Staff'!$A$4:$A$164,'3)Target &amp; Cal_Sect'!$C11)</f>
        <v>554.76</v>
      </c>
      <c r="G11" s="127">
        <f>SUMIFS('3)Target &amp; Cal_Staff'!G$4:G$164,'3)Target &amp; Cal_Staff'!$B$4:$B$164,'3)Target &amp; Cal_Sect'!$B11,'3)Target &amp; Cal_Staff'!$A$4:$A$164,'3)Target &amp; Cal_Sect'!$C11)</f>
        <v>788.52</v>
      </c>
      <c r="H11" s="127">
        <f>SUMIFS('3)Target &amp; Cal_Staff'!H$4:H$164,'3)Target &amp; Cal_Staff'!$B$4:$B$164,'3)Target &amp; Cal_Sect'!$B11,'3)Target &amp; Cal_Staff'!$A$4:$A$164,'3)Target &amp; Cal_Sect'!$C11)</f>
        <v>885.39999999999986</v>
      </c>
      <c r="I11" s="127">
        <f>SUMIFS('3)Target &amp; Cal_Staff'!I$4:I$164,'3)Target &amp; Cal_Staff'!$B$4:$B$164,'3)Target &amp; Cal_Sect'!$B11,'3)Target &amp; Cal_Staff'!$A$4:$A$164,'3)Target &amp; Cal_Sect'!$C11)</f>
        <v>771.04</v>
      </c>
      <c r="J11" s="127">
        <f>SUMIFS('3)Target &amp; Cal_Staff'!J$4:J$164,'3)Target &amp; Cal_Staff'!$B$4:$B$164,'3)Target &amp; Cal_Sect'!$B11,'3)Target &amp; Cal_Staff'!$A$4:$A$164,'3)Target &amp; Cal_Sect'!$C11)</f>
        <v>759.28</v>
      </c>
      <c r="K11" s="127">
        <f>SUMIFS('3)Target &amp; Cal_Staff'!K$4:K$164,'3)Target &amp; Cal_Staff'!$B$4:$B$164,'3)Target &amp; Cal_Sect'!$B11,'3)Target &amp; Cal_Staff'!$A$4:$A$164,'3)Target &amp; Cal_Sect'!$C11)</f>
        <v>495.64</v>
      </c>
      <c r="L11" s="127">
        <f>SUMIFS('3)Target &amp; Cal_Staff'!L$4:L$164,'3)Target &amp; Cal_Staff'!$B$4:$B$164,'3)Target &amp; Cal_Sect'!$B11,'3)Target &amp; Cal_Staff'!$A$4:$A$164,'3)Target &amp; Cal_Sect'!$C11)</f>
        <v>669.24</v>
      </c>
      <c r="M11" s="127">
        <f>SUMIFS('3)Target &amp; Cal_Staff'!M$4:M$164,'3)Target &amp; Cal_Staff'!$B$4:$B$164,'3)Target &amp; Cal_Sect'!$B11,'3)Target &amp; Cal_Staff'!$A$4:$A$164,'3)Target &amp; Cal_Sect'!$C11)</f>
        <v>1364.52</v>
      </c>
      <c r="N11" s="127">
        <f>SUMIFS('3)Target &amp; Cal_Staff'!N$4:N$164,'3)Target &amp; Cal_Staff'!$B$4:$B$164,'3)Target &amp; Cal_Sect'!$B11,'3)Target &amp; Cal_Staff'!$A$4:$A$164,'3)Target &amp; Cal_Sect'!$C11)</f>
        <v>1144.28</v>
      </c>
      <c r="O11" s="127">
        <f>SUMIFS('3)Target &amp; Cal_Staff'!O$4:O$164,'3)Target &amp; Cal_Staff'!$B$4:$B$164,'3)Target &amp; Cal_Sect'!$B11,'3)Target &amp; Cal_Staff'!$A$4:$A$164,'3)Target &amp; Cal_Sect'!$C11)</f>
        <v>1424</v>
      </c>
      <c r="P11" s="127">
        <f>SUMIFS('3)Target &amp; Cal_Staff'!P$4:P$164,'3)Target &amp; Cal_Staff'!$B$4:$B$164,'3)Target &amp; Cal_Sect'!$B11,'3)Target &amp; Cal_Staff'!$A$4:$A$164,'3)Target &amp; Cal_Sect'!$C11)</f>
        <v>1098.4399999999996</v>
      </c>
      <c r="Q11" s="127">
        <f>SUMIFS('3)Target &amp; Cal_Staff'!Q$4:Q$164,'3)Target &amp; Cal_Staff'!$B$4:$B$164,'3)Target &amp; Cal_Sect'!$B11,'3)Target &amp; Cal_Staff'!$A$4:$A$164,'3)Target &amp; Cal_Sect'!$C11)</f>
        <v>0</v>
      </c>
      <c r="R11" s="127">
        <f>SUMIFS('3)Target &amp; Cal_Staff'!R$4:R$164,'3)Target &amp; Cal_Staff'!$B$4:$B$164,'3)Target &amp; Cal_Sect'!$B11,'3)Target &amp; Cal_Staff'!$A$4:$A$164,'3)Target &amp; Cal_Sect'!$C11)</f>
        <v>0</v>
      </c>
      <c r="S11" s="127">
        <f>SUMIFS('3)Target &amp; Cal_Staff'!S$4:S$164,'3)Target &amp; Cal_Staff'!$B$4:$B$164,'3)Target &amp; Cal_Sect'!$B11,'3)Target &amp; Cal_Staff'!$A$4:$A$164,'3)Target &amp; Cal_Sect'!$C11)</f>
        <v>0</v>
      </c>
      <c r="T11" s="127">
        <f>SUMIFS('3)Target &amp; Cal_Staff'!T$4:T$164,'3)Target &amp; Cal_Staff'!$B$4:$B$164,'3)Target &amp; Cal_Sect'!$B11,'3)Target &amp; Cal_Staff'!$A$4:$A$164,'3)Target &amp; Cal_Sect'!$C11)</f>
        <v>0</v>
      </c>
      <c r="U11" s="127">
        <f>SUMIFS('3)Target &amp; Cal_Staff'!U$4:U$164,'3)Target &amp; Cal_Staff'!$B$4:$B$164,'3)Target &amp; Cal_Sect'!$B11,'3)Target &amp; Cal_Staff'!$A$4:$A$164,'3)Target &amp; Cal_Sect'!$C11)</f>
        <v>0</v>
      </c>
      <c r="V11" s="127">
        <f>SUMIFS('3)Target &amp; Cal_Staff'!V$4:V$164,'3)Target &amp; Cal_Staff'!$B$4:$B$164,'3)Target &amp; Cal_Sect'!$B11,'3)Target &amp; Cal_Staff'!$A$4:$A$164,'3)Target &amp; Cal_Sect'!$C11)</f>
        <v>0</v>
      </c>
      <c r="W11" s="127">
        <f>SUMIFS('3)Target &amp; Cal_Staff'!W$4:W$164,'3)Target &amp; Cal_Staff'!$B$4:$B$164,'3)Target &amp; Cal_Sect'!$B11,'3)Target &amp; Cal_Staff'!$A$4:$A$164,'3)Target &amp; Cal_Sect'!$C11)</f>
        <v>0</v>
      </c>
      <c r="X11" s="127">
        <f>SUMIFS('3)Target &amp; Cal_Staff'!X$4:X$164,'3)Target &amp; Cal_Staff'!$B$4:$B$164,'3)Target &amp; Cal_Sect'!$B11,'3)Target &amp; Cal_Staff'!$A$4:$A$164,'3)Target &amp; Cal_Sect'!$C11)</f>
        <v>0</v>
      </c>
      <c r="Y11" s="127">
        <f>SUMIFS('3)Target &amp; Cal_Staff'!Y$4:Y$164,'3)Target &amp; Cal_Staff'!$B$4:$B$164,'3)Target &amp; Cal_Sect'!$B11,'3)Target &amp; Cal_Staff'!$A$4:$A$164,'3)Target &amp; Cal_Sect'!$C11)</f>
        <v>0</v>
      </c>
      <c r="Z11" s="127">
        <f>SUMIFS('3)Target &amp; Cal_Staff'!Z$4:Z$164,'3)Target &amp; Cal_Staff'!$B$4:$B$164,'3)Target &amp; Cal_Sect'!$B11,'3)Target &amp; Cal_Staff'!$A$4:$A$164,'3)Target &amp; Cal_Sect'!$C11)</f>
        <v>0</v>
      </c>
      <c r="AA11" s="127">
        <f>SUMIFS('3)Target &amp; Cal_Staff'!AA$4:AA$164,'3)Target &amp; Cal_Staff'!$B$4:$B$164,'3)Target &amp; Cal_Sect'!$B11,'3)Target &amp; Cal_Staff'!$A$4:$A$164,'3)Target &amp; Cal_Sect'!$C11)</f>
        <v>0</v>
      </c>
      <c r="AB11" s="132">
        <f>IFERROR(IF(VLOOKUP($B11,Shortage!$A:$M,AB$2,FALSE)="Shortage",1,IFERROR(ROUND(P11/D11,4),0)),IFERROR(ROUND(P11/D11,4),0))</f>
        <v>1.5642</v>
      </c>
      <c r="AC11" s="132">
        <f>IFERROR(IF(VLOOKUP($B11,Shortage!$A:$M,AC$2,FALSE)="Shortage",1,IFERROR(ROUND(Q11/E11,4),0)),IFERROR(ROUND(Q11/E11,4),0))</f>
        <v>0</v>
      </c>
      <c r="AD11" s="132">
        <f>IFERROR(IF(VLOOKUP($B11,Shortage!$A:$M,AD$2,FALSE)="Shortage",1,IFERROR(ROUND(R11/F11,4),0)),IFERROR(ROUND(R11/F11,4),0))</f>
        <v>0</v>
      </c>
      <c r="AE11" s="132">
        <f>IFERROR(IF(VLOOKUP($B11,Shortage!$A:$M,AE$2,FALSE)="Shortage",1,IFERROR(ROUND(S11/G11,4),0)),IFERROR(ROUND(S11/G11,4),0))</f>
        <v>0</v>
      </c>
      <c r="AF11" s="132">
        <f>IFERROR(IF(VLOOKUP($B11,Shortage!$A:$M,AF$2,FALSE)="Shortage",1,IFERROR(ROUND(T11/H11,4),0)),IFERROR(ROUND(T11/H11,4),0))</f>
        <v>0</v>
      </c>
      <c r="AG11" s="132">
        <f>IFERROR(IF(VLOOKUP($B11,Shortage!$A:$M,AG$2,FALSE)="Shortage",1,IFERROR(ROUND(U11/I11,4),0)),IFERROR(ROUND(U11/I11,4),0))</f>
        <v>0</v>
      </c>
      <c r="AH11" s="132">
        <f>IFERROR(IF(VLOOKUP($B11,Shortage!$A:$M,AH$2,FALSE)="Shortage",1,IFERROR(ROUND(V11/J11,4),0)),IFERROR(ROUND(V11/J11,4),0))</f>
        <v>0</v>
      </c>
      <c r="AI11" s="132">
        <f>IFERROR(IF(VLOOKUP($B11,Shortage!$A:$M,AI$2,FALSE)="Shortage",1,IFERROR(ROUND(W11/K11,4),0)),IFERROR(ROUND(W11/K11,4),0))</f>
        <v>0</v>
      </c>
      <c r="AJ11" s="132">
        <f>IFERROR(IF(VLOOKUP($B11,Shortage!$A:$M,AJ$2,FALSE)="Shortage",1,IFERROR(ROUND(X11/L11,4),0)),IFERROR(ROUND(X11/L11,4),0))</f>
        <v>0</v>
      </c>
      <c r="AK11" s="132">
        <f>IFERROR(IF(VLOOKUP($B11,Shortage!$A:$M,AK$2,FALSE)="Shortage",1,IFERROR(ROUND(Y11/M11,4),0)),IFERROR(ROUND(Y11/M11,4),0))</f>
        <v>0</v>
      </c>
      <c r="AL11" s="132">
        <f>IFERROR(IF(VLOOKUP($B11,Shortage!$A:$M,AL$2,FALSE)="Shortage",1,IFERROR(ROUND(Z11/N11,4),0)),IFERROR(ROUND(Z11/N11,4),0))</f>
        <v>0</v>
      </c>
      <c r="AM11" s="132">
        <f>IFERROR(IF(VLOOKUP($B11,Shortage!$A:$M,AM$2,FALSE)="Shortage",1,IFERROR(ROUND(AA11/O11,4),0)),IFERROR(ROUND(AA11/O11,4),0))</f>
        <v>0</v>
      </c>
      <c r="AN11" s="186">
        <f>IFERROR(_xlfn.XLOOKUP(AB11,'2) หลักการคำนวน Table'!$C$3:$K$3,'2) หลักการคำนวน Table'!$C$3:$K$3,,1),INDEX('2) หลักการคำนวน Table'!$C$3:$K$3,1))</f>
        <v>20</v>
      </c>
      <c r="AO11" s="186">
        <f>IFERROR(
  _xlfn.XLOOKUP(AC11,'2) หลักการคำนวน Table'!$C$3:$K$3,'2) หลักการคำนวน Table'!$C$3:$K$3,,1),
  IF(AC11&lt;MIN('2) หลักการคำนวน Table'!$C$3:$K$3),
     MIN('2) หลักการคำนวน Table'!$C$3:$K$3),
     MAX('2) หลักการคำนวน Table'!$C$3:$K$3)
  )
)</f>
        <v>0.9</v>
      </c>
      <c r="AP11" s="186">
        <f>IFERROR(
  _xlfn.XLOOKUP(AD11,'2) หลักการคำนวน Table'!$C$3:$K$3,'2) หลักการคำนวน Table'!$C$3:$K$3,,1),
  IF(AD11&lt;MIN('2) หลักการคำนวน Table'!$C$3:$K$3),
     MIN('2) หลักการคำนวน Table'!$C$3:$K$3),
     MAX('2) หลักการคำนวน Table'!$C$3:$K$3)
  )
)</f>
        <v>0.9</v>
      </c>
      <c r="AQ11" s="186">
        <f>IFERROR(
  _xlfn.XLOOKUP(AE11,'2) หลักการคำนวน Table'!$C$3:$K$3,'2) หลักการคำนวน Table'!$C$3:$K$3,,1),
  IF(AE11&lt;MIN('2) หลักการคำนวน Table'!$C$3:$K$3),
     MIN('2) หลักการคำนวน Table'!$C$3:$K$3),
     MAX('2) หลักการคำนวน Table'!$C$3:$K$3)
  )
)</f>
        <v>0.9</v>
      </c>
      <c r="AR11" s="186">
        <f>IFERROR(
  _xlfn.XLOOKUP(AF11,'2) หลักการคำนวน Table'!$C$3:$K$3,'2) หลักการคำนวน Table'!$C$3:$K$3,,1),
  IF(AF11&lt;MIN('2) หลักการคำนวน Table'!$C$3:$K$3),
     MIN('2) หลักการคำนวน Table'!$C$3:$K$3),
     MAX('2) หลักการคำนวน Table'!$C$3:$K$3)
  )
)</f>
        <v>0.9</v>
      </c>
      <c r="AS11" s="186">
        <f>IFERROR(
  _xlfn.XLOOKUP(AG11,'2) หลักการคำนวน Table'!$C$3:$K$3,'2) หลักการคำนวน Table'!$C$3:$K$3,,1),
  IF(AG11&lt;MIN('2) หลักการคำนวน Table'!$C$3:$K$3),
     MIN('2) หลักการคำนวน Table'!$C$3:$K$3),
     MAX('2) หลักการคำนวน Table'!$C$3:$K$3)
  )
)</f>
        <v>0.9</v>
      </c>
      <c r="AT11" s="186">
        <f>IFERROR(
  _xlfn.XLOOKUP(AH11,'2) หลักการคำนวน Table'!$C$3:$K$3,'2) หลักการคำนวน Table'!$C$3:$K$3,,1),
  IF(AH11&lt;MIN('2) หลักการคำนวน Table'!$C$3:$K$3),
     MIN('2) หลักการคำนวน Table'!$C$3:$K$3),
     MAX('2) หลักการคำนวน Table'!$C$3:$K$3)
  )
)</f>
        <v>0.9</v>
      </c>
      <c r="AU11" s="186">
        <f>IFERROR(
  _xlfn.XLOOKUP(AI11,'2) หลักการคำนวน Table'!$C$3:$K$3,'2) หลักการคำนวน Table'!$C$3:$K$3,,1),
  IF(AI11&lt;MIN('2) หลักการคำนวน Table'!$C$3:$K$3),
     MIN('2) หลักการคำนวน Table'!$C$3:$K$3),
     MAX('2) หลักการคำนวน Table'!$C$3:$K$3)
  )
)</f>
        <v>0.9</v>
      </c>
      <c r="AV11" s="186">
        <f>IFERROR(
  _xlfn.XLOOKUP(AJ11,'2) หลักการคำนวน Table'!$C$3:$K$3,'2) หลักการคำนวน Table'!$C$3:$K$3,,1),
  IF(AJ11&lt;MIN('2) หลักการคำนวน Table'!$C$3:$K$3),
     MIN('2) หลักการคำนวน Table'!$C$3:$K$3),
     MAX('2) หลักการคำนวน Table'!$C$3:$K$3)
  )
)</f>
        <v>0.9</v>
      </c>
      <c r="AW11" s="186">
        <f>IFERROR(
  _xlfn.XLOOKUP(AK11,'2) หลักการคำนวน Table'!$C$3:$K$3,'2) หลักการคำนวน Table'!$C$3:$K$3,,1),
  IF(AK11&lt;MIN('2) หลักการคำนวน Table'!$C$3:$K$3),
     MIN('2) หลักการคำนวน Table'!$C$3:$K$3),
     MAX('2) หลักการคำนวน Table'!$C$3:$K$3)
  )
)</f>
        <v>0.9</v>
      </c>
      <c r="AX11" s="186">
        <f>IFERROR(
  _xlfn.XLOOKUP(AL11,'2) หลักการคำนวน Table'!$C$3:$K$3,'2) หลักการคำนวน Table'!$C$3:$K$3,,1),
  IF(AL11&lt;MIN('2) หลักการคำนวน Table'!$C$3:$K$3),
     MIN('2) หลักการคำนวน Table'!$C$3:$K$3),
     MAX('2) หลักการคำนวน Table'!$C$3:$K$3)
  )
)</f>
        <v>0.9</v>
      </c>
      <c r="AY11" s="186">
        <f>IFERROR(
  _xlfn.XLOOKUP(AM11,'2) หลักการคำนวน Table'!$C$3:$K$3,'2) หลักการคำนวน Table'!$C$3:$K$3,,1),
  IF(AM11&lt;MIN('2) หลักการคำนวน Table'!$C$3:$K$3),
     MIN('2) หลักการคำนวน Table'!$C$3:$K$3),
     MAX('2) หลักการคำนวน Table'!$C$3:$K$3)
  )
)</f>
        <v>0.9</v>
      </c>
      <c r="AZ11" s="135" t="e" cm="1">
        <f t="array" ref="AZ11">(_xlfn.XLOOKUP($C11,'2) หลักการคำนวน Table'!$A$4:$A$36,
_xlfn.XLOOKUP(AN11,'2)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A11" s="135" t="e" cm="1">
        <f t="array" ref="BA11">(_xlfn.XLOOKUP($C11,'2) หลักการคำนวน Table'!$A$4:$A$36,
_xlfn.XLOOKUP(AO11,'2)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B11" s="135" t="e" cm="1">
        <f t="array" ref="BB11">(_xlfn.XLOOKUP($C11,'2) หลักการคำนวน Table'!$A$4:$A$36,
_xlfn.XLOOKUP(AP11,'2)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C11" s="135" t="e" cm="1">
        <f t="array" ref="BC11">(_xlfn.XLOOKUP($C11,'2) หลักการคำนวน Table'!$A$4:$A$36,
_xlfn.XLOOKUP(AQ11,'2)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D11" s="135" t="e" cm="1">
        <f t="array" ref="BD11">(_xlfn.XLOOKUP($C11,'2) หลักการคำนวน Table'!$A$4:$A$36,
_xlfn.XLOOKUP(AR11,'2)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E11" s="135" t="e" cm="1">
        <f t="array" ref="BE11">(_xlfn.XLOOKUP($C11,'2) หลักการคำนวน Table'!$A$4:$A$36,
_xlfn.XLOOKUP(AS11,'2)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F11" s="135" t="e" cm="1">
        <f t="array" ref="BF11">(_xlfn.XLOOKUP($C11,'2) หลักการคำนวน Table'!$A$4:$A$36,
_xlfn.XLOOKUP(AT11,'2)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G11" s="135" t="e" cm="1">
        <f t="array" ref="BG11">(_xlfn.XLOOKUP($C11,'2) หลักการคำนวน Table'!$A$4:$A$36,
_xlfn.XLOOKUP(AU11,'2)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H11" s="135" t="e" cm="1">
        <f t="array" ref="BH11">ROUND((_xlfn.XLOOKUP($C11,'2) หลักการคำนวน Table'!$A$4:$A$36,
_xlfn.XLOOKUP(AV11,'2)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I11" s="135" t="e" cm="1">
        <f t="array" ref="BI11">ROUND((_xlfn.XLOOKUP($C11,'2) หลักการคำนวน Table'!$A$4:$A$36,
_xlfn.XLOOKUP(AW11,'2)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J11" s="135" t="e" cm="1">
        <f t="array" ref="BJ11">ROUND((_xlfn.XLOOKUP($C11,'2) หลักการคำนวน Table'!$A$4:$A$36,
_xlfn.XLOOKUP(AX11,'2)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K11" s="135" t="e" cm="1">
        <f t="array" ref="BK11">ROUND((_xlfn.XLOOKUP($C11,'2) หลักการคำนวน Table'!$A$4:$A$36,
_xlfn.XLOOKUP(AY11,'2)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L11" s="239"/>
      <c r="BM11" s="126">
        <v>222208</v>
      </c>
      <c r="BN11" s="245">
        <v>450</v>
      </c>
    </row>
    <row r="12" spans="1:66" ht="13.2" customHeight="1" x14ac:dyDescent="0.25">
      <c r="A12" s="128">
        <f>VLOOKUP(C12,ASTBase!F:S,12,FALSE)</f>
        <v>222234</v>
      </c>
      <c r="B12" s="126" t="s">
        <v>410</v>
      </c>
      <c r="C12" s="128">
        <v>222208</v>
      </c>
      <c r="D12" s="127">
        <f>SUMIFS('3)Target &amp; Cal_Staff'!D$4:D$164,'3)Target &amp; Cal_Staff'!$B$4:$B$164,'3)Target &amp; Cal_Sect'!$B12,'3)Target &amp; Cal_Staff'!$A$4:$A$164,'3)Target &amp; Cal_Sect'!$C12)</f>
        <v>1287.9000000000001</v>
      </c>
      <c r="E12" s="127">
        <f>SUMIFS('3)Target &amp; Cal_Staff'!E$4:E$164,'3)Target &amp; Cal_Staff'!$B$4:$B$164,'3)Target &amp; Cal_Sect'!$B12,'3)Target &amp; Cal_Staff'!$A$4:$A$164,'3)Target &amp; Cal_Sect'!$C12)</f>
        <v>1108.52</v>
      </c>
      <c r="F12" s="127">
        <f>SUMIFS('3)Target &amp; Cal_Staff'!F$4:F$164,'3)Target &amp; Cal_Staff'!$B$4:$B$164,'3)Target &amp; Cal_Sect'!$B12,'3)Target &amp; Cal_Staff'!$A$4:$A$164,'3)Target &amp; Cal_Sect'!$C12)</f>
        <v>974.91000000000008</v>
      </c>
      <c r="G12" s="127">
        <f>SUMIFS('3)Target &amp; Cal_Staff'!G$4:G$164,'3)Target &amp; Cal_Staff'!$B$4:$B$164,'3)Target &amp; Cal_Sect'!$B12,'3)Target &amp; Cal_Staff'!$A$4:$A$164,'3)Target &amp; Cal_Sect'!$C12)</f>
        <v>1259.7</v>
      </c>
      <c r="H12" s="127">
        <f>SUMIFS('3)Target &amp; Cal_Staff'!H$4:H$164,'3)Target &amp; Cal_Staff'!$B$4:$B$164,'3)Target &amp; Cal_Sect'!$B12,'3)Target &amp; Cal_Staff'!$A$4:$A$164,'3)Target &amp; Cal_Sect'!$C12)</f>
        <v>1294.79</v>
      </c>
      <c r="I12" s="127">
        <f>SUMIFS('3)Target &amp; Cal_Staff'!I$4:I$164,'3)Target &amp; Cal_Staff'!$B$4:$B$164,'3)Target &amp; Cal_Sect'!$B12,'3)Target &amp; Cal_Staff'!$A$4:$A$164,'3)Target &amp; Cal_Sect'!$C12)</f>
        <v>1327.8400000000001</v>
      </c>
      <c r="J12" s="127">
        <f>SUMIFS('3)Target &amp; Cal_Staff'!J$4:J$164,'3)Target &amp; Cal_Staff'!$B$4:$B$164,'3)Target &amp; Cal_Sect'!$B12,'3)Target &amp; Cal_Staff'!$A$4:$A$164,'3)Target &amp; Cal_Sect'!$C12)</f>
        <v>917.34</v>
      </c>
      <c r="K12" s="127">
        <f>SUMIFS('3)Target &amp; Cal_Staff'!K$4:K$164,'3)Target &amp; Cal_Staff'!$B$4:$B$164,'3)Target &amp; Cal_Sect'!$B12,'3)Target &amp; Cal_Staff'!$A$4:$A$164,'3)Target &amp; Cal_Sect'!$C12)</f>
        <v>1079.5</v>
      </c>
      <c r="L12" s="127">
        <f>SUMIFS('3)Target &amp; Cal_Staff'!L$4:L$164,'3)Target &amp; Cal_Staff'!$B$4:$B$164,'3)Target &amp; Cal_Sect'!$B12,'3)Target &amp; Cal_Staff'!$A$4:$A$164,'3)Target &amp; Cal_Sect'!$C12)</f>
        <v>1138.27</v>
      </c>
      <c r="M12" s="127">
        <f>SUMIFS('3)Target &amp; Cal_Staff'!M$4:M$164,'3)Target &amp; Cal_Staff'!$B$4:$B$164,'3)Target &amp; Cal_Sect'!$B12,'3)Target &amp; Cal_Staff'!$A$4:$A$164,'3)Target &amp; Cal_Sect'!$C12)</f>
        <v>1736.2</v>
      </c>
      <c r="N12" s="127">
        <f>SUMIFS('3)Target &amp; Cal_Staff'!N$4:N$164,'3)Target &amp; Cal_Staff'!$B$4:$B$164,'3)Target &amp; Cal_Sect'!$B12,'3)Target &amp; Cal_Staff'!$A$4:$A$164,'3)Target &amp; Cal_Sect'!$C12)</f>
        <v>1760</v>
      </c>
      <c r="O12" s="127">
        <f>SUMIFS('3)Target &amp; Cal_Staff'!O$4:O$164,'3)Target &amp; Cal_Staff'!$B$4:$B$164,'3)Target &amp; Cal_Sect'!$B12,'3)Target &amp; Cal_Staff'!$A$4:$A$164,'3)Target &amp; Cal_Sect'!$C12)</f>
        <v>1365</v>
      </c>
      <c r="P12" s="127">
        <f>SUMIFS('3)Target &amp; Cal_Staff'!P$4:P$164,'3)Target &amp; Cal_Staff'!$B$4:$B$164,'3)Target &amp; Cal_Sect'!$B12,'3)Target &amp; Cal_Staff'!$A$4:$A$164,'3)Target &amp; Cal_Sect'!$C12)</f>
        <v>1119.6299999999997</v>
      </c>
      <c r="Q12" s="127">
        <f>SUMIFS('3)Target &amp; Cal_Staff'!Q$4:Q$164,'3)Target &amp; Cal_Staff'!$B$4:$B$164,'3)Target &amp; Cal_Sect'!$B12,'3)Target &amp; Cal_Staff'!$A$4:$A$164,'3)Target &amp; Cal_Sect'!$C12)</f>
        <v>0</v>
      </c>
      <c r="R12" s="127">
        <f>SUMIFS('3)Target &amp; Cal_Staff'!R$4:R$164,'3)Target &amp; Cal_Staff'!$B$4:$B$164,'3)Target &amp; Cal_Sect'!$B12,'3)Target &amp; Cal_Staff'!$A$4:$A$164,'3)Target &amp; Cal_Sect'!$C12)</f>
        <v>0</v>
      </c>
      <c r="S12" s="127">
        <f>SUMIFS('3)Target &amp; Cal_Staff'!S$4:S$164,'3)Target &amp; Cal_Staff'!$B$4:$B$164,'3)Target &amp; Cal_Sect'!$B12,'3)Target &amp; Cal_Staff'!$A$4:$A$164,'3)Target &amp; Cal_Sect'!$C12)</f>
        <v>0</v>
      </c>
      <c r="T12" s="127">
        <f>SUMIFS('3)Target &amp; Cal_Staff'!T$4:T$164,'3)Target &amp; Cal_Staff'!$B$4:$B$164,'3)Target &amp; Cal_Sect'!$B12,'3)Target &amp; Cal_Staff'!$A$4:$A$164,'3)Target &amp; Cal_Sect'!$C12)</f>
        <v>0</v>
      </c>
      <c r="U12" s="127">
        <f>SUMIFS('3)Target &amp; Cal_Staff'!U$4:U$164,'3)Target &amp; Cal_Staff'!$B$4:$B$164,'3)Target &amp; Cal_Sect'!$B12,'3)Target &amp; Cal_Staff'!$A$4:$A$164,'3)Target &amp; Cal_Sect'!$C12)</f>
        <v>0</v>
      </c>
      <c r="V12" s="127">
        <f>SUMIFS('3)Target &amp; Cal_Staff'!V$4:V$164,'3)Target &amp; Cal_Staff'!$B$4:$B$164,'3)Target &amp; Cal_Sect'!$B12,'3)Target &amp; Cal_Staff'!$A$4:$A$164,'3)Target &amp; Cal_Sect'!$C12)</f>
        <v>0</v>
      </c>
      <c r="W12" s="127">
        <f>SUMIFS('3)Target &amp; Cal_Staff'!W$4:W$164,'3)Target &amp; Cal_Staff'!$B$4:$B$164,'3)Target &amp; Cal_Sect'!$B12,'3)Target &amp; Cal_Staff'!$A$4:$A$164,'3)Target &amp; Cal_Sect'!$C12)</f>
        <v>0</v>
      </c>
      <c r="X12" s="127">
        <f>SUMIFS('3)Target &amp; Cal_Staff'!X$4:X$164,'3)Target &amp; Cal_Staff'!$B$4:$B$164,'3)Target &amp; Cal_Sect'!$B12,'3)Target &amp; Cal_Staff'!$A$4:$A$164,'3)Target &amp; Cal_Sect'!$C12)</f>
        <v>0</v>
      </c>
      <c r="Y12" s="127">
        <f>SUMIFS('3)Target &amp; Cal_Staff'!Y$4:Y$164,'3)Target &amp; Cal_Staff'!$B$4:$B$164,'3)Target &amp; Cal_Sect'!$B12,'3)Target &amp; Cal_Staff'!$A$4:$A$164,'3)Target &amp; Cal_Sect'!$C12)</f>
        <v>0</v>
      </c>
      <c r="Z12" s="127">
        <f>SUMIFS('3)Target &amp; Cal_Staff'!Z$4:Z$164,'3)Target &amp; Cal_Staff'!$B$4:$B$164,'3)Target &amp; Cal_Sect'!$B12,'3)Target &amp; Cal_Staff'!$A$4:$A$164,'3)Target &amp; Cal_Sect'!$C12)</f>
        <v>0</v>
      </c>
      <c r="AA12" s="127">
        <f>SUMIFS('3)Target &amp; Cal_Staff'!AA$4:AA$164,'3)Target &amp; Cal_Staff'!$B$4:$B$164,'3)Target &amp; Cal_Sect'!$B12,'3)Target &amp; Cal_Staff'!$A$4:$A$164,'3)Target &amp; Cal_Sect'!$C12)</f>
        <v>0</v>
      </c>
      <c r="AB12" s="132">
        <f>IFERROR(IF(VLOOKUP($B12,Shortage!$A:$M,AB$2,FALSE)="Shortage",1,IFERROR(ROUND(P12/D12,4),0)),IFERROR(ROUND(P12/D12,4),0))</f>
        <v>0.86929999999999996</v>
      </c>
      <c r="AC12" s="132">
        <f>IFERROR(IF(VLOOKUP($B12,Shortage!$A:$M,AC$2,FALSE)="Shortage",1,IFERROR(ROUND(Q12/E12,4),0)),IFERROR(ROUND(Q12/E12,4),0))</f>
        <v>0</v>
      </c>
      <c r="AD12" s="132">
        <f>IFERROR(IF(VLOOKUP($B12,Shortage!$A:$M,AD$2,FALSE)="Shortage",1,IFERROR(ROUND(R12/F12,4),0)),IFERROR(ROUND(R12/F12,4),0))</f>
        <v>0</v>
      </c>
      <c r="AE12" s="132">
        <f>IFERROR(IF(VLOOKUP($B12,Shortage!$A:$M,AE$2,FALSE)="Shortage",1,IFERROR(ROUND(S12/G12,4),0)),IFERROR(ROUND(S12/G12,4),0))</f>
        <v>0</v>
      </c>
      <c r="AF12" s="132">
        <f>IFERROR(IF(VLOOKUP($B12,Shortage!$A:$M,AF$2,FALSE)="Shortage",1,IFERROR(ROUND(T12/H12,4),0)),IFERROR(ROUND(T12/H12,4),0))</f>
        <v>0</v>
      </c>
      <c r="AG12" s="132">
        <f>IFERROR(IF(VLOOKUP($B12,Shortage!$A:$M,AG$2,FALSE)="Shortage",1,IFERROR(ROUND(U12/I12,4),0)),IFERROR(ROUND(U12/I12,4),0))</f>
        <v>0</v>
      </c>
      <c r="AH12" s="132">
        <f>IFERROR(IF(VLOOKUP($B12,Shortage!$A:$M,AH$2,FALSE)="Shortage",1,IFERROR(ROUND(V12/J12,4),0)),IFERROR(ROUND(V12/J12,4),0))</f>
        <v>0</v>
      </c>
      <c r="AI12" s="132">
        <f>IFERROR(IF(VLOOKUP($B12,Shortage!$A:$M,AI$2,FALSE)="Shortage",1,IFERROR(ROUND(W12/K12,4),0)),IFERROR(ROUND(W12/K12,4),0))</f>
        <v>0</v>
      </c>
      <c r="AJ12" s="132">
        <f>IFERROR(IF(VLOOKUP($B12,Shortage!$A:$M,AJ$2,FALSE)="Shortage",1,IFERROR(ROUND(X12/L12,4),0)),IFERROR(ROUND(X12/L12,4),0))</f>
        <v>0</v>
      </c>
      <c r="AK12" s="132">
        <f>IFERROR(IF(VLOOKUP($B12,Shortage!$A:$M,AK$2,FALSE)="Shortage",1,IFERROR(ROUND(Y12/M12,4),0)),IFERROR(ROUND(Y12/M12,4),0))</f>
        <v>0</v>
      </c>
      <c r="AL12" s="132">
        <f>IFERROR(IF(VLOOKUP($B12,Shortage!$A:$M,AL$2,FALSE)="Shortage",1,IFERROR(ROUND(Z12/N12,4),0)),IFERROR(ROUND(Z12/N12,4),0))</f>
        <v>0</v>
      </c>
      <c r="AM12" s="132">
        <f>IFERROR(IF(VLOOKUP($B12,Shortage!$A:$M,AM$2,FALSE)="Shortage",1,IFERROR(ROUND(AA12/O12,4),0)),IFERROR(ROUND(AA12/O12,4),0))</f>
        <v>0</v>
      </c>
      <c r="AN12" s="186">
        <f>IFERROR(_xlfn.XLOOKUP(AB12,'2) หลักการคำนวน Table'!$C$3:$K$3,'2) หลักการคำนวน Table'!$C$3:$K$3,,1),INDEX('2) หลักการคำนวน Table'!$C$3:$K$3,1))</f>
        <v>0.9</v>
      </c>
      <c r="AO12" s="186">
        <f>IFERROR(
  _xlfn.XLOOKUP(AC12,'2) หลักการคำนวน Table'!$C$3:$K$3,'2) หลักการคำนวน Table'!$C$3:$K$3,,1),
  IF(AC12&lt;MIN('2) หลักการคำนวน Table'!$C$3:$K$3),
     MIN('2) หลักการคำนวน Table'!$C$3:$K$3),
     MAX('2) หลักการคำนวน Table'!$C$3:$K$3)
  )
)</f>
        <v>0.9</v>
      </c>
      <c r="AP12" s="186">
        <f>IFERROR(
  _xlfn.XLOOKUP(AD12,'2) หลักการคำนวน Table'!$C$3:$K$3,'2) หลักการคำนวน Table'!$C$3:$K$3,,1),
  IF(AD12&lt;MIN('2) หลักการคำนวน Table'!$C$3:$K$3),
     MIN('2) หลักการคำนวน Table'!$C$3:$K$3),
     MAX('2) หลักการคำนวน Table'!$C$3:$K$3)
  )
)</f>
        <v>0.9</v>
      </c>
      <c r="AQ12" s="186">
        <f>IFERROR(
  _xlfn.XLOOKUP(AE12,'2) หลักการคำนวน Table'!$C$3:$K$3,'2) หลักการคำนวน Table'!$C$3:$K$3,,1),
  IF(AE12&lt;MIN('2) หลักการคำนวน Table'!$C$3:$K$3),
     MIN('2) หลักการคำนวน Table'!$C$3:$K$3),
     MAX('2) หลักการคำนวน Table'!$C$3:$K$3)
  )
)</f>
        <v>0.9</v>
      </c>
      <c r="AR12" s="186">
        <f>IFERROR(
  _xlfn.XLOOKUP(AF12,'2) หลักการคำนวน Table'!$C$3:$K$3,'2) หลักการคำนวน Table'!$C$3:$K$3,,1),
  IF(AF12&lt;MIN('2) หลักการคำนวน Table'!$C$3:$K$3),
     MIN('2) หลักการคำนวน Table'!$C$3:$K$3),
     MAX('2) หลักการคำนวน Table'!$C$3:$K$3)
  )
)</f>
        <v>0.9</v>
      </c>
      <c r="AS12" s="186">
        <f>IFERROR(
  _xlfn.XLOOKUP(AG12,'2) หลักการคำนวน Table'!$C$3:$K$3,'2) หลักการคำนวน Table'!$C$3:$K$3,,1),
  IF(AG12&lt;MIN('2) หลักการคำนวน Table'!$C$3:$K$3),
     MIN('2) หลักการคำนวน Table'!$C$3:$K$3),
     MAX('2) หลักการคำนวน Table'!$C$3:$K$3)
  )
)</f>
        <v>0.9</v>
      </c>
      <c r="AT12" s="186">
        <f>IFERROR(
  _xlfn.XLOOKUP(AH12,'2) หลักการคำนวน Table'!$C$3:$K$3,'2) หลักการคำนวน Table'!$C$3:$K$3,,1),
  IF(AH12&lt;MIN('2) หลักการคำนวน Table'!$C$3:$K$3),
     MIN('2) หลักการคำนวน Table'!$C$3:$K$3),
     MAX('2) หลักการคำนวน Table'!$C$3:$K$3)
  )
)</f>
        <v>0.9</v>
      </c>
      <c r="AU12" s="186">
        <f>IFERROR(
  _xlfn.XLOOKUP(AI12,'2) หลักการคำนวน Table'!$C$3:$K$3,'2) หลักการคำนวน Table'!$C$3:$K$3,,1),
  IF(AI12&lt;MIN('2) หลักการคำนวน Table'!$C$3:$K$3),
     MIN('2) หลักการคำนวน Table'!$C$3:$K$3),
     MAX('2) หลักการคำนวน Table'!$C$3:$K$3)
  )
)</f>
        <v>0.9</v>
      </c>
      <c r="AV12" s="186">
        <f>IFERROR(
  _xlfn.XLOOKUP(AJ12,'2) หลักการคำนวน Table'!$C$3:$K$3,'2) หลักการคำนวน Table'!$C$3:$K$3,,1),
  IF(AJ12&lt;MIN('2) หลักการคำนวน Table'!$C$3:$K$3),
     MIN('2) หลักการคำนวน Table'!$C$3:$K$3),
     MAX('2) หลักการคำนวน Table'!$C$3:$K$3)
  )
)</f>
        <v>0.9</v>
      </c>
      <c r="AW12" s="186">
        <f>IFERROR(
  _xlfn.XLOOKUP(AK12,'2) หลักการคำนวน Table'!$C$3:$K$3,'2) หลักการคำนวน Table'!$C$3:$K$3,,1),
  IF(AK12&lt;MIN('2) หลักการคำนวน Table'!$C$3:$K$3),
     MIN('2) หลักการคำนวน Table'!$C$3:$K$3),
     MAX('2) หลักการคำนวน Table'!$C$3:$K$3)
  )
)</f>
        <v>0.9</v>
      </c>
      <c r="AX12" s="186">
        <f>IFERROR(
  _xlfn.XLOOKUP(AL12,'2) หลักการคำนวน Table'!$C$3:$K$3,'2) หลักการคำนวน Table'!$C$3:$K$3,,1),
  IF(AL12&lt;MIN('2) หลักการคำนวน Table'!$C$3:$K$3),
     MIN('2) หลักการคำนวน Table'!$C$3:$K$3),
     MAX('2) หลักการคำนวน Table'!$C$3:$K$3)
  )
)</f>
        <v>0.9</v>
      </c>
      <c r="AY12" s="186">
        <f>IFERROR(
  _xlfn.XLOOKUP(AM12,'2) หลักการคำนวน Table'!$C$3:$K$3,'2) หลักการคำนวน Table'!$C$3:$K$3,,1),
  IF(AM12&lt;MIN('2) หลักการคำนวน Table'!$C$3:$K$3),
     MIN('2) หลักการคำนวน Table'!$C$3:$K$3),
     MAX('2) หลักการคำนวน Table'!$C$3:$K$3)
  )
)</f>
        <v>0.9</v>
      </c>
      <c r="AZ12" s="135" t="e" cm="1">
        <f t="array" ref="AZ12">(_xlfn.XLOOKUP($C12,'2) หลักการคำนวน Table'!$A$4:$A$36,
_xlfn.XLOOKUP(AN12,'2)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A12" s="135" t="e" cm="1">
        <f t="array" ref="BA12">(_xlfn.XLOOKUP($C12,'2) หลักการคำนวน Table'!$A$4:$A$36,
_xlfn.XLOOKUP(AO12,'2)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B12" s="135" t="e" cm="1">
        <f t="array" ref="BB12">(_xlfn.XLOOKUP($C12,'2) หลักการคำนวน Table'!$A$4:$A$36,
_xlfn.XLOOKUP(AP12,'2)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C12" s="135" t="e" cm="1">
        <f t="array" ref="BC12">(_xlfn.XLOOKUP($C12,'2) หลักการคำนวน Table'!$A$4:$A$36,
_xlfn.XLOOKUP(AQ12,'2)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D12" s="135" t="e" cm="1">
        <f t="array" ref="BD12">(_xlfn.XLOOKUP($C12,'2) หลักการคำนวน Table'!$A$4:$A$36,
_xlfn.XLOOKUP(AR12,'2)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E12" s="135" t="e" cm="1">
        <f t="array" ref="BE12">(_xlfn.XLOOKUP($C12,'2) หลักการคำนวน Table'!$A$4:$A$36,
_xlfn.XLOOKUP(AS12,'2)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F12" s="135" t="e" cm="1">
        <f t="array" ref="BF12">(_xlfn.XLOOKUP($C12,'2) หลักการคำนวน Table'!$A$4:$A$36,
_xlfn.XLOOKUP(AT12,'2)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G12" s="135" t="e" cm="1">
        <f t="array" ref="BG12">(_xlfn.XLOOKUP($C12,'2) หลักการคำนวน Table'!$A$4:$A$36,
_xlfn.XLOOKUP(AU12,'2)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H12" s="135" t="e" cm="1">
        <f t="array" ref="BH12">ROUND((_xlfn.XLOOKUP($C12,'2) หลักการคำนวน Table'!$A$4:$A$36,
_xlfn.XLOOKUP(AV12,'2)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I12" s="135" t="e" cm="1">
        <f t="array" ref="BI12">ROUND((_xlfn.XLOOKUP($C12,'2) หลักการคำนวน Table'!$A$4:$A$36,
_xlfn.XLOOKUP(AW12,'2)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J12" s="135" t="e" cm="1">
        <f t="array" ref="BJ12">ROUND((_xlfn.XLOOKUP($C12,'2) หลักการคำนวน Table'!$A$4:$A$36,
_xlfn.XLOOKUP(AX12,'2)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K12" s="135" t="e" cm="1">
        <f t="array" ref="BK12">ROUND((_xlfn.XLOOKUP($C12,'2) หลักการคำนวน Table'!$A$4:$A$36,
_xlfn.XLOOKUP(AY12,'2)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L12" s="239"/>
      <c r="BM12" s="126">
        <v>222208</v>
      </c>
      <c r="BN12" s="245">
        <v>650</v>
      </c>
    </row>
    <row r="13" spans="1:66" ht="13.2" customHeight="1" x14ac:dyDescent="0.25">
      <c r="A13" s="128">
        <f>VLOOKUP(C13,ASTBase!F:S,12,FALSE)</f>
        <v>222234</v>
      </c>
      <c r="B13" s="126" t="s">
        <v>415</v>
      </c>
      <c r="C13" s="128">
        <v>222208</v>
      </c>
      <c r="D13" s="127">
        <f>SUMIFS('3)Target &amp; Cal_Staff'!D$4:D$164,'3)Target &amp; Cal_Staff'!$B$4:$B$164,'3)Target &amp; Cal_Sect'!$B13,'3)Target &amp; Cal_Staff'!$A$4:$A$164,'3)Target &amp; Cal_Sect'!$C13)</f>
        <v>366</v>
      </c>
      <c r="E13" s="127">
        <f>SUMIFS('3)Target &amp; Cal_Staff'!E$4:E$164,'3)Target &amp; Cal_Staff'!$B$4:$B$164,'3)Target &amp; Cal_Sect'!$B13,'3)Target &amp; Cal_Staff'!$A$4:$A$164,'3)Target &amp; Cal_Sect'!$C13)</f>
        <v>329.4</v>
      </c>
      <c r="F13" s="127">
        <f>SUMIFS('3)Target &amp; Cal_Staff'!F$4:F$164,'3)Target &amp; Cal_Staff'!$B$4:$B$164,'3)Target &amp; Cal_Sect'!$B13,'3)Target &amp; Cal_Staff'!$A$4:$A$164,'3)Target &amp; Cal_Sect'!$C13)</f>
        <v>317.2</v>
      </c>
      <c r="G13" s="127">
        <f>SUMIFS('3)Target &amp; Cal_Staff'!G$4:G$164,'3)Target &amp; Cal_Staff'!$B$4:$B$164,'3)Target &amp; Cal_Sect'!$B13,'3)Target &amp; Cal_Staff'!$A$4:$A$164,'3)Target &amp; Cal_Sect'!$C13)</f>
        <v>262</v>
      </c>
      <c r="H13" s="127">
        <f>SUMIFS('3)Target &amp; Cal_Staff'!H$4:H$164,'3)Target &amp; Cal_Staff'!$B$4:$B$164,'3)Target &amp; Cal_Sect'!$B13,'3)Target &amp; Cal_Staff'!$A$4:$A$164,'3)Target &amp; Cal_Sect'!$C13)</f>
        <v>451.8</v>
      </c>
      <c r="I13" s="127">
        <f>SUMIFS('3)Target &amp; Cal_Staff'!I$4:I$164,'3)Target &amp; Cal_Staff'!$B$4:$B$164,'3)Target &amp; Cal_Sect'!$B13,'3)Target &amp; Cal_Staff'!$A$4:$A$164,'3)Target &amp; Cal_Sect'!$C13)</f>
        <v>348.59999999999997</v>
      </c>
      <c r="J13" s="127">
        <f>SUMIFS('3)Target &amp; Cal_Staff'!J$4:J$164,'3)Target &amp; Cal_Staff'!$B$4:$B$164,'3)Target &amp; Cal_Sect'!$B13,'3)Target &amp; Cal_Staff'!$A$4:$A$164,'3)Target &amp; Cal_Sect'!$C13)</f>
        <v>283.60000000000002</v>
      </c>
      <c r="K13" s="127">
        <f>SUMIFS('3)Target &amp; Cal_Staff'!K$4:K$164,'3)Target &amp; Cal_Staff'!$B$4:$B$164,'3)Target &amp; Cal_Sect'!$B13,'3)Target &amp; Cal_Staff'!$A$4:$A$164,'3)Target &amp; Cal_Sect'!$C13)</f>
        <v>329.43999999999994</v>
      </c>
      <c r="L13" s="127">
        <f>SUMIFS('3)Target &amp; Cal_Staff'!L$4:L$164,'3)Target &amp; Cal_Staff'!$B$4:$B$164,'3)Target &amp; Cal_Sect'!$B13,'3)Target &amp; Cal_Staff'!$A$4:$A$164,'3)Target &amp; Cal_Sect'!$C13)</f>
        <v>474.62</v>
      </c>
      <c r="M13" s="127">
        <f>SUMIFS('3)Target &amp; Cal_Staff'!M$4:M$164,'3)Target &amp; Cal_Staff'!$B$4:$B$164,'3)Target &amp; Cal_Sect'!$B13,'3)Target &amp; Cal_Staff'!$A$4:$A$164,'3)Target &amp; Cal_Sect'!$C13)</f>
        <v>1434.4</v>
      </c>
      <c r="N13" s="127">
        <f>SUMIFS('3)Target &amp; Cal_Staff'!N$4:N$164,'3)Target &amp; Cal_Staff'!$B$4:$B$164,'3)Target &amp; Cal_Sect'!$B13,'3)Target &amp; Cal_Staff'!$A$4:$A$164,'3)Target &amp; Cal_Sect'!$C13)</f>
        <v>958.8</v>
      </c>
      <c r="O13" s="127">
        <f>SUMIFS('3)Target &amp; Cal_Staff'!O$4:O$164,'3)Target &amp; Cal_Staff'!$B$4:$B$164,'3)Target &amp; Cal_Sect'!$B13,'3)Target &amp; Cal_Staff'!$A$4:$A$164,'3)Target &amp; Cal_Sect'!$C13)</f>
        <v>487</v>
      </c>
      <c r="P13" s="127">
        <f>SUMIFS('3)Target &amp; Cal_Staff'!P$4:P$164,'3)Target &amp; Cal_Staff'!$B$4:$B$164,'3)Target &amp; Cal_Sect'!$B13,'3)Target &amp; Cal_Staff'!$A$4:$A$164,'3)Target &amp; Cal_Sect'!$C13)</f>
        <v>351</v>
      </c>
      <c r="Q13" s="127">
        <f>SUMIFS('3)Target &amp; Cal_Staff'!Q$4:Q$164,'3)Target &amp; Cal_Staff'!$B$4:$B$164,'3)Target &amp; Cal_Sect'!$B13,'3)Target &amp; Cal_Staff'!$A$4:$A$164,'3)Target &amp; Cal_Sect'!$C13)</f>
        <v>0</v>
      </c>
      <c r="R13" s="127">
        <f>SUMIFS('3)Target &amp; Cal_Staff'!R$4:R$164,'3)Target &amp; Cal_Staff'!$B$4:$B$164,'3)Target &amp; Cal_Sect'!$B13,'3)Target &amp; Cal_Staff'!$A$4:$A$164,'3)Target &amp; Cal_Sect'!$C13)</f>
        <v>0</v>
      </c>
      <c r="S13" s="127">
        <f>SUMIFS('3)Target &amp; Cal_Staff'!S$4:S$164,'3)Target &amp; Cal_Staff'!$B$4:$B$164,'3)Target &amp; Cal_Sect'!$B13,'3)Target &amp; Cal_Staff'!$A$4:$A$164,'3)Target &amp; Cal_Sect'!$C13)</f>
        <v>0</v>
      </c>
      <c r="T13" s="127">
        <f>SUMIFS('3)Target &amp; Cal_Staff'!T$4:T$164,'3)Target &amp; Cal_Staff'!$B$4:$B$164,'3)Target &amp; Cal_Sect'!$B13,'3)Target &amp; Cal_Staff'!$A$4:$A$164,'3)Target &amp; Cal_Sect'!$C13)</f>
        <v>0</v>
      </c>
      <c r="U13" s="127">
        <f>SUMIFS('3)Target &amp; Cal_Staff'!U$4:U$164,'3)Target &amp; Cal_Staff'!$B$4:$B$164,'3)Target &amp; Cal_Sect'!$B13,'3)Target &amp; Cal_Staff'!$A$4:$A$164,'3)Target &amp; Cal_Sect'!$C13)</f>
        <v>0</v>
      </c>
      <c r="V13" s="127">
        <f>SUMIFS('3)Target &amp; Cal_Staff'!V$4:V$164,'3)Target &amp; Cal_Staff'!$B$4:$B$164,'3)Target &amp; Cal_Sect'!$B13,'3)Target &amp; Cal_Staff'!$A$4:$A$164,'3)Target &amp; Cal_Sect'!$C13)</f>
        <v>0</v>
      </c>
      <c r="W13" s="127">
        <f>SUMIFS('3)Target &amp; Cal_Staff'!W$4:W$164,'3)Target &amp; Cal_Staff'!$B$4:$B$164,'3)Target &amp; Cal_Sect'!$B13,'3)Target &amp; Cal_Staff'!$A$4:$A$164,'3)Target &amp; Cal_Sect'!$C13)</f>
        <v>0</v>
      </c>
      <c r="X13" s="127">
        <f>SUMIFS('3)Target &amp; Cal_Staff'!X$4:X$164,'3)Target &amp; Cal_Staff'!$B$4:$B$164,'3)Target &amp; Cal_Sect'!$B13,'3)Target &amp; Cal_Staff'!$A$4:$A$164,'3)Target &amp; Cal_Sect'!$C13)</f>
        <v>0</v>
      </c>
      <c r="Y13" s="127">
        <f>SUMIFS('3)Target &amp; Cal_Staff'!Y$4:Y$164,'3)Target &amp; Cal_Staff'!$B$4:$B$164,'3)Target &amp; Cal_Sect'!$B13,'3)Target &amp; Cal_Staff'!$A$4:$A$164,'3)Target &amp; Cal_Sect'!$C13)</f>
        <v>0</v>
      </c>
      <c r="Z13" s="127">
        <f>SUMIFS('3)Target &amp; Cal_Staff'!Z$4:Z$164,'3)Target &amp; Cal_Staff'!$B$4:$B$164,'3)Target &amp; Cal_Sect'!$B13,'3)Target &amp; Cal_Staff'!$A$4:$A$164,'3)Target &amp; Cal_Sect'!$C13)</f>
        <v>0</v>
      </c>
      <c r="AA13" s="127">
        <f>SUMIFS('3)Target &amp; Cal_Staff'!AA$4:AA$164,'3)Target &amp; Cal_Staff'!$B$4:$B$164,'3)Target &amp; Cal_Sect'!$B13,'3)Target &amp; Cal_Staff'!$A$4:$A$164,'3)Target &amp; Cal_Sect'!$C13)</f>
        <v>0</v>
      </c>
      <c r="AB13" s="132">
        <f>IFERROR(IF(VLOOKUP($B13,Shortage!$A:$M,AB$2,FALSE)="Shortage",1,IFERROR(ROUND(P13/D13,4),0)),IFERROR(ROUND(P13/D13,4),0))</f>
        <v>0.95899999999999996</v>
      </c>
      <c r="AC13" s="132">
        <f>IFERROR(IF(VLOOKUP($B13,Shortage!$A:$M,AC$2,FALSE)="Shortage",1,IFERROR(ROUND(Q13/E13,4),0)),IFERROR(ROUND(Q13/E13,4),0))</f>
        <v>0</v>
      </c>
      <c r="AD13" s="132">
        <f>IFERROR(IF(VLOOKUP($B13,Shortage!$A:$M,AD$2,FALSE)="Shortage",1,IFERROR(ROUND(R13/F13,4),0)),IFERROR(ROUND(R13/F13,4),0))</f>
        <v>0</v>
      </c>
      <c r="AE13" s="132">
        <f>IFERROR(IF(VLOOKUP($B13,Shortage!$A:$M,AE$2,FALSE)="Shortage",1,IFERROR(ROUND(S13/G13,4),0)),IFERROR(ROUND(S13/G13,4),0))</f>
        <v>0</v>
      </c>
      <c r="AF13" s="132">
        <f>IFERROR(IF(VLOOKUP($B13,Shortage!$A:$M,AF$2,FALSE)="Shortage",1,IFERROR(ROUND(T13/H13,4),0)),IFERROR(ROUND(T13/H13,4),0))</f>
        <v>0</v>
      </c>
      <c r="AG13" s="132">
        <f>IFERROR(IF(VLOOKUP($B13,Shortage!$A:$M,AG$2,FALSE)="Shortage",1,IFERROR(ROUND(U13/I13,4),0)),IFERROR(ROUND(U13/I13,4),0))</f>
        <v>0</v>
      </c>
      <c r="AH13" s="132">
        <f>IFERROR(IF(VLOOKUP($B13,Shortage!$A:$M,AH$2,FALSE)="Shortage",1,IFERROR(ROUND(V13/J13,4),0)),IFERROR(ROUND(V13/J13,4),0))</f>
        <v>0</v>
      </c>
      <c r="AI13" s="132">
        <f>IFERROR(IF(VLOOKUP($B13,Shortage!$A:$M,AI$2,FALSE)="Shortage",1,IFERROR(ROUND(W13/K13,4),0)),IFERROR(ROUND(W13/K13,4),0))</f>
        <v>0</v>
      </c>
      <c r="AJ13" s="132">
        <f>IFERROR(IF(VLOOKUP($B13,Shortage!$A:$M,AJ$2,FALSE)="Shortage",1,IFERROR(ROUND(X13/L13,4),0)),IFERROR(ROUND(X13/L13,4),0))</f>
        <v>0</v>
      </c>
      <c r="AK13" s="132">
        <f>IFERROR(IF(VLOOKUP($B13,Shortage!$A:$M,AK$2,FALSE)="Shortage",1,IFERROR(ROUND(Y13/M13,4),0)),IFERROR(ROUND(Y13/M13,4),0))</f>
        <v>0</v>
      </c>
      <c r="AL13" s="132">
        <f>IFERROR(IF(VLOOKUP($B13,Shortage!$A:$M,AL$2,FALSE)="Shortage",1,IFERROR(ROUND(Z13/N13,4),0)),IFERROR(ROUND(Z13/N13,4),0))</f>
        <v>0</v>
      </c>
      <c r="AM13" s="132">
        <f>IFERROR(IF(VLOOKUP($B13,Shortage!$A:$M,AM$2,FALSE)="Shortage",1,IFERROR(ROUND(AA13/O13,4),0)),IFERROR(ROUND(AA13/O13,4),0))</f>
        <v>0</v>
      </c>
      <c r="AN13" s="186">
        <f>IFERROR(_xlfn.XLOOKUP(AB13,'2) หลักการคำนวน Table'!$C$3:$K$3,'2) หลักการคำนวน Table'!$C$3:$K$3,,1),INDEX('2) หลักการคำนวน Table'!$C$3:$K$3,1))</f>
        <v>1</v>
      </c>
      <c r="AO13" s="186">
        <f>IFERROR(
  _xlfn.XLOOKUP(AC13,'2) หลักการคำนวน Table'!$C$3:$K$3,'2) หลักการคำนวน Table'!$C$3:$K$3,,1),
  IF(AC13&lt;MIN('2) หลักการคำนวน Table'!$C$3:$K$3),
     MIN('2) หลักการคำนวน Table'!$C$3:$K$3),
     MAX('2) หลักการคำนวน Table'!$C$3:$K$3)
  )
)</f>
        <v>0.9</v>
      </c>
      <c r="AP13" s="186">
        <f>IFERROR(
  _xlfn.XLOOKUP(AD13,'2) หลักการคำนวน Table'!$C$3:$K$3,'2) หลักการคำนวน Table'!$C$3:$K$3,,1),
  IF(AD13&lt;MIN('2) หลักการคำนวน Table'!$C$3:$K$3),
     MIN('2) หลักการคำนวน Table'!$C$3:$K$3),
     MAX('2) หลักการคำนวน Table'!$C$3:$K$3)
  )
)</f>
        <v>0.9</v>
      </c>
      <c r="AQ13" s="186">
        <f>IFERROR(
  _xlfn.XLOOKUP(AE13,'2) หลักการคำนวน Table'!$C$3:$K$3,'2) หลักการคำนวน Table'!$C$3:$K$3,,1),
  IF(AE13&lt;MIN('2) หลักการคำนวน Table'!$C$3:$K$3),
     MIN('2) หลักการคำนวน Table'!$C$3:$K$3),
     MAX('2) หลักการคำนวน Table'!$C$3:$K$3)
  )
)</f>
        <v>0.9</v>
      </c>
      <c r="AR13" s="186">
        <f>IFERROR(
  _xlfn.XLOOKUP(AF13,'2) หลักการคำนวน Table'!$C$3:$K$3,'2) หลักการคำนวน Table'!$C$3:$K$3,,1),
  IF(AF13&lt;MIN('2) หลักการคำนวน Table'!$C$3:$K$3),
     MIN('2) หลักการคำนวน Table'!$C$3:$K$3),
     MAX('2) หลักการคำนวน Table'!$C$3:$K$3)
  )
)</f>
        <v>0.9</v>
      </c>
      <c r="AS13" s="186">
        <f>IFERROR(
  _xlfn.XLOOKUP(AG13,'2) หลักการคำนวน Table'!$C$3:$K$3,'2) หลักการคำนวน Table'!$C$3:$K$3,,1),
  IF(AG13&lt;MIN('2) หลักการคำนวน Table'!$C$3:$K$3),
     MIN('2) หลักการคำนวน Table'!$C$3:$K$3),
     MAX('2) หลักการคำนวน Table'!$C$3:$K$3)
  )
)</f>
        <v>0.9</v>
      </c>
      <c r="AT13" s="186">
        <f>IFERROR(
  _xlfn.XLOOKUP(AH13,'2) หลักการคำนวน Table'!$C$3:$K$3,'2) หลักการคำนวน Table'!$C$3:$K$3,,1),
  IF(AH13&lt;MIN('2) หลักการคำนวน Table'!$C$3:$K$3),
     MIN('2) หลักการคำนวน Table'!$C$3:$K$3),
     MAX('2) หลักการคำนวน Table'!$C$3:$K$3)
  )
)</f>
        <v>0.9</v>
      </c>
      <c r="AU13" s="186">
        <f>IFERROR(
  _xlfn.XLOOKUP(AI13,'2) หลักการคำนวน Table'!$C$3:$K$3,'2) หลักการคำนวน Table'!$C$3:$K$3,,1),
  IF(AI13&lt;MIN('2) หลักการคำนวน Table'!$C$3:$K$3),
     MIN('2) หลักการคำนวน Table'!$C$3:$K$3),
     MAX('2) หลักการคำนวน Table'!$C$3:$K$3)
  )
)</f>
        <v>0.9</v>
      </c>
      <c r="AV13" s="186">
        <f>IFERROR(
  _xlfn.XLOOKUP(AJ13,'2) หลักการคำนวน Table'!$C$3:$K$3,'2) หลักการคำนวน Table'!$C$3:$K$3,,1),
  IF(AJ13&lt;MIN('2) หลักการคำนวน Table'!$C$3:$K$3),
     MIN('2) หลักการคำนวน Table'!$C$3:$K$3),
     MAX('2) หลักการคำนวน Table'!$C$3:$K$3)
  )
)</f>
        <v>0.9</v>
      </c>
      <c r="AW13" s="186">
        <f>IFERROR(
  _xlfn.XLOOKUP(AK13,'2) หลักการคำนวน Table'!$C$3:$K$3,'2) หลักการคำนวน Table'!$C$3:$K$3,,1),
  IF(AK13&lt;MIN('2) หลักการคำนวน Table'!$C$3:$K$3),
     MIN('2) หลักการคำนวน Table'!$C$3:$K$3),
     MAX('2) หลักการคำนวน Table'!$C$3:$K$3)
  )
)</f>
        <v>0.9</v>
      </c>
      <c r="AX13" s="186">
        <f>IFERROR(
  _xlfn.XLOOKUP(AL13,'2) หลักการคำนวน Table'!$C$3:$K$3,'2) หลักการคำนวน Table'!$C$3:$K$3,,1),
  IF(AL13&lt;MIN('2) หลักการคำนวน Table'!$C$3:$K$3),
     MIN('2) หลักการคำนวน Table'!$C$3:$K$3),
     MAX('2) หลักการคำนวน Table'!$C$3:$K$3)
  )
)</f>
        <v>0.9</v>
      </c>
      <c r="AY13" s="186">
        <f>IFERROR(
  _xlfn.XLOOKUP(AM13,'2) หลักการคำนวน Table'!$C$3:$K$3,'2) หลักการคำนวน Table'!$C$3:$K$3,,1),
  IF(AM13&lt;MIN('2) หลักการคำนวน Table'!$C$3:$K$3),
     MIN('2) หลักการคำนวน Table'!$C$3:$K$3),
     MAX('2) หลักการคำนวน Table'!$C$3:$K$3)
  )
)</f>
        <v>0.9</v>
      </c>
      <c r="AZ13" s="135" t="e" cm="1">
        <f t="array" ref="AZ13">(_xlfn.XLOOKUP($C13,'2) หลักการคำนวน Table'!$A$4:$A$36,
_xlfn.XLOOKUP(AN13,'2)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A13" s="135" t="e" cm="1">
        <f t="array" ref="BA13">(_xlfn.XLOOKUP($C13,'2) หลักการคำนวน Table'!$A$4:$A$36,
_xlfn.XLOOKUP(AO13,'2)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B13" s="135" t="e" cm="1">
        <f t="array" ref="BB13">(_xlfn.XLOOKUP($C13,'2) หลักการคำนวน Table'!$A$4:$A$36,
_xlfn.XLOOKUP(AP13,'2)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C13" s="135" t="e" cm="1">
        <f t="array" ref="BC13">(_xlfn.XLOOKUP($C13,'2) หลักการคำนวน Table'!$A$4:$A$36,
_xlfn.XLOOKUP(AQ13,'2)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D13" s="135" t="e" cm="1">
        <f t="array" ref="BD13">(_xlfn.XLOOKUP($C13,'2) หลักการคำนวน Table'!$A$4:$A$36,
_xlfn.XLOOKUP(AR13,'2)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E13" s="135" t="e" cm="1">
        <f t="array" ref="BE13">(_xlfn.XLOOKUP($C13,'2) หลักการคำนวน Table'!$A$4:$A$36,
_xlfn.XLOOKUP(AS13,'2)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F13" s="135" t="e" cm="1">
        <f t="array" ref="BF13">(_xlfn.XLOOKUP($C13,'2) หลักการคำนวน Table'!$A$4:$A$36,
_xlfn.XLOOKUP(AT13,'2)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G13" s="135" t="e" cm="1">
        <f t="array" ref="BG13">(_xlfn.XLOOKUP($C13,'2) หลักการคำนวน Table'!$A$4:$A$36,
_xlfn.XLOOKUP(AU13,'2)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H13" s="135" t="e" cm="1">
        <f t="array" ref="BH13">ROUND((_xlfn.XLOOKUP($C13,'2) หลักการคำนวน Table'!$A$4:$A$36,
_xlfn.XLOOKUP(AV13,'2)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I13" s="135" t="e" cm="1">
        <f t="array" ref="BI13">ROUND((_xlfn.XLOOKUP($C13,'2) หลักการคำนวน Table'!$A$4:$A$36,
_xlfn.XLOOKUP(AW13,'2)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J13" s="135" t="e" cm="1">
        <f t="array" ref="BJ13">ROUND((_xlfn.XLOOKUP($C13,'2) หลักการคำนวน Table'!$A$4:$A$36,
_xlfn.XLOOKUP(AX13,'2)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K13" s="135" t="e" cm="1">
        <f t="array" ref="BK13">ROUND((_xlfn.XLOOKUP($C13,'2) หลักการคำนวน Table'!$A$4:$A$36,
_xlfn.XLOOKUP(AY13,'2)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L13" s="239"/>
      <c r="BM13" s="126">
        <v>222208</v>
      </c>
      <c r="BN13" s="245">
        <v>200</v>
      </c>
    </row>
    <row r="14" spans="1:66" ht="13.2" customHeight="1" x14ac:dyDescent="0.25">
      <c r="A14" s="128">
        <f>VLOOKUP(C14,ASTBase!F:S,12,FALSE)</f>
        <v>222234</v>
      </c>
      <c r="B14" s="126" t="s">
        <v>414</v>
      </c>
      <c r="C14" s="128">
        <v>222208</v>
      </c>
      <c r="D14" s="127">
        <f>SUMIFS('3)Target &amp; Cal_Staff'!D$4:D$164,'3)Target &amp; Cal_Staff'!$B$4:$B$164,'3)Target &amp; Cal_Sect'!$B14,'3)Target &amp; Cal_Staff'!$A$4:$A$164,'3)Target &amp; Cal_Sect'!$C14)</f>
        <v>3136.8</v>
      </c>
      <c r="E14" s="127">
        <f>SUMIFS('3)Target &amp; Cal_Staff'!E$4:E$164,'3)Target &amp; Cal_Staff'!$B$4:$B$164,'3)Target &amp; Cal_Sect'!$B14,'3)Target &amp; Cal_Staff'!$A$4:$A$164,'3)Target &amp; Cal_Sect'!$C14)</f>
        <v>2821.6</v>
      </c>
      <c r="F14" s="127">
        <f>SUMIFS('3)Target &amp; Cal_Staff'!F$4:F$164,'3)Target &amp; Cal_Staff'!$B$4:$B$164,'3)Target &amp; Cal_Sect'!$B14,'3)Target &amp; Cal_Staff'!$A$4:$A$164,'3)Target &amp; Cal_Sect'!$C14)</f>
        <v>2676</v>
      </c>
      <c r="G14" s="127">
        <f>SUMIFS('3)Target &amp; Cal_Staff'!G$4:G$164,'3)Target &amp; Cal_Staff'!$B$4:$B$164,'3)Target &amp; Cal_Sect'!$B14,'3)Target &amp; Cal_Staff'!$A$4:$A$164,'3)Target &amp; Cal_Sect'!$C14)</f>
        <v>3134.8</v>
      </c>
      <c r="H14" s="127">
        <f>SUMIFS('3)Target &amp; Cal_Staff'!H$4:H$164,'3)Target &amp; Cal_Staff'!$B$4:$B$164,'3)Target &amp; Cal_Sect'!$B14,'3)Target &amp; Cal_Staff'!$A$4:$A$164,'3)Target &amp; Cal_Sect'!$C14)</f>
        <v>2640.7</v>
      </c>
      <c r="I14" s="127">
        <f>SUMIFS('3)Target &amp; Cal_Staff'!I$4:I$164,'3)Target &amp; Cal_Staff'!$B$4:$B$164,'3)Target &amp; Cal_Sect'!$B14,'3)Target &amp; Cal_Staff'!$A$4:$A$164,'3)Target &amp; Cal_Sect'!$C14)</f>
        <v>2790.4</v>
      </c>
      <c r="J14" s="127">
        <f>SUMIFS('3)Target &amp; Cal_Staff'!J$4:J$164,'3)Target &amp; Cal_Staff'!$B$4:$B$164,'3)Target &amp; Cal_Sect'!$B14,'3)Target &amp; Cal_Staff'!$A$4:$A$164,'3)Target &amp; Cal_Sect'!$C14)</f>
        <v>2562.3999999999996</v>
      </c>
      <c r="K14" s="127">
        <f>SUMIFS('3)Target &amp; Cal_Staff'!K$4:K$164,'3)Target &amp; Cal_Staff'!$B$4:$B$164,'3)Target &amp; Cal_Sect'!$B14,'3)Target &amp; Cal_Staff'!$A$4:$A$164,'3)Target &amp; Cal_Sect'!$C14)</f>
        <v>2580.4000000000005</v>
      </c>
      <c r="L14" s="127">
        <f>SUMIFS('3)Target &amp; Cal_Staff'!L$4:L$164,'3)Target &amp; Cal_Staff'!$B$4:$B$164,'3)Target &amp; Cal_Sect'!$B14,'3)Target &amp; Cal_Staff'!$A$4:$A$164,'3)Target &amp; Cal_Sect'!$C14)</f>
        <v>2828.8</v>
      </c>
      <c r="M14" s="127">
        <f>SUMIFS('3)Target &amp; Cal_Staff'!M$4:M$164,'3)Target &amp; Cal_Staff'!$B$4:$B$164,'3)Target &amp; Cal_Sect'!$B14,'3)Target &amp; Cal_Staff'!$A$4:$A$164,'3)Target &amp; Cal_Sect'!$C14)</f>
        <v>2956.8</v>
      </c>
      <c r="N14" s="127">
        <f>SUMIFS('3)Target &amp; Cal_Staff'!N$4:N$164,'3)Target &amp; Cal_Staff'!$B$4:$B$164,'3)Target &amp; Cal_Sect'!$B14,'3)Target &amp; Cal_Staff'!$A$4:$A$164,'3)Target &amp; Cal_Sect'!$C14)</f>
        <v>2478.6</v>
      </c>
      <c r="O14" s="127">
        <f>SUMIFS('3)Target &amp; Cal_Staff'!O$4:O$164,'3)Target &amp; Cal_Staff'!$B$4:$B$164,'3)Target &amp; Cal_Sect'!$B14,'3)Target &amp; Cal_Staff'!$A$4:$A$164,'3)Target &amp; Cal_Sect'!$C14)</f>
        <v>2875.8</v>
      </c>
      <c r="P14" s="127">
        <f>SUMIFS('3)Target &amp; Cal_Staff'!P$4:P$164,'3)Target &amp; Cal_Staff'!$B$4:$B$164,'3)Target &amp; Cal_Sect'!$B14,'3)Target &amp; Cal_Staff'!$A$4:$A$164,'3)Target &amp; Cal_Sect'!$C14)</f>
        <v>3746.4000000000005</v>
      </c>
      <c r="Q14" s="127">
        <f>SUMIFS('3)Target &amp; Cal_Staff'!Q$4:Q$164,'3)Target &amp; Cal_Staff'!$B$4:$B$164,'3)Target &amp; Cal_Sect'!$B14,'3)Target &amp; Cal_Staff'!$A$4:$A$164,'3)Target &amp; Cal_Sect'!$C14)</f>
        <v>0</v>
      </c>
      <c r="R14" s="127">
        <f>SUMIFS('3)Target &amp; Cal_Staff'!R$4:R$164,'3)Target &amp; Cal_Staff'!$B$4:$B$164,'3)Target &amp; Cal_Sect'!$B14,'3)Target &amp; Cal_Staff'!$A$4:$A$164,'3)Target &amp; Cal_Sect'!$C14)</f>
        <v>0</v>
      </c>
      <c r="S14" s="127">
        <f>SUMIFS('3)Target &amp; Cal_Staff'!S$4:S$164,'3)Target &amp; Cal_Staff'!$B$4:$B$164,'3)Target &amp; Cal_Sect'!$B14,'3)Target &amp; Cal_Staff'!$A$4:$A$164,'3)Target &amp; Cal_Sect'!$C14)</f>
        <v>0</v>
      </c>
      <c r="T14" s="127">
        <f>SUMIFS('3)Target &amp; Cal_Staff'!T$4:T$164,'3)Target &amp; Cal_Staff'!$B$4:$B$164,'3)Target &amp; Cal_Sect'!$B14,'3)Target &amp; Cal_Staff'!$A$4:$A$164,'3)Target &amp; Cal_Sect'!$C14)</f>
        <v>0</v>
      </c>
      <c r="U14" s="127">
        <f>SUMIFS('3)Target &amp; Cal_Staff'!U$4:U$164,'3)Target &amp; Cal_Staff'!$B$4:$B$164,'3)Target &amp; Cal_Sect'!$B14,'3)Target &amp; Cal_Staff'!$A$4:$A$164,'3)Target &amp; Cal_Sect'!$C14)</f>
        <v>0</v>
      </c>
      <c r="V14" s="127">
        <f>SUMIFS('3)Target &amp; Cal_Staff'!V$4:V$164,'3)Target &amp; Cal_Staff'!$B$4:$B$164,'3)Target &amp; Cal_Sect'!$B14,'3)Target &amp; Cal_Staff'!$A$4:$A$164,'3)Target &amp; Cal_Sect'!$C14)</f>
        <v>0</v>
      </c>
      <c r="W14" s="127">
        <f>SUMIFS('3)Target &amp; Cal_Staff'!W$4:W$164,'3)Target &amp; Cal_Staff'!$B$4:$B$164,'3)Target &amp; Cal_Sect'!$B14,'3)Target &amp; Cal_Staff'!$A$4:$A$164,'3)Target &amp; Cal_Sect'!$C14)</f>
        <v>0</v>
      </c>
      <c r="X14" s="127">
        <f>SUMIFS('3)Target &amp; Cal_Staff'!X$4:X$164,'3)Target &amp; Cal_Staff'!$B$4:$B$164,'3)Target &amp; Cal_Sect'!$B14,'3)Target &amp; Cal_Staff'!$A$4:$A$164,'3)Target &amp; Cal_Sect'!$C14)</f>
        <v>0</v>
      </c>
      <c r="Y14" s="127">
        <f>SUMIFS('3)Target &amp; Cal_Staff'!Y$4:Y$164,'3)Target &amp; Cal_Staff'!$B$4:$B$164,'3)Target &amp; Cal_Sect'!$B14,'3)Target &amp; Cal_Staff'!$A$4:$A$164,'3)Target &amp; Cal_Sect'!$C14)</f>
        <v>0</v>
      </c>
      <c r="Z14" s="127">
        <f>SUMIFS('3)Target &amp; Cal_Staff'!Z$4:Z$164,'3)Target &amp; Cal_Staff'!$B$4:$B$164,'3)Target &amp; Cal_Sect'!$B14,'3)Target &amp; Cal_Staff'!$A$4:$A$164,'3)Target &amp; Cal_Sect'!$C14)</f>
        <v>0</v>
      </c>
      <c r="AA14" s="127">
        <f>SUMIFS('3)Target &amp; Cal_Staff'!AA$4:AA$164,'3)Target &amp; Cal_Staff'!$B$4:$B$164,'3)Target &amp; Cal_Sect'!$B14,'3)Target &amp; Cal_Staff'!$A$4:$A$164,'3)Target &amp; Cal_Sect'!$C14)</f>
        <v>0</v>
      </c>
      <c r="AB14" s="132">
        <f>IFERROR(IF(VLOOKUP($B14,Shortage!$A:$M,AB$2,FALSE)="Shortage",1,IFERROR(ROUND(P14/D14,4),0)),IFERROR(ROUND(P14/D14,4),0))</f>
        <v>1.1942999999999999</v>
      </c>
      <c r="AC14" s="132">
        <f>IFERROR(IF(VLOOKUP($B14,Shortage!$A:$M,AC$2,FALSE)="Shortage",1,IFERROR(ROUND(Q14/E14,4),0)),IFERROR(ROUND(Q14/E14,4),0))</f>
        <v>0</v>
      </c>
      <c r="AD14" s="132">
        <f>IFERROR(IF(VLOOKUP($B14,Shortage!$A:$M,AD$2,FALSE)="Shortage",1,IFERROR(ROUND(R14/F14,4),0)),IFERROR(ROUND(R14/F14,4),0))</f>
        <v>0</v>
      </c>
      <c r="AE14" s="132">
        <f>IFERROR(IF(VLOOKUP($B14,Shortage!$A:$M,AE$2,FALSE)="Shortage",1,IFERROR(ROUND(S14/G14,4),0)),IFERROR(ROUND(S14/G14,4),0))</f>
        <v>0</v>
      </c>
      <c r="AF14" s="132">
        <f>IFERROR(IF(VLOOKUP($B14,Shortage!$A:$M,AF$2,FALSE)="Shortage",1,IFERROR(ROUND(T14/H14,4),0)),IFERROR(ROUND(T14/H14,4),0))</f>
        <v>0</v>
      </c>
      <c r="AG14" s="132">
        <f>IFERROR(IF(VLOOKUP($B14,Shortage!$A:$M,AG$2,FALSE)="Shortage",1,IFERROR(ROUND(U14/I14,4),0)),IFERROR(ROUND(U14/I14,4),0))</f>
        <v>0</v>
      </c>
      <c r="AH14" s="132">
        <f>IFERROR(IF(VLOOKUP($B14,Shortage!$A:$M,AH$2,FALSE)="Shortage",1,IFERROR(ROUND(V14/J14,4),0)),IFERROR(ROUND(V14/J14,4),0))</f>
        <v>0</v>
      </c>
      <c r="AI14" s="132">
        <f>IFERROR(IF(VLOOKUP($B14,Shortage!$A:$M,AI$2,FALSE)="Shortage",1,IFERROR(ROUND(W14/K14,4),0)),IFERROR(ROUND(W14/K14,4),0))</f>
        <v>0</v>
      </c>
      <c r="AJ14" s="132">
        <f>IFERROR(IF(VLOOKUP($B14,Shortage!$A:$M,AJ$2,FALSE)="Shortage",1,IFERROR(ROUND(X14/L14,4),0)),IFERROR(ROUND(X14/L14,4),0))</f>
        <v>0</v>
      </c>
      <c r="AK14" s="132">
        <f>IFERROR(IF(VLOOKUP($B14,Shortage!$A:$M,AK$2,FALSE)="Shortage",1,IFERROR(ROUND(Y14/M14,4),0)),IFERROR(ROUND(Y14/M14,4),0))</f>
        <v>0</v>
      </c>
      <c r="AL14" s="132">
        <f>IFERROR(IF(VLOOKUP($B14,Shortage!$A:$M,AL$2,FALSE)="Shortage",1,IFERROR(ROUND(Z14/N14,4),0)),IFERROR(ROUND(Z14/N14,4),0))</f>
        <v>0</v>
      </c>
      <c r="AM14" s="132">
        <f>IFERROR(IF(VLOOKUP($B14,Shortage!$A:$M,AM$2,FALSE)="Shortage",1,IFERROR(ROUND(AA14/O14,4),0)),IFERROR(ROUND(AA14/O14,4),0))</f>
        <v>0</v>
      </c>
      <c r="AN14" s="186">
        <f>IFERROR(_xlfn.XLOOKUP(AB14,'2) หลักการคำนวน Table'!$C$3:$K$3,'2) หลักการคำนวน Table'!$C$3:$K$3,,1),INDEX('2) หลักการคำนวน Table'!$C$3:$K$3,1))</f>
        <v>1.2</v>
      </c>
      <c r="AO14" s="186">
        <f>IFERROR(
  _xlfn.XLOOKUP(AC14,'2) หลักการคำนวน Table'!$C$3:$K$3,'2) หลักการคำนวน Table'!$C$3:$K$3,,1),
  IF(AC14&lt;MIN('2) หลักการคำนวน Table'!$C$3:$K$3),
     MIN('2) หลักการคำนวน Table'!$C$3:$K$3),
     MAX('2) หลักการคำนวน Table'!$C$3:$K$3)
  )
)</f>
        <v>0.9</v>
      </c>
      <c r="AP14" s="186">
        <f>IFERROR(
  _xlfn.XLOOKUP(AD14,'2) หลักการคำนวน Table'!$C$3:$K$3,'2) หลักการคำนวน Table'!$C$3:$K$3,,1),
  IF(AD14&lt;MIN('2) หลักการคำนวน Table'!$C$3:$K$3),
     MIN('2) หลักการคำนวน Table'!$C$3:$K$3),
     MAX('2) หลักการคำนวน Table'!$C$3:$K$3)
  )
)</f>
        <v>0.9</v>
      </c>
      <c r="AQ14" s="186">
        <f>IFERROR(
  _xlfn.XLOOKUP(AE14,'2) หลักการคำนวน Table'!$C$3:$K$3,'2) หลักการคำนวน Table'!$C$3:$K$3,,1),
  IF(AE14&lt;MIN('2) หลักการคำนวน Table'!$C$3:$K$3),
     MIN('2) หลักการคำนวน Table'!$C$3:$K$3),
     MAX('2) หลักการคำนวน Table'!$C$3:$K$3)
  )
)</f>
        <v>0.9</v>
      </c>
      <c r="AR14" s="186">
        <f>IFERROR(
  _xlfn.XLOOKUP(AF14,'2) หลักการคำนวน Table'!$C$3:$K$3,'2) หลักการคำนวน Table'!$C$3:$K$3,,1),
  IF(AF14&lt;MIN('2) หลักการคำนวน Table'!$C$3:$K$3),
     MIN('2) หลักการคำนวน Table'!$C$3:$K$3),
     MAX('2) หลักการคำนวน Table'!$C$3:$K$3)
  )
)</f>
        <v>0.9</v>
      </c>
      <c r="AS14" s="186">
        <f>IFERROR(
  _xlfn.XLOOKUP(AG14,'2) หลักการคำนวน Table'!$C$3:$K$3,'2) หลักการคำนวน Table'!$C$3:$K$3,,1),
  IF(AG14&lt;MIN('2) หลักการคำนวน Table'!$C$3:$K$3),
     MIN('2) หลักการคำนวน Table'!$C$3:$K$3),
     MAX('2) หลักการคำนวน Table'!$C$3:$K$3)
  )
)</f>
        <v>0.9</v>
      </c>
      <c r="AT14" s="186">
        <f>IFERROR(
  _xlfn.XLOOKUP(AH14,'2) หลักการคำนวน Table'!$C$3:$K$3,'2) หลักการคำนวน Table'!$C$3:$K$3,,1),
  IF(AH14&lt;MIN('2) หลักการคำนวน Table'!$C$3:$K$3),
     MIN('2) หลักการคำนวน Table'!$C$3:$K$3),
     MAX('2) หลักการคำนวน Table'!$C$3:$K$3)
  )
)</f>
        <v>0.9</v>
      </c>
      <c r="AU14" s="186">
        <f>IFERROR(
  _xlfn.XLOOKUP(AI14,'2) หลักการคำนวน Table'!$C$3:$K$3,'2) หลักการคำนวน Table'!$C$3:$K$3,,1),
  IF(AI14&lt;MIN('2) หลักการคำนวน Table'!$C$3:$K$3),
     MIN('2) หลักการคำนวน Table'!$C$3:$K$3),
     MAX('2) หลักการคำนวน Table'!$C$3:$K$3)
  )
)</f>
        <v>0.9</v>
      </c>
      <c r="AV14" s="186">
        <f>IFERROR(
  _xlfn.XLOOKUP(AJ14,'2) หลักการคำนวน Table'!$C$3:$K$3,'2) หลักการคำนวน Table'!$C$3:$K$3,,1),
  IF(AJ14&lt;MIN('2) หลักการคำนวน Table'!$C$3:$K$3),
     MIN('2) หลักการคำนวน Table'!$C$3:$K$3),
     MAX('2) หลักการคำนวน Table'!$C$3:$K$3)
  )
)</f>
        <v>0.9</v>
      </c>
      <c r="AW14" s="186">
        <f>IFERROR(
  _xlfn.XLOOKUP(AK14,'2) หลักการคำนวน Table'!$C$3:$K$3,'2) หลักการคำนวน Table'!$C$3:$K$3,,1),
  IF(AK14&lt;MIN('2) หลักการคำนวน Table'!$C$3:$K$3),
     MIN('2) หลักการคำนวน Table'!$C$3:$K$3),
     MAX('2) หลักการคำนวน Table'!$C$3:$K$3)
  )
)</f>
        <v>0.9</v>
      </c>
      <c r="AX14" s="186">
        <f>IFERROR(
  _xlfn.XLOOKUP(AL14,'2) หลักการคำนวน Table'!$C$3:$K$3,'2) หลักการคำนวน Table'!$C$3:$K$3,,1),
  IF(AL14&lt;MIN('2) หลักการคำนวน Table'!$C$3:$K$3),
     MIN('2) หลักการคำนวน Table'!$C$3:$K$3),
     MAX('2) หลักการคำนวน Table'!$C$3:$K$3)
  )
)</f>
        <v>0.9</v>
      </c>
      <c r="AY14" s="186">
        <f>IFERROR(
  _xlfn.XLOOKUP(AM14,'2) หลักการคำนวน Table'!$C$3:$K$3,'2) หลักการคำนวน Table'!$C$3:$K$3,,1),
  IF(AM14&lt;MIN('2) หลักการคำนวน Table'!$C$3:$K$3),
     MIN('2) หลักการคำนวน Table'!$C$3:$K$3),
     MAX('2) หลักการคำนวน Table'!$C$3:$K$3)
  )
)</f>
        <v>0.9</v>
      </c>
      <c r="AZ14" s="135" t="e" cm="1">
        <f t="array" ref="AZ14">(_xlfn.XLOOKUP($C14,'2) หลักการคำนวน Table'!$A$4:$A$36,
_xlfn.XLOOKUP(AN14,'2)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A14" s="135" t="e" cm="1">
        <f t="array" ref="BA14">(_xlfn.XLOOKUP($C14,'2) หลักการคำนวน Table'!$A$4:$A$36,
_xlfn.XLOOKUP(AO14,'2)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B14" s="135" t="e" cm="1">
        <f t="array" ref="BB14">(_xlfn.XLOOKUP($C14,'2) หลักการคำนวน Table'!$A$4:$A$36,
_xlfn.XLOOKUP(AP14,'2)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C14" s="135" t="e" cm="1">
        <f t="array" ref="BC14">(_xlfn.XLOOKUP($C14,'2) หลักการคำนวน Table'!$A$4:$A$36,
_xlfn.XLOOKUP(AQ14,'2)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D14" s="135" t="e" cm="1">
        <f t="array" ref="BD14">(_xlfn.XLOOKUP($C14,'2) หลักการคำนวน Table'!$A$4:$A$36,
_xlfn.XLOOKUP(AR14,'2)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E14" s="135" t="e" cm="1">
        <f t="array" ref="BE14">(_xlfn.XLOOKUP($C14,'2) หลักการคำนวน Table'!$A$4:$A$36,
_xlfn.XLOOKUP(AS14,'2)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F14" s="135" t="e" cm="1">
        <f t="array" ref="BF14">(_xlfn.XLOOKUP($C14,'2) หลักการคำนวน Table'!$A$4:$A$36,
_xlfn.XLOOKUP(AT14,'2)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G14" s="135" t="e" cm="1">
        <f t="array" ref="BG14">(_xlfn.XLOOKUP($C14,'2) หลักการคำนวน Table'!$A$4:$A$36,
_xlfn.XLOOKUP(AU14,'2)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H14" s="135" t="e" cm="1">
        <f t="array" ref="BH14">ROUND((_xlfn.XLOOKUP($C14,'2) หลักการคำนวน Table'!$A$4:$A$36,
_xlfn.XLOOKUP(AV14,'2)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I14" s="135" t="e" cm="1">
        <f t="array" ref="BI14">ROUND((_xlfn.XLOOKUP($C14,'2) หลักการคำนวน Table'!$A$4:$A$36,
_xlfn.XLOOKUP(AW14,'2)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J14" s="135" t="e" cm="1">
        <f t="array" ref="BJ14">ROUND((_xlfn.XLOOKUP($C14,'2) หลักการคำนวน Table'!$A$4:$A$36,
_xlfn.XLOOKUP(AX14,'2)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K14" s="135" t="e" cm="1">
        <f t="array" ref="BK14">ROUND((_xlfn.XLOOKUP($C14,'2) หลักการคำนวน Table'!$A$4:$A$36,
_xlfn.XLOOKUP(AY14,'2)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L14" s="239"/>
      <c r="BM14" s="126">
        <v>222208</v>
      </c>
      <c r="BN14" s="245">
        <v>260</v>
      </c>
    </row>
    <row r="15" spans="1:66" ht="13.2" customHeight="1" x14ac:dyDescent="0.25">
      <c r="A15" s="128">
        <f>VLOOKUP(C15,ASTBase!F:S,12,FALSE)</f>
        <v>222234</v>
      </c>
      <c r="B15" s="126" t="s">
        <v>412</v>
      </c>
      <c r="C15" s="128">
        <v>222208</v>
      </c>
      <c r="D15" s="127">
        <f>SUMIFS('3)Target &amp; Cal_Staff'!D$4:D$164,'3)Target &amp; Cal_Staff'!$B$4:$B$164,'3)Target &amp; Cal_Sect'!$B15,'3)Target &amp; Cal_Staff'!$A$4:$A$164,'3)Target &amp; Cal_Sect'!$C15)</f>
        <v>6409.3999999986199</v>
      </c>
      <c r="E15" s="127">
        <f>SUMIFS('3)Target &amp; Cal_Staff'!E$4:E$164,'3)Target &amp; Cal_Staff'!$B$4:$B$164,'3)Target &amp; Cal_Sect'!$B15,'3)Target &amp; Cal_Staff'!$A$4:$A$164,'3)Target &amp; Cal_Sect'!$C15)</f>
        <v>7461.1499999984399</v>
      </c>
      <c r="F15" s="127">
        <f>SUMIFS('3)Target &amp; Cal_Staff'!F$4:F$164,'3)Target &amp; Cal_Staff'!$B$4:$B$164,'3)Target &amp; Cal_Sect'!$B15,'3)Target &amp; Cal_Staff'!$A$4:$A$164,'3)Target &amp; Cal_Sect'!$C15)</f>
        <v>6704.1499999818279</v>
      </c>
      <c r="G15" s="127">
        <f>SUMIFS('3)Target &amp; Cal_Staff'!G$4:G$164,'3)Target &amp; Cal_Staff'!$B$4:$B$164,'3)Target &amp; Cal_Sect'!$B15,'3)Target &amp; Cal_Staff'!$A$4:$A$164,'3)Target &amp; Cal_Sect'!$C15)</f>
        <v>7822.9999999603315</v>
      </c>
      <c r="H15" s="127">
        <f>SUMIFS('3)Target &amp; Cal_Staff'!H$4:H$164,'3)Target &amp; Cal_Staff'!$B$4:$B$164,'3)Target &amp; Cal_Sect'!$B15,'3)Target &amp; Cal_Staff'!$A$4:$A$164,'3)Target &amp; Cal_Sect'!$C15)</f>
        <v>6958.638888869551</v>
      </c>
      <c r="I15" s="127">
        <f>SUMIFS('3)Target &amp; Cal_Staff'!I$4:I$164,'3)Target &amp; Cal_Staff'!$B$4:$B$164,'3)Target &amp; Cal_Sect'!$B15,'3)Target &amp; Cal_Staff'!$A$4:$A$164,'3)Target &amp; Cal_Sect'!$C15)</f>
        <v>5798.3333332969123</v>
      </c>
      <c r="J15" s="127">
        <f>SUMIFS('3)Target &amp; Cal_Staff'!J$4:J$164,'3)Target &amp; Cal_Staff'!$B$4:$B$164,'3)Target &amp; Cal_Sect'!$B15,'3)Target &amp; Cal_Staff'!$A$4:$A$164,'3)Target &amp; Cal_Sect'!$C15)</f>
        <v>7002.4444444164519</v>
      </c>
      <c r="K15" s="127">
        <f>SUMIFS('3)Target &amp; Cal_Staff'!K$4:K$164,'3)Target &amp; Cal_Staff'!$B$4:$B$164,'3)Target &amp; Cal_Sect'!$B15,'3)Target &amp; Cal_Staff'!$A$4:$A$164,'3)Target &amp; Cal_Sect'!$C15)</f>
        <v>5632.6388888758529</v>
      </c>
      <c r="L15" s="127">
        <f>SUMIFS('3)Target &amp; Cal_Staff'!L$4:L$164,'3)Target &amp; Cal_Staff'!$B$4:$B$164,'3)Target &amp; Cal_Sect'!$B15,'3)Target &amp; Cal_Staff'!$A$4:$A$164,'3)Target &amp; Cal_Sect'!$C15)</f>
        <v>7079.5444444052864</v>
      </c>
      <c r="M15" s="127">
        <f>SUMIFS('3)Target &amp; Cal_Staff'!M$4:M$164,'3)Target &amp; Cal_Staff'!$B$4:$B$164,'3)Target &amp; Cal_Sect'!$B15,'3)Target &amp; Cal_Staff'!$A$4:$A$164,'3)Target &amp; Cal_Sect'!$C15)</f>
        <v>10059.177777773475</v>
      </c>
      <c r="N15" s="127">
        <f>SUMIFS('3)Target &amp; Cal_Staff'!N$4:N$164,'3)Target &amp; Cal_Staff'!$B$4:$B$164,'3)Target &amp; Cal_Sect'!$B15,'3)Target &amp; Cal_Staff'!$A$4:$A$164,'3)Target &amp; Cal_Sect'!$C15)</f>
        <v>10016.166666662275</v>
      </c>
      <c r="O15" s="127">
        <f>SUMIFS('3)Target &amp; Cal_Staff'!O$4:O$164,'3)Target &amp; Cal_Staff'!$B$4:$B$164,'3)Target &amp; Cal_Sect'!$B15,'3)Target &amp; Cal_Staff'!$A$4:$A$164,'3)Target &amp; Cal_Sect'!$C15)</f>
        <v>7285.4999999986203</v>
      </c>
      <c r="P15" s="127">
        <f>SUMIFS('3)Target &amp; Cal_Staff'!P$4:P$164,'3)Target &amp; Cal_Staff'!$B$4:$B$164,'3)Target &amp; Cal_Sect'!$B15,'3)Target &amp; Cal_Staff'!$A$4:$A$164,'3)Target &amp; Cal_Sect'!$C15)</f>
        <v>5226.8333332168522</v>
      </c>
      <c r="Q15" s="127">
        <f>SUMIFS('3)Target &amp; Cal_Staff'!Q$4:Q$164,'3)Target &amp; Cal_Staff'!$B$4:$B$164,'3)Target &amp; Cal_Sect'!$B15,'3)Target &amp; Cal_Staff'!$A$4:$A$164,'3)Target &amp; Cal_Sect'!$C15)</f>
        <v>0</v>
      </c>
      <c r="R15" s="127">
        <f>SUMIFS('3)Target &amp; Cal_Staff'!R$4:R$164,'3)Target &amp; Cal_Staff'!$B$4:$B$164,'3)Target &amp; Cal_Sect'!$B15,'3)Target &amp; Cal_Staff'!$A$4:$A$164,'3)Target &amp; Cal_Sect'!$C15)</f>
        <v>0</v>
      </c>
      <c r="S15" s="127">
        <f>SUMIFS('3)Target &amp; Cal_Staff'!S$4:S$164,'3)Target &amp; Cal_Staff'!$B$4:$B$164,'3)Target &amp; Cal_Sect'!$B15,'3)Target &amp; Cal_Staff'!$A$4:$A$164,'3)Target &amp; Cal_Sect'!$C15)</f>
        <v>0</v>
      </c>
      <c r="T15" s="127">
        <f>SUMIFS('3)Target &amp; Cal_Staff'!T$4:T$164,'3)Target &amp; Cal_Staff'!$B$4:$B$164,'3)Target &amp; Cal_Sect'!$B15,'3)Target &amp; Cal_Staff'!$A$4:$A$164,'3)Target &amp; Cal_Sect'!$C15)</f>
        <v>0</v>
      </c>
      <c r="U15" s="127">
        <f>SUMIFS('3)Target &amp; Cal_Staff'!U$4:U$164,'3)Target &amp; Cal_Staff'!$B$4:$B$164,'3)Target &amp; Cal_Sect'!$B15,'3)Target &amp; Cal_Staff'!$A$4:$A$164,'3)Target &amp; Cal_Sect'!$C15)</f>
        <v>0</v>
      </c>
      <c r="V15" s="127">
        <f>SUMIFS('3)Target &amp; Cal_Staff'!V$4:V$164,'3)Target &amp; Cal_Staff'!$B$4:$B$164,'3)Target &amp; Cal_Sect'!$B15,'3)Target &amp; Cal_Staff'!$A$4:$A$164,'3)Target &amp; Cal_Sect'!$C15)</f>
        <v>0</v>
      </c>
      <c r="W15" s="127">
        <f>SUMIFS('3)Target &amp; Cal_Staff'!W$4:W$164,'3)Target &amp; Cal_Staff'!$B$4:$B$164,'3)Target &amp; Cal_Sect'!$B15,'3)Target &amp; Cal_Staff'!$A$4:$A$164,'3)Target &amp; Cal_Sect'!$C15)</f>
        <v>0</v>
      </c>
      <c r="X15" s="127">
        <f>SUMIFS('3)Target &amp; Cal_Staff'!X$4:X$164,'3)Target &amp; Cal_Staff'!$B$4:$B$164,'3)Target &amp; Cal_Sect'!$B15,'3)Target &amp; Cal_Staff'!$A$4:$A$164,'3)Target &amp; Cal_Sect'!$C15)</f>
        <v>0</v>
      </c>
      <c r="Y15" s="127">
        <f>SUMIFS('3)Target &amp; Cal_Staff'!Y$4:Y$164,'3)Target &amp; Cal_Staff'!$B$4:$B$164,'3)Target &amp; Cal_Sect'!$B15,'3)Target &amp; Cal_Staff'!$A$4:$A$164,'3)Target &amp; Cal_Sect'!$C15)</f>
        <v>0</v>
      </c>
      <c r="Z15" s="127">
        <f>SUMIFS('3)Target &amp; Cal_Staff'!Z$4:Z$164,'3)Target &amp; Cal_Staff'!$B$4:$B$164,'3)Target &amp; Cal_Sect'!$B15,'3)Target &amp; Cal_Staff'!$A$4:$A$164,'3)Target &amp; Cal_Sect'!$C15)</f>
        <v>0</v>
      </c>
      <c r="AA15" s="127">
        <f>SUMIFS('3)Target &amp; Cal_Staff'!AA$4:AA$164,'3)Target &amp; Cal_Staff'!$B$4:$B$164,'3)Target &amp; Cal_Sect'!$B15,'3)Target &amp; Cal_Staff'!$A$4:$A$164,'3)Target &amp; Cal_Sect'!$C15)</f>
        <v>0</v>
      </c>
      <c r="AB15" s="132">
        <f>IFERROR(IF(VLOOKUP($B15,Shortage!$A:$M,AB$2,FALSE)="Shortage",1,IFERROR(ROUND(P15/D15,4),0)),IFERROR(ROUND(P15/D15,4),0))</f>
        <v>1</v>
      </c>
      <c r="AC15" s="132">
        <f>IFERROR(IF(VLOOKUP($B15,Shortage!$A:$M,AC$2,FALSE)="Shortage",1,IFERROR(ROUND(Q15/E15,4),0)),IFERROR(ROUND(Q15/E15,4),0))</f>
        <v>0</v>
      </c>
      <c r="AD15" s="132">
        <f>IFERROR(IF(VLOOKUP($B15,Shortage!$A:$M,AD$2,FALSE)="Shortage",1,IFERROR(ROUND(R15/F15,4),0)),IFERROR(ROUND(R15/F15,4),0))</f>
        <v>0</v>
      </c>
      <c r="AE15" s="132">
        <f>IFERROR(IF(VLOOKUP($B15,Shortage!$A:$M,AE$2,FALSE)="Shortage",1,IFERROR(ROUND(S15/G15,4),0)),IFERROR(ROUND(S15/G15,4),0))</f>
        <v>0</v>
      </c>
      <c r="AF15" s="132">
        <f>IFERROR(IF(VLOOKUP($B15,Shortage!$A:$M,AF$2,FALSE)="Shortage",1,IFERROR(ROUND(T15/H15,4),0)),IFERROR(ROUND(T15/H15,4),0))</f>
        <v>0</v>
      </c>
      <c r="AG15" s="132">
        <f>IFERROR(IF(VLOOKUP($B15,Shortage!$A:$M,AG$2,FALSE)="Shortage",1,IFERROR(ROUND(U15/I15,4),0)),IFERROR(ROUND(U15/I15,4),0))</f>
        <v>0</v>
      </c>
      <c r="AH15" s="132">
        <f>IFERROR(IF(VLOOKUP($B15,Shortage!$A:$M,AH$2,FALSE)="Shortage",1,IFERROR(ROUND(V15/J15,4),0)),IFERROR(ROUND(V15/J15,4),0))</f>
        <v>0</v>
      </c>
      <c r="AI15" s="132">
        <f>IFERROR(IF(VLOOKUP($B15,Shortage!$A:$M,AI$2,FALSE)="Shortage",1,IFERROR(ROUND(W15/K15,4),0)),IFERROR(ROUND(W15/K15,4),0))</f>
        <v>0</v>
      </c>
      <c r="AJ15" s="132">
        <f>IFERROR(IF(VLOOKUP($B15,Shortage!$A:$M,AJ$2,FALSE)="Shortage",1,IFERROR(ROUND(X15/L15,4),0)),IFERROR(ROUND(X15/L15,4),0))</f>
        <v>0</v>
      </c>
      <c r="AK15" s="132">
        <f>IFERROR(IF(VLOOKUP($B15,Shortage!$A:$M,AK$2,FALSE)="Shortage",1,IFERROR(ROUND(Y15/M15,4),0)),IFERROR(ROUND(Y15/M15,4),0))</f>
        <v>0</v>
      </c>
      <c r="AL15" s="132">
        <f>IFERROR(IF(VLOOKUP($B15,Shortage!$A:$M,AL$2,FALSE)="Shortage",1,IFERROR(ROUND(Z15/N15,4),0)),IFERROR(ROUND(Z15/N15,4),0))</f>
        <v>0</v>
      </c>
      <c r="AM15" s="132">
        <f>IFERROR(IF(VLOOKUP($B15,Shortage!$A:$M,AM$2,FALSE)="Shortage",1,IFERROR(ROUND(AA15/O15,4),0)),IFERROR(ROUND(AA15/O15,4),0))</f>
        <v>0</v>
      </c>
      <c r="AN15" s="186">
        <f>IFERROR(_xlfn.XLOOKUP(AB15,'2) หลักการคำนวน Table'!$C$3:$K$3,'2) หลักการคำนวน Table'!$C$3:$K$3,,1),INDEX('2) หลักการคำนวน Table'!$C$3:$K$3,1))</f>
        <v>1</v>
      </c>
      <c r="AO15" s="186">
        <f>IFERROR(
  _xlfn.XLOOKUP(AC15,'2) หลักการคำนวน Table'!$C$3:$K$3,'2) หลักการคำนวน Table'!$C$3:$K$3,,1),
  IF(AC15&lt;MIN('2) หลักการคำนวน Table'!$C$3:$K$3),
     MIN('2) หลักการคำนวน Table'!$C$3:$K$3),
     MAX('2) หลักการคำนวน Table'!$C$3:$K$3)
  )
)</f>
        <v>0.9</v>
      </c>
      <c r="AP15" s="186">
        <f>IFERROR(
  _xlfn.XLOOKUP(AD15,'2) หลักการคำนวน Table'!$C$3:$K$3,'2) หลักการคำนวน Table'!$C$3:$K$3,,1),
  IF(AD15&lt;MIN('2) หลักการคำนวน Table'!$C$3:$K$3),
     MIN('2) หลักการคำนวน Table'!$C$3:$K$3),
     MAX('2) หลักการคำนวน Table'!$C$3:$K$3)
  )
)</f>
        <v>0.9</v>
      </c>
      <c r="AQ15" s="186">
        <f>IFERROR(
  _xlfn.XLOOKUP(AE15,'2) หลักการคำนวน Table'!$C$3:$K$3,'2) หลักการคำนวน Table'!$C$3:$K$3,,1),
  IF(AE15&lt;MIN('2) หลักการคำนวน Table'!$C$3:$K$3),
     MIN('2) หลักการคำนวน Table'!$C$3:$K$3),
     MAX('2) หลักการคำนวน Table'!$C$3:$K$3)
  )
)</f>
        <v>0.9</v>
      </c>
      <c r="AR15" s="186">
        <f>IFERROR(
  _xlfn.XLOOKUP(AF15,'2) หลักการคำนวน Table'!$C$3:$K$3,'2) หลักการคำนวน Table'!$C$3:$K$3,,1),
  IF(AF15&lt;MIN('2) หลักการคำนวน Table'!$C$3:$K$3),
     MIN('2) หลักการคำนวน Table'!$C$3:$K$3),
     MAX('2) หลักการคำนวน Table'!$C$3:$K$3)
  )
)</f>
        <v>0.9</v>
      </c>
      <c r="AS15" s="186">
        <f>IFERROR(
  _xlfn.XLOOKUP(AG15,'2) หลักการคำนวน Table'!$C$3:$K$3,'2) หลักการคำนวน Table'!$C$3:$K$3,,1),
  IF(AG15&lt;MIN('2) หลักการคำนวน Table'!$C$3:$K$3),
     MIN('2) หลักการคำนวน Table'!$C$3:$K$3),
     MAX('2) หลักการคำนวน Table'!$C$3:$K$3)
  )
)</f>
        <v>0.9</v>
      </c>
      <c r="AT15" s="186">
        <f>IFERROR(
  _xlfn.XLOOKUP(AH15,'2) หลักการคำนวน Table'!$C$3:$K$3,'2) หลักการคำนวน Table'!$C$3:$K$3,,1),
  IF(AH15&lt;MIN('2) หลักการคำนวน Table'!$C$3:$K$3),
     MIN('2) หลักการคำนวน Table'!$C$3:$K$3),
     MAX('2) หลักการคำนวน Table'!$C$3:$K$3)
  )
)</f>
        <v>0.9</v>
      </c>
      <c r="AU15" s="186">
        <f>IFERROR(
  _xlfn.XLOOKUP(AI15,'2) หลักการคำนวน Table'!$C$3:$K$3,'2) หลักการคำนวน Table'!$C$3:$K$3,,1),
  IF(AI15&lt;MIN('2) หลักการคำนวน Table'!$C$3:$K$3),
     MIN('2) หลักการคำนวน Table'!$C$3:$K$3),
     MAX('2) หลักการคำนวน Table'!$C$3:$K$3)
  )
)</f>
        <v>0.9</v>
      </c>
      <c r="AV15" s="186">
        <f>IFERROR(
  _xlfn.XLOOKUP(AJ15,'2) หลักการคำนวน Table'!$C$3:$K$3,'2) หลักการคำนวน Table'!$C$3:$K$3,,1),
  IF(AJ15&lt;MIN('2) หลักการคำนวน Table'!$C$3:$K$3),
     MIN('2) หลักการคำนวน Table'!$C$3:$K$3),
     MAX('2) หลักการคำนวน Table'!$C$3:$K$3)
  )
)</f>
        <v>0.9</v>
      </c>
      <c r="AW15" s="186">
        <f>IFERROR(
  _xlfn.XLOOKUP(AK15,'2) หลักการคำนวน Table'!$C$3:$K$3,'2) หลักการคำนวน Table'!$C$3:$K$3,,1),
  IF(AK15&lt;MIN('2) หลักการคำนวน Table'!$C$3:$K$3),
     MIN('2) หลักการคำนวน Table'!$C$3:$K$3),
     MAX('2) หลักการคำนวน Table'!$C$3:$K$3)
  )
)</f>
        <v>0.9</v>
      </c>
      <c r="AX15" s="186">
        <f>IFERROR(
  _xlfn.XLOOKUP(AL15,'2) หลักการคำนวน Table'!$C$3:$K$3,'2) หลักการคำนวน Table'!$C$3:$K$3,,1),
  IF(AL15&lt;MIN('2) หลักการคำนวน Table'!$C$3:$K$3),
     MIN('2) หลักการคำนวน Table'!$C$3:$K$3),
     MAX('2) หลักการคำนวน Table'!$C$3:$K$3)
  )
)</f>
        <v>0.9</v>
      </c>
      <c r="AY15" s="186">
        <f>IFERROR(
  _xlfn.XLOOKUP(AM15,'2) หลักการคำนวน Table'!$C$3:$K$3,'2) หลักการคำนวน Table'!$C$3:$K$3,,1),
  IF(AM15&lt;MIN('2) หลักการคำนวน Table'!$C$3:$K$3),
     MIN('2) หลักการคำนวน Table'!$C$3:$K$3),
     MAX('2) หลักการคำนวน Table'!$C$3:$K$3)
  )
)</f>
        <v>0.9</v>
      </c>
      <c r="AZ15" s="135" t="e" cm="1">
        <f t="array" ref="AZ15">(_xlfn.XLOOKUP($C15,'2) หลักการคำนวน Table'!$A$4:$A$36,
_xlfn.XLOOKUP(AN15,'2)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A15" s="135" t="e" cm="1">
        <f t="array" ref="BA15">(_xlfn.XLOOKUP($C15,'2) หลักการคำนวน Table'!$A$4:$A$36,
_xlfn.XLOOKUP(AO15,'2)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B15" s="135" t="e" cm="1">
        <f t="array" ref="BB15">(_xlfn.XLOOKUP($C15,'2) หลักการคำนวน Table'!$A$4:$A$36,
_xlfn.XLOOKUP(AP15,'2)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C15" s="135" t="e" cm="1">
        <f t="array" ref="BC15">(_xlfn.XLOOKUP($C15,'2) หลักการคำนวน Table'!$A$4:$A$36,
_xlfn.XLOOKUP(AQ15,'2)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D15" s="135" t="e" cm="1">
        <f t="array" ref="BD15">(_xlfn.XLOOKUP($C15,'2) หลักการคำนวน Table'!$A$4:$A$36,
_xlfn.XLOOKUP(AR15,'2)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E15" s="135" t="e" cm="1">
        <f t="array" ref="BE15">(_xlfn.XLOOKUP($C15,'2) หลักการคำนวน Table'!$A$4:$A$36,
_xlfn.XLOOKUP(AS15,'2)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F15" s="135" t="e" cm="1">
        <f t="array" ref="BF15">(_xlfn.XLOOKUP($C15,'2) หลักการคำนวน Table'!$A$4:$A$36,
_xlfn.XLOOKUP(AT15,'2)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G15" s="135" t="e" cm="1">
        <f t="array" ref="BG15">(_xlfn.XLOOKUP($C15,'2) หลักการคำนวน Table'!$A$4:$A$36,
_xlfn.XLOOKUP(AU15,'2)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H15" s="135" t="e" cm="1">
        <f t="array" ref="BH15">ROUND((_xlfn.XLOOKUP($C15,'2) หลักการคำนวน Table'!$A$4:$A$36,
_xlfn.XLOOKUP(AV15,'2)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I15" s="135" t="e" cm="1">
        <f t="array" ref="BI15">ROUND((_xlfn.XLOOKUP($C15,'2) หลักการคำนวน Table'!$A$4:$A$36,
_xlfn.XLOOKUP(AW15,'2)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J15" s="135" t="e" cm="1">
        <f t="array" ref="BJ15">ROUND((_xlfn.XLOOKUP($C15,'2) หลักการคำนวน Table'!$A$4:$A$36,
_xlfn.XLOOKUP(AX15,'2)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K15" s="135" t="e" cm="1">
        <f t="array" ref="BK15">ROUND((_xlfn.XLOOKUP($C15,'2) หลักการคำนวน Table'!$A$4:$A$36,
_xlfn.XLOOKUP(AY15,'2)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L15" s="239"/>
      <c r="BM15" s="126">
        <v>222208</v>
      </c>
      <c r="BN15" s="245">
        <v>500</v>
      </c>
    </row>
    <row r="16" spans="1:66" s="234" customFormat="1" ht="13.2" customHeight="1" x14ac:dyDescent="0.25">
      <c r="A16" s="233">
        <f>VLOOKUP(C16,ASTBase!F:S,12,FALSE)</f>
        <v>222234</v>
      </c>
      <c r="B16" s="234" t="s">
        <v>411</v>
      </c>
      <c r="C16" s="233">
        <v>222208</v>
      </c>
      <c r="D16" s="235">
        <f>SUMIFS('3)Target &amp; Cal_Staff'!D$4:D$164,'3)Target &amp; Cal_Staff'!$B$4:$B$164,'3)Target &amp; Cal_Sect'!$B16,'3)Target &amp; Cal_Staff'!$A$4:$A$164,'3)Target &amp; Cal_Sect'!$C16)</f>
        <v>138.39999999999998</v>
      </c>
      <c r="E16" s="235">
        <f>SUMIFS('3)Target &amp; Cal_Staff'!E$4:E$164,'3)Target &amp; Cal_Staff'!$B$4:$B$164,'3)Target &amp; Cal_Sect'!$B16,'3)Target &amp; Cal_Staff'!$A$4:$A$164,'3)Target &amp; Cal_Sect'!$C16)</f>
        <v>88</v>
      </c>
      <c r="F16" s="235">
        <f>SUMIFS('3)Target &amp; Cal_Staff'!F$4:F$164,'3)Target &amp; Cal_Staff'!$B$4:$B$164,'3)Target &amp; Cal_Sect'!$B16,'3)Target &amp; Cal_Staff'!$A$4:$A$164,'3)Target &amp; Cal_Sect'!$C16)</f>
        <v>90.4</v>
      </c>
      <c r="G16" s="235">
        <f>SUMIFS('3)Target &amp; Cal_Staff'!G$4:G$164,'3)Target &amp; Cal_Staff'!$B$4:$B$164,'3)Target &amp; Cal_Sect'!$B16,'3)Target &amp; Cal_Staff'!$A$4:$A$164,'3)Target &amp; Cal_Sect'!$C16)</f>
        <v>90</v>
      </c>
      <c r="H16" s="235">
        <f>SUMIFS('3)Target &amp; Cal_Staff'!H$4:H$164,'3)Target &amp; Cal_Staff'!$B$4:$B$164,'3)Target &amp; Cal_Sect'!$B16,'3)Target &amp; Cal_Staff'!$A$4:$A$164,'3)Target &amp; Cal_Sect'!$C16)</f>
        <v>101</v>
      </c>
      <c r="I16" s="235">
        <f>SUMIFS('3)Target &amp; Cal_Staff'!I$4:I$164,'3)Target &amp; Cal_Staff'!$B$4:$B$164,'3)Target &amp; Cal_Sect'!$B16,'3)Target &amp; Cal_Staff'!$A$4:$A$164,'3)Target &amp; Cal_Sect'!$C16)</f>
        <v>87.8</v>
      </c>
      <c r="J16" s="235">
        <f>SUMIFS('3)Target &amp; Cal_Staff'!J$4:J$164,'3)Target &amp; Cal_Staff'!$B$4:$B$164,'3)Target &amp; Cal_Sect'!$B16,'3)Target &amp; Cal_Staff'!$A$4:$A$164,'3)Target &amp; Cal_Sect'!$C16)</f>
        <v>130</v>
      </c>
      <c r="K16" s="235">
        <f>SUMIFS('3)Target &amp; Cal_Staff'!K$4:K$164,'3)Target &amp; Cal_Staff'!$B$4:$B$164,'3)Target &amp; Cal_Sect'!$B16,'3)Target &amp; Cal_Staff'!$A$4:$A$164,'3)Target &amp; Cal_Sect'!$C16)</f>
        <v>170.4</v>
      </c>
      <c r="L16" s="235">
        <f>SUMIFS('3)Target &amp; Cal_Staff'!L$4:L$164,'3)Target &amp; Cal_Staff'!$B$4:$B$164,'3)Target &amp; Cal_Sect'!$B16,'3)Target &amp; Cal_Staff'!$A$4:$A$164,'3)Target &amp; Cal_Sect'!$C16)</f>
        <v>185.4</v>
      </c>
      <c r="M16" s="235">
        <f>SUMIFS('3)Target &amp; Cal_Staff'!M$4:M$164,'3)Target &amp; Cal_Staff'!$B$4:$B$164,'3)Target &amp; Cal_Sect'!$B16,'3)Target &amp; Cal_Staff'!$A$4:$A$164,'3)Target &amp; Cal_Sect'!$C16)</f>
        <v>230.4</v>
      </c>
      <c r="N16" s="235">
        <f>SUMIFS('3)Target &amp; Cal_Staff'!N$4:N$164,'3)Target &amp; Cal_Staff'!$B$4:$B$164,'3)Target &amp; Cal_Sect'!$B16,'3)Target &amp; Cal_Staff'!$A$4:$A$164,'3)Target &amp; Cal_Sect'!$C16)</f>
        <v>192.8</v>
      </c>
      <c r="O16" s="235">
        <f>SUMIFS('3)Target &amp; Cal_Staff'!O$4:O$164,'3)Target &amp; Cal_Staff'!$B$4:$B$164,'3)Target &amp; Cal_Sect'!$B16,'3)Target &amp; Cal_Staff'!$A$4:$A$164,'3)Target &amp; Cal_Sect'!$C16)</f>
        <v>203</v>
      </c>
      <c r="P16" s="235">
        <f>SUMIFS('3)Target &amp; Cal_Staff'!P$4:P$164,'3)Target &amp; Cal_Staff'!$B$4:$B$164,'3)Target &amp; Cal_Sect'!$B16,'3)Target &amp; Cal_Staff'!$A$4:$A$164,'3)Target &amp; Cal_Sect'!$C16)</f>
        <v>37.799999999999997</v>
      </c>
      <c r="Q16" s="235">
        <f>SUMIFS('3)Target &amp; Cal_Staff'!Q$4:Q$164,'3)Target &amp; Cal_Staff'!$B$4:$B$164,'3)Target &amp; Cal_Sect'!$B16,'3)Target &amp; Cal_Staff'!$A$4:$A$164,'3)Target &amp; Cal_Sect'!$C16)</f>
        <v>0</v>
      </c>
      <c r="R16" s="235">
        <f>SUMIFS('3)Target &amp; Cal_Staff'!R$4:R$164,'3)Target &amp; Cal_Staff'!$B$4:$B$164,'3)Target &amp; Cal_Sect'!$B16,'3)Target &amp; Cal_Staff'!$A$4:$A$164,'3)Target &amp; Cal_Sect'!$C16)</f>
        <v>0</v>
      </c>
      <c r="S16" s="235">
        <f>SUMIFS('3)Target &amp; Cal_Staff'!S$4:S$164,'3)Target &amp; Cal_Staff'!$B$4:$B$164,'3)Target &amp; Cal_Sect'!$B16,'3)Target &amp; Cal_Staff'!$A$4:$A$164,'3)Target &amp; Cal_Sect'!$C16)</f>
        <v>0</v>
      </c>
      <c r="T16" s="235">
        <f>SUMIFS('3)Target &amp; Cal_Staff'!T$4:T$164,'3)Target &amp; Cal_Staff'!$B$4:$B$164,'3)Target &amp; Cal_Sect'!$B16,'3)Target &amp; Cal_Staff'!$A$4:$A$164,'3)Target &amp; Cal_Sect'!$C16)</f>
        <v>0</v>
      </c>
      <c r="U16" s="235">
        <f>SUMIFS('3)Target &amp; Cal_Staff'!U$4:U$164,'3)Target &amp; Cal_Staff'!$B$4:$B$164,'3)Target &amp; Cal_Sect'!$B16,'3)Target &amp; Cal_Staff'!$A$4:$A$164,'3)Target &amp; Cal_Sect'!$C16)</f>
        <v>0</v>
      </c>
      <c r="V16" s="235">
        <f>SUMIFS('3)Target &amp; Cal_Staff'!V$4:V$164,'3)Target &amp; Cal_Staff'!$B$4:$B$164,'3)Target &amp; Cal_Sect'!$B16,'3)Target &amp; Cal_Staff'!$A$4:$A$164,'3)Target &amp; Cal_Sect'!$C16)</f>
        <v>0</v>
      </c>
      <c r="W16" s="235">
        <f>SUMIFS('3)Target &amp; Cal_Staff'!W$4:W$164,'3)Target &amp; Cal_Staff'!$B$4:$B$164,'3)Target &amp; Cal_Sect'!$B16,'3)Target &amp; Cal_Staff'!$A$4:$A$164,'3)Target &amp; Cal_Sect'!$C16)</f>
        <v>0</v>
      </c>
      <c r="X16" s="235">
        <f>SUMIFS('3)Target &amp; Cal_Staff'!X$4:X$164,'3)Target &amp; Cal_Staff'!$B$4:$B$164,'3)Target &amp; Cal_Sect'!$B16,'3)Target &amp; Cal_Staff'!$A$4:$A$164,'3)Target &amp; Cal_Sect'!$C16)</f>
        <v>0</v>
      </c>
      <c r="Y16" s="235">
        <f>SUMIFS('3)Target &amp; Cal_Staff'!Y$4:Y$164,'3)Target &amp; Cal_Staff'!$B$4:$B$164,'3)Target &amp; Cal_Sect'!$B16,'3)Target &amp; Cal_Staff'!$A$4:$A$164,'3)Target &amp; Cal_Sect'!$C16)</f>
        <v>0</v>
      </c>
      <c r="Z16" s="235">
        <f>SUMIFS('3)Target &amp; Cal_Staff'!Z$4:Z$164,'3)Target &amp; Cal_Staff'!$B$4:$B$164,'3)Target &amp; Cal_Sect'!$B16,'3)Target &amp; Cal_Staff'!$A$4:$A$164,'3)Target &amp; Cal_Sect'!$C16)</f>
        <v>0</v>
      </c>
      <c r="AA16" s="235">
        <f>SUMIFS('3)Target &amp; Cal_Staff'!AA$4:AA$164,'3)Target &amp; Cal_Staff'!$B$4:$B$164,'3)Target &amp; Cal_Sect'!$B16,'3)Target &amp; Cal_Staff'!$A$4:$A$164,'3)Target &amp; Cal_Sect'!$C16)</f>
        <v>0</v>
      </c>
      <c r="AB16" s="132">
        <f>IFERROR(IF(VLOOKUP($B16,Shortage!$A:$M,AB$2,FALSE)="Shortage",1,IFERROR(ROUND(P16/D16,4),0)),IFERROR(ROUND(P16/D16,4),0))</f>
        <v>0.27310000000000001</v>
      </c>
      <c r="AC16" s="132">
        <f>IFERROR(IF(VLOOKUP($B16,Shortage!$A:$M,AC$2,FALSE)="Shortage",1,IFERROR(ROUND(Q16/E16,4),0)),IFERROR(ROUND(Q16/E16,4),0))</f>
        <v>0</v>
      </c>
      <c r="AD16" s="132">
        <f>IFERROR(IF(VLOOKUP($B16,Shortage!$A:$M,AD$2,FALSE)="Shortage",1,IFERROR(ROUND(R16/F16,4),0)),IFERROR(ROUND(R16/F16,4),0))</f>
        <v>0</v>
      </c>
      <c r="AE16" s="132">
        <f>IFERROR(IF(VLOOKUP($B16,Shortage!$A:$M,AE$2,FALSE)="Shortage",1,IFERROR(ROUND(S16/G16,4),0)),IFERROR(ROUND(S16/G16,4),0))</f>
        <v>0</v>
      </c>
      <c r="AF16" s="132">
        <f>IFERROR(IF(VLOOKUP($B16,Shortage!$A:$M,AF$2,FALSE)="Shortage",1,IFERROR(ROUND(T16/H16,4),0)),IFERROR(ROUND(T16/H16,4),0))</f>
        <v>0</v>
      </c>
      <c r="AG16" s="132">
        <f>IFERROR(IF(VLOOKUP($B16,Shortage!$A:$M,AG$2,FALSE)="Shortage",1,IFERROR(ROUND(U16/I16,4),0)),IFERROR(ROUND(U16/I16,4),0))</f>
        <v>0</v>
      </c>
      <c r="AH16" s="132">
        <f>IFERROR(IF(VLOOKUP($B16,Shortage!$A:$M,AH$2,FALSE)="Shortage",1,IFERROR(ROUND(V16/J16,4),0)),IFERROR(ROUND(V16/J16,4),0))</f>
        <v>0</v>
      </c>
      <c r="AI16" s="132">
        <f>IFERROR(IF(VLOOKUP($B16,Shortage!$A:$M,AI$2,FALSE)="Shortage",1,IFERROR(ROUND(W16/K16,4),0)),IFERROR(ROUND(W16/K16,4),0))</f>
        <v>0</v>
      </c>
      <c r="AJ16" s="132">
        <f>IFERROR(IF(VLOOKUP($B16,Shortage!$A:$M,AJ$2,FALSE)="Shortage",1,IFERROR(ROUND(X16/L16,4),0)),IFERROR(ROUND(X16/L16,4),0))</f>
        <v>0</v>
      </c>
      <c r="AK16" s="236">
        <f>IFERROR(IF(VLOOKUP($B16,Shortage!$A:$M,AK$2,FALSE)="Shortage",1,IFERROR(ROUND(Y16/M16,4),0)),IFERROR(ROUND(Y16/M16,4),0))</f>
        <v>0</v>
      </c>
      <c r="AL16" s="236">
        <f>IFERROR(IF(VLOOKUP($B16,Shortage!$A:$M,AL$2,FALSE)="Shortage",1,IFERROR(ROUND(Z16/N16,4),0)),IFERROR(ROUND(Z16/N16,4),0))</f>
        <v>0</v>
      </c>
      <c r="AM16" s="236">
        <f>IFERROR(IF(VLOOKUP($B16,Shortage!$A:$M,AM$2,FALSE)="Shortage",1,IFERROR(ROUND(AA16/O16,4),0)),IFERROR(ROUND(AA16/O16,4),0))</f>
        <v>0</v>
      </c>
      <c r="AN16" s="237">
        <f>IFERROR(_xlfn.XLOOKUP(AB16,'2) หลักการคำนวน Table'!$C$3:$K$3,'2) หลักการคำนวน Table'!$C$3:$K$3,,1),INDEX('2) หลักการคำนวน Table'!$C$3:$K$3,1))</f>
        <v>0.9</v>
      </c>
      <c r="AO16" s="237">
        <f>IFERROR(
  _xlfn.XLOOKUP(AC16,'2) หลักการคำนวน Table'!$C$3:$K$3,'2) หลักการคำนวน Table'!$C$3:$K$3,,1),
  IF(AC16&lt;MIN('2) หลักการคำนวน Table'!$C$3:$K$3),
     MIN('2) หลักการคำนวน Table'!$C$3:$K$3),
     MAX('2) หลักการคำนวน Table'!$C$3:$K$3)
  )
)</f>
        <v>0.9</v>
      </c>
      <c r="AP16" s="237">
        <f>IFERROR(
  _xlfn.XLOOKUP(AD16,'2) หลักการคำนวน Table'!$C$3:$K$3,'2) หลักการคำนวน Table'!$C$3:$K$3,,1),
  IF(AD16&lt;MIN('2) หลักการคำนวน Table'!$C$3:$K$3),
     MIN('2) หลักการคำนวน Table'!$C$3:$K$3),
     MAX('2) หลักการคำนวน Table'!$C$3:$K$3)
  )
)</f>
        <v>0.9</v>
      </c>
      <c r="AQ16" s="237">
        <f>IFERROR(
  _xlfn.XLOOKUP(AE16,'2) หลักการคำนวน Table'!$C$3:$K$3,'2) หลักการคำนวน Table'!$C$3:$K$3,,1),
  IF(AE16&lt;MIN('2) หลักการคำนวน Table'!$C$3:$K$3),
     MIN('2) หลักการคำนวน Table'!$C$3:$K$3),
     MAX('2) หลักการคำนวน Table'!$C$3:$K$3)
  )
)</f>
        <v>0.9</v>
      </c>
      <c r="AR16" s="237">
        <f>IFERROR(
  _xlfn.XLOOKUP(AF16,'2) หลักการคำนวน Table'!$C$3:$K$3,'2) หลักการคำนวน Table'!$C$3:$K$3,,1),
  IF(AF16&lt;MIN('2) หลักการคำนวน Table'!$C$3:$K$3),
     MIN('2) หลักการคำนวน Table'!$C$3:$K$3),
     MAX('2) หลักการคำนวน Table'!$C$3:$K$3)
  )
)</f>
        <v>0.9</v>
      </c>
      <c r="AS16" s="237">
        <f>IFERROR(
  _xlfn.XLOOKUP(AG16,'2) หลักการคำนวน Table'!$C$3:$K$3,'2) หลักการคำนวน Table'!$C$3:$K$3,,1),
  IF(AG16&lt;MIN('2) หลักการคำนวน Table'!$C$3:$K$3),
     MIN('2) หลักการคำนวน Table'!$C$3:$K$3),
     MAX('2) หลักการคำนวน Table'!$C$3:$K$3)
  )
)</f>
        <v>0.9</v>
      </c>
      <c r="AT16" s="237">
        <f>IFERROR(
  _xlfn.XLOOKUP(AH16,'2) หลักการคำนวน Table'!$C$3:$K$3,'2) หลักการคำนวน Table'!$C$3:$K$3,,1),
  IF(AH16&lt;MIN('2) หลักการคำนวน Table'!$C$3:$K$3),
     MIN('2) หลักการคำนวน Table'!$C$3:$K$3),
     MAX('2) หลักการคำนวน Table'!$C$3:$K$3)
  )
)</f>
        <v>0.9</v>
      </c>
      <c r="AU16" s="237">
        <f>IFERROR(
  _xlfn.XLOOKUP(AI16,'2) หลักการคำนวน Table'!$C$3:$K$3,'2) หลักการคำนวน Table'!$C$3:$K$3,,1),
  IF(AI16&lt;MIN('2) หลักการคำนวน Table'!$C$3:$K$3),
     MIN('2) หลักการคำนวน Table'!$C$3:$K$3),
     MAX('2) หลักการคำนวน Table'!$C$3:$K$3)
  )
)</f>
        <v>0.9</v>
      </c>
      <c r="AV16" s="237">
        <f>IFERROR(
  _xlfn.XLOOKUP(AJ16,'2) หลักการคำนวน Table'!$C$3:$K$3,'2) หลักการคำนวน Table'!$C$3:$K$3,,1),
  IF(AJ16&lt;MIN('2) หลักการคำนวน Table'!$C$3:$K$3),
     MIN('2) หลักการคำนวน Table'!$C$3:$K$3),
     MAX('2) หลักการคำนวน Table'!$C$3:$K$3)
  )
)</f>
        <v>0.9</v>
      </c>
      <c r="AW16" s="237">
        <f>IFERROR(
  _xlfn.XLOOKUP(AK16,'2) หลักการคำนวน Table'!$C$3:$K$3,'2) หลักการคำนวน Table'!$C$3:$K$3,,1),
  IF(AK16&lt;MIN('2) หลักการคำนวน Table'!$C$3:$K$3),
     MIN('2) หลักการคำนวน Table'!$C$3:$K$3),
     MAX('2) หลักการคำนวน Table'!$C$3:$K$3)
  )
)</f>
        <v>0.9</v>
      </c>
      <c r="AX16" s="237">
        <f>IFERROR(
  _xlfn.XLOOKUP(AL16,'2) หลักการคำนวน Table'!$C$3:$K$3,'2) หลักการคำนวน Table'!$C$3:$K$3,,1),
  IF(AL16&lt;MIN('2) หลักการคำนวน Table'!$C$3:$K$3),
     MIN('2) หลักการคำนวน Table'!$C$3:$K$3),
     MAX('2) หลักการคำนวน Table'!$C$3:$K$3)
  )
)</f>
        <v>0.9</v>
      </c>
      <c r="AY16" s="237">
        <f>IFERROR(
  _xlfn.XLOOKUP(AM16,'2) หลักการคำนวน Table'!$C$3:$K$3,'2) หลักการคำนวน Table'!$C$3:$K$3,,1),
  IF(AM16&lt;MIN('2) หลักการคำนวน Table'!$C$3:$K$3),
     MIN('2) หลักการคำนวน Table'!$C$3:$K$3),
     MAX('2) หลักการคำนวน Table'!$C$3:$K$3)
  )
)</f>
        <v>0.9</v>
      </c>
      <c r="AZ16" s="238" t="e" cm="1">
        <f t="array" ref="AZ16">(_xlfn.XLOOKUP($C16,'2) หลักการคำนวน Table'!$A$4:$A$36,
_xlfn.XLOOKUP(AN16,'2)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A16" s="238" t="e" cm="1">
        <f t="array" ref="BA16">(_xlfn.XLOOKUP($C16,'2) หลักการคำนวน Table'!$A$4:$A$36,
_xlfn.XLOOKUP(AO16,'2)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B16" s="238" t="e" cm="1">
        <f t="array" ref="BB16">(_xlfn.XLOOKUP($C16,'2) หลักการคำนวน Table'!$A$4:$A$36,
_xlfn.XLOOKUP(AP16,'2)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C16" s="238" t="e" cm="1">
        <f t="array" ref="BC16">(_xlfn.XLOOKUP($C16,'2) หลักการคำนวน Table'!$A$4:$A$36,
_xlfn.XLOOKUP(AQ16,'2)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D16" s="238" t="e" cm="1">
        <f t="array" ref="BD16">(_xlfn.XLOOKUP($C16,'2) หลักการคำนวน Table'!$A$4:$A$36,
_xlfn.XLOOKUP(AR16,'2)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E16" s="238" t="e" cm="1">
        <f t="array" ref="BE16">(_xlfn.XLOOKUP($C16,'2) หลักการคำนวน Table'!$A$4:$A$36,
_xlfn.XLOOKUP(AS16,'2)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F16" s="238" t="e" cm="1">
        <f t="array" ref="BF16">(_xlfn.XLOOKUP($C16,'2) หลักการคำนวน Table'!$A$4:$A$36,
_xlfn.XLOOKUP(AT16,'2)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G16" s="238" t="e" cm="1">
        <f t="array" ref="BG16">(_xlfn.XLOOKUP($C16,'2) หลักการคำนวน Table'!$A$4:$A$36,
_xlfn.XLOOKUP(AU16,'2)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H16" s="238" t="e" cm="1">
        <f t="array" ref="BH16">ROUND((_xlfn.XLOOKUP($C16,'2) หลักการคำนวน Table'!$A$4:$A$36,
_xlfn.XLOOKUP(AV16,'2)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I16" s="238" t="e" cm="1">
        <f t="array" ref="BI16">ROUND((_xlfn.XLOOKUP($C16,'2) หลักการคำนวน Table'!$A$4:$A$36,
_xlfn.XLOOKUP(AW16,'2)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J16" s="238" t="e" cm="1">
        <f t="array" ref="BJ16">ROUND((_xlfn.XLOOKUP($C16,'2) หลักการคำนวน Table'!$A$4:$A$36,
_xlfn.XLOOKUP(AX16,'2)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K16" s="238" t="e" cm="1">
        <f t="array" ref="BK16">ROUND((_xlfn.XLOOKUP($C16,'2) หลักการคำนวน Table'!$A$4:$A$36,
_xlfn.XLOOKUP(AY16,'2)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L16" s="239"/>
      <c r="BM16" s="126">
        <v>222208</v>
      </c>
      <c r="BN16" s="245">
        <v>650</v>
      </c>
    </row>
    <row r="17" spans="1:66" ht="13.2" customHeight="1" x14ac:dyDescent="0.25">
      <c r="A17" s="128">
        <f>VLOOKUP(C17,ASTBase!F:S,12,FALSE)</f>
        <v>222234</v>
      </c>
      <c r="B17" s="126" t="s">
        <v>417</v>
      </c>
      <c r="C17" s="128">
        <v>222208</v>
      </c>
      <c r="D17" s="127">
        <f>SUMIFS('3)Target &amp; Cal_Staff'!D$4:D$164,'3)Target &amp; Cal_Staff'!$B$4:$B$164,'3)Target &amp; Cal_Sect'!$B17,'3)Target &amp; Cal_Staff'!$A$4:$A$164,'3)Target &amp; Cal_Sect'!$C17)</f>
        <v>80</v>
      </c>
      <c r="E17" s="127">
        <f>SUMIFS('3)Target &amp; Cal_Staff'!E$4:E$164,'3)Target &amp; Cal_Staff'!$B$4:$B$164,'3)Target &amp; Cal_Sect'!$B17,'3)Target &amp; Cal_Staff'!$A$4:$A$164,'3)Target &amp; Cal_Sect'!$C17)</f>
        <v>30</v>
      </c>
      <c r="F17" s="127">
        <f>SUMIFS('3)Target &amp; Cal_Staff'!F$4:F$164,'3)Target &amp; Cal_Staff'!$B$4:$B$164,'3)Target &amp; Cal_Sect'!$B17,'3)Target &amp; Cal_Staff'!$A$4:$A$164,'3)Target &amp; Cal_Sect'!$C17)</f>
        <v>30</v>
      </c>
      <c r="G17" s="127">
        <f>SUMIFS('3)Target &amp; Cal_Staff'!G$4:G$164,'3)Target &amp; Cal_Staff'!$B$4:$B$164,'3)Target &amp; Cal_Sect'!$B17,'3)Target &amp; Cal_Staff'!$A$4:$A$164,'3)Target &amp; Cal_Sect'!$C17)</f>
        <v>30</v>
      </c>
      <c r="H17" s="127">
        <f>SUMIFS('3)Target &amp; Cal_Staff'!H$4:H$164,'3)Target &amp; Cal_Staff'!$B$4:$B$164,'3)Target &amp; Cal_Sect'!$B17,'3)Target &amp; Cal_Staff'!$A$4:$A$164,'3)Target &amp; Cal_Sect'!$C17)</f>
        <v>30</v>
      </c>
      <c r="I17" s="127">
        <f>SUMIFS('3)Target &amp; Cal_Staff'!I$4:I$164,'3)Target &amp; Cal_Staff'!$B$4:$B$164,'3)Target &amp; Cal_Sect'!$B17,'3)Target &amp; Cal_Staff'!$A$4:$A$164,'3)Target &amp; Cal_Sect'!$C17)</f>
        <v>30</v>
      </c>
      <c r="J17" s="127">
        <f>SUMIFS('3)Target &amp; Cal_Staff'!J$4:J$164,'3)Target &amp; Cal_Staff'!$B$4:$B$164,'3)Target &amp; Cal_Sect'!$B17,'3)Target &amp; Cal_Staff'!$A$4:$A$164,'3)Target &amp; Cal_Sect'!$C17)</f>
        <v>30</v>
      </c>
      <c r="K17" s="127">
        <f>SUMIFS('3)Target &amp; Cal_Staff'!K$4:K$164,'3)Target &amp; Cal_Staff'!$B$4:$B$164,'3)Target &amp; Cal_Sect'!$B17,'3)Target &amp; Cal_Staff'!$A$4:$A$164,'3)Target &amp; Cal_Sect'!$C17)</f>
        <v>30</v>
      </c>
      <c r="L17" s="127">
        <f>SUMIFS('3)Target &amp; Cal_Staff'!L$4:L$164,'3)Target &amp; Cal_Staff'!$B$4:$B$164,'3)Target &amp; Cal_Sect'!$B17,'3)Target &amp; Cal_Staff'!$A$4:$A$164,'3)Target &amp; Cal_Sect'!$C17)</f>
        <v>30</v>
      </c>
      <c r="M17" s="127">
        <f>SUMIFS('3)Target &amp; Cal_Staff'!M$4:M$164,'3)Target &amp; Cal_Staff'!$B$4:$B$164,'3)Target &amp; Cal_Sect'!$B17,'3)Target &amp; Cal_Staff'!$A$4:$A$164,'3)Target &amp; Cal_Sect'!$C17)</f>
        <v>30</v>
      </c>
      <c r="N17" s="127">
        <f>SUMIFS('3)Target &amp; Cal_Staff'!N$4:N$164,'3)Target &amp; Cal_Staff'!$B$4:$B$164,'3)Target &amp; Cal_Sect'!$B17,'3)Target &amp; Cal_Staff'!$A$4:$A$164,'3)Target &amp; Cal_Sect'!$C17)</f>
        <v>30</v>
      </c>
      <c r="O17" s="127">
        <f>SUMIFS('3)Target &amp; Cal_Staff'!O$4:O$164,'3)Target &amp; Cal_Staff'!$B$4:$B$164,'3)Target &amp; Cal_Sect'!$B17,'3)Target &amp; Cal_Staff'!$A$4:$A$164,'3)Target &amp; Cal_Sect'!$C17)</f>
        <v>30</v>
      </c>
      <c r="P17" s="127">
        <f>SUMIFS('3)Target &amp; Cal_Staff'!P$4:P$164,'3)Target &amp; Cal_Staff'!$B$4:$B$164,'3)Target &amp; Cal_Sect'!$B17,'3)Target &amp; Cal_Staff'!$A$4:$A$164,'3)Target &amp; Cal_Sect'!$C17)</f>
        <v>101.999999994672</v>
      </c>
      <c r="Q17" s="127">
        <f>SUMIFS('3)Target &amp; Cal_Staff'!Q$4:Q$164,'3)Target &amp; Cal_Staff'!$B$4:$B$164,'3)Target &amp; Cal_Sect'!$B17,'3)Target &amp; Cal_Staff'!$A$4:$A$164,'3)Target &amp; Cal_Sect'!$C17)</f>
        <v>0</v>
      </c>
      <c r="R17" s="127">
        <f>SUMIFS('3)Target &amp; Cal_Staff'!R$4:R$164,'3)Target &amp; Cal_Staff'!$B$4:$B$164,'3)Target &amp; Cal_Sect'!$B17,'3)Target &amp; Cal_Staff'!$A$4:$A$164,'3)Target &amp; Cal_Sect'!$C17)</f>
        <v>0</v>
      </c>
      <c r="S17" s="127">
        <f>SUMIFS('3)Target &amp; Cal_Staff'!S$4:S$164,'3)Target &amp; Cal_Staff'!$B$4:$B$164,'3)Target &amp; Cal_Sect'!$B17,'3)Target &amp; Cal_Staff'!$A$4:$A$164,'3)Target &amp; Cal_Sect'!$C17)</f>
        <v>0</v>
      </c>
      <c r="T17" s="127">
        <f>SUMIFS('3)Target &amp; Cal_Staff'!T$4:T$164,'3)Target &amp; Cal_Staff'!$B$4:$B$164,'3)Target &amp; Cal_Sect'!$B17,'3)Target &amp; Cal_Staff'!$A$4:$A$164,'3)Target &amp; Cal_Sect'!$C17)</f>
        <v>0</v>
      </c>
      <c r="U17" s="127">
        <f>SUMIFS('3)Target &amp; Cal_Staff'!U$4:U$164,'3)Target &amp; Cal_Staff'!$B$4:$B$164,'3)Target &amp; Cal_Sect'!$B17,'3)Target &amp; Cal_Staff'!$A$4:$A$164,'3)Target &amp; Cal_Sect'!$C17)</f>
        <v>0</v>
      </c>
      <c r="V17" s="127">
        <f>SUMIFS('3)Target &amp; Cal_Staff'!V$4:V$164,'3)Target &amp; Cal_Staff'!$B$4:$B$164,'3)Target &amp; Cal_Sect'!$B17,'3)Target &amp; Cal_Staff'!$A$4:$A$164,'3)Target &amp; Cal_Sect'!$C17)</f>
        <v>0</v>
      </c>
      <c r="W17" s="127">
        <f>SUMIFS('3)Target &amp; Cal_Staff'!W$4:W$164,'3)Target &amp; Cal_Staff'!$B$4:$B$164,'3)Target &amp; Cal_Sect'!$B17,'3)Target &amp; Cal_Staff'!$A$4:$A$164,'3)Target &amp; Cal_Sect'!$C17)</f>
        <v>0</v>
      </c>
      <c r="X17" s="127">
        <f>SUMIFS('3)Target &amp; Cal_Staff'!X$4:X$164,'3)Target &amp; Cal_Staff'!$B$4:$B$164,'3)Target &amp; Cal_Sect'!$B17,'3)Target &amp; Cal_Staff'!$A$4:$A$164,'3)Target &amp; Cal_Sect'!$C17)</f>
        <v>0</v>
      </c>
      <c r="Y17" s="127">
        <f>SUMIFS('3)Target &amp; Cal_Staff'!Y$4:Y$164,'3)Target &amp; Cal_Staff'!$B$4:$B$164,'3)Target &amp; Cal_Sect'!$B17,'3)Target &amp; Cal_Staff'!$A$4:$A$164,'3)Target &amp; Cal_Sect'!$C17)</f>
        <v>0</v>
      </c>
      <c r="Z17" s="127">
        <f>SUMIFS('3)Target &amp; Cal_Staff'!Z$4:Z$164,'3)Target &amp; Cal_Staff'!$B$4:$B$164,'3)Target &amp; Cal_Sect'!$B17,'3)Target &amp; Cal_Staff'!$A$4:$A$164,'3)Target &amp; Cal_Sect'!$C17)</f>
        <v>0</v>
      </c>
      <c r="AA17" s="127">
        <f>SUMIFS('3)Target &amp; Cal_Staff'!AA$4:AA$164,'3)Target &amp; Cal_Staff'!$B$4:$B$164,'3)Target &amp; Cal_Sect'!$B17,'3)Target &amp; Cal_Staff'!$A$4:$A$164,'3)Target &amp; Cal_Sect'!$C17)</f>
        <v>0</v>
      </c>
      <c r="AB17" s="132">
        <f>IFERROR(IF(VLOOKUP($B17,Shortage!$A:$M,AB$2,FALSE)="Shortage",1,IFERROR(ROUND(P17/D17,4),0)),IFERROR(ROUND(P17/D17,4),0))</f>
        <v>1.2749999999999999</v>
      </c>
      <c r="AC17" s="132">
        <f>IFERROR(IF(VLOOKUP($B17,Shortage!$A:$M,AC$2,FALSE)="Shortage",1,IFERROR(ROUND(Q17/E17,4),0)),IFERROR(ROUND(Q17/E17,4),0))</f>
        <v>0</v>
      </c>
      <c r="AD17" s="132">
        <f>IFERROR(IF(VLOOKUP($B17,Shortage!$A:$M,AD$2,FALSE)="Shortage",1,IFERROR(ROUND(R17/F17,4),0)),IFERROR(ROUND(R17/F17,4),0))</f>
        <v>0</v>
      </c>
      <c r="AE17" s="132">
        <f>IFERROR(IF(VLOOKUP($B17,Shortage!$A:$M,AE$2,FALSE)="Shortage",1,IFERROR(ROUND(S17/G17,4),0)),IFERROR(ROUND(S17/G17,4),0))</f>
        <v>0</v>
      </c>
      <c r="AF17" s="132">
        <f>IFERROR(IF(VLOOKUP($B17,Shortage!$A:$M,AF$2,FALSE)="Shortage",1,IFERROR(ROUND(T17/H17,4),0)),IFERROR(ROUND(T17/H17,4),0))</f>
        <v>0</v>
      </c>
      <c r="AG17" s="132">
        <f>IFERROR(IF(VLOOKUP($B17,Shortage!$A:$M,AG$2,FALSE)="Shortage",1,IFERROR(ROUND(U17/I17,4),0)),IFERROR(ROUND(U17/I17,4),0))</f>
        <v>0</v>
      </c>
      <c r="AH17" s="132">
        <f>IFERROR(IF(VLOOKUP($B17,Shortage!$A:$M,AH$2,FALSE)="Shortage",1,IFERROR(ROUND(V17/J17,4),0)),IFERROR(ROUND(V17/J17,4),0))</f>
        <v>0</v>
      </c>
      <c r="AI17" s="132">
        <f>IFERROR(IF(VLOOKUP($B17,Shortage!$A:$M,AI$2,FALSE)="Shortage",1,IFERROR(ROUND(W17/K17,4),0)),IFERROR(ROUND(W17/K17,4),0))</f>
        <v>0</v>
      </c>
      <c r="AJ17" s="132">
        <f>IFERROR(IF(VLOOKUP($B17,Shortage!$A:$M,AJ$2,FALSE)="Shortage",1,IFERROR(ROUND(X17/L17,4),0)),IFERROR(ROUND(X17/L17,4),0))</f>
        <v>0</v>
      </c>
      <c r="AK17" s="132">
        <f>IFERROR(IF(VLOOKUP($B17,Shortage!$A:$M,AK$2,FALSE)="Shortage",1,IFERROR(ROUND(Y17/M17,4),0)),IFERROR(ROUND(Y17/M17,4),0))</f>
        <v>0</v>
      </c>
      <c r="AL17" s="132">
        <f>IFERROR(IF(VLOOKUP($B17,Shortage!$A:$M,AL$2,FALSE)="Shortage",1,IFERROR(ROUND(Z17/N17,4),0)),IFERROR(ROUND(Z17/N17,4),0))</f>
        <v>0</v>
      </c>
      <c r="AM17" s="132">
        <f>IFERROR(IF(VLOOKUP($B17,Shortage!$A:$M,AM$2,FALSE)="Shortage",1,IFERROR(ROUND(AA17/O17,4),0)),IFERROR(ROUND(AA17/O17,4),0))</f>
        <v>0</v>
      </c>
      <c r="AN17" s="186">
        <f>IFERROR(_xlfn.XLOOKUP(AB17,'2) หลักการคำนวน Table'!$C$3:$K$3,'2) หลักการคำนวน Table'!$C$3:$K$3,,1),INDEX('2) หลักการคำนวน Table'!$C$3:$K$3,1))</f>
        <v>20</v>
      </c>
      <c r="AO17" s="186">
        <f>IFERROR(
  _xlfn.XLOOKUP(AC17,'2) หลักการคำนวน Table'!$C$3:$K$3,'2) หลักการคำนวน Table'!$C$3:$K$3,,1),
  IF(AC17&lt;MIN('2) หลักการคำนวน Table'!$C$3:$K$3),
     MIN('2) หลักการคำนวน Table'!$C$3:$K$3),
     MAX('2) หลักการคำนวน Table'!$C$3:$K$3)
  )
)</f>
        <v>0.9</v>
      </c>
      <c r="AP17" s="186">
        <f>IFERROR(
  _xlfn.XLOOKUP(AD17,'2) หลักการคำนวน Table'!$C$3:$K$3,'2) หลักการคำนวน Table'!$C$3:$K$3,,1),
  IF(AD17&lt;MIN('2) หลักการคำนวน Table'!$C$3:$K$3),
     MIN('2) หลักการคำนวน Table'!$C$3:$K$3),
     MAX('2) หลักการคำนวน Table'!$C$3:$K$3)
  )
)</f>
        <v>0.9</v>
      </c>
      <c r="AQ17" s="186">
        <f>IFERROR(
  _xlfn.XLOOKUP(AE17,'2) หลักการคำนวน Table'!$C$3:$K$3,'2) หลักการคำนวน Table'!$C$3:$K$3,,1),
  IF(AE17&lt;MIN('2) หลักการคำนวน Table'!$C$3:$K$3),
     MIN('2) หลักการคำนวน Table'!$C$3:$K$3),
     MAX('2) หลักการคำนวน Table'!$C$3:$K$3)
  )
)</f>
        <v>0.9</v>
      </c>
      <c r="AR17" s="186">
        <f>IFERROR(
  _xlfn.XLOOKUP(AF17,'2) หลักการคำนวน Table'!$C$3:$K$3,'2) หลักการคำนวน Table'!$C$3:$K$3,,1),
  IF(AF17&lt;MIN('2) หลักการคำนวน Table'!$C$3:$K$3),
     MIN('2) หลักการคำนวน Table'!$C$3:$K$3),
     MAX('2) หลักการคำนวน Table'!$C$3:$K$3)
  )
)</f>
        <v>0.9</v>
      </c>
      <c r="AS17" s="186">
        <f>IFERROR(
  _xlfn.XLOOKUP(AG17,'2) หลักการคำนวน Table'!$C$3:$K$3,'2) หลักการคำนวน Table'!$C$3:$K$3,,1),
  IF(AG17&lt;MIN('2) หลักการคำนวน Table'!$C$3:$K$3),
     MIN('2) หลักการคำนวน Table'!$C$3:$K$3),
     MAX('2) หลักการคำนวน Table'!$C$3:$K$3)
  )
)</f>
        <v>0.9</v>
      </c>
      <c r="AT17" s="186">
        <f>IFERROR(
  _xlfn.XLOOKUP(AH17,'2) หลักการคำนวน Table'!$C$3:$K$3,'2) หลักการคำนวน Table'!$C$3:$K$3,,1),
  IF(AH17&lt;MIN('2) หลักการคำนวน Table'!$C$3:$K$3),
     MIN('2) หลักการคำนวน Table'!$C$3:$K$3),
     MAX('2) หลักการคำนวน Table'!$C$3:$K$3)
  )
)</f>
        <v>0.9</v>
      </c>
      <c r="AU17" s="186">
        <f>IFERROR(
  _xlfn.XLOOKUP(AI17,'2) หลักการคำนวน Table'!$C$3:$K$3,'2) หลักการคำนวน Table'!$C$3:$K$3,,1),
  IF(AI17&lt;MIN('2) หลักการคำนวน Table'!$C$3:$K$3),
     MIN('2) หลักการคำนวน Table'!$C$3:$K$3),
     MAX('2) หลักการคำนวน Table'!$C$3:$K$3)
  )
)</f>
        <v>0.9</v>
      </c>
      <c r="AV17" s="186">
        <f>IFERROR(
  _xlfn.XLOOKUP(AJ17,'2) หลักการคำนวน Table'!$C$3:$K$3,'2) หลักการคำนวน Table'!$C$3:$K$3,,1),
  IF(AJ17&lt;MIN('2) หลักการคำนวน Table'!$C$3:$K$3),
     MIN('2) หลักการคำนวน Table'!$C$3:$K$3),
     MAX('2) หลักการคำนวน Table'!$C$3:$K$3)
  )
)</f>
        <v>0.9</v>
      </c>
      <c r="AW17" s="186">
        <f>IFERROR(
  _xlfn.XLOOKUP(AK17,'2) หลักการคำนวน Table'!$C$3:$K$3,'2) หลักการคำนวน Table'!$C$3:$K$3,,1),
  IF(AK17&lt;MIN('2) หลักการคำนวน Table'!$C$3:$K$3),
     MIN('2) หลักการคำนวน Table'!$C$3:$K$3),
     MAX('2) หลักการคำนวน Table'!$C$3:$K$3)
  )
)</f>
        <v>0.9</v>
      </c>
      <c r="AX17" s="186">
        <f>IFERROR(
  _xlfn.XLOOKUP(AL17,'2) หลักการคำนวน Table'!$C$3:$K$3,'2) หลักการคำนวน Table'!$C$3:$K$3,,1),
  IF(AL17&lt;MIN('2) หลักการคำนวน Table'!$C$3:$K$3),
     MIN('2) หลักการคำนวน Table'!$C$3:$K$3),
     MAX('2) หลักการคำนวน Table'!$C$3:$K$3)
  )
)</f>
        <v>0.9</v>
      </c>
      <c r="AY17" s="186">
        <f>IFERROR(
  _xlfn.XLOOKUP(AM17,'2) หลักการคำนวน Table'!$C$3:$K$3,'2) หลักการคำนวน Table'!$C$3:$K$3,,1),
  IF(AM17&lt;MIN('2) หลักการคำนวน Table'!$C$3:$K$3),
     MIN('2) หลักการคำนวน Table'!$C$3:$K$3),
     MAX('2) หลักการคำนวน Table'!$C$3:$K$3)
  )
)</f>
        <v>0.9</v>
      </c>
      <c r="AZ17" s="135" t="e" cm="1">
        <f t="array" ref="AZ17">(_xlfn.XLOOKUP($C17,'2) หลักการคำนวน Table'!$A$4:$A$36,
_xlfn.XLOOKUP(AN17,'2)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A17" s="135" t="e" cm="1">
        <f t="array" ref="BA17">(_xlfn.XLOOKUP($C17,'2) หลักการคำนวน Table'!$A$4:$A$36,
_xlfn.XLOOKUP(AO17,'2)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B17" s="135" t="e" cm="1">
        <f t="array" ref="BB17">(_xlfn.XLOOKUP($C17,'2) หลักการคำนวน Table'!$A$4:$A$36,
_xlfn.XLOOKUP(AP17,'2)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C17" s="135" t="e" cm="1">
        <f t="array" ref="BC17">(_xlfn.XLOOKUP($C17,'2) หลักการคำนวน Table'!$A$4:$A$36,
_xlfn.XLOOKUP(AQ17,'2)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D17" s="135" t="e" cm="1">
        <f t="array" ref="BD17">(_xlfn.XLOOKUP($C17,'2) หลักการคำนวน Table'!$A$4:$A$36,
_xlfn.XLOOKUP(AR17,'2)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E17" s="135" t="e" cm="1">
        <f t="array" ref="BE17">(_xlfn.XLOOKUP($C17,'2) หลักการคำนวน Table'!$A$4:$A$36,
_xlfn.XLOOKUP(AS17,'2)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F17" s="135" t="e" cm="1">
        <f t="array" ref="BF17">(_xlfn.XLOOKUP($C17,'2) หลักการคำนวน Table'!$A$4:$A$36,
_xlfn.XLOOKUP(AT17,'2)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G17" s="135" t="e" cm="1">
        <f t="array" ref="BG17">(_xlfn.XLOOKUP($C17,'2) หลักการคำนวน Table'!$A$4:$A$36,
_xlfn.XLOOKUP(AU17,'2)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H17" s="135" t="e" cm="1">
        <f t="array" ref="BH17">ROUND((_xlfn.XLOOKUP($C17,'2) หลักการคำนวน Table'!$A$4:$A$36,
_xlfn.XLOOKUP(AV17,'2)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I17" s="135" t="e" cm="1">
        <f t="array" ref="BI17">ROUND((_xlfn.XLOOKUP($C17,'2) หลักการคำนวน Table'!$A$4:$A$36,
_xlfn.XLOOKUP(AW17,'2)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J17" s="135" t="e" cm="1">
        <f t="array" ref="BJ17">ROUND((_xlfn.XLOOKUP($C17,'2) หลักการคำนวน Table'!$A$4:$A$36,
_xlfn.XLOOKUP(AX17,'2)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K17" s="135" t="e" cm="1">
        <f t="array" ref="BK17">ROUND((_xlfn.XLOOKUP($C17,'2) หลักการคำนวน Table'!$A$4:$A$36,
_xlfn.XLOOKUP(AY17,'2)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L17" s="239"/>
      <c r="BM17" s="126">
        <v>222208</v>
      </c>
      <c r="BN17" s="245">
        <v>65</v>
      </c>
    </row>
    <row r="18" spans="1:66" ht="13.2" customHeight="1" x14ac:dyDescent="0.25">
      <c r="A18" s="128">
        <f>VLOOKUP(C18,ASTBase!F:S,12,FALSE)</f>
        <v>222234</v>
      </c>
      <c r="B18" s="126" t="s">
        <v>419</v>
      </c>
      <c r="C18" s="128">
        <v>222208</v>
      </c>
      <c r="D18" s="127">
        <f>SUMIFS('3)Target &amp; Cal_Staff'!D$4:D$164,'3)Target &amp; Cal_Staff'!$B$4:$B$164,'3)Target &amp; Cal_Sect'!$B18,'3)Target &amp; Cal_Staff'!$A$4:$A$164,'3)Target &amp; Cal_Sect'!$C18)</f>
        <v>56</v>
      </c>
      <c r="E18" s="127">
        <f>SUMIFS('3)Target &amp; Cal_Staff'!E$4:E$164,'3)Target &amp; Cal_Staff'!$B$4:$B$164,'3)Target &amp; Cal_Sect'!$B18,'3)Target &amp; Cal_Staff'!$A$4:$A$164,'3)Target &amp; Cal_Sect'!$C18)</f>
        <v>89</v>
      </c>
      <c r="F18" s="127">
        <f>SUMIFS('3)Target &amp; Cal_Staff'!F$4:F$164,'3)Target &amp; Cal_Staff'!$B$4:$B$164,'3)Target &amp; Cal_Sect'!$B18,'3)Target &amp; Cal_Staff'!$A$4:$A$164,'3)Target &amp; Cal_Sect'!$C18)</f>
        <v>42</v>
      </c>
      <c r="G18" s="127">
        <f>SUMIFS('3)Target &amp; Cal_Staff'!G$4:G$164,'3)Target &amp; Cal_Staff'!$B$4:$B$164,'3)Target &amp; Cal_Sect'!$B18,'3)Target &amp; Cal_Staff'!$A$4:$A$164,'3)Target &amp; Cal_Sect'!$C18)</f>
        <v>93</v>
      </c>
      <c r="H18" s="127">
        <f>SUMIFS('3)Target &amp; Cal_Staff'!H$4:H$164,'3)Target &amp; Cal_Staff'!$B$4:$B$164,'3)Target &amp; Cal_Sect'!$B18,'3)Target &amp; Cal_Staff'!$A$4:$A$164,'3)Target &amp; Cal_Sect'!$C18)</f>
        <v>101</v>
      </c>
      <c r="I18" s="127">
        <f>SUMIFS('3)Target &amp; Cal_Staff'!I$4:I$164,'3)Target &amp; Cal_Staff'!$B$4:$B$164,'3)Target &amp; Cal_Sect'!$B18,'3)Target &amp; Cal_Staff'!$A$4:$A$164,'3)Target &amp; Cal_Sect'!$C18)</f>
        <v>71</v>
      </c>
      <c r="J18" s="127">
        <f>SUMIFS('3)Target &amp; Cal_Staff'!J$4:J$164,'3)Target &amp; Cal_Staff'!$B$4:$B$164,'3)Target &amp; Cal_Sect'!$B18,'3)Target &amp; Cal_Staff'!$A$4:$A$164,'3)Target &amp; Cal_Sect'!$C18)</f>
        <v>52</v>
      </c>
      <c r="K18" s="127">
        <f>SUMIFS('3)Target &amp; Cal_Staff'!K$4:K$164,'3)Target &amp; Cal_Staff'!$B$4:$B$164,'3)Target &amp; Cal_Sect'!$B18,'3)Target &amp; Cal_Staff'!$A$4:$A$164,'3)Target &amp; Cal_Sect'!$C18)</f>
        <v>99</v>
      </c>
      <c r="L18" s="127">
        <f>SUMIFS('3)Target &amp; Cal_Staff'!L$4:L$164,'3)Target &amp; Cal_Staff'!$B$4:$B$164,'3)Target &amp; Cal_Sect'!$B18,'3)Target &amp; Cal_Staff'!$A$4:$A$164,'3)Target &amp; Cal_Sect'!$C18)</f>
        <v>100</v>
      </c>
      <c r="M18" s="127">
        <f>SUMIFS('3)Target &amp; Cal_Staff'!M$4:M$164,'3)Target &amp; Cal_Staff'!$B$4:$B$164,'3)Target &amp; Cal_Sect'!$B18,'3)Target &amp; Cal_Staff'!$A$4:$A$164,'3)Target &amp; Cal_Sect'!$C18)</f>
        <v>49</v>
      </c>
      <c r="N18" s="127">
        <f>SUMIFS('3)Target &amp; Cal_Staff'!N$4:N$164,'3)Target &amp; Cal_Staff'!$B$4:$B$164,'3)Target &amp; Cal_Sect'!$B18,'3)Target &amp; Cal_Staff'!$A$4:$A$164,'3)Target &amp; Cal_Sect'!$C18)</f>
        <v>60</v>
      </c>
      <c r="O18" s="127">
        <f>SUMIFS('3)Target &amp; Cal_Staff'!O$4:O$164,'3)Target &amp; Cal_Staff'!$B$4:$B$164,'3)Target &amp; Cal_Sect'!$B18,'3)Target &amp; Cal_Staff'!$A$4:$A$164,'3)Target &amp; Cal_Sect'!$C18)</f>
        <v>91</v>
      </c>
      <c r="P18" s="127">
        <f>SUMIFS('3)Target &amp; Cal_Staff'!P$4:P$164,'3)Target &amp; Cal_Staff'!$B$4:$B$164,'3)Target &amp; Cal_Sect'!$B18,'3)Target &amp; Cal_Staff'!$A$4:$A$164,'3)Target &amp; Cal_Sect'!$C18)</f>
        <v>26</v>
      </c>
      <c r="Q18" s="127">
        <f>SUMIFS('3)Target &amp; Cal_Staff'!Q$4:Q$164,'3)Target &amp; Cal_Staff'!$B$4:$B$164,'3)Target &amp; Cal_Sect'!$B18,'3)Target &amp; Cal_Staff'!$A$4:$A$164,'3)Target &amp; Cal_Sect'!$C18)</f>
        <v>0</v>
      </c>
      <c r="R18" s="127">
        <f>SUMIFS('3)Target &amp; Cal_Staff'!R$4:R$164,'3)Target &amp; Cal_Staff'!$B$4:$B$164,'3)Target &amp; Cal_Sect'!$B18,'3)Target &amp; Cal_Staff'!$A$4:$A$164,'3)Target &amp; Cal_Sect'!$C18)</f>
        <v>0</v>
      </c>
      <c r="S18" s="127">
        <f>SUMIFS('3)Target &amp; Cal_Staff'!S$4:S$164,'3)Target &amp; Cal_Staff'!$B$4:$B$164,'3)Target &amp; Cal_Sect'!$B18,'3)Target &amp; Cal_Staff'!$A$4:$A$164,'3)Target &amp; Cal_Sect'!$C18)</f>
        <v>0</v>
      </c>
      <c r="T18" s="127">
        <f>SUMIFS('3)Target &amp; Cal_Staff'!T$4:T$164,'3)Target &amp; Cal_Staff'!$B$4:$B$164,'3)Target &amp; Cal_Sect'!$B18,'3)Target &amp; Cal_Staff'!$A$4:$A$164,'3)Target &amp; Cal_Sect'!$C18)</f>
        <v>0</v>
      </c>
      <c r="U18" s="127">
        <f>SUMIFS('3)Target &amp; Cal_Staff'!U$4:U$164,'3)Target &amp; Cal_Staff'!$B$4:$B$164,'3)Target &amp; Cal_Sect'!$B18,'3)Target &amp; Cal_Staff'!$A$4:$A$164,'3)Target &amp; Cal_Sect'!$C18)</f>
        <v>0</v>
      </c>
      <c r="V18" s="127">
        <f>SUMIFS('3)Target &amp; Cal_Staff'!V$4:V$164,'3)Target &amp; Cal_Staff'!$B$4:$B$164,'3)Target &amp; Cal_Sect'!$B18,'3)Target &amp; Cal_Staff'!$A$4:$A$164,'3)Target &amp; Cal_Sect'!$C18)</f>
        <v>0</v>
      </c>
      <c r="W18" s="127">
        <f>SUMIFS('3)Target &amp; Cal_Staff'!W$4:W$164,'3)Target &amp; Cal_Staff'!$B$4:$B$164,'3)Target &amp; Cal_Sect'!$B18,'3)Target &amp; Cal_Staff'!$A$4:$A$164,'3)Target &amp; Cal_Sect'!$C18)</f>
        <v>0</v>
      </c>
      <c r="X18" s="127">
        <f>SUMIFS('3)Target &amp; Cal_Staff'!X$4:X$164,'3)Target &amp; Cal_Staff'!$B$4:$B$164,'3)Target &amp; Cal_Sect'!$B18,'3)Target &amp; Cal_Staff'!$A$4:$A$164,'3)Target &amp; Cal_Sect'!$C18)</f>
        <v>0</v>
      </c>
      <c r="Y18" s="127">
        <f>SUMIFS('3)Target &amp; Cal_Staff'!Y$4:Y$164,'3)Target &amp; Cal_Staff'!$B$4:$B$164,'3)Target &amp; Cal_Sect'!$B18,'3)Target &amp; Cal_Staff'!$A$4:$A$164,'3)Target &amp; Cal_Sect'!$C18)</f>
        <v>0</v>
      </c>
      <c r="Z18" s="127">
        <f>SUMIFS('3)Target &amp; Cal_Staff'!Z$4:Z$164,'3)Target &amp; Cal_Staff'!$B$4:$B$164,'3)Target &amp; Cal_Sect'!$B18,'3)Target &amp; Cal_Staff'!$A$4:$A$164,'3)Target &amp; Cal_Sect'!$C18)</f>
        <v>0</v>
      </c>
      <c r="AA18" s="127">
        <f>SUMIFS('3)Target &amp; Cal_Staff'!AA$4:AA$164,'3)Target &amp; Cal_Staff'!$B$4:$B$164,'3)Target &amp; Cal_Sect'!$B18,'3)Target &amp; Cal_Staff'!$A$4:$A$164,'3)Target &amp; Cal_Sect'!$C18)</f>
        <v>0</v>
      </c>
      <c r="AB18" s="132">
        <f>IFERROR(IF(VLOOKUP($B18,Shortage!$A:$M,AB$2,FALSE)="Shortage",1,IFERROR(ROUND(P18/D18,4),0)),IFERROR(ROUND(P18/D18,4),0))</f>
        <v>0.46429999999999999</v>
      </c>
      <c r="AC18" s="132">
        <f>IFERROR(IF(VLOOKUP($B18,Shortage!$A:$M,AC$2,FALSE)="Shortage",1,IFERROR(ROUND(Q18/E18,4),0)),IFERROR(ROUND(Q18/E18,4),0))</f>
        <v>0</v>
      </c>
      <c r="AD18" s="132">
        <f>IFERROR(IF(VLOOKUP($B18,Shortage!$A:$M,AD$2,FALSE)="Shortage",1,IFERROR(ROUND(R18/F18,4),0)),IFERROR(ROUND(R18/F18,4),0))</f>
        <v>0</v>
      </c>
      <c r="AE18" s="132">
        <f>IFERROR(IF(VLOOKUP($B18,Shortage!$A:$M,AE$2,FALSE)="Shortage",1,IFERROR(ROUND(S18/G18,4),0)),IFERROR(ROUND(S18/G18,4),0))</f>
        <v>0</v>
      </c>
      <c r="AF18" s="132">
        <f>IFERROR(IF(VLOOKUP($B18,Shortage!$A:$M,AF$2,FALSE)="Shortage",1,IFERROR(ROUND(T18/H18,4),0)),IFERROR(ROUND(T18/H18,4),0))</f>
        <v>0</v>
      </c>
      <c r="AG18" s="132">
        <f>IFERROR(IF(VLOOKUP($B18,Shortage!$A:$M,AG$2,FALSE)="Shortage",1,IFERROR(ROUND(U18/I18,4),0)),IFERROR(ROUND(U18/I18,4),0))</f>
        <v>0</v>
      </c>
      <c r="AH18" s="132">
        <f>IFERROR(IF(VLOOKUP($B18,Shortage!$A:$M,AH$2,FALSE)="Shortage",1,IFERROR(ROUND(V18/J18,4),0)),IFERROR(ROUND(V18/J18,4),0))</f>
        <v>0</v>
      </c>
      <c r="AI18" s="132">
        <f>IFERROR(IF(VLOOKUP($B18,Shortage!$A:$M,AI$2,FALSE)="Shortage",1,IFERROR(ROUND(W18/K18,4),0)),IFERROR(ROUND(W18/K18,4),0))</f>
        <v>0</v>
      </c>
      <c r="AJ18" s="132">
        <f>IFERROR(IF(VLOOKUP($B18,Shortage!$A:$M,AJ$2,FALSE)="Shortage",1,IFERROR(ROUND(X18/L18,4),0)),IFERROR(ROUND(X18/L18,4),0))</f>
        <v>0</v>
      </c>
      <c r="AK18" s="132">
        <f>IFERROR(IF(VLOOKUP($B18,Shortage!$A:$M,AK$2,FALSE)="Shortage",1,IFERROR(ROUND(Y18/M18,4),0)),IFERROR(ROUND(Y18/M18,4),0))</f>
        <v>0</v>
      </c>
      <c r="AL18" s="132">
        <f>IFERROR(IF(VLOOKUP($B18,Shortage!$A:$M,AL$2,FALSE)="Shortage",1,IFERROR(ROUND(Z18/N18,4),0)),IFERROR(ROUND(Z18/N18,4),0))</f>
        <v>0</v>
      </c>
      <c r="AM18" s="132">
        <f>IFERROR(IF(VLOOKUP($B18,Shortage!$A:$M,AM$2,FALSE)="Shortage",1,IFERROR(ROUND(AA18/O18,4),0)),IFERROR(ROUND(AA18/O18,4),0))</f>
        <v>0</v>
      </c>
      <c r="AN18" s="186">
        <f>IFERROR(_xlfn.XLOOKUP(AB18,'2) หลักการคำนวน Table'!$C$3:$K$3,'2) หลักการคำนวน Table'!$C$3:$K$3,,1),INDEX('2) หลักการคำนวน Table'!$C$3:$K$3,1))</f>
        <v>0.9</v>
      </c>
      <c r="AO18" s="186">
        <f>IFERROR(
  _xlfn.XLOOKUP(AC18,'2) หลักการคำนวน Table'!$C$3:$K$3,'2) หลักการคำนวน Table'!$C$3:$K$3,,1),
  IF(AC18&lt;MIN('2) หลักการคำนวน Table'!$C$3:$K$3),
     MIN('2) หลักการคำนวน Table'!$C$3:$K$3),
     MAX('2) หลักการคำนวน Table'!$C$3:$K$3)
  )
)</f>
        <v>0.9</v>
      </c>
      <c r="AP18" s="186">
        <f>IFERROR(
  _xlfn.XLOOKUP(AD18,'2) หลักการคำนวน Table'!$C$3:$K$3,'2) หลักการคำนวน Table'!$C$3:$K$3,,1),
  IF(AD18&lt;MIN('2) หลักการคำนวน Table'!$C$3:$K$3),
     MIN('2) หลักการคำนวน Table'!$C$3:$K$3),
     MAX('2) หลักการคำนวน Table'!$C$3:$K$3)
  )
)</f>
        <v>0.9</v>
      </c>
      <c r="AQ18" s="186">
        <f>IFERROR(
  _xlfn.XLOOKUP(AE18,'2) หลักการคำนวน Table'!$C$3:$K$3,'2) หลักการคำนวน Table'!$C$3:$K$3,,1),
  IF(AE18&lt;MIN('2) หลักการคำนวน Table'!$C$3:$K$3),
     MIN('2) หลักการคำนวน Table'!$C$3:$K$3),
     MAX('2) หลักการคำนวน Table'!$C$3:$K$3)
  )
)</f>
        <v>0.9</v>
      </c>
      <c r="AR18" s="186">
        <f>IFERROR(
  _xlfn.XLOOKUP(AF18,'2) หลักการคำนวน Table'!$C$3:$K$3,'2) หลักการคำนวน Table'!$C$3:$K$3,,1),
  IF(AF18&lt;MIN('2) หลักการคำนวน Table'!$C$3:$K$3),
     MIN('2) หลักการคำนวน Table'!$C$3:$K$3),
     MAX('2) หลักการคำนวน Table'!$C$3:$K$3)
  )
)</f>
        <v>0.9</v>
      </c>
      <c r="AS18" s="186">
        <f>IFERROR(
  _xlfn.XLOOKUP(AG18,'2) หลักการคำนวน Table'!$C$3:$K$3,'2) หลักการคำนวน Table'!$C$3:$K$3,,1),
  IF(AG18&lt;MIN('2) หลักการคำนวน Table'!$C$3:$K$3),
     MIN('2) หลักการคำนวน Table'!$C$3:$K$3),
     MAX('2) หลักการคำนวน Table'!$C$3:$K$3)
  )
)</f>
        <v>0.9</v>
      </c>
      <c r="AT18" s="186">
        <f>IFERROR(
  _xlfn.XLOOKUP(AH18,'2) หลักการคำนวน Table'!$C$3:$K$3,'2) หลักการคำนวน Table'!$C$3:$K$3,,1),
  IF(AH18&lt;MIN('2) หลักการคำนวน Table'!$C$3:$K$3),
     MIN('2) หลักการคำนวน Table'!$C$3:$K$3),
     MAX('2) หลักการคำนวน Table'!$C$3:$K$3)
  )
)</f>
        <v>0.9</v>
      </c>
      <c r="AU18" s="186">
        <f>IFERROR(
  _xlfn.XLOOKUP(AI18,'2) หลักการคำนวน Table'!$C$3:$K$3,'2) หลักการคำนวน Table'!$C$3:$K$3,,1),
  IF(AI18&lt;MIN('2) หลักการคำนวน Table'!$C$3:$K$3),
     MIN('2) หลักการคำนวน Table'!$C$3:$K$3),
     MAX('2) หลักการคำนวน Table'!$C$3:$K$3)
  )
)</f>
        <v>0.9</v>
      </c>
      <c r="AV18" s="186">
        <f>IFERROR(
  _xlfn.XLOOKUP(AJ18,'2) หลักการคำนวน Table'!$C$3:$K$3,'2) หลักการคำนวน Table'!$C$3:$K$3,,1),
  IF(AJ18&lt;MIN('2) หลักการคำนวน Table'!$C$3:$K$3),
     MIN('2) หลักการคำนวน Table'!$C$3:$K$3),
     MAX('2) หลักการคำนวน Table'!$C$3:$K$3)
  )
)</f>
        <v>0.9</v>
      </c>
      <c r="AW18" s="186">
        <f>IFERROR(
  _xlfn.XLOOKUP(AK18,'2) หลักการคำนวน Table'!$C$3:$K$3,'2) หลักการคำนวน Table'!$C$3:$K$3,,1),
  IF(AK18&lt;MIN('2) หลักการคำนวน Table'!$C$3:$K$3),
     MIN('2) หลักการคำนวน Table'!$C$3:$K$3),
     MAX('2) หลักการคำนวน Table'!$C$3:$K$3)
  )
)</f>
        <v>0.9</v>
      </c>
      <c r="AX18" s="186">
        <f>IFERROR(
  _xlfn.XLOOKUP(AL18,'2) หลักการคำนวน Table'!$C$3:$K$3,'2) หลักการคำนวน Table'!$C$3:$K$3,,1),
  IF(AL18&lt;MIN('2) หลักการคำนวน Table'!$C$3:$K$3),
     MIN('2) หลักการคำนวน Table'!$C$3:$K$3),
     MAX('2) หลักการคำนวน Table'!$C$3:$K$3)
  )
)</f>
        <v>0.9</v>
      </c>
      <c r="AY18" s="186">
        <f>IFERROR(
  _xlfn.XLOOKUP(AM18,'2) หลักการคำนวน Table'!$C$3:$K$3,'2) หลักการคำนวน Table'!$C$3:$K$3,,1),
  IF(AM18&lt;MIN('2) หลักการคำนวน Table'!$C$3:$K$3),
     MIN('2) หลักการคำนวน Table'!$C$3:$K$3),
     MAX('2) หลักการคำนวน Table'!$C$3:$K$3)
  )
)</f>
        <v>0.9</v>
      </c>
      <c r="AZ18" s="135" t="e" cm="1">
        <f t="array" ref="AZ18">(_xlfn.XLOOKUP($C18,'2) หลักการคำนวน Table'!$A$4:$A$36,
_xlfn.XLOOKUP(AN18,'2)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A18" s="135" t="e" cm="1">
        <f t="array" ref="BA18">(_xlfn.XLOOKUP($C18,'2) หลักการคำนวน Table'!$A$4:$A$36,
_xlfn.XLOOKUP(AO18,'2)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B18" s="135" t="e" cm="1">
        <f t="array" ref="BB18">(_xlfn.XLOOKUP($C18,'2) หลักการคำนวน Table'!$A$4:$A$36,
_xlfn.XLOOKUP(AP18,'2)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C18" s="135" t="e" cm="1">
        <f t="array" ref="BC18">(_xlfn.XLOOKUP($C18,'2) หลักการคำนวน Table'!$A$4:$A$36,
_xlfn.XLOOKUP(AQ18,'2)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D18" s="135" t="e" cm="1">
        <f t="array" ref="BD18">(_xlfn.XLOOKUP($C18,'2) หลักการคำนวน Table'!$A$4:$A$36,
_xlfn.XLOOKUP(AR18,'2)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E18" s="135" t="e" cm="1">
        <f t="array" ref="BE18">(_xlfn.XLOOKUP($C18,'2) หลักการคำนวน Table'!$A$4:$A$36,
_xlfn.XLOOKUP(AS18,'2)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F18" s="135" t="e" cm="1">
        <f t="array" ref="BF18">(_xlfn.XLOOKUP($C18,'2) หลักการคำนวน Table'!$A$4:$A$36,
_xlfn.XLOOKUP(AT18,'2)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G18" s="135" t="e" cm="1">
        <f t="array" ref="BG18">(_xlfn.XLOOKUP($C18,'2) หลักการคำนวน Table'!$A$4:$A$36,
_xlfn.XLOOKUP(AU18,'2)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H18" s="135" t="e" cm="1">
        <f t="array" ref="BH18">ROUND((_xlfn.XLOOKUP($C18,'2) หลักการคำนวน Table'!$A$4:$A$36,
_xlfn.XLOOKUP(AV18,'2)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I18" s="135" t="e" cm="1">
        <f t="array" ref="BI18">ROUND((_xlfn.XLOOKUP($C18,'2) หลักการคำนวน Table'!$A$4:$A$36,
_xlfn.XLOOKUP(AW18,'2)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J18" s="135" t="e" cm="1">
        <f t="array" ref="BJ18">ROUND((_xlfn.XLOOKUP($C18,'2) หลักการคำนวน Table'!$A$4:$A$36,
_xlfn.XLOOKUP(AX18,'2)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K18" s="135" t="e" cm="1">
        <f t="array" ref="BK18">ROUND((_xlfn.XLOOKUP($C18,'2) หลักการคำนวน Table'!$A$4:$A$36,
_xlfn.XLOOKUP(AY18,'2)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L18" s="239"/>
      <c r="BM18" s="126">
        <v>222208</v>
      </c>
      <c r="BN18" s="245">
        <v>45</v>
      </c>
    </row>
    <row r="19" spans="1:66" ht="13.2" customHeight="1" x14ac:dyDescent="0.25">
      <c r="A19" s="233">
        <f>VLOOKUP(C19,ASTBase!F:S,12,FALSE)</f>
        <v>222234</v>
      </c>
      <c r="B19" s="234" t="s">
        <v>405</v>
      </c>
      <c r="C19" s="233">
        <v>222238</v>
      </c>
      <c r="D19" s="235">
        <f>SUMIFS('3)Target &amp; Cal_Staff'!D$4:D$164,'3)Target &amp; Cal_Staff'!$B$4:$B$164,'3)Target &amp; Cal_Sect'!$B19,'3)Target &amp; Cal_Staff'!$A$4:$A$164,'3)Target &amp; Cal_Sect'!$C19)</f>
        <v>348100</v>
      </c>
      <c r="E19" s="235">
        <f>SUMIFS('3)Target &amp; Cal_Staff'!E$4:E$164,'3)Target &amp; Cal_Staff'!$B$4:$B$164,'3)Target &amp; Cal_Sect'!$B19,'3)Target &amp; Cal_Staff'!$A$4:$A$164,'3)Target &amp; Cal_Sect'!$C19)</f>
        <v>348900</v>
      </c>
      <c r="F19" s="235">
        <f>SUMIFS('3)Target &amp; Cal_Staff'!F$4:F$164,'3)Target &amp; Cal_Staff'!$B$4:$B$164,'3)Target &amp; Cal_Sect'!$B19,'3)Target &amp; Cal_Staff'!$A$4:$A$164,'3)Target &amp; Cal_Sect'!$C19)</f>
        <v>343200</v>
      </c>
      <c r="G19" s="235">
        <f>SUMIFS('3)Target &amp; Cal_Staff'!G$4:G$164,'3)Target &amp; Cal_Staff'!$B$4:$B$164,'3)Target &amp; Cal_Sect'!$B19,'3)Target &amp; Cal_Staff'!$A$4:$A$164,'3)Target &amp; Cal_Sect'!$C19)</f>
        <v>339400</v>
      </c>
      <c r="H19" s="235">
        <f>SUMIFS('3)Target &amp; Cal_Staff'!H$4:H$164,'3)Target &amp; Cal_Staff'!$B$4:$B$164,'3)Target &amp; Cal_Sect'!$B19,'3)Target &amp; Cal_Staff'!$A$4:$A$164,'3)Target &amp; Cal_Sect'!$C19)</f>
        <v>362063.74</v>
      </c>
      <c r="I19" s="235">
        <f>SUMIFS('3)Target &amp; Cal_Staff'!I$4:I$164,'3)Target &amp; Cal_Staff'!$B$4:$B$164,'3)Target &amp; Cal_Sect'!$B19,'3)Target &amp; Cal_Staff'!$A$4:$A$164,'3)Target &amp; Cal_Sect'!$C19)</f>
        <v>369542</v>
      </c>
      <c r="J19" s="235">
        <f>SUMIFS('3)Target &amp; Cal_Staff'!J$4:J$164,'3)Target &amp; Cal_Staff'!$B$4:$B$164,'3)Target &amp; Cal_Sect'!$B19,'3)Target &amp; Cal_Staff'!$A$4:$A$164,'3)Target &amp; Cal_Sect'!$C19)</f>
        <v>372189</v>
      </c>
      <c r="K19" s="235">
        <f>SUMIFS('3)Target &amp; Cal_Staff'!K$4:K$164,'3)Target &amp; Cal_Staff'!$B$4:$B$164,'3)Target &amp; Cal_Sect'!$B19,'3)Target &amp; Cal_Staff'!$A$4:$A$164,'3)Target &amp; Cal_Sect'!$C19)</f>
        <v>313166.66666666698</v>
      </c>
      <c r="L19" s="235">
        <f>SUMIFS('3)Target &amp; Cal_Staff'!L$4:L$164,'3)Target &amp; Cal_Staff'!$B$4:$B$164,'3)Target &amp; Cal_Sect'!$B19,'3)Target &amp; Cal_Staff'!$A$4:$A$164,'3)Target &amp; Cal_Sect'!$C19)</f>
        <v>334233</v>
      </c>
      <c r="M19" s="235">
        <f>SUMIFS('3)Target &amp; Cal_Staff'!M$4:M$164,'3)Target &amp; Cal_Staff'!$B$4:$B$164,'3)Target &amp; Cal_Sect'!$B19,'3)Target &amp; Cal_Staff'!$A$4:$A$164,'3)Target &amp; Cal_Sect'!$C19)</f>
        <v>356166.66666666698</v>
      </c>
      <c r="N19" s="235">
        <f>SUMIFS('3)Target &amp; Cal_Staff'!N$4:N$164,'3)Target &amp; Cal_Staff'!$B$4:$B$164,'3)Target &amp; Cal_Sect'!$B19,'3)Target &amp; Cal_Staff'!$A$4:$A$164,'3)Target &amp; Cal_Sect'!$C19)</f>
        <v>309166.66666666698</v>
      </c>
      <c r="O19" s="235">
        <f>SUMIFS('3)Target &amp; Cal_Staff'!O$4:O$164,'3)Target &amp; Cal_Staff'!$B$4:$B$164,'3)Target &amp; Cal_Sect'!$B19,'3)Target &amp; Cal_Staff'!$A$4:$A$164,'3)Target &amp; Cal_Sect'!$C19)</f>
        <v>353872</v>
      </c>
      <c r="P19" s="235">
        <f>SUMIFS('3)Target &amp; Cal_Staff'!P$4:P$164,'3)Target &amp; Cal_Staff'!$B$4:$B$164,'3)Target &amp; Cal_Sect'!$B19,'3)Target &amp; Cal_Staff'!$A$4:$A$164,'3)Target &amp; Cal_Sect'!$C19)</f>
        <v>323735.36000000022</v>
      </c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6">
        <f>IFERROR(IF(VLOOKUP($B19,Shortage!$A:$M,AB$2,FALSE)="Shortage",1,IFERROR(ROUND(P19/D19,4),0)),IFERROR(ROUND(P19/D19,4),0))</f>
        <v>1</v>
      </c>
      <c r="AC19" s="236">
        <f>IFERROR(IF(VLOOKUP($B19,Shortage!$A:$M,AC$2,FALSE)="Shortage",1,IFERROR(ROUND(Q19/E19,4),0)),IFERROR(ROUND(Q19/E19,4),0))</f>
        <v>0</v>
      </c>
      <c r="AD19" s="236">
        <f>IFERROR(IF(VLOOKUP($B19,Shortage!$A:$M,AD$2,FALSE)="Shortage",1,IFERROR(ROUND(R19/F19,4),0)),IFERROR(ROUND(R19/F19,4),0))</f>
        <v>0</v>
      </c>
      <c r="AE19" s="236">
        <f>IFERROR(IF(VLOOKUP($B19,Shortage!$A:$M,AE$2,FALSE)="Shortage",1,IFERROR(ROUND(S19/G19,4),0)),IFERROR(ROUND(S19/G19,4),0))</f>
        <v>0</v>
      </c>
      <c r="AF19" s="236">
        <f>IFERROR(IF(VLOOKUP($B19,Shortage!$A:$M,AF$2,FALSE)="Shortage",1,IFERROR(ROUND(T19/H19,4),0)),IFERROR(ROUND(T19/H19,4),0))</f>
        <v>0</v>
      </c>
      <c r="AG19" s="236">
        <f>IFERROR(IF(VLOOKUP($B19,Shortage!$A:$M,AG$2,FALSE)="Shortage",1,IFERROR(ROUND(U19/I19,4),0)),IFERROR(ROUND(U19/I19,4),0))</f>
        <v>0</v>
      </c>
      <c r="AH19" s="236">
        <f>IFERROR(IF(VLOOKUP($B19,Shortage!$A:$M,AH$2,FALSE)="Shortage",1,IFERROR(ROUND(V19/J19,4),0)),IFERROR(ROUND(V19/J19,4),0))</f>
        <v>0</v>
      </c>
      <c r="AI19" s="236">
        <f>IFERROR(IF(VLOOKUP($B19,Shortage!$A:$M,AI$2,FALSE)="Shortage",1,IFERROR(ROUND(W19/K19,4),0)),IFERROR(ROUND(W19/K19,4),0))</f>
        <v>0</v>
      </c>
      <c r="AJ19" s="236">
        <f>IFERROR(IF(VLOOKUP($B19,Shortage!$A:$M,AJ$2,FALSE)="Shortage",1,IFERROR(ROUND(X19/L19,4),0)),IFERROR(ROUND(X19/L19,4),0))</f>
        <v>0</v>
      </c>
      <c r="AK19" s="236">
        <f>IFERROR(IF(VLOOKUP($B19,Shortage!$A:$M,AK$2,FALSE)="Shortage",1,IFERROR(ROUND(Y19/M19,4),0)),IFERROR(ROUND(Y19/M19,4),0))</f>
        <v>0</v>
      </c>
      <c r="AL19" s="236">
        <f>IFERROR(IF(VLOOKUP($B19,Shortage!$A:$M,AL$2,FALSE)="Shortage",1,IFERROR(ROUND(Z19/N19,4),0)),IFERROR(ROUND(Z19/N19,4),0))</f>
        <v>0</v>
      </c>
      <c r="AM19" s="236">
        <f>IFERROR(IF(VLOOKUP($B19,Shortage!$A:$M,AM$2,FALSE)="Shortage",1,IFERROR(ROUND(AA19/O19,4),0)),IFERROR(ROUND(AA19/O19,4),0))</f>
        <v>0</v>
      </c>
      <c r="AN19" s="237">
        <f>IFERROR(_xlfn.XLOOKUP(AB19,'2) หลักการคำนวน Table'!$C$3:$K$3,'2) หลักการคำนวน Table'!$C$3:$K$3,,1),INDEX('2) หลักการคำนวน Table'!$C$3:$K$3,1))</f>
        <v>1</v>
      </c>
      <c r="AO19" s="237">
        <f>IFERROR(
  _xlfn.XLOOKUP(AC19,'2) หลักการคำนวน Table'!$C$3:$K$3,'2) หลักการคำนวน Table'!$C$3:$K$3,,1),
  IF(AC19&lt;MIN('2) หลักการคำนวน Table'!$C$3:$K$3),
     MIN('2) หลักการคำนวน Table'!$C$3:$K$3),
     MAX('2) หลักการคำนวน Table'!$C$3:$K$3)
  )
)</f>
        <v>0.9</v>
      </c>
      <c r="AP19" s="237">
        <f>IFERROR(
  _xlfn.XLOOKUP(AD19,'2) หลักการคำนวน Table'!$C$3:$K$3,'2) หลักการคำนวน Table'!$C$3:$K$3,,1),
  IF(AD19&lt;MIN('2) หลักการคำนวน Table'!$C$3:$K$3),
     MIN('2) หลักการคำนวน Table'!$C$3:$K$3),
     MAX('2) หลักการคำนวน Table'!$C$3:$K$3)
  )
)</f>
        <v>0.9</v>
      </c>
      <c r="AQ19" s="237">
        <f>IFERROR(
  _xlfn.XLOOKUP(AE19,'2) หลักการคำนวน Table'!$C$3:$K$3,'2) หลักการคำนวน Table'!$C$3:$K$3,,1),
  IF(AE19&lt;MIN('2) หลักการคำนวน Table'!$C$3:$K$3),
     MIN('2) หลักการคำนวน Table'!$C$3:$K$3),
     MAX('2) หลักการคำนวน Table'!$C$3:$K$3)
  )
)</f>
        <v>0.9</v>
      </c>
      <c r="AR19" s="237">
        <f>IFERROR(
  _xlfn.XLOOKUP(AF19,'2) หลักการคำนวน Table'!$C$3:$K$3,'2) หลักการคำนวน Table'!$C$3:$K$3,,1),
  IF(AF19&lt;MIN('2) หลักการคำนวน Table'!$C$3:$K$3),
     MIN('2) หลักการคำนวน Table'!$C$3:$K$3),
     MAX('2) หลักการคำนวน Table'!$C$3:$K$3)
  )
)</f>
        <v>0.9</v>
      </c>
      <c r="AS19" s="237">
        <f>IFERROR(
  _xlfn.XLOOKUP(AG19,'2) หลักการคำนวน Table'!$C$3:$K$3,'2) หลักการคำนวน Table'!$C$3:$K$3,,1),
  IF(AG19&lt;MIN('2) หลักการคำนวน Table'!$C$3:$K$3),
     MIN('2) หลักการคำนวน Table'!$C$3:$K$3),
     MAX('2) หลักการคำนวน Table'!$C$3:$K$3)
  )
)</f>
        <v>0.9</v>
      </c>
      <c r="AT19" s="237">
        <f>IFERROR(
  _xlfn.XLOOKUP(AH19,'2) หลักการคำนวน Table'!$C$3:$K$3,'2) หลักการคำนวน Table'!$C$3:$K$3,,1),
  IF(AH19&lt;MIN('2) หลักการคำนวน Table'!$C$3:$K$3),
     MIN('2) หลักการคำนวน Table'!$C$3:$K$3),
     MAX('2) หลักการคำนวน Table'!$C$3:$K$3)
  )
)</f>
        <v>0.9</v>
      </c>
      <c r="AU19" s="237">
        <f>IFERROR(
  _xlfn.XLOOKUP(AI19,'2) หลักการคำนวน Table'!$C$3:$K$3,'2) หลักการคำนวน Table'!$C$3:$K$3,,1),
  IF(AI19&lt;MIN('2) หลักการคำนวน Table'!$C$3:$K$3),
     MIN('2) หลักการคำนวน Table'!$C$3:$K$3),
     MAX('2) หลักการคำนวน Table'!$C$3:$K$3)
  )
)</f>
        <v>0.9</v>
      </c>
      <c r="AV19" s="237">
        <f>IFERROR(
  _xlfn.XLOOKUP(AJ19,'2) หลักการคำนวน Table'!$C$3:$K$3,'2) หลักการคำนวน Table'!$C$3:$K$3,,1),
  IF(AJ19&lt;MIN('2) หลักการคำนวน Table'!$C$3:$K$3),
     MIN('2) หลักการคำนวน Table'!$C$3:$K$3),
     MAX('2) หลักการคำนวน Table'!$C$3:$K$3)
  )
)</f>
        <v>0.9</v>
      </c>
      <c r="AW19" s="237">
        <f>IFERROR(
  _xlfn.XLOOKUP(AK19,'2) หลักการคำนวน Table'!$C$3:$K$3,'2) หลักการคำนวน Table'!$C$3:$K$3,,1),
  IF(AK19&lt;MIN('2) หลักการคำนวน Table'!$C$3:$K$3),
     MIN('2) หลักการคำนวน Table'!$C$3:$K$3),
     MAX('2) หลักการคำนวน Table'!$C$3:$K$3)
  )
)</f>
        <v>0.9</v>
      </c>
      <c r="AX19" s="237">
        <f>IFERROR(
  _xlfn.XLOOKUP(AL19,'2) หลักการคำนวน Table'!$C$3:$K$3,'2) หลักการคำนวน Table'!$C$3:$K$3,,1),
  IF(AL19&lt;MIN('2) หลักการคำนวน Table'!$C$3:$K$3),
     MIN('2) หลักการคำนวน Table'!$C$3:$K$3),
     MAX('2) หลักการคำนวน Table'!$C$3:$K$3)
  )
)</f>
        <v>0.9</v>
      </c>
      <c r="AY19" s="237">
        <f>IFERROR(
  _xlfn.XLOOKUP(AM19,'2) หลักการคำนวน Table'!$C$3:$K$3,'2) หลักการคำนวน Table'!$C$3:$K$3,,1),
  IF(AM19&lt;MIN('2) หลักการคำนวน Table'!$C$3:$K$3),
     MIN('2) หลักการคำนวน Table'!$C$3:$K$3),
     MAX('2) หลักการคำนวน Table'!$C$3:$K$3)
  )
)</f>
        <v>0.9</v>
      </c>
      <c r="AZ19" s="238" t="e" cm="1">
        <f t="array" ref="AZ19">(_xlfn.XLOOKUP($C19,'2) หลักการคำนวน Table'!$A$4:$A$36,
_xlfn.XLOOKUP(AN19,'2)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</f>
        <v>#N/A</v>
      </c>
      <c r="BA19" s="238" t="e" cm="1">
        <f t="array" ref="BA19">(_xlfn.XLOOKUP($C19,'2) หลักการคำนวน Table'!$A$4:$A$36,
_xlfn.XLOOKUP(AO19,'2)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</f>
        <v>#N/A</v>
      </c>
      <c r="BB19" s="238" t="e" cm="1">
        <f t="array" ref="BB19">(_xlfn.XLOOKUP($C19,'2) หลักการคำนวน Table'!$A$4:$A$36,
_xlfn.XLOOKUP(AP19,'2)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</f>
        <v>#N/A</v>
      </c>
      <c r="BC19" s="238" t="e" cm="1">
        <f t="array" ref="BC19">(_xlfn.XLOOKUP($C19,'2) หลักการคำนวน Table'!$A$4:$A$36,
_xlfn.XLOOKUP(AQ19,'2)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</f>
        <v>#N/A</v>
      </c>
      <c r="BD19" s="238" t="e" cm="1">
        <f t="array" ref="BD19">(_xlfn.XLOOKUP($C19,'2) หลักการคำนวน Table'!$A$4:$A$36,
_xlfn.XLOOKUP(AR19,'2)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</f>
        <v>#N/A</v>
      </c>
      <c r="BE19" s="238" t="e" cm="1">
        <f t="array" ref="BE19">(_xlfn.XLOOKUP($C19,'2) หลักการคำนวน Table'!$A$4:$A$36,
_xlfn.XLOOKUP(AS19,'2)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</f>
        <v>#N/A</v>
      </c>
      <c r="BF19" s="238" t="e" cm="1">
        <f t="array" ref="BF19">(_xlfn.XLOOKUP($C19,'2) หลักการคำนวน Table'!$A$4:$A$36,
_xlfn.XLOOKUP(AT19,'2)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</f>
        <v>#N/A</v>
      </c>
      <c r="BG19" s="238" t="e" cm="1">
        <f t="array" ref="BG19">(_xlfn.XLOOKUP($C19,'2) หลักการคำนวน Table'!$A$4:$A$36,
_xlfn.XLOOKUP(AU19,'2)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</f>
        <v>#N/A</v>
      </c>
      <c r="BH19" s="238" t="e" cm="1">
        <f t="array" ref="BH19">ROUND((_xlfn.XLOOKUP($C19,'2) หลักการคำนวน Table'!$A$4:$A$36,
_xlfn.XLOOKUP(AV19,'2)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I19" s="238" t="e" cm="1">
        <f t="array" ref="BI19">ROUND((_xlfn.XLOOKUP($C19,'2) หลักการคำนวน Table'!$A$4:$A$36,
_xlfn.XLOOKUP(AW19,'2)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J19" s="238" t="e" cm="1">
        <f t="array" ref="BJ19">ROUND((_xlfn.XLOOKUP($C19,'2) หลักการคำนวน Table'!$A$4:$A$36,
_xlfn.XLOOKUP(AX19,'2)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K19" s="238" t="e" cm="1">
        <f t="array" ref="BK19">ROUND((_xlfn.XLOOKUP($C19,'2) หลักการคำนวน Table'!$A$4:$A$36,
_xlfn.XLOOKUP(AY19,'2)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L19" s="234"/>
      <c r="BM19" s="234">
        <v>222238</v>
      </c>
      <c r="BN19" s="313">
        <v>151.5151515151515</v>
      </c>
    </row>
    <row r="20" spans="1:66" ht="13.2" customHeight="1" x14ac:dyDescent="0.25">
      <c r="A20" s="233">
        <f>VLOOKUP(C20,ASTBase!F:S,12,FALSE)</f>
        <v>222234</v>
      </c>
      <c r="B20" s="234" t="s">
        <v>408</v>
      </c>
      <c r="C20" s="233">
        <v>222238</v>
      </c>
      <c r="D20" s="235">
        <f>SUMIFS('3)Target &amp; Cal_Staff'!D$4:D$164,'3)Target &amp; Cal_Staff'!$B$4:$B$164,'3)Target &amp; Cal_Sect'!$B20,'3)Target &amp; Cal_Staff'!$A$4:$A$164,'3)Target &amp; Cal_Sect'!$C20)</f>
        <v>50000</v>
      </c>
      <c r="E20" s="235">
        <f>SUMIFS('3)Target &amp; Cal_Staff'!E$4:E$164,'3)Target &amp; Cal_Staff'!$B$4:$B$164,'3)Target &amp; Cal_Sect'!$B20,'3)Target &amp; Cal_Staff'!$A$4:$A$164,'3)Target &amp; Cal_Sect'!$C20)</f>
        <v>48000</v>
      </c>
      <c r="F20" s="235">
        <f>SUMIFS('3)Target &amp; Cal_Staff'!F$4:F$164,'3)Target &amp; Cal_Staff'!$B$4:$B$164,'3)Target &amp; Cal_Sect'!$B20,'3)Target &amp; Cal_Staff'!$A$4:$A$164,'3)Target &amp; Cal_Sect'!$C20)</f>
        <v>48000</v>
      </c>
      <c r="G20" s="235">
        <f>SUMIFS('3)Target &amp; Cal_Staff'!G$4:G$164,'3)Target &amp; Cal_Staff'!$B$4:$B$164,'3)Target &amp; Cal_Sect'!$B20,'3)Target &amp; Cal_Staff'!$A$4:$A$164,'3)Target &amp; Cal_Sect'!$C20)</f>
        <v>49000</v>
      </c>
      <c r="H20" s="235">
        <f>SUMIFS('3)Target &amp; Cal_Staff'!H$4:H$164,'3)Target &amp; Cal_Staff'!$B$4:$B$164,'3)Target &amp; Cal_Sect'!$B20,'3)Target &amp; Cal_Staff'!$A$4:$A$164,'3)Target &amp; Cal_Sect'!$C20)</f>
        <v>53417</v>
      </c>
      <c r="I20" s="235">
        <f>SUMIFS('3)Target &amp; Cal_Staff'!I$4:I$164,'3)Target &amp; Cal_Staff'!$B$4:$B$164,'3)Target &amp; Cal_Sect'!$B20,'3)Target &amp; Cal_Staff'!$A$4:$A$164,'3)Target &amp; Cal_Sect'!$C20)</f>
        <v>49717</v>
      </c>
      <c r="J20" s="235">
        <f>SUMIFS('3)Target &amp; Cal_Staff'!J$4:J$164,'3)Target &amp; Cal_Staff'!$B$4:$B$164,'3)Target &amp; Cal_Sect'!$B20,'3)Target &amp; Cal_Staff'!$A$4:$A$164,'3)Target &amp; Cal_Sect'!$C20)</f>
        <v>52416</v>
      </c>
      <c r="K20" s="235">
        <f>SUMIFS('3)Target &amp; Cal_Staff'!K$4:K$164,'3)Target &amp; Cal_Staff'!$B$4:$B$164,'3)Target &amp; Cal_Sect'!$B20,'3)Target &amp; Cal_Staff'!$A$4:$A$164,'3)Target &amp; Cal_Sect'!$C20)</f>
        <v>50327</v>
      </c>
      <c r="L20" s="235">
        <f>SUMIFS('3)Target &amp; Cal_Staff'!L$4:L$164,'3)Target &amp; Cal_Staff'!$B$4:$B$164,'3)Target &amp; Cal_Sect'!$B20,'3)Target &amp; Cal_Staff'!$A$4:$A$164,'3)Target &amp; Cal_Sect'!$C20)</f>
        <v>50417</v>
      </c>
      <c r="M20" s="235">
        <f>SUMIFS('3)Target &amp; Cal_Staff'!M$4:M$164,'3)Target &amp; Cal_Staff'!$B$4:$B$164,'3)Target &amp; Cal_Sect'!$B20,'3)Target &amp; Cal_Staff'!$A$4:$A$164,'3)Target &amp; Cal_Sect'!$C20)</f>
        <v>49776</v>
      </c>
      <c r="N20" s="235">
        <f>SUMIFS('3)Target &amp; Cal_Staff'!N$4:N$164,'3)Target &amp; Cal_Staff'!$B$4:$B$164,'3)Target &amp; Cal_Sect'!$B20,'3)Target &amp; Cal_Staff'!$A$4:$A$164,'3)Target &amp; Cal_Sect'!$C20)</f>
        <v>45513</v>
      </c>
      <c r="O20" s="235">
        <f>SUMIFS('3)Target &amp; Cal_Staff'!O$4:O$164,'3)Target &amp; Cal_Staff'!$B$4:$B$164,'3)Target &amp; Cal_Sect'!$B20,'3)Target &amp; Cal_Staff'!$A$4:$A$164,'3)Target &amp; Cal_Sect'!$C20)</f>
        <v>53416</v>
      </c>
      <c r="P20" s="235">
        <f>SUMIFS('3)Target &amp; Cal_Staff'!P$4:P$164,'3)Target &amp; Cal_Staff'!$B$4:$B$164,'3)Target &amp; Cal_Sect'!$B20,'3)Target &amp; Cal_Staff'!$A$4:$A$164,'3)Target &amp; Cal_Sect'!$C20)</f>
        <v>53784.299999999967</v>
      </c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6">
        <f>IFERROR(IF(VLOOKUP($B20,Shortage!$A:$M,AB$2,FALSE)="Shortage",1,IFERROR(ROUND(P20/D20,4),0)),IFERROR(ROUND(P20/D20,4),0))</f>
        <v>1.0757000000000001</v>
      </c>
      <c r="AC20" s="236">
        <f>IFERROR(IF(VLOOKUP($B20,Shortage!$A:$M,AC$2,FALSE)="Shortage",1,IFERROR(ROUND(Q20/E20,4),0)),IFERROR(ROUND(Q20/E20,4),0))</f>
        <v>0</v>
      </c>
      <c r="AD20" s="236">
        <f>IFERROR(IF(VLOOKUP($B20,Shortage!$A:$M,AD$2,FALSE)="Shortage",1,IFERROR(ROUND(R20/F20,4),0)),IFERROR(ROUND(R20/F20,4),0))</f>
        <v>0</v>
      </c>
      <c r="AE20" s="236">
        <f>IFERROR(IF(VLOOKUP($B20,Shortage!$A:$M,AE$2,FALSE)="Shortage",1,IFERROR(ROUND(S20/G20,4),0)),IFERROR(ROUND(S20/G20,4),0))</f>
        <v>0</v>
      </c>
      <c r="AF20" s="236">
        <f>IFERROR(IF(VLOOKUP($B20,Shortage!$A:$M,AF$2,FALSE)="Shortage",1,IFERROR(ROUND(T20/H20,4),0)),IFERROR(ROUND(T20/H20,4),0))</f>
        <v>0</v>
      </c>
      <c r="AG20" s="236">
        <f>IFERROR(IF(VLOOKUP($B20,Shortage!$A:$M,AG$2,FALSE)="Shortage",1,IFERROR(ROUND(U20/I20,4),0)),IFERROR(ROUND(U20/I20,4),0))</f>
        <v>0</v>
      </c>
      <c r="AH20" s="236">
        <f>IFERROR(IF(VLOOKUP($B20,Shortage!$A:$M,AH$2,FALSE)="Shortage",1,IFERROR(ROUND(V20/J20,4),0)),IFERROR(ROUND(V20/J20,4),0))</f>
        <v>0</v>
      </c>
      <c r="AI20" s="236">
        <f>IFERROR(IF(VLOOKUP($B20,Shortage!$A:$M,AI$2,FALSE)="Shortage",1,IFERROR(ROUND(W20/K20,4),0)),IFERROR(ROUND(W20/K20,4),0))</f>
        <v>0</v>
      </c>
      <c r="AJ20" s="236">
        <f>IFERROR(IF(VLOOKUP($B20,Shortage!$A:$M,AJ$2,FALSE)="Shortage",1,IFERROR(ROUND(X20/L20,4),0)),IFERROR(ROUND(X20/L20,4),0))</f>
        <v>0</v>
      </c>
      <c r="AK20" s="236">
        <f>IFERROR(IF(VLOOKUP($B20,Shortage!$A:$M,AK$2,FALSE)="Shortage",1,IFERROR(ROUND(Y20/M20,4),0)),IFERROR(ROUND(Y20/M20,4),0))</f>
        <v>0</v>
      </c>
      <c r="AL20" s="236">
        <f>IFERROR(IF(VLOOKUP($B20,Shortage!$A:$M,AL$2,FALSE)="Shortage",1,IFERROR(ROUND(Z20/N20,4),0)),IFERROR(ROUND(Z20/N20,4),0))</f>
        <v>0</v>
      </c>
      <c r="AM20" s="236">
        <f>IFERROR(IF(VLOOKUP($B20,Shortage!$A:$M,AM$2,FALSE)="Shortage",1,IFERROR(ROUND(AA20/O20,4),0)),IFERROR(ROUND(AA20/O20,4),0))</f>
        <v>0</v>
      </c>
      <c r="AN20" s="237">
        <f>IFERROR(_xlfn.XLOOKUP(AB20,'2) หลักการคำนวน Table'!$C$3:$K$3,'2) หลักการคำนวน Table'!$C$3:$K$3,,1),INDEX('2) หลักการคำนวน Table'!$C$3:$K$3,1))</f>
        <v>1.1000000000000001</v>
      </c>
      <c r="AO20" s="237">
        <f>IFERROR(
  _xlfn.XLOOKUP(AC20,'2) หลักการคำนวน Table'!$C$3:$K$3,'2) หลักการคำนวน Table'!$C$3:$K$3,,1),
  IF(AC20&lt;MIN('2) หลักการคำนวน Table'!$C$3:$K$3),
     MIN('2) หลักการคำนวน Table'!$C$3:$K$3),
     MAX('2) หลักการคำนวน Table'!$C$3:$K$3)
  )
)</f>
        <v>0.9</v>
      </c>
      <c r="AP20" s="237">
        <f>IFERROR(
  _xlfn.XLOOKUP(AD20,'2) หลักการคำนวน Table'!$C$3:$K$3,'2) หลักการคำนวน Table'!$C$3:$K$3,,1),
  IF(AD20&lt;MIN('2) หลักการคำนวน Table'!$C$3:$K$3),
     MIN('2) หลักการคำนวน Table'!$C$3:$K$3),
     MAX('2) หลักการคำนวน Table'!$C$3:$K$3)
  )
)</f>
        <v>0.9</v>
      </c>
      <c r="AQ20" s="237">
        <f>IFERROR(
  _xlfn.XLOOKUP(AE20,'2) หลักการคำนวน Table'!$C$3:$K$3,'2) หลักการคำนวน Table'!$C$3:$K$3,,1),
  IF(AE20&lt;MIN('2) หลักการคำนวน Table'!$C$3:$K$3),
     MIN('2) หลักการคำนวน Table'!$C$3:$K$3),
     MAX('2) หลักการคำนวน Table'!$C$3:$K$3)
  )
)</f>
        <v>0.9</v>
      </c>
      <c r="AR20" s="237">
        <f>IFERROR(
  _xlfn.XLOOKUP(AF20,'2) หลักการคำนวน Table'!$C$3:$K$3,'2) หลักการคำนวน Table'!$C$3:$K$3,,1),
  IF(AF20&lt;MIN('2) หลักการคำนวน Table'!$C$3:$K$3),
     MIN('2) หลักการคำนวน Table'!$C$3:$K$3),
     MAX('2) หลักการคำนวน Table'!$C$3:$K$3)
  )
)</f>
        <v>0.9</v>
      </c>
      <c r="AS20" s="237">
        <f>IFERROR(
  _xlfn.XLOOKUP(AG20,'2) หลักการคำนวน Table'!$C$3:$K$3,'2) หลักการคำนวน Table'!$C$3:$K$3,,1),
  IF(AG20&lt;MIN('2) หลักการคำนวน Table'!$C$3:$K$3),
     MIN('2) หลักการคำนวน Table'!$C$3:$K$3),
     MAX('2) หลักการคำนวน Table'!$C$3:$K$3)
  )
)</f>
        <v>0.9</v>
      </c>
      <c r="AT20" s="237">
        <f>IFERROR(
  _xlfn.XLOOKUP(AH20,'2) หลักการคำนวน Table'!$C$3:$K$3,'2) หลักการคำนวน Table'!$C$3:$K$3,,1),
  IF(AH20&lt;MIN('2) หลักการคำนวน Table'!$C$3:$K$3),
     MIN('2) หลักการคำนวน Table'!$C$3:$K$3),
     MAX('2) หลักการคำนวน Table'!$C$3:$K$3)
  )
)</f>
        <v>0.9</v>
      </c>
      <c r="AU20" s="237">
        <f>IFERROR(
  _xlfn.XLOOKUP(AI20,'2) หลักการคำนวน Table'!$C$3:$K$3,'2) หลักการคำนวน Table'!$C$3:$K$3,,1),
  IF(AI20&lt;MIN('2) หลักการคำนวน Table'!$C$3:$K$3),
     MIN('2) หลักการคำนวน Table'!$C$3:$K$3),
     MAX('2) หลักการคำนวน Table'!$C$3:$K$3)
  )
)</f>
        <v>0.9</v>
      </c>
      <c r="AV20" s="237">
        <f>IFERROR(
  _xlfn.XLOOKUP(AJ20,'2) หลักการคำนวน Table'!$C$3:$K$3,'2) หลักการคำนวน Table'!$C$3:$K$3,,1),
  IF(AJ20&lt;MIN('2) หลักการคำนวน Table'!$C$3:$K$3),
     MIN('2) หลักการคำนวน Table'!$C$3:$K$3),
     MAX('2) หลักการคำนวน Table'!$C$3:$K$3)
  )
)</f>
        <v>0.9</v>
      </c>
      <c r="AW20" s="237">
        <f>IFERROR(
  _xlfn.XLOOKUP(AK20,'2) หลักการคำนวน Table'!$C$3:$K$3,'2) หลักการคำนวน Table'!$C$3:$K$3,,1),
  IF(AK20&lt;MIN('2) หลักการคำนวน Table'!$C$3:$K$3),
     MIN('2) หลักการคำนวน Table'!$C$3:$K$3),
     MAX('2) หลักการคำนวน Table'!$C$3:$K$3)
  )
)</f>
        <v>0.9</v>
      </c>
      <c r="AX20" s="237">
        <f>IFERROR(
  _xlfn.XLOOKUP(AL20,'2) หลักการคำนวน Table'!$C$3:$K$3,'2) หลักการคำนวน Table'!$C$3:$K$3,,1),
  IF(AL20&lt;MIN('2) หลักการคำนวน Table'!$C$3:$K$3),
     MIN('2) หลักการคำนวน Table'!$C$3:$K$3),
     MAX('2) หลักการคำนวน Table'!$C$3:$K$3)
  )
)</f>
        <v>0.9</v>
      </c>
      <c r="AY20" s="237">
        <f>IFERROR(
  _xlfn.XLOOKUP(AM20,'2) หลักการคำนวน Table'!$C$3:$K$3,'2) หลักการคำนวน Table'!$C$3:$K$3,,1),
  IF(AM20&lt;MIN('2) หลักการคำนวน Table'!$C$3:$K$3),
     MIN('2) หลักการคำนวน Table'!$C$3:$K$3),
     MAX('2) หลักการคำนวน Table'!$C$3:$K$3)
  )
)</f>
        <v>0.9</v>
      </c>
      <c r="AZ20" s="314" t="e" cm="1">
        <f t="array" ref="AZ20">(_xlfn.XLOOKUP($C20,'2) หลักการคำนวน Table'!$A$4:$A$36,
_xlfn.XLOOKUP(AN20,'2)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</f>
        <v>#N/A</v>
      </c>
      <c r="BA20" s="238" t="e" cm="1">
        <f t="array" ref="BA20">(_xlfn.XLOOKUP($C20,'2) หลักการคำนวน Table'!$A$4:$A$36,
_xlfn.XLOOKUP(AO20,'2)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</f>
        <v>#N/A</v>
      </c>
      <c r="BB20" s="238" t="e" cm="1">
        <f t="array" ref="BB20">(_xlfn.XLOOKUP($C20,'2) หลักการคำนวน Table'!$A$4:$A$36,
_xlfn.XLOOKUP(AP20,'2)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</f>
        <v>#N/A</v>
      </c>
      <c r="BC20" s="238" t="e" cm="1">
        <f t="array" ref="BC20">(_xlfn.XLOOKUP($C20,'2) หลักการคำนวน Table'!$A$4:$A$36,
_xlfn.XLOOKUP(AQ20,'2)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</f>
        <v>#N/A</v>
      </c>
      <c r="BD20" s="238" t="e" cm="1">
        <f t="array" ref="BD20">(_xlfn.XLOOKUP($C20,'2) หลักการคำนวน Table'!$A$4:$A$36,
_xlfn.XLOOKUP(AR20,'2)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</f>
        <v>#N/A</v>
      </c>
      <c r="BE20" s="238" t="e" cm="1">
        <f t="array" ref="BE20">(_xlfn.XLOOKUP($C20,'2) หลักการคำนวน Table'!$A$4:$A$36,
_xlfn.XLOOKUP(AS20,'2)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</f>
        <v>#N/A</v>
      </c>
      <c r="BF20" s="238" t="e" cm="1">
        <f t="array" ref="BF20">(_xlfn.XLOOKUP($C20,'2) หลักการคำนวน Table'!$A$4:$A$36,
_xlfn.XLOOKUP(AT20,'2)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</f>
        <v>#N/A</v>
      </c>
      <c r="BG20" s="238" t="e" cm="1">
        <f t="array" ref="BG20">(_xlfn.XLOOKUP($C20,'2) หลักการคำนวน Table'!$A$4:$A$36,
_xlfn.XLOOKUP(AU20,'2)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</f>
        <v>#N/A</v>
      </c>
      <c r="BH20" s="238" t="e" cm="1">
        <f t="array" ref="BH20">ROUND((_xlfn.XLOOKUP($C20,'2) หลักการคำนวน Table'!$A$4:$A$36,
_xlfn.XLOOKUP(AV20,'2)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I20" s="238" t="e" cm="1">
        <f t="array" ref="BI20">ROUND((_xlfn.XLOOKUP($C20,'2) หลักการคำนวน Table'!$A$4:$A$36,
_xlfn.XLOOKUP(AW20,'2)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J20" s="238" t="e" cm="1">
        <f t="array" ref="BJ20">ROUND((_xlfn.XLOOKUP($C20,'2) หลักการคำนวน Table'!$A$4:$A$36,
_xlfn.XLOOKUP(AX20,'2)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K20" s="238" t="e" cm="1">
        <f t="array" ref="BK20">ROUND((_xlfn.XLOOKUP($C20,'2) หลักการคำนวน Table'!$A$4:$A$36,
_xlfn.XLOOKUP(AY20,'2)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L20" s="234"/>
      <c r="BM20" s="234">
        <v>222238</v>
      </c>
      <c r="BN20" s="313">
        <v>277.77777777777777</v>
      </c>
    </row>
    <row r="21" spans="1:66" ht="13.2" customHeight="1" x14ac:dyDescent="0.25">
      <c r="A21" s="233">
        <f>VLOOKUP(C21,ASTBase!F:S,12,FALSE)</f>
        <v>222234</v>
      </c>
      <c r="B21" s="234" t="s">
        <v>407</v>
      </c>
      <c r="C21" s="233">
        <v>222238</v>
      </c>
      <c r="D21" s="235">
        <f>SUMIFS('3)Target &amp; Cal_Staff'!D$4:D$164,'3)Target &amp; Cal_Staff'!$B$4:$B$164,'3)Target &amp; Cal_Sect'!$B21,'3)Target &amp; Cal_Staff'!$A$4:$A$164,'3)Target &amp; Cal_Sect'!$C21)</f>
        <v>487020</v>
      </c>
      <c r="E21" s="235">
        <f>SUMIFS('3)Target &amp; Cal_Staff'!E$4:E$164,'3)Target &amp; Cal_Staff'!$B$4:$B$164,'3)Target &amp; Cal_Sect'!$B21,'3)Target &amp; Cal_Staff'!$A$4:$A$164,'3)Target &amp; Cal_Sect'!$C21)</f>
        <v>447020</v>
      </c>
      <c r="F21" s="235">
        <f>SUMIFS('3)Target &amp; Cal_Staff'!F$4:F$164,'3)Target &amp; Cal_Staff'!$B$4:$B$164,'3)Target &amp; Cal_Sect'!$B21,'3)Target &amp; Cal_Staff'!$A$4:$A$164,'3)Target &amp; Cal_Sect'!$C21)</f>
        <v>445020</v>
      </c>
      <c r="G21" s="235">
        <f>SUMIFS('3)Target &amp; Cal_Staff'!G$4:G$164,'3)Target &amp; Cal_Staff'!$B$4:$B$164,'3)Target &amp; Cal_Sect'!$B21,'3)Target &amp; Cal_Staff'!$A$4:$A$164,'3)Target &amp; Cal_Sect'!$C21)</f>
        <v>459320</v>
      </c>
      <c r="H21" s="235">
        <f>SUMIFS('3)Target &amp; Cal_Staff'!H$4:H$164,'3)Target &amp; Cal_Staff'!$B$4:$B$164,'3)Target &amp; Cal_Sect'!$B21,'3)Target &amp; Cal_Staff'!$A$4:$A$164,'3)Target &amp; Cal_Sect'!$C21)</f>
        <v>515360</v>
      </c>
      <c r="I21" s="235">
        <f>SUMIFS('3)Target &amp; Cal_Staff'!I$4:I$164,'3)Target &amp; Cal_Staff'!$B$4:$B$164,'3)Target &amp; Cal_Sect'!$B21,'3)Target &amp; Cal_Staff'!$A$4:$A$164,'3)Target &amp; Cal_Sect'!$C21)</f>
        <v>417980</v>
      </c>
      <c r="J21" s="235">
        <f>SUMIFS('3)Target &amp; Cal_Staff'!J$4:J$164,'3)Target &amp; Cal_Staff'!$B$4:$B$164,'3)Target &amp; Cal_Sect'!$B21,'3)Target &amp; Cal_Staff'!$A$4:$A$164,'3)Target &amp; Cal_Sect'!$C21)</f>
        <v>472300</v>
      </c>
      <c r="K21" s="235">
        <f>SUMIFS('3)Target &amp; Cal_Staff'!K$4:K$164,'3)Target &amp; Cal_Staff'!$B$4:$B$164,'3)Target &amp; Cal_Sect'!$B21,'3)Target &amp; Cal_Staff'!$A$4:$A$164,'3)Target &amp; Cal_Sect'!$C21)</f>
        <v>473700</v>
      </c>
      <c r="L21" s="235">
        <f>SUMIFS('3)Target &amp; Cal_Staff'!L$4:L$164,'3)Target &amp; Cal_Staff'!$B$4:$B$164,'3)Target &amp; Cal_Sect'!$B21,'3)Target &amp; Cal_Staff'!$A$4:$A$164,'3)Target &amp; Cal_Sect'!$C21)</f>
        <v>520600</v>
      </c>
      <c r="M21" s="235">
        <f>SUMIFS('3)Target &amp; Cal_Staff'!M$4:M$164,'3)Target &amp; Cal_Staff'!$B$4:$B$164,'3)Target &amp; Cal_Sect'!$B21,'3)Target &amp; Cal_Staff'!$A$4:$A$164,'3)Target &amp; Cal_Sect'!$C21)</f>
        <v>438000</v>
      </c>
      <c r="N21" s="235">
        <f>SUMIFS('3)Target &amp; Cal_Staff'!N$4:N$164,'3)Target &amp; Cal_Staff'!$B$4:$B$164,'3)Target &amp; Cal_Sect'!$B21,'3)Target &amp; Cal_Staff'!$A$4:$A$164,'3)Target &amp; Cal_Sect'!$C21)</f>
        <v>442600</v>
      </c>
      <c r="O21" s="235">
        <f>SUMIFS('3)Target &amp; Cal_Staff'!O$4:O$164,'3)Target &amp; Cal_Staff'!$B$4:$B$164,'3)Target &amp; Cal_Sect'!$B21,'3)Target &amp; Cal_Staff'!$A$4:$A$164,'3)Target &amp; Cal_Sect'!$C21)</f>
        <v>481080</v>
      </c>
      <c r="P21" s="235">
        <f>SUMIFS('3)Target &amp; Cal_Staff'!P$4:P$164,'3)Target &amp; Cal_Staff'!$B$4:$B$164,'3)Target &amp; Cal_Sect'!$B21,'3)Target &amp; Cal_Staff'!$A$4:$A$164,'3)Target &amp; Cal_Sect'!$C21)</f>
        <v>444242.99999578687</v>
      </c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6">
        <f>IFERROR(IF(VLOOKUP($B21,Shortage!$A:$M,AB$2,FALSE)="Shortage",1,IFERROR(ROUND(P21/D21,4),0)),IFERROR(ROUND(P21/D21,4),0))</f>
        <v>0.91220000000000001</v>
      </c>
      <c r="AC21" s="236">
        <f>IFERROR(IF(VLOOKUP($B21,Shortage!$A:$M,AC$2,FALSE)="Shortage",1,IFERROR(ROUND(Q21/E21,4),0)),IFERROR(ROUND(Q21/E21,4),0))</f>
        <v>0</v>
      </c>
      <c r="AD21" s="236">
        <f>IFERROR(IF(VLOOKUP($B21,Shortage!$A:$M,AD$2,FALSE)="Shortage",1,IFERROR(ROUND(R21/F21,4),0)),IFERROR(ROUND(R21/F21,4),0))</f>
        <v>0</v>
      </c>
      <c r="AE21" s="236">
        <f>IFERROR(IF(VLOOKUP($B21,Shortage!$A:$M,AE$2,FALSE)="Shortage",1,IFERROR(ROUND(S21/G21,4),0)),IFERROR(ROUND(S21/G21,4),0))</f>
        <v>0</v>
      </c>
      <c r="AF21" s="236">
        <f>IFERROR(IF(VLOOKUP($B21,Shortage!$A:$M,AF$2,FALSE)="Shortage",1,IFERROR(ROUND(T21/H21,4),0)),IFERROR(ROUND(T21/H21,4),0))</f>
        <v>0</v>
      </c>
      <c r="AG21" s="236">
        <f>IFERROR(IF(VLOOKUP($B21,Shortage!$A:$M,AG$2,FALSE)="Shortage",1,IFERROR(ROUND(U21/I21,4),0)),IFERROR(ROUND(U21/I21,4),0))</f>
        <v>0</v>
      </c>
      <c r="AH21" s="236">
        <f>IFERROR(IF(VLOOKUP($B21,Shortage!$A:$M,AH$2,FALSE)="Shortage",1,IFERROR(ROUND(V21/J21,4),0)),IFERROR(ROUND(V21/J21,4),0))</f>
        <v>0</v>
      </c>
      <c r="AI21" s="236">
        <f>IFERROR(IF(VLOOKUP($B21,Shortage!$A:$M,AI$2,FALSE)="Shortage",1,IFERROR(ROUND(W21/K21,4),0)),IFERROR(ROUND(W21/K21,4),0))</f>
        <v>0</v>
      </c>
      <c r="AJ21" s="236">
        <f>IFERROR(IF(VLOOKUP($B21,Shortage!$A:$M,AJ$2,FALSE)="Shortage",1,IFERROR(ROUND(X21/L21,4),0)),IFERROR(ROUND(X21/L21,4),0))</f>
        <v>0</v>
      </c>
      <c r="AK21" s="236">
        <f>IFERROR(IF(VLOOKUP($B21,Shortage!$A:$M,AK$2,FALSE)="Shortage",1,IFERROR(ROUND(Y21/M21,4),0)),IFERROR(ROUND(Y21/M21,4),0))</f>
        <v>0</v>
      </c>
      <c r="AL21" s="236">
        <f>IFERROR(IF(VLOOKUP($B21,Shortage!$A:$M,AL$2,FALSE)="Shortage",1,IFERROR(ROUND(Z21/N21,4),0)),IFERROR(ROUND(Z21/N21,4),0))</f>
        <v>0</v>
      </c>
      <c r="AM21" s="236">
        <f>IFERROR(IF(VLOOKUP($B21,Shortage!$A:$M,AM$2,FALSE)="Shortage",1,IFERROR(ROUND(AA21/O21,4),0)),IFERROR(ROUND(AA21/O21,4),0))</f>
        <v>0</v>
      </c>
      <c r="AN21" s="237">
        <f>IFERROR(_xlfn.XLOOKUP(AB21,'2) หลักการคำนวน Table'!$C$3:$K$3,'2) หลักการคำนวน Table'!$C$3:$K$3,,1),INDEX('2) หลักการคำนวน Table'!$C$3:$K$3,1))</f>
        <v>0.95</v>
      </c>
      <c r="AO21" s="237">
        <f>IFERROR(
  _xlfn.XLOOKUP(AC21,'2) หลักการคำนวน Table'!$C$3:$K$3,'2) หลักการคำนวน Table'!$C$3:$K$3,,1),
  IF(AC21&lt;MIN('2) หลักการคำนวน Table'!$C$3:$K$3),
     MIN('2) หลักการคำนวน Table'!$C$3:$K$3),
     MAX('2) หลักการคำนวน Table'!$C$3:$K$3)
  )
)</f>
        <v>0.9</v>
      </c>
      <c r="AP21" s="237">
        <f>IFERROR(
  _xlfn.XLOOKUP(AD21,'2) หลักการคำนวน Table'!$C$3:$K$3,'2) หลักการคำนวน Table'!$C$3:$K$3,,1),
  IF(AD21&lt;MIN('2) หลักการคำนวน Table'!$C$3:$K$3),
     MIN('2) หลักการคำนวน Table'!$C$3:$K$3),
     MAX('2) หลักการคำนวน Table'!$C$3:$K$3)
  )
)</f>
        <v>0.9</v>
      </c>
      <c r="AQ21" s="237">
        <f>IFERROR(
  _xlfn.XLOOKUP(AE21,'2) หลักการคำนวน Table'!$C$3:$K$3,'2) หลักการคำนวน Table'!$C$3:$K$3,,1),
  IF(AE21&lt;MIN('2) หลักการคำนวน Table'!$C$3:$K$3),
     MIN('2) หลักการคำนวน Table'!$C$3:$K$3),
     MAX('2) หลักการคำนวน Table'!$C$3:$K$3)
  )
)</f>
        <v>0.9</v>
      </c>
      <c r="AR21" s="237">
        <f>IFERROR(
  _xlfn.XLOOKUP(AF21,'2) หลักการคำนวน Table'!$C$3:$K$3,'2) หลักการคำนวน Table'!$C$3:$K$3,,1),
  IF(AF21&lt;MIN('2) หลักการคำนวน Table'!$C$3:$K$3),
     MIN('2) หลักการคำนวน Table'!$C$3:$K$3),
     MAX('2) หลักการคำนวน Table'!$C$3:$K$3)
  )
)</f>
        <v>0.9</v>
      </c>
      <c r="AS21" s="237">
        <f>IFERROR(
  _xlfn.XLOOKUP(AG21,'2) หลักการคำนวน Table'!$C$3:$K$3,'2) หลักการคำนวน Table'!$C$3:$K$3,,1),
  IF(AG21&lt;MIN('2) หลักการคำนวน Table'!$C$3:$K$3),
     MIN('2) หลักการคำนวน Table'!$C$3:$K$3),
     MAX('2) หลักการคำนวน Table'!$C$3:$K$3)
  )
)</f>
        <v>0.9</v>
      </c>
      <c r="AT21" s="237">
        <f>IFERROR(
  _xlfn.XLOOKUP(AH21,'2) หลักการคำนวน Table'!$C$3:$K$3,'2) หลักการคำนวน Table'!$C$3:$K$3,,1),
  IF(AH21&lt;MIN('2) หลักการคำนวน Table'!$C$3:$K$3),
     MIN('2) หลักการคำนวน Table'!$C$3:$K$3),
     MAX('2) หลักการคำนวน Table'!$C$3:$K$3)
  )
)</f>
        <v>0.9</v>
      </c>
      <c r="AU21" s="237">
        <f>IFERROR(
  _xlfn.XLOOKUP(AI21,'2) หลักการคำนวน Table'!$C$3:$K$3,'2) หลักการคำนวน Table'!$C$3:$K$3,,1),
  IF(AI21&lt;MIN('2) หลักการคำนวน Table'!$C$3:$K$3),
     MIN('2) หลักการคำนวน Table'!$C$3:$K$3),
     MAX('2) หลักการคำนวน Table'!$C$3:$K$3)
  )
)</f>
        <v>0.9</v>
      </c>
      <c r="AV21" s="237">
        <f>IFERROR(
  _xlfn.XLOOKUP(AJ21,'2) หลักการคำนวน Table'!$C$3:$K$3,'2) หลักการคำนวน Table'!$C$3:$K$3,,1),
  IF(AJ21&lt;MIN('2) หลักการคำนวน Table'!$C$3:$K$3),
     MIN('2) หลักการคำนวน Table'!$C$3:$K$3),
     MAX('2) หลักการคำนวน Table'!$C$3:$K$3)
  )
)</f>
        <v>0.9</v>
      </c>
      <c r="AW21" s="237">
        <f>IFERROR(
  _xlfn.XLOOKUP(AK21,'2) หลักการคำนวน Table'!$C$3:$K$3,'2) หลักการคำนวน Table'!$C$3:$K$3,,1),
  IF(AK21&lt;MIN('2) หลักการคำนวน Table'!$C$3:$K$3),
     MIN('2) หลักการคำนวน Table'!$C$3:$K$3),
     MAX('2) หลักการคำนวน Table'!$C$3:$K$3)
  )
)</f>
        <v>0.9</v>
      </c>
      <c r="AX21" s="237">
        <f>IFERROR(
  _xlfn.XLOOKUP(AL21,'2) หลักการคำนวน Table'!$C$3:$K$3,'2) หลักการคำนวน Table'!$C$3:$K$3,,1),
  IF(AL21&lt;MIN('2) หลักการคำนวน Table'!$C$3:$K$3),
     MIN('2) หลักการคำนวน Table'!$C$3:$K$3),
     MAX('2) หลักการคำนวน Table'!$C$3:$K$3)
  )
)</f>
        <v>0.9</v>
      </c>
      <c r="AY21" s="237">
        <f>IFERROR(
  _xlfn.XLOOKUP(AM21,'2) หลักการคำนวน Table'!$C$3:$K$3,'2) หลักการคำนวน Table'!$C$3:$K$3,,1),
  IF(AM21&lt;MIN('2) หลักการคำนวน Table'!$C$3:$K$3),
     MIN('2) หลักการคำนวน Table'!$C$3:$K$3),
     MAX('2) หลักการคำนวน Table'!$C$3:$K$3)
  )
)</f>
        <v>0.9</v>
      </c>
      <c r="AZ21" s="238" t="e" cm="1">
        <f t="array" ref="AZ21">(_xlfn.XLOOKUP($C21,'2) หลักการคำนวน Table'!$A$4:$A$36,
_xlfn.XLOOKUP(AN21,'2)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</f>
        <v>#N/A</v>
      </c>
      <c r="BA21" s="238" t="e" cm="1">
        <f t="array" ref="BA21">(_xlfn.XLOOKUP($C21,'2) หลักการคำนวน Table'!$A$4:$A$36,
_xlfn.XLOOKUP(AO21,'2)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</f>
        <v>#N/A</v>
      </c>
      <c r="BB21" s="238" t="e" cm="1">
        <f t="array" ref="BB21">(_xlfn.XLOOKUP($C21,'2) หลักการคำนวน Table'!$A$4:$A$36,
_xlfn.XLOOKUP(AP21,'2)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</f>
        <v>#N/A</v>
      </c>
      <c r="BC21" s="238" t="e" cm="1">
        <f t="array" ref="BC21">(_xlfn.XLOOKUP($C21,'2) หลักการคำนวน Table'!$A$4:$A$36,
_xlfn.XLOOKUP(AQ21,'2)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</f>
        <v>#N/A</v>
      </c>
      <c r="BD21" s="238" t="e" cm="1">
        <f t="array" ref="BD21">(_xlfn.XLOOKUP($C21,'2) หลักการคำนวน Table'!$A$4:$A$36,
_xlfn.XLOOKUP(AR21,'2)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</f>
        <v>#N/A</v>
      </c>
      <c r="BE21" s="238" t="e" cm="1">
        <f t="array" ref="BE21">(_xlfn.XLOOKUP($C21,'2) หลักการคำนวน Table'!$A$4:$A$36,
_xlfn.XLOOKUP(AS21,'2)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</f>
        <v>#N/A</v>
      </c>
      <c r="BF21" s="238" t="e" cm="1">
        <f t="array" ref="BF21">(_xlfn.XLOOKUP($C21,'2) หลักการคำนวน Table'!$A$4:$A$36,
_xlfn.XLOOKUP(AT21,'2)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</f>
        <v>#N/A</v>
      </c>
      <c r="BG21" s="238" t="e" cm="1">
        <f t="array" ref="BG21">(_xlfn.XLOOKUP($C21,'2) หลักการคำนวน Table'!$A$4:$A$36,
_xlfn.XLOOKUP(AU21,'2)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</f>
        <v>#N/A</v>
      </c>
      <c r="BH21" s="238" t="e" cm="1">
        <f t="array" ref="BH21">ROUND((_xlfn.XLOOKUP($C21,'2) หลักการคำนวน Table'!$A$4:$A$36,
_xlfn.XLOOKUP(AV21,'2)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I21" s="238" t="e" cm="1">
        <f t="array" ref="BI21">ROUND((_xlfn.XLOOKUP($C21,'2) หลักการคำนวน Table'!$A$4:$A$36,
_xlfn.XLOOKUP(AW21,'2)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J21" s="238" t="e" cm="1">
        <f t="array" ref="BJ21">ROUND((_xlfn.XLOOKUP($C21,'2) หลักการคำนวน Table'!$A$4:$A$36,
_xlfn.XLOOKUP(AX21,'2)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K21" s="238" t="e" cm="1">
        <f t="array" ref="BK21">ROUND((_xlfn.XLOOKUP($C21,'2) หลักการคำนวน Table'!$A$4:$A$36,
_xlfn.XLOOKUP(AY21,'2)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L21" s="234"/>
      <c r="BM21" s="234">
        <v>222238</v>
      </c>
      <c r="BN21" s="313">
        <v>719.69696969696963</v>
      </c>
    </row>
    <row r="22" spans="1:66" ht="13.2" customHeight="1" x14ac:dyDescent="0.25">
      <c r="A22" s="233">
        <f>VLOOKUP(C22,ASTBase!F:S,12,FALSE)</f>
        <v>222234</v>
      </c>
      <c r="B22" s="234" t="s">
        <v>418</v>
      </c>
      <c r="C22" s="233">
        <v>222238</v>
      </c>
      <c r="D22" s="235">
        <f>SUMIFS('3)Target &amp; Cal_Staff'!D$4:D$164,'3)Target &amp; Cal_Staff'!$B$4:$B$164,'3)Target &amp; Cal_Sect'!$B22,'3)Target &amp; Cal_Staff'!$A$4:$A$164,'3)Target &amp; Cal_Sect'!$C22)</f>
        <v>0</v>
      </c>
      <c r="E22" s="235">
        <f>SUMIFS('3)Target &amp; Cal_Staff'!E$4:E$164,'3)Target &amp; Cal_Staff'!$B$4:$B$164,'3)Target &amp; Cal_Sect'!$B22,'3)Target &amp; Cal_Staff'!$A$4:$A$164,'3)Target &amp; Cal_Sect'!$C22)</f>
        <v>0</v>
      </c>
      <c r="F22" s="235">
        <f>SUMIFS('3)Target &amp; Cal_Staff'!F$4:F$164,'3)Target &amp; Cal_Staff'!$B$4:$B$164,'3)Target &amp; Cal_Sect'!$B22,'3)Target &amp; Cal_Staff'!$A$4:$A$164,'3)Target &amp; Cal_Sect'!$C22)</f>
        <v>0</v>
      </c>
      <c r="G22" s="235">
        <f>SUMIFS('3)Target &amp; Cal_Staff'!G$4:G$164,'3)Target &amp; Cal_Staff'!$B$4:$B$164,'3)Target &amp; Cal_Sect'!$B22,'3)Target &amp; Cal_Staff'!$A$4:$A$164,'3)Target &amp; Cal_Sect'!$C22)</f>
        <v>0</v>
      </c>
      <c r="H22" s="235">
        <f>SUMIFS('3)Target &amp; Cal_Staff'!H$4:H$164,'3)Target &amp; Cal_Staff'!$B$4:$B$164,'3)Target &amp; Cal_Sect'!$B22,'3)Target &amp; Cal_Staff'!$A$4:$A$164,'3)Target &amp; Cal_Sect'!$C22)</f>
        <v>0</v>
      </c>
      <c r="I22" s="235">
        <f>SUMIFS('3)Target &amp; Cal_Staff'!I$4:I$164,'3)Target &amp; Cal_Staff'!$B$4:$B$164,'3)Target &amp; Cal_Sect'!$B22,'3)Target &amp; Cal_Staff'!$A$4:$A$164,'3)Target &amp; Cal_Sect'!$C22)</f>
        <v>0</v>
      </c>
      <c r="J22" s="235">
        <f>SUMIFS('3)Target &amp; Cal_Staff'!J$4:J$164,'3)Target &amp; Cal_Staff'!$B$4:$B$164,'3)Target &amp; Cal_Sect'!$B22,'3)Target &amp; Cal_Staff'!$A$4:$A$164,'3)Target &amp; Cal_Sect'!$C22)</f>
        <v>0</v>
      </c>
      <c r="K22" s="235">
        <f>SUMIFS('3)Target &amp; Cal_Staff'!K$4:K$164,'3)Target &amp; Cal_Staff'!$B$4:$B$164,'3)Target &amp; Cal_Sect'!$B22,'3)Target &amp; Cal_Staff'!$A$4:$A$164,'3)Target &amp; Cal_Sect'!$C22)</f>
        <v>0</v>
      </c>
      <c r="L22" s="235">
        <f>SUMIFS('3)Target &amp; Cal_Staff'!L$4:L$164,'3)Target &amp; Cal_Staff'!$B$4:$B$164,'3)Target &amp; Cal_Sect'!$B22,'3)Target &amp; Cal_Staff'!$A$4:$A$164,'3)Target &amp; Cal_Sect'!$C22)</f>
        <v>0</v>
      </c>
      <c r="M22" s="235">
        <f>SUMIFS('3)Target &amp; Cal_Staff'!M$4:M$164,'3)Target &amp; Cal_Staff'!$B$4:$B$164,'3)Target &amp; Cal_Sect'!$B22,'3)Target &amp; Cal_Staff'!$A$4:$A$164,'3)Target &amp; Cal_Sect'!$C22)</f>
        <v>0</v>
      </c>
      <c r="N22" s="235">
        <f>SUMIFS('3)Target &amp; Cal_Staff'!N$4:N$164,'3)Target &amp; Cal_Staff'!$B$4:$B$164,'3)Target &amp; Cal_Sect'!$B22,'3)Target &amp; Cal_Staff'!$A$4:$A$164,'3)Target &amp; Cal_Sect'!$C22)</f>
        <v>0</v>
      </c>
      <c r="O22" s="235">
        <f>SUMIFS('3)Target &amp; Cal_Staff'!O$4:O$164,'3)Target &amp; Cal_Staff'!$B$4:$B$164,'3)Target &amp; Cal_Sect'!$B22,'3)Target &amp; Cal_Staff'!$A$4:$A$164,'3)Target &amp; Cal_Sect'!$C22)</f>
        <v>0</v>
      </c>
      <c r="P22" s="235">
        <f>SUMIFS('3)Target &amp; Cal_Staff'!P$4:P$164,'3)Target &amp; Cal_Staff'!$B$4:$B$164,'3)Target &amp; Cal_Sect'!$B22,'3)Target &amp; Cal_Staff'!$A$4:$A$164,'3)Target &amp; Cal_Sect'!$C22)</f>
        <v>0</v>
      </c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6">
        <f>IFERROR(IF(VLOOKUP($B22,Shortage!$A:$M,AB$2,FALSE)="Shortage",1,IFERROR(ROUND(P22/D22,4),0)),IFERROR(ROUND(P22/D22,4),0))</f>
        <v>0</v>
      </c>
      <c r="AC22" s="236">
        <f>IFERROR(IF(VLOOKUP($B22,Shortage!$A:$M,AC$2,FALSE)="Shortage",1,IFERROR(ROUND(Q22/E22,4),0)),IFERROR(ROUND(Q22/E22,4),0))</f>
        <v>0</v>
      </c>
      <c r="AD22" s="236">
        <f>IFERROR(IF(VLOOKUP($B22,Shortage!$A:$M,AD$2,FALSE)="Shortage",1,IFERROR(ROUND(R22/F22,4),0)),IFERROR(ROUND(R22/F22,4),0))</f>
        <v>0</v>
      </c>
      <c r="AE22" s="236">
        <f>IFERROR(IF(VLOOKUP($B22,Shortage!$A:$M,AE$2,FALSE)="Shortage",1,IFERROR(ROUND(S22/G22,4),0)),IFERROR(ROUND(S22/G22,4),0))</f>
        <v>0</v>
      </c>
      <c r="AF22" s="236">
        <f>IFERROR(IF(VLOOKUP($B22,Shortage!$A:$M,AF$2,FALSE)="Shortage",1,IFERROR(ROUND(T22/H22,4),0)),IFERROR(ROUND(T22/H22,4),0))</f>
        <v>0</v>
      </c>
      <c r="AG22" s="236">
        <f>IFERROR(IF(VLOOKUP($B22,Shortage!$A:$M,AG$2,FALSE)="Shortage",1,IFERROR(ROUND(U22/I22,4),0)),IFERROR(ROUND(U22/I22,4),0))</f>
        <v>0</v>
      </c>
      <c r="AH22" s="236">
        <f>IFERROR(IF(VLOOKUP($B22,Shortage!$A:$M,AH$2,FALSE)="Shortage",1,IFERROR(ROUND(V22/J22,4),0)),IFERROR(ROUND(V22/J22,4),0))</f>
        <v>0</v>
      </c>
      <c r="AI22" s="236">
        <f>IFERROR(IF(VLOOKUP($B22,Shortage!$A:$M,AI$2,FALSE)="Shortage",1,IFERROR(ROUND(W22/K22,4),0)),IFERROR(ROUND(W22/K22,4),0))</f>
        <v>0</v>
      </c>
      <c r="AJ22" s="236">
        <f>IFERROR(IF(VLOOKUP($B22,Shortage!$A:$M,AJ$2,FALSE)="Shortage",1,IFERROR(ROUND(X22/L22,4),0)),IFERROR(ROUND(X22/L22,4),0))</f>
        <v>0</v>
      </c>
      <c r="AK22" s="236">
        <f>IFERROR(IF(VLOOKUP($B22,Shortage!$A:$M,AK$2,FALSE)="Shortage",1,IFERROR(ROUND(Y22/M22,4),0)),IFERROR(ROUND(Y22/M22,4),0))</f>
        <v>0</v>
      </c>
      <c r="AL22" s="236">
        <f>IFERROR(IF(VLOOKUP($B22,Shortage!$A:$M,AL$2,FALSE)="Shortage",1,IFERROR(ROUND(Z22/N22,4),0)),IFERROR(ROUND(Z22/N22,4),0))</f>
        <v>0</v>
      </c>
      <c r="AM22" s="236">
        <f>IFERROR(IF(VLOOKUP($B22,Shortage!$A:$M,AM$2,FALSE)="Shortage",1,IFERROR(ROUND(AA22/O22,4),0)),IFERROR(ROUND(AA22/O22,4),0))</f>
        <v>0</v>
      </c>
      <c r="AN22" s="237">
        <f>IFERROR(_xlfn.XLOOKUP(AB22,'2) หลักการคำนวน Table'!$C$3:$K$3,'2) หลักการคำนวน Table'!$C$3:$K$3,,1),INDEX('2) หลักการคำนวน Table'!$C$3:$K$3,1))</f>
        <v>0.9</v>
      </c>
      <c r="AO22" s="237">
        <f>IFERROR(
  _xlfn.XLOOKUP(AC22,'2) หลักการคำนวน Table'!$C$3:$K$3,'2) หลักการคำนวน Table'!$C$3:$K$3,,1),
  IF(AC22&lt;MIN('2) หลักการคำนวน Table'!$C$3:$K$3),
     MIN('2) หลักการคำนวน Table'!$C$3:$K$3),
     MAX('2) หลักการคำนวน Table'!$C$3:$K$3)
  )
)</f>
        <v>0.9</v>
      </c>
      <c r="AP22" s="237">
        <f>IFERROR(
  _xlfn.XLOOKUP(AD22,'2) หลักการคำนวน Table'!$C$3:$K$3,'2) หลักการคำนวน Table'!$C$3:$K$3,,1),
  IF(AD22&lt;MIN('2) หลักการคำนวน Table'!$C$3:$K$3),
     MIN('2) หลักการคำนวน Table'!$C$3:$K$3),
     MAX('2) หลักการคำนวน Table'!$C$3:$K$3)
  )
)</f>
        <v>0.9</v>
      </c>
      <c r="AQ22" s="237">
        <f>IFERROR(
  _xlfn.XLOOKUP(AE22,'2) หลักการคำนวน Table'!$C$3:$K$3,'2) หลักการคำนวน Table'!$C$3:$K$3,,1),
  IF(AE22&lt;MIN('2) หลักการคำนวน Table'!$C$3:$K$3),
     MIN('2) หลักการคำนวน Table'!$C$3:$K$3),
     MAX('2) หลักการคำนวน Table'!$C$3:$K$3)
  )
)</f>
        <v>0.9</v>
      </c>
      <c r="AR22" s="237">
        <f>IFERROR(
  _xlfn.XLOOKUP(AF22,'2) หลักการคำนวน Table'!$C$3:$K$3,'2) หลักการคำนวน Table'!$C$3:$K$3,,1),
  IF(AF22&lt;MIN('2) หลักการคำนวน Table'!$C$3:$K$3),
     MIN('2) หลักการคำนวน Table'!$C$3:$K$3),
     MAX('2) หลักการคำนวน Table'!$C$3:$K$3)
  )
)</f>
        <v>0.9</v>
      </c>
      <c r="AS22" s="237">
        <f>IFERROR(
  _xlfn.XLOOKUP(AG22,'2) หลักการคำนวน Table'!$C$3:$K$3,'2) หลักการคำนวน Table'!$C$3:$K$3,,1),
  IF(AG22&lt;MIN('2) หลักการคำนวน Table'!$C$3:$K$3),
     MIN('2) หลักการคำนวน Table'!$C$3:$K$3),
     MAX('2) หลักการคำนวน Table'!$C$3:$K$3)
  )
)</f>
        <v>0.9</v>
      </c>
      <c r="AT22" s="237">
        <f>IFERROR(
  _xlfn.XLOOKUP(AH22,'2) หลักการคำนวน Table'!$C$3:$K$3,'2) หลักการคำนวน Table'!$C$3:$K$3,,1),
  IF(AH22&lt;MIN('2) หลักการคำนวน Table'!$C$3:$K$3),
     MIN('2) หลักการคำนวน Table'!$C$3:$K$3),
     MAX('2) หลักการคำนวน Table'!$C$3:$K$3)
  )
)</f>
        <v>0.9</v>
      </c>
      <c r="AU22" s="237">
        <f>IFERROR(
  _xlfn.XLOOKUP(AI22,'2) หลักการคำนวน Table'!$C$3:$K$3,'2) หลักการคำนวน Table'!$C$3:$K$3,,1),
  IF(AI22&lt;MIN('2) หลักการคำนวน Table'!$C$3:$K$3),
     MIN('2) หลักการคำนวน Table'!$C$3:$K$3),
     MAX('2) หลักการคำนวน Table'!$C$3:$K$3)
  )
)</f>
        <v>0.9</v>
      </c>
      <c r="AV22" s="237">
        <f>IFERROR(
  _xlfn.XLOOKUP(AJ22,'2) หลักการคำนวน Table'!$C$3:$K$3,'2) หลักการคำนวน Table'!$C$3:$K$3,,1),
  IF(AJ22&lt;MIN('2) หลักการคำนวน Table'!$C$3:$K$3),
     MIN('2) หลักการคำนวน Table'!$C$3:$K$3),
     MAX('2) หลักการคำนวน Table'!$C$3:$K$3)
  )
)</f>
        <v>0.9</v>
      </c>
      <c r="AW22" s="237">
        <f>IFERROR(
  _xlfn.XLOOKUP(AK22,'2) หลักการคำนวน Table'!$C$3:$K$3,'2) หลักการคำนวน Table'!$C$3:$K$3,,1),
  IF(AK22&lt;MIN('2) หลักการคำนวน Table'!$C$3:$K$3),
     MIN('2) หลักการคำนวน Table'!$C$3:$K$3),
     MAX('2) หลักการคำนวน Table'!$C$3:$K$3)
  )
)</f>
        <v>0.9</v>
      </c>
      <c r="AX22" s="237">
        <f>IFERROR(
  _xlfn.XLOOKUP(AL22,'2) หลักการคำนวน Table'!$C$3:$K$3,'2) หลักการคำนวน Table'!$C$3:$K$3,,1),
  IF(AL22&lt;MIN('2) หลักการคำนวน Table'!$C$3:$K$3),
     MIN('2) หลักการคำนวน Table'!$C$3:$K$3),
     MAX('2) หลักการคำนวน Table'!$C$3:$K$3)
  )
)</f>
        <v>0.9</v>
      </c>
      <c r="AY22" s="237">
        <f>IFERROR(
  _xlfn.XLOOKUP(AM22,'2) หลักการคำนวน Table'!$C$3:$K$3,'2) หลักการคำนวน Table'!$C$3:$K$3,,1),
  IF(AM22&lt;MIN('2) หลักการคำนวน Table'!$C$3:$K$3),
     MIN('2) หลักการคำนวน Table'!$C$3:$K$3),
     MAX('2) หลักการคำนวน Table'!$C$3:$K$3)
  )
)</f>
        <v>0.9</v>
      </c>
      <c r="AZ22" s="314" t="e" cm="1">
        <f t="array" ref="AZ22">(_xlfn.XLOOKUP($C22,'2) หลักการคำนวน Table'!$A$4:$A$36,
_xlfn.XLOOKUP(AN22,'2)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</f>
        <v>#N/A</v>
      </c>
      <c r="BA22" s="238" t="e" cm="1">
        <f t="array" ref="BA22">(_xlfn.XLOOKUP($C22,'2) หลักการคำนวน Table'!$A$4:$A$36,
_xlfn.XLOOKUP(AO22,'2)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</f>
        <v>#N/A</v>
      </c>
      <c r="BB22" s="238" t="e" cm="1">
        <f t="array" ref="BB22">(_xlfn.XLOOKUP($C22,'2) หลักการคำนวน Table'!$A$4:$A$36,
_xlfn.XLOOKUP(AP22,'2)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</f>
        <v>#N/A</v>
      </c>
      <c r="BC22" s="238" t="e" cm="1">
        <f t="array" ref="BC22">(_xlfn.XLOOKUP($C22,'2) หลักการคำนวน Table'!$A$4:$A$36,
_xlfn.XLOOKUP(AQ22,'2)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</f>
        <v>#N/A</v>
      </c>
      <c r="BD22" s="238" t="e" cm="1">
        <f t="array" ref="BD22">(_xlfn.XLOOKUP($C22,'2) หลักการคำนวน Table'!$A$4:$A$36,
_xlfn.XLOOKUP(AR22,'2)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</f>
        <v>#N/A</v>
      </c>
      <c r="BE22" s="238" t="e" cm="1">
        <f t="array" ref="BE22">(_xlfn.XLOOKUP($C22,'2) หลักการคำนวน Table'!$A$4:$A$36,
_xlfn.XLOOKUP(AS22,'2)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</f>
        <v>#N/A</v>
      </c>
      <c r="BF22" s="238" t="e" cm="1">
        <f t="array" ref="BF22">(_xlfn.XLOOKUP($C22,'2) หลักการคำนวน Table'!$A$4:$A$36,
_xlfn.XLOOKUP(AT22,'2)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</f>
        <v>#N/A</v>
      </c>
      <c r="BG22" s="238" t="e" cm="1">
        <f t="array" ref="BG22">(_xlfn.XLOOKUP($C22,'2) หลักการคำนวน Table'!$A$4:$A$36,
_xlfn.XLOOKUP(AU22,'2)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</f>
        <v>#N/A</v>
      </c>
      <c r="BH22" s="238" t="e" cm="1">
        <f t="array" ref="BH22">ROUND((_xlfn.XLOOKUP($C22,'2) หลักการคำนวน Table'!$A$4:$A$36,
_xlfn.XLOOKUP(AV22,'2)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I22" s="238" t="e" cm="1">
        <f t="array" ref="BI22">ROUND((_xlfn.XLOOKUP($C22,'2) หลักการคำนวน Table'!$A$4:$A$36,
_xlfn.XLOOKUP(AW22,'2)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J22" s="238" t="e" cm="1">
        <f t="array" ref="BJ22">ROUND((_xlfn.XLOOKUP($C22,'2) หลักการคำนวน Table'!$A$4:$A$36,
_xlfn.XLOOKUP(AX22,'2)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K22" s="238" t="e" cm="1">
        <f t="array" ref="BK22">ROUND((_xlfn.XLOOKUP($C22,'2) หลักการคำนวน Table'!$A$4:$A$36,
_xlfn.XLOOKUP(AY22,'2)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L22" s="234"/>
      <c r="BM22" s="234">
        <v>222238</v>
      </c>
      <c r="BN22" s="313">
        <v>0</v>
      </c>
    </row>
    <row r="23" spans="1:66" ht="13.2" customHeight="1" x14ac:dyDescent="0.25">
      <c r="A23" s="233">
        <f>VLOOKUP(C23,ASTBase!F:S,12,FALSE)</f>
        <v>222234</v>
      </c>
      <c r="B23" s="234" t="s">
        <v>413</v>
      </c>
      <c r="C23" s="233">
        <v>222238</v>
      </c>
      <c r="D23" s="235">
        <f>SUMIFS('3)Target &amp; Cal_Staff'!D$4:D$164,'3)Target &amp; Cal_Staff'!$B$4:$B$164,'3)Target &amp; Cal_Sect'!$B23,'3)Target &amp; Cal_Staff'!$A$4:$A$164,'3)Target &amp; Cal_Sect'!$C23)</f>
        <v>79500</v>
      </c>
      <c r="E23" s="235">
        <f>SUMIFS('3)Target &amp; Cal_Staff'!E$4:E$164,'3)Target &amp; Cal_Staff'!$B$4:$B$164,'3)Target &amp; Cal_Sect'!$B23,'3)Target &amp; Cal_Staff'!$A$4:$A$164,'3)Target &amp; Cal_Sect'!$C23)</f>
        <v>110200</v>
      </c>
      <c r="F23" s="235">
        <f>SUMIFS('3)Target &amp; Cal_Staff'!F$4:F$164,'3)Target &amp; Cal_Staff'!$B$4:$B$164,'3)Target &amp; Cal_Sect'!$B23,'3)Target &amp; Cal_Staff'!$A$4:$A$164,'3)Target &amp; Cal_Sect'!$C23)</f>
        <v>83070</v>
      </c>
      <c r="G23" s="235">
        <f>SUMIFS('3)Target &amp; Cal_Staff'!G$4:G$164,'3)Target &amp; Cal_Staff'!$B$4:$B$164,'3)Target &amp; Cal_Sect'!$B23,'3)Target &amp; Cal_Staff'!$A$4:$A$164,'3)Target &amp; Cal_Sect'!$C23)</f>
        <v>116024</v>
      </c>
      <c r="H23" s="235">
        <f>SUMIFS('3)Target &amp; Cal_Staff'!H$4:H$164,'3)Target &amp; Cal_Staff'!$B$4:$B$164,'3)Target &amp; Cal_Sect'!$B23,'3)Target &amp; Cal_Staff'!$A$4:$A$164,'3)Target &amp; Cal_Sect'!$C23)</f>
        <v>76147</v>
      </c>
      <c r="I23" s="235">
        <f>SUMIFS('3)Target &amp; Cal_Staff'!I$4:I$164,'3)Target &amp; Cal_Staff'!$B$4:$B$164,'3)Target &amp; Cal_Sect'!$B23,'3)Target &amp; Cal_Staff'!$A$4:$A$164,'3)Target &amp; Cal_Sect'!$C23)</f>
        <v>110559</v>
      </c>
      <c r="J23" s="235">
        <f>SUMIFS('3)Target &amp; Cal_Staff'!J$4:J$164,'3)Target &amp; Cal_Staff'!$B$4:$B$164,'3)Target &amp; Cal_Sect'!$B23,'3)Target &amp; Cal_Staff'!$A$4:$A$164,'3)Target &amp; Cal_Sect'!$C23)</f>
        <v>86756</v>
      </c>
      <c r="K23" s="235">
        <f>SUMIFS('3)Target &amp; Cal_Staff'!K$4:K$164,'3)Target &amp; Cal_Staff'!$B$4:$B$164,'3)Target &amp; Cal_Sect'!$B23,'3)Target &amp; Cal_Staff'!$A$4:$A$164,'3)Target &amp; Cal_Sect'!$C23)</f>
        <v>115203</v>
      </c>
      <c r="L23" s="235">
        <f>SUMIFS('3)Target &amp; Cal_Staff'!L$4:L$164,'3)Target &amp; Cal_Staff'!$B$4:$B$164,'3)Target &amp; Cal_Sect'!$B23,'3)Target &amp; Cal_Staff'!$A$4:$A$164,'3)Target &amp; Cal_Sect'!$C23)</f>
        <v>120375</v>
      </c>
      <c r="M23" s="235">
        <f>SUMIFS('3)Target &amp; Cal_Staff'!M$4:M$164,'3)Target &amp; Cal_Staff'!$B$4:$B$164,'3)Target &amp; Cal_Sect'!$B23,'3)Target &amp; Cal_Staff'!$A$4:$A$164,'3)Target &amp; Cal_Sect'!$C23)</f>
        <v>97547</v>
      </c>
      <c r="N23" s="235">
        <f>SUMIFS('3)Target &amp; Cal_Staff'!N$4:N$164,'3)Target &amp; Cal_Staff'!$B$4:$B$164,'3)Target &amp; Cal_Sect'!$B23,'3)Target &amp; Cal_Staff'!$A$4:$A$164,'3)Target &amp; Cal_Sect'!$C23)</f>
        <v>97690</v>
      </c>
      <c r="O23" s="235">
        <f>SUMIFS('3)Target &amp; Cal_Staff'!O$4:O$164,'3)Target &amp; Cal_Staff'!$B$4:$B$164,'3)Target &amp; Cal_Sect'!$B23,'3)Target &amp; Cal_Staff'!$A$4:$A$164,'3)Target &amp; Cal_Sect'!$C23)</f>
        <v>107929</v>
      </c>
      <c r="P23" s="235">
        <f>SUMIFS('3)Target &amp; Cal_Staff'!P$4:P$164,'3)Target &amp; Cal_Staff'!$B$4:$B$164,'3)Target &amp; Cal_Sect'!$B23,'3)Target &amp; Cal_Staff'!$A$4:$A$164,'3)Target &amp; Cal_Sect'!$C23)</f>
        <v>63461.215200000108</v>
      </c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6">
        <f>IFERROR(IF(VLOOKUP($B23,Shortage!$A:$M,AB$2,FALSE)="Shortage",1,IFERROR(ROUND(P23/D23,4),0)),IFERROR(ROUND(P23/D23,4),0))</f>
        <v>0.79830000000000001</v>
      </c>
      <c r="AC23" s="236">
        <f>IFERROR(IF(VLOOKUP($B23,Shortage!$A:$M,AC$2,FALSE)="Shortage",1,IFERROR(ROUND(Q23/E23,4),0)),IFERROR(ROUND(Q23/E23,4),0))</f>
        <v>0</v>
      </c>
      <c r="AD23" s="236">
        <f>IFERROR(IF(VLOOKUP($B23,Shortage!$A:$M,AD$2,FALSE)="Shortage",1,IFERROR(ROUND(R23/F23,4),0)),IFERROR(ROUND(R23/F23,4),0))</f>
        <v>0</v>
      </c>
      <c r="AE23" s="236">
        <f>IFERROR(IF(VLOOKUP($B23,Shortage!$A:$M,AE$2,FALSE)="Shortage",1,IFERROR(ROUND(S23/G23,4),0)),IFERROR(ROUND(S23/G23,4),0))</f>
        <v>0</v>
      </c>
      <c r="AF23" s="236">
        <f>IFERROR(IF(VLOOKUP($B23,Shortage!$A:$M,AF$2,FALSE)="Shortage",1,IFERROR(ROUND(T23/H23,4),0)),IFERROR(ROUND(T23/H23,4),0))</f>
        <v>0</v>
      </c>
      <c r="AG23" s="236">
        <f>IFERROR(IF(VLOOKUP($B23,Shortage!$A:$M,AG$2,FALSE)="Shortage",1,IFERROR(ROUND(U23/I23,4),0)),IFERROR(ROUND(U23/I23,4),0))</f>
        <v>0</v>
      </c>
      <c r="AH23" s="236">
        <f>IFERROR(IF(VLOOKUP($B23,Shortage!$A:$M,AH$2,FALSE)="Shortage",1,IFERROR(ROUND(V23/J23,4),0)),IFERROR(ROUND(V23/J23,4),0))</f>
        <v>0</v>
      </c>
      <c r="AI23" s="236">
        <f>IFERROR(IF(VLOOKUP($B23,Shortage!$A:$M,AI$2,FALSE)="Shortage",1,IFERROR(ROUND(W23/K23,4),0)),IFERROR(ROUND(W23/K23,4),0))</f>
        <v>0</v>
      </c>
      <c r="AJ23" s="236">
        <f>IFERROR(IF(VLOOKUP($B23,Shortage!$A:$M,AJ$2,FALSE)="Shortage",1,IFERROR(ROUND(X23/L23,4),0)),IFERROR(ROUND(X23/L23,4),0))</f>
        <v>0</v>
      </c>
      <c r="AK23" s="236">
        <f>IFERROR(IF(VLOOKUP($B23,Shortage!$A:$M,AK$2,FALSE)="Shortage",1,IFERROR(ROUND(Y23/M23,4),0)),IFERROR(ROUND(Y23/M23,4),0))</f>
        <v>0</v>
      </c>
      <c r="AL23" s="236">
        <f>IFERROR(IF(VLOOKUP($B23,Shortage!$A:$M,AL$2,FALSE)="Shortage",1,IFERROR(ROUND(Z23/N23,4),0)),IFERROR(ROUND(Z23/N23,4),0))</f>
        <v>0</v>
      </c>
      <c r="AM23" s="236">
        <f>IFERROR(IF(VLOOKUP($B23,Shortage!$A:$M,AM$2,FALSE)="Shortage",1,IFERROR(ROUND(AA23/O23,4),0)),IFERROR(ROUND(AA23/O23,4),0))</f>
        <v>0</v>
      </c>
      <c r="AN23" s="237">
        <f>IFERROR(_xlfn.XLOOKUP(AB23,'2) หลักการคำนวน Table'!$C$3:$K$3,'2) หลักการคำนวน Table'!$C$3:$K$3,,1),INDEX('2) หลักการคำนวน Table'!$C$3:$K$3,1))</f>
        <v>0.9</v>
      </c>
      <c r="AO23" s="237">
        <f>IFERROR(
  _xlfn.XLOOKUP(AC23,'2) หลักการคำนวน Table'!$C$3:$K$3,'2) หลักการคำนวน Table'!$C$3:$K$3,,1),
  IF(AC23&lt;MIN('2) หลักการคำนวน Table'!$C$3:$K$3),
     MIN('2) หลักการคำนวน Table'!$C$3:$K$3),
     MAX('2) หลักการคำนวน Table'!$C$3:$K$3)
  )
)</f>
        <v>0.9</v>
      </c>
      <c r="AP23" s="237">
        <f>IFERROR(
  _xlfn.XLOOKUP(AD23,'2) หลักการคำนวน Table'!$C$3:$K$3,'2) หลักการคำนวน Table'!$C$3:$K$3,,1),
  IF(AD23&lt;MIN('2) หลักการคำนวน Table'!$C$3:$K$3),
     MIN('2) หลักการคำนวน Table'!$C$3:$K$3),
     MAX('2) หลักการคำนวน Table'!$C$3:$K$3)
  )
)</f>
        <v>0.9</v>
      </c>
      <c r="AQ23" s="237">
        <f>IFERROR(
  _xlfn.XLOOKUP(AE23,'2) หลักการคำนวน Table'!$C$3:$K$3,'2) หลักการคำนวน Table'!$C$3:$K$3,,1),
  IF(AE23&lt;MIN('2) หลักการคำนวน Table'!$C$3:$K$3),
     MIN('2) หลักการคำนวน Table'!$C$3:$K$3),
     MAX('2) หลักการคำนวน Table'!$C$3:$K$3)
  )
)</f>
        <v>0.9</v>
      </c>
      <c r="AR23" s="237">
        <f>IFERROR(
  _xlfn.XLOOKUP(AF23,'2) หลักการคำนวน Table'!$C$3:$K$3,'2) หลักการคำนวน Table'!$C$3:$K$3,,1),
  IF(AF23&lt;MIN('2) หลักการคำนวน Table'!$C$3:$K$3),
     MIN('2) หลักการคำนวน Table'!$C$3:$K$3),
     MAX('2) หลักการคำนวน Table'!$C$3:$K$3)
  )
)</f>
        <v>0.9</v>
      </c>
      <c r="AS23" s="237">
        <f>IFERROR(
  _xlfn.XLOOKUP(AG23,'2) หลักการคำนวน Table'!$C$3:$K$3,'2) หลักการคำนวน Table'!$C$3:$K$3,,1),
  IF(AG23&lt;MIN('2) หลักการคำนวน Table'!$C$3:$K$3),
     MIN('2) หลักการคำนวน Table'!$C$3:$K$3),
     MAX('2) หลักการคำนวน Table'!$C$3:$K$3)
  )
)</f>
        <v>0.9</v>
      </c>
      <c r="AT23" s="237">
        <f>IFERROR(
  _xlfn.XLOOKUP(AH23,'2) หลักการคำนวน Table'!$C$3:$K$3,'2) หลักการคำนวน Table'!$C$3:$K$3,,1),
  IF(AH23&lt;MIN('2) หลักการคำนวน Table'!$C$3:$K$3),
     MIN('2) หลักการคำนวน Table'!$C$3:$K$3),
     MAX('2) หลักการคำนวน Table'!$C$3:$K$3)
  )
)</f>
        <v>0.9</v>
      </c>
      <c r="AU23" s="237">
        <f>IFERROR(
  _xlfn.XLOOKUP(AI23,'2) หลักการคำนวน Table'!$C$3:$K$3,'2) หลักการคำนวน Table'!$C$3:$K$3,,1),
  IF(AI23&lt;MIN('2) หลักการคำนวน Table'!$C$3:$K$3),
     MIN('2) หลักการคำนวน Table'!$C$3:$K$3),
     MAX('2) หลักการคำนวน Table'!$C$3:$K$3)
  )
)</f>
        <v>0.9</v>
      </c>
      <c r="AV23" s="237">
        <f>IFERROR(
  _xlfn.XLOOKUP(AJ23,'2) หลักการคำนวน Table'!$C$3:$K$3,'2) หลักการคำนวน Table'!$C$3:$K$3,,1),
  IF(AJ23&lt;MIN('2) หลักการคำนวน Table'!$C$3:$K$3),
     MIN('2) หลักการคำนวน Table'!$C$3:$K$3),
     MAX('2) หลักการคำนวน Table'!$C$3:$K$3)
  )
)</f>
        <v>0.9</v>
      </c>
      <c r="AW23" s="237">
        <f>IFERROR(
  _xlfn.XLOOKUP(AK23,'2) หลักการคำนวน Table'!$C$3:$K$3,'2) หลักการคำนวน Table'!$C$3:$K$3,,1),
  IF(AK23&lt;MIN('2) หลักการคำนวน Table'!$C$3:$K$3),
     MIN('2) หลักการคำนวน Table'!$C$3:$K$3),
     MAX('2) หลักการคำนวน Table'!$C$3:$K$3)
  )
)</f>
        <v>0.9</v>
      </c>
      <c r="AX23" s="237">
        <f>IFERROR(
  _xlfn.XLOOKUP(AL23,'2) หลักการคำนวน Table'!$C$3:$K$3,'2) หลักการคำนวน Table'!$C$3:$K$3,,1),
  IF(AL23&lt;MIN('2) หลักการคำนวน Table'!$C$3:$K$3),
     MIN('2) หลักการคำนวน Table'!$C$3:$K$3),
     MAX('2) หลักการคำนวน Table'!$C$3:$K$3)
  )
)</f>
        <v>0.9</v>
      </c>
      <c r="AY23" s="237">
        <f>IFERROR(
  _xlfn.XLOOKUP(AM23,'2) หลักการคำนวน Table'!$C$3:$K$3,'2) หลักการคำนวน Table'!$C$3:$K$3,,1),
  IF(AM23&lt;MIN('2) หลักการคำนวน Table'!$C$3:$K$3),
     MIN('2) หลักการคำนวน Table'!$C$3:$K$3),
     MAX('2) หลักการคำนวน Table'!$C$3:$K$3)
  )
)</f>
        <v>0.9</v>
      </c>
      <c r="AZ23" s="314" t="e" cm="1">
        <f t="array" ref="AZ23">(_xlfn.XLOOKUP($C23,'2) หลักการคำนวน Table'!$A$4:$A$36,
_xlfn.XLOOKUP(AN23,'2)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</f>
        <v>#N/A</v>
      </c>
      <c r="BA23" s="238" t="e" cm="1">
        <f t="array" ref="BA23">(_xlfn.XLOOKUP($C23,'2) หลักการคำนวน Table'!$A$4:$A$36,
_xlfn.XLOOKUP(AO23,'2)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</f>
        <v>#N/A</v>
      </c>
      <c r="BB23" s="238" t="e" cm="1">
        <f t="array" ref="BB23">(_xlfn.XLOOKUP($C23,'2) หลักการคำนวน Table'!$A$4:$A$36,
_xlfn.XLOOKUP(AP23,'2)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</f>
        <v>#N/A</v>
      </c>
      <c r="BC23" s="238" t="e" cm="1">
        <f t="array" ref="BC23">(_xlfn.XLOOKUP($C23,'2) หลักการคำนวน Table'!$A$4:$A$36,
_xlfn.XLOOKUP(AQ23,'2)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</f>
        <v>#N/A</v>
      </c>
      <c r="BD23" s="238" t="e" cm="1">
        <f t="array" ref="BD23">(_xlfn.XLOOKUP($C23,'2) หลักการคำนวน Table'!$A$4:$A$36,
_xlfn.XLOOKUP(AR23,'2)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</f>
        <v>#N/A</v>
      </c>
      <c r="BE23" s="238" t="e" cm="1">
        <f t="array" ref="BE23">(_xlfn.XLOOKUP($C23,'2) หลักการคำนวน Table'!$A$4:$A$36,
_xlfn.XLOOKUP(AS23,'2)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</f>
        <v>#N/A</v>
      </c>
      <c r="BF23" s="238" t="e" cm="1">
        <f t="array" ref="BF23">(_xlfn.XLOOKUP($C23,'2) หลักการคำนวน Table'!$A$4:$A$36,
_xlfn.XLOOKUP(AT23,'2)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</f>
        <v>#N/A</v>
      </c>
      <c r="BG23" s="238" t="e" cm="1">
        <f t="array" ref="BG23">(_xlfn.XLOOKUP($C23,'2) หลักการคำนวน Table'!$A$4:$A$36,
_xlfn.XLOOKUP(AU23,'2)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</f>
        <v>#N/A</v>
      </c>
      <c r="BH23" s="238" t="e" cm="1">
        <f t="array" ref="BH23">ROUND((_xlfn.XLOOKUP($C23,'2) หลักการคำนวน Table'!$A$4:$A$36,
_xlfn.XLOOKUP(AV23,'2)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I23" s="238" t="e" cm="1">
        <f t="array" ref="BI23">ROUND((_xlfn.XLOOKUP($C23,'2) หลักการคำนวน Table'!$A$4:$A$36,
_xlfn.XLOOKUP(AW23,'2)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J23" s="238" t="e" cm="1">
        <f t="array" ref="BJ23">ROUND((_xlfn.XLOOKUP($C23,'2) หลักการคำนวน Table'!$A$4:$A$36,
_xlfn.XLOOKUP(AX23,'2)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K23" s="238" t="e" cm="1">
        <f t="array" ref="BK23">ROUND((_xlfn.XLOOKUP($C23,'2) หลักการคำนวน Table'!$A$4:$A$36,
_xlfn.XLOOKUP(AY23,'2)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L23" s="234"/>
      <c r="BM23" s="234">
        <v>222238</v>
      </c>
      <c r="BN23" s="313">
        <v>681.81818181818176</v>
      </c>
    </row>
    <row r="24" spans="1:66" ht="13.2" customHeight="1" x14ac:dyDescent="0.25">
      <c r="A24" s="233">
        <f>VLOOKUP(C24,ASTBase!F:S,12,FALSE)</f>
        <v>222234</v>
      </c>
      <c r="B24" s="234" t="s">
        <v>406</v>
      </c>
      <c r="C24" s="233">
        <v>222238</v>
      </c>
      <c r="D24" s="235">
        <f>SUMIFS('3)Target &amp; Cal_Staff'!D$4:D$164,'3)Target &amp; Cal_Staff'!$B$4:$B$164,'3)Target &amp; Cal_Sect'!$B24,'3)Target &amp; Cal_Staff'!$A$4:$A$164,'3)Target &amp; Cal_Sect'!$C24)</f>
        <v>207200</v>
      </c>
      <c r="E24" s="235">
        <f>SUMIFS('3)Target &amp; Cal_Staff'!E$4:E$164,'3)Target &amp; Cal_Staff'!$B$4:$B$164,'3)Target &amp; Cal_Sect'!$B24,'3)Target &amp; Cal_Staff'!$A$4:$A$164,'3)Target &amp; Cal_Sect'!$C24)</f>
        <v>202100</v>
      </c>
      <c r="F24" s="235">
        <f>SUMIFS('3)Target &amp; Cal_Staff'!F$4:F$164,'3)Target &amp; Cal_Staff'!$B$4:$B$164,'3)Target &amp; Cal_Sect'!$B24,'3)Target &amp; Cal_Staff'!$A$4:$A$164,'3)Target &amp; Cal_Sect'!$C24)</f>
        <v>201500</v>
      </c>
      <c r="G24" s="235">
        <f>SUMIFS('3)Target &amp; Cal_Staff'!G$4:G$164,'3)Target &amp; Cal_Staff'!$B$4:$B$164,'3)Target &amp; Cal_Sect'!$B24,'3)Target &amp; Cal_Staff'!$A$4:$A$164,'3)Target &amp; Cal_Sect'!$C24)</f>
        <v>198200</v>
      </c>
      <c r="H24" s="235">
        <f>SUMIFS('3)Target &amp; Cal_Staff'!H$4:H$164,'3)Target &amp; Cal_Staff'!$B$4:$B$164,'3)Target &amp; Cal_Sect'!$B24,'3)Target &amp; Cal_Staff'!$A$4:$A$164,'3)Target &amp; Cal_Sect'!$C24)</f>
        <v>202435</v>
      </c>
      <c r="I24" s="235">
        <f>SUMIFS('3)Target &amp; Cal_Staff'!I$4:I$164,'3)Target &amp; Cal_Staff'!$B$4:$B$164,'3)Target &amp; Cal_Sect'!$B24,'3)Target &amp; Cal_Staff'!$A$4:$A$164,'3)Target &amp; Cal_Sect'!$C24)</f>
        <v>218422</v>
      </c>
      <c r="J24" s="235">
        <f>SUMIFS('3)Target &amp; Cal_Staff'!J$4:J$164,'3)Target &amp; Cal_Staff'!$B$4:$B$164,'3)Target &amp; Cal_Sect'!$B24,'3)Target &amp; Cal_Staff'!$A$4:$A$164,'3)Target &amp; Cal_Sect'!$C24)</f>
        <v>212838</v>
      </c>
      <c r="K24" s="235">
        <f>SUMIFS('3)Target &amp; Cal_Staff'!K$4:K$164,'3)Target &amp; Cal_Staff'!$B$4:$B$164,'3)Target &amp; Cal_Sect'!$B24,'3)Target &amp; Cal_Staff'!$A$4:$A$164,'3)Target &amp; Cal_Sect'!$C24)</f>
        <v>205480</v>
      </c>
      <c r="L24" s="235">
        <f>SUMIFS('3)Target &amp; Cal_Staff'!L$4:L$164,'3)Target &amp; Cal_Staff'!$B$4:$B$164,'3)Target &amp; Cal_Sect'!$B24,'3)Target &amp; Cal_Staff'!$A$4:$A$164,'3)Target &amp; Cal_Sect'!$C24)</f>
        <v>201563</v>
      </c>
      <c r="M24" s="235">
        <f>SUMIFS('3)Target &amp; Cal_Staff'!M$4:M$164,'3)Target &amp; Cal_Staff'!$B$4:$B$164,'3)Target &amp; Cal_Sect'!$B24,'3)Target &amp; Cal_Staff'!$A$4:$A$164,'3)Target &amp; Cal_Sect'!$C24)</f>
        <v>223656</v>
      </c>
      <c r="N24" s="235">
        <f>SUMIFS('3)Target &amp; Cal_Staff'!N$4:N$164,'3)Target &amp; Cal_Staff'!$B$4:$B$164,'3)Target &amp; Cal_Sect'!$B24,'3)Target &amp; Cal_Staff'!$A$4:$A$164,'3)Target &amp; Cal_Sect'!$C24)</f>
        <v>200986.08333333299</v>
      </c>
      <c r="O24" s="235">
        <f>SUMIFS('3)Target &amp; Cal_Staff'!O$4:O$164,'3)Target &amp; Cal_Staff'!$B$4:$B$164,'3)Target &amp; Cal_Sect'!$B24,'3)Target &amp; Cal_Staff'!$A$4:$A$164,'3)Target &amp; Cal_Sect'!$C24)</f>
        <v>215620.08333333299</v>
      </c>
      <c r="P24" s="235">
        <f>SUMIFS('3)Target &amp; Cal_Staff'!P$4:P$164,'3)Target &amp; Cal_Staff'!$B$4:$B$164,'3)Target &amp; Cal_Sect'!$B24,'3)Target &amp; Cal_Staff'!$A$4:$A$164,'3)Target &amp; Cal_Sect'!$C24)</f>
        <v>205152.05999999965</v>
      </c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6">
        <f>IFERROR(IF(VLOOKUP($B24,Shortage!$A:$M,AB$2,FALSE)="Shortage",1,IFERROR(ROUND(P24/D24,4),0)),IFERROR(ROUND(P24/D24,4),0))</f>
        <v>1</v>
      </c>
      <c r="AC24" s="236">
        <f>IFERROR(IF(VLOOKUP($B24,Shortage!$A:$M,AC$2,FALSE)="Shortage",1,IFERROR(ROUND(Q24/E24,4),0)),IFERROR(ROUND(Q24/E24,4),0))</f>
        <v>0</v>
      </c>
      <c r="AD24" s="236">
        <f>IFERROR(IF(VLOOKUP($B24,Shortage!$A:$M,AD$2,FALSE)="Shortage",1,IFERROR(ROUND(R24/F24,4),0)),IFERROR(ROUND(R24/F24,4),0))</f>
        <v>0</v>
      </c>
      <c r="AE24" s="236">
        <f>IFERROR(IF(VLOOKUP($B24,Shortage!$A:$M,AE$2,FALSE)="Shortage",1,IFERROR(ROUND(S24/G24,4),0)),IFERROR(ROUND(S24/G24,4),0))</f>
        <v>0</v>
      </c>
      <c r="AF24" s="236">
        <f>IFERROR(IF(VLOOKUP($B24,Shortage!$A:$M,AF$2,FALSE)="Shortage",1,IFERROR(ROUND(T24/H24,4),0)),IFERROR(ROUND(T24/H24,4),0))</f>
        <v>0</v>
      </c>
      <c r="AG24" s="236">
        <f>IFERROR(IF(VLOOKUP($B24,Shortage!$A:$M,AG$2,FALSE)="Shortage",1,IFERROR(ROUND(U24/I24,4),0)),IFERROR(ROUND(U24/I24,4),0))</f>
        <v>0</v>
      </c>
      <c r="AH24" s="236">
        <f>IFERROR(IF(VLOOKUP($B24,Shortage!$A:$M,AH$2,FALSE)="Shortage",1,IFERROR(ROUND(V24/J24,4),0)),IFERROR(ROUND(V24/J24,4),0))</f>
        <v>0</v>
      </c>
      <c r="AI24" s="236">
        <f>IFERROR(IF(VLOOKUP($B24,Shortage!$A:$M,AI$2,FALSE)="Shortage",1,IFERROR(ROUND(W24/K24,4),0)),IFERROR(ROUND(W24/K24,4),0))</f>
        <v>0</v>
      </c>
      <c r="AJ24" s="236">
        <f>IFERROR(IF(VLOOKUP($B24,Shortage!$A:$M,AJ$2,FALSE)="Shortage",1,IFERROR(ROUND(X24/L24,4),0)),IFERROR(ROUND(X24/L24,4),0))</f>
        <v>0</v>
      </c>
      <c r="AK24" s="236">
        <f>IFERROR(IF(VLOOKUP($B24,Shortage!$A:$M,AK$2,FALSE)="Shortage",1,IFERROR(ROUND(Y24/M24,4),0)),IFERROR(ROUND(Y24/M24,4),0))</f>
        <v>0</v>
      </c>
      <c r="AL24" s="236">
        <f>IFERROR(IF(VLOOKUP($B24,Shortage!$A:$M,AL$2,FALSE)="Shortage",1,IFERROR(ROUND(Z24/N24,4),0)),IFERROR(ROUND(Z24/N24,4),0))</f>
        <v>0</v>
      </c>
      <c r="AM24" s="236">
        <f>IFERROR(IF(VLOOKUP($B24,Shortage!$A:$M,AM$2,FALSE)="Shortage",1,IFERROR(ROUND(AA24/O24,4),0)),IFERROR(ROUND(AA24/O24,4),0))</f>
        <v>0</v>
      </c>
      <c r="AN24" s="237">
        <f>IFERROR(_xlfn.XLOOKUP(AB24,'2) หลักการคำนวน Table'!$C$3:$K$3,'2) หลักการคำนวน Table'!$C$3:$K$3,,1),INDEX('2) หลักการคำนวน Table'!$C$3:$K$3,1))</f>
        <v>1</v>
      </c>
      <c r="AO24" s="237">
        <f>IFERROR(
  _xlfn.XLOOKUP(AC24,'2) หลักการคำนวน Table'!$C$3:$K$3,'2) หลักการคำนวน Table'!$C$3:$K$3,,1),
  IF(AC24&lt;MIN('2) หลักการคำนวน Table'!$C$3:$K$3),
     MIN('2) หลักการคำนวน Table'!$C$3:$K$3),
     MAX('2) หลักการคำนวน Table'!$C$3:$K$3)
  )
)</f>
        <v>0.9</v>
      </c>
      <c r="AP24" s="237">
        <f>IFERROR(
  _xlfn.XLOOKUP(AD24,'2) หลักการคำนวน Table'!$C$3:$K$3,'2) หลักการคำนวน Table'!$C$3:$K$3,,1),
  IF(AD24&lt;MIN('2) หลักการคำนวน Table'!$C$3:$K$3),
     MIN('2) หลักการคำนวน Table'!$C$3:$K$3),
     MAX('2) หลักการคำนวน Table'!$C$3:$K$3)
  )
)</f>
        <v>0.9</v>
      </c>
      <c r="AQ24" s="237">
        <f>IFERROR(
  _xlfn.XLOOKUP(AE24,'2) หลักการคำนวน Table'!$C$3:$K$3,'2) หลักการคำนวน Table'!$C$3:$K$3,,1),
  IF(AE24&lt;MIN('2) หลักการคำนวน Table'!$C$3:$K$3),
     MIN('2) หลักการคำนวน Table'!$C$3:$K$3),
     MAX('2) หลักการคำนวน Table'!$C$3:$K$3)
  )
)</f>
        <v>0.9</v>
      </c>
      <c r="AR24" s="237">
        <f>IFERROR(
  _xlfn.XLOOKUP(AF24,'2) หลักการคำนวน Table'!$C$3:$K$3,'2) หลักการคำนวน Table'!$C$3:$K$3,,1),
  IF(AF24&lt;MIN('2) หลักการคำนวน Table'!$C$3:$K$3),
     MIN('2) หลักการคำนวน Table'!$C$3:$K$3),
     MAX('2) หลักการคำนวน Table'!$C$3:$K$3)
  )
)</f>
        <v>0.9</v>
      </c>
      <c r="AS24" s="237">
        <f>IFERROR(
  _xlfn.XLOOKUP(AG24,'2) หลักการคำนวน Table'!$C$3:$K$3,'2) หลักการคำนวน Table'!$C$3:$K$3,,1),
  IF(AG24&lt;MIN('2) หลักการคำนวน Table'!$C$3:$K$3),
     MIN('2) หลักการคำนวน Table'!$C$3:$K$3),
     MAX('2) หลักการคำนวน Table'!$C$3:$K$3)
  )
)</f>
        <v>0.9</v>
      </c>
      <c r="AT24" s="237">
        <f>IFERROR(
  _xlfn.XLOOKUP(AH24,'2) หลักการคำนวน Table'!$C$3:$K$3,'2) หลักการคำนวน Table'!$C$3:$K$3,,1),
  IF(AH24&lt;MIN('2) หลักการคำนวน Table'!$C$3:$K$3),
     MIN('2) หลักการคำนวน Table'!$C$3:$K$3),
     MAX('2) หลักการคำนวน Table'!$C$3:$K$3)
  )
)</f>
        <v>0.9</v>
      </c>
      <c r="AU24" s="237">
        <f>IFERROR(
  _xlfn.XLOOKUP(AI24,'2) หลักการคำนวน Table'!$C$3:$K$3,'2) หลักการคำนวน Table'!$C$3:$K$3,,1),
  IF(AI24&lt;MIN('2) หลักการคำนวน Table'!$C$3:$K$3),
     MIN('2) หลักการคำนวน Table'!$C$3:$K$3),
     MAX('2) หลักการคำนวน Table'!$C$3:$K$3)
  )
)</f>
        <v>0.9</v>
      </c>
      <c r="AV24" s="237">
        <f>IFERROR(
  _xlfn.XLOOKUP(AJ24,'2) หลักการคำนวน Table'!$C$3:$K$3,'2) หลักการคำนวน Table'!$C$3:$K$3,,1),
  IF(AJ24&lt;MIN('2) หลักการคำนวน Table'!$C$3:$K$3),
     MIN('2) หลักการคำนวน Table'!$C$3:$K$3),
     MAX('2) หลักการคำนวน Table'!$C$3:$K$3)
  )
)</f>
        <v>0.9</v>
      </c>
      <c r="AW24" s="237">
        <f>IFERROR(
  _xlfn.XLOOKUP(AK24,'2) หลักการคำนวน Table'!$C$3:$K$3,'2) หลักการคำนวน Table'!$C$3:$K$3,,1),
  IF(AK24&lt;MIN('2) หลักการคำนวน Table'!$C$3:$K$3),
     MIN('2) หลักการคำนวน Table'!$C$3:$K$3),
     MAX('2) หลักการคำนวน Table'!$C$3:$K$3)
  )
)</f>
        <v>0.9</v>
      </c>
      <c r="AX24" s="237">
        <f>IFERROR(
  _xlfn.XLOOKUP(AL24,'2) หลักการคำนวน Table'!$C$3:$K$3,'2) หลักการคำนวน Table'!$C$3:$K$3,,1),
  IF(AL24&lt;MIN('2) หลักการคำนวน Table'!$C$3:$K$3),
     MIN('2) หลักการคำนวน Table'!$C$3:$K$3),
     MAX('2) หลักการคำนวน Table'!$C$3:$K$3)
  )
)</f>
        <v>0.9</v>
      </c>
      <c r="AY24" s="237">
        <f>IFERROR(
  _xlfn.XLOOKUP(AM24,'2) หลักการคำนวน Table'!$C$3:$K$3,'2) หลักการคำนวน Table'!$C$3:$K$3,,1),
  IF(AM24&lt;MIN('2) หลักการคำนวน Table'!$C$3:$K$3),
     MIN('2) หลักการคำนวน Table'!$C$3:$K$3),
     MAX('2) หลักการคำนวน Table'!$C$3:$K$3)
  )
)</f>
        <v>0.9</v>
      </c>
      <c r="AZ24" s="238" t="e" cm="1">
        <f t="array" ref="AZ24">(_xlfn.XLOOKUP($C24,'2) หลักการคำนวน Table'!$A$4:$A$36,
_xlfn.XLOOKUP(AN24,'2)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</f>
        <v>#N/A</v>
      </c>
      <c r="BA24" s="238" t="e" cm="1">
        <f t="array" ref="BA24">(_xlfn.XLOOKUP($C24,'2) หลักการคำนวน Table'!$A$4:$A$36,
_xlfn.XLOOKUP(AO24,'2)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</f>
        <v>#N/A</v>
      </c>
      <c r="BB24" s="238" t="e" cm="1">
        <f t="array" ref="BB24">(_xlfn.XLOOKUP($C24,'2) หลักการคำนวน Table'!$A$4:$A$36,
_xlfn.XLOOKUP(AP24,'2)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</f>
        <v>#N/A</v>
      </c>
      <c r="BC24" s="238" t="e" cm="1">
        <f t="array" ref="BC24">(_xlfn.XLOOKUP($C24,'2) หลักการคำนวน Table'!$A$4:$A$36,
_xlfn.XLOOKUP(AQ24,'2)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</f>
        <v>#N/A</v>
      </c>
      <c r="BD24" s="238" t="e" cm="1">
        <f t="array" ref="BD24">(_xlfn.XLOOKUP($C24,'2) หลักการคำนวน Table'!$A$4:$A$36,
_xlfn.XLOOKUP(AR24,'2)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</f>
        <v>#N/A</v>
      </c>
      <c r="BE24" s="238" t="e" cm="1">
        <f t="array" ref="BE24">(_xlfn.XLOOKUP($C24,'2) หลักการคำนวน Table'!$A$4:$A$36,
_xlfn.XLOOKUP(AS24,'2)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</f>
        <v>#N/A</v>
      </c>
      <c r="BF24" s="238" t="e" cm="1">
        <f t="array" ref="BF24">(_xlfn.XLOOKUP($C24,'2) หลักการคำนวน Table'!$A$4:$A$36,
_xlfn.XLOOKUP(AT24,'2)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</f>
        <v>#N/A</v>
      </c>
      <c r="BG24" s="238" t="e" cm="1">
        <f t="array" ref="BG24">(_xlfn.XLOOKUP($C24,'2) หลักการคำนวน Table'!$A$4:$A$36,
_xlfn.XLOOKUP(AU24,'2)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</f>
        <v>#N/A</v>
      </c>
      <c r="BH24" s="238" t="e" cm="1">
        <f t="array" ref="BH24">ROUND((_xlfn.XLOOKUP($C24,'2) หลักการคำนวน Table'!$A$4:$A$36,
_xlfn.XLOOKUP(AV24,'2)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I24" s="238" t="e" cm="1">
        <f t="array" ref="BI24">ROUND((_xlfn.XLOOKUP($C24,'2) หลักการคำนวน Table'!$A$4:$A$36,
_xlfn.XLOOKUP(AW24,'2)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J24" s="238" t="e" cm="1">
        <f t="array" ref="BJ24">ROUND((_xlfn.XLOOKUP($C24,'2) หลักการคำนวน Table'!$A$4:$A$36,
_xlfn.XLOOKUP(AX24,'2)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K24" s="238" t="e" cm="1">
        <f t="array" ref="BK24">ROUND((_xlfn.XLOOKUP($C24,'2) หลักการคำนวน Table'!$A$4:$A$36,
_xlfn.XLOOKUP(AY24,'2)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L24" s="234"/>
      <c r="BM24" s="234">
        <v>222238</v>
      </c>
      <c r="BN24" s="313">
        <v>252.52525252525251</v>
      </c>
    </row>
    <row r="25" spans="1:66" ht="13.2" customHeight="1" x14ac:dyDescent="0.25">
      <c r="A25" s="233">
        <f>VLOOKUP(C25,ASTBase!F:S,12,FALSE)</f>
        <v>222234</v>
      </c>
      <c r="B25" s="234" t="s">
        <v>409</v>
      </c>
      <c r="C25" s="233">
        <v>222238</v>
      </c>
      <c r="D25" s="235">
        <f>SUMIFS('3)Target &amp; Cal_Staff'!D$4:D$164,'3)Target &amp; Cal_Staff'!$B$4:$B$164,'3)Target &amp; Cal_Sect'!$B25,'3)Target &amp; Cal_Staff'!$A$4:$A$164,'3)Target &amp; Cal_Sect'!$C25)</f>
        <v>19700</v>
      </c>
      <c r="E25" s="235">
        <f>SUMIFS('3)Target &amp; Cal_Staff'!E$4:E$164,'3)Target &amp; Cal_Staff'!$B$4:$B$164,'3)Target &amp; Cal_Sect'!$B25,'3)Target &amp; Cal_Staff'!$A$4:$A$164,'3)Target &amp; Cal_Sect'!$C25)</f>
        <v>17700</v>
      </c>
      <c r="F25" s="235">
        <f>SUMIFS('3)Target &amp; Cal_Staff'!F$4:F$164,'3)Target &amp; Cal_Staff'!$B$4:$B$164,'3)Target &amp; Cal_Sect'!$B25,'3)Target &amp; Cal_Staff'!$A$4:$A$164,'3)Target &amp; Cal_Sect'!$C25)</f>
        <v>17700</v>
      </c>
      <c r="G25" s="235">
        <f>SUMIFS('3)Target &amp; Cal_Staff'!G$4:G$164,'3)Target &amp; Cal_Staff'!$B$4:$B$164,'3)Target &amp; Cal_Sect'!$B25,'3)Target &amp; Cal_Staff'!$A$4:$A$164,'3)Target &amp; Cal_Sect'!$C25)</f>
        <v>13880</v>
      </c>
      <c r="H25" s="235">
        <f>SUMIFS('3)Target &amp; Cal_Staff'!H$4:H$164,'3)Target &amp; Cal_Staff'!$B$4:$B$164,'3)Target &amp; Cal_Sect'!$B25,'3)Target &amp; Cal_Staff'!$A$4:$A$164,'3)Target &amp; Cal_Sect'!$C25)</f>
        <v>18883</v>
      </c>
      <c r="I25" s="235">
        <f>SUMIFS('3)Target &amp; Cal_Staff'!I$4:I$164,'3)Target &amp; Cal_Staff'!$B$4:$B$164,'3)Target &amp; Cal_Sect'!$B25,'3)Target &amp; Cal_Staff'!$A$4:$A$164,'3)Target &amp; Cal_Sect'!$C25)</f>
        <v>18798</v>
      </c>
      <c r="J25" s="235">
        <f>SUMIFS('3)Target &amp; Cal_Staff'!J$4:J$164,'3)Target &amp; Cal_Staff'!$B$4:$B$164,'3)Target &amp; Cal_Sect'!$B25,'3)Target &amp; Cal_Staff'!$A$4:$A$164,'3)Target &amp; Cal_Sect'!$C25)</f>
        <v>27268</v>
      </c>
      <c r="K25" s="235">
        <f>SUMIFS('3)Target &amp; Cal_Staff'!K$4:K$164,'3)Target &amp; Cal_Staff'!$B$4:$B$164,'3)Target &amp; Cal_Sect'!$B25,'3)Target &amp; Cal_Staff'!$A$4:$A$164,'3)Target &amp; Cal_Sect'!$C25)</f>
        <v>27957</v>
      </c>
      <c r="L25" s="235">
        <f>SUMIFS('3)Target &amp; Cal_Staff'!L$4:L$164,'3)Target &amp; Cal_Staff'!$B$4:$B$164,'3)Target &amp; Cal_Sect'!$B25,'3)Target &amp; Cal_Staff'!$A$4:$A$164,'3)Target &amp; Cal_Sect'!$C25)</f>
        <v>25054</v>
      </c>
      <c r="M25" s="235">
        <f>SUMIFS('3)Target &amp; Cal_Staff'!M$4:M$164,'3)Target &amp; Cal_Staff'!$B$4:$B$164,'3)Target &amp; Cal_Sect'!$B25,'3)Target &amp; Cal_Staff'!$A$4:$A$164,'3)Target &amp; Cal_Sect'!$C25)</f>
        <v>18787</v>
      </c>
      <c r="N25" s="235">
        <f>SUMIFS('3)Target &amp; Cal_Staff'!N$4:N$164,'3)Target &amp; Cal_Staff'!$B$4:$B$164,'3)Target &amp; Cal_Sect'!$B25,'3)Target &amp; Cal_Staff'!$A$4:$A$164,'3)Target &amp; Cal_Sect'!$C25)</f>
        <v>18386</v>
      </c>
      <c r="O25" s="235">
        <f>SUMIFS('3)Target &amp; Cal_Staff'!O$4:O$164,'3)Target &amp; Cal_Staff'!$B$4:$B$164,'3)Target &amp; Cal_Sect'!$B25,'3)Target &amp; Cal_Staff'!$A$4:$A$164,'3)Target &amp; Cal_Sect'!$C25)</f>
        <v>25887</v>
      </c>
      <c r="P25" s="235">
        <f>SUMIFS('3)Target &amp; Cal_Staff'!P$4:P$164,'3)Target &amp; Cal_Staff'!$B$4:$B$164,'3)Target &amp; Cal_Sect'!$B25,'3)Target &amp; Cal_Staff'!$A$4:$A$164,'3)Target &amp; Cal_Sect'!$C25)</f>
        <v>15620.256000000065</v>
      </c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6">
        <f>IFERROR(IF(VLOOKUP($B25,Shortage!$A:$M,AB$2,FALSE)="Shortage",1,IFERROR(ROUND(P25/D25,4),0)),IFERROR(ROUND(P25/D25,4),0))</f>
        <v>0.79290000000000005</v>
      </c>
      <c r="AC25" s="236">
        <f>IFERROR(IF(VLOOKUP($B25,Shortage!$A:$M,AC$2,FALSE)="Shortage",1,IFERROR(ROUND(Q25/E25,4),0)),IFERROR(ROUND(Q25/E25,4),0))</f>
        <v>0</v>
      </c>
      <c r="AD25" s="236">
        <f>IFERROR(IF(VLOOKUP($B25,Shortage!$A:$M,AD$2,FALSE)="Shortage",1,IFERROR(ROUND(R25/F25,4),0)),IFERROR(ROUND(R25/F25,4),0))</f>
        <v>0</v>
      </c>
      <c r="AE25" s="236">
        <f>IFERROR(IF(VLOOKUP($B25,Shortage!$A:$M,AE$2,FALSE)="Shortage",1,IFERROR(ROUND(S25/G25,4),0)),IFERROR(ROUND(S25/G25,4),0))</f>
        <v>0</v>
      </c>
      <c r="AF25" s="236">
        <f>IFERROR(IF(VLOOKUP($B25,Shortage!$A:$M,AF$2,FALSE)="Shortage",1,IFERROR(ROUND(T25/H25,4),0)),IFERROR(ROUND(T25/H25,4),0))</f>
        <v>0</v>
      </c>
      <c r="AG25" s="236">
        <f>IFERROR(IF(VLOOKUP($B25,Shortage!$A:$M,AG$2,FALSE)="Shortage",1,IFERROR(ROUND(U25/I25,4),0)),IFERROR(ROUND(U25/I25,4),0))</f>
        <v>0</v>
      </c>
      <c r="AH25" s="236">
        <f>IFERROR(IF(VLOOKUP($B25,Shortage!$A:$M,AH$2,FALSE)="Shortage",1,IFERROR(ROUND(V25/J25,4),0)),IFERROR(ROUND(V25/J25,4),0))</f>
        <v>0</v>
      </c>
      <c r="AI25" s="236">
        <f>IFERROR(IF(VLOOKUP($B25,Shortage!$A:$M,AI$2,FALSE)="Shortage",1,IFERROR(ROUND(W25/K25,4),0)),IFERROR(ROUND(W25/K25,4),0))</f>
        <v>0</v>
      </c>
      <c r="AJ25" s="236">
        <f>IFERROR(IF(VLOOKUP($B25,Shortage!$A:$M,AJ$2,FALSE)="Shortage",1,IFERROR(ROUND(X25/L25,4),0)),IFERROR(ROUND(X25/L25,4),0))</f>
        <v>0</v>
      </c>
      <c r="AK25" s="236">
        <f>IFERROR(IF(VLOOKUP($B25,Shortage!$A:$M,AK$2,FALSE)="Shortage",1,IFERROR(ROUND(Y25/M25,4),0)),IFERROR(ROUND(Y25/M25,4),0))</f>
        <v>0</v>
      </c>
      <c r="AL25" s="236">
        <f>IFERROR(IF(VLOOKUP($B25,Shortage!$A:$M,AL$2,FALSE)="Shortage",1,IFERROR(ROUND(Z25/N25,4),0)),IFERROR(ROUND(Z25/N25,4),0))</f>
        <v>0</v>
      </c>
      <c r="AM25" s="236">
        <f>IFERROR(IF(VLOOKUP($B25,Shortage!$A:$M,AM$2,FALSE)="Shortage",1,IFERROR(ROUND(AA25/O25,4),0)),IFERROR(ROUND(AA25/O25,4),0))</f>
        <v>0</v>
      </c>
      <c r="AN25" s="237">
        <f>IFERROR(_xlfn.XLOOKUP(AB25,'2) หลักการคำนวน Table'!$C$3:$K$3,'2) หลักการคำนวน Table'!$C$3:$K$3,,1),INDEX('2) หลักการคำนวน Table'!$C$3:$K$3,1))</f>
        <v>0.9</v>
      </c>
      <c r="AO25" s="237">
        <f>IFERROR(
  _xlfn.XLOOKUP(AC25,'2) หลักการคำนวน Table'!$C$3:$K$3,'2) หลักการคำนวน Table'!$C$3:$K$3,,1),
  IF(AC25&lt;MIN('2) หลักการคำนวน Table'!$C$3:$K$3),
     MIN('2) หลักการคำนวน Table'!$C$3:$K$3),
     MAX('2) หลักการคำนวน Table'!$C$3:$K$3)
  )
)</f>
        <v>0.9</v>
      </c>
      <c r="AP25" s="237">
        <f>IFERROR(
  _xlfn.XLOOKUP(AD25,'2) หลักการคำนวน Table'!$C$3:$K$3,'2) หลักการคำนวน Table'!$C$3:$K$3,,1),
  IF(AD25&lt;MIN('2) หลักการคำนวน Table'!$C$3:$K$3),
     MIN('2) หลักการคำนวน Table'!$C$3:$K$3),
     MAX('2) หลักการคำนวน Table'!$C$3:$K$3)
  )
)</f>
        <v>0.9</v>
      </c>
      <c r="AQ25" s="237">
        <f>IFERROR(
  _xlfn.XLOOKUP(AE25,'2) หลักการคำนวน Table'!$C$3:$K$3,'2) หลักการคำนวน Table'!$C$3:$K$3,,1),
  IF(AE25&lt;MIN('2) หลักการคำนวน Table'!$C$3:$K$3),
     MIN('2) หลักการคำนวน Table'!$C$3:$K$3),
     MAX('2) หลักการคำนวน Table'!$C$3:$K$3)
  )
)</f>
        <v>0.9</v>
      </c>
      <c r="AR25" s="237">
        <f>IFERROR(
  _xlfn.XLOOKUP(AF25,'2) หลักการคำนวน Table'!$C$3:$K$3,'2) หลักการคำนวน Table'!$C$3:$K$3,,1),
  IF(AF25&lt;MIN('2) หลักการคำนวน Table'!$C$3:$K$3),
     MIN('2) หลักการคำนวน Table'!$C$3:$K$3),
     MAX('2) หลักการคำนวน Table'!$C$3:$K$3)
  )
)</f>
        <v>0.9</v>
      </c>
      <c r="AS25" s="237">
        <f>IFERROR(
  _xlfn.XLOOKUP(AG25,'2) หลักการคำนวน Table'!$C$3:$K$3,'2) หลักการคำนวน Table'!$C$3:$K$3,,1),
  IF(AG25&lt;MIN('2) หลักการคำนวน Table'!$C$3:$K$3),
     MIN('2) หลักการคำนวน Table'!$C$3:$K$3),
     MAX('2) หลักการคำนวน Table'!$C$3:$K$3)
  )
)</f>
        <v>0.9</v>
      </c>
      <c r="AT25" s="237">
        <f>IFERROR(
  _xlfn.XLOOKUP(AH25,'2) หลักการคำนวน Table'!$C$3:$K$3,'2) หลักการคำนวน Table'!$C$3:$K$3,,1),
  IF(AH25&lt;MIN('2) หลักการคำนวน Table'!$C$3:$K$3),
     MIN('2) หลักการคำนวน Table'!$C$3:$K$3),
     MAX('2) หลักการคำนวน Table'!$C$3:$K$3)
  )
)</f>
        <v>0.9</v>
      </c>
      <c r="AU25" s="237">
        <f>IFERROR(
  _xlfn.XLOOKUP(AI25,'2) หลักการคำนวน Table'!$C$3:$K$3,'2) หลักการคำนวน Table'!$C$3:$K$3,,1),
  IF(AI25&lt;MIN('2) หลักการคำนวน Table'!$C$3:$K$3),
     MIN('2) หลักการคำนวน Table'!$C$3:$K$3),
     MAX('2) หลักการคำนวน Table'!$C$3:$K$3)
  )
)</f>
        <v>0.9</v>
      </c>
      <c r="AV25" s="237">
        <f>IFERROR(
  _xlfn.XLOOKUP(AJ25,'2) หลักการคำนวน Table'!$C$3:$K$3,'2) หลักการคำนวน Table'!$C$3:$K$3,,1),
  IF(AJ25&lt;MIN('2) หลักการคำนวน Table'!$C$3:$K$3),
     MIN('2) หลักการคำนวน Table'!$C$3:$K$3),
     MAX('2) หลักการคำนวน Table'!$C$3:$K$3)
  )
)</f>
        <v>0.9</v>
      </c>
      <c r="AW25" s="237">
        <f>IFERROR(
  _xlfn.XLOOKUP(AK25,'2) หลักการคำนวน Table'!$C$3:$K$3,'2) หลักการคำนวน Table'!$C$3:$K$3,,1),
  IF(AK25&lt;MIN('2) หลักการคำนวน Table'!$C$3:$K$3),
     MIN('2) หลักการคำนวน Table'!$C$3:$K$3),
     MAX('2) หลักการคำนวน Table'!$C$3:$K$3)
  )
)</f>
        <v>0.9</v>
      </c>
      <c r="AX25" s="237">
        <f>IFERROR(
  _xlfn.XLOOKUP(AL25,'2) หลักการคำนวน Table'!$C$3:$K$3,'2) หลักการคำนวน Table'!$C$3:$K$3,,1),
  IF(AL25&lt;MIN('2) หลักการคำนวน Table'!$C$3:$K$3),
     MIN('2) หลักการคำนวน Table'!$C$3:$K$3),
     MAX('2) หลักการคำนวน Table'!$C$3:$K$3)
  )
)</f>
        <v>0.9</v>
      </c>
      <c r="AY25" s="237">
        <f>IFERROR(
  _xlfn.XLOOKUP(AM25,'2) หลักการคำนวน Table'!$C$3:$K$3,'2) หลักการคำนวน Table'!$C$3:$K$3,,1),
  IF(AM25&lt;MIN('2) หลักการคำนวน Table'!$C$3:$K$3),
     MIN('2) หลักการคำนวน Table'!$C$3:$K$3),
     MAX('2) หลักการคำนวน Table'!$C$3:$K$3)
  )
)</f>
        <v>0.9</v>
      </c>
      <c r="AZ25" s="314" t="e" cm="1">
        <f t="array" ref="AZ25">(_xlfn.XLOOKUP($C25,'2) หลักการคำนวน Table'!$A$4:$A$36,
_xlfn.XLOOKUP(AN25,'2)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</f>
        <v>#N/A</v>
      </c>
      <c r="BA25" s="238" t="e" cm="1">
        <f t="array" ref="BA25">(_xlfn.XLOOKUP($C25,'2) หลักการคำนวน Table'!$A$4:$A$36,
_xlfn.XLOOKUP(AO25,'2)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</f>
        <v>#N/A</v>
      </c>
      <c r="BB25" s="238" t="e" cm="1">
        <f t="array" ref="BB25">(_xlfn.XLOOKUP($C25,'2) หลักการคำนวน Table'!$A$4:$A$36,
_xlfn.XLOOKUP(AP25,'2)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</f>
        <v>#N/A</v>
      </c>
      <c r="BC25" s="238" t="e" cm="1">
        <f t="array" ref="BC25">(_xlfn.XLOOKUP($C25,'2) หลักการคำนวน Table'!$A$4:$A$36,
_xlfn.XLOOKUP(AQ25,'2)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</f>
        <v>#N/A</v>
      </c>
      <c r="BD25" s="238" t="e" cm="1">
        <f t="array" ref="BD25">(_xlfn.XLOOKUP($C25,'2) หลักการคำนวน Table'!$A$4:$A$36,
_xlfn.XLOOKUP(AR25,'2)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</f>
        <v>#N/A</v>
      </c>
      <c r="BE25" s="238" t="e" cm="1">
        <f t="array" ref="BE25">(_xlfn.XLOOKUP($C25,'2) หลักการคำนวน Table'!$A$4:$A$36,
_xlfn.XLOOKUP(AS25,'2)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</f>
        <v>#N/A</v>
      </c>
      <c r="BF25" s="238" t="e" cm="1">
        <f t="array" ref="BF25">(_xlfn.XLOOKUP($C25,'2) หลักการคำนวน Table'!$A$4:$A$36,
_xlfn.XLOOKUP(AT25,'2)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</f>
        <v>#N/A</v>
      </c>
      <c r="BG25" s="238" t="e" cm="1">
        <f t="array" ref="BG25">(_xlfn.XLOOKUP($C25,'2) หลักการคำนวน Table'!$A$4:$A$36,
_xlfn.XLOOKUP(AU25,'2)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</f>
        <v>#N/A</v>
      </c>
      <c r="BH25" s="238" t="e" cm="1">
        <f t="array" ref="BH25">ROUND((_xlfn.XLOOKUP($C25,'2) หลักการคำนวน Table'!$A$4:$A$36,
_xlfn.XLOOKUP(AV25,'2)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I25" s="238" t="e" cm="1">
        <f t="array" ref="BI25">ROUND((_xlfn.XLOOKUP($C25,'2) หลักการคำนวน Table'!$A$4:$A$36,
_xlfn.XLOOKUP(AW25,'2)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J25" s="238" t="e" cm="1">
        <f t="array" ref="BJ25">ROUND((_xlfn.XLOOKUP($C25,'2) หลักการคำนวน Table'!$A$4:$A$36,
_xlfn.XLOOKUP(AX25,'2)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K25" s="238" t="e" cm="1">
        <f t="array" ref="BK25">ROUND((_xlfn.XLOOKUP($C25,'2) หลักการคำนวน Table'!$A$4:$A$36,
_xlfn.XLOOKUP(AY25,'2)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L25" s="234"/>
      <c r="BM25" s="234">
        <v>222238</v>
      </c>
      <c r="BN25" s="313">
        <v>500</v>
      </c>
    </row>
    <row r="26" spans="1:66" ht="13.2" customHeight="1" x14ac:dyDescent="0.25">
      <c r="A26" s="233">
        <f>VLOOKUP(C26,ASTBase!F:S,12,FALSE)</f>
        <v>222234</v>
      </c>
      <c r="B26" s="234" t="s">
        <v>410</v>
      </c>
      <c r="C26" s="233">
        <v>222238</v>
      </c>
      <c r="D26" s="235">
        <f>SUMIFS('3)Target &amp; Cal_Staff'!D$4:D$164,'3)Target &amp; Cal_Staff'!$B$4:$B$164,'3)Target &amp; Cal_Sect'!$B26,'3)Target &amp; Cal_Staff'!$A$4:$A$164,'3)Target &amp; Cal_Sect'!$C26)</f>
        <v>23700</v>
      </c>
      <c r="E26" s="235">
        <f>SUMIFS('3)Target &amp; Cal_Staff'!E$4:E$164,'3)Target &amp; Cal_Staff'!$B$4:$B$164,'3)Target &amp; Cal_Sect'!$B26,'3)Target &amp; Cal_Staff'!$A$4:$A$164,'3)Target &amp; Cal_Sect'!$C26)</f>
        <v>49750</v>
      </c>
      <c r="F26" s="235">
        <f>SUMIFS('3)Target &amp; Cal_Staff'!F$4:F$164,'3)Target &amp; Cal_Staff'!$B$4:$B$164,'3)Target &amp; Cal_Sect'!$B26,'3)Target &amp; Cal_Staff'!$A$4:$A$164,'3)Target &amp; Cal_Sect'!$C26)</f>
        <v>22433</v>
      </c>
      <c r="G26" s="235">
        <f>SUMIFS('3)Target &amp; Cal_Staff'!G$4:G$164,'3)Target &amp; Cal_Staff'!$B$4:$B$164,'3)Target &amp; Cal_Sect'!$B26,'3)Target &amp; Cal_Staff'!$A$4:$A$164,'3)Target &amp; Cal_Sect'!$C26)</f>
        <v>24000</v>
      </c>
      <c r="H26" s="235">
        <f>SUMIFS('3)Target &amp; Cal_Staff'!H$4:H$164,'3)Target &amp; Cal_Staff'!$B$4:$B$164,'3)Target &amp; Cal_Sect'!$B26,'3)Target &amp; Cal_Staff'!$A$4:$A$164,'3)Target &amp; Cal_Sect'!$C26)</f>
        <v>29488</v>
      </c>
      <c r="I26" s="235">
        <f>SUMIFS('3)Target &amp; Cal_Staff'!I$4:I$164,'3)Target &amp; Cal_Staff'!$B$4:$B$164,'3)Target &amp; Cal_Sect'!$B26,'3)Target &amp; Cal_Staff'!$A$4:$A$164,'3)Target &amp; Cal_Sect'!$C26)</f>
        <v>25979</v>
      </c>
      <c r="J26" s="235">
        <f>SUMIFS('3)Target &amp; Cal_Staff'!J$4:J$164,'3)Target &amp; Cal_Staff'!$B$4:$B$164,'3)Target &amp; Cal_Sect'!$B26,'3)Target &amp; Cal_Staff'!$A$4:$A$164,'3)Target &amp; Cal_Sect'!$C26)</f>
        <v>25380</v>
      </c>
      <c r="K26" s="235">
        <f>SUMIFS('3)Target &amp; Cal_Staff'!K$4:K$164,'3)Target &amp; Cal_Staff'!$B$4:$B$164,'3)Target &amp; Cal_Sect'!$B26,'3)Target &amp; Cal_Staff'!$A$4:$A$164,'3)Target &amp; Cal_Sect'!$C26)</f>
        <v>24397</v>
      </c>
      <c r="L26" s="235">
        <f>SUMIFS('3)Target &amp; Cal_Staff'!L$4:L$164,'3)Target &amp; Cal_Staff'!$B$4:$B$164,'3)Target &amp; Cal_Sect'!$B26,'3)Target &amp; Cal_Staff'!$A$4:$A$164,'3)Target &amp; Cal_Sect'!$C26)</f>
        <v>25425</v>
      </c>
      <c r="M26" s="235">
        <f>SUMIFS('3)Target &amp; Cal_Staff'!M$4:M$164,'3)Target &amp; Cal_Staff'!$B$4:$B$164,'3)Target &amp; Cal_Sect'!$B26,'3)Target &amp; Cal_Staff'!$A$4:$A$164,'3)Target &amp; Cal_Sect'!$C26)</f>
        <v>25098</v>
      </c>
      <c r="N26" s="235">
        <f>SUMIFS('3)Target &amp; Cal_Staff'!N$4:N$164,'3)Target &amp; Cal_Staff'!$B$4:$B$164,'3)Target &amp; Cal_Sect'!$B26,'3)Target &amp; Cal_Staff'!$A$4:$A$164,'3)Target &amp; Cal_Sect'!$C26)</f>
        <v>24272</v>
      </c>
      <c r="O26" s="235">
        <f>SUMIFS('3)Target &amp; Cal_Staff'!O$4:O$164,'3)Target &amp; Cal_Staff'!$B$4:$B$164,'3)Target &amp; Cal_Sect'!$B26,'3)Target &amp; Cal_Staff'!$A$4:$A$164,'3)Target &amp; Cal_Sect'!$C26)</f>
        <v>28078</v>
      </c>
      <c r="P26" s="235">
        <f>SUMIFS('3)Target &amp; Cal_Staff'!P$4:P$164,'3)Target &amp; Cal_Staff'!$B$4:$B$164,'3)Target &amp; Cal_Sect'!$B26,'3)Target &amp; Cal_Staff'!$A$4:$A$164,'3)Target &amp; Cal_Sect'!$C26)</f>
        <v>24019.299999999992</v>
      </c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6">
        <f>IFERROR(IF(VLOOKUP($B26,Shortage!$A:$M,AB$2,FALSE)="Shortage",1,IFERROR(ROUND(P26/D26,4),0)),IFERROR(ROUND(P26/D26,4),0))</f>
        <v>1.0135000000000001</v>
      </c>
      <c r="AC26" s="236">
        <f>IFERROR(IF(VLOOKUP($B26,Shortage!$A:$M,AC$2,FALSE)="Shortage",1,IFERROR(ROUND(Q26/E26,4),0)),IFERROR(ROUND(Q26/E26,4),0))</f>
        <v>0</v>
      </c>
      <c r="AD26" s="236">
        <f>IFERROR(IF(VLOOKUP($B26,Shortage!$A:$M,AD$2,FALSE)="Shortage",1,IFERROR(ROUND(R26/F26,4),0)),IFERROR(ROUND(R26/F26,4),0))</f>
        <v>0</v>
      </c>
      <c r="AE26" s="236">
        <f>IFERROR(IF(VLOOKUP($B26,Shortage!$A:$M,AE$2,FALSE)="Shortage",1,IFERROR(ROUND(S26/G26,4),0)),IFERROR(ROUND(S26/G26,4),0))</f>
        <v>0</v>
      </c>
      <c r="AF26" s="236">
        <f>IFERROR(IF(VLOOKUP($B26,Shortage!$A:$M,AF$2,FALSE)="Shortage",1,IFERROR(ROUND(T26/H26,4),0)),IFERROR(ROUND(T26/H26,4),0))</f>
        <v>0</v>
      </c>
      <c r="AG26" s="236">
        <f>IFERROR(IF(VLOOKUP($B26,Shortage!$A:$M,AG$2,FALSE)="Shortage",1,IFERROR(ROUND(U26/I26,4),0)),IFERROR(ROUND(U26/I26,4),0))</f>
        <v>0</v>
      </c>
      <c r="AH26" s="236">
        <f>IFERROR(IF(VLOOKUP($B26,Shortage!$A:$M,AH$2,FALSE)="Shortage",1,IFERROR(ROUND(V26/J26,4),0)),IFERROR(ROUND(V26/J26,4),0))</f>
        <v>0</v>
      </c>
      <c r="AI26" s="236">
        <f>IFERROR(IF(VLOOKUP($B26,Shortage!$A:$M,AI$2,FALSE)="Shortage",1,IFERROR(ROUND(W26/K26,4),0)),IFERROR(ROUND(W26/K26,4),0))</f>
        <v>0</v>
      </c>
      <c r="AJ26" s="236">
        <f>IFERROR(IF(VLOOKUP($B26,Shortage!$A:$M,AJ$2,FALSE)="Shortage",1,IFERROR(ROUND(X26/L26,4),0)),IFERROR(ROUND(X26/L26,4),0))</f>
        <v>0</v>
      </c>
      <c r="AK26" s="236">
        <f>IFERROR(IF(VLOOKUP($B26,Shortage!$A:$M,AK$2,FALSE)="Shortage",1,IFERROR(ROUND(Y26/M26,4),0)),IFERROR(ROUND(Y26/M26,4),0))</f>
        <v>0</v>
      </c>
      <c r="AL26" s="236">
        <f>IFERROR(IF(VLOOKUP($B26,Shortage!$A:$M,AL$2,FALSE)="Shortage",1,IFERROR(ROUND(Z26/N26,4),0)),IFERROR(ROUND(Z26/N26,4),0))</f>
        <v>0</v>
      </c>
      <c r="AM26" s="236">
        <f>IFERROR(IF(VLOOKUP($B26,Shortage!$A:$M,AM$2,FALSE)="Shortage",1,IFERROR(ROUND(AA26/O26,4),0)),IFERROR(ROUND(AA26/O26,4),0))</f>
        <v>0</v>
      </c>
      <c r="AN26" s="237">
        <f>IFERROR(_xlfn.XLOOKUP(AB26,'2) หลักการคำนวน Table'!$C$3:$K$3,'2) หลักการคำนวน Table'!$C$3:$K$3,,1),INDEX('2) หลักการคำนวน Table'!$C$3:$K$3,1))</f>
        <v>1.03</v>
      </c>
      <c r="AO26" s="237">
        <f>IFERROR(
  _xlfn.XLOOKUP(AC26,'2) หลักการคำนวน Table'!$C$3:$K$3,'2) หลักการคำนวน Table'!$C$3:$K$3,,1),
  IF(AC26&lt;MIN('2) หลักการคำนวน Table'!$C$3:$K$3),
     MIN('2) หลักการคำนวน Table'!$C$3:$K$3),
     MAX('2) หลักการคำนวน Table'!$C$3:$K$3)
  )
)</f>
        <v>0.9</v>
      </c>
      <c r="AP26" s="237">
        <f>IFERROR(
  _xlfn.XLOOKUP(AD26,'2) หลักการคำนวน Table'!$C$3:$K$3,'2) หลักการคำนวน Table'!$C$3:$K$3,,1),
  IF(AD26&lt;MIN('2) หลักการคำนวน Table'!$C$3:$K$3),
     MIN('2) หลักการคำนวน Table'!$C$3:$K$3),
     MAX('2) หลักการคำนวน Table'!$C$3:$K$3)
  )
)</f>
        <v>0.9</v>
      </c>
      <c r="AQ26" s="237">
        <f>IFERROR(
  _xlfn.XLOOKUP(AE26,'2) หลักการคำนวน Table'!$C$3:$K$3,'2) หลักการคำนวน Table'!$C$3:$K$3,,1),
  IF(AE26&lt;MIN('2) หลักการคำนวน Table'!$C$3:$K$3),
     MIN('2) หลักการคำนวน Table'!$C$3:$K$3),
     MAX('2) หลักการคำนวน Table'!$C$3:$K$3)
  )
)</f>
        <v>0.9</v>
      </c>
      <c r="AR26" s="237">
        <f>IFERROR(
  _xlfn.XLOOKUP(AF26,'2) หลักการคำนวน Table'!$C$3:$K$3,'2) หลักการคำนวน Table'!$C$3:$K$3,,1),
  IF(AF26&lt;MIN('2) หลักการคำนวน Table'!$C$3:$K$3),
     MIN('2) หลักการคำนวน Table'!$C$3:$K$3),
     MAX('2) หลักการคำนวน Table'!$C$3:$K$3)
  )
)</f>
        <v>0.9</v>
      </c>
      <c r="AS26" s="237">
        <f>IFERROR(
  _xlfn.XLOOKUP(AG26,'2) หลักการคำนวน Table'!$C$3:$K$3,'2) หลักการคำนวน Table'!$C$3:$K$3,,1),
  IF(AG26&lt;MIN('2) หลักการคำนวน Table'!$C$3:$K$3),
     MIN('2) หลักการคำนวน Table'!$C$3:$K$3),
     MAX('2) หลักการคำนวน Table'!$C$3:$K$3)
  )
)</f>
        <v>0.9</v>
      </c>
      <c r="AT26" s="237">
        <f>IFERROR(
  _xlfn.XLOOKUP(AH26,'2) หลักการคำนวน Table'!$C$3:$K$3,'2) หลักการคำนวน Table'!$C$3:$K$3,,1),
  IF(AH26&lt;MIN('2) หลักการคำนวน Table'!$C$3:$K$3),
     MIN('2) หลักการคำนวน Table'!$C$3:$K$3),
     MAX('2) หลักการคำนวน Table'!$C$3:$K$3)
  )
)</f>
        <v>0.9</v>
      </c>
      <c r="AU26" s="237">
        <f>IFERROR(
  _xlfn.XLOOKUP(AI26,'2) หลักการคำนวน Table'!$C$3:$K$3,'2) หลักการคำนวน Table'!$C$3:$K$3,,1),
  IF(AI26&lt;MIN('2) หลักการคำนวน Table'!$C$3:$K$3),
     MIN('2) หลักการคำนวน Table'!$C$3:$K$3),
     MAX('2) หลักการคำนวน Table'!$C$3:$K$3)
  )
)</f>
        <v>0.9</v>
      </c>
      <c r="AV26" s="237">
        <f>IFERROR(
  _xlfn.XLOOKUP(AJ26,'2) หลักการคำนวน Table'!$C$3:$K$3,'2) หลักการคำนวน Table'!$C$3:$K$3,,1),
  IF(AJ26&lt;MIN('2) หลักการคำนวน Table'!$C$3:$K$3),
     MIN('2) หลักการคำนวน Table'!$C$3:$K$3),
     MAX('2) หลักการคำนวน Table'!$C$3:$K$3)
  )
)</f>
        <v>0.9</v>
      </c>
      <c r="AW26" s="237">
        <f>IFERROR(
  _xlfn.XLOOKUP(AK26,'2) หลักการคำนวน Table'!$C$3:$K$3,'2) หลักการคำนวน Table'!$C$3:$K$3,,1),
  IF(AK26&lt;MIN('2) หลักการคำนวน Table'!$C$3:$K$3),
     MIN('2) หลักการคำนวน Table'!$C$3:$K$3),
     MAX('2) หลักการคำนวน Table'!$C$3:$K$3)
  )
)</f>
        <v>0.9</v>
      </c>
      <c r="AX26" s="237">
        <f>IFERROR(
  _xlfn.XLOOKUP(AL26,'2) หลักการคำนวน Table'!$C$3:$K$3,'2) หลักการคำนวน Table'!$C$3:$K$3,,1),
  IF(AL26&lt;MIN('2) หลักการคำนวน Table'!$C$3:$K$3),
     MIN('2) หลักการคำนวน Table'!$C$3:$K$3),
     MAX('2) หลักการคำนวน Table'!$C$3:$K$3)
  )
)</f>
        <v>0.9</v>
      </c>
      <c r="AY26" s="237">
        <f>IFERROR(
  _xlfn.XLOOKUP(AM26,'2) หลักการคำนวน Table'!$C$3:$K$3,'2) หลักการคำนวน Table'!$C$3:$K$3,,1),
  IF(AM26&lt;MIN('2) หลักการคำนวน Table'!$C$3:$K$3),
     MIN('2) หลักการคำนวน Table'!$C$3:$K$3),
     MAX('2) หลักการคำนวน Table'!$C$3:$K$3)
  )
)</f>
        <v>0.9</v>
      </c>
      <c r="AZ26" s="314" t="e" cm="1">
        <f t="array" ref="AZ26">(_xlfn.XLOOKUP($C26,'2) หลักการคำนวน Table'!$A$4:$A$36,
_xlfn.XLOOKUP(AN26,'2)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</f>
        <v>#N/A</v>
      </c>
      <c r="BA26" s="238" t="e" cm="1">
        <f t="array" ref="BA26">(_xlfn.XLOOKUP($C26,'2) หลักการคำนวน Table'!$A$4:$A$36,
_xlfn.XLOOKUP(AO26,'2)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</f>
        <v>#N/A</v>
      </c>
      <c r="BB26" s="238" t="e" cm="1">
        <f t="array" ref="BB26">(_xlfn.XLOOKUP($C26,'2) หลักการคำนวน Table'!$A$4:$A$36,
_xlfn.XLOOKUP(AP26,'2)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</f>
        <v>#N/A</v>
      </c>
      <c r="BC26" s="238" t="e" cm="1">
        <f t="array" ref="BC26">(_xlfn.XLOOKUP($C26,'2) หลักการคำนวน Table'!$A$4:$A$36,
_xlfn.XLOOKUP(AQ26,'2)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</f>
        <v>#N/A</v>
      </c>
      <c r="BD26" s="238" t="e" cm="1">
        <f t="array" ref="BD26">(_xlfn.XLOOKUP($C26,'2) หลักการคำนวน Table'!$A$4:$A$36,
_xlfn.XLOOKUP(AR26,'2)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</f>
        <v>#N/A</v>
      </c>
      <c r="BE26" s="238" t="e" cm="1">
        <f t="array" ref="BE26">(_xlfn.XLOOKUP($C26,'2) หลักการคำนวน Table'!$A$4:$A$36,
_xlfn.XLOOKUP(AS26,'2)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</f>
        <v>#N/A</v>
      </c>
      <c r="BF26" s="238" t="e" cm="1">
        <f t="array" ref="BF26">(_xlfn.XLOOKUP($C26,'2) หลักการคำนวน Table'!$A$4:$A$36,
_xlfn.XLOOKUP(AT26,'2)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</f>
        <v>#N/A</v>
      </c>
      <c r="BG26" s="238" t="e" cm="1">
        <f t="array" ref="BG26">(_xlfn.XLOOKUP($C26,'2) หลักการคำนวน Table'!$A$4:$A$36,
_xlfn.XLOOKUP(AU26,'2)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</f>
        <v>#N/A</v>
      </c>
      <c r="BH26" s="238" t="e" cm="1">
        <f t="array" ref="BH26">ROUND((_xlfn.XLOOKUP($C26,'2) หลักการคำนวน Table'!$A$4:$A$36,
_xlfn.XLOOKUP(AV26,'2)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I26" s="238" t="e" cm="1">
        <f t="array" ref="BI26">ROUND((_xlfn.XLOOKUP($C26,'2) หลักการคำนวน Table'!$A$4:$A$36,
_xlfn.XLOOKUP(AW26,'2)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J26" s="238" t="e" cm="1">
        <f t="array" ref="BJ26">ROUND((_xlfn.XLOOKUP($C26,'2) หลักการคำนวน Table'!$A$4:$A$36,
_xlfn.XLOOKUP(AX26,'2)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K26" s="238" t="e" cm="1">
        <f t="array" ref="BK26">ROUND((_xlfn.XLOOKUP($C26,'2) หลักการคำนวน Table'!$A$4:$A$36,
_xlfn.XLOOKUP(AY26,'2)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L26" s="234"/>
      <c r="BM26" s="234">
        <v>222238</v>
      </c>
      <c r="BN26" s="313">
        <v>624.24242424242414</v>
      </c>
    </row>
    <row r="27" spans="1:66" ht="13.2" customHeight="1" x14ac:dyDescent="0.25">
      <c r="A27" s="233">
        <f>VLOOKUP(C27,ASTBase!F:S,12,FALSE)</f>
        <v>222234</v>
      </c>
      <c r="B27" s="234" t="s">
        <v>415</v>
      </c>
      <c r="C27" s="233">
        <v>222238</v>
      </c>
      <c r="D27" s="235">
        <f>SUMIFS('3)Target &amp; Cal_Staff'!D$4:D$164,'3)Target &amp; Cal_Staff'!$B$4:$B$164,'3)Target &amp; Cal_Sect'!$B27,'3)Target &amp; Cal_Staff'!$A$4:$A$164,'3)Target &amp; Cal_Sect'!$C27)</f>
        <v>10750</v>
      </c>
      <c r="E27" s="235">
        <f>SUMIFS('3)Target &amp; Cal_Staff'!E$4:E$164,'3)Target &amp; Cal_Staff'!$B$4:$B$164,'3)Target &amp; Cal_Sect'!$B27,'3)Target &amp; Cal_Staff'!$A$4:$A$164,'3)Target &amp; Cal_Sect'!$C27)</f>
        <v>12050</v>
      </c>
      <c r="F27" s="235">
        <f>SUMIFS('3)Target &amp; Cal_Staff'!F$4:F$164,'3)Target &amp; Cal_Staff'!$B$4:$B$164,'3)Target &amp; Cal_Sect'!$B27,'3)Target &amp; Cal_Staff'!$A$4:$A$164,'3)Target &amp; Cal_Sect'!$C27)</f>
        <v>12050</v>
      </c>
      <c r="G27" s="235">
        <f>SUMIFS('3)Target &amp; Cal_Staff'!G$4:G$164,'3)Target &amp; Cal_Staff'!$B$4:$B$164,'3)Target &amp; Cal_Sect'!$B27,'3)Target &amp; Cal_Staff'!$A$4:$A$164,'3)Target &amp; Cal_Sect'!$C27)</f>
        <v>13550</v>
      </c>
      <c r="H27" s="235">
        <f>SUMIFS('3)Target &amp; Cal_Staff'!H$4:H$164,'3)Target &amp; Cal_Staff'!$B$4:$B$164,'3)Target &amp; Cal_Sect'!$B27,'3)Target &amp; Cal_Staff'!$A$4:$A$164,'3)Target &amp; Cal_Sect'!$C27)</f>
        <v>15950</v>
      </c>
      <c r="I27" s="235">
        <f>SUMIFS('3)Target &amp; Cal_Staff'!I$4:I$164,'3)Target &amp; Cal_Staff'!$B$4:$B$164,'3)Target &amp; Cal_Sect'!$B27,'3)Target &amp; Cal_Staff'!$A$4:$A$164,'3)Target &amp; Cal_Sect'!$C27)</f>
        <v>20480</v>
      </c>
      <c r="J27" s="235">
        <f>SUMIFS('3)Target &amp; Cal_Staff'!J$4:J$164,'3)Target &amp; Cal_Staff'!$B$4:$B$164,'3)Target &amp; Cal_Sect'!$B27,'3)Target &amp; Cal_Staff'!$A$4:$A$164,'3)Target &amp; Cal_Sect'!$C27)</f>
        <v>15900</v>
      </c>
      <c r="K27" s="235">
        <f>SUMIFS('3)Target &amp; Cal_Staff'!K$4:K$164,'3)Target &amp; Cal_Staff'!$B$4:$B$164,'3)Target &amp; Cal_Sect'!$B27,'3)Target &amp; Cal_Staff'!$A$4:$A$164,'3)Target &amp; Cal_Sect'!$C27)</f>
        <v>18750</v>
      </c>
      <c r="L27" s="235">
        <f>SUMIFS('3)Target &amp; Cal_Staff'!L$4:L$164,'3)Target &amp; Cal_Staff'!$B$4:$B$164,'3)Target &amp; Cal_Sect'!$B27,'3)Target &amp; Cal_Staff'!$A$4:$A$164,'3)Target &amp; Cal_Sect'!$C27)</f>
        <v>16128</v>
      </c>
      <c r="M27" s="235">
        <f>SUMIFS('3)Target &amp; Cal_Staff'!M$4:M$164,'3)Target &amp; Cal_Staff'!$B$4:$B$164,'3)Target &amp; Cal_Sect'!$B27,'3)Target &amp; Cal_Staff'!$A$4:$A$164,'3)Target &amp; Cal_Sect'!$C27)</f>
        <v>21782</v>
      </c>
      <c r="N27" s="235">
        <f>SUMIFS('3)Target &amp; Cal_Staff'!N$4:N$164,'3)Target &amp; Cal_Staff'!$B$4:$B$164,'3)Target &amp; Cal_Sect'!$B27,'3)Target &amp; Cal_Staff'!$A$4:$A$164,'3)Target &amp; Cal_Sect'!$C27)</f>
        <v>19871</v>
      </c>
      <c r="O27" s="235">
        <f>SUMIFS('3)Target &amp; Cal_Staff'!O$4:O$164,'3)Target &amp; Cal_Staff'!$B$4:$B$164,'3)Target &amp; Cal_Sect'!$B27,'3)Target &amp; Cal_Staff'!$A$4:$A$164,'3)Target &amp; Cal_Sect'!$C27)</f>
        <v>23739</v>
      </c>
      <c r="P27" s="235">
        <f>SUMIFS('3)Target &amp; Cal_Staff'!P$4:P$164,'3)Target &amp; Cal_Staff'!$B$4:$B$164,'3)Target &amp; Cal_Sect'!$B27,'3)Target &amp; Cal_Staff'!$A$4:$A$164,'3)Target &amp; Cal_Sect'!$C27)</f>
        <v>13921.199999999979</v>
      </c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6">
        <f>IFERROR(IF(VLOOKUP($B27,Shortage!$A:$M,AB$2,FALSE)="Shortage",1,IFERROR(ROUND(P27/D27,4),0)),IFERROR(ROUND(P27/D27,4),0))</f>
        <v>1.2949999999999999</v>
      </c>
      <c r="AC27" s="236">
        <f>IFERROR(IF(VLOOKUP($B27,Shortage!$A:$M,AC$2,FALSE)="Shortage",1,IFERROR(ROUND(Q27/E27,4),0)),IFERROR(ROUND(Q27/E27,4),0))</f>
        <v>0</v>
      </c>
      <c r="AD27" s="236">
        <f>IFERROR(IF(VLOOKUP($B27,Shortage!$A:$M,AD$2,FALSE)="Shortage",1,IFERROR(ROUND(R27/F27,4),0)),IFERROR(ROUND(R27/F27,4),0))</f>
        <v>0</v>
      </c>
      <c r="AE27" s="236">
        <f>IFERROR(IF(VLOOKUP($B27,Shortage!$A:$M,AE$2,FALSE)="Shortage",1,IFERROR(ROUND(S27/G27,4),0)),IFERROR(ROUND(S27/G27,4),0))</f>
        <v>0</v>
      </c>
      <c r="AF27" s="236">
        <f>IFERROR(IF(VLOOKUP($B27,Shortage!$A:$M,AF$2,FALSE)="Shortage",1,IFERROR(ROUND(T27/H27,4),0)),IFERROR(ROUND(T27/H27,4),0))</f>
        <v>0</v>
      </c>
      <c r="AG27" s="236">
        <f>IFERROR(IF(VLOOKUP($B27,Shortage!$A:$M,AG$2,FALSE)="Shortage",1,IFERROR(ROUND(U27/I27,4),0)),IFERROR(ROUND(U27/I27,4),0))</f>
        <v>0</v>
      </c>
      <c r="AH27" s="236">
        <f>IFERROR(IF(VLOOKUP($B27,Shortage!$A:$M,AH$2,FALSE)="Shortage",1,IFERROR(ROUND(V27/J27,4),0)),IFERROR(ROUND(V27/J27,4),0))</f>
        <v>0</v>
      </c>
      <c r="AI27" s="236">
        <f>IFERROR(IF(VLOOKUP($B27,Shortage!$A:$M,AI$2,FALSE)="Shortage",1,IFERROR(ROUND(W27/K27,4),0)),IFERROR(ROUND(W27/K27,4),0))</f>
        <v>0</v>
      </c>
      <c r="AJ27" s="236">
        <f>IFERROR(IF(VLOOKUP($B27,Shortage!$A:$M,AJ$2,FALSE)="Shortage",1,IFERROR(ROUND(X27/L27,4),0)),IFERROR(ROUND(X27/L27,4),0))</f>
        <v>0</v>
      </c>
      <c r="AK27" s="236">
        <f>IFERROR(IF(VLOOKUP($B27,Shortage!$A:$M,AK$2,FALSE)="Shortage",1,IFERROR(ROUND(Y27/M27,4),0)),IFERROR(ROUND(Y27/M27,4),0))</f>
        <v>0</v>
      </c>
      <c r="AL27" s="236">
        <f>IFERROR(IF(VLOOKUP($B27,Shortage!$A:$M,AL$2,FALSE)="Shortage",1,IFERROR(ROUND(Z27/N27,4),0)),IFERROR(ROUND(Z27/N27,4),0))</f>
        <v>0</v>
      </c>
      <c r="AM27" s="236">
        <f>IFERROR(IF(VLOOKUP($B27,Shortage!$A:$M,AM$2,FALSE)="Shortage",1,IFERROR(ROUND(AA27/O27,4),0)),IFERROR(ROUND(AA27/O27,4),0))</f>
        <v>0</v>
      </c>
      <c r="AN27" s="237">
        <f>IFERROR(_xlfn.XLOOKUP(AB27,'2) หลักการคำนวน Table'!$C$3:$K$3,'2) หลักการคำนวน Table'!$C$3:$K$3,,1),INDEX('2) หลักการคำนวน Table'!$C$3:$K$3,1))</f>
        <v>20</v>
      </c>
      <c r="AO27" s="237">
        <f>IFERROR(
  _xlfn.XLOOKUP(AC27,'2) หลักการคำนวน Table'!$C$3:$K$3,'2) หลักการคำนวน Table'!$C$3:$K$3,,1),
  IF(AC27&lt;MIN('2) หลักการคำนวน Table'!$C$3:$K$3),
     MIN('2) หลักการคำนวน Table'!$C$3:$K$3),
     MAX('2) หลักการคำนวน Table'!$C$3:$K$3)
  )
)</f>
        <v>0.9</v>
      </c>
      <c r="AP27" s="237">
        <f>IFERROR(
  _xlfn.XLOOKUP(AD27,'2) หลักการคำนวน Table'!$C$3:$K$3,'2) หลักการคำนวน Table'!$C$3:$K$3,,1),
  IF(AD27&lt;MIN('2) หลักการคำนวน Table'!$C$3:$K$3),
     MIN('2) หลักการคำนวน Table'!$C$3:$K$3),
     MAX('2) หลักการคำนวน Table'!$C$3:$K$3)
  )
)</f>
        <v>0.9</v>
      </c>
      <c r="AQ27" s="237">
        <f>IFERROR(
  _xlfn.XLOOKUP(AE27,'2) หลักการคำนวน Table'!$C$3:$K$3,'2) หลักการคำนวน Table'!$C$3:$K$3,,1),
  IF(AE27&lt;MIN('2) หลักการคำนวน Table'!$C$3:$K$3),
     MIN('2) หลักการคำนวน Table'!$C$3:$K$3),
     MAX('2) หลักการคำนวน Table'!$C$3:$K$3)
  )
)</f>
        <v>0.9</v>
      </c>
      <c r="AR27" s="237">
        <f>IFERROR(
  _xlfn.XLOOKUP(AF27,'2) หลักการคำนวน Table'!$C$3:$K$3,'2) หลักการคำนวน Table'!$C$3:$K$3,,1),
  IF(AF27&lt;MIN('2) หลักการคำนวน Table'!$C$3:$K$3),
     MIN('2) หลักการคำนวน Table'!$C$3:$K$3),
     MAX('2) หลักการคำนวน Table'!$C$3:$K$3)
  )
)</f>
        <v>0.9</v>
      </c>
      <c r="AS27" s="237">
        <f>IFERROR(
  _xlfn.XLOOKUP(AG27,'2) หลักการคำนวน Table'!$C$3:$K$3,'2) หลักการคำนวน Table'!$C$3:$K$3,,1),
  IF(AG27&lt;MIN('2) หลักการคำนวน Table'!$C$3:$K$3),
     MIN('2) หลักการคำนวน Table'!$C$3:$K$3),
     MAX('2) หลักการคำนวน Table'!$C$3:$K$3)
  )
)</f>
        <v>0.9</v>
      </c>
      <c r="AT27" s="237">
        <f>IFERROR(
  _xlfn.XLOOKUP(AH27,'2) หลักการคำนวน Table'!$C$3:$K$3,'2) หลักการคำนวน Table'!$C$3:$K$3,,1),
  IF(AH27&lt;MIN('2) หลักการคำนวน Table'!$C$3:$K$3),
     MIN('2) หลักการคำนวน Table'!$C$3:$K$3),
     MAX('2) หลักการคำนวน Table'!$C$3:$K$3)
  )
)</f>
        <v>0.9</v>
      </c>
      <c r="AU27" s="237">
        <f>IFERROR(
  _xlfn.XLOOKUP(AI27,'2) หลักการคำนวน Table'!$C$3:$K$3,'2) หลักการคำนวน Table'!$C$3:$K$3,,1),
  IF(AI27&lt;MIN('2) หลักการคำนวน Table'!$C$3:$K$3),
     MIN('2) หลักการคำนวน Table'!$C$3:$K$3),
     MAX('2) หลักการคำนวน Table'!$C$3:$K$3)
  )
)</f>
        <v>0.9</v>
      </c>
      <c r="AV27" s="237">
        <f>IFERROR(
  _xlfn.XLOOKUP(AJ27,'2) หลักการคำนวน Table'!$C$3:$K$3,'2) หลักการคำนวน Table'!$C$3:$K$3,,1),
  IF(AJ27&lt;MIN('2) หลักการคำนวน Table'!$C$3:$K$3),
     MIN('2) หลักการคำนวน Table'!$C$3:$K$3),
     MAX('2) หลักการคำนวน Table'!$C$3:$K$3)
  )
)</f>
        <v>0.9</v>
      </c>
      <c r="AW27" s="237">
        <f>IFERROR(
  _xlfn.XLOOKUP(AK27,'2) หลักการคำนวน Table'!$C$3:$K$3,'2) หลักการคำนวน Table'!$C$3:$K$3,,1),
  IF(AK27&lt;MIN('2) หลักการคำนวน Table'!$C$3:$K$3),
     MIN('2) หลักการคำนวน Table'!$C$3:$K$3),
     MAX('2) หลักการคำนวน Table'!$C$3:$K$3)
  )
)</f>
        <v>0.9</v>
      </c>
      <c r="AX27" s="237">
        <f>IFERROR(
  _xlfn.XLOOKUP(AL27,'2) หลักการคำนวน Table'!$C$3:$K$3,'2) หลักการคำนวน Table'!$C$3:$K$3,,1),
  IF(AL27&lt;MIN('2) หลักการคำนวน Table'!$C$3:$K$3),
     MIN('2) หลักการคำนวน Table'!$C$3:$K$3),
     MAX('2) หลักการคำนวน Table'!$C$3:$K$3)
  )
)</f>
        <v>0.9</v>
      </c>
      <c r="AY27" s="237">
        <f>IFERROR(
  _xlfn.XLOOKUP(AM27,'2) หลักการคำนวน Table'!$C$3:$K$3,'2) หลักการคำนวน Table'!$C$3:$K$3,,1),
  IF(AM27&lt;MIN('2) หลักการคำนวน Table'!$C$3:$K$3),
     MIN('2) หลักการคำนวน Table'!$C$3:$K$3),
     MAX('2) หลักการคำนวน Table'!$C$3:$K$3)
  )
)</f>
        <v>0.9</v>
      </c>
      <c r="AZ27" s="238" t="e" cm="1">
        <f t="array" ref="AZ27">(_xlfn.XLOOKUP($C27,'2) หลักการคำนวน Table'!$A$4:$A$36,
_xlfn.XLOOKUP(AN27,'2)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</f>
        <v>#N/A</v>
      </c>
      <c r="BA27" s="238" t="e" cm="1">
        <f t="array" ref="BA27">(_xlfn.XLOOKUP($C27,'2) หลักการคำนวน Table'!$A$4:$A$36,
_xlfn.XLOOKUP(AO27,'2)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</f>
        <v>#N/A</v>
      </c>
      <c r="BB27" s="238" t="e" cm="1">
        <f t="array" ref="BB27">(_xlfn.XLOOKUP($C27,'2) หลักการคำนวน Table'!$A$4:$A$36,
_xlfn.XLOOKUP(AP27,'2)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</f>
        <v>#N/A</v>
      </c>
      <c r="BC27" s="238" t="e" cm="1">
        <f t="array" ref="BC27">(_xlfn.XLOOKUP($C27,'2) หลักการคำนวน Table'!$A$4:$A$36,
_xlfn.XLOOKUP(AQ27,'2)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</f>
        <v>#N/A</v>
      </c>
      <c r="BD27" s="238" t="e" cm="1">
        <f t="array" ref="BD27">(_xlfn.XLOOKUP($C27,'2) หลักการคำนวน Table'!$A$4:$A$36,
_xlfn.XLOOKUP(AR27,'2)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</f>
        <v>#N/A</v>
      </c>
      <c r="BE27" s="238" t="e" cm="1">
        <f t="array" ref="BE27">(_xlfn.XLOOKUP($C27,'2) หลักการคำนวน Table'!$A$4:$A$36,
_xlfn.XLOOKUP(AS27,'2)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</f>
        <v>#N/A</v>
      </c>
      <c r="BF27" s="238" t="e" cm="1">
        <f t="array" ref="BF27">(_xlfn.XLOOKUP($C27,'2) หลักการคำนวน Table'!$A$4:$A$36,
_xlfn.XLOOKUP(AT27,'2)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</f>
        <v>#N/A</v>
      </c>
      <c r="BG27" s="238" t="e" cm="1">
        <f t="array" ref="BG27">(_xlfn.XLOOKUP($C27,'2) หลักการคำนวน Table'!$A$4:$A$36,
_xlfn.XLOOKUP(AU27,'2)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</f>
        <v>#N/A</v>
      </c>
      <c r="BH27" s="238" t="e" cm="1">
        <f t="array" ref="BH27">ROUND((_xlfn.XLOOKUP($C27,'2) หลักการคำนวน Table'!$A$4:$A$36,
_xlfn.XLOOKUP(AV27,'2)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I27" s="238" t="e" cm="1">
        <f t="array" ref="BI27">ROUND((_xlfn.XLOOKUP($C27,'2) หลักการคำนวน Table'!$A$4:$A$36,
_xlfn.XLOOKUP(AW27,'2)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J27" s="238" t="e" cm="1">
        <f t="array" ref="BJ27">ROUND((_xlfn.XLOOKUP($C27,'2) หลักการคำนวน Table'!$A$4:$A$36,
_xlfn.XLOOKUP(AX27,'2)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K27" s="238" t="e" cm="1">
        <f t="array" ref="BK27">ROUND((_xlfn.XLOOKUP($C27,'2) หลักการคำนวน Table'!$A$4:$A$36,
_xlfn.XLOOKUP(AY27,'2)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L27" s="234"/>
      <c r="BM27" s="234">
        <v>222238</v>
      </c>
      <c r="BN27" s="313">
        <v>328.28282828282829</v>
      </c>
    </row>
    <row r="28" spans="1:66" ht="13.2" customHeight="1" x14ac:dyDescent="0.25">
      <c r="A28" s="233">
        <f>VLOOKUP(C28,ASTBase!F:S,12,FALSE)</f>
        <v>222234</v>
      </c>
      <c r="B28" s="234" t="s">
        <v>414</v>
      </c>
      <c r="C28" s="233">
        <v>222238</v>
      </c>
      <c r="D28" s="235">
        <f>SUMIFS('3)Target &amp; Cal_Staff'!D$4:D$164,'3)Target &amp; Cal_Staff'!$B$4:$B$164,'3)Target &amp; Cal_Sect'!$B28,'3)Target &amp; Cal_Staff'!$A$4:$A$164,'3)Target &amp; Cal_Sect'!$C28)</f>
        <v>33000</v>
      </c>
      <c r="E28" s="235">
        <f>SUMIFS('3)Target &amp; Cal_Staff'!E$4:E$164,'3)Target &amp; Cal_Staff'!$B$4:$B$164,'3)Target &amp; Cal_Sect'!$B28,'3)Target &amp; Cal_Staff'!$A$4:$A$164,'3)Target &amp; Cal_Sect'!$C28)</f>
        <v>30000</v>
      </c>
      <c r="F28" s="235">
        <f>SUMIFS('3)Target &amp; Cal_Staff'!F$4:F$164,'3)Target &amp; Cal_Staff'!$B$4:$B$164,'3)Target &amp; Cal_Sect'!$B28,'3)Target &amp; Cal_Staff'!$A$4:$A$164,'3)Target &amp; Cal_Sect'!$C28)</f>
        <v>31700</v>
      </c>
      <c r="G28" s="235">
        <f>SUMIFS('3)Target &amp; Cal_Staff'!G$4:G$164,'3)Target &amp; Cal_Staff'!$B$4:$B$164,'3)Target &amp; Cal_Sect'!$B28,'3)Target &amp; Cal_Staff'!$A$4:$A$164,'3)Target &amp; Cal_Sect'!$C28)</f>
        <v>30300</v>
      </c>
      <c r="H28" s="235">
        <f>SUMIFS('3)Target &amp; Cal_Staff'!H$4:H$164,'3)Target &amp; Cal_Staff'!$B$4:$B$164,'3)Target &amp; Cal_Sect'!$B28,'3)Target &amp; Cal_Staff'!$A$4:$A$164,'3)Target &amp; Cal_Sect'!$C28)</f>
        <v>35598</v>
      </c>
      <c r="I28" s="235">
        <f>SUMIFS('3)Target &amp; Cal_Staff'!I$4:I$164,'3)Target &amp; Cal_Staff'!$B$4:$B$164,'3)Target &amp; Cal_Sect'!$B28,'3)Target &amp; Cal_Staff'!$A$4:$A$164,'3)Target &amp; Cal_Sect'!$C28)</f>
        <v>38745</v>
      </c>
      <c r="J28" s="235">
        <f>SUMIFS('3)Target &amp; Cal_Staff'!J$4:J$164,'3)Target &amp; Cal_Staff'!$B$4:$B$164,'3)Target &amp; Cal_Sect'!$B28,'3)Target &amp; Cal_Staff'!$A$4:$A$164,'3)Target &amp; Cal_Sect'!$C28)</f>
        <v>31793</v>
      </c>
      <c r="K28" s="235">
        <f>SUMIFS('3)Target &amp; Cal_Staff'!K$4:K$164,'3)Target &amp; Cal_Staff'!$B$4:$B$164,'3)Target &amp; Cal_Sect'!$B28,'3)Target &amp; Cal_Staff'!$A$4:$A$164,'3)Target &amp; Cal_Sect'!$C28)</f>
        <v>37887</v>
      </c>
      <c r="L28" s="235">
        <f>SUMIFS('3)Target &amp; Cal_Staff'!L$4:L$164,'3)Target &amp; Cal_Staff'!$B$4:$B$164,'3)Target &amp; Cal_Sect'!$B28,'3)Target &amp; Cal_Staff'!$A$4:$A$164,'3)Target &amp; Cal_Sect'!$C28)</f>
        <v>34298</v>
      </c>
      <c r="M28" s="235">
        <f>SUMIFS('3)Target &amp; Cal_Staff'!M$4:M$164,'3)Target &amp; Cal_Staff'!$B$4:$B$164,'3)Target &amp; Cal_Sect'!$B28,'3)Target &amp; Cal_Staff'!$A$4:$A$164,'3)Target &amp; Cal_Sect'!$C28)</f>
        <v>33945</v>
      </c>
      <c r="N28" s="235">
        <f>SUMIFS('3)Target &amp; Cal_Staff'!N$4:N$164,'3)Target &amp; Cal_Staff'!$B$4:$B$164,'3)Target &amp; Cal_Sect'!$B28,'3)Target &amp; Cal_Staff'!$A$4:$A$164,'3)Target &amp; Cal_Sect'!$C28)</f>
        <v>34689</v>
      </c>
      <c r="O28" s="235">
        <f>SUMIFS('3)Target &amp; Cal_Staff'!O$4:O$164,'3)Target &amp; Cal_Staff'!$B$4:$B$164,'3)Target &amp; Cal_Sect'!$B28,'3)Target &amp; Cal_Staff'!$A$4:$A$164,'3)Target &amp; Cal_Sect'!$C28)</f>
        <v>35245</v>
      </c>
      <c r="P28" s="235">
        <f>SUMIFS('3)Target &amp; Cal_Staff'!P$4:P$164,'3)Target &amp; Cal_Staff'!$B$4:$B$164,'3)Target &amp; Cal_Sect'!$B28,'3)Target &amp; Cal_Staff'!$A$4:$A$164,'3)Target &amp; Cal_Sect'!$C28)</f>
        <v>33165.599999999999</v>
      </c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6">
        <f>IFERROR(IF(VLOOKUP($B28,Shortage!$A:$M,AB$2,FALSE)="Shortage",1,IFERROR(ROUND(P28/D28,4),0)),IFERROR(ROUND(P28/D28,4),0))</f>
        <v>1.0049999999999999</v>
      </c>
      <c r="AC28" s="236">
        <f>IFERROR(IF(VLOOKUP($B28,Shortage!$A:$M,AC$2,FALSE)="Shortage",1,IFERROR(ROUND(Q28/E28,4),0)),IFERROR(ROUND(Q28/E28,4),0))</f>
        <v>0</v>
      </c>
      <c r="AD28" s="236">
        <f>IFERROR(IF(VLOOKUP($B28,Shortage!$A:$M,AD$2,FALSE)="Shortage",1,IFERROR(ROUND(R28/F28,4),0)),IFERROR(ROUND(R28/F28,4),0))</f>
        <v>0</v>
      </c>
      <c r="AE28" s="236">
        <f>IFERROR(IF(VLOOKUP($B28,Shortage!$A:$M,AE$2,FALSE)="Shortage",1,IFERROR(ROUND(S28/G28,4),0)),IFERROR(ROUND(S28/G28,4),0))</f>
        <v>0</v>
      </c>
      <c r="AF28" s="236">
        <f>IFERROR(IF(VLOOKUP($B28,Shortage!$A:$M,AF$2,FALSE)="Shortage",1,IFERROR(ROUND(T28/H28,4),0)),IFERROR(ROUND(T28/H28,4),0))</f>
        <v>0</v>
      </c>
      <c r="AG28" s="236">
        <f>IFERROR(IF(VLOOKUP($B28,Shortage!$A:$M,AG$2,FALSE)="Shortage",1,IFERROR(ROUND(U28/I28,4),0)),IFERROR(ROUND(U28/I28,4),0))</f>
        <v>0</v>
      </c>
      <c r="AH28" s="236">
        <f>IFERROR(IF(VLOOKUP($B28,Shortage!$A:$M,AH$2,FALSE)="Shortage",1,IFERROR(ROUND(V28/J28,4),0)),IFERROR(ROUND(V28/J28,4),0))</f>
        <v>0</v>
      </c>
      <c r="AI28" s="236">
        <f>IFERROR(IF(VLOOKUP($B28,Shortage!$A:$M,AI$2,FALSE)="Shortage",1,IFERROR(ROUND(W28/K28,4),0)),IFERROR(ROUND(W28/K28,4),0))</f>
        <v>0</v>
      </c>
      <c r="AJ28" s="236">
        <f>IFERROR(IF(VLOOKUP($B28,Shortage!$A:$M,AJ$2,FALSE)="Shortage",1,IFERROR(ROUND(X28/L28,4),0)),IFERROR(ROUND(X28/L28,4),0))</f>
        <v>0</v>
      </c>
      <c r="AK28" s="236">
        <f>IFERROR(IF(VLOOKUP($B28,Shortage!$A:$M,AK$2,FALSE)="Shortage",1,IFERROR(ROUND(Y28/M28,4),0)),IFERROR(ROUND(Y28/M28,4),0))</f>
        <v>0</v>
      </c>
      <c r="AL28" s="236">
        <f>IFERROR(IF(VLOOKUP($B28,Shortage!$A:$M,AL$2,FALSE)="Shortage",1,IFERROR(ROUND(Z28/N28,4),0)),IFERROR(ROUND(Z28/N28,4),0))</f>
        <v>0</v>
      </c>
      <c r="AM28" s="236">
        <f>IFERROR(IF(VLOOKUP($B28,Shortage!$A:$M,AM$2,FALSE)="Shortage",1,IFERROR(ROUND(AA28/O28,4),0)),IFERROR(ROUND(AA28/O28,4),0))</f>
        <v>0</v>
      </c>
      <c r="AN28" s="237">
        <f>IFERROR(_xlfn.XLOOKUP(AB28,'2) หลักการคำนวน Table'!$C$3:$K$3,'2) หลักการคำนวน Table'!$C$3:$K$3,,1),INDEX('2) หลักการคำนวน Table'!$C$3:$K$3,1))</f>
        <v>1.03</v>
      </c>
      <c r="AO28" s="237">
        <f>IFERROR(
  _xlfn.XLOOKUP(AC28,'2) หลักการคำนวน Table'!$C$3:$K$3,'2) หลักการคำนวน Table'!$C$3:$K$3,,1),
  IF(AC28&lt;MIN('2) หลักการคำนวน Table'!$C$3:$K$3),
     MIN('2) หลักการคำนวน Table'!$C$3:$K$3),
     MAX('2) หลักการคำนวน Table'!$C$3:$K$3)
  )
)</f>
        <v>0.9</v>
      </c>
      <c r="AP28" s="237">
        <f>IFERROR(
  _xlfn.XLOOKUP(AD28,'2) หลักการคำนวน Table'!$C$3:$K$3,'2) หลักการคำนวน Table'!$C$3:$K$3,,1),
  IF(AD28&lt;MIN('2) หลักการคำนวน Table'!$C$3:$K$3),
     MIN('2) หลักการคำนวน Table'!$C$3:$K$3),
     MAX('2) หลักการคำนวน Table'!$C$3:$K$3)
  )
)</f>
        <v>0.9</v>
      </c>
      <c r="AQ28" s="237">
        <f>IFERROR(
  _xlfn.XLOOKUP(AE28,'2) หลักการคำนวน Table'!$C$3:$K$3,'2) หลักการคำนวน Table'!$C$3:$K$3,,1),
  IF(AE28&lt;MIN('2) หลักการคำนวน Table'!$C$3:$K$3),
     MIN('2) หลักการคำนวน Table'!$C$3:$K$3),
     MAX('2) หลักการคำนวน Table'!$C$3:$K$3)
  )
)</f>
        <v>0.9</v>
      </c>
      <c r="AR28" s="237">
        <f>IFERROR(
  _xlfn.XLOOKUP(AF28,'2) หลักการคำนวน Table'!$C$3:$K$3,'2) หลักการคำนวน Table'!$C$3:$K$3,,1),
  IF(AF28&lt;MIN('2) หลักการคำนวน Table'!$C$3:$K$3),
     MIN('2) หลักการคำนวน Table'!$C$3:$K$3),
     MAX('2) หลักการคำนวน Table'!$C$3:$K$3)
  )
)</f>
        <v>0.9</v>
      </c>
      <c r="AS28" s="237">
        <f>IFERROR(
  _xlfn.XLOOKUP(AG28,'2) หลักการคำนวน Table'!$C$3:$K$3,'2) หลักการคำนวน Table'!$C$3:$K$3,,1),
  IF(AG28&lt;MIN('2) หลักการคำนวน Table'!$C$3:$K$3),
     MIN('2) หลักการคำนวน Table'!$C$3:$K$3),
     MAX('2) หลักการคำนวน Table'!$C$3:$K$3)
  )
)</f>
        <v>0.9</v>
      </c>
      <c r="AT28" s="237">
        <f>IFERROR(
  _xlfn.XLOOKUP(AH28,'2) หลักการคำนวน Table'!$C$3:$K$3,'2) หลักการคำนวน Table'!$C$3:$K$3,,1),
  IF(AH28&lt;MIN('2) หลักการคำนวน Table'!$C$3:$K$3),
     MIN('2) หลักการคำนวน Table'!$C$3:$K$3),
     MAX('2) หลักการคำนวน Table'!$C$3:$K$3)
  )
)</f>
        <v>0.9</v>
      </c>
      <c r="AU28" s="237">
        <f>IFERROR(
  _xlfn.XLOOKUP(AI28,'2) หลักการคำนวน Table'!$C$3:$K$3,'2) หลักการคำนวน Table'!$C$3:$K$3,,1),
  IF(AI28&lt;MIN('2) หลักการคำนวน Table'!$C$3:$K$3),
     MIN('2) หลักการคำนวน Table'!$C$3:$K$3),
     MAX('2) หลักการคำนวน Table'!$C$3:$K$3)
  )
)</f>
        <v>0.9</v>
      </c>
      <c r="AV28" s="237">
        <f>IFERROR(
  _xlfn.XLOOKUP(AJ28,'2) หลักการคำนวน Table'!$C$3:$K$3,'2) หลักการคำนวน Table'!$C$3:$K$3,,1),
  IF(AJ28&lt;MIN('2) หลักการคำนวน Table'!$C$3:$K$3),
     MIN('2) หลักการคำนวน Table'!$C$3:$K$3),
     MAX('2) หลักการคำนวน Table'!$C$3:$K$3)
  )
)</f>
        <v>0.9</v>
      </c>
      <c r="AW28" s="237">
        <f>IFERROR(
  _xlfn.XLOOKUP(AK28,'2) หลักการคำนวน Table'!$C$3:$K$3,'2) หลักการคำนวน Table'!$C$3:$K$3,,1),
  IF(AK28&lt;MIN('2) หลักการคำนวน Table'!$C$3:$K$3),
     MIN('2) หลักการคำนวน Table'!$C$3:$K$3),
     MAX('2) หลักการคำนวน Table'!$C$3:$K$3)
  )
)</f>
        <v>0.9</v>
      </c>
      <c r="AX28" s="237">
        <f>IFERROR(
  _xlfn.XLOOKUP(AL28,'2) หลักการคำนวน Table'!$C$3:$K$3,'2) หลักการคำนวน Table'!$C$3:$K$3,,1),
  IF(AL28&lt;MIN('2) หลักการคำนวน Table'!$C$3:$K$3),
     MIN('2) หลักการคำนวน Table'!$C$3:$K$3),
     MAX('2) หลักการคำนวน Table'!$C$3:$K$3)
  )
)</f>
        <v>0.9</v>
      </c>
      <c r="AY28" s="237">
        <f>IFERROR(
  _xlfn.XLOOKUP(AM28,'2) หลักการคำนวน Table'!$C$3:$K$3,'2) หลักการคำนวน Table'!$C$3:$K$3,,1),
  IF(AM28&lt;MIN('2) หลักการคำนวน Table'!$C$3:$K$3),
     MIN('2) หลักการคำนวน Table'!$C$3:$K$3),
     MAX('2) หลักการคำนวน Table'!$C$3:$K$3)
  )
)</f>
        <v>0.9</v>
      </c>
      <c r="AZ28" s="238" t="e" cm="1">
        <f t="array" ref="AZ28">(_xlfn.XLOOKUP($C28,'2) หลักการคำนวน Table'!$A$4:$A$36,
_xlfn.XLOOKUP(AN28,'2)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</f>
        <v>#N/A</v>
      </c>
      <c r="BA28" s="238" t="e" cm="1">
        <f t="array" ref="BA28">(_xlfn.XLOOKUP($C28,'2) หลักการคำนวน Table'!$A$4:$A$36,
_xlfn.XLOOKUP(AO28,'2)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</f>
        <v>#N/A</v>
      </c>
      <c r="BB28" s="238" t="e" cm="1">
        <f t="array" ref="BB28">(_xlfn.XLOOKUP($C28,'2) หลักการคำนวน Table'!$A$4:$A$36,
_xlfn.XLOOKUP(AP28,'2)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</f>
        <v>#N/A</v>
      </c>
      <c r="BC28" s="238" t="e" cm="1">
        <f t="array" ref="BC28">(_xlfn.XLOOKUP($C28,'2) หลักการคำนวน Table'!$A$4:$A$36,
_xlfn.XLOOKUP(AQ28,'2)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</f>
        <v>#N/A</v>
      </c>
      <c r="BD28" s="238" t="e" cm="1">
        <f t="array" ref="BD28">(_xlfn.XLOOKUP($C28,'2) หลักการคำนวน Table'!$A$4:$A$36,
_xlfn.XLOOKUP(AR28,'2)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</f>
        <v>#N/A</v>
      </c>
      <c r="BE28" s="238" t="e" cm="1">
        <f t="array" ref="BE28">(_xlfn.XLOOKUP($C28,'2) หลักการคำนวน Table'!$A$4:$A$36,
_xlfn.XLOOKUP(AS28,'2)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</f>
        <v>#N/A</v>
      </c>
      <c r="BF28" s="238" t="e" cm="1">
        <f t="array" ref="BF28">(_xlfn.XLOOKUP($C28,'2) หลักการคำนวน Table'!$A$4:$A$36,
_xlfn.XLOOKUP(AT28,'2)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</f>
        <v>#N/A</v>
      </c>
      <c r="BG28" s="238" t="e" cm="1">
        <f t="array" ref="BG28">(_xlfn.XLOOKUP($C28,'2) หลักการคำนวน Table'!$A$4:$A$36,
_xlfn.XLOOKUP(AU28,'2)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</f>
        <v>#N/A</v>
      </c>
      <c r="BH28" s="238" t="e" cm="1">
        <f t="array" ref="BH28">ROUND((_xlfn.XLOOKUP($C28,'2) หลักการคำนวน Table'!$A$4:$A$36,
_xlfn.XLOOKUP(AV28,'2)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I28" s="238" t="e" cm="1">
        <f t="array" ref="BI28">ROUND((_xlfn.XLOOKUP($C28,'2) หลักการคำนวน Table'!$A$4:$A$36,
_xlfn.XLOOKUP(AW28,'2)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J28" s="238" t="e" cm="1">
        <f t="array" ref="BJ28">ROUND((_xlfn.XLOOKUP($C28,'2) หลักการคำนวน Table'!$A$4:$A$36,
_xlfn.XLOOKUP(AX28,'2)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K28" s="238" t="e" cm="1">
        <f t="array" ref="BK28">ROUND((_xlfn.XLOOKUP($C28,'2) หลักการคำนวน Table'!$A$4:$A$36,
_xlfn.XLOOKUP(AY28,'2)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L28" s="234"/>
      <c r="BM28" s="234">
        <v>222238</v>
      </c>
      <c r="BN28" s="313">
        <v>260.1010101010101</v>
      </c>
    </row>
    <row r="29" spans="1:66" ht="13.2" customHeight="1" x14ac:dyDescent="0.25">
      <c r="A29" s="233">
        <f>VLOOKUP(C29,ASTBase!F:S,12,FALSE)</f>
        <v>222234</v>
      </c>
      <c r="B29" s="234" t="s">
        <v>412</v>
      </c>
      <c r="C29" s="233">
        <v>222238</v>
      </c>
      <c r="D29" s="235">
        <f>SUMIFS('3)Target &amp; Cal_Staff'!D$4:D$164,'3)Target &amp; Cal_Staff'!$B$4:$B$164,'3)Target &amp; Cal_Sect'!$B29,'3)Target &amp; Cal_Staff'!$A$4:$A$164,'3)Target &amp; Cal_Sect'!$C29)</f>
        <v>501303</v>
      </c>
      <c r="E29" s="235">
        <f>SUMIFS('3)Target &amp; Cal_Staff'!E$4:E$164,'3)Target &amp; Cal_Staff'!$B$4:$B$164,'3)Target &amp; Cal_Sect'!$B29,'3)Target &amp; Cal_Staff'!$A$4:$A$164,'3)Target &amp; Cal_Sect'!$C29)</f>
        <v>479081.89999965997</v>
      </c>
      <c r="F29" s="235">
        <f>SUMIFS('3)Target &amp; Cal_Staff'!F$4:F$164,'3)Target &amp; Cal_Staff'!$B$4:$B$164,'3)Target &amp; Cal_Sect'!$B29,'3)Target &amp; Cal_Staff'!$A$4:$A$164,'3)Target &amp; Cal_Sect'!$C29)</f>
        <v>488362</v>
      </c>
      <c r="G29" s="235">
        <f>SUMIFS('3)Target &amp; Cal_Staff'!G$4:G$164,'3)Target &amp; Cal_Staff'!$B$4:$B$164,'3)Target &amp; Cal_Sect'!$B29,'3)Target &amp; Cal_Staff'!$A$4:$A$164,'3)Target &amp; Cal_Sect'!$C29)</f>
        <v>486152</v>
      </c>
      <c r="H29" s="235">
        <f>SUMIFS('3)Target &amp; Cal_Staff'!H$4:H$164,'3)Target &amp; Cal_Staff'!$B$4:$B$164,'3)Target &amp; Cal_Sect'!$B29,'3)Target &amp; Cal_Staff'!$A$4:$A$164,'3)Target &amp; Cal_Sect'!$C29)</f>
        <v>504852</v>
      </c>
      <c r="I29" s="235">
        <f>SUMIFS('3)Target &amp; Cal_Staff'!I$4:I$164,'3)Target &amp; Cal_Staff'!$B$4:$B$164,'3)Target &amp; Cal_Sect'!$B29,'3)Target &amp; Cal_Staff'!$A$4:$A$164,'3)Target &amp; Cal_Sect'!$C29)</f>
        <v>481213.999999322</v>
      </c>
      <c r="J29" s="235">
        <f>SUMIFS('3)Target &amp; Cal_Staff'!J$4:J$164,'3)Target &amp; Cal_Staff'!$B$4:$B$164,'3)Target &amp; Cal_Sect'!$B29,'3)Target &amp; Cal_Staff'!$A$4:$A$164,'3)Target &amp; Cal_Sect'!$C29)</f>
        <v>494409.44999999902</v>
      </c>
      <c r="K29" s="235">
        <f>SUMIFS('3)Target &amp; Cal_Staff'!K$4:K$164,'3)Target &amp; Cal_Staff'!$B$4:$B$164,'3)Target &amp; Cal_Sect'!$B29,'3)Target &amp; Cal_Staff'!$A$4:$A$164,'3)Target &amp; Cal_Sect'!$C29)</f>
        <v>489462</v>
      </c>
      <c r="L29" s="235">
        <f>SUMIFS('3)Target &amp; Cal_Staff'!L$4:L$164,'3)Target &amp; Cal_Staff'!$B$4:$B$164,'3)Target &amp; Cal_Sect'!$B29,'3)Target &amp; Cal_Staff'!$A$4:$A$164,'3)Target &amp; Cal_Sect'!$C29)</f>
        <v>491652</v>
      </c>
      <c r="M29" s="235">
        <f>SUMIFS('3)Target &amp; Cal_Staff'!M$4:M$164,'3)Target &amp; Cal_Staff'!$B$4:$B$164,'3)Target &amp; Cal_Sect'!$B29,'3)Target &amp; Cal_Staff'!$A$4:$A$164,'3)Target &amp; Cal_Sect'!$C29)</f>
        <v>509351</v>
      </c>
      <c r="N29" s="235">
        <f>SUMIFS('3)Target &amp; Cal_Staff'!N$4:N$164,'3)Target &amp; Cal_Staff'!$B$4:$B$164,'3)Target &amp; Cal_Sect'!$B29,'3)Target &amp; Cal_Staff'!$A$4:$A$164,'3)Target &amp; Cal_Sect'!$C29)</f>
        <v>480308.783333153</v>
      </c>
      <c r="O29" s="235">
        <f>SUMIFS('3)Target &amp; Cal_Staff'!O$4:O$164,'3)Target &amp; Cal_Staff'!$B$4:$B$164,'3)Target &amp; Cal_Sect'!$B29,'3)Target &amp; Cal_Staff'!$A$4:$A$164,'3)Target &amp; Cal_Sect'!$C29)</f>
        <v>493852</v>
      </c>
      <c r="P29" s="235">
        <f>SUMIFS('3)Target &amp; Cal_Staff'!P$4:P$164,'3)Target &amp; Cal_Staff'!$B$4:$B$164,'3)Target &amp; Cal_Sect'!$B29,'3)Target &amp; Cal_Staff'!$A$4:$A$164,'3)Target &amp; Cal_Sect'!$C29)</f>
        <v>400630.83332634991</v>
      </c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6">
        <f>IFERROR(IF(VLOOKUP($B29,Shortage!$A:$M,AB$2,FALSE)="Shortage",1,IFERROR(ROUND(P29/D29,4),0)),IFERROR(ROUND(P29/D29,4),0))</f>
        <v>1</v>
      </c>
      <c r="AC29" s="236">
        <f>IFERROR(IF(VLOOKUP($B29,Shortage!$A:$M,AC$2,FALSE)="Shortage",1,IFERROR(ROUND(Q29/E29,4),0)),IFERROR(ROUND(Q29/E29,4),0))</f>
        <v>0</v>
      </c>
      <c r="AD29" s="236">
        <f>IFERROR(IF(VLOOKUP($B29,Shortage!$A:$M,AD$2,FALSE)="Shortage",1,IFERROR(ROUND(R29/F29,4),0)),IFERROR(ROUND(R29/F29,4),0))</f>
        <v>0</v>
      </c>
      <c r="AE29" s="236">
        <f>IFERROR(IF(VLOOKUP($B29,Shortage!$A:$M,AE$2,FALSE)="Shortage",1,IFERROR(ROUND(S29/G29,4),0)),IFERROR(ROUND(S29/G29,4),0))</f>
        <v>0</v>
      </c>
      <c r="AF29" s="236">
        <f>IFERROR(IF(VLOOKUP($B29,Shortage!$A:$M,AF$2,FALSE)="Shortage",1,IFERROR(ROUND(T29/H29,4),0)),IFERROR(ROUND(T29/H29,4),0))</f>
        <v>0</v>
      </c>
      <c r="AG29" s="236">
        <f>IFERROR(IF(VLOOKUP($B29,Shortage!$A:$M,AG$2,FALSE)="Shortage",1,IFERROR(ROUND(U29/I29,4),0)),IFERROR(ROUND(U29/I29,4),0))</f>
        <v>0</v>
      </c>
      <c r="AH29" s="236">
        <f>IFERROR(IF(VLOOKUP($B29,Shortage!$A:$M,AH$2,FALSE)="Shortage",1,IFERROR(ROUND(V29/J29,4),0)),IFERROR(ROUND(V29/J29,4),0))</f>
        <v>0</v>
      </c>
      <c r="AI29" s="236">
        <f>IFERROR(IF(VLOOKUP($B29,Shortage!$A:$M,AI$2,FALSE)="Shortage",1,IFERROR(ROUND(W29/K29,4),0)),IFERROR(ROUND(W29/K29,4),0))</f>
        <v>0</v>
      </c>
      <c r="AJ29" s="236">
        <f>IFERROR(IF(VLOOKUP($B29,Shortage!$A:$M,AJ$2,FALSE)="Shortage",1,IFERROR(ROUND(X29/L29,4),0)),IFERROR(ROUND(X29/L29,4),0))</f>
        <v>0</v>
      </c>
      <c r="AK29" s="236">
        <f>IFERROR(IF(VLOOKUP($B29,Shortage!$A:$M,AK$2,FALSE)="Shortage",1,IFERROR(ROUND(Y29/M29,4),0)),IFERROR(ROUND(Y29/M29,4),0))</f>
        <v>0</v>
      </c>
      <c r="AL29" s="236">
        <f>IFERROR(IF(VLOOKUP($B29,Shortage!$A:$M,AL$2,FALSE)="Shortage",1,IFERROR(ROUND(Z29/N29,4),0)),IFERROR(ROUND(Z29/N29,4),0))</f>
        <v>0</v>
      </c>
      <c r="AM29" s="236">
        <f>IFERROR(IF(VLOOKUP($B29,Shortage!$A:$M,AM$2,FALSE)="Shortage",1,IFERROR(ROUND(AA29/O29,4),0)),IFERROR(ROUND(AA29/O29,4),0))</f>
        <v>0</v>
      </c>
      <c r="AN29" s="237">
        <f>IFERROR(_xlfn.XLOOKUP(AB29,'2) หลักการคำนวน Table'!$C$3:$K$3,'2) หลักการคำนวน Table'!$C$3:$K$3,,1),INDEX('2) หลักการคำนวน Table'!$C$3:$K$3,1))</f>
        <v>1</v>
      </c>
      <c r="AO29" s="237">
        <f>IFERROR(
  _xlfn.XLOOKUP(AC29,'2) หลักการคำนวน Table'!$C$3:$K$3,'2) หลักการคำนวน Table'!$C$3:$K$3,,1),
  IF(AC29&lt;MIN('2) หลักการคำนวน Table'!$C$3:$K$3),
     MIN('2) หลักการคำนวน Table'!$C$3:$K$3),
     MAX('2) หลักการคำนวน Table'!$C$3:$K$3)
  )
)</f>
        <v>0.9</v>
      </c>
      <c r="AP29" s="237">
        <f>IFERROR(
  _xlfn.XLOOKUP(AD29,'2) หลักการคำนวน Table'!$C$3:$K$3,'2) หลักการคำนวน Table'!$C$3:$K$3,,1),
  IF(AD29&lt;MIN('2) หลักการคำนวน Table'!$C$3:$K$3),
     MIN('2) หลักการคำนวน Table'!$C$3:$K$3),
     MAX('2) หลักการคำนวน Table'!$C$3:$K$3)
  )
)</f>
        <v>0.9</v>
      </c>
      <c r="AQ29" s="237">
        <f>IFERROR(
  _xlfn.XLOOKUP(AE29,'2) หลักการคำนวน Table'!$C$3:$K$3,'2) หลักการคำนวน Table'!$C$3:$K$3,,1),
  IF(AE29&lt;MIN('2) หลักการคำนวน Table'!$C$3:$K$3),
     MIN('2) หลักการคำนวน Table'!$C$3:$K$3),
     MAX('2) หลักการคำนวน Table'!$C$3:$K$3)
  )
)</f>
        <v>0.9</v>
      </c>
      <c r="AR29" s="237">
        <f>IFERROR(
  _xlfn.XLOOKUP(AF29,'2) หลักการคำนวน Table'!$C$3:$K$3,'2) หลักการคำนวน Table'!$C$3:$K$3,,1),
  IF(AF29&lt;MIN('2) หลักการคำนวน Table'!$C$3:$K$3),
     MIN('2) หลักการคำนวน Table'!$C$3:$K$3),
     MAX('2) หลักการคำนวน Table'!$C$3:$K$3)
  )
)</f>
        <v>0.9</v>
      </c>
      <c r="AS29" s="237">
        <f>IFERROR(
  _xlfn.XLOOKUP(AG29,'2) หลักการคำนวน Table'!$C$3:$K$3,'2) หลักการคำนวน Table'!$C$3:$K$3,,1),
  IF(AG29&lt;MIN('2) หลักการคำนวน Table'!$C$3:$K$3),
     MIN('2) หลักการคำนวน Table'!$C$3:$K$3),
     MAX('2) หลักการคำนวน Table'!$C$3:$K$3)
  )
)</f>
        <v>0.9</v>
      </c>
      <c r="AT29" s="237">
        <f>IFERROR(
  _xlfn.XLOOKUP(AH29,'2) หลักการคำนวน Table'!$C$3:$K$3,'2) หลักการคำนวน Table'!$C$3:$K$3,,1),
  IF(AH29&lt;MIN('2) หลักการคำนวน Table'!$C$3:$K$3),
     MIN('2) หลักการคำนวน Table'!$C$3:$K$3),
     MAX('2) หลักการคำนวน Table'!$C$3:$K$3)
  )
)</f>
        <v>0.9</v>
      </c>
      <c r="AU29" s="237">
        <f>IFERROR(
  _xlfn.XLOOKUP(AI29,'2) หลักการคำนวน Table'!$C$3:$K$3,'2) หลักการคำนวน Table'!$C$3:$K$3,,1),
  IF(AI29&lt;MIN('2) หลักการคำนวน Table'!$C$3:$K$3),
     MIN('2) หลักการคำนวน Table'!$C$3:$K$3),
     MAX('2) หลักการคำนวน Table'!$C$3:$K$3)
  )
)</f>
        <v>0.9</v>
      </c>
      <c r="AV29" s="237">
        <f>IFERROR(
  _xlfn.XLOOKUP(AJ29,'2) หลักการคำนวน Table'!$C$3:$K$3,'2) หลักการคำนวน Table'!$C$3:$K$3,,1),
  IF(AJ29&lt;MIN('2) หลักการคำนวน Table'!$C$3:$K$3),
     MIN('2) หลักการคำนวน Table'!$C$3:$K$3),
     MAX('2) หลักการคำนวน Table'!$C$3:$K$3)
  )
)</f>
        <v>0.9</v>
      </c>
      <c r="AW29" s="237">
        <f>IFERROR(
  _xlfn.XLOOKUP(AK29,'2) หลักการคำนวน Table'!$C$3:$K$3,'2) หลักการคำนวน Table'!$C$3:$K$3,,1),
  IF(AK29&lt;MIN('2) หลักการคำนวน Table'!$C$3:$K$3),
     MIN('2) หลักการคำนวน Table'!$C$3:$K$3),
     MAX('2) หลักการคำนวน Table'!$C$3:$K$3)
  )
)</f>
        <v>0.9</v>
      </c>
      <c r="AX29" s="237">
        <f>IFERROR(
  _xlfn.XLOOKUP(AL29,'2) หลักการคำนวน Table'!$C$3:$K$3,'2) หลักการคำนวน Table'!$C$3:$K$3,,1),
  IF(AL29&lt;MIN('2) หลักการคำนวน Table'!$C$3:$K$3),
     MIN('2) หลักการคำนวน Table'!$C$3:$K$3),
     MAX('2) หลักการคำนวน Table'!$C$3:$K$3)
  )
)</f>
        <v>0.9</v>
      </c>
      <c r="AY29" s="237">
        <f>IFERROR(
  _xlfn.XLOOKUP(AM29,'2) หลักการคำนวน Table'!$C$3:$K$3,'2) หลักการคำนวน Table'!$C$3:$K$3,,1),
  IF(AM29&lt;MIN('2) หลักการคำนวน Table'!$C$3:$K$3),
     MIN('2) หลักการคำนวน Table'!$C$3:$K$3),
     MAX('2) หลักการคำนวน Table'!$C$3:$K$3)
  )
)</f>
        <v>0.9</v>
      </c>
      <c r="AZ29" s="238" t="e" cm="1">
        <f t="array" ref="AZ29">(_xlfn.XLOOKUP($C29,'2) หลักการคำนวน Table'!$A$4:$A$36,
_xlfn.XLOOKUP(AN29,'2)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</f>
        <v>#N/A</v>
      </c>
      <c r="BA29" s="238" t="e" cm="1">
        <f t="array" ref="BA29">(_xlfn.XLOOKUP($C29,'2) หลักการคำนวน Table'!$A$4:$A$36,
_xlfn.XLOOKUP(AO29,'2)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</f>
        <v>#N/A</v>
      </c>
      <c r="BB29" s="238" t="e" cm="1">
        <f t="array" ref="BB29">(_xlfn.XLOOKUP($C29,'2) หลักการคำนวน Table'!$A$4:$A$36,
_xlfn.XLOOKUP(AP29,'2)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</f>
        <v>#N/A</v>
      </c>
      <c r="BC29" s="238" t="e" cm="1">
        <f t="array" ref="BC29">(_xlfn.XLOOKUP($C29,'2) หลักการคำนวน Table'!$A$4:$A$36,
_xlfn.XLOOKUP(AQ29,'2)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</f>
        <v>#N/A</v>
      </c>
      <c r="BD29" s="238" t="e" cm="1">
        <f t="array" ref="BD29">(_xlfn.XLOOKUP($C29,'2) หลักการคำนวน Table'!$A$4:$A$36,
_xlfn.XLOOKUP(AR29,'2)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</f>
        <v>#N/A</v>
      </c>
      <c r="BE29" s="238" t="e" cm="1">
        <f t="array" ref="BE29">(_xlfn.XLOOKUP($C29,'2) หลักการคำนวน Table'!$A$4:$A$36,
_xlfn.XLOOKUP(AS29,'2)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</f>
        <v>#N/A</v>
      </c>
      <c r="BF29" s="238" t="e" cm="1">
        <f t="array" ref="BF29">(_xlfn.XLOOKUP($C29,'2) หลักการคำนวน Table'!$A$4:$A$36,
_xlfn.XLOOKUP(AT29,'2)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</f>
        <v>#N/A</v>
      </c>
      <c r="BG29" s="238" t="e" cm="1">
        <f t="array" ref="BG29">(_xlfn.XLOOKUP($C29,'2) หลักการคำนวน Table'!$A$4:$A$36,
_xlfn.XLOOKUP(AU29,'2)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</f>
        <v>#N/A</v>
      </c>
      <c r="BH29" s="238" t="e" cm="1">
        <f t="array" ref="BH29">ROUND((_xlfn.XLOOKUP($C29,'2) หลักการคำนวน Table'!$A$4:$A$36,
_xlfn.XLOOKUP(AV29,'2)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I29" s="238" t="e" cm="1">
        <f t="array" ref="BI29">ROUND((_xlfn.XLOOKUP($C29,'2) หลักการคำนวน Table'!$A$4:$A$36,
_xlfn.XLOOKUP(AW29,'2)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J29" s="238" t="e" cm="1">
        <f t="array" ref="BJ29">ROUND((_xlfn.XLOOKUP($C29,'2) หลักการคำนวน Table'!$A$4:$A$36,
_xlfn.XLOOKUP(AX29,'2)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K29" s="238" t="e" cm="1">
        <f t="array" ref="BK29">ROUND((_xlfn.XLOOKUP($C29,'2) หลักการคำนวน Table'!$A$4:$A$36,
_xlfn.XLOOKUP(AY29,'2)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L29" s="234"/>
      <c r="BM29" s="234">
        <v>222238</v>
      </c>
      <c r="BN29" s="313">
        <v>606.06060606060601</v>
      </c>
    </row>
    <row r="30" spans="1:66" ht="13.2" customHeight="1" x14ac:dyDescent="0.25">
      <c r="A30" s="233">
        <f>VLOOKUP(C30,ASTBase!F:S,12,FALSE)</f>
        <v>222234</v>
      </c>
      <c r="B30" s="234" t="s">
        <v>411</v>
      </c>
      <c r="C30" s="233">
        <v>222238</v>
      </c>
      <c r="D30" s="235">
        <f>SUMIFS('3)Target &amp; Cal_Staff'!D$4:D$164,'3)Target &amp; Cal_Staff'!$B$4:$B$164,'3)Target &amp; Cal_Sect'!$B30,'3)Target &amp; Cal_Staff'!$A$4:$A$164,'3)Target &amp; Cal_Sect'!$C30)</f>
        <v>7200</v>
      </c>
      <c r="E30" s="235">
        <f>SUMIFS('3)Target &amp; Cal_Staff'!E$4:E$164,'3)Target &amp; Cal_Staff'!$B$4:$B$164,'3)Target &amp; Cal_Sect'!$B30,'3)Target &amp; Cal_Staff'!$A$4:$A$164,'3)Target &amp; Cal_Sect'!$C30)</f>
        <v>7100</v>
      </c>
      <c r="F30" s="235">
        <f>SUMIFS('3)Target &amp; Cal_Staff'!F$4:F$164,'3)Target &amp; Cal_Staff'!$B$4:$B$164,'3)Target &amp; Cal_Sect'!$B30,'3)Target &amp; Cal_Staff'!$A$4:$A$164,'3)Target &amp; Cal_Sect'!$C30)</f>
        <v>7900</v>
      </c>
      <c r="G30" s="235">
        <f>SUMIFS('3)Target &amp; Cal_Staff'!G$4:G$164,'3)Target &amp; Cal_Staff'!$B$4:$B$164,'3)Target &amp; Cal_Sect'!$B30,'3)Target &amp; Cal_Staff'!$A$4:$A$164,'3)Target &amp; Cal_Sect'!$C30)</f>
        <v>6188</v>
      </c>
      <c r="H30" s="235">
        <f>SUMIFS('3)Target &amp; Cal_Staff'!H$4:H$164,'3)Target &amp; Cal_Staff'!$B$4:$B$164,'3)Target &amp; Cal_Sect'!$B30,'3)Target &amp; Cal_Staff'!$A$4:$A$164,'3)Target &amp; Cal_Sect'!$C30)</f>
        <v>8154</v>
      </c>
      <c r="I30" s="235">
        <f>SUMIFS('3)Target &amp; Cal_Staff'!I$4:I$164,'3)Target &amp; Cal_Staff'!$B$4:$B$164,'3)Target &amp; Cal_Sect'!$B30,'3)Target &amp; Cal_Staff'!$A$4:$A$164,'3)Target &amp; Cal_Sect'!$C30)</f>
        <v>7231</v>
      </c>
      <c r="J30" s="235">
        <f>SUMIFS('3)Target &amp; Cal_Staff'!J$4:J$164,'3)Target &amp; Cal_Staff'!$B$4:$B$164,'3)Target &amp; Cal_Sect'!$B30,'3)Target &amp; Cal_Staff'!$A$4:$A$164,'3)Target &amp; Cal_Sect'!$C30)</f>
        <v>11150.916666666601</v>
      </c>
      <c r="K30" s="235">
        <f>SUMIFS('3)Target &amp; Cal_Staff'!K$4:K$164,'3)Target &amp; Cal_Staff'!$B$4:$B$164,'3)Target &amp; Cal_Sect'!$B30,'3)Target &amp; Cal_Staff'!$A$4:$A$164,'3)Target &amp; Cal_Sect'!$C30)</f>
        <v>6150.9166666666697</v>
      </c>
      <c r="L30" s="235">
        <f>SUMIFS('3)Target &amp; Cal_Staff'!L$4:L$164,'3)Target &amp; Cal_Staff'!$B$4:$B$164,'3)Target &amp; Cal_Sect'!$B30,'3)Target &amp; Cal_Staff'!$A$4:$A$164,'3)Target &amp; Cal_Sect'!$C30)</f>
        <v>6252</v>
      </c>
      <c r="M30" s="235">
        <f>SUMIFS('3)Target &amp; Cal_Staff'!M$4:M$164,'3)Target &amp; Cal_Staff'!$B$4:$B$164,'3)Target &amp; Cal_Sect'!$B30,'3)Target &amp; Cal_Staff'!$A$4:$A$164,'3)Target &amp; Cal_Sect'!$C30)</f>
        <v>12246.916666666599</v>
      </c>
      <c r="N30" s="235">
        <f>SUMIFS('3)Target &amp; Cal_Staff'!N$4:N$164,'3)Target &amp; Cal_Staff'!$B$4:$B$164,'3)Target &amp; Cal_Sect'!$B30,'3)Target &amp; Cal_Staff'!$A$4:$A$164,'3)Target &amp; Cal_Sect'!$C30)</f>
        <v>8312</v>
      </c>
      <c r="O30" s="235">
        <f>SUMIFS('3)Target &amp; Cal_Staff'!O$4:O$164,'3)Target &amp; Cal_Staff'!$B$4:$B$164,'3)Target &amp; Cal_Sect'!$B30,'3)Target &amp; Cal_Staff'!$A$4:$A$164,'3)Target &amp; Cal_Sect'!$C30)</f>
        <v>10114</v>
      </c>
      <c r="P30" s="235">
        <f>SUMIFS('3)Target &amp; Cal_Staff'!P$4:P$164,'3)Target &amp; Cal_Staff'!$B$4:$B$164,'3)Target &amp; Cal_Sect'!$B30,'3)Target &amp; Cal_Staff'!$A$4:$A$164,'3)Target &amp; Cal_Sect'!$C30)</f>
        <v>9165.06</v>
      </c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6">
        <f>IFERROR(IF(VLOOKUP($B30,Shortage!$A:$M,AB$2,FALSE)="Shortage",1,IFERROR(ROUND(P30/D30,4),0)),IFERROR(ROUND(P30/D30,4),0))</f>
        <v>1.2728999999999999</v>
      </c>
      <c r="AC30" s="236">
        <f>IFERROR(IF(VLOOKUP($B30,Shortage!$A:$M,AC$2,FALSE)="Shortage",1,IFERROR(ROUND(Q30/E30,4),0)),IFERROR(ROUND(Q30/E30,4),0))</f>
        <v>0</v>
      </c>
      <c r="AD30" s="236">
        <f>IFERROR(IF(VLOOKUP($B30,Shortage!$A:$M,AD$2,FALSE)="Shortage",1,IFERROR(ROUND(R30/F30,4),0)),IFERROR(ROUND(R30/F30,4),0))</f>
        <v>0</v>
      </c>
      <c r="AE30" s="236">
        <f>IFERROR(IF(VLOOKUP($B30,Shortage!$A:$M,AE$2,FALSE)="Shortage",1,IFERROR(ROUND(S30/G30,4),0)),IFERROR(ROUND(S30/G30,4),0))</f>
        <v>0</v>
      </c>
      <c r="AF30" s="236">
        <f>IFERROR(IF(VLOOKUP($B30,Shortage!$A:$M,AF$2,FALSE)="Shortage",1,IFERROR(ROUND(T30/H30,4),0)),IFERROR(ROUND(T30/H30,4),0))</f>
        <v>0</v>
      </c>
      <c r="AG30" s="236">
        <f>IFERROR(IF(VLOOKUP($B30,Shortage!$A:$M,AG$2,FALSE)="Shortage",1,IFERROR(ROUND(U30/I30,4),0)),IFERROR(ROUND(U30/I30,4),0))</f>
        <v>0</v>
      </c>
      <c r="AH30" s="236">
        <f>IFERROR(IF(VLOOKUP($B30,Shortage!$A:$M,AH$2,FALSE)="Shortage",1,IFERROR(ROUND(V30/J30,4),0)),IFERROR(ROUND(V30/J30,4),0))</f>
        <v>0</v>
      </c>
      <c r="AI30" s="236">
        <f>IFERROR(IF(VLOOKUP($B30,Shortage!$A:$M,AI$2,FALSE)="Shortage",1,IFERROR(ROUND(W30/K30,4),0)),IFERROR(ROUND(W30/K30,4),0))</f>
        <v>0</v>
      </c>
      <c r="AJ30" s="236">
        <f>IFERROR(IF(VLOOKUP($B30,Shortage!$A:$M,AJ$2,FALSE)="Shortage",1,IFERROR(ROUND(X30/L30,4),0)),IFERROR(ROUND(X30/L30,4),0))</f>
        <v>0</v>
      </c>
      <c r="AK30" s="236">
        <f>IFERROR(IF(VLOOKUP($B30,Shortage!$A:$M,AK$2,FALSE)="Shortage",1,IFERROR(ROUND(Y30/M30,4),0)),IFERROR(ROUND(Y30/M30,4),0))</f>
        <v>0</v>
      </c>
      <c r="AL30" s="236">
        <f>IFERROR(IF(VLOOKUP($B30,Shortage!$A:$M,AL$2,FALSE)="Shortage",1,IFERROR(ROUND(Z30/N30,4),0)),IFERROR(ROUND(Z30/N30,4),0))</f>
        <v>0</v>
      </c>
      <c r="AM30" s="236">
        <f>IFERROR(IF(VLOOKUP($B30,Shortage!$A:$M,AM$2,FALSE)="Shortage",1,IFERROR(ROUND(AA30/O30,4),0)),IFERROR(ROUND(AA30/O30,4),0))</f>
        <v>0</v>
      </c>
      <c r="AN30" s="237">
        <f>IFERROR(_xlfn.XLOOKUP(AB30,'2) หลักการคำนวน Table'!$C$3:$K$3,'2) หลักการคำนวน Table'!$C$3:$K$3,,1),INDEX('2) หลักการคำนวน Table'!$C$3:$K$3,1))</f>
        <v>20</v>
      </c>
      <c r="AO30" s="237">
        <f>IFERROR(
  _xlfn.XLOOKUP(AC30,'2) หลักการคำนวน Table'!$C$3:$K$3,'2) หลักการคำนวน Table'!$C$3:$K$3,,1),
  IF(AC30&lt;MIN('2) หลักการคำนวน Table'!$C$3:$K$3),
     MIN('2) หลักการคำนวน Table'!$C$3:$K$3),
     MAX('2) หลักการคำนวน Table'!$C$3:$K$3)
  )
)</f>
        <v>0.9</v>
      </c>
      <c r="AP30" s="237">
        <f>IFERROR(
  _xlfn.XLOOKUP(AD30,'2) หลักการคำนวน Table'!$C$3:$K$3,'2) หลักการคำนวน Table'!$C$3:$K$3,,1),
  IF(AD30&lt;MIN('2) หลักการคำนวน Table'!$C$3:$K$3),
     MIN('2) หลักการคำนวน Table'!$C$3:$K$3),
     MAX('2) หลักการคำนวน Table'!$C$3:$K$3)
  )
)</f>
        <v>0.9</v>
      </c>
      <c r="AQ30" s="237">
        <f>IFERROR(
  _xlfn.XLOOKUP(AE30,'2) หลักการคำนวน Table'!$C$3:$K$3,'2) หลักการคำนวน Table'!$C$3:$K$3,,1),
  IF(AE30&lt;MIN('2) หลักการคำนวน Table'!$C$3:$K$3),
     MIN('2) หลักการคำนวน Table'!$C$3:$K$3),
     MAX('2) หลักการคำนวน Table'!$C$3:$K$3)
  )
)</f>
        <v>0.9</v>
      </c>
      <c r="AR30" s="237">
        <f>IFERROR(
  _xlfn.XLOOKUP(AF30,'2) หลักการคำนวน Table'!$C$3:$K$3,'2) หลักการคำนวน Table'!$C$3:$K$3,,1),
  IF(AF30&lt;MIN('2) หลักการคำนวน Table'!$C$3:$K$3),
     MIN('2) หลักการคำนวน Table'!$C$3:$K$3),
     MAX('2) หลักการคำนวน Table'!$C$3:$K$3)
  )
)</f>
        <v>0.9</v>
      </c>
      <c r="AS30" s="237">
        <f>IFERROR(
  _xlfn.XLOOKUP(AG30,'2) หลักการคำนวน Table'!$C$3:$K$3,'2) หลักการคำนวน Table'!$C$3:$K$3,,1),
  IF(AG30&lt;MIN('2) หลักการคำนวน Table'!$C$3:$K$3),
     MIN('2) หลักการคำนวน Table'!$C$3:$K$3),
     MAX('2) หลักการคำนวน Table'!$C$3:$K$3)
  )
)</f>
        <v>0.9</v>
      </c>
      <c r="AT30" s="237">
        <f>IFERROR(
  _xlfn.XLOOKUP(AH30,'2) หลักการคำนวน Table'!$C$3:$K$3,'2) หลักการคำนวน Table'!$C$3:$K$3,,1),
  IF(AH30&lt;MIN('2) หลักการคำนวน Table'!$C$3:$K$3),
     MIN('2) หลักการคำนวน Table'!$C$3:$K$3),
     MAX('2) หลักการคำนวน Table'!$C$3:$K$3)
  )
)</f>
        <v>0.9</v>
      </c>
      <c r="AU30" s="237">
        <f>IFERROR(
  _xlfn.XLOOKUP(AI30,'2) หลักการคำนวน Table'!$C$3:$K$3,'2) หลักการคำนวน Table'!$C$3:$K$3,,1),
  IF(AI30&lt;MIN('2) หลักการคำนวน Table'!$C$3:$K$3),
     MIN('2) หลักการคำนวน Table'!$C$3:$K$3),
     MAX('2) หลักการคำนวน Table'!$C$3:$K$3)
  )
)</f>
        <v>0.9</v>
      </c>
      <c r="AV30" s="237">
        <f>IFERROR(
  _xlfn.XLOOKUP(AJ30,'2) หลักการคำนวน Table'!$C$3:$K$3,'2) หลักการคำนวน Table'!$C$3:$K$3,,1),
  IF(AJ30&lt;MIN('2) หลักการคำนวน Table'!$C$3:$K$3),
     MIN('2) หลักการคำนวน Table'!$C$3:$K$3),
     MAX('2) หลักการคำนวน Table'!$C$3:$K$3)
  )
)</f>
        <v>0.9</v>
      </c>
      <c r="AW30" s="237">
        <f>IFERROR(
  _xlfn.XLOOKUP(AK30,'2) หลักการคำนวน Table'!$C$3:$K$3,'2) หลักการคำนวน Table'!$C$3:$K$3,,1),
  IF(AK30&lt;MIN('2) หลักการคำนวน Table'!$C$3:$K$3),
     MIN('2) หลักการคำนวน Table'!$C$3:$K$3),
     MAX('2) หลักการคำนวน Table'!$C$3:$K$3)
  )
)</f>
        <v>0.9</v>
      </c>
      <c r="AX30" s="237">
        <f>IFERROR(
  _xlfn.XLOOKUP(AL30,'2) หลักการคำนวน Table'!$C$3:$K$3,'2) หลักการคำนวน Table'!$C$3:$K$3,,1),
  IF(AL30&lt;MIN('2) หลักการคำนวน Table'!$C$3:$K$3),
     MIN('2) หลักการคำนวน Table'!$C$3:$K$3),
     MAX('2) หลักการคำนวน Table'!$C$3:$K$3)
  )
)</f>
        <v>0.9</v>
      </c>
      <c r="AY30" s="237">
        <f>IFERROR(
  _xlfn.XLOOKUP(AM30,'2) หลักการคำนวน Table'!$C$3:$K$3,'2) หลักการคำนวน Table'!$C$3:$K$3,,1),
  IF(AM30&lt;MIN('2) หลักการคำนวน Table'!$C$3:$K$3),
     MIN('2) หลักการคำนวน Table'!$C$3:$K$3),
     MAX('2) หลักการคำนวน Table'!$C$3:$K$3)
  )
)</f>
        <v>0.9</v>
      </c>
      <c r="AZ30" s="238" t="e" cm="1">
        <f t="array" ref="AZ30">(_xlfn.XLOOKUP($C30,'2) หลักการคำนวน Table'!$A$4:$A$36,
_xlfn.XLOOKUP(AN30,'2)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</f>
        <v>#N/A</v>
      </c>
      <c r="BA30" s="238" t="e" cm="1">
        <f t="array" ref="BA30">(_xlfn.XLOOKUP($C30,'2) หลักการคำนวน Table'!$A$4:$A$36,
_xlfn.XLOOKUP(AO30,'2)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</f>
        <v>#N/A</v>
      </c>
      <c r="BB30" s="238" t="e" cm="1">
        <f t="array" ref="BB30">(_xlfn.XLOOKUP($C30,'2) หลักการคำนวน Table'!$A$4:$A$36,
_xlfn.XLOOKUP(AP30,'2)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</f>
        <v>#N/A</v>
      </c>
      <c r="BC30" s="238" t="e" cm="1">
        <f t="array" ref="BC30">(_xlfn.XLOOKUP($C30,'2) หลักการคำนวน Table'!$A$4:$A$36,
_xlfn.XLOOKUP(AQ30,'2)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</f>
        <v>#N/A</v>
      </c>
      <c r="BD30" s="238" t="e" cm="1">
        <f t="array" ref="BD30">(_xlfn.XLOOKUP($C30,'2) หลักการคำนวน Table'!$A$4:$A$36,
_xlfn.XLOOKUP(AR30,'2)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</f>
        <v>#N/A</v>
      </c>
      <c r="BE30" s="238" t="e" cm="1">
        <f t="array" ref="BE30">(_xlfn.XLOOKUP($C30,'2) หลักการคำนวน Table'!$A$4:$A$36,
_xlfn.XLOOKUP(AS30,'2)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</f>
        <v>#N/A</v>
      </c>
      <c r="BF30" s="238" t="e" cm="1">
        <f t="array" ref="BF30">(_xlfn.XLOOKUP($C30,'2) หลักการคำนวน Table'!$A$4:$A$36,
_xlfn.XLOOKUP(AT30,'2)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</f>
        <v>#N/A</v>
      </c>
      <c r="BG30" s="238" t="e" cm="1">
        <f t="array" ref="BG30">(_xlfn.XLOOKUP($C30,'2) หลักการคำนวน Table'!$A$4:$A$36,
_xlfn.XLOOKUP(AU30,'2)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</f>
        <v>#N/A</v>
      </c>
      <c r="BH30" s="238" t="e" cm="1">
        <f t="array" ref="BH30">ROUND((_xlfn.XLOOKUP($C30,'2) หลักการคำนวน Table'!$A$4:$A$36,
_xlfn.XLOOKUP(AV30,'2)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I30" s="238" t="e" cm="1">
        <f t="array" ref="BI30">ROUND((_xlfn.XLOOKUP($C30,'2) หลักการคำนวน Table'!$A$4:$A$36,
_xlfn.XLOOKUP(AW30,'2)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J30" s="238" t="e" cm="1">
        <f t="array" ref="BJ30">ROUND((_xlfn.XLOOKUP($C30,'2) หลักการคำนวน Table'!$A$4:$A$36,
_xlfn.XLOOKUP(AX30,'2)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K30" s="238" t="e" cm="1">
        <f t="array" ref="BK30">ROUND((_xlfn.XLOOKUP($C30,'2) หลักการคำนวน Table'!$A$4:$A$36,
_xlfn.XLOOKUP(AY30,'2)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L30" s="234"/>
      <c r="BM30" s="234">
        <v>222238</v>
      </c>
      <c r="BN30" s="313">
        <v>656.56565656565658</v>
      </c>
    </row>
    <row r="31" spans="1:66" ht="13.2" customHeight="1" x14ac:dyDescent="0.25">
      <c r="A31" s="233">
        <f>VLOOKUP(C31,ASTBase!F:S,12,FALSE)</f>
        <v>222234</v>
      </c>
      <c r="B31" s="234" t="s">
        <v>417</v>
      </c>
      <c r="C31" s="233">
        <v>222238</v>
      </c>
      <c r="D31" s="235">
        <f>SUMIFS('3)Target &amp; Cal_Staff'!D$4:D$164,'3)Target &amp; Cal_Staff'!$B$4:$B$164,'3)Target &amp; Cal_Sect'!$B31,'3)Target &amp; Cal_Staff'!$A$4:$A$164,'3)Target &amp; Cal_Sect'!$C31)</f>
        <v>150</v>
      </c>
      <c r="E31" s="235">
        <f>SUMIFS('3)Target &amp; Cal_Staff'!E$4:E$164,'3)Target &amp; Cal_Staff'!$B$4:$B$164,'3)Target &amp; Cal_Sect'!$B31,'3)Target &amp; Cal_Staff'!$A$4:$A$164,'3)Target &amp; Cal_Sect'!$C31)</f>
        <v>8</v>
      </c>
      <c r="F31" s="235">
        <f>SUMIFS('3)Target &amp; Cal_Staff'!F$4:F$164,'3)Target &amp; Cal_Staff'!$B$4:$B$164,'3)Target &amp; Cal_Sect'!$B31,'3)Target &amp; Cal_Staff'!$A$4:$A$164,'3)Target &amp; Cal_Sect'!$C31)</f>
        <v>10</v>
      </c>
      <c r="G31" s="235">
        <f>SUMIFS('3)Target &amp; Cal_Staff'!G$4:G$164,'3)Target &amp; Cal_Staff'!$B$4:$B$164,'3)Target &amp; Cal_Sect'!$B31,'3)Target &amp; Cal_Staff'!$A$4:$A$164,'3)Target &amp; Cal_Sect'!$C31)</f>
        <v>8</v>
      </c>
      <c r="H31" s="235">
        <f>SUMIFS('3)Target &amp; Cal_Staff'!H$4:H$164,'3)Target &amp; Cal_Staff'!$B$4:$B$164,'3)Target &amp; Cal_Sect'!$B31,'3)Target &amp; Cal_Staff'!$A$4:$A$164,'3)Target &amp; Cal_Sect'!$C31)</f>
        <v>10</v>
      </c>
      <c r="I31" s="235">
        <f>SUMIFS('3)Target &amp; Cal_Staff'!I$4:I$164,'3)Target &amp; Cal_Staff'!$B$4:$B$164,'3)Target &amp; Cal_Sect'!$B31,'3)Target &amp; Cal_Staff'!$A$4:$A$164,'3)Target &amp; Cal_Sect'!$C31)</f>
        <v>15</v>
      </c>
      <c r="J31" s="235">
        <f>SUMIFS('3)Target &amp; Cal_Staff'!J$4:J$164,'3)Target &amp; Cal_Staff'!$B$4:$B$164,'3)Target &amp; Cal_Sect'!$B31,'3)Target &amp; Cal_Staff'!$A$4:$A$164,'3)Target &amp; Cal_Sect'!$C31)</f>
        <v>15</v>
      </c>
      <c r="K31" s="235">
        <f>SUMIFS('3)Target &amp; Cal_Staff'!K$4:K$164,'3)Target &amp; Cal_Staff'!$B$4:$B$164,'3)Target &amp; Cal_Sect'!$B31,'3)Target &amp; Cal_Staff'!$A$4:$A$164,'3)Target &amp; Cal_Sect'!$C31)</f>
        <v>8</v>
      </c>
      <c r="L31" s="235">
        <f>SUMIFS('3)Target &amp; Cal_Staff'!L$4:L$164,'3)Target &amp; Cal_Staff'!$B$4:$B$164,'3)Target &amp; Cal_Sect'!$B31,'3)Target &amp; Cal_Staff'!$A$4:$A$164,'3)Target &amp; Cal_Sect'!$C31)</f>
        <v>10</v>
      </c>
      <c r="M31" s="235">
        <f>SUMIFS('3)Target &amp; Cal_Staff'!M$4:M$164,'3)Target &amp; Cal_Staff'!$B$4:$B$164,'3)Target &amp; Cal_Sect'!$B31,'3)Target &amp; Cal_Staff'!$A$4:$A$164,'3)Target &amp; Cal_Sect'!$C31)</f>
        <v>10</v>
      </c>
      <c r="N31" s="235">
        <f>SUMIFS('3)Target &amp; Cal_Staff'!N$4:N$164,'3)Target &amp; Cal_Staff'!$B$4:$B$164,'3)Target &amp; Cal_Sect'!$B31,'3)Target &amp; Cal_Staff'!$A$4:$A$164,'3)Target &amp; Cal_Sect'!$C31)</f>
        <v>10</v>
      </c>
      <c r="O31" s="235">
        <f>SUMIFS('3)Target &amp; Cal_Staff'!O$4:O$164,'3)Target &amp; Cal_Staff'!$B$4:$B$164,'3)Target &amp; Cal_Sect'!$B31,'3)Target &amp; Cal_Staff'!$A$4:$A$164,'3)Target &amp; Cal_Sect'!$C31)</f>
        <v>15</v>
      </c>
      <c r="P31" s="235">
        <f>SUMIFS('3)Target &amp; Cal_Staff'!P$4:P$164,'3)Target &amp; Cal_Staff'!$B$4:$B$164,'3)Target &amp; Cal_Sect'!$B31,'3)Target &amp; Cal_Staff'!$A$4:$A$164,'3)Target &amp; Cal_Sect'!$C31)</f>
        <v>154.99999999008</v>
      </c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6">
        <f>IFERROR(IF(VLOOKUP($B31,Shortage!$A:$M,AB$2,FALSE)="Shortage",1,IFERROR(ROUND(P31/D31,4),0)),IFERROR(ROUND(P31/D31,4),0))</f>
        <v>1.0333000000000001</v>
      </c>
      <c r="AC31" s="236">
        <f>IFERROR(IF(VLOOKUP($B31,Shortage!$A:$M,AC$2,FALSE)="Shortage",1,IFERROR(ROUND(Q31/E31,4),0)),IFERROR(ROUND(Q31/E31,4),0))</f>
        <v>0</v>
      </c>
      <c r="AD31" s="236">
        <f>IFERROR(IF(VLOOKUP($B31,Shortage!$A:$M,AD$2,FALSE)="Shortage",1,IFERROR(ROUND(R31/F31,4),0)),IFERROR(ROUND(R31/F31,4),0))</f>
        <v>0</v>
      </c>
      <c r="AE31" s="236">
        <f>IFERROR(IF(VLOOKUP($B31,Shortage!$A:$M,AE$2,FALSE)="Shortage",1,IFERROR(ROUND(S31/G31,4),0)),IFERROR(ROUND(S31/G31,4),0))</f>
        <v>0</v>
      </c>
      <c r="AF31" s="236">
        <f>IFERROR(IF(VLOOKUP($B31,Shortage!$A:$M,AF$2,FALSE)="Shortage",1,IFERROR(ROUND(T31/H31,4),0)),IFERROR(ROUND(T31/H31,4),0))</f>
        <v>0</v>
      </c>
      <c r="AG31" s="236">
        <f>IFERROR(IF(VLOOKUP($B31,Shortage!$A:$M,AG$2,FALSE)="Shortage",1,IFERROR(ROUND(U31/I31,4),0)),IFERROR(ROUND(U31/I31,4),0))</f>
        <v>0</v>
      </c>
      <c r="AH31" s="236">
        <f>IFERROR(IF(VLOOKUP($B31,Shortage!$A:$M,AH$2,FALSE)="Shortage",1,IFERROR(ROUND(V31/J31,4),0)),IFERROR(ROUND(V31/J31,4),0))</f>
        <v>0</v>
      </c>
      <c r="AI31" s="236">
        <f>IFERROR(IF(VLOOKUP($B31,Shortage!$A:$M,AI$2,FALSE)="Shortage",1,IFERROR(ROUND(W31/K31,4),0)),IFERROR(ROUND(W31/K31,4),0))</f>
        <v>0</v>
      </c>
      <c r="AJ31" s="236">
        <f>IFERROR(IF(VLOOKUP($B31,Shortage!$A:$M,AJ$2,FALSE)="Shortage",1,IFERROR(ROUND(X31/L31,4),0)),IFERROR(ROUND(X31/L31,4),0))</f>
        <v>0</v>
      </c>
      <c r="AK31" s="236">
        <f>IFERROR(IF(VLOOKUP($B31,Shortage!$A:$M,AK$2,FALSE)="Shortage",1,IFERROR(ROUND(Y31/M31,4),0)),IFERROR(ROUND(Y31/M31,4),0))</f>
        <v>0</v>
      </c>
      <c r="AL31" s="236">
        <f>IFERROR(IF(VLOOKUP($B31,Shortage!$A:$M,AL$2,FALSE)="Shortage",1,IFERROR(ROUND(Z31/N31,4),0)),IFERROR(ROUND(Z31/N31,4),0))</f>
        <v>0</v>
      </c>
      <c r="AM31" s="236">
        <f>IFERROR(IF(VLOOKUP($B31,Shortage!$A:$M,AM$2,FALSE)="Shortage",1,IFERROR(ROUND(AA31/O31,4),0)),IFERROR(ROUND(AA31/O31,4),0))</f>
        <v>0</v>
      </c>
      <c r="AN31" s="237">
        <f>IFERROR(_xlfn.XLOOKUP(AB31,'2) หลักการคำนวน Table'!$C$3:$K$3,'2) หลักการคำนวน Table'!$C$3:$K$3,,1),INDEX('2) หลักการคำนวน Table'!$C$3:$K$3,1))</f>
        <v>1.06</v>
      </c>
      <c r="AO31" s="237">
        <f>IFERROR(
  _xlfn.XLOOKUP(AC31,'2) หลักการคำนวน Table'!$C$3:$K$3,'2) หลักการคำนวน Table'!$C$3:$K$3,,1),
  IF(AC31&lt;MIN('2) หลักการคำนวน Table'!$C$3:$K$3),
     MIN('2) หลักการคำนวน Table'!$C$3:$K$3),
     MAX('2) หลักการคำนวน Table'!$C$3:$K$3)
  )
)</f>
        <v>0.9</v>
      </c>
      <c r="AP31" s="237">
        <f>IFERROR(
  _xlfn.XLOOKUP(AD31,'2) หลักการคำนวน Table'!$C$3:$K$3,'2) หลักการคำนวน Table'!$C$3:$K$3,,1),
  IF(AD31&lt;MIN('2) หลักการคำนวน Table'!$C$3:$K$3),
     MIN('2) หลักการคำนวน Table'!$C$3:$K$3),
     MAX('2) หลักการคำนวน Table'!$C$3:$K$3)
  )
)</f>
        <v>0.9</v>
      </c>
      <c r="AQ31" s="237">
        <f>IFERROR(
  _xlfn.XLOOKUP(AE31,'2) หลักการคำนวน Table'!$C$3:$K$3,'2) หลักการคำนวน Table'!$C$3:$K$3,,1),
  IF(AE31&lt;MIN('2) หลักการคำนวน Table'!$C$3:$K$3),
     MIN('2) หลักการคำนวน Table'!$C$3:$K$3),
     MAX('2) หลักการคำนวน Table'!$C$3:$K$3)
  )
)</f>
        <v>0.9</v>
      </c>
      <c r="AR31" s="237">
        <f>IFERROR(
  _xlfn.XLOOKUP(AF31,'2) หลักการคำนวน Table'!$C$3:$K$3,'2) หลักการคำนวน Table'!$C$3:$K$3,,1),
  IF(AF31&lt;MIN('2) หลักการคำนวน Table'!$C$3:$K$3),
     MIN('2) หลักการคำนวน Table'!$C$3:$K$3),
     MAX('2) หลักการคำนวน Table'!$C$3:$K$3)
  )
)</f>
        <v>0.9</v>
      </c>
      <c r="AS31" s="237">
        <f>IFERROR(
  _xlfn.XLOOKUP(AG31,'2) หลักการคำนวน Table'!$C$3:$K$3,'2) หลักการคำนวน Table'!$C$3:$K$3,,1),
  IF(AG31&lt;MIN('2) หลักการคำนวน Table'!$C$3:$K$3),
     MIN('2) หลักการคำนวน Table'!$C$3:$K$3),
     MAX('2) หลักการคำนวน Table'!$C$3:$K$3)
  )
)</f>
        <v>0.9</v>
      </c>
      <c r="AT31" s="237">
        <f>IFERROR(
  _xlfn.XLOOKUP(AH31,'2) หลักการคำนวน Table'!$C$3:$K$3,'2) หลักการคำนวน Table'!$C$3:$K$3,,1),
  IF(AH31&lt;MIN('2) หลักการคำนวน Table'!$C$3:$K$3),
     MIN('2) หลักการคำนวน Table'!$C$3:$K$3),
     MAX('2) หลักการคำนวน Table'!$C$3:$K$3)
  )
)</f>
        <v>0.9</v>
      </c>
      <c r="AU31" s="237">
        <f>IFERROR(
  _xlfn.XLOOKUP(AI31,'2) หลักการคำนวน Table'!$C$3:$K$3,'2) หลักการคำนวน Table'!$C$3:$K$3,,1),
  IF(AI31&lt;MIN('2) หลักการคำนวน Table'!$C$3:$K$3),
     MIN('2) หลักการคำนวน Table'!$C$3:$K$3),
     MAX('2) หลักการคำนวน Table'!$C$3:$K$3)
  )
)</f>
        <v>0.9</v>
      </c>
      <c r="AV31" s="237">
        <f>IFERROR(
  _xlfn.XLOOKUP(AJ31,'2) หลักการคำนวน Table'!$C$3:$K$3,'2) หลักการคำนวน Table'!$C$3:$K$3,,1),
  IF(AJ31&lt;MIN('2) หลักการคำนวน Table'!$C$3:$K$3),
     MIN('2) หลักการคำนวน Table'!$C$3:$K$3),
     MAX('2) หลักการคำนวน Table'!$C$3:$K$3)
  )
)</f>
        <v>0.9</v>
      </c>
      <c r="AW31" s="237">
        <f>IFERROR(
  _xlfn.XLOOKUP(AK31,'2) หลักการคำนวน Table'!$C$3:$K$3,'2) หลักการคำนวน Table'!$C$3:$K$3,,1),
  IF(AK31&lt;MIN('2) หลักการคำนวน Table'!$C$3:$K$3),
     MIN('2) หลักการคำนวน Table'!$C$3:$K$3),
     MAX('2) หลักการคำนวน Table'!$C$3:$K$3)
  )
)</f>
        <v>0.9</v>
      </c>
      <c r="AX31" s="237">
        <f>IFERROR(
  _xlfn.XLOOKUP(AL31,'2) หลักการคำนวน Table'!$C$3:$K$3,'2) หลักการคำนวน Table'!$C$3:$K$3,,1),
  IF(AL31&lt;MIN('2) หลักการคำนวน Table'!$C$3:$K$3),
     MIN('2) หลักการคำนวน Table'!$C$3:$K$3),
     MAX('2) หลักการคำนวน Table'!$C$3:$K$3)
  )
)</f>
        <v>0.9</v>
      </c>
      <c r="AY31" s="237">
        <f>IFERROR(
  _xlfn.XLOOKUP(AM31,'2) หลักการคำนวน Table'!$C$3:$K$3,'2) หลักการคำนวน Table'!$C$3:$K$3,,1),
  IF(AM31&lt;MIN('2) หลักการคำนวน Table'!$C$3:$K$3),
     MIN('2) หลักการคำนวน Table'!$C$3:$K$3),
     MAX('2) หลักการคำนวน Table'!$C$3:$K$3)
  )
)</f>
        <v>0.9</v>
      </c>
      <c r="AZ31" s="238" t="e" cm="1">
        <f t="array" ref="AZ31">(_xlfn.XLOOKUP($C31,'2) หลักการคำนวน Table'!$A$4:$A$36,
_xlfn.XLOOKUP(AN31,'2)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</f>
        <v>#N/A</v>
      </c>
      <c r="BA31" s="238" t="e" cm="1">
        <f t="array" ref="BA31">(_xlfn.XLOOKUP($C31,'2) หลักการคำนวน Table'!$A$4:$A$36,
_xlfn.XLOOKUP(AO31,'2)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</f>
        <v>#N/A</v>
      </c>
      <c r="BB31" s="238" t="e" cm="1">
        <f t="array" ref="BB31">(_xlfn.XLOOKUP($C31,'2) หลักการคำนวน Table'!$A$4:$A$36,
_xlfn.XLOOKUP(AP31,'2)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</f>
        <v>#N/A</v>
      </c>
      <c r="BC31" s="238" t="e" cm="1">
        <f t="array" ref="BC31">(_xlfn.XLOOKUP($C31,'2) หลักการคำนวน Table'!$A$4:$A$36,
_xlfn.XLOOKUP(AQ31,'2)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</f>
        <v>#N/A</v>
      </c>
      <c r="BD31" s="238" t="e" cm="1">
        <f t="array" ref="BD31">(_xlfn.XLOOKUP($C31,'2) หลักการคำนวน Table'!$A$4:$A$36,
_xlfn.XLOOKUP(AR31,'2)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</f>
        <v>#N/A</v>
      </c>
      <c r="BE31" s="238" t="e" cm="1">
        <f t="array" ref="BE31">(_xlfn.XLOOKUP($C31,'2) หลักการคำนวน Table'!$A$4:$A$36,
_xlfn.XLOOKUP(AS31,'2)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</f>
        <v>#N/A</v>
      </c>
      <c r="BF31" s="238" t="e" cm="1">
        <f t="array" ref="BF31">(_xlfn.XLOOKUP($C31,'2) หลักการคำนวน Table'!$A$4:$A$36,
_xlfn.XLOOKUP(AT31,'2)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</f>
        <v>#N/A</v>
      </c>
      <c r="BG31" s="238" t="e" cm="1">
        <f t="array" ref="BG31">(_xlfn.XLOOKUP($C31,'2) หลักการคำนวน Table'!$A$4:$A$36,
_xlfn.XLOOKUP(AU31,'2)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</f>
        <v>#N/A</v>
      </c>
      <c r="BH31" s="238" t="e" cm="1">
        <f t="array" ref="BH31">ROUND((_xlfn.XLOOKUP($C31,'2) หลักการคำนวน Table'!$A$4:$A$36,
_xlfn.XLOOKUP(AV31,'2)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I31" s="238" t="e" cm="1">
        <f t="array" ref="BI31">ROUND((_xlfn.XLOOKUP($C31,'2) หลักการคำนวน Table'!$A$4:$A$36,
_xlfn.XLOOKUP(AW31,'2)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J31" s="238" t="e" cm="1">
        <f t="array" ref="BJ31">ROUND((_xlfn.XLOOKUP($C31,'2) หลักการคำนวน Table'!$A$4:$A$36,
_xlfn.XLOOKUP(AX31,'2)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K31" s="238" t="e" cm="1">
        <f t="array" ref="BK31">ROUND((_xlfn.XLOOKUP($C31,'2) หลักการคำนวน Table'!$A$4:$A$36,
_xlfn.XLOOKUP(AY31,'2)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L31" s="234"/>
      <c r="BM31" s="234">
        <v>222238</v>
      </c>
      <c r="BN31" s="313">
        <v>54.54545454545454</v>
      </c>
    </row>
    <row r="32" spans="1:66" ht="13.2" customHeight="1" x14ac:dyDescent="0.25">
      <c r="A32" s="233">
        <f>VLOOKUP(C32,ASTBase!F:S,12,FALSE)</f>
        <v>222234</v>
      </c>
      <c r="B32" s="234" t="s">
        <v>419</v>
      </c>
      <c r="C32" s="233">
        <v>222238</v>
      </c>
      <c r="D32" s="235">
        <f>SUMIFS('3)Target &amp; Cal_Staff'!D$4:D$164,'3)Target &amp; Cal_Staff'!$B$4:$B$164,'3)Target &amp; Cal_Sect'!$B32,'3)Target &amp; Cal_Staff'!$A$4:$A$164,'3)Target &amp; Cal_Sect'!$C32)</f>
        <v>0</v>
      </c>
      <c r="E32" s="235">
        <f>SUMIFS('3)Target &amp; Cal_Staff'!E$4:E$164,'3)Target &amp; Cal_Staff'!$B$4:$B$164,'3)Target &amp; Cal_Sect'!$B32,'3)Target &amp; Cal_Staff'!$A$4:$A$164,'3)Target &amp; Cal_Sect'!$C32)</f>
        <v>0</v>
      </c>
      <c r="F32" s="235">
        <f>SUMIFS('3)Target &amp; Cal_Staff'!F$4:F$164,'3)Target &amp; Cal_Staff'!$B$4:$B$164,'3)Target &amp; Cal_Sect'!$B32,'3)Target &amp; Cal_Staff'!$A$4:$A$164,'3)Target &amp; Cal_Sect'!$C32)</f>
        <v>0</v>
      </c>
      <c r="G32" s="235">
        <f>SUMIFS('3)Target &amp; Cal_Staff'!G$4:G$164,'3)Target &amp; Cal_Staff'!$B$4:$B$164,'3)Target &amp; Cal_Sect'!$B32,'3)Target &amp; Cal_Staff'!$A$4:$A$164,'3)Target &amp; Cal_Sect'!$C32)</f>
        <v>0</v>
      </c>
      <c r="H32" s="235">
        <f>SUMIFS('3)Target &amp; Cal_Staff'!H$4:H$164,'3)Target &amp; Cal_Staff'!$B$4:$B$164,'3)Target &amp; Cal_Sect'!$B32,'3)Target &amp; Cal_Staff'!$A$4:$A$164,'3)Target &amp; Cal_Sect'!$C32)</f>
        <v>0</v>
      </c>
      <c r="I32" s="235">
        <f>SUMIFS('3)Target &amp; Cal_Staff'!I$4:I$164,'3)Target &amp; Cal_Staff'!$B$4:$B$164,'3)Target &amp; Cal_Sect'!$B32,'3)Target &amp; Cal_Staff'!$A$4:$A$164,'3)Target &amp; Cal_Sect'!$C32)</f>
        <v>0</v>
      </c>
      <c r="J32" s="235">
        <f>SUMIFS('3)Target &amp; Cal_Staff'!J$4:J$164,'3)Target &amp; Cal_Staff'!$B$4:$B$164,'3)Target &amp; Cal_Sect'!$B32,'3)Target &amp; Cal_Staff'!$A$4:$A$164,'3)Target &amp; Cal_Sect'!$C32)</f>
        <v>0</v>
      </c>
      <c r="K32" s="235">
        <f>SUMIFS('3)Target &amp; Cal_Staff'!K$4:K$164,'3)Target &amp; Cal_Staff'!$B$4:$B$164,'3)Target &amp; Cal_Sect'!$B32,'3)Target &amp; Cal_Staff'!$A$4:$A$164,'3)Target &amp; Cal_Sect'!$C32)</f>
        <v>0</v>
      </c>
      <c r="L32" s="235">
        <f>SUMIFS('3)Target &amp; Cal_Staff'!L$4:L$164,'3)Target &amp; Cal_Staff'!$B$4:$B$164,'3)Target &amp; Cal_Sect'!$B32,'3)Target &amp; Cal_Staff'!$A$4:$A$164,'3)Target &amp; Cal_Sect'!$C32)</f>
        <v>0</v>
      </c>
      <c r="M32" s="235">
        <f>SUMIFS('3)Target &amp; Cal_Staff'!M$4:M$164,'3)Target &amp; Cal_Staff'!$B$4:$B$164,'3)Target &amp; Cal_Sect'!$B32,'3)Target &amp; Cal_Staff'!$A$4:$A$164,'3)Target &amp; Cal_Sect'!$C32)</f>
        <v>0</v>
      </c>
      <c r="N32" s="235">
        <f>SUMIFS('3)Target &amp; Cal_Staff'!N$4:N$164,'3)Target &amp; Cal_Staff'!$B$4:$B$164,'3)Target &amp; Cal_Sect'!$B32,'3)Target &amp; Cal_Staff'!$A$4:$A$164,'3)Target &amp; Cal_Sect'!$C32)</f>
        <v>0</v>
      </c>
      <c r="O32" s="235">
        <f>SUMIFS('3)Target &amp; Cal_Staff'!O$4:O$164,'3)Target &amp; Cal_Staff'!$B$4:$B$164,'3)Target &amp; Cal_Sect'!$B32,'3)Target &amp; Cal_Staff'!$A$4:$A$164,'3)Target &amp; Cal_Sect'!$C32)</f>
        <v>0</v>
      </c>
      <c r="P32" s="235">
        <f>SUMIFS('3)Target &amp; Cal_Staff'!P$4:P$164,'3)Target &amp; Cal_Staff'!$B$4:$B$164,'3)Target &amp; Cal_Sect'!$B32,'3)Target &amp; Cal_Staff'!$A$4:$A$164,'3)Target &amp; Cal_Sect'!$C32)</f>
        <v>0</v>
      </c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6">
        <f>IFERROR(IF(VLOOKUP($B32,Shortage!$A:$M,AB$2,FALSE)="Shortage",1,IFERROR(ROUND(P32/D32,4),0)),IFERROR(ROUND(P32/D32,4),0))</f>
        <v>0</v>
      </c>
      <c r="AC32" s="236">
        <f>IFERROR(IF(VLOOKUP($B32,Shortage!$A:$M,AC$2,FALSE)="Shortage",1,IFERROR(ROUND(Q32/E32,4),0)),IFERROR(ROUND(Q32/E32,4),0))</f>
        <v>0</v>
      </c>
      <c r="AD32" s="236">
        <f>IFERROR(IF(VLOOKUP($B32,Shortage!$A:$M,AD$2,FALSE)="Shortage",1,IFERROR(ROUND(R32/F32,4),0)),IFERROR(ROUND(R32/F32,4),0))</f>
        <v>0</v>
      </c>
      <c r="AE32" s="236">
        <f>IFERROR(IF(VLOOKUP($B32,Shortage!$A:$M,AE$2,FALSE)="Shortage",1,IFERROR(ROUND(S32/G32,4),0)),IFERROR(ROUND(S32/G32,4),0))</f>
        <v>0</v>
      </c>
      <c r="AF32" s="236">
        <f>IFERROR(IF(VLOOKUP($B32,Shortage!$A:$M,AF$2,FALSE)="Shortage",1,IFERROR(ROUND(T32/H32,4),0)),IFERROR(ROUND(T32/H32,4),0))</f>
        <v>0</v>
      </c>
      <c r="AG32" s="236">
        <f>IFERROR(IF(VLOOKUP($B32,Shortage!$A:$M,AG$2,FALSE)="Shortage",1,IFERROR(ROUND(U32/I32,4),0)),IFERROR(ROUND(U32/I32,4),0))</f>
        <v>0</v>
      </c>
      <c r="AH32" s="236">
        <f>IFERROR(IF(VLOOKUP($B32,Shortage!$A:$M,AH$2,FALSE)="Shortage",1,IFERROR(ROUND(V32/J32,4),0)),IFERROR(ROUND(V32/J32,4),0))</f>
        <v>0</v>
      </c>
      <c r="AI32" s="236">
        <f>IFERROR(IF(VLOOKUP($B32,Shortage!$A:$M,AI$2,FALSE)="Shortage",1,IFERROR(ROUND(W32/K32,4),0)),IFERROR(ROUND(W32/K32,4),0))</f>
        <v>0</v>
      </c>
      <c r="AJ32" s="236">
        <f>IFERROR(IF(VLOOKUP($B32,Shortage!$A:$M,AJ$2,FALSE)="Shortage",1,IFERROR(ROUND(X32/L32,4),0)),IFERROR(ROUND(X32/L32,4),0))</f>
        <v>0</v>
      </c>
      <c r="AK32" s="236">
        <f>IFERROR(IF(VLOOKUP($B32,Shortage!$A:$M,AK$2,FALSE)="Shortage",1,IFERROR(ROUND(Y32/M32,4),0)),IFERROR(ROUND(Y32/M32,4),0))</f>
        <v>0</v>
      </c>
      <c r="AL32" s="236">
        <f>IFERROR(IF(VLOOKUP($B32,Shortage!$A:$M,AL$2,FALSE)="Shortage",1,IFERROR(ROUND(Z32/N32,4),0)),IFERROR(ROUND(Z32/N32,4),0))</f>
        <v>0</v>
      </c>
      <c r="AM32" s="236">
        <f>IFERROR(IF(VLOOKUP($B32,Shortage!$A:$M,AM$2,FALSE)="Shortage",1,IFERROR(ROUND(AA32/O32,4),0)),IFERROR(ROUND(AA32/O32,4),0))</f>
        <v>0</v>
      </c>
      <c r="AN32" s="237">
        <f>IFERROR(_xlfn.XLOOKUP(AB32,'2) หลักการคำนวน Table'!$C$3:$K$3,'2) หลักการคำนวน Table'!$C$3:$K$3,,1),INDEX('2) หลักการคำนวน Table'!$C$3:$K$3,1))</f>
        <v>0.9</v>
      </c>
      <c r="AO32" s="237">
        <f>IFERROR(
  _xlfn.XLOOKUP(AC32,'2) หลักการคำนวน Table'!$C$3:$K$3,'2) หลักการคำนวน Table'!$C$3:$K$3,,1),
  IF(AC32&lt;MIN('2) หลักการคำนวน Table'!$C$3:$K$3),
     MIN('2) หลักการคำนวน Table'!$C$3:$K$3),
     MAX('2) หลักการคำนวน Table'!$C$3:$K$3)
  )
)</f>
        <v>0.9</v>
      </c>
      <c r="AP32" s="237">
        <f>IFERROR(
  _xlfn.XLOOKUP(AD32,'2) หลักการคำนวน Table'!$C$3:$K$3,'2) หลักการคำนวน Table'!$C$3:$K$3,,1),
  IF(AD32&lt;MIN('2) หลักการคำนวน Table'!$C$3:$K$3),
     MIN('2) หลักการคำนวน Table'!$C$3:$K$3),
     MAX('2) หลักการคำนวน Table'!$C$3:$K$3)
  )
)</f>
        <v>0.9</v>
      </c>
      <c r="AQ32" s="237">
        <f>IFERROR(
  _xlfn.XLOOKUP(AE32,'2) หลักการคำนวน Table'!$C$3:$K$3,'2) หลักการคำนวน Table'!$C$3:$K$3,,1),
  IF(AE32&lt;MIN('2) หลักการคำนวน Table'!$C$3:$K$3),
     MIN('2) หลักการคำนวน Table'!$C$3:$K$3),
     MAX('2) หลักการคำนวน Table'!$C$3:$K$3)
  )
)</f>
        <v>0.9</v>
      </c>
      <c r="AR32" s="237">
        <f>IFERROR(
  _xlfn.XLOOKUP(AF32,'2) หลักการคำนวน Table'!$C$3:$K$3,'2) หลักการคำนวน Table'!$C$3:$K$3,,1),
  IF(AF32&lt;MIN('2) หลักการคำนวน Table'!$C$3:$K$3),
     MIN('2) หลักการคำนวน Table'!$C$3:$K$3),
     MAX('2) หลักการคำนวน Table'!$C$3:$K$3)
  )
)</f>
        <v>0.9</v>
      </c>
      <c r="AS32" s="237">
        <f>IFERROR(
  _xlfn.XLOOKUP(AG32,'2) หลักการคำนวน Table'!$C$3:$K$3,'2) หลักการคำนวน Table'!$C$3:$K$3,,1),
  IF(AG32&lt;MIN('2) หลักการคำนวน Table'!$C$3:$K$3),
     MIN('2) หลักการคำนวน Table'!$C$3:$K$3),
     MAX('2) หลักการคำนวน Table'!$C$3:$K$3)
  )
)</f>
        <v>0.9</v>
      </c>
      <c r="AT32" s="237">
        <f>IFERROR(
  _xlfn.XLOOKUP(AH32,'2) หลักการคำนวน Table'!$C$3:$K$3,'2) หลักการคำนวน Table'!$C$3:$K$3,,1),
  IF(AH32&lt;MIN('2) หลักการคำนวน Table'!$C$3:$K$3),
     MIN('2) หลักการคำนวน Table'!$C$3:$K$3),
     MAX('2) หลักการคำนวน Table'!$C$3:$K$3)
  )
)</f>
        <v>0.9</v>
      </c>
      <c r="AU32" s="237">
        <f>IFERROR(
  _xlfn.XLOOKUP(AI32,'2) หลักการคำนวน Table'!$C$3:$K$3,'2) หลักการคำนวน Table'!$C$3:$K$3,,1),
  IF(AI32&lt;MIN('2) หลักการคำนวน Table'!$C$3:$K$3),
     MIN('2) หลักการคำนวน Table'!$C$3:$K$3),
     MAX('2) หลักการคำนวน Table'!$C$3:$K$3)
  )
)</f>
        <v>0.9</v>
      </c>
      <c r="AV32" s="237">
        <f>IFERROR(
  _xlfn.XLOOKUP(AJ32,'2) หลักการคำนวน Table'!$C$3:$K$3,'2) หลักการคำนวน Table'!$C$3:$K$3,,1),
  IF(AJ32&lt;MIN('2) หลักการคำนวน Table'!$C$3:$K$3),
     MIN('2) หลักการคำนวน Table'!$C$3:$K$3),
     MAX('2) หลักการคำนวน Table'!$C$3:$K$3)
  )
)</f>
        <v>0.9</v>
      </c>
      <c r="AW32" s="237">
        <f>IFERROR(
  _xlfn.XLOOKUP(AK32,'2) หลักการคำนวน Table'!$C$3:$K$3,'2) หลักการคำนวน Table'!$C$3:$K$3,,1),
  IF(AK32&lt;MIN('2) หลักการคำนวน Table'!$C$3:$K$3),
     MIN('2) หลักการคำนวน Table'!$C$3:$K$3),
     MAX('2) หลักการคำนวน Table'!$C$3:$K$3)
  )
)</f>
        <v>0.9</v>
      </c>
      <c r="AX32" s="237">
        <f>IFERROR(
  _xlfn.XLOOKUP(AL32,'2) หลักการคำนวน Table'!$C$3:$K$3,'2) หลักการคำนวน Table'!$C$3:$K$3,,1),
  IF(AL32&lt;MIN('2) หลักการคำนวน Table'!$C$3:$K$3),
     MIN('2) หลักการคำนวน Table'!$C$3:$K$3),
     MAX('2) หลักการคำนวน Table'!$C$3:$K$3)
  )
)</f>
        <v>0.9</v>
      </c>
      <c r="AY32" s="237">
        <f>IFERROR(
  _xlfn.XLOOKUP(AM32,'2) หลักการคำนวน Table'!$C$3:$K$3,'2) หลักการคำนวน Table'!$C$3:$K$3,,1),
  IF(AM32&lt;MIN('2) หลักการคำนวน Table'!$C$3:$K$3),
     MIN('2) หลักการคำนวน Table'!$C$3:$K$3),
     MAX('2) หลักการคำนวน Table'!$C$3:$K$3)
  )
)</f>
        <v>0.9</v>
      </c>
      <c r="AZ32" s="238" t="e" cm="1">
        <f t="array" ref="AZ32">(_xlfn.XLOOKUP($C32,'2) หลักการคำนวน Table'!$A$4:$A$36,
_xlfn.XLOOKUP(AN32,'2)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</f>
        <v>#N/A</v>
      </c>
      <c r="BA32" s="238" t="e" cm="1">
        <f t="array" ref="BA32">(_xlfn.XLOOKUP($C32,'2) หลักการคำนวน Table'!$A$4:$A$36,
_xlfn.XLOOKUP(AO32,'2)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</f>
        <v>#N/A</v>
      </c>
      <c r="BB32" s="238" t="e" cm="1">
        <f t="array" ref="BB32">(_xlfn.XLOOKUP($C32,'2) หลักการคำนวน Table'!$A$4:$A$36,
_xlfn.XLOOKUP(AP32,'2)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</f>
        <v>#N/A</v>
      </c>
      <c r="BC32" s="238" t="e" cm="1">
        <f t="array" ref="BC32">(_xlfn.XLOOKUP($C32,'2) หลักการคำนวน Table'!$A$4:$A$36,
_xlfn.XLOOKUP(AQ32,'2)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</f>
        <v>#N/A</v>
      </c>
      <c r="BD32" s="238" t="e" cm="1">
        <f t="array" ref="BD32">(_xlfn.XLOOKUP($C32,'2) หลักการคำนวน Table'!$A$4:$A$36,
_xlfn.XLOOKUP(AR32,'2)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</f>
        <v>#N/A</v>
      </c>
      <c r="BE32" s="238" t="e" cm="1">
        <f t="array" ref="BE32">(_xlfn.XLOOKUP($C32,'2) หลักการคำนวน Table'!$A$4:$A$36,
_xlfn.XLOOKUP(AS32,'2)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</f>
        <v>#N/A</v>
      </c>
      <c r="BF32" s="238" t="e" cm="1">
        <f t="array" ref="BF32">(_xlfn.XLOOKUP($C32,'2) หลักการคำนวน Table'!$A$4:$A$36,
_xlfn.XLOOKUP(AT32,'2)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</f>
        <v>#N/A</v>
      </c>
      <c r="BG32" s="238" t="e" cm="1">
        <f t="array" ref="BG32">(_xlfn.XLOOKUP($C32,'2) หลักการคำนวน Table'!$A$4:$A$36,
_xlfn.XLOOKUP(AU32,'2)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</f>
        <v>#N/A</v>
      </c>
      <c r="BH32" s="238" t="e" cm="1">
        <f t="array" ref="BH32">ROUND((_xlfn.XLOOKUP($C32,'2) หลักการคำนวน Table'!$A$4:$A$36,
_xlfn.XLOOKUP(AV32,'2)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I32" s="238" t="e" cm="1">
        <f t="array" ref="BI32">ROUND((_xlfn.XLOOKUP($C32,'2) หลักการคำนวน Table'!$A$4:$A$36,
_xlfn.XLOOKUP(AW32,'2)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J32" s="238" t="e" cm="1">
        <f t="array" ref="BJ32">ROUND((_xlfn.XLOOKUP($C32,'2) หลักการคำนวน Table'!$A$4:$A$36,
_xlfn.XLOOKUP(AX32,'2)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K32" s="238" t="e" cm="1">
        <f t="array" ref="BK32">ROUND((_xlfn.XLOOKUP($C32,'2) หลักการคำนวน Table'!$A$4:$A$36,
_xlfn.XLOOKUP(AY32,'2)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L32" s="234"/>
      <c r="BM32" s="234">
        <v>222238</v>
      </c>
      <c r="BN32" s="313">
        <v>0</v>
      </c>
    </row>
    <row r="33" spans="1:66" ht="13.2" customHeight="1" x14ac:dyDescent="0.25">
      <c r="A33" s="322">
        <f>VLOOKUP(C33,ASTBase!F:S,12,FALSE)</f>
        <v>222223</v>
      </c>
      <c r="B33" s="295" t="s">
        <v>405</v>
      </c>
      <c r="C33" s="322">
        <v>222237</v>
      </c>
      <c r="D33" s="296">
        <f>SUMIFS('3)Target &amp; Cal_Staff'!D$4:D$164,'3)Target &amp; Cal_Staff'!$B$4:$B$164,'3)Target &amp; Cal_Sect'!$B33,'3)Target &amp; Cal_Staff'!$A$4:$A$164,'3)Target &amp; Cal_Sect'!$C33)</f>
        <v>432976.28499999997</v>
      </c>
      <c r="E33" s="296">
        <f>SUMIFS('3)Target &amp; Cal_Staff'!E$4:E$164,'3)Target &amp; Cal_Staff'!$B$4:$B$164,'3)Target &amp; Cal_Sect'!$B33,'3)Target &amp; Cal_Staff'!$A$4:$A$164,'3)Target &amp; Cal_Sect'!$C33)</f>
        <v>431409.16199999995</v>
      </c>
      <c r="F33" s="296">
        <f>SUMIFS('3)Target &amp; Cal_Staff'!F$4:F$164,'3)Target &amp; Cal_Staff'!$B$4:$B$164,'3)Target &amp; Cal_Sect'!$B33,'3)Target &amp; Cal_Staff'!$A$4:$A$164,'3)Target &amp; Cal_Sect'!$C33)</f>
        <v>610000</v>
      </c>
      <c r="G33" s="296">
        <f>SUMIFS('3)Target &amp; Cal_Staff'!G$4:G$164,'3)Target &amp; Cal_Staff'!$B$4:$B$164,'3)Target &amp; Cal_Sect'!$B33,'3)Target &amp; Cal_Staff'!$A$4:$A$164,'3)Target &amp; Cal_Sect'!$C33)</f>
        <v>463423.62199999997</v>
      </c>
      <c r="H33" s="296">
        <f>SUMIFS('3)Target &amp; Cal_Staff'!H$4:H$164,'3)Target &amp; Cal_Staff'!$B$4:$B$164,'3)Target &amp; Cal_Sect'!$B33,'3)Target &amp; Cal_Staff'!$A$4:$A$164,'3)Target &amp; Cal_Sect'!$C33)</f>
        <v>445267.5500000001</v>
      </c>
      <c r="I33" s="296">
        <f>SUMIFS('3)Target &amp; Cal_Staff'!I$4:I$164,'3)Target &amp; Cal_Staff'!$B$4:$B$164,'3)Target &amp; Cal_Sect'!$B33,'3)Target &amp; Cal_Staff'!$A$4:$A$164,'3)Target &amp; Cal_Sect'!$C33)</f>
        <v>438788.74199999997</v>
      </c>
      <c r="J33" s="296">
        <f>SUMIFS('3)Target &amp; Cal_Staff'!J$4:J$164,'3)Target &amp; Cal_Staff'!$B$4:$B$164,'3)Target &amp; Cal_Sect'!$B33,'3)Target &amp; Cal_Staff'!$A$4:$A$164,'3)Target &amp; Cal_Sect'!$C33)</f>
        <v>460704.66</v>
      </c>
      <c r="K33" s="296">
        <f>SUMIFS('3)Target &amp; Cal_Staff'!K$4:K$164,'3)Target &amp; Cal_Staff'!$B$4:$B$164,'3)Target &amp; Cal_Sect'!$B33,'3)Target &amp; Cal_Staff'!$A$4:$A$164,'3)Target &amp; Cal_Sect'!$C33)</f>
        <v>463371.32500000007</v>
      </c>
      <c r="L33" s="296">
        <f>SUMIFS('3)Target &amp; Cal_Staff'!L$4:L$164,'3)Target &amp; Cal_Staff'!$B$4:$B$164,'3)Target &amp; Cal_Sect'!$B33,'3)Target &amp; Cal_Staff'!$A$4:$A$164,'3)Target &amp; Cal_Sect'!$C33)</f>
        <v>448072.47499999998</v>
      </c>
      <c r="M33" s="296">
        <f>SUMIFS('3)Target &amp; Cal_Staff'!M$4:M$164,'3)Target &amp; Cal_Staff'!$B$4:$B$164,'3)Target &amp; Cal_Sect'!$B33,'3)Target &amp; Cal_Staff'!$A$4:$A$164,'3)Target &amp; Cal_Sect'!$C33)</f>
        <v>462788.815</v>
      </c>
      <c r="N33" s="296">
        <f>SUMIFS('3)Target &amp; Cal_Staff'!N$4:N$164,'3)Target &amp; Cal_Staff'!$B$4:$B$164,'3)Target &amp; Cal_Sect'!$B33,'3)Target &amp; Cal_Staff'!$A$4:$A$164,'3)Target &amp; Cal_Sect'!$C33)</f>
        <v>441133.61999999994</v>
      </c>
      <c r="O33" s="296">
        <f>SUMIFS('3)Target &amp; Cal_Staff'!O$4:O$164,'3)Target &amp; Cal_Staff'!$B$4:$B$164,'3)Target &amp; Cal_Sect'!$B33,'3)Target &amp; Cal_Staff'!$A$4:$A$164,'3)Target &amp; Cal_Sect'!$C33)</f>
        <v>672064</v>
      </c>
      <c r="P33" s="296">
        <v>155</v>
      </c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7">
        <f>IFERROR(IF(VLOOKUP($B33,Shortage!$A:$M,AB$2,FALSE)="Shortage",1,IFERROR(ROUND(P33/D33,4),0)),IFERROR(ROUND(P33/D33,4),0))</f>
        <v>1</v>
      </c>
      <c r="AC33" s="297">
        <f>IFERROR(IF(VLOOKUP($B33,Shortage!$A:$M,AC$2,FALSE)="Shortage",1,IFERROR(ROUND(Q33/E33,4),0)),IFERROR(ROUND(Q33/E33,4),0))</f>
        <v>0</v>
      </c>
      <c r="AD33" s="297">
        <f>IFERROR(IF(VLOOKUP($B33,Shortage!$A:$M,AD$2,FALSE)="Shortage",1,IFERROR(ROUND(R33/F33,4),0)),IFERROR(ROUND(R33/F33,4),0))</f>
        <v>0</v>
      </c>
      <c r="AE33" s="297">
        <f>IFERROR(IF(VLOOKUP($B33,Shortage!$A:$M,AE$2,FALSE)="Shortage",1,IFERROR(ROUND(S33/G33,4),0)),IFERROR(ROUND(S33/G33,4),0))</f>
        <v>0</v>
      </c>
      <c r="AF33" s="297">
        <f>IFERROR(IF(VLOOKUP($B33,Shortage!$A:$M,AF$2,FALSE)="Shortage",1,IFERROR(ROUND(T33/H33,4),0)),IFERROR(ROUND(T33/H33,4),0))</f>
        <v>0</v>
      </c>
      <c r="AG33" s="297">
        <f>IFERROR(IF(VLOOKUP($B33,Shortage!$A:$M,AG$2,FALSE)="Shortage",1,IFERROR(ROUND(U33/I33,4),0)),IFERROR(ROUND(U33/I33,4),0))</f>
        <v>0</v>
      </c>
      <c r="AH33" s="297">
        <f>IFERROR(IF(VLOOKUP($B33,Shortage!$A:$M,AH$2,FALSE)="Shortage",1,IFERROR(ROUND(V33/J33,4),0)),IFERROR(ROUND(V33/J33,4),0))</f>
        <v>0</v>
      </c>
      <c r="AI33" s="297">
        <f>IFERROR(IF(VLOOKUP($B33,Shortage!$A:$M,AI$2,FALSE)="Shortage",1,IFERROR(ROUND(W33/K33,4),0)),IFERROR(ROUND(W33/K33,4),0))</f>
        <v>0</v>
      </c>
      <c r="AJ33" s="297">
        <f>IFERROR(IF(VLOOKUP($B33,Shortage!$A:$M,AJ$2,FALSE)="Shortage",1,IFERROR(ROUND(X33/L33,4),0)),IFERROR(ROUND(X33/L33,4),0))</f>
        <v>0</v>
      </c>
      <c r="AK33" s="297">
        <f>IFERROR(IF(VLOOKUP($B33,Shortage!$A:$M,AK$2,FALSE)="Shortage",1,IFERROR(ROUND(Y33/M33,4),0)),IFERROR(ROUND(Y33/M33,4),0))</f>
        <v>0</v>
      </c>
      <c r="AL33" s="297">
        <f>IFERROR(IF(VLOOKUP($B33,Shortage!$A:$M,AL$2,FALSE)="Shortage",1,IFERROR(ROUND(Z33/N33,4),0)),IFERROR(ROUND(Z33/N33,4),0))</f>
        <v>0</v>
      </c>
      <c r="AM33" s="297">
        <f>IFERROR(IF(VLOOKUP($B33,Shortage!$A:$M,AM$2,FALSE)="Shortage",1,IFERROR(ROUND(AA33/O33,4),0)),IFERROR(ROUND(AA33/O33,4),0))</f>
        <v>0</v>
      </c>
      <c r="AN33" s="298">
        <f>IFERROR(_xlfn.XLOOKUP(AB33,'2) หลักการคำนวน Table'!$C$3:$K$3,'2) หลักการคำนวน Table'!$C$3:$K$3,,1),INDEX('2) หลักการคำนวน Table'!$C$3:$K$3,1))</f>
        <v>1</v>
      </c>
      <c r="AO33" s="298">
        <f>IFERROR(
  _xlfn.XLOOKUP(AC33,'2) หลักการคำนวน Table'!$C$3:$K$3,'2) หลักการคำนวน Table'!$C$3:$K$3,,1),
  IF(AC33&lt;MIN('2) หลักการคำนวน Table'!$C$3:$K$3),
     MIN('2) หลักการคำนวน Table'!$C$3:$K$3),
     MAX('2) หลักการคำนวน Table'!$C$3:$K$3)
  )
)</f>
        <v>0.9</v>
      </c>
      <c r="AP33" s="298">
        <f>IFERROR(
  _xlfn.XLOOKUP(AD33,'2) หลักการคำนวน Table'!$C$3:$K$3,'2) หลักการคำนวน Table'!$C$3:$K$3,,1),
  IF(AD33&lt;MIN('2) หลักการคำนวน Table'!$C$3:$K$3),
     MIN('2) หลักการคำนวน Table'!$C$3:$K$3),
     MAX('2) หลักการคำนวน Table'!$C$3:$K$3)
  )
)</f>
        <v>0.9</v>
      </c>
      <c r="AQ33" s="298">
        <f>IFERROR(
  _xlfn.XLOOKUP(AE33,'2) หลักการคำนวน Table'!$C$3:$K$3,'2) หลักการคำนวน Table'!$C$3:$K$3,,1),
  IF(AE33&lt;MIN('2) หลักการคำนวน Table'!$C$3:$K$3),
     MIN('2) หลักการคำนวน Table'!$C$3:$K$3),
     MAX('2) หลักการคำนวน Table'!$C$3:$K$3)
  )
)</f>
        <v>0.9</v>
      </c>
      <c r="AR33" s="298">
        <f>IFERROR(
  _xlfn.XLOOKUP(AF33,'2) หลักการคำนวน Table'!$C$3:$K$3,'2) หลักการคำนวน Table'!$C$3:$K$3,,1),
  IF(AF33&lt;MIN('2) หลักการคำนวน Table'!$C$3:$K$3),
     MIN('2) หลักการคำนวน Table'!$C$3:$K$3),
     MAX('2) หลักการคำนวน Table'!$C$3:$K$3)
  )
)</f>
        <v>0.9</v>
      </c>
      <c r="AS33" s="298">
        <f>IFERROR(
  _xlfn.XLOOKUP(AG33,'2) หลักการคำนวน Table'!$C$3:$K$3,'2) หลักการคำนวน Table'!$C$3:$K$3,,1),
  IF(AG33&lt;MIN('2) หลักการคำนวน Table'!$C$3:$K$3),
     MIN('2) หลักการคำนวน Table'!$C$3:$K$3),
     MAX('2) หลักการคำนวน Table'!$C$3:$K$3)
  )
)</f>
        <v>0.9</v>
      </c>
      <c r="AT33" s="298">
        <f>IFERROR(
  _xlfn.XLOOKUP(AH33,'2) หลักการคำนวน Table'!$C$3:$K$3,'2) หลักการคำนวน Table'!$C$3:$K$3,,1),
  IF(AH33&lt;MIN('2) หลักการคำนวน Table'!$C$3:$K$3),
     MIN('2) หลักการคำนวน Table'!$C$3:$K$3),
     MAX('2) หลักการคำนวน Table'!$C$3:$K$3)
  )
)</f>
        <v>0.9</v>
      </c>
      <c r="AU33" s="298">
        <f>IFERROR(
  _xlfn.XLOOKUP(AI33,'2) หลักการคำนวน Table'!$C$3:$K$3,'2) หลักการคำนวน Table'!$C$3:$K$3,,1),
  IF(AI33&lt;MIN('2) หลักการคำนวน Table'!$C$3:$K$3),
     MIN('2) หลักการคำนวน Table'!$C$3:$K$3),
     MAX('2) หลักการคำนวน Table'!$C$3:$K$3)
  )
)</f>
        <v>0.9</v>
      </c>
      <c r="AV33" s="298">
        <f>IFERROR(
  _xlfn.XLOOKUP(AJ33,'2) หลักการคำนวน Table'!$C$3:$K$3,'2) หลักการคำนวน Table'!$C$3:$K$3,,1),
  IF(AJ33&lt;MIN('2) หลักการคำนวน Table'!$C$3:$K$3),
     MIN('2) หลักการคำนวน Table'!$C$3:$K$3),
     MAX('2) หลักการคำนวน Table'!$C$3:$K$3)
  )
)</f>
        <v>0.9</v>
      </c>
      <c r="AW33" s="298">
        <f>IFERROR(
  _xlfn.XLOOKUP(AK33,'2) หลักการคำนวน Table'!$C$3:$K$3,'2) หลักการคำนวน Table'!$C$3:$K$3,,1),
  IF(AK33&lt;MIN('2) หลักการคำนวน Table'!$C$3:$K$3),
     MIN('2) หลักการคำนวน Table'!$C$3:$K$3),
     MAX('2) หลักการคำนวน Table'!$C$3:$K$3)
  )
)</f>
        <v>0.9</v>
      </c>
      <c r="AX33" s="298">
        <f>IFERROR(
  _xlfn.XLOOKUP(AL33,'2) หลักการคำนวน Table'!$C$3:$K$3,'2) หลักการคำนวน Table'!$C$3:$K$3,,1),
  IF(AL33&lt;MIN('2) หลักการคำนวน Table'!$C$3:$K$3),
     MIN('2) หลักการคำนวน Table'!$C$3:$K$3),
     MAX('2) หลักการคำนวน Table'!$C$3:$K$3)
  )
)</f>
        <v>0.9</v>
      </c>
      <c r="AY33" s="298">
        <f>IFERROR(
  _xlfn.XLOOKUP(AM33,'2) หลักการคำนวน Table'!$C$3:$K$3,'2) หลักการคำนวน Table'!$C$3:$K$3,,1),
  IF(AM33&lt;MIN('2) หลักการคำนวน Table'!$C$3:$K$3),
     MIN('2) หลักการคำนวน Table'!$C$3:$K$3),
     MAX('2) หลักการคำนวน Table'!$C$3:$K$3)
  )
)</f>
        <v>0.9</v>
      </c>
      <c r="AZ33" s="299" t="e" cm="1">
        <f t="array" ref="AZ33">(_xlfn.XLOOKUP($C33,'2) หลักการคำนวน Table'!$A$4:$A$36,
_xlfn.XLOOKUP(AN33,'2)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</f>
        <v>#N/A</v>
      </c>
      <c r="BA33" s="299" t="e" cm="1">
        <f t="array" ref="BA33">(_xlfn.XLOOKUP($C33,'2) หลักการคำนวน Table'!$A$4:$A$36,
_xlfn.XLOOKUP(AO33,'2)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</f>
        <v>#N/A</v>
      </c>
      <c r="BB33" s="299" t="e" cm="1">
        <f t="array" ref="BB33">(_xlfn.XLOOKUP($C33,'2) หลักการคำนวน Table'!$A$4:$A$36,
_xlfn.XLOOKUP(AP33,'2)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</f>
        <v>#N/A</v>
      </c>
      <c r="BC33" s="299" t="e" cm="1">
        <f t="array" ref="BC33">(_xlfn.XLOOKUP($C33,'2) หลักการคำนวน Table'!$A$4:$A$36,
_xlfn.XLOOKUP(AQ33,'2)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</f>
        <v>#N/A</v>
      </c>
      <c r="BD33" s="299" t="e" cm="1">
        <f t="array" ref="BD33">(_xlfn.XLOOKUP($C33,'2) หลักการคำนวน Table'!$A$4:$A$36,
_xlfn.XLOOKUP(AR33,'2)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</f>
        <v>#N/A</v>
      </c>
      <c r="BE33" s="299" t="e" cm="1">
        <f t="array" ref="BE33">(_xlfn.XLOOKUP($C33,'2) หลักการคำนวน Table'!$A$4:$A$36,
_xlfn.XLOOKUP(AS33,'2)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</f>
        <v>#N/A</v>
      </c>
      <c r="BF33" s="299" t="e" cm="1">
        <f t="array" ref="BF33">(_xlfn.XLOOKUP($C33,'2) หลักการคำนวน Table'!$A$4:$A$36,
_xlfn.XLOOKUP(AT33,'2)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</f>
        <v>#N/A</v>
      </c>
      <c r="BG33" s="299" t="e" cm="1">
        <f t="array" ref="BG33">(_xlfn.XLOOKUP($C33,'2) หลักการคำนวน Table'!$A$4:$A$36,
_xlfn.XLOOKUP(AU33,'2)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</f>
        <v>#N/A</v>
      </c>
      <c r="BH33" s="299" t="e" cm="1">
        <f t="array" ref="BH33">ROUND((_xlfn.XLOOKUP($C33,'2) หลักการคำนวน Table'!$A$4:$A$36,
_xlfn.XLOOKUP(AV33,'2)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I33" s="299" t="e" cm="1">
        <f t="array" ref="BI33">ROUND((_xlfn.XLOOKUP($C33,'2) หลักการคำนวน Table'!$A$4:$A$36,
_xlfn.XLOOKUP(AW33,'2)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J33" s="299" t="e" cm="1">
        <f t="array" ref="BJ33">ROUND((_xlfn.XLOOKUP($C33,'2) หลักการคำนวน Table'!$A$4:$A$36,
_xlfn.XLOOKUP(AX33,'2)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K33" s="299" t="e" cm="1">
        <f t="array" ref="BK33">ROUND((_xlfn.XLOOKUP($C33,'2) หลักการคำนวน Table'!$A$4:$A$36,
_xlfn.XLOOKUP(AY33,'2)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L33" s="295"/>
      <c r="BM33" s="295">
        <v>222237</v>
      </c>
      <c r="BN33" s="300">
        <v>151.5151515151515</v>
      </c>
    </row>
    <row r="34" spans="1:66" ht="13.2" customHeight="1" x14ac:dyDescent="0.25">
      <c r="A34" s="322">
        <f>VLOOKUP(C34,ASTBase!F:S,12,FALSE)</f>
        <v>222223</v>
      </c>
      <c r="B34" s="295" t="s">
        <v>408</v>
      </c>
      <c r="C34" s="322">
        <v>222237</v>
      </c>
      <c r="D34" s="296">
        <f>SUMIFS('3)Target &amp; Cal_Staff'!D$4:D$164,'3)Target &amp; Cal_Staff'!$B$4:$B$164,'3)Target &amp; Cal_Sect'!$B34,'3)Target &amp; Cal_Staff'!$A$4:$A$164,'3)Target &amp; Cal_Sect'!$C34)</f>
        <v>18000</v>
      </c>
      <c r="E34" s="296">
        <f>SUMIFS('3)Target &amp; Cal_Staff'!E$4:E$164,'3)Target &amp; Cal_Staff'!$B$4:$B$164,'3)Target &amp; Cal_Sect'!$B34,'3)Target &amp; Cal_Staff'!$A$4:$A$164,'3)Target &amp; Cal_Sect'!$C34)</f>
        <v>17500</v>
      </c>
      <c r="F34" s="296">
        <f>SUMIFS('3)Target &amp; Cal_Staff'!F$4:F$164,'3)Target &amp; Cal_Staff'!$B$4:$B$164,'3)Target &amp; Cal_Sect'!$B34,'3)Target &amp; Cal_Staff'!$A$4:$A$164,'3)Target &amp; Cal_Sect'!$C34)</f>
        <v>50000</v>
      </c>
      <c r="G34" s="296">
        <f>SUMIFS('3)Target &amp; Cal_Staff'!G$4:G$164,'3)Target &amp; Cal_Staff'!$B$4:$B$164,'3)Target &amp; Cal_Sect'!$B34,'3)Target &amp; Cal_Staff'!$A$4:$A$164,'3)Target &amp; Cal_Sect'!$C34)</f>
        <v>20500</v>
      </c>
      <c r="H34" s="296">
        <f>SUMIFS('3)Target &amp; Cal_Staff'!H$4:H$164,'3)Target &amp; Cal_Staff'!$B$4:$B$164,'3)Target &amp; Cal_Sect'!$B34,'3)Target &amp; Cal_Staff'!$A$4:$A$164,'3)Target &amp; Cal_Sect'!$C34)</f>
        <v>19000</v>
      </c>
      <c r="I34" s="296">
        <f>SUMIFS('3)Target &amp; Cal_Staff'!I$4:I$164,'3)Target &amp; Cal_Staff'!$B$4:$B$164,'3)Target &amp; Cal_Sect'!$B34,'3)Target &amp; Cal_Staff'!$A$4:$A$164,'3)Target &amp; Cal_Sect'!$C34)</f>
        <v>17500</v>
      </c>
      <c r="J34" s="296">
        <f>SUMIFS('3)Target &amp; Cal_Staff'!J$4:J$164,'3)Target &amp; Cal_Staff'!$B$4:$B$164,'3)Target &amp; Cal_Sect'!$B34,'3)Target &amp; Cal_Staff'!$A$4:$A$164,'3)Target &amp; Cal_Sect'!$C34)</f>
        <v>19000</v>
      </c>
      <c r="K34" s="296">
        <f>SUMIFS('3)Target &amp; Cal_Staff'!K$4:K$164,'3)Target &amp; Cal_Staff'!$B$4:$B$164,'3)Target &amp; Cal_Sect'!$B34,'3)Target &amp; Cal_Staff'!$A$4:$A$164,'3)Target &amp; Cal_Sect'!$C34)</f>
        <v>22000</v>
      </c>
      <c r="L34" s="296">
        <f>SUMIFS('3)Target &amp; Cal_Staff'!L$4:L$164,'3)Target &amp; Cal_Staff'!$B$4:$B$164,'3)Target &amp; Cal_Sect'!$B34,'3)Target &amp; Cal_Staff'!$A$4:$A$164,'3)Target &amp; Cal_Sect'!$C34)</f>
        <v>17500</v>
      </c>
      <c r="M34" s="296">
        <f>SUMIFS('3)Target &amp; Cal_Staff'!M$4:M$164,'3)Target &amp; Cal_Staff'!$B$4:$B$164,'3)Target &amp; Cal_Sect'!$B34,'3)Target &amp; Cal_Staff'!$A$4:$A$164,'3)Target &amp; Cal_Sect'!$C34)</f>
        <v>19500</v>
      </c>
      <c r="N34" s="296">
        <f>SUMIFS('3)Target &amp; Cal_Staff'!N$4:N$164,'3)Target &amp; Cal_Staff'!$B$4:$B$164,'3)Target &amp; Cal_Sect'!$B34,'3)Target &amp; Cal_Staff'!$A$4:$A$164,'3)Target &amp; Cal_Sect'!$C34)</f>
        <v>20000</v>
      </c>
      <c r="O34" s="296">
        <f>SUMIFS('3)Target &amp; Cal_Staff'!O$4:O$164,'3)Target &amp; Cal_Staff'!$B$4:$B$164,'3)Target &amp; Cal_Sect'!$B34,'3)Target &amp; Cal_Staff'!$A$4:$A$164,'3)Target &amp; Cal_Sect'!$C34)</f>
        <v>57500</v>
      </c>
      <c r="P34" s="296">
        <f>SUMIFS('3)Target &amp; Cal_Staff'!P$4:P$164,'3)Target &amp; Cal_Staff'!$B$4:$B$164,'3)Target &amp; Cal_Sect'!$B34,'3)Target &amp; Cal_Staff'!$A$4:$A$164,'3)Target &amp; Cal_Sect'!$C34)</f>
        <v>25166.160000000003</v>
      </c>
      <c r="Q34" s="296">
        <f>SUMIFS('3)Target &amp; Cal_Staff'!Q$4:Q$164,'3)Target &amp; Cal_Staff'!$B$4:$B$164,'3)Target &amp; Cal_Sect'!$B34,'3)Target &amp; Cal_Staff'!$A$4:$A$164,'3)Target &amp; Cal_Sect'!$C34)</f>
        <v>0</v>
      </c>
      <c r="R34" s="296">
        <f>SUMIFS('3)Target &amp; Cal_Staff'!R$4:R$164,'3)Target &amp; Cal_Staff'!$B$4:$B$164,'3)Target &amp; Cal_Sect'!$B34,'3)Target &amp; Cal_Staff'!$A$4:$A$164,'3)Target &amp; Cal_Sect'!$C34)</f>
        <v>0</v>
      </c>
      <c r="S34" s="296">
        <f>SUMIFS('3)Target &amp; Cal_Staff'!S$4:S$164,'3)Target &amp; Cal_Staff'!$B$4:$B$164,'3)Target &amp; Cal_Sect'!$B34,'3)Target &amp; Cal_Staff'!$A$4:$A$164,'3)Target &amp; Cal_Sect'!$C34)</f>
        <v>0</v>
      </c>
      <c r="T34" s="296">
        <f>SUMIFS('3)Target &amp; Cal_Staff'!T$4:T$164,'3)Target &amp; Cal_Staff'!$B$4:$B$164,'3)Target &amp; Cal_Sect'!$B34,'3)Target &amp; Cal_Staff'!$A$4:$A$164,'3)Target &amp; Cal_Sect'!$C34)</f>
        <v>0</v>
      </c>
      <c r="U34" s="296">
        <f>SUMIFS('3)Target &amp; Cal_Staff'!U$4:U$164,'3)Target &amp; Cal_Staff'!$B$4:$B$164,'3)Target &amp; Cal_Sect'!$B34,'3)Target &amp; Cal_Staff'!$A$4:$A$164,'3)Target &amp; Cal_Sect'!$C34)</f>
        <v>0</v>
      </c>
      <c r="V34" s="296">
        <f>SUMIFS('3)Target &amp; Cal_Staff'!V$4:V$164,'3)Target &amp; Cal_Staff'!$B$4:$B$164,'3)Target &amp; Cal_Sect'!$B34,'3)Target &amp; Cal_Staff'!$A$4:$A$164,'3)Target &amp; Cal_Sect'!$C34)</f>
        <v>0</v>
      </c>
      <c r="W34" s="296">
        <f>SUMIFS('3)Target &amp; Cal_Staff'!W$4:W$164,'3)Target &amp; Cal_Staff'!$B$4:$B$164,'3)Target &amp; Cal_Sect'!$B34,'3)Target &amp; Cal_Staff'!$A$4:$A$164,'3)Target &amp; Cal_Sect'!$C34)</f>
        <v>0</v>
      </c>
      <c r="X34" s="296">
        <f>SUMIFS('3)Target &amp; Cal_Staff'!X$4:X$164,'3)Target &amp; Cal_Staff'!$B$4:$B$164,'3)Target &amp; Cal_Sect'!$B34,'3)Target &amp; Cal_Staff'!$A$4:$A$164,'3)Target &amp; Cal_Sect'!$C34)</f>
        <v>0</v>
      </c>
      <c r="Y34" s="296">
        <f>SUMIFS('3)Target &amp; Cal_Staff'!Y$4:Y$164,'3)Target &amp; Cal_Staff'!$B$4:$B$164,'3)Target &amp; Cal_Sect'!$B34,'3)Target &amp; Cal_Staff'!$A$4:$A$164,'3)Target &amp; Cal_Sect'!$C34)</f>
        <v>0</v>
      </c>
      <c r="Z34" s="296">
        <f>SUMIFS('3)Target &amp; Cal_Staff'!Z$4:Z$164,'3)Target &amp; Cal_Staff'!$B$4:$B$164,'3)Target &amp; Cal_Sect'!$B34,'3)Target &amp; Cal_Staff'!$A$4:$A$164,'3)Target &amp; Cal_Sect'!$C34)</f>
        <v>0</v>
      </c>
      <c r="AA34" s="296">
        <f>SUMIFS('3)Target &amp; Cal_Staff'!AA$4:AA$164,'3)Target &amp; Cal_Staff'!$B$4:$B$164,'3)Target &amp; Cal_Sect'!$B34,'3)Target &amp; Cal_Staff'!$A$4:$A$164,'3)Target &amp; Cal_Sect'!$C34)</f>
        <v>0</v>
      </c>
      <c r="AB34" s="297">
        <f>IFERROR(IF(VLOOKUP($B34,Shortage!$A:$M,AB$2,FALSE)="Shortage",1,IFERROR(ROUND(P34/D34,4),0)),IFERROR(ROUND(P34/D34,4),0))</f>
        <v>1.3980999999999999</v>
      </c>
      <c r="AC34" s="297">
        <f>IFERROR(IF(VLOOKUP($B34,Shortage!$A:$M,AC$2,FALSE)="Shortage",1,IFERROR(ROUND(Q34/E34,4),0)),IFERROR(ROUND(Q34/E34,4),0))</f>
        <v>0</v>
      </c>
      <c r="AD34" s="297">
        <f>IFERROR(IF(VLOOKUP($B34,Shortage!$A:$M,AD$2,FALSE)="Shortage",1,IFERROR(ROUND(R34/F34,4),0)),IFERROR(ROUND(R34/F34,4),0))</f>
        <v>0</v>
      </c>
      <c r="AE34" s="297">
        <f>IFERROR(IF(VLOOKUP($B34,Shortage!$A:$M,AE$2,FALSE)="Shortage",1,IFERROR(ROUND(S34/G34,4),0)),IFERROR(ROUND(S34/G34,4),0))</f>
        <v>0</v>
      </c>
      <c r="AF34" s="297">
        <f>IFERROR(IF(VLOOKUP($B34,Shortage!$A:$M,AF$2,FALSE)="Shortage",1,IFERROR(ROUND(T34/H34,4),0)),IFERROR(ROUND(T34/H34,4),0))</f>
        <v>0</v>
      </c>
      <c r="AG34" s="297">
        <f>IFERROR(IF(VLOOKUP($B34,Shortage!$A:$M,AG$2,FALSE)="Shortage",1,IFERROR(ROUND(U34/I34,4),0)),IFERROR(ROUND(U34/I34,4),0))</f>
        <v>0</v>
      </c>
      <c r="AH34" s="297">
        <f>IFERROR(IF(VLOOKUP($B34,Shortage!$A:$M,AH$2,FALSE)="Shortage",1,IFERROR(ROUND(V34/J34,4),0)),IFERROR(ROUND(V34/J34,4),0))</f>
        <v>0</v>
      </c>
      <c r="AI34" s="297">
        <f>IFERROR(IF(VLOOKUP($B34,Shortage!$A:$M,AI$2,FALSE)="Shortage",1,IFERROR(ROUND(W34/K34,4),0)),IFERROR(ROUND(W34/K34,4),0))</f>
        <v>0</v>
      </c>
      <c r="AJ34" s="297">
        <f>IFERROR(IF(VLOOKUP($B34,Shortage!$A:$M,AJ$2,FALSE)="Shortage",1,IFERROR(ROUND(X34/L34,4),0)),IFERROR(ROUND(X34/L34,4),0))</f>
        <v>0</v>
      </c>
      <c r="AK34" s="297">
        <f>IFERROR(IF(VLOOKUP($B34,Shortage!$A:$M,AK$2,FALSE)="Shortage",1,IFERROR(ROUND(Y34/M34,4),0)),IFERROR(ROUND(Y34/M34,4),0))</f>
        <v>0</v>
      </c>
      <c r="AL34" s="297">
        <f>IFERROR(IF(VLOOKUP($B34,Shortage!$A:$M,AL$2,FALSE)="Shortage",1,IFERROR(ROUND(Z34/N34,4),0)),IFERROR(ROUND(Z34/N34,4),0))</f>
        <v>0</v>
      </c>
      <c r="AM34" s="297">
        <f>IFERROR(IF(VLOOKUP($B34,Shortage!$A:$M,AM$2,FALSE)="Shortage",1,IFERROR(ROUND(AA34/O34,4),0)),IFERROR(ROUND(AA34/O34,4),0))</f>
        <v>0</v>
      </c>
      <c r="AN34" s="298">
        <f>IFERROR(_xlfn.XLOOKUP(AB34,'2) หลักการคำนวน Table'!$C$3:$K$3,'2) หลักการคำนวน Table'!$C$3:$K$3,,1),INDEX('2) หลักการคำนวน Table'!$C$3:$K$3,1))</f>
        <v>20</v>
      </c>
      <c r="AO34" s="298">
        <f>IFERROR(
  _xlfn.XLOOKUP(AC34,'2) หลักการคำนวน Table'!$C$3:$K$3,'2) หลักการคำนวน Table'!$C$3:$K$3,,1),
  IF(AC34&lt;MIN('2) หลักการคำนวน Table'!$C$3:$K$3),
     MIN('2) หลักการคำนวน Table'!$C$3:$K$3),
     MAX('2) หลักการคำนวน Table'!$C$3:$K$3)
  )
)</f>
        <v>0.9</v>
      </c>
      <c r="AP34" s="298">
        <f>IFERROR(
  _xlfn.XLOOKUP(AD34,'2) หลักการคำนวน Table'!$C$3:$K$3,'2) หลักการคำนวน Table'!$C$3:$K$3,,1),
  IF(AD34&lt;MIN('2) หลักการคำนวน Table'!$C$3:$K$3),
     MIN('2) หลักการคำนวน Table'!$C$3:$K$3),
     MAX('2) หลักการคำนวน Table'!$C$3:$K$3)
  )
)</f>
        <v>0.9</v>
      </c>
      <c r="AQ34" s="298">
        <f>IFERROR(
  _xlfn.XLOOKUP(AE34,'2) หลักการคำนวน Table'!$C$3:$K$3,'2) หลักการคำนวน Table'!$C$3:$K$3,,1),
  IF(AE34&lt;MIN('2) หลักการคำนวน Table'!$C$3:$K$3),
     MIN('2) หลักการคำนวน Table'!$C$3:$K$3),
     MAX('2) หลักการคำนวน Table'!$C$3:$K$3)
  )
)</f>
        <v>0.9</v>
      </c>
      <c r="AR34" s="298">
        <f>IFERROR(
  _xlfn.XLOOKUP(AF34,'2) หลักการคำนวน Table'!$C$3:$K$3,'2) หลักการคำนวน Table'!$C$3:$K$3,,1),
  IF(AF34&lt;MIN('2) หลักการคำนวน Table'!$C$3:$K$3),
     MIN('2) หลักการคำนวน Table'!$C$3:$K$3),
     MAX('2) หลักการคำนวน Table'!$C$3:$K$3)
  )
)</f>
        <v>0.9</v>
      </c>
      <c r="AS34" s="298">
        <f>IFERROR(
  _xlfn.XLOOKUP(AG34,'2) หลักการคำนวน Table'!$C$3:$K$3,'2) หลักการคำนวน Table'!$C$3:$K$3,,1),
  IF(AG34&lt;MIN('2) หลักการคำนวน Table'!$C$3:$K$3),
     MIN('2) หลักการคำนวน Table'!$C$3:$K$3),
     MAX('2) หลักการคำนวน Table'!$C$3:$K$3)
  )
)</f>
        <v>0.9</v>
      </c>
      <c r="AT34" s="298">
        <f>IFERROR(
  _xlfn.XLOOKUP(AH34,'2) หลักการคำนวน Table'!$C$3:$K$3,'2) หลักการคำนวน Table'!$C$3:$K$3,,1),
  IF(AH34&lt;MIN('2) หลักการคำนวน Table'!$C$3:$K$3),
     MIN('2) หลักการคำนวน Table'!$C$3:$K$3),
     MAX('2) หลักการคำนวน Table'!$C$3:$K$3)
  )
)</f>
        <v>0.9</v>
      </c>
      <c r="AU34" s="298">
        <f>IFERROR(
  _xlfn.XLOOKUP(AI34,'2) หลักการคำนวน Table'!$C$3:$K$3,'2) หลักการคำนวน Table'!$C$3:$K$3,,1),
  IF(AI34&lt;MIN('2) หลักการคำนวน Table'!$C$3:$K$3),
     MIN('2) หลักการคำนวน Table'!$C$3:$K$3),
     MAX('2) หลักการคำนวน Table'!$C$3:$K$3)
  )
)</f>
        <v>0.9</v>
      </c>
      <c r="AV34" s="298">
        <f>IFERROR(
  _xlfn.XLOOKUP(AJ34,'2) หลักการคำนวน Table'!$C$3:$K$3,'2) หลักการคำนวน Table'!$C$3:$K$3,,1),
  IF(AJ34&lt;MIN('2) หลักการคำนวน Table'!$C$3:$K$3),
     MIN('2) หลักการคำนวน Table'!$C$3:$K$3),
     MAX('2) หลักการคำนวน Table'!$C$3:$K$3)
  )
)</f>
        <v>0.9</v>
      </c>
      <c r="AW34" s="298">
        <f>IFERROR(
  _xlfn.XLOOKUP(AK34,'2) หลักการคำนวน Table'!$C$3:$K$3,'2) หลักการคำนวน Table'!$C$3:$K$3,,1),
  IF(AK34&lt;MIN('2) หลักการคำนวน Table'!$C$3:$K$3),
     MIN('2) หลักการคำนวน Table'!$C$3:$K$3),
     MAX('2) หลักการคำนวน Table'!$C$3:$K$3)
  )
)</f>
        <v>0.9</v>
      </c>
      <c r="AX34" s="298">
        <f>IFERROR(
  _xlfn.XLOOKUP(AL34,'2) หลักการคำนวน Table'!$C$3:$K$3,'2) หลักการคำนวน Table'!$C$3:$K$3,,1),
  IF(AL34&lt;MIN('2) หลักการคำนวน Table'!$C$3:$K$3),
     MIN('2) หลักการคำนวน Table'!$C$3:$K$3),
     MAX('2) หลักการคำนวน Table'!$C$3:$K$3)
  )
)</f>
        <v>0.9</v>
      </c>
      <c r="AY34" s="298">
        <f>IFERROR(
  _xlfn.XLOOKUP(AM34,'2) หลักการคำนวน Table'!$C$3:$K$3,'2) หลักการคำนวน Table'!$C$3:$K$3,,1),
  IF(AM34&lt;MIN('2) หลักการคำนวน Table'!$C$3:$K$3),
     MIN('2) หลักการคำนวน Table'!$C$3:$K$3),
     MAX('2) หลักการคำนวน Table'!$C$3:$K$3)
  )
)</f>
        <v>0.9</v>
      </c>
      <c r="AZ34" s="299" t="e" cm="1">
        <f t="array" ref="AZ34">(_xlfn.XLOOKUP($C34,'2) หลักการคำนวน Table'!$A$4:$A$36,
_xlfn.XLOOKUP(AN34,'2)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</f>
        <v>#N/A</v>
      </c>
      <c r="BA34" s="299" t="e" cm="1">
        <f t="array" ref="BA34">(_xlfn.XLOOKUP($C34,'2) หลักการคำนวน Table'!$A$4:$A$36,
_xlfn.XLOOKUP(AO34,'2)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</f>
        <v>#N/A</v>
      </c>
      <c r="BB34" s="299" t="e" cm="1">
        <f t="array" ref="BB34">(_xlfn.XLOOKUP($C34,'2) หลักการคำนวน Table'!$A$4:$A$36,
_xlfn.XLOOKUP(AP34,'2)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</f>
        <v>#N/A</v>
      </c>
      <c r="BC34" s="299" t="e" cm="1">
        <f t="array" ref="BC34">(_xlfn.XLOOKUP($C34,'2) หลักการคำนวน Table'!$A$4:$A$36,
_xlfn.XLOOKUP(AQ34,'2)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</f>
        <v>#N/A</v>
      </c>
      <c r="BD34" s="299" t="e" cm="1">
        <f t="array" ref="BD34">(_xlfn.XLOOKUP($C34,'2) หลักการคำนวน Table'!$A$4:$A$36,
_xlfn.XLOOKUP(AR34,'2)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</f>
        <v>#N/A</v>
      </c>
      <c r="BE34" s="299" t="e" cm="1">
        <f t="array" ref="BE34">(_xlfn.XLOOKUP($C34,'2) หลักการคำนวน Table'!$A$4:$A$36,
_xlfn.XLOOKUP(AS34,'2)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</f>
        <v>#N/A</v>
      </c>
      <c r="BF34" s="299" t="e" cm="1">
        <f t="array" ref="BF34">(_xlfn.XLOOKUP($C34,'2) หลักการคำนวน Table'!$A$4:$A$36,
_xlfn.XLOOKUP(AT34,'2)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</f>
        <v>#N/A</v>
      </c>
      <c r="BG34" s="299" t="e" cm="1">
        <f t="array" ref="BG34">(_xlfn.XLOOKUP($C34,'2) หลักการคำนวน Table'!$A$4:$A$36,
_xlfn.XLOOKUP(AU34,'2)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</f>
        <v>#N/A</v>
      </c>
      <c r="BH34" s="299" t="e" cm="1">
        <f t="array" ref="BH34">ROUND((_xlfn.XLOOKUP($C34,'2) หลักการคำนวน Table'!$A$4:$A$36,
_xlfn.XLOOKUP(AV34,'2)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I34" s="299" t="e" cm="1">
        <f t="array" ref="BI34">ROUND((_xlfn.XLOOKUP($C34,'2) หลักการคำนวน Table'!$A$4:$A$36,
_xlfn.XLOOKUP(AW34,'2)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J34" s="299" t="e" cm="1">
        <f t="array" ref="BJ34">ROUND((_xlfn.XLOOKUP($C34,'2) หลักการคำนวน Table'!$A$4:$A$36,
_xlfn.XLOOKUP(AX34,'2)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K34" s="299" t="e" cm="1">
        <f t="array" ref="BK34">ROUND((_xlfn.XLOOKUP($C34,'2) หลักการคำนวน Table'!$A$4:$A$36,
_xlfn.XLOOKUP(AY34,'2) หลักการคำนวน Table'!$C$3:$K$3,'2) หลักการคำนวน Table'!$C$4:$K$36,,-1)))*(_xlfn.XLOOKUP($C34,'2) หลักการคำนวน Table'!$A$4:$A$36, _xlfn.XLOOKUP($B34,'2) หลักการคำนวน Table'!$L$3:$Z$3,'2) หลักการคำนวน Table'!$L$4:$Z$36))),0)</f>
        <v>#N/A</v>
      </c>
      <c r="BL34" s="295"/>
      <c r="BM34" s="295">
        <v>222237</v>
      </c>
      <c r="BN34" s="300">
        <v>328.28282828282829</v>
      </c>
    </row>
    <row r="35" spans="1:66" ht="13.2" customHeight="1" x14ac:dyDescent="0.25">
      <c r="A35" s="322">
        <f>VLOOKUP(C35,ASTBase!F:S,12,FALSE)</f>
        <v>222223</v>
      </c>
      <c r="B35" s="295" t="s">
        <v>416</v>
      </c>
      <c r="C35" s="322">
        <v>222237</v>
      </c>
      <c r="D35" s="296">
        <f>SUMIFS('3)Target &amp; Cal_Staff'!D$4:D$164,'3)Target &amp; Cal_Staff'!$B$4:$B$164,'3)Target &amp; Cal_Sect'!$B35,'3)Target &amp; Cal_Staff'!$A$4:$A$164,'3)Target &amp; Cal_Sect'!$C35)</f>
        <v>15</v>
      </c>
      <c r="E35" s="296">
        <f>SUMIFS('3)Target &amp; Cal_Staff'!E$4:E$164,'3)Target &amp; Cal_Staff'!$B$4:$B$164,'3)Target &amp; Cal_Sect'!$B35,'3)Target &amp; Cal_Staff'!$A$4:$A$164,'3)Target &amp; Cal_Sect'!$C35)</f>
        <v>22</v>
      </c>
      <c r="F35" s="296">
        <f>SUMIFS('3)Target &amp; Cal_Staff'!F$4:F$164,'3)Target &amp; Cal_Staff'!$B$4:$B$164,'3)Target &amp; Cal_Sect'!$B35,'3)Target &amp; Cal_Staff'!$A$4:$A$164,'3)Target &amp; Cal_Sect'!$C35)</f>
        <v>39</v>
      </c>
      <c r="G35" s="296">
        <f>SUMIFS('3)Target &amp; Cal_Staff'!G$4:G$164,'3)Target &amp; Cal_Staff'!$B$4:$B$164,'3)Target &amp; Cal_Sect'!$B35,'3)Target &amp; Cal_Staff'!$A$4:$A$164,'3)Target &amp; Cal_Sect'!$C35)</f>
        <v>23</v>
      </c>
      <c r="H35" s="296">
        <f>SUMIFS('3)Target &amp; Cal_Staff'!H$4:H$164,'3)Target &amp; Cal_Staff'!$B$4:$B$164,'3)Target &amp; Cal_Sect'!$B35,'3)Target &amp; Cal_Staff'!$A$4:$A$164,'3)Target &amp; Cal_Sect'!$C35)</f>
        <v>21</v>
      </c>
      <c r="I35" s="296">
        <f>SUMIFS('3)Target &amp; Cal_Staff'!I$4:I$164,'3)Target &amp; Cal_Staff'!$B$4:$B$164,'3)Target &amp; Cal_Sect'!$B35,'3)Target &amp; Cal_Staff'!$A$4:$A$164,'3)Target &amp; Cal_Sect'!$C35)</f>
        <v>23</v>
      </c>
      <c r="J35" s="296">
        <f>SUMIFS('3)Target &amp; Cal_Staff'!J$4:J$164,'3)Target &amp; Cal_Staff'!$B$4:$B$164,'3)Target &amp; Cal_Sect'!$B35,'3)Target &amp; Cal_Staff'!$A$4:$A$164,'3)Target &amp; Cal_Sect'!$C35)</f>
        <v>24</v>
      </c>
      <c r="K35" s="296">
        <f>SUMIFS('3)Target &amp; Cal_Staff'!K$4:K$164,'3)Target &amp; Cal_Staff'!$B$4:$B$164,'3)Target &amp; Cal_Sect'!$B35,'3)Target &amp; Cal_Staff'!$A$4:$A$164,'3)Target &amp; Cal_Sect'!$C35)</f>
        <v>22</v>
      </c>
      <c r="L35" s="296">
        <f>SUMIFS('3)Target &amp; Cal_Staff'!L$4:L$164,'3)Target &amp; Cal_Staff'!$B$4:$B$164,'3)Target &amp; Cal_Sect'!$B35,'3)Target &amp; Cal_Staff'!$A$4:$A$164,'3)Target &amp; Cal_Sect'!$C35)</f>
        <v>27</v>
      </c>
      <c r="M35" s="296">
        <f>SUMIFS('3)Target &amp; Cal_Staff'!M$4:M$164,'3)Target &amp; Cal_Staff'!$B$4:$B$164,'3)Target &amp; Cal_Sect'!$B35,'3)Target &amp; Cal_Staff'!$A$4:$A$164,'3)Target &amp; Cal_Sect'!$C35)</f>
        <v>25</v>
      </c>
      <c r="N35" s="296">
        <f>SUMIFS('3)Target &amp; Cal_Staff'!N$4:N$164,'3)Target &amp; Cal_Staff'!$B$4:$B$164,'3)Target &amp; Cal_Sect'!$B35,'3)Target &amp; Cal_Staff'!$A$4:$A$164,'3)Target &amp; Cal_Sect'!$C35)</f>
        <v>19</v>
      </c>
      <c r="O35" s="296">
        <f>SUMIFS('3)Target &amp; Cal_Staff'!O$4:O$164,'3)Target &amp; Cal_Staff'!$B$4:$B$164,'3)Target &amp; Cal_Sect'!$B35,'3)Target &amp; Cal_Staff'!$A$4:$A$164,'3)Target &amp; Cal_Sect'!$C35)</f>
        <v>40</v>
      </c>
      <c r="P35" s="296">
        <f>SUMIFS('3)Target &amp; Cal_Staff'!P$4:P$164,'3)Target &amp; Cal_Staff'!$B$4:$B$164,'3)Target &amp; Cal_Sect'!$B35,'3)Target &amp; Cal_Staff'!$A$4:$A$164,'3)Target &amp; Cal_Sect'!$C35)</f>
        <v>16.999999999728001</v>
      </c>
      <c r="Q35" s="296">
        <f>SUMIFS('3)Target &amp; Cal_Staff'!Q$4:Q$164,'3)Target &amp; Cal_Staff'!$B$4:$B$164,'3)Target &amp; Cal_Sect'!$B35,'3)Target &amp; Cal_Staff'!$A$4:$A$164,'3)Target &amp; Cal_Sect'!$C35)</f>
        <v>0</v>
      </c>
      <c r="R35" s="296">
        <f>SUMIFS('3)Target &amp; Cal_Staff'!R$4:R$164,'3)Target &amp; Cal_Staff'!$B$4:$B$164,'3)Target &amp; Cal_Sect'!$B35,'3)Target &amp; Cal_Staff'!$A$4:$A$164,'3)Target &amp; Cal_Sect'!$C35)</f>
        <v>0</v>
      </c>
      <c r="S35" s="296">
        <f>SUMIFS('3)Target &amp; Cal_Staff'!S$4:S$164,'3)Target &amp; Cal_Staff'!$B$4:$B$164,'3)Target &amp; Cal_Sect'!$B35,'3)Target &amp; Cal_Staff'!$A$4:$A$164,'3)Target &amp; Cal_Sect'!$C35)</f>
        <v>0</v>
      </c>
      <c r="T35" s="296">
        <f>SUMIFS('3)Target &amp; Cal_Staff'!T$4:T$164,'3)Target &amp; Cal_Staff'!$B$4:$B$164,'3)Target &amp; Cal_Sect'!$B35,'3)Target &amp; Cal_Staff'!$A$4:$A$164,'3)Target &amp; Cal_Sect'!$C35)</f>
        <v>0</v>
      </c>
      <c r="U35" s="296">
        <f>SUMIFS('3)Target &amp; Cal_Staff'!U$4:U$164,'3)Target &amp; Cal_Staff'!$B$4:$B$164,'3)Target &amp; Cal_Sect'!$B35,'3)Target &amp; Cal_Staff'!$A$4:$A$164,'3)Target &amp; Cal_Sect'!$C35)</f>
        <v>0</v>
      </c>
      <c r="V35" s="296">
        <f>SUMIFS('3)Target &amp; Cal_Staff'!V$4:V$164,'3)Target &amp; Cal_Staff'!$B$4:$B$164,'3)Target &amp; Cal_Sect'!$B35,'3)Target &amp; Cal_Staff'!$A$4:$A$164,'3)Target &amp; Cal_Sect'!$C35)</f>
        <v>0</v>
      </c>
      <c r="W35" s="296">
        <f>SUMIFS('3)Target &amp; Cal_Staff'!W$4:W$164,'3)Target &amp; Cal_Staff'!$B$4:$B$164,'3)Target &amp; Cal_Sect'!$B35,'3)Target &amp; Cal_Staff'!$A$4:$A$164,'3)Target &amp; Cal_Sect'!$C35)</f>
        <v>0</v>
      </c>
      <c r="X35" s="296">
        <f>SUMIFS('3)Target &amp; Cal_Staff'!X$4:X$164,'3)Target &amp; Cal_Staff'!$B$4:$B$164,'3)Target &amp; Cal_Sect'!$B35,'3)Target &amp; Cal_Staff'!$A$4:$A$164,'3)Target &amp; Cal_Sect'!$C35)</f>
        <v>0</v>
      </c>
      <c r="Y35" s="296">
        <f>SUMIFS('3)Target &amp; Cal_Staff'!Y$4:Y$164,'3)Target &amp; Cal_Staff'!$B$4:$B$164,'3)Target &amp; Cal_Sect'!$B35,'3)Target &amp; Cal_Staff'!$A$4:$A$164,'3)Target &amp; Cal_Sect'!$C35)</f>
        <v>0</v>
      </c>
      <c r="Z35" s="296">
        <f>SUMIFS('3)Target &amp; Cal_Staff'!Z$4:Z$164,'3)Target &amp; Cal_Staff'!$B$4:$B$164,'3)Target &amp; Cal_Sect'!$B35,'3)Target &amp; Cal_Staff'!$A$4:$A$164,'3)Target &amp; Cal_Sect'!$C35)</f>
        <v>0</v>
      </c>
      <c r="AA35" s="296">
        <f>SUMIFS('3)Target &amp; Cal_Staff'!AA$4:AA$164,'3)Target &amp; Cal_Staff'!$B$4:$B$164,'3)Target &amp; Cal_Sect'!$B35,'3)Target &amp; Cal_Staff'!$A$4:$A$164,'3)Target &amp; Cal_Sect'!$C35)</f>
        <v>0</v>
      </c>
      <c r="AB35" s="297">
        <f>IFERROR(IF(VLOOKUP($B35,Shortage!$A:$M,AB$2,FALSE)="Shortage",1,IFERROR(ROUND(P35/D35,4),0)),IFERROR(ROUND(P35/D35,4),0))</f>
        <v>1.1333</v>
      </c>
      <c r="AC35" s="297">
        <f>IFERROR(IF(VLOOKUP($B35,Shortage!$A:$M,AC$2,FALSE)="Shortage",1,IFERROR(ROUND(Q35/E35,4),0)),IFERROR(ROUND(Q35/E35,4),0))</f>
        <v>0</v>
      </c>
      <c r="AD35" s="297">
        <f>IFERROR(IF(VLOOKUP($B35,Shortage!$A:$M,AD$2,FALSE)="Shortage",1,IFERROR(ROUND(R35/F35,4),0)),IFERROR(ROUND(R35/F35,4),0))</f>
        <v>0</v>
      </c>
      <c r="AE35" s="297">
        <f>IFERROR(IF(VLOOKUP($B35,Shortage!$A:$M,AE$2,FALSE)="Shortage",1,IFERROR(ROUND(S35/G35,4),0)),IFERROR(ROUND(S35/G35,4),0))</f>
        <v>0</v>
      </c>
      <c r="AF35" s="297">
        <f>IFERROR(IF(VLOOKUP($B35,Shortage!$A:$M,AF$2,FALSE)="Shortage",1,IFERROR(ROUND(T35/H35,4),0)),IFERROR(ROUND(T35/H35,4),0))</f>
        <v>0</v>
      </c>
      <c r="AG35" s="297">
        <f>IFERROR(IF(VLOOKUP($B35,Shortage!$A:$M,AG$2,FALSE)="Shortage",1,IFERROR(ROUND(U35/I35,4),0)),IFERROR(ROUND(U35/I35,4),0))</f>
        <v>0</v>
      </c>
      <c r="AH35" s="297">
        <f>IFERROR(IF(VLOOKUP($B35,Shortage!$A:$M,AH$2,FALSE)="Shortage",1,IFERROR(ROUND(V35/J35,4),0)),IFERROR(ROUND(V35/J35,4),0))</f>
        <v>0</v>
      </c>
      <c r="AI35" s="297">
        <f>IFERROR(IF(VLOOKUP($B35,Shortage!$A:$M,AI$2,FALSE)="Shortage",1,IFERROR(ROUND(W35/K35,4),0)),IFERROR(ROUND(W35/K35,4),0))</f>
        <v>0</v>
      </c>
      <c r="AJ35" s="297">
        <f>IFERROR(IF(VLOOKUP($B35,Shortage!$A:$M,AJ$2,FALSE)="Shortage",1,IFERROR(ROUND(X35/L35,4),0)),IFERROR(ROUND(X35/L35,4),0))</f>
        <v>0</v>
      </c>
      <c r="AK35" s="297">
        <f>IFERROR(IF(VLOOKUP($B35,Shortage!$A:$M,AK$2,FALSE)="Shortage",1,IFERROR(ROUND(Y35/M35,4),0)),IFERROR(ROUND(Y35/M35,4),0))</f>
        <v>0</v>
      </c>
      <c r="AL35" s="297">
        <f>IFERROR(IF(VLOOKUP($B35,Shortage!$A:$M,AL$2,FALSE)="Shortage",1,IFERROR(ROUND(Z35/N35,4),0)),IFERROR(ROUND(Z35/N35,4),0))</f>
        <v>0</v>
      </c>
      <c r="AM35" s="297">
        <f>IFERROR(IF(VLOOKUP($B35,Shortage!$A:$M,AM$2,FALSE)="Shortage",1,IFERROR(ROUND(AA35/O35,4),0)),IFERROR(ROUND(AA35/O35,4),0))</f>
        <v>0</v>
      </c>
      <c r="AN35" s="298">
        <f>IFERROR(_xlfn.XLOOKUP(AB35,'2) หลักการคำนวน Table'!$C$3:$K$3,'2) หลักการคำนวน Table'!$C$3:$K$3,,1),INDEX('2) หลักการคำนวน Table'!$C$3:$K$3,1))</f>
        <v>1.1499999999999999</v>
      </c>
      <c r="AO35" s="298">
        <f>IFERROR(
  _xlfn.XLOOKUP(AC35,'2) หลักการคำนวน Table'!$C$3:$K$3,'2) หลักการคำนวน Table'!$C$3:$K$3,,1),
  IF(AC35&lt;MIN('2) หลักการคำนวน Table'!$C$3:$K$3),
     MIN('2) หลักการคำนวน Table'!$C$3:$K$3),
     MAX('2) หลักการคำนวน Table'!$C$3:$K$3)
  )
)</f>
        <v>0.9</v>
      </c>
      <c r="AP35" s="298">
        <f>IFERROR(
  _xlfn.XLOOKUP(AD35,'2) หลักการคำนวน Table'!$C$3:$K$3,'2) หลักการคำนวน Table'!$C$3:$K$3,,1),
  IF(AD35&lt;MIN('2) หลักการคำนวน Table'!$C$3:$K$3),
     MIN('2) หลักการคำนวน Table'!$C$3:$K$3),
     MAX('2) หลักการคำนวน Table'!$C$3:$K$3)
  )
)</f>
        <v>0.9</v>
      </c>
      <c r="AQ35" s="298">
        <f>IFERROR(
  _xlfn.XLOOKUP(AE35,'2) หลักการคำนวน Table'!$C$3:$K$3,'2) หลักการคำนวน Table'!$C$3:$K$3,,1),
  IF(AE35&lt;MIN('2) หลักการคำนวน Table'!$C$3:$K$3),
     MIN('2) หลักการคำนวน Table'!$C$3:$K$3),
     MAX('2) หลักการคำนวน Table'!$C$3:$K$3)
  )
)</f>
        <v>0.9</v>
      </c>
      <c r="AR35" s="298">
        <f>IFERROR(
  _xlfn.XLOOKUP(AF35,'2) หลักการคำนวน Table'!$C$3:$K$3,'2) หลักการคำนวน Table'!$C$3:$K$3,,1),
  IF(AF35&lt;MIN('2) หลักการคำนวน Table'!$C$3:$K$3),
     MIN('2) หลักการคำนวน Table'!$C$3:$K$3),
     MAX('2) หลักการคำนวน Table'!$C$3:$K$3)
  )
)</f>
        <v>0.9</v>
      </c>
      <c r="AS35" s="298">
        <f>IFERROR(
  _xlfn.XLOOKUP(AG35,'2) หลักการคำนวน Table'!$C$3:$K$3,'2) หลักการคำนวน Table'!$C$3:$K$3,,1),
  IF(AG35&lt;MIN('2) หลักการคำนวน Table'!$C$3:$K$3),
     MIN('2) หลักการคำนวน Table'!$C$3:$K$3),
     MAX('2) หลักการคำนวน Table'!$C$3:$K$3)
  )
)</f>
        <v>0.9</v>
      </c>
      <c r="AT35" s="298">
        <f>IFERROR(
  _xlfn.XLOOKUP(AH35,'2) หลักการคำนวน Table'!$C$3:$K$3,'2) หลักการคำนวน Table'!$C$3:$K$3,,1),
  IF(AH35&lt;MIN('2) หลักการคำนวน Table'!$C$3:$K$3),
     MIN('2) หลักการคำนวน Table'!$C$3:$K$3),
     MAX('2) หลักการคำนวน Table'!$C$3:$K$3)
  )
)</f>
        <v>0.9</v>
      </c>
      <c r="AU35" s="298">
        <f>IFERROR(
  _xlfn.XLOOKUP(AI35,'2) หลักการคำนวน Table'!$C$3:$K$3,'2) หลักการคำนวน Table'!$C$3:$K$3,,1),
  IF(AI35&lt;MIN('2) หลักการคำนวน Table'!$C$3:$K$3),
     MIN('2) หลักการคำนวน Table'!$C$3:$K$3),
     MAX('2) หลักการคำนวน Table'!$C$3:$K$3)
  )
)</f>
        <v>0.9</v>
      </c>
      <c r="AV35" s="298">
        <f>IFERROR(
  _xlfn.XLOOKUP(AJ35,'2) หลักการคำนวน Table'!$C$3:$K$3,'2) หลักการคำนวน Table'!$C$3:$K$3,,1),
  IF(AJ35&lt;MIN('2) หลักการคำนวน Table'!$C$3:$K$3),
     MIN('2) หลักการคำนวน Table'!$C$3:$K$3),
     MAX('2) หลักการคำนวน Table'!$C$3:$K$3)
  )
)</f>
        <v>0.9</v>
      </c>
      <c r="AW35" s="298">
        <f>IFERROR(
  _xlfn.XLOOKUP(AK35,'2) หลักการคำนวน Table'!$C$3:$K$3,'2) หลักการคำนวน Table'!$C$3:$K$3,,1),
  IF(AK35&lt;MIN('2) หลักการคำนวน Table'!$C$3:$K$3),
     MIN('2) หลักการคำนวน Table'!$C$3:$K$3),
     MAX('2) หลักการคำนวน Table'!$C$3:$K$3)
  )
)</f>
        <v>0.9</v>
      </c>
      <c r="AX35" s="298">
        <f>IFERROR(
  _xlfn.XLOOKUP(AL35,'2) หลักการคำนวน Table'!$C$3:$K$3,'2) หลักการคำนวน Table'!$C$3:$K$3,,1),
  IF(AL35&lt;MIN('2) หลักการคำนวน Table'!$C$3:$K$3),
     MIN('2) หลักการคำนวน Table'!$C$3:$K$3),
     MAX('2) หลักการคำนวน Table'!$C$3:$K$3)
  )
)</f>
        <v>0.9</v>
      </c>
      <c r="AY35" s="298">
        <f>IFERROR(
  _xlfn.XLOOKUP(AM35,'2) หลักการคำนวน Table'!$C$3:$K$3,'2) หลักการคำนวน Table'!$C$3:$K$3,,1),
  IF(AM35&lt;MIN('2) หลักการคำนวน Table'!$C$3:$K$3),
     MIN('2) หลักการคำนวน Table'!$C$3:$K$3),
     MAX('2) หลักการคำนวน Table'!$C$3:$K$3)
  )
)</f>
        <v>0.9</v>
      </c>
      <c r="AZ35" s="299" t="e" cm="1">
        <f t="array" ref="AZ35">(_xlfn.XLOOKUP($C35,'2) หลักการคำนวน Table'!$A$4:$A$36,
_xlfn.XLOOKUP(AN35,'2)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</f>
        <v>#N/A</v>
      </c>
      <c r="BA35" s="299" t="e" cm="1">
        <f t="array" ref="BA35">(_xlfn.XLOOKUP($C35,'2) หลักการคำนวน Table'!$A$4:$A$36,
_xlfn.XLOOKUP(AO35,'2)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</f>
        <v>#N/A</v>
      </c>
      <c r="BB35" s="299" t="e" cm="1">
        <f t="array" ref="BB35">(_xlfn.XLOOKUP($C35,'2) หลักการคำนวน Table'!$A$4:$A$36,
_xlfn.XLOOKUP(AP35,'2)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</f>
        <v>#N/A</v>
      </c>
      <c r="BC35" s="299" t="e" cm="1">
        <f t="array" ref="BC35">(_xlfn.XLOOKUP($C35,'2) หลักการคำนวน Table'!$A$4:$A$36,
_xlfn.XLOOKUP(AQ35,'2)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</f>
        <v>#N/A</v>
      </c>
      <c r="BD35" s="299" t="e" cm="1">
        <f t="array" ref="BD35">(_xlfn.XLOOKUP($C35,'2) หลักการคำนวน Table'!$A$4:$A$36,
_xlfn.XLOOKUP(AR35,'2)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</f>
        <v>#N/A</v>
      </c>
      <c r="BE35" s="299" t="e" cm="1">
        <f t="array" ref="BE35">(_xlfn.XLOOKUP($C35,'2) หลักการคำนวน Table'!$A$4:$A$36,
_xlfn.XLOOKUP(AS35,'2)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</f>
        <v>#N/A</v>
      </c>
      <c r="BF35" s="299" t="e" cm="1">
        <f t="array" ref="BF35">(_xlfn.XLOOKUP($C35,'2) หลักการคำนวน Table'!$A$4:$A$36,
_xlfn.XLOOKUP(AT35,'2)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</f>
        <v>#N/A</v>
      </c>
      <c r="BG35" s="299" t="e" cm="1">
        <f t="array" ref="BG35">(_xlfn.XLOOKUP($C35,'2) หลักการคำนวน Table'!$A$4:$A$36,
_xlfn.XLOOKUP(AU35,'2)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</f>
        <v>#N/A</v>
      </c>
      <c r="BH35" s="299" t="e" cm="1">
        <f t="array" ref="BH35">ROUND((_xlfn.XLOOKUP($C35,'2) หลักการคำนวน Table'!$A$4:$A$36,
_xlfn.XLOOKUP(AV35,'2)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I35" s="299" t="e" cm="1">
        <f t="array" ref="BI35">ROUND((_xlfn.XLOOKUP($C35,'2) หลักการคำนวน Table'!$A$4:$A$36,
_xlfn.XLOOKUP(AW35,'2)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J35" s="299" t="e" cm="1">
        <f t="array" ref="BJ35">ROUND((_xlfn.XLOOKUP($C35,'2) หลักการคำนวน Table'!$A$4:$A$36,
_xlfn.XLOOKUP(AX35,'2)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K35" s="299" t="e" cm="1">
        <f t="array" ref="BK35">ROUND((_xlfn.XLOOKUP($C35,'2) หลักการคำนวน Table'!$A$4:$A$36,
_xlfn.XLOOKUP(AY35,'2) หลักการคำนวน Table'!$C$3:$K$3,'2) หลักการคำนวน Table'!$C$4:$K$36,,-1)))*(_xlfn.XLOOKUP($C35,'2) หลักการคำนวน Table'!$A$4:$A$36, _xlfn.XLOOKUP($B35,'2) หลักการคำนวน Table'!$L$3:$Z$3,'2) หลักการคำนวน Table'!$L$4:$Z$36))),0)</f>
        <v>#N/A</v>
      </c>
      <c r="BL35" s="295"/>
      <c r="BM35" s="295">
        <v>222237</v>
      </c>
      <c r="BN35" s="300">
        <v>116.16161616161615</v>
      </c>
    </row>
    <row r="36" spans="1:66" ht="13.2" customHeight="1" x14ac:dyDescent="0.25">
      <c r="A36" s="322">
        <f>VLOOKUP(C36,ASTBase!F:S,12,FALSE)</f>
        <v>222223</v>
      </c>
      <c r="B36" s="295" t="s">
        <v>407</v>
      </c>
      <c r="C36" s="322">
        <v>222237</v>
      </c>
      <c r="D36" s="296">
        <f>SUMIFS('3)Target &amp; Cal_Staff'!D$4:D$164,'3)Target &amp; Cal_Staff'!$B$4:$B$164,'3)Target &amp; Cal_Sect'!$B36,'3)Target &amp; Cal_Staff'!$A$4:$A$164,'3)Target &amp; Cal_Sect'!$C36)</f>
        <v>182000</v>
      </c>
      <c r="E36" s="296">
        <f>SUMIFS('3)Target &amp; Cal_Staff'!E$4:E$164,'3)Target &amp; Cal_Staff'!$B$4:$B$164,'3)Target &amp; Cal_Sect'!$B36,'3)Target &amp; Cal_Staff'!$A$4:$A$164,'3)Target &amp; Cal_Sect'!$C36)</f>
        <v>155000</v>
      </c>
      <c r="F36" s="296">
        <f>SUMIFS('3)Target &amp; Cal_Staff'!F$4:F$164,'3)Target &amp; Cal_Staff'!$B$4:$B$164,'3)Target &amp; Cal_Sect'!$B36,'3)Target &amp; Cal_Staff'!$A$4:$A$164,'3)Target &amp; Cal_Sect'!$C36)</f>
        <v>250000</v>
      </c>
      <c r="G36" s="296">
        <f>SUMIFS('3)Target &amp; Cal_Staff'!G$4:G$164,'3)Target &amp; Cal_Staff'!$B$4:$B$164,'3)Target &amp; Cal_Sect'!$B36,'3)Target &amp; Cal_Staff'!$A$4:$A$164,'3)Target &amp; Cal_Sect'!$C36)</f>
        <v>156000</v>
      </c>
      <c r="H36" s="296">
        <f>SUMIFS('3)Target &amp; Cal_Staff'!H$4:H$164,'3)Target &amp; Cal_Staff'!$B$4:$B$164,'3)Target &amp; Cal_Sect'!$B36,'3)Target &amp; Cal_Staff'!$A$4:$A$164,'3)Target &amp; Cal_Sect'!$C36)</f>
        <v>179000</v>
      </c>
      <c r="I36" s="296">
        <f>SUMIFS('3)Target &amp; Cal_Staff'!I$4:I$164,'3)Target &amp; Cal_Staff'!$B$4:$B$164,'3)Target &amp; Cal_Sect'!$B36,'3)Target &amp; Cal_Staff'!$A$4:$A$164,'3)Target &amp; Cal_Sect'!$C36)</f>
        <v>162000</v>
      </c>
      <c r="J36" s="296">
        <f>SUMIFS('3)Target &amp; Cal_Staff'!J$4:J$164,'3)Target &amp; Cal_Staff'!$B$4:$B$164,'3)Target &amp; Cal_Sect'!$B36,'3)Target &amp; Cal_Staff'!$A$4:$A$164,'3)Target &amp; Cal_Sect'!$C36)</f>
        <v>178000</v>
      </c>
      <c r="K36" s="296">
        <f>SUMIFS('3)Target &amp; Cal_Staff'!K$4:K$164,'3)Target &amp; Cal_Staff'!$B$4:$B$164,'3)Target &amp; Cal_Sect'!$B36,'3)Target &amp; Cal_Staff'!$A$4:$A$164,'3)Target &amp; Cal_Sect'!$C36)</f>
        <v>166000</v>
      </c>
      <c r="L36" s="296">
        <f>SUMIFS('3)Target &amp; Cal_Staff'!L$4:L$164,'3)Target &amp; Cal_Staff'!$B$4:$B$164,'3)Target &amp; Cal_Sect'!$B36,'3)Target &amp; Cal_Staff'!$A$4:$A$164,'3)Target &amp; Cal_Sect'!$C36)</f>
        <v>220000</v>
      </c>
      <c r="M36" s="296">
        <f>SUMIFS('3)Target &amp; Cal_Staff'!M$4:M$164,'3)Target &amp; Cal_Staff'!$B$4:$B$164,'3)Target &amp; Cal_Sect'!$B36,'3)Target &amp; Cal_Staff'!$A$4:$A$164,'3)Target &amp; Cal_Sect'!$C36)</f>
        <v>210400</v>
      </c>
      <c r="N36" s="296">
        <f>SUMIFS('3)Target &amp; Cal_Staff'!N$4:N$164,'3)Target &amp; Cal_Staff'!$B$4:$B$164,'3)Target &amp; Cal_Sect'!$B36,'3)Target &amp; Cal_Staff'!$A$4:$A$164,'3)Target &amp; Cal_Sect'!$C36)</f>
        <v>171000</v>
      </c>
      <c r="O36" s="296">
        <f>SUMIFS('3)Target &amp; Cal_Staff'!O$4:O$164,'3)Target &amp; Cal_Staff'!$B$4:$B$164,'3)Target &amp; Cal_Sect'!$B36,'3)Target &amp; Cal_Staff'!$A$4:$A$164,'3)Target &amp; Cal_Sect'!$C36)</f>
        <v>272000</v>
      </c>
      <c r="P36" s="296">
        <f>SUMIFS('3)Target &amp; Cal_Staff'!P$4:P$164,'3)Target &amp; Cal_Staff'!$B$4:$B$164,'3)Target &amp; Cal_Sect'!$B36,'3)Target &amp; Cal_Staff'!$A$4:$A$164,'3)Target &amp; Cal_Sect'!$C36)</f>
        <v>192285.99999811983</v>
      </c>
      <c r="Q36" s="296">
        <f>SUMIFS('3)Target &amp; Cal_Staff'!Q$4:Q$164,'3)Target &amp; Cal_Staff'!$B$4:$B$164,'3)Target &amp; Cal_Sect'!$B36,'3)Target &amp; Cal_Staff'!$A$4:$A$164,'3)Target &amp; Cal_Sect'!$C36)</f>
        <v>0</v>
      </c>
      <c r="R36" s="296">
        <f>SUMIFS('3)Target &amp; Cal_Staff'!R$4:R$164,'3)Target &amp; Cal_Staff'!$B$4:$B$164,'3)Target &amp; Cal_Sect'!$B36,'3)Target &amp; Cal_Staff'!$A$4:$A$164,'3)Target &amp; Cal_Sect'!$C36)</f>
        <v>0</v>
      </c>
      <c r="S36" s="296">
        <f>SUMIFS('3)Target &amp; Cal_Staff'!S$4:S$164,'3)Target &amp; Cal_Staff'!$B$4:$B$164,'3)Target &amp; Cal_Sect'!$B36,'3)Target &amp; Cal_Staff'!$A$4:$A$164,'3)Target &amp; Cal_Sect'!$C36)</f>
        <v>0</v>
      </c>
      <c r="T36" s="296">
        <f>SUMIFS('3)Target &amp; Cal_Staff'!T$4:T$164,'3)Target &amp; Cal_Staff'!$B$4:$B$164,'3)Target &amp; Cal_Sect'!$B36,'3)Target &amp; Cal_Staff'!$A$4:$A$164,'3)Target &amp; Cal_Sect'!$C36)</f>
        <v>0</v>
      </c>
      <c r="U36" s="296">
        <f>SUMIFS('3)Target &amp; Cal_Staff'!U$4:U$164,'3)Target &amp; Cal_Staff'!$B$4:$B$164,'3)Target &amp; Cal_Sect'!$B36,'3)Target &amp; Cal_Staff'!$A$4:$A$164,'3)Target &amp; Cal_Sect'!$C36)</f>
        <v>0</v>
      </c>
      <c r="V36" s="296">
        <f>SUMIFS('3)Target &amp; Cal_Staff'!V$4:V$164,'3)Target &amp; Cal_Staff'!$B$4:$B$164,'3)Target &amp; Cal_Sect'!$B36,'3)Target &amp; Cal_Staff'!$A$4:$A$164,'3)Target &amp; Cal_Sect'!$C36)</f>
        <v>0</v>
      </c>
      <c r="W36" s="296">
        <f>SUMIFS('3)Target &amp; Cal_Staff'!W$4:W$164,'3)Target &amp; Cal_Staff'!$B$4:$B$164,'3)Target &amp; Cal_Sect'!$B36,'3)Target &amp; Cal_Staff'!$A$4:$A$164,'3)Target &amp; Cal_Sect'!$C36)</f>
        <v>0</v>
      </c>
      <c r="X36" s="296">
        <f>SUMIFS('3)Target &amp; Cal_Staff'!X$4:X$164,'3)Target &amp; Cal_Staff'!$B$4:$B$164,'3)Target &amp; Cal_Sect'!$B36,'3)Target &amp; Cal_Staff'!$A$4:$A$164,'3)Target &amp; Cal_Sect'!$C36)</f>
        <v>0</v>
      </c>
      <c r="Y36" s="296">
        <f>SUMIFS('3)Target &amp; Cal_Staff'!Y$4:Y$164,'3)Target &amp; Cal_Staff'!$B$4:$B$164,'3)Target &amp; Cal_Sect'!$B36,'3)Target &amp; Cal_Staff'!$A$4:$A$164,'3)Target &amp; Cal_Sect'!$C36)</f>
        <v>0</v>
      </c>
      <c r="Z36" s="296">
        <f>SUMIFS('3)Target &amp; Cal_Staff'!Z$4:Z$164,'3)Target &amp; Cal_Staff'!$B$4:$B$164,'3)Target &amp; Cal_Sect'!$B36,'3)Target &amp; Cal_Staff'!$A$4:$A$164,'3)Target &amp; Cal_Sect'!$C36)</f>
        <v>0</v>
      </c>
      <c r="AA36" s="296">
        <f>SUMIFS('3)Target &amp; Cal_Staff'!AA$4:AA$164,'3)Target &amp; Cal_Staff'!$B$4:$B$164,'3)Target &amp; Cal_Sect'!$B36,'3)Target &amp; Cal_Staff'!$A$4:$A$164,'3)Target &amp; Cal_Sect'!$C36)</f>
        <v>0</v>
      </c>
      <c r="AB36" s="297">
        <f>IFERROR(IF(VLOOKUP($B36,Shortage!$A:$M,AB$2,FALSE)="Shortage",1,IFERROR(ROUND(P36/D36,4),0)),IFERROR(ROUND(P36/D36,4),0))</f>
        <v>1.0565</v>
      </c>
      <c r="AC36" s="297">
        <f>IFERROR(IF(VLOOKUP($B36,Shortage!$A:$M,AC$2,FALSE)="Shortage",1,IFERROR(ROUND(Q36/E36,4),0)),IFERROR(ROUND(Q36/E36,4),0))</f>
        <v>0</v>
      </c>
      <c r="AD36" s="297">
        <f>IFERROR(IF(VLOOKUP($B36,Shortage!$A:$M,AD$2,FALSE)="Shortage",1,IFERROR(ROUND(R36/F36,4),0)),IFERROR(ROUND(R36/F36,4),0))</f>
        <v>0</v>
      </c>
      <c r="AE36" s="297">
        <f>IFERROR(IF(VLOOKUP($B36,Shortage!$A:$M,AE$2,FALSE)="Shortage",1,IFERROR(ROUND(S36/G36,4),0)),IFERROR(ROUND(S36/G36,4),0))</f>
        <v>0</v>
      </c>
      <c r="AF36" s="297">
        <f>IFERROR(IF(VLOOKUP($B36,Shortage!$A:$M,AF$2,FALSE)="Shortage",1,IFERROR(ROUND(T36/H36,4),0)),IFERROR(ROUND(T36/H36,4),0))</f>
        <v>0</v>
      </c>
      <c r="AG36" s="297">
        <f>IFERROR(IF(VLOOKUP($B36,Shortage!$A:$M,AG$2,FALSE)="Shortage",1,IFERROR(ROUND(U36/I36,4),0)),IFERROR(ROUND(U36/I36,4),0))</f>
        <v>0</v>
      </c>
      <c r="AH36" s="297">
        <f>IFERROR(IF(VLOOKUP($B36,Shortage!$A:$M,AH$2,FALSE)="Shortage",1,IFERROR(ROUND(V36/J36,4),0)),IFERROR(ROUND(V36/J36,4),0))</f>
        <v>0</v>
      </c>
      <c r="AI36" s="297">
        <f>IFERROR(IF(VLOOKUP($B36,Shortage!$A:$M,AI$2,FALSE)="Shortage",1,IFERROR(ROUND(W36/K36,4),0)),IFERROR(ROUND(W36/K36,4),0))</f>
        <v>0</v>
      </c>
      <c r="AJ36" s="297">
        <f>IFERROR(IF(VLOOKUP($B36,Shortage!$A:$M,AJ$2,FALSE)="Shortage",1,IFERROR(ROUND(X36/L36,4),0)),IFERROR(ROUND(X36/L36,4),0))</f>
        <v>0</v>
      </c>
      <c r="AK36" s="297">
        <f>IFERROR(IF(VLOOKUP($B36,Shortage!$A:$M,AK$2,FALSE)="Shortage",1,IFERROR(ROUND(Y36/M36,4),0)),IFERROR(ROUND(Y36/M36,4),0))</f>
        <v>0</v>
      </c>
      <c r="AL36" s="297">
        <f>IFERROR(IF(VLOOKUP($B36,Shortage!$A:$M,AL$2,FALSE)="Shortage",1,IFERROR(ROUND(Z36/N36,4),0)),IFERROR(ROUND(Z36/N36,4),0))</f>
        <v>0</v>
      </c>
      <c r="AM36" s="297">
        <f>IFERROR(IF(VLOOKUP($B36,Shortage!$A:$M,AM$2,FALSE)="Shortage",1,IFERROR(ROUND(AA36/O36,4),0)),IFERROR(ROUND(AA36/O36,4),0))</f>
        <v>0</v>
      </c>
      <c r="AN36" s="298">
        <f>IFERROR(_xlfn.XLOOKUP(AB36,'2) หลักการคำนวน Table'!$C$3:$K$3,'2) หลักการคำนวน Table'!$C$3:$K$3,,1),INDEX('2) หลักการคำนวน Table'!$C$3:$K$3,1))</f>
        <v>1.06</v>
      </c>
      <c r="AO36" s="298">
        <f>IFERROR(
  _xlfn.XLOOKUP(AC36,'2) หลักการคำนวน Table'!$C$3:$K$3,'2) หลักการคำนวน Table'!$C$3:$K$3,,1),
  IF(AC36&lt;MIN('2) หลักการคำนวน Table'!$C$3:$K$3),
     MIN('2) หลักการคำนวน Table'!$C$3:$K$3),
     MAX('2) หลักการคำนวน Table'!$C$3:$K$3)
  )
)</f>
        <v>0.9</v>
      </c>
      <c r="AP36" s="298">
        <f>IFERROR(
  _xlfn.XLOOKUP(AD36,'2) หลักการคำนวน Table'!$C$3:$K$3,'2) หลักการคำนวน Table'!$C$3:$K$3,,1),
  IF(AD36&lt;MIN('2) หลักการคำนวน Table'!$C$3:$K$3),
     MIN('2) หลักการคำนวน Table'!$C$3:$K$3),
     MAX('2) หลักการคำนวน Table'!$C$3:$K$3)
  )
)</f>
        <v>0.9</v>
      </c>
      <c r="AQ36" s="298">
        <f>IFERROR(
  _xlfn.XLOOKUP(AE36,'2) หลักการคำนวน Table'!$C$3:$K$3,'2) หลักการคำนวน Table'!$C$3:$K$3,,1),
  IF(AE36&lt;MIN('2) หลักการคำนวน Table'!$C$3:$K$3),
     MIN('2) หลักการคำนวน Table'!$C$3:$K$3),
     MAX('2) หลักการคำนวน Table'!$C$3:$K$3)
  )
)</f>
        <v>0.9</v>
      </c>
      <c r="AR36" s="298">
        <f>IFERROR(
  _xlfn.XLOOKUP(AF36,'2) หลักการคำนวน Table'!$C$3:$K$3,'2) หลักการคำนวน Table'!$C$3:$K$3,,1),
  IF(AF36&lt;MIN('2) หลักการคำนวน Table'!$C$3:$K$3),
     MIN('2) หลักการคำนวน Table'!$C$3:$K$3),
     MAX('2) หลักการคำนวน Table'!$C$3:$K$3)
  )
)</f>
        <v>0.9</v>
      </c>
      <c r="AS36" s="298">
        <f>IFERROR(
  _xlfn.XLOOKUP(AG36,'2) หลักการคำนวน Table'!$C$3:$K$3,'2) หลักการคำนวน Table'!$C$3:$K$3,,1),
  IF(AG36&lt;MIN('2) หลักการคำนวน Table'!$C$3:$K$3),
     MIN('2) หลักการคำนวน Table'!$C$3:$K$3),
     MAX('2) หลักการคำนวน Table'!$C$3:$K$3)
  )
)</f>
        <v>0.9</v>
      </c>
      <c r="AT36" s="298">
        <f>IFERROR(
  _xlfn.XLOOKUP(AH36,'2) หลักการคำนวน Table'!$C$3:$K$3,'2) หลักการคำนวน Table'!$C$3:$K$3,,1),
  IF(AH36&lt;MIN('2) หลักการคำนวน Table'!$C$3:$K$3),
     MIN('2) หลักการคำนวน Table'!$C$3:$K$3),
     MAX('2) หลักการคำนวน Table'!$C$3:$K$3)
  )
)</f>
        <v>0.9</v>
      </c>
      <c r="AU36" s="298">
        <f>IFERROR(
  _xlfn.XLOOKUP(AI36,'2) หลักการคำนวน Table'!$C$3:$K$3,'2) หลักการคำนวน Table'!$C$3:$K$3,,1),
  IF(AI36&lt;MIN('2) หลักการคำนวน Table'!$C$3:$K$3),
     MIN('2) หลักการคำนวน Table'!$C$3:$K$3),
     MAX('2) หลักการคำนวน Table'!$C$3:$K$3)
  )
)</f>
        <v>0.9</v>
      </c>
      <c r="AV36" s="298">
        <f>IFERROR(
  _xlfn.XLOOKUP(AJ36,'2) หลักการคำนวน Table'!$C$3:$K$3,'2) หลักการคำนวน Table'!$C$3:$K$3,,1),
  IF(AJ36&lt;MIN('2) หลักการคำนวน Table'!$C$3:$K$3),
     MIN('2) หลักการคำนวน Table'!$C$3:$K$3),
     MAX('2) หลักการคำนวน Table'!$C$3:$K$3)
  )
)</f>
        <v>0.9</v>
      </c>
      <c r="AW36" s="298">
        <f>IFERROR(
  _xlfn.XLOOKUP(AK36,'2) หลักการคำนวน Table'!$C$3:$K$3,'2) หลักการคำนวน Table'!$C$3:$K$3,,1),
  IF(AK36&lt;MIN('2) หลักการคำนวน Table'!$C$3:$K$3),
     MIN('2) หลักการคำนวน Table'!$C$3:$K$3),
     MAX('2) หลักการคำนวน Table'!$C$3:$K$3)
  )
)</f>
        <v>0.9</v>
      </c>
      <c r="AX36" s="298">
        <f>IFERROR(
  _xlfn.XLOOKUP(AL36,'2) หลักการคำนวน Table'!$C$3:$K$3,'2) หลักการคำนวน Table'!$C$3:$K$3,,1),
  IF(AL36&lt;MIN('2) หลักการคำนวน Table'!$C$3:$K$3),
     MIN('2) หลักการคำนวน Table'!$C$3:$K$3),
     MAX('2) หลักการคำนวน Table'!$C$3:$K$3)
  )
)</f>
        <v>0.9</v>
      </c>
      <c r="AY36" s="298">
        <f>IFERROR(
  _xlfn.XLOOKUP(AM36,'2) หลักการคำนวน Table'!$C$3:$K$3,'2) หลักการคำนวน Table'!$C$3:$K$3,,1),
  IF(AM36&lt;MIN('2) หลักการคำนวน Table'!$C$3:$K$3),
     MIN('2) หลักการคำนวน Table'!$C$3:$K$3),
     MAX('2) หลักการคำนวน Table'!$C$3:$K$3)
  )
)</f>
        <v>0.9</v>
      </c>
      <c r="AZ36" s="299" t="e" cm="1">
        <f t="array" ref="AZ36">(_xlfn.XLOOKUP($C36,'2) หลักการคำนวน Table'!$A$4:$A$36,
_xlfn.XLOOKUP(AN36,'2)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</f>
        <v>#N/A</v>
      </c>
      <c r="BA36" s="299" t="e" cm="1">
        <f t="array" ref="BA36">(_xlfn.XLOOKUP($C36,'2) หลักการคำนวน Table'!$A$4:$A$36,
_xlfn.XLOOKUP(AO36,'2)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</f>
        <v>#N/A</v>
      </c>
      <c r="BB36" s="299" t="e" cm="1">
        <f t="array" ref="BB36">(_xlfn.XLOOKUP($C36,'2) หลักการคำนวน Table'!$A$4:$A$36,
_xlfn.XLOOKUP(AP36,'2)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</f>
        <v>#N/A</v>
      </c>
      <c r="BC36" s="299" t="e" cm="1">
        <f t="array" ref="BC36">(_xlfn.XLOOKUP($C36,'2) หลักการคำนวน Table'!$A$4:$A$36,
_xlfn.XLOOKUP(AQ36,'2)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</f>
        <v>#N/A</v>
      </c>
      <c r="BD36" s="299" t="e" cm="1">
        <f t="array" ref="BD36">(_xlfn.XLOOKUP($C36,'2) หลักการคำนวน Table'!$A$4:$A$36,
_xlfn.XLOOKUP(AR36,'2)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</f>
        <v>#N/A</v>
      </c>
      <c r="BE36" s="299" t="e" cm="1">
        <f t="array" ref="BE36">(_xlfn.XLOOKUP($C36,'2) หลักการคำนวน Table'!$A$4:$A$36,
_xlfn.XLOOKUP(AS36,'2)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</f>
        <v>#N/A</v>
      </c>
      <c r="BF36" s="299" t="e" cm="1">
        <f t="array" ref="BF36">(_xlfn.XLOOKUP($C36,'2) หลักการคำนวน Table'!$A$4:$A$36,
_xlfn.XLOOKUP(AT36,'2)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</f>
        <v>#N/A</v>
      </c>
      <c r="BG36" s="299" t="e" cm="1">
        <f t="array" ref="BG36">(_xlfn.XLOOKUP($C36,'2) หลักการคำนวน Table'!$A$4:$A$36,
_xlfn.XLOOKUP(AU36,'2)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</f>
        <v>#N/A</v>
      </c>
      <c r="BH36" s="299" t="e" cm="1">
        <f t="array" ref="BH36">ROUND((_xlfn.XLOOKUP($C36,'2) หลักการคำนวน Table'!$A$4:$A$36,
_xlfn.XLOOKUP(AV36,'2)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I36" s="299" t="e" cm="1">
        <f t="array" ref="BI36">ROUND((_xlfn.XLOOKUP($C36,'2) หลักการคำนวน Table'!$A$4:$A$36,
_xlfn.XLOOKUP(AW36,'2)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J36" s="299" t="e" cm="1">
        <f t="array" ref="BJ36">ROUND((_xlfn.XLOOKUP($C36,'2) หลักการคำนวน Table'!$A$4:$A$36,
_xlfn.XLOOKUP(AX36,'2)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K36" s="299" t="e" cm="1">
        <f t="array" ref="BK36">ROUND((_xlfn.XLOOKUP($C36,'2) หลักการคำนวน Table'!$A$4:$A$36,
_xlfn.XLOOKUP(AY36,'2) หลักการคำนวน Table'!$C$3:$K$3,'2) หลักการคำนวน Table'!$C$4:$K$36,,-1)))*(_xlfn.XLOOKUP($C36,'2) หลักการคำนวน Table'!$A$4:$A$36, _xlfn.XLOOKUP($B36,'2) หลักการคำนวน Table'!$L$3:$Z$3,'2) หลักการคำนวน Table'!$L$4:$Z$36))),0)</f>
        <v>#N/A</v>
      </c>
      <c r="BL36" s="295"/>
      <c r="BM36" s="295">
        <v>222237</v>
      </c>
      <c r="BN36" s="300">
        <v>654.5454545454545</v>
      </c>
    </row>
    <row r="37" spans="1:66" ht="13.2" customHeight="1" x14ac:dyDescent="0.25">
      <c r="A37" s="322">
        <f>VLOOKUP(C37,ASTBase!F:S,12,FALSE)</f>
        <v>222223</v>
      </c>
      <c r="B37" s="295" t="s">
        <v>418</v>
      </c>
      <c r="C37" s="322">
        <v>222237</v>
      </c>
      <c r="D37" s="296">
        <f>SUMIFS('3)Target &amp; Cal_Staff'!D$4:D$164,'3)Target &amp; Cal_Staff'!$B$4:$B$164,'3)Target &amp; Cal_Sect'!$B37,'3)Target &amp; Cal_Staff'!$A$4:$A$164,'3)Target &amp; Cal_Sect'!$C37)</f>
        <v>1500</v>
      </c>
      <c r="E37" s="296">
        <f>SUMIFS('3)Target &amp; Cal_Staff'!E$4:E$164,'3)Target &amp; Cal_Staff'!$B$4:$B$164,'3)Target &amp; Cal_Sect'!$B37,'3)Target &amp; Cal_Staff'!$A$4:$A$164,'3)Target &amp; Cal_Sect'!$C37)</f>
        <v>1850</v>
      </c>
      <c r="F37" s="296">
        <f>SUMIFS('3)Target &amp; Cal_Staff'!F$4:F$164,'3)Target &amp; Cal_Staff'!$B$4:$B$164,'3)Target &amp; Cal_Sect'!$B37,'3)Target &amp; Cal_Staff'!$A$4:$A$164,'3)Target &amp; Cal_Sect'!$C37)</f>
        <v>2100</v>
      </c>
      <c r="G37" s="296">
        <f>SUMIFS('3)Target &amp; Cal_Staff'!G$4:G$164,'3)Target &amp; Cal_Staff'!$B$4:$B$164,'3)Target &amp; Cal_Sect'!$B37,'3)Target &amp; Cal_Staff'!$A$4:$A$164,'3)Target &amp; Cal_Sect'!$C37)</f>
        <v>1650</v>
      </c>
      <c r="H37" s="296">
        <f>SUMIFS('3)Target &amp; Cal_Staff'!H$4:H$164,'3)Target &amp; Cal_Staff'!$B$4:$B$164,'3)Target &amp; Cal_Sect'!$B37,'3)Target &amp; Cal_Staff'!$A$4:$A$164,'3)Target &amp; Cal_Sect'!$C37)</f>
        <v>1750</v>
      </c>
      <c r="I37" s="296">
        <f>SUMIFS('3)Target &amp; Cal_Staff'!I$4:I$164,'3)Target &amp; Cal_Staff'!$B$4:$B$164,'3)Target &amp; Cal_Sect'!$B37,'3)Target &amp; Cal_Staff'!$A$4:$A$164,'3)Target &amp; Cal_Sect'!$C37)</f>
        <v>1700</v>
      </c>
      <c r="J37" s="296">
        <f>SUMIFS('3)Target &amp; Cal_Staff'!J$4:J$164,'3)Target &amp; Cal_Staff'!$B$4:$B$164,'3)Target &amp; Cal_Sect'!$B37,'3)Target &amp; Cal_Staff'!$A$4:$A$164,'3)Target &amp; Cal_Sect'!$C37)</f>
        <v>2000</v>
      </c>
      <c r="K37" s="296">
        <f>SUMIFS('3)Target &amp; Cal_Staff'!K$4:K$164,'3)Target &amp; Cal_Staff'!$B$4:$B$164,'3)Target &amp; Cal_Sect'!$B37,'3)Target &amp; Cal_Staff'!$A$4:$A$164,'3)Target &amp; Cal_Sect'!$C37)</f>
        <v>1950</v>
      </c>
      <c r="L37" s="296">
        <f>SUMIFS('3)Target &amp; Cal_Staff'!L$4:L$164,'3)Target &amp; Cal_Staff'!$B$4:$B$164,'3)Target &amp; Cal_Sect'!$B37,'3)Target &amp; Cal_Staff'!$A$4:$A$164,'3)Target &amp; Cal_Sect'!$C37)</f>
        <v>2100</v>
      </c>
      <c r="M37" s="296">
        <f>SUMIFS('3)Target &amp; Cal_Staff'!M$4:M$164,'3)Target &amp; Cal_Staff'!$B$4:$B$164,'3)Target &amp; Cal_Sect'!$B37,'3)Target &amp; Cal_Staff'!$A$4:$A$164,'3)Target &amp; Cal_Sect'!$C37)</f>
        <v>2000</v>
      </c>
      <c r="N37" s="296">
        <f>SUMIFS('3)Target &amp; Cal_Staff'!N$4:N$164,'3)Target &amp; Cal_Staff'!$B$4:$B$164,'3)Target &amp; Cal_Sect'!$B37,'3)Target &amp; Cal_Staff'!$A$4:$A$164,'3)Target &amp; Cal_Sect'!$C37)</f>
        <v>2100</v>
      </c>
      <c r="O37" s="296">
        <f>SUMIFS('3)Target &amp; Cal_Staff'!O$4:O$164,'3)Target &amp; Cal_Staff'!$B$4:$B$164,'3)Target &amp; Cal_Sect'!$B37,'3)Target &amp; Cal_Staff'!$A$4:$A$164,'3)Target &amp; Cal_Sect'!$C37)</f>
        <v>3000</v>
      </c>
      <c r="P37" s="296">
        <f>SUMIFS('3)Target &amp; Cal_Staff'!P$4:P$164,'3)Target &amp; Cal_Staff'!$B$4:$B$164,'3)Target &amp; Cal_Sect'!$B37,'3)Target &amp; Cal_Staff'!$A$4:$A$164,'3)Target &amp; Cal_Sect'!$C37)</f>
        <v>1809.8279999999993</v>
      </c>
      <c r="Q37" s="296">
        <f>SUMIFS('3)Target &amp; Cal_Staff'!Q$4:Q$164,'3)Target &amp; Cal_Staff'!$B$4:$B$164,'3)Target &amp; Cal_Sect'!$B37,'3)Target &amp; Cal_Staff'!$A$4:$A$164,'3)Target &amp; Cal_Sect'!$C37)</f>
        <v>0</v>
      </c>
      <c r="R37" s="296">
        <f>SUMIFS('3)Target &amp; Cal_Staff'!R$4:R$164,'3)Target &amp; Cal_Staff'!$B$4:$B$164,'3)Target &amp; Cal_Sect'!$B37,'3)Target &amp; Cal_Staff'!$A$4:$A$164,'3)Target &amp; Cal_Sect'!$C37)</f>
        <v>0</v>
      </c>
      <c r="S37" s="296">
        <f>SUMIFS('3)Target &amp; Cal_Staff'!S$4:S$164,'3)Target &amp; Cal_Staff'!$B$4:$B$164,'3)Target &amp; Cal_Sect'!$B37,'3)Target &amp; Cal_Staff'!$A$4:$A$164,'3)Target &amp; Cal_Sect'!$C37)</f>
        <v>0</v>
      </c>
      <c r="T37" s="296">
        <f>SUMIFS('3)Target &amp; Cal_Staff'!T$4:T$164,'3)Target &amp; Cal_Staff'!$B$4:$B$164,'3)Target &amp; Cal_Sect'!$B37,'3)Target &amp; Cal_Staff'!$A$4:$A$164,'3)Target &amp; Cal_Sect'!$C37)</f>
        <v>0</v>
      </c>
      <c r="U37" s="296">
        <f>SUMIFS('3)Target &amp; Cal_Staff'!U$4:U$164,'3)Target &amp; Cal_Staff'!$B$4:$B$164,'3)Target &amp; Cal_Sect'!$B37,'3)Target &amp; Cal_Staff'!$A$4:$A$164,'3)Target &amp; Cal_Sect'!$C37)</f>
        <v>0</v>
      </c>
      <c r="V37" s="296">
        <f>SUMIFS('3)Target &amp; Cal_Staff'!V$4:V$164,'3)Target &amp; Cal_Staff'!$B$4:$B$164,'3)Target &amp; Cal_Sect'!$B37,'3)Target &amp; Cal_Staff'!$A$4:$A$164,'3)Target &amp; Cal_Sect'!$C37)</f>
        <v>0</v>
      </c>
      <c r="W37" s="296">
        <f>SUMIFS('3)Target &amp; Cal_Staff'!W$4:W$164,'3)Target &amp; Cal_Staff'!$B$4:$B$164,'3)Target &amp; Cal_Sect'!$B37,'3)Target &amp; Cal_Staff'!$A$4:$A$164,'3)Target &amp; Cal_Sect'!$C37)</f>
        <v>0</v>
      </c>
      <c r="X37" s="296">
        <f>SUMIFS('3)Target &amp; Cal_Staff'!X$4:X$164,'3)Target &amp; Cal_Staff'!$B$4:$B$164,'3)Target &amp; Cal_Sect'!$B37,'3)Target &amp; Cal_Staff'!$A$4:$A$164,'3)Target &amp; Cal_Sect'!$C37)</f>
        <v>0</v>
      </c>
      <c r="Y37" s="296">
        <f>SUMIFS('3)Target &amp; Cal_Staff'!Y$4:Y$164,'3)Target &amp; Cal_Staff'!$B$4:$B$164,'3)Target &amp; Cal_Sect'!$B37,'3)Target &amp; Cal_Staff'!$A$4:$A$164,'3)Target &amp; Cal_Sect'!$C37)</f>
        <v>0</v>
      </c>
      <c r="Z37" s="296">
        <f>SUMIFS('3)Target &amp; Cal_Staff'!Z$4:Z$164,'3)Target &amp; Cal_Staff'!$B$4:$B$164,'3)Target &amp; Cal_Sect'!$B37,'3)Target &amp; Cal_Staff'!$A$4:$A$164,'3)Target &amp; Cal_Sect'!$C37)</f>
        <v>0</v>
      </c>
      <c r="AA37" s="296">
        <f>SUMIFS('3)Target &amp; Cal_Staff'!AA$4:AA$164,'3)Target &amp; Cal_Staff'!$B$4:$B$164,'3)Target &amp; Cal_Sect'!$B37,'3)Target &amp; Cal_Staff'!$A$4:$A$164,'3)Target &amp; Cal_Sect'!$C37)</f>
        <v>0</v>
      </c>
      <c r="AB37" s="297">
        <f>IFERROR(IF(VLOOKUP($B37,Shortage!$A:$M,AB$2,FALSE)="Shortage",1,IFERROR(ROUND(P37/D37,4),0)),IFERROR(ROUND(P37/D37,4),0))</f>
        <v>1.2065999999999999</v>
      </c>
      <c r="AC37" s="297">
        <f>IFERROR(IF(VLOOKUP($B37,Shortage!$A:$M,AC$2,FALSE)="Shortage",1,IFERROR(ROUND(Q37/E37,4),0)),IFERROR(ROUND(Q37/E37,4),0))</f>
        <v>0</v>
      </c>
      <c r="AD37" s="297">
        <f>IFERROR(IF(VLOOKUP($B37,Shortage!$A:$M,AD$2,FALSE)="Shortage",1,IFERROR(ROUND(R37/F37,4),0)),IFERROR(ROUND(R37/F37,4),0))</f>
        <v>0</v>
      </c>
      <c r="AE37" s="297">
        <f>IFERROR(IF(VLOOKUP($B37,Shortage!$A:$M,AE$2,FALSE)="Shortage",1,IFERROR(ROUND(S37/G37,4),0)),IFERROR(ROUND(S37/G37,4),0))</f>
        <v>0</v>
      </c>
      <c r="AF37" s="297">
        <f>IFERROR(IF(VLOOKUP($B37,Shortage!$A:$M,AF$2,FALSE)="Shortage",1,IFERROR(ROUND(T37/H37,4),0)),IFERROR(ROUND(T37/H37,4),0))</f>
        <v>0</v>
      </c>
      <c r="AG37" s="297">
        <f>IFERROR(IF(VLOOKUP($B37,Shortage!$A:$M,AG$2,FALSE)="Shortage",1,IFERROR(ROUND(U37/I37,4),0)),IFERROR(ROUND(U37/I37,4),0))</f>
        <v>0</v>
      </c>
      <c r="AH37" s="297">
        <f>IFERROR(IF(VLOOKUP($B37,Shortage!$A:$M,AH$2,FALSE)="Shortage",1,IFERROR(ROUND(V37/J37,4),0)),IFERROR(ROUND(V37/J37,4),0))</f>
        <v>0</v>
      </c>
      <c r="AI37" s="297">
        <f>IFERROR(IF(VLOOKUP($B37,Shortage!$A:$M,AI$2,FALSE)="Shortage",1,IFERROR(ROUND(W37/K37,4),0)),IFERROR(ROUND(W37/K37,4),0))</f>
        <v>0</v>
      </c>
      <c r="AJ37" s="297">
        <f>IFERROR(IF(VLOOKUP($B37,Shortage!$A:$M,AJ$2,FALSE)="Shortage",1,IFERROR(ROUND(X37/L37,4),0)),IFERROR(ROUND(X37/L37,4),0))</f>
        <v>0</v>
      </c>
      <c r="AK37" s="297">
        <f>IFERROR(IF(VLOOKUP($B37,Shortage!$A:$M,AK$2,FALSE)="Shortage",1,IFERROR(ROUND(Y37/M37,4),0)),IFERROR(ROUND(Y37/M37,4),0))</f>
        <v>0</v>
      </c>
      <c r="AL37" s="297">
        <f>IFERROR(IF(VLOOKUP($B37,Shortage!$A:$M,AL$2,FALSE)="Shortage",1,IFERROR(ROUND(Z37/N37,4),0)),IFERROR(ROUND(Z37/N37,4),0))</f>
        <v>0</v>
      </c>
      <c r="AM37" s="297">
        <f>IFERROR(IF(VLOOKUP($B37,Shortage!$A:$M,AM$2,FALSE)="Shortage",1,IFERROR(ROUND(AA37/O37,4),0)),IFERROR(ROUND(AA37/O37,4),0))</f>
        <v>0</v>
      </c>
      <c r="AN37" s="298">
        <f>IFERROR(_xlfn.XLOOKUP(AB37,'2) หลักการคำนวน Table'!$C$3:$K$3,'2) หลักการคำนวน Table'!$C$3:$K$3,,1),INDEX('2) หลักการคำนวน Table'!$C$3:$K$3,1))</f>
        <v>20</v>
      </c>
      <c r="AO37" s="298">
        <f>IFERROR(
  _xlfn.XLOOKUP(AC37,'2) หลักการคำนวน Table'!$C$3:$K$3,'2) หลักการคำนวน Table'!$C$3:$K$3,,1),
  IF(AC37&lt;MIN('2) หลักการคำนวน Table'!$C$3:$K$3),
     MIN('2) หลักการคำนวน Table'!$C$3:$K$3),
     MAX('2) หลักการคำนวน Table'!$C$3:$K$3)
  )
)</f>
        <v>0.9</v>
      </c>
      <c r="AP37" s="298">
        <f>IFERROR(
  _xlfn.XLOOKUP(AD37,'2) หลักการคำนวน Table'!$C$3:$K$3,'2) หลักการคำนวน Table'!$C$3:$K$3,,1),
  IF(AD37&lt;MIN('2) หลักการคำนวน Table'!$C$3:$K$3),
     MIN('2) หลักการคำนวน Table'!$C$3:$K$3),
     MAX('2) หลักการคำนวน Table'!$C$3:$K$3)
  )
)</f>
        <v>0.9</v>
      </c>
      <c r="AQ37" s="298">
        <f>IFERROR(
  _xlfn.XLOOKUP(AE37,'2) หลักการคำนวน Table'!$C$3:$K$3,'2) หลักการคำนวน Table'!$C$3:$K$3,,1),
  IF(AE37&lt;MIN('2) หลักการคำนวน Table'!$C$3:$K$3),
     MIN('2) หลักการคำนวน Table'!$C$3:$K$3),
     MAX('2) หลักการคำนวน Table'!$C$3:$K$3)
  )
)</f>
        <v>0.9</v>
      </c>
      <c r="AR37" s="298">
        <f>IFERROR(
  _xlfn.XLOOKUP(AF37,'2) หลักการคำนวน Table'!$C$3:$K$3,'2) หลักการคำนวน Table'!$C$3:$K$3,,1),
  IF(AF37&lt;MIN('2) หลักการคำนวน Table'!$C$3:$K$3),
     MIN('2) หลักการคำนวน Table'!$C$3:$K$3),
     MAX('2) หลักการคำนวน Table'!$C$3:$K$3)
  )
)</f>
        <v>0.9</v>
      </c>
      <c r="AS37" s="298">
        <f>IFERROR(
  _xlfn.XLOOKUP(AG37,'2) หลักการคำนวน Table'!$C$3:$K$3,'2) หลักการคำนวน Table'!$C$3:$K$3,,1),
  IF(AG37&lt;MIN('2) หลักการคำนวน Table'!$C$3:$K$3),
     MIN('2) หลักการคำนวน Table'!$C$3:$K$3),
     MAX('2) หลักการคำนวน Table'!$C$3:$K$3)
  )
)</f>
        <v>0.9</v>
      </c>
      <c r="AT37" s="298">
        <f>IFERROR(
  _xlfn.XLOOKUP(AH37,'2) หลักการคำนวน Table'!$C$3:$K$3,'2) หลักการคำนวน Table'!$C$3:$K$3,,1),
  IF(AH37&lt;MIN('2) หลักการคำนวน Table'!$C$3:$K$3),
     MIN('2) หลักการคำนวน Table'!$C$3:$K$3),
     MAX('2) หลักการคำนวน Table'!$C$3:$K$3)
  )
)</f>
        <v>0.9</v>
      </c>
      <c r="AU37" s="298">
        <f>IFERROR(
  _xlfn.XLOOKUP(AI37,'2) หลักการคำนวน Table'!$C$3:$K$3,'2) หลักการคำนวน Table'!$C$3:$K$3,,1),
  IF(AI37&lt;MIN('2) หลักการคำนวน Table'!$C$3:$K$3),
     MIN('2) หลักการคำนวน Table'!$C$3:$K$3),
     MAX('2) หลักการคำนวน Table'!$C$3:$K$3)
  )
)</f>
        <v>0.9</v>
      </c>
      <c r="AV37" s="298">
        <f>IFERROR(
  _xlfn.XLOOKUP(AJ37,'2) หลักการคำนวน Table'!$C$3:$K$3,'2) หลักการคำนวน Table'!$C$3:$K$3,,1),
  IF(AJ37&lt;MIN('2) หลักการคำนวน Table'!$C$3:$K$3),
     MIN('2) หลักการคำนวน Table'!$C$3:$K$3),
     MAX('2) หลักการคำนวน Table'!$C$3:$K$3)
  )
)</f>
        <v>0.9</v>
      </c>
      <c r="AW37" s="298">
        <f>IFERROR(
  _xlfn.XLOOKUP(AK37,'2) หลักการคำนวน Table'!$C$3:$K$3,'2) หลักการคำนวน Table'!$C$3:$K$3,,1),
  IF(AK37&lt;MIN('2) หลักการคำนวน Table'!$C$3:$K$3),
     MIN('2) หลักการคำนวน Table'!$C$3:$K$3),
     MAX('2) หลักการคำนวน Table'!$C$3:$K$3)
  )
)</f>
        <v>0.9</v>
      </c>
      <c r="AX37" s="298">
        <f>IFERROR(
  _xlfn.XLOOKUP(AL37,'2) หลักการคำนวน Table'!$C$3:$K$3,'2) หลักการคำนวน Table'!$C$3:$K$3,,1),
  IF(AL37&lt;MIN('2) หลักการคำนวน Table'!$C$3:$K$3),
     MIN('2) หลักการคำนวน Table'!$C$3:$K$3),
     MAX('2) หลักการคำนวน Table'!$C$3:$K$3)
  )
)</f>
        <v>0.9</v>
      </c>
      <c r="AY37" s="298">
        <f>IFERROR(
  _xlfn.XLOOKUP(AM37,'2) หลักการคำนวน Table'!$C$3:$K$3,'2) หลักการคำนวน Table'!$C$3:$K$3,,1),
  IF(AM37&lt;MIN('2) หลักการคำนวน Table'!$C$3:$K$3),
     MIN('2) หลักการคำนวน Table'!$C$3:$K$3),
     MAX('2) หลักการคำนวน Table'!$C$3:$K$3)
  )
)</f>
        <v>0.9</v>
      </c>
      <c r="AZ37" s="299" t="e" cm="1">
        <f t="array" ref="AZ37">(_xlfn.XLOOKUP($C37,'2) หลักการคำนวน Table'!$A$4:$A$36,
_xlfn.XLOOKUP(AN37,'2)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</f>
        <v>#N/A</v>
      </c>
      <c r="BA37" s="299" t="e" cm="1">
        <f t="array" ref="BA37">(_xlfn.XLOOKUP($C37,'2) หลักการคำนวน Table'!$A$4:$A$36,
_xlfn.XLOOKUP(AO37,'2)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</f>
        <v>#N/A</v>
      </c>
      <c r="BB37" s="299" t="e" cm="1">
        <f t="array" ref="BB37">(_xlfn.XLOOKUP($C37,'2) หลักการคำนวน Table'!$A$4:$A$36,
_xlfn.XLOOKUP(AP37,'2)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</f>
        <v>#N/A</v>
      </c>
      <c r="BC37" s="299" t="e" cm="1">
        <f t="array" ref="BC37">(_xlfn.XLOOKUP($C37,'2) หลักการคำนวน Table'!$A$4:$A$36,
_xlfn.XLOOKUP(AQ37,'2)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</f>
        <v>#N/A</v>
      </c>
      <c r="BD37" s="299" t="e" cm="1">
        <f t="array" ref="BD37">(_xlfn.XLOOKUP($C37,'2) หลักการคำนวน Table'!$A$4:$A$36,
_xlfn.XLOOKUP(AR37,'2)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</f>
        <v>#N/A</v>
      </c>
      <c r="BE37" s="299" t="e" cm="1">
        <f t="array" ref="BE37">(_xlfn.XLOOKUP($C37,'2) หลักการคำนวน Table'!$A$4:$A$36,
_xlfn.XLOOKUP(AS37,'2)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</f>
        <v>#N/A</v>
      </c>
      <c r="BF37" s="299" t="e" cm="1">
        <f t="array" ref="BF37">(_xlfn.XLOOKUP($C37,'2) หลักการคำนวน Table'!$A$4:$A$36,
_xlfn.XLOOKUP(AT37,'2)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</f>
        <v>#N/A</v>
      </c>
      <c r="BG37" s="299" t="e" cm="1">
        <f t="array" ref="BG37">(_xlfn.XLOOKUP($C37,'2) หลักการคำนวน Table'!$A$4:$A$36,
_xlfn.XLOOKUP(AU37,'2)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</f>
        <v>#N/A</v>
      </c>
      <c r="BH37" s="299" t="e" cm="1">
        <f t="array" ref="BH37">ROUND((_xlfn.XLOOKUP($C37,'2) หลักการคำนวน Table'!$A$4:$A$36,
_xlfn.XLOOKUP(AV37,'2)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I37" s="299" t="e" cm="1">
        <f t="array" ref="BI37">ROUND((_xlfn.XLOOKUP($C37,'2) หลักการคำนวน Table'!$A$4:$A$36,
_xlfn.XLOOKUP(AW37,'2)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J37" s="299" t="e" cm="1">
        <f t="array" ref="BJ37">ROUND((_xlfn.XLOOKUP($C37,'2) หลักการคำนวน Table'!$A$4:$A$36,
_xlfn.XLOOKUP(AX37,'2)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K37" s="299" t="e" cm="1">
        <f t="array" ref="BK37">ROUND((_xlfn.XLOOKUP($C37,'2) หลักการคำนวน Table'!$A$4:$A$36,
_xlfn.XLOOKUP(AY37,'2) หลักการคำนวน Table'!$C$3:$K$3,'2) หลักการคำนวน Table'!$C$4:$K$36,,-1)))*(_xlfn.XLOOKUP($C37,'2) หลักการคำนวน Table'!$A$4:$A$36, _xlfn.XLOOKUP($B37,'2) หลักการคำนวน Table'!$L$3:$Z$3,'2) หลักการคำนวน Table'!$L$4:$Z$36))),0)</f>
        <v>#N/A</v>
      </c>
      <c r="BL37" s="295"/>
      <c r="BM37" s="295">
        <v>222237</v>
      </c>
      <c r="BN37" s="300">
        <v>656.56565656565658</v>
      </c>
    </row>
    <row r="38" spans="1:66" ht="13.2" customHeight="1" x14ac:dyDescent="0.25">
      <c r="A38" s="322">
        <f>VLOOKUP(C38,ASTBase!F:S,12,FALSE)</f>
        <v>222223</v>
      </c>
      <c r="B38" s="295" t="s">
        <v>413</v>
      </c>
      <c r="C38" s="322">
        <v>222237</v>
      </c>
      <c r="D38" s="296">
        <f>SUMIFS('3)Target &amp; Cal_Staff'!D$4:D$164,'3)Target &amp; Cal_Staff'!$B$4:$B$164,'3)Target &amp; Cal_Sect'!$B38,'3)Target &amp; Cal_Staff'!$A$4:$A$164,'3)Target &amp; Cal_Sect'!$C38)</f>
        <v>65000</v>
      </c>
      <c r="E38" s="296">
        <f>SUMIFS('3)Target &amp; Cal_Staff'!E$4:E$164,'3)Target &amp; Cal_Staff'!$B$4:$B$164,'3)Target &amp; Cal_Sect'!$B38,'3)Target &amp; Cal_Staff'!$A$4:$A$164,'3)Target &amp; Cal_Sect'!$C38)</f>
        <v>61000</v>
      </c>
      <c r="F38" s="296">
        <f>SUMIFS('3)Target &amp; Cal_Staff'!F$4:F$164,'3)Target &amp; Cal_Staff'!$B$4:$B$164,'3)Target &amp; Cal_Sect'!$B38,'3)Target &amp; Cal_Staff'!$A$4:$A$164,'3)Target &amp; Cal_Sect'!$C38)</f>
        <v>215000</v>
      </c>
      <c r="G38" s="296">
        <f>SUMIFS('3)Target &amp; Cal_Staff'!G$4:G$164,'3)Target &amp; Cal_Staff'!$B$4:$B$164,'3)Target &amp; Cal_Sect'!$B38,'3)Target &amp; Cal_Staff'!$A$4:$A$164,'3)Target &amp; Cal_Sect'!$C38)</f>
        <v>61500</v>
      </c>
      <c r="H38" s="296">
        <f>SUMIFS('3)Target &amp; Cal_Staff'!H$4:H$164,'3)Target &amp; Cal_Staff'!$B$4:$B$164,'3)Target &amp; Cal_Sect'!$B38,'3)Target &amp; Cal_Staff'!$A$4:$A$164,'3)Target &amp; Cal_Sect'!$C38)</f>
        <v>71200</v>
      </c>
      <c r="I38" s="296">
        <f>SUMIFS('3)Target &amp; Cal_Staff'!I$4:I$164,'3)Target &amp; Cal_Staff'!$B$4:$B$164,'3)Target &amp; Cal_Sect'!$B38,'3)Target &amp; Cal_Staff'!$A$4:$A$164,'3)Target &amp; Cal_Sect'!$C38)</f>
        <v>69500</v>
      </c>
      <c r="J38" s="296">
        <f>SUMIFS('3)Target &amp; Cal_Staff'!J$4:J$164,'3)Target &amp; Cal_Staff'!$B$4:$B$164,'3)Target &amp; Cal_Sect'!$B38,'3)Target &amp; Cal_Staff'!$A$4:$A$164,'3)Target &amp; Cal_Sect'!$C38)</f>
        <v>62500</v>
      </c>
      <c r="K38" s="296">
        <f>SUMIFS('3)Target &amp; Cal_Staff'!K$4:K$164,'3)Target &amp; Cal_Staff'!$B$4:$B$164,'3)Target &amp; Cal_Sect'!$B38,'3)Target &amp; Cal_Staff'!$A$4:$A$164,'3)Target &amp; Cal_Sect'!$C38)</f>
        <v>140500</v>
      </c>
      <c r="L38" s="296">
        <f>SUMIFS('3)Target &amp; Cal_Staff'!L$4:L$164,'3)Target &amp; Cal_Staff'!$B$4:$B$164,'3)Target &amp; Cal_Sect'!$B38,'3)Target &amp; Cal_Staff'!$A$4:$A$164,'3)Target &amp; Cal_Sect'!$C38)</f>
        <v>76300</v>
      </c>
      <c r="M38" s="296">
        <f>SUMIFS('3)Target &amp; Cal_Staff'!M$4:M$164,'3)Target &amp; Cal_Staff'!$B$4:$B$164,'3)Target &amp; Cal_Sect'!$B38,'3)Target &amp; Cal_Staff'!$A$4:$A$164,'3)Target &amp; Cal_Sect'!$C38)</f>
        <v>63000</v>
      </c>
      <c r="N38" s="296">
        <f>SUMIFS('3)Target &amp; Cal_Staff'!N$4:N$164,'3)Target &amp; Cal_Staff'!$B$4:$B$164,'3)Target &amp; Cal_Sect'!$B38,'3)Target &amp; Cal_Staff'!$A$4:$A$164,'3)Target &amp; Cal_Sect'!$C38)</f>
        <v>61000</v>
      </c>
      <c r="O38" s="296">
        <f>SUMIFS('3)Target &amp; Cal_Staff'!O$4:O$164,'3)Target &amp; Cal_Staff'!$B$4:$B$164,'3)Target &amp; Cal_Sect'!$B38,'3)Target &amp; Cal_Staff'!$A$4:$A$164,'3)Target &amp; Cal_Sect'!$C38)</f>
        <v>223500</v>
      </c>
      <c r="P38" s="296">
        <f>SUMIFS('3)Target &amp; Cal_Staff'!P$4:P$164,'3)Target &amp; Cal_Staff'!$B$4:$B$164,'3)Target &amp; Cal_Sect'!$B38,'3)Target &amp; Cal_Staff'!$A$4:$A$164,'3)Target &amp; Cal_Sect'!$C38)</f>
        <v>118276.59839999993</v>
      </c>
      <c r="Q38" s="296">
        <f>SUMIFS('3)Target &amp; Cal_Staff'!Q$4:Q$164,'3)Target &amp; Cal_Staff'!$B$4:$B$164,'3)Target &amp; Cal_Sect'!$B38,'3)Target &amp; Cal_Staff'!$A$4:$A$164,'3)Target &amp; Cal_Sect'!$C38)</f>
        <v>0</v>
      </c>
      <c r="R38" s="296">
        <f>SUMIFS('3)Target &amp; Cal_Staff'!R$4:R$164,'3)Target &amp; Cal_Staff'!$B$4:$B$164,'3)Target &amp; Cal_Sect'!$B38,'3)Target &amp; Cal_Staff'!$A$4:$A$164,'3)Target &amp; Cal_Sect'!$C38)</f>
        <v>0</v>
      </c>
      <c r="S38" s="296">
        <f>SUMIFS('3)Target &amp; Cal_Staff'!S$4:S$164,'3)Target &amp; Cal_Staff'!$B$4:$B$164,'3)Target &amp; Cal_Sect'!$B38,'3)Target &amp; Cal_Staff'!$A$4:$A$164,'3)Target &amp; Cal_Sect'!$C38)</f>
        <v>0</v>
      </c>
      <c r="T38" s="296">
        <f>SUMIFS('3)Target &amp; Cal_Staff'!T$4:T$164,'3)Target &amp; Cal_Staff'!$B$4:$B$164,'3)Target &amp; Cal_Sect'!$B38,'3)Target &amp; Cal_Staff'!$A$4:$A$164,'3)Target &amp; Cal_Sect'!$C38)</f>
        <v>0</v>
      </c>
      <c r="U38" s="296">
        <f>SUMIFS('3)Target &amp; Cal_Staff'!U$4:U$164,'3)Target &amp; Cal_Staff'!$B$4:$B$164,'3)Target &amp; Cal_Sect'!$B38,'3)Target &amp; Cal_Staff'!$A$4:$A$164,'3)Target &amp; Cal_Sect'!$C38)</f>
        <v>0</v>
      </c>
      <c r="V38" s="296">
        <f>SUMIFS('3)Target &amp; Cal_Staff'!V$4:V$164,'3)Target &amp; Cal_Staff'!$B$4:$B$164,'3)Target &amp; Cal_Sect'!$B38,'3)Target &amp; Cal_Staff'!$A$4:$A$164,'3)Target &amp; Cal_Sect'!$C38)</f>
        <v>0</v>
      </c>
      <c r="W38" s="296">
        <f>SUMIFS('3)Target &amp; Cal_Staff'!W$4:W$164,'3)Target &amp; Cal_Staff'!$B$4:$B$164,'3)Target &amp; Cal_Sect'!$B38,'3)Target &amp; Cal_Staff'!$A$4:$A$164,'3)Target &amp; Cal_Sect'!$C38)</f>
        <v>0</v>
      </c>
      <c r="X38" s="296">
        <f>SUMIFS('3)Target &amp; Cal_Staff'!X$4:X$164,'3)Target &amp; Cal_Staff'!$B$4:$B$164,'3)Target &amp; Cal_Sect'!$B38,'3)Target &amp; Cal_Staff'!$A$4:$A$164,'3)Target &amp; Cal_Sect'!$C38)</f>
        <v>0</v>
      </c>
      <c r="Y38" s="296">
        <f>SUMIFS('3)Target &amp; Cal_Staff'!Y$4:Y$164,'3)Target &amp; Cal_Staff'!$B$4:$B$164,'3)Target &amp; Cal_Sect'!$B38,'3)Target &amp; Cal_Staff'!$A$4:$A$164,'3)Target &amp; Cal_Sect'!$C38)</f>
        <v>0</v>
      </c>
      <c r="Z38" s="296">
        <f>SUMIFS('3)Target &amp; Cal_Staff'!Z$4:Z$164,'3)Target &amp; Cal_Staff'!$B$4:$B$164,'3)Target &amp; Cal_Sect'!$B38,'3)Target &amp; Cal_Staff'!$A$4:$A$164,'3)Target &amp; Cal_Sect'!$C38)</f>
        <v>0</v>
      </c>
      <c r="AA38" s="296">
        <f>SUMIFS('3)Target &amp; Cal_Staff'!AA$4:AA$164,'3)Target &amp; Cal_Staff'!$B$4:$B$164,'3)Target &amp; Cal_Sect'!$B38,'3)Target &amp; Cal_Staff'!$A$4:$A$164,'3)Target &amp; Cal_Sect'!$C38)</f>
        <v>0</v>
      </c>
      <c r="AB38" s="297">
        <f>IFERROR(IF(VLOOKUP($B38,Shortage!$A:$M,AB$2,FALSE)="Shortage",1,IFERROR(ROUND(P38/D38,4),0)),IFERROR(ROUND(P38/D38,4),0))</f>
        <v>1.8196000000000001</v>
      </c>
      <c r="AC38" s="297">
        <f>IFERROR(IF(VLOOKUP($B38,Shortage!$A:$M,AC$2,FALSE)="Shortage",1,IFERROR(ROUND(Q38/E38,4),0)),IFERROR(ROUND(Q38/E38,4),0))</f>
        <v>0</v>
      </c>
      <c r="AD38" s="297">
        <f>IFERROR(IF(VLOOKUP($B38,Shortage!$A:$M,AD$2,FALSE)="Shortage",1,IFERROR(ROUND(R38/F38,4),0)),IFERROR(ROUND(R38/F38,4),0))</f>
        <v>0</v>
      </c>
      <c r="AE38" s="297">
        <f>IFERROR(IF(VLOOKUP($B38,Shortage!$A:$M,AE$2,FALSE)="Shortage",1,IFERROR(ROUND(S38/G38,4),0)),IFERROR(ROUND(S38/G38,4),0))</f>
        <v>0</v>
      </c>
      <c r="AF38" s="297">
        <f>IFERROR(IF(VLOOKUP($B38,Shortage!$A:$M,AF$2,FALSE)="Shortage",1,IFERROR(ROUND(T38/H38,4),0)),IFERROR(ROUND(T38/H38,4),0))</f>
        <v>0</v>
      </c>
      <c r="AG38" s="297">
        <f>IFERROR(IF(VLOOKUP($B38,Shortage!$A:$M,AG$2,FALSE)="Shortage",1,IFERROR(ROUND(U38/I38,4),0)),IFERROR(ROUND(U38/I38,4),0))</f>
        <v>0</v>
      </c>
      <c r="AH38" s="297">
        <f>IFERROR(IF(VLOOKUP($B38,Shortage!$A:$M,AH$2,FALSE)="Shortage",1,IFERROR(ROUND(V38/J38,4),0)),IFERROR(ROUND(V38/J38,4),0))</f>
        <v>0</v>
      </c>
      <c r="AI38" s="297">
        <f>IFERROR(IF(VLOOKUP($B38,Shortage!$A:$M,AI$2,FALSE)="Shortage",1,IFERROR(ROUND(W38/K38,4),0)),IFERROR(ROUND(W38/K38,4),0))</f>
        <v>0</v>
      </c>
      <c r="AJ38" s="297">
        <f>IFERROR(IF(VLOOKUP($B38,Shortage!$A:$M,AJ$2,FALSE)="Shortage",1,IFERROR(ROUND(X38/L38,4),0)),IFERROR(ROUND(X38/L38,4),0))</f>
        <v>0</v>
      </c>
      <c r="AK38" s="297">
        <f>IFERROR(IF(VLOOKUP($B38,Shortage!$A:$M,AK$2,FALSE)="Shortage",1,IFERROR(ROUND(Y38/M38,4),0)),IFERROR(ROUND(Y38/M38,4),0))</f>
        <v>0</v>
      </c>
      <c r="AL38" s="297">
        <f>IFERROR(IF(VLOOKUP($B38,Shortage!$A:$M,AL$2,FALSE)="Shortage",1,IFERROR(ROUND(Z38/N38,4),0)),IFERROR(ROUND(Z38/N38,4),0))</f>
        <v>0</v>
      </c>
      <c r="AM38" s="297">
        <f>IFERROR(IF(VLOOKUP($B38,Shortage!$A:$M,AM$2,FALSE)="Shortage",1,IFERROR(ROUND(AA38/O38,4),0)),IFERROR(ROUND(AA38/O38,4),0))</f>
        <v>0</v>
      </c>
      <c r="AN38" s="298">
        <f>IFERROR(_xlfn.XLOOKUP(AB38,'2) หลักการคำนวน Table'!$C$3:$K$3,'2) หลักการคำนวน Table'!$C$3:$K$3,,1),INDEX('2) หลักการคำนวน Table'!$C$3:$K$3,1))</f>
        <v>20</v>
      </c>
      <c r="AO38" s="298">
        <f>IFERROR(
  _xlfn.XLOOKUP(AC38,'2) หลักการคำนวน Table'!$C$3:$K$3,'2) หลักการคำนวน Table'!$C$3:$K$3,,1),
  IF(AC38&lt;MIN('2) หลักการคำนวน Table'!$C$3:$K$3),
     MIN('2) หลักการคำนวน Table'!$C$3:$K$3),
     MAX('2) หลักการคำนวน Table'!$C$3:$K$3)
  )
)</f>
        <v>0.9</v>
      </c>
      <c r="AP38" s="298">
        <f>IFERROR(
  _xlfn.XLOOKUP(AD38,'2) หลักการคำนวน Table'!$C$3:$K$3,'2) หลักการคำนวน Table'!$C$3:$K$3,,1),
  IF(AD38&lt;MIN('2) หลักการคำนวน Table'!$C$3:$K$3),
     MIN('2) หลักการคำนวน Table'!$C$3:$K$3),
     MAX('2) หลักการคำนวน Table'!$C$3:$K$3)
  )
)</f>
        <v>0.9</v>
      </c>
      <c r="AQ38" s="298">
        <f>IFERROR(
  _xlfn.XLOOKUP(AE38,'2) หลักการคำนวน Table'!$C$3:$K$3,'2) หลักการคำนวน Table'!$C$3:$K$3,,1),
  IF(AE38&lt;MIN('2) หลักการคำนวน Table'!$C$3:$K$3),
     MIN('2) หลักการคำนวน Table'!$C$3:$K$3),
     MAX('2) หลักการคำนวน Table'!$C$3:$K$3)
  )
)</f>
        <v>0.9</v>
      </c>
      <c r="AR38" s="298">
        <f>IFERROR(
  _xlfn.XLOOKUP(AF38,'2) หลักการคำนวน Table'!$C$3:$K$3,'2) หลักการคำนวน Table'!$C$3:$K$3,,1),
  IF(AF38&lt;MIN('2) หลักการคำนวน Table'!$C$3:$K$3),
     MIN('2) หลักการคำนวน Table'!$C$3:$K$3),
     MAX('2) หลักการคำนวน Table'!$C$3:$K$3)
  )
)</f>
        <v>0.9</v>
      </c>
      <c r="AS38" s="298">
        <f>IFERROR(
  _xlfn.XLOOKUP(AG38,'2) หลักการคำนวน Table'!$C$3:$K$3,'2) หลักการคำนวน Table'!$C$3:$K$3,,1),
  IF(AG38&lt;MIN('2) หลักการคำนวน Table'!$C$3:$K$3),
     MIN('2) หลักการคำนวน Table'!$C$3:$K$3),
     MAX('2) หลักการคำนวน Table'!$C$3:$K$3)
  )
)</f>
        <v>0.9</v>
      </c>
      <c r="AT38" s="298">
        <f>IFERROR(
  _xlfn.XLOOKUP(AH38,'2) หลักการคำนวน Table'!$C$3:$K$3,'2) หลักการคำนวน Table'!$C$3:$K$3,,1),
  IF(AH38&lt;MIN('2) หลักการคำนวน Table'!$C$3:$K$3),
     MIN('2) หลักการคำนวน Table'!$C$3:$K$3),
     MAX('2) หลักการคำนวน Table'!$C$3:$K$3)
  )
)</f>
        <v>0.9</v>
      </c>
      <c r="AU38" s="298">
        <f>IFERROR(
  _xlfn.XLOOKUP(AI38,'2) หลักการคำนวน Table'!$C$3:$K$3,'2) หลักการคำนวน Table'!$C$3:$K$3,,1),
  IF(AI38&lt;MIN('2) หลักการคำนวน Table'!$C$3:$K$3),
     MIN('2) หลักการคำนวน Table'!$C$3:$K$3),
     MAX('2) หลักการคำนวน Table'!$C$3:$K$3)
  )
)</f>
        <v>0.9</v>
      </c>
      <c r="AV38" s="298">
        <f>IFERROR(
  _xlfn.XLOOKUP(AJ38,'2) หลักการคำนวน Table'!$C$3:$K$3,'2) หลักการคำนวน Table'!$C$3:$K$3,,1),
  IF(AJ38&lt;MIN('2) หลักการคำนวน Table'!$C$3:$K$3),
     MIN('2) หลักการคำนวน Table'!$C$3:$K$3),
     MAX('2) หลักการคำนวน Table'!$C$3:$K$3)
  )
)</f>
        <v>0.9</v>
      </c>
      <c r="AW38" s="298">
        <f>IFERROR(
  _xlfn.XLOOKUP(AK38,'2) หลักการคำนวน Table'!$C$3:$K$3,'2) หลักการคำนวน Table'!$C$3:$K$3,,1),
  IF(AK38&lt;MIN('2) หลักการคำนวน Table'!$C$3:$K$3),
     MIN('2) หลักการคำนวน Table'!$C$3:$K$3),
     MAX('2) หลักการคำนวน Table'!$C$3:$K$3)
  )
)</f>
        <v>0.9</v>
      </c>
      <c r="AX38" s="298">
        <f>IFERROR(
  _xlfn.XLOOKUP(AL38,'2) หลักการคำนวน Table'!$C$3:$K$3,'2) หลักการคำนวน Table'!$C$3:$K$3,,1),
  IF(AL38&lt;MIN('2) หลักการคำนวน Table'!$C$3:$K$3),
     MIN('2) หลักการคำนวน Table'!$C$3:$K$3),
     MAX('2) หลักการคำนวน Table'!$C$3:$K$3)
  )
)</f>
        <v>0.9</v>
      </c>
      <c r="AY38" s="298">
        <f>IFERROR(
  _xlfn.XLOOKUP(AM38,'2) หลักการคำนวน Table'!$C$3:$K$3,'2) หลักการคำนวน Table'!$C$3:$K$3,,1),
  IF(AM38&lt;MIN('2) หลักการคำนวน Table'!$C$3:$K$3),
     MIN('2) หลักการคำนวน Table'!$C$3:$K$3),
     MAX('2) หลักการคำนวน Table'!$C$3:$K$3)
  )
)</f>
        <v>0.9</v>
      </c>
      <c r="AZ38" s="299" t="e" cm="1">
        <f t="array" ref="AZ38">(_xlfn.XLOOKUP($C38,'2) หลักการคำนวน Table'!$A$4:$A$36,
_xlfn.XLOOKUP(AN38,'2)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</f>
        <v>#N/A</v>
      </c>
      <c r="BA38" s="299" t="e" cm="1">
        <f t="array" ref="BA38">(_xlfn.XLOOKUP($C38,'2) หลักการคำนวน Table'!$A$4:$A$36,
_xlfn.XLOOKUP(AO38,'2)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</f>
        <v>#N/A</v>
      </c>
      <c r="BB38" s="299" t="e" cm="1">
        <f t="array" ref="BB38">(_xlfn.XLOOKUP($C38,'2) หลักการคำนวน Table'!$A$4:$A$36,
_xlfn.XLOOKUP(AP38,'2)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</f>
        <v>#N/A</v>
      </c>
      <c r="BC38" s="299" t="e" cm="1">
        <f t="array" ref="BC38">(_xlfn.XLOOKUP($C38,'2) หลักการคำนวน Table'!$A$4:$A$36,
_xlfn.XLOOKUP(AQ38,'2)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</f>
        <v>#N/A</v>
      </c>
      <c r="BD38" s="299" t="e" cm="1">
        <f t="array" ref="BD38">(_xlfn.XLOOKUP($C38,'2) หลักการคำนวน Table'!$A$4:$A$36,
_xlfn.XLOOKUP(AR38,'2)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</f>
        <v>#N/A</v>
      </c>
      <c r="BE38" s="299" t="e" cm="1">
        <f t="array" ref="BE38">(_xlfn.XLOOKUP($C38,'2) หลักการคำนวน Table'!$A$4:$A$36,
_xlfn.XLOOKUP(AS38,'2)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</f>
        <v>#N/A</v>
      </c>
      <c r="BF38" s="299" t="e" cm="1">
        <f t="array" ref="BF38">(_xlfn.XLOOKUP($C38,'2) หลักการคำนวน Table'!$A$4:$A$36,
_xlfn.XLOOKUP(AT38,'2)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</f>
        <v>#N/A</v>
      </c>
      <c r="BG38" s="299" t="e" cm="1">
        <f t="array" ref="BG38">(_xlfn.XLOOKUP($C38,'2) หลักการคำนวน Table'!$A$4:$A$36,
_xlfn.XLOOKUP(AU38,'2)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</f>
        <v>#N/A</v>
      </c>
      <c r="BH38" s="299" t="e" cm="1">
        <f t="array" ref="BH38">ROUND((_xlfn.XLOOKUP($C38,'2) หลักการคำนวน Table'!$A$4:$A$36,
_xlfn.XLOOKUP(AV38,'2)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I38" s="299" t="e" cm="1">
        <f t="array" ref="BI38">ROUND((_xlfn.XLOOKUP($C38,'2) หลักการคำนวน Table'!$A$4:$A$36,
_xlfn.XLOOKUP(AW38,'2)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J38" s="299" t="e" cm="1">
        <f t="array" ref="BJ38">ROUND((_xlfn.XLOOKUP($C38,'2) หลักการคำนวน Table'!$A$4:$A$36,
_xlfn.XLOOKUP(AX38,'2)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K38" s="299" t="e" cm="1">
        <f t="array" ref="BK38">ROUND((_xlfn.XLOOKUP($C38,'2) หลักการคำนวน Table'!$A$4:$A$36,
_xlfn.XLOOKUP(AY38,'2) หลักการคำนวน Table'!$C$3:$K$3,'2) หลักการคำนวน Table'!$C$4:$K$36,,-1)))*(_xlfn.XLOOKUP($C38,'2) หลักการคำนวน Table'!$A$4:$A$36, _xlfn.XLOOKUP($B38,'2) หลักการคำนวน Table'!$L$3:$Z$3,'2) หลักการคำนวน Table'!$L$4:$Z$36))),0)</f>
        <v>#N/A</v>
      </c>
      <c r="BL38" s="295"/>
      <c r="BM38" s="295">
        <v>222237</v>
      </c>
      <c r="BN38" s="300">
        <v>787.87878787878776</v>
      </c>
    </row>
    <row r="39" spans="1:66" ht="13.2" customHeight="1" x14ac:dyDescent="0.25">
      <c r="A39" s="322">
        <f>VLOOKUP(C39,ASTBase!F:S,12,FALSE)</f>
        <v>222223</v>
      </c>
      <c r="B39" s="295" t="s">
        <v>406</v>
      </c>
      <c r="C39" s="322">
        <v>222237</v>
      </c>
      <c r="D39" s="296">
        <f>SUMIFS('3)Target &amp; Cal_Staff'!D$4:D$164,'3)Target &amp; Cal_Staff'!$B$4:$B$164,'3)Target &amp; Cal_Sect'!$B39,'3)Target &amp; Cal_Staff'!$A$4:$A$164,'3)Target &amp; Cal_Sect'!$C39)</f>
        <v>530000</v>
      </c>
      <c r="E39" s="296">
        <f>SUMIFS('3)Target &amp; Cal_Staff'!E$4:E$164,'3)Target &amp; Cal_Staff'!$B$4:$B$164,'3)Target &amp; Cal_Sect'!$B39,'3)Target &amp; Cal_Staff'!$A$4:$A$164,'3)Target &amp; Cal_Sect'!$C39)</f>
        <v>540000</v>
      </c>
      <c r="F39" s="296">
        <f>SUMIFS('3)Target &amp; Cal_Staff'!F$4:F$164,'3)Target &amp; Cal_Staff'!$B$4:$B$164,'3)Target &amp; Cal_Sect'!$B39,'3)Target &amp; Cal_Staff'!$A$4:$A$164,'3)Target &amp; Cal_Sect'!$C39)</f>
        <v>765000</v>
      </c>
      <c r="G39" s="296">
        <f>SUMIFS('3)Target &amp; Cal_Staff'!G$4:G$164,'3)Target &amp; Cal_Staff'!$B$4:$B$164,'3)Target &amp; Cal_Sect'!$B39,'3)Target &amp; Cal_Staff'!$A$4:$A$164,'3)Target &amp; Cal_Sect'!$C39)</f>
        <v>535000</v>
      </c>
      <c r="H39" s="296">
        <f>SUMIFS('3)Target &amp; Cal_Staff'!H$4:H$164,'3)Target &amp; Cal_Staff'!$B$4:$B$164,'3)Target &amp; Cal_Sect'!$B39,'3)Target &amp; Cal_Staff'!$A$4:$A$164,'3)Target &amp; Cal_Sect'!$C39)</f>
        <v>580000</v>
      </c>
      <c r="I39" s="296">
        <f>SUMIFS('3)Target &amp; Cal_Staff'!I$4:I$164,'3)Target &amp; Cal_Staff'!$B$4:$B$164,'3)Target &amp; Cal_Sect'!$B39,'3)Target &amp; Cal_Staff'!$A$4:$A$164,'3)Target &amp; Cal_Sect'!$C39)</f>
        <v>520000</v>
      </c>
      <c r="J39" s="296">
        <f>SUMIFS('3)Target &amp; Cal_Staff'!J$4:J$164,'3)Target &amp; Cal_Staff'!$B$4:$B$164,'3)Target &amp; Cal_Sect'!$B39,'3)Target &amp; Cal_Staff'!$A$4:$A$164,'3)Target &amp; Cal_Sect'!$C39)</f>
        <v>535000</v>
      </c>
      <c r="K39" s="296">
        <f>SUMIFS('3)Target &amp; Cal_Staff'!K$4:K$164,'3)Target &amp; Cal_Staff'!$B$4:$B$164,'3)Target &amp; Cal_Sect'!$B39,'3)Target &amp; Cal_Staff'!$A$4:$A$164,'3)Target &amp; Cal_Sect'!$C39)</f>
        <v>540000</v>
      </c>
      <c r="L39" s="296">
        <f>SUMIFS('3)Target &amp; Cal_Staff'!L$4:L$164,'3)Target &amp; Cal_Staff'!$B$4:$B$164,'3)Target &amp; Cal_Sect'!$B39,'3)Target &amp; Cal_Staff'!$A$4:$A$164,'3)Target &amp; Cal_Sect'!$C39)</f>
        <v>540000</v>
      </c>
      <c r="M39" s="296">
        <f>SUMIFS('3)Target &amp; Cal_Staff'!M$4:M$164,'3)Target &amp; Cal_Staff'!$B$4:$B$164,'3)Target &amp; Cal_Sect'!$B39,'3)Target &amp; Cal_Staff'!$A$4:$A$164,'3)Target &amp; Cal_Sect'!$C39)</f>
        <v>590000</v>
      </c>
      <c r="N39" s="296">
        <f>SUMIFS('3)Target &amp; Cal_Staff'!N$4:N$164,'3)Target &amp; Cal_Staff'!$B$4:$B$164,'3)Target &amp; Cal_Sect'!$B39,'3)Target &amp; Cal_Staff'!$A$4:$A$164,'3)Target &amp; Cal_Sect'!$C39)</f>
        <v>570000</v>
      </c>
      <c r="O39" s="296">
        <f>SUMIFS('3)Target &amp; Cal_Staff'!O$4:O$164,'3)Target &amp; Cal_Staff'!$B$4:$B$164,'3)Target &amp; Cal_Sect'!$B39,'3)Target &amp; Cal_Staff'!$A$4:$A$164,'3)Target &amp; Cal_Sect'!$C39)</f>
        <v>885000</v>
      </c>
      <c r="P39" s="296">
        <f>SUMIFS('3)Target &amp; Cal_Staff'!P$4:P$164,'3)Target &amp; Cal_Staff'!$B$4:$B$164,'3)Target &amp; Cal_Sect'!$B39,'3)Target &amp; Cal_Staff'!$A$4:$A$164,'3)Target &amp; Cal_Sect'!$C39)</f>
        <v>657574.16</v>
      </c>
      <c r="Q39" s="296">
        <f>SUMIFS('3)Target &amp; Cal_Staff'!Q$4:Q$164,'3)Target &amp; Cal_Staff'!$B$4:$B$164,'3)Target &amp; Cal_Sect'!$B39,'3)Target &amp; Cal_Staff'!$A$4:$A$164,'3)Target &amp; Cal_Sect'!$C39)</f>
        <v>0</v>
      </c>
      <c r="R39" s="296">
        <f>SUMIFS('3)Target &amp; Cal_Staff'!R$4:R$164,'3)Target &amp; Cal_Staff'!$B$4:$B$164,'3)Target &amp; Cal_Sect'!$B39,'3)Target &amp; Cal_Staff'!$A$4:$A$164,'3)Target &amp; Cal_Sect'!$C39)</f>
        <v>0</v>
      </c>
      <c r="S39" s="296">
        <f>SUMIFS('3)Target &amp; Cal_Staff'!S$4:S$164,'3)Target &amp; Cal_Staff'!$B$4:$B$164,'3)Target &amp; Cal_Sect'!$B39,'3)Target &amp; Cal_Staff'!$A$4:$A$164,'3)Target &amp; Cal_Sect'!$C39)</f>
        <v>0</v>
      </c>
      <c r="T39" s="296">
        <f>SUMIFS('3)Target &amp; Cal_Staff'!T$4:T$164,'3)Target &amp; Cal_Staff'!$B$4:$B$164,'3)Target &amp; Cal_Sect'!$B39,'3)Target &amp; Cal_Staff'!$A$4:$A$164,'3)Target &amp; Cal_Sect'!$C39)</f>
        <v>0</v>
      </c>
      <c r="U39" s="296">
        <f>SUMIFS('3)Target &amp; Cal_Staff'!U$4:U$164,'3)Target &amp; Cal_Staff'!$B$4:$B$164,'3)Target &amp; Cal_Sect'!$B39,'3)Target &amp; Cal_Staff'!$A$4:$A$164,'3)Target &amp; Cal_Sect'!$C39)</f>
        <v>0</v>
      </c>
      <c r="V39" s="296">
        <f>SUMIFS('3)Target &amp; Cal_Staff'!V$4:V$164,'3)Target &amp; Cal_Staff'!$B$4:$B$164,'3)Target &amp; Cal_Sect'!$B39,'3)Target &amp; Cal_Staff'!$A$4:$A$164,'3)Target &amp; Cal_Sect'!$C39)</f>
        <v>0</v>
      </c>
      <c r="W39" s="296">
        <f>SUMIFS('3)Target &amp; Cal_Staff'!W$4:W$164,'3)Target &amp; Cal_Staff'!$B$4:$B$164,'3)Target &amp; Cal_Sect'!$B39,'3)Target &amp; Cal_Staff'!$A$4:$A$164,'3)Target &amp; Cal_Sect'!$C39)</f>
        <v>0</v>
      </c>
      <c r="X39" s="296">
        <f>SUMIFS('3)Target &amp; Cal_Staff'!X$4:X$164,'3)Target &amp; Cal_Staff'!$B$4:$B$164,'3)Target &amp; Cal_Sect'!$B39,'3)Target &amp; Cal_Staff'!$A$4:$A$164,'3)Target &amp; Cal_Sect'!$C39)</f>
        <v>0</v>
      </c>
      <c r="Y39" s="296">
        <f>SUMIFS('3)Target &amp; Cal_Staff'!Y$4:Y$164,'3)Target &amp; Cal_Staff'!$B$4:$B$164,'3)Target &amp; Cal_Sect'!$B39,'3)Target &amp; Cal_Staff'!$A$4:$A$164,'3)Target &amp; Cal_Sect'!$C39)</f>
        <v>0</v>
      </c>
      <c r="Z39" s="296">
        <f>SUMIFS('3)Target &amp; Cal_Staff'!Z$4:Z$164,'3)Target &amp; Cal_Staff'!$B$4:$B$164,'3)Target &amp; Cal_Sect'!$B39,'3)Target &amp; Cal_Staff'!$A$4:$A$164,'3)Target &amp; Cal_Sect'!$C39)</f>
        <v>0</v>
      </c>
      <c r="AA39" s="296">
        <f>SUMIFS('3)Target &amp; Cal_Staff'!AA$4:AA$164,'3)Target &amp; Cal_Staff'!$B$4:$B$164,'3)Target &amp; Cal_Sect'!$B39,'3)Target &amp; Cal_Staff'!$A$4:$A$164,'3)Target &amp; Cal_Sect'!$C39)</f>
        <v>0</v>
      </c>
      <c r="AB39" s="297">
        <f>IFERROR(IF(VLOOKUP($B39,Shortage!$A:$M,AB$2,FALSE)="Shortage",1,IFERROR(ROUND(P39/D39,4),0)),IFERROR(ROUND(P39/D39,4),0))</f>
        <v>1</v>
      </c>
      <c r="AC39" s="297">
        <f>IFERROR(IF(VLOOKUP($B39,Shortage!$A:$M,AC$2,FALSE)="Shortage",1,IFERROR(ROUND(Q39/E39,4),0)),IFERROR(ROUND(Q39/E39,4),0))</f>
        <v>0</v>
      </c>
      <c r="AD39" s="297">
        <f>IFERROR(IF(VLOOKUP($B39,Shortage!$A:$M,AD$2,FALSE)="Shortage",1,IFERROR(ROUND(R39/F39,4),0)),IFERROR(ROUND(R39/F39,4),0))</f>
        <v>0</v>
      </c>
      <c r="AE39" s="297">
        <f>IFERROR(IF(VLOOKUP($B39,Shortage!$A:$M,AE$2,FALSE)="Shortage",1,IFERROR(ROUND(S39/G39,4),0)),IFERROR(ROUND(S39/G39,4),0))</f>
        <v>0</v>
      </c>
      <c r="AF39" s="297">
        <f>IFERROR(IF(VLOOKUP($B39,Shortage!$A:$M,AF$2,FALSE)="Shortage",1,IFERROR(ROUND(T39/H39,4),0)),IFERROR(ROUND(T39/H39,4),0))</f>
        <v>0</v>
      </c>
      <c r="AG39" s="297">
        <f>IFERROR(IF(VLOOKUP($B39,Shortage!$A:$M,AG$2,FALSE)="Shortage",1,IFERROR(ROUND(U39/I39,4),0)),IFERROR(ROUND(U39/I39,4),0))</f>
        <v>0</v>
      </c>
      <c r="AH39" s="297">
        <f>IFERROR(IF(VLOOKUP($B39,Shortage!$A:$M,AH$2,FALSE)="Shortage",1,IFERROR(ROUND(V39/J39,4),0)),IFERROR(ROUND(V39/J39,4),0))</f>
        <v>0</v>
      </c>
      <c r="AI39" s="297">
        <f>IFERROR(IF(VLOOKUP($B39,Shortage!$A:$M,AI$2,FALSE)="Shortage",1,IFERROR(ROUND(W39/K39,4),0)),IFERROR(ROUND(W39/K39,4),0))</f>
        <v>0</v>
      </c>
      <c r="AJ39" s="297">
        <f>IFERROR(IF(VLOOKUP($B39,Shortage!$A:$M,AJ$2,FALSE)="Shortage",1,IFERROR(ROUND(X39/L39,4),0)),IFERROR(ROUND(X39/L39,4),0))</f>
        <v>0</v>
      </c>
      <c r="AK39" s="297">
        <f>IFERROR(IF(VLOOKUP($B39,Shortage!$A:$M,AK$2,FALSE)="Shortage",1,IFERROR(ROUND(Y39/M39,4),0)),IFERROR(ROUND(Y39/M39,4),0))</f>
        <v>0</v>
      </c>
      <c r="AL39" s="297">
        <f>IFERROR(IF(VLOOKUP($B39,Shortage!$A:$M,AL$2,FALSE)="Shortage",1,IFERROR(ROUND(Z39/N39,4),0)),IFERROR(ROUND(Z39/N39,4),0))</f>
        <v>0</v>
      </c>
      <c r="AM39" s="297">
        <f>IFERROR(IF(VLOOKUP($B39,Shortage!$A:$M,AM$2,FALSE)="Shortage",1,IFERROR(ROUND(AA39/O39,4),0)),IFERROR(ROUND(AA39/O39,4),0))</f>
        <v>0</v>
      </c>
      <c r="AN39" s="298">
        <f>IFERROR(_xlfn.XLOOKUP(AB39,'2) หลักการคำนวน Table'!$C$3:$K$3,'2) หลักการคำนวน Table'!$C$3:$K$3,,1),INDEX('2) หลักการคำนวน Table'!$C$3:$K$3,1))</f>
        <v>1</v>
      </c>
      <c r="AO39" s="298">
        <f>IFERROR(
  _xlfn.XLOOKUP(AC39,'2) หลักการคำนวน Table'!$C$3:$K$3,'2) หลักการคำนวน Table'!$C$3:$K$3,,1),
  IF(AC39&lt;MIN('2) หลักการคำนวน Table'!$C$3:$K$3),
     MIN('2) หลักการคำนวน Table'!$C$3:$K$3),
     MAX('2) หลักการคำนวน Table'!$C$3:$K$3)
  )
)</f>
        <v>0.9</v>
      </c>
      <c r="AP39" s="298">
        <f>IFERROR(
  _xlfn.XLOOKUP(AD39,'2) หลักการคำนวน Table'!$C$3:$K$3,'2) หลักการคำนวน Table'!$C$3:$K$3,,1),
  IF(AD39&lt;MIN('2) หลักการคำนวน Table'!$C$3:$K$3),
     MIN('2) หลักการคำนวน Table'!$C$3:$K$3),
     MAX('2) หลักการคำนวน Table'!$C$3:$K$3)
  )
)</f>
        <v>0.9</v>
      </c>
      <c r="AQ39" s="298">
        <f>IFERROR(
  _xlfn.XLOOKUP(AE39,'2) หลักการคำนวน Table'!$C$3:$K$3,'2) หลักการคำนวน Table'!$C$3:$K$3,,1),
  IF(AE39&lt;MIN('2) หลักการคำนวน Table'!$C$3:$K$3),
     MIN('2) หลักการคำนวน Table'!$C$3:$K$3),
     MAX('2) หลักการคำนวน Table'!$C$3:$K$3)
  )
)</f>
        <v>0.9</v>
      </c>
      <c r="AR39" s="298">
        <f>IFERROR(
  _xlfn.XLOOKUP(AF39,'2) หลักการคำนวน Table'!$C$3:$K$3,'2) หลักการคำนวน Table'!$C$3:$K$3,,1),
  IF(AF39&lt;MIN('2) หลักการคำนวน Table'!$C$3:$K$3),
     MIN('2) หลักการคำนวน Table'!$C$3:$K$3),
     MAX('2) หลักการคำนวน Table'!$C$3:$K$3)
  )
)</f>
        <v>0.9</v>
      </c>
      <c r="AS39" s="298">
        <f>IFERROR(
  _xlfn.XLOOKUP(AG39,'2) หลักการคำนวน Table'!$C$3:$K$3,'2) หลักการคำนวน Table'!$C$3:$K$3,,1),
  IF(AG39&lt;MIN('2) หลักการคำนวน Table'!$C$3:$K$3),
     MIN('2) หลักการคำนวน Table'!$C$3:$K$3),
     MAX('2) หลักการคำนวน Table'!$C$3:$K$3)
  )
)</f>
        <v>0.9</v>
      </c>
      <c r="AT39" s="298">
        <f>IFERROR(
  _xlfn.XLOOKUP(AH39,'2) หลักการคำนวน Table'!$C$3:$K$3,'2) หลักการคำนวน Table'!$C$3:$K$3,,1),
  IF(AH39&lt;MIN('2) หลักการคำนวน Table'!$C$3:$K$3),
     MIN('2) หลักการคำนวน Table'!$C$3:$K$3),
     MAX('2) หลักการคำนวน Table'!$C$3:$K$3)
  )
)</f>
        <v>0.9</v>
      </c>
      <c r="AU39" s="298">
        <f>IFERROR(
  _xlfn.XLOOKUP(AI39,'2) หลักการคำนวน Table'!$C$3:$K$3,'2) หลักการคำนวน Table'!$C$3:$K$3,,1),
  IF(AI39&lt;MIN('2) หลักการคำนวน Table'!$C$3:$K$3),
     MIN('2) หลักการคำนวน Table'!$C$3:$K$3),
     MAX('2) หลักการคำนวน Table'!$C$3:$K$3)
  )
)</f>
        <v>0.9</v>
      </c>
      <c r="AV39" s="298">
        <f>IFERROR(
  _xlfn.XLOOKUP(AJ39,'2) หลักการคำนวน Table'!$C$3:$K$3,'2) หลักการคำนวน Table'!$C$3:$K$3,,1),
  IF(AJ39&lt;MIN('2) หลักการคำนวน Table'!$C$3:$K$3),
     MIN('2) หลักการคำนวน Table'!$C$3:$K$3),
     MAX('2) หลักการคำนวน Table'!$C$3:$K$3)
  )
)</f>
        <v>0.9</v>
      </c>
      <c r="AW39" s="298">
        <f>IFERROR(
  _xlfn.XLOOKUP(AK39,'2) หลักการคำนวน Table'!$C$3:$K$3,'2) หลักการคำนวน Table'!$C$3:$K$3,,1),
  IF(AK39&lt;MIN('2) หลักการคำนวน Table'!$C$3:$K$3),
     MIN('2) หลักการคำนวน Table'!$C$3:$K$3),
     MAX('2) หลักการคำนวน Table'!$C$3:$K$3)
  )
)</f>
        <v>0.9</v>
      </c>
      <c r="AX39" s="298">
        <f>IFERROR(
  _xlfn.XLOOKUP(AL39,'2) หลักการคำนวน Table'!$C$3:$K$3,'2) หลักการคำนวน Table'!$C$3:$K$3,,1),
  IF(AL39&lt;MIN('2) หลักการคำนวน Table'!$C$3:$K$3),
     MIN('2) หลักการคำนวน Table'!$C$3:$K$3),
     MAX('2) หลักการคำนวน Table'!$C$3:$K$3)
  )
)</f>
        <v>0.9</v>
      </c>
      <c r="AY39" s="298">
        <f>IFERROR(
  _xlfn.XLOOKUP(AM39,'2) หลักการคำนวน Table'!$C$3:$K$3,'2) หลักการคำนวน Table'!$C$3:$K$3,,1),
  IF(AM39&lt;MIN('2) หลักการคำนวน Table'!$C$3:$K$3),
     MIN('2) หลักการคำนวน Table'!$C$3:$K$3),
     MAX('2) หลักการคำนวน Table'!$C$3:$K$3)
  )
)</f>
        <v>0.9</v>
      </c>
      <c r="AZ39" s="299" t="e" cm="1">
        <f t="array" ref="AZ39">(_xlfn.XLOOKUP($C39,'2) หลักการคำนวน Table'!$A$4:$A$36,
_xlfn.XLOOKUP(AN39,'2)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</f>
        <v>#N/A</v>
      </c>
      <c r="BA39" s="299" t="e" cm="1">
        <f t="array" ref="BA39">(_xlfn.XLOOKUP($C39,'2) หลักการคำนวน Table'!$A$4:$A$36,
_xlfn.XLOOKUP(AO39,'2)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</f>
        <v>#N/A</v>
      </c>
      <c r="BB39" s="299" t="e" cm="1">
        <f t="array" ref="BB39">(_xlfn.XLOOKUP($C39,'2) หลักการคำนวน Table'!$A$4:$A$36,
_xlfn.XLOOKUP(AP39,'2)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</f>
        <v>#N/A</v>
      </c>
      <c r="BC39" s="299" t="e" cm="1">
        <f t="array" ref="BC39">(_xlfn.XLOOKUP($C39,'2) หลักการคำนวน Table'!$A$4:$A$36,
_xlfn.XLOOKUP(AQ39,'2)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</f>
        <v>#N/A</v>
      </c>
      <c r="BD39" s="299" t="e" cm="1">
        <f t="array" ref="BD39">(_xlfn.XLOOKUP($C39,'2) หลักการคำนวน Table'!$A$4:$A$36,
_xlfn.XLOOKUP(AR39,'2)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</f>
        <v>#N/A</v>
      </c>
      <c r="BE39" s="299" t="e" cm="1">
        <f t="array" ref="BE39">(_xlfn.XLOOKUP($C39,'2) หลักการคำนวน Table'!$A$4:$A$36,
_xlfn.XLOOKUP(AS39,'2)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</f>
        <v>#N/A</v>
      </c>
      <c r="BF39" s="299" t="e" cm="1">
        <f t="array" ref="BF39">(_xlfn.XLOOKUP($C39,'2) หลักการคำนวน Table'!$A$4:$A$36,
_xlfn.XLOOKUP(AT39,'2)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</f>
        <v>#N/A</v>
      </c>
      <c r="BG39" s="299" t="e" cm="1">
        <f t="array" ref="BG39">(_xlfn.XLOOKUP($C39,'2) หลักการคำนวน Table'!$A$4:$A$36,
_xlfn.XLOOKUP(AU39,'2)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</f>
        <v>#N/A</v>
      </c>
      <c r="BH39" s="299" t="e" cm="1">
        <f t="array" ref="BH39">ROUND((_xlfn.XLOOKUP($C39,'2) หลักการคำนวน Table'!$A$4:$A$36,
_xlfn.XLOOKUP(AV39,'2)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I39" s="299" t="e" cm="1">
        <f t="array" ref="BI39">ROUND((_xlfn.XLOOKUP($C39,'2) หลักการคำนวน Table'!$A$4:$A$36,
_xlfn.XLOOKUP(AW39,'2)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J39" s="299" t="e" cm="1">
        <f t="array" ref="BJ39">ROUND((_xlfn.XLOOKUP($C39,'2) หลักการคำนวน Table'!$A$4:$A$36,
_xlfn.XLOOKUP(AX39,'2)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K39" s="299" t="e" cm="1">
        <f t="array" ref="BK39">ROUND((_xlfn.XLOOKUP($C39,'2) หลักการคำนวน Table'!$A$4:$A$36,
_xlfn.XLOOKUP(AY39,'2) หลักการคำนวน Table'!$C$3:$K$3,'2) หลักการคำนวน Table'!$C$4:$K$36,,-1)))*(_xlfn.XLOOKUP($C39,'2) หลักการคำนวน Table'!$A$4:$A$36, _xlfn.XLOOKUP($B39,'2) หลักการคำนวน Table'!$L$3:$Z$3,'2) หลักการคำนวน Table'!$L$4:$Z$36))),0)</f>
        <v>#N/A</v>
      </c>
      <c r="BL39" s="295"/>
      <c r="BM39" s="295">
        <v>222237</v>
      </c>
      <c r="BN39" s="300">
        <v>252.52525252525251</v>
      </c>
    </row>
    <row r="40" spans="1:66" ht="13.2" customHeight="1" x14ac:dyDescent="0.25">
      <c r="A40" s="322">
        <f>VLOOKUP(C40,ASTBase!F:S,12,FALSE)</f>
        <v>222223</v>
      </c>
      <c r="B40" s="295" t="s">
        <v>409</v>
      </c>
      <c r="C40" s="322">
        <v>222237</v>
      </c>
      <c r="D40" s="296">
        <f>SUMIFS('3)Target &amp; Cal_Staff'!D$4:D$164,'3)Target &amp; Cal_Staff'!$B$4:$B$164,'3)Target &amp; Cal_Sect'!$B40,'3)Target &amp; Cal_Staff'!$A$4:$A$164,'3)Target &amp; Cal_Sect'!$C40)</f>
        <v>21000</v>
      </c>
      <c r="E40" s="296">
        <f>SUMIFS('3)Target &amp; Cal_Staff'!E$4:E$164,'3)Target &amp; Cal_Staff'!$B$4:$B$164,'3)Target &amp; Cal_Sect'!$B40,'3)Target &amp; Cal_Staff'!$A$4:$A$164,'3)Target &amp; Cal_Sect'!$C40)</f>
        <v>21500</v>
      </c>
      <c r="F40" s="296">
        <f>SUMIFS('3)Target &amp; Cal_Staff'!F$4:F$164,'3)Target &amp; Cal_Staff'!$B$4:$B$164,'3)Target &amp; Cal_Sect'!$B40,'3)Target &amp; Cal_Staff'!$A$4:$A$164,'3)Target &amp; Cal_Sect'!$C40)</f>
        <v>66000</v>
      </c>
      <c r="G40" s="296">
        <f>SUMIFS('3)Target &amp; Cal_Staff'!G$4:G$164,'3)Target &amp; Cal_Staff'!$B$4:$B$164,'3)Target &amp; Cal_Sect'!$B40,'3)Target &amp; Cal_Staff'!$A$4:$A$164,'3)Target &amp; Cal_Sect'!$C40)</f>
        <v>21000</v>
      </c>
      <c r="H40" s="296">
        <f>SUMIFS('3)Target &amp; Cal_Staff'!H$4:H$164,'3)Target &amp; Cal_Staff'!$B$4:$B$164,'3)Target &amp; Cal_Sect'!$B40,'3)Target &amp; Cal_Staff'!$A$4:$A$164,'3)Target &amp; Cal_Sect'!$C40)</f>
        <v>22000</v>
      </c>
      <c r="I40" s="296">
        <f>SUMIFS('3)Target &amp; Cal_Staff'!I$4:I$164,'3)Target &amp; Cal_Staff'!$B$4:$B$164,'3)Target &amp; Cal_Sect'!$B40,'3)Target &amp; Cal_Staff'!$A$4:$A$164,'3)Target &amp; Cal_Sect'!$C40)</f>
        <v>23300</v>
      </c>
      <c r="J40" s="296">
        <f>SUMIFS('3)Target &amp; Cal_Staff'!J$4:J$164,'3)Target &amp; Cal_Staff'!$B$4:$B$164,'3)Target &amp; Cal_Sect'!$B40,'3)Target &amp; Cal_Staff'!$A$4:$A$164,'3)Target &amp; Cal_Sect'!$C40)</f>
        <v>22500</v>
      </c>
      <c r="K40" s="296">
        <f>SUMIFS('3)Target &amp; Cal_Staff'!K$4:K$164,'3)Target &amp; Cal_Staff'!$B$4:$B$164,'3)Target &amp; Cal_Sect'!$B40,'3)Target &amp; Cal_Staff'!$A$4:$A$164,'3)Target &amp; Cal_Sect'!$C40)</f>
        <v>22500</v>
      </c>
      <c r="L40" s="296">
        <f>SUMIFS('3)Target &amp; Cal_Staff'!L$4:L$164,'3)Target &amp; Cal_Staff'!$B$4:$B$164,'3)Target &amp; Cal_Sect'!$B40,'3)Target &amp; Cal_Staff'!$A$4:$A$164,'3)Target &amp; Cal_Sect'!$C40)</f>
        <v>21500</v>
      </c>
      <c r="M40" s="296">
        <f>SUMIFS('3)Target &amp; Cal_Staff'!M$4:M$164,'3)Target &amp; Cal_Staff'!$B$4:$B$164,'3)Target &amp; Cal_Sect'!$B40,'3)Target &amp; Cal_Staff'!$A$4:$A$164,'3)Target &amp; Cal_Sect'!$C40)</f>
        <v>23000</v>
      </c>
      <c r="N40" s="296">
        <f>SUMIFS('3)Target &amp; Cal_Staff'!N$4:N$164,'3)Target &amp; Cal_Staff'!$B$4:$B$164,'3)Target &amp; Cal_Sect'!$B40,'3)Target &amp; Cal_Staff'!$A$4:$A$164,'3)Target &amp; Cal_Sect'!$C40)</f>
        <v>21600</v>
      </c>
      <c r="O40" s="296">
        <f>SUMIFS('3)Target &amp; Cal_Staff'!O$4:O$164,'3)Target &amp; Cal_Staff'!$B$4:$B$164,'3)Target &amp; Cal_Sect'!$B40,'3)Target &amp; Cal_Staff'!$A$4:$A$164,'3)Target &amp; Cal_Sect'!$C40)</f>
        <v>69100</v>
      </c>
      <c r="P40" s="296">
        <f>SUMIFS('3)Target &amp; Cal_Staff'!P$4:P$164,'3)Target &amp; Cal_Staff'!$B$4:$B$164,'3)Target &amp; Cal_Sect'!$B40,'3)Target &amp; Cal_Staff'!$A$4:$A$164,'3)Target &amp; Cal_Sect'!$C40)</f>
        <v>31562.208000000057</v>
      </c>
      <c r="Q40" s="296">
        <f>SUMIFS('3)Target &amp; Cal_Staff'!Q$4:Q$164,'3)Target &amp; Cal_Staff'!$B$4:$B$164,'3)Target &amp; Cal_Sect'!$B40,'3)Target &amp; Cal_Staff'!$A$4:$A$164,'3)Target &amp; Cal_Sect'!$C40)</f>
        <v>0</v>
      </c>
      <c r="R40" s="296">
        <f>SUMIFS('3)Target &amp; Cal_Staff'!R$4:R$164,'3)Target &amp; Cal_Staff'!$B$4:$B$164,'3)Target &amp; Cal_Sect'!$B40,'3)Target &amp; Cal_Staff'!$A$4:$A$164,'3)Target &amp; Cal_Sect'!$C40)</f>
        <v>0</v>
      </c>
      <c r="S40" s="296">
        <f>SUMIFS('3)Target &amp; Cal_Staff'!S$4:S$164,'3)Target &amp; Cal_Staff'!$B$4:$B$164,'3)Target &amp; Cal_Sect'!$B40,'3)Target &amp; Cal_Staff'!$A$4:$A$164,'3)Target &amp; Cal_Sect'!$C40)</f>
        <v>0</v>
      </c>
      <c r="T40" s="296">
        <f>SUMIFS('3)Target &amp; Cal_Staff'!T$4:T$164,'3)Target &amp; Cal_Staff'!$B$4:$B$164,'3)Target &amp; Cal_Sect'!$B40,'3)Target &amp; Cal_Staff'!$A$4:$A$164,'3)Target &amp; Cal_Sect'!$C40)</f>
        <v>0</v>
      </c>
      <c r="U40" s="296">
        <f>SUMIFS('3)Target &amp; Cal_Staff'!U$4:U$164,'3)Target &amp; Cal_Staff'!$B$4:$B$164,'3)Target &amp; Cal_Sect'!$B40,'3)Target &amp; Cal_Staff'!$A$4:$A$164,'3)Target &amp; Cal_Sect'!$C40)</f>
        <v>0</v>
      </c>
      <c r="V40" s="296">
        <f>SUMIFS('3)Target &amp; Cal_Staff'!V$4:V$164,'3)Target &amp; Cal_Staff'!$B$4:$B$164,'3)Target &amp; Cal_Sect'!$B40,'3)Target &amp; Cal_Staff'!$A$4:$A$164,'3)Target &amp; Cal_Sect'!$C40)</f>
        <v>0</v>
      </c>
      <c r="W40" s="296">
        <f>SUMIFS('3)Target &amp; Cal_Staff'!W$4:W$164,'3)Target &amp; Cal_Staff'!$B$4:$B$164,'3)Target &amp; Cal_Sect'!$B40,'3)Target &amp; Cal_Staff'!$A$4:$A$164,'3)Target &amp; Cal_Sect'!$C40)</f>
        <v>0</v>
      </c>
      <c r="X40" s="296">
        <f>SUMIFS('3)Target &amp; Cal_Staff'!X$4:X$164,'3)Target &amp; Cal_Staff'!$B$4:$B$164,'3)Target &amp; Cal_Sect'!$B40,'3)Target &amp; Cal_Staff'!$A$4:$A$164,'3)Target &amp; Cal_Sect'!$C40)</f>
        <v>0</v>
      </c>
      <c r="Y40" s="296">
        <f>SUMIFS('3)Target &amp; Cal_Staff'!Y$4:Y$164,'3)Target &amp; Cal_Staff'!$B$4:$B$164,'3)Target &amp; Cal_Sect'!$B40,'3)Target &amp; Cal_Staff'!$A$4:$A$164,'3)Target &amp; Cal_Sect'!$C40)</f>
        <v>0</v>
      </c>
      <c r="Z40" s="296">
        <f>SUMIFS('3)Target &amp; Cal_Staff'!Z$4:Z$164,'3)Target &amp; Cal_Staff'!$B$4:$B$164,'3)Target &amp; Cal_Sect'!$B40,'3)Target &amp; Cal_Staff'!$A$4:$A$164,'3)Target &amp; Cal_Sect'!$C40)</f>
        <v>0</v>
      </c>
      <c r="AA40" s="296">
        <f>SUMIFS('3)Target &amp; Cal_Staff'!AA$4:AA$164,'3)Target &amp; Cal_Staff'!$B$4:$B$164,'3)Target &amp; Cal_Sect'!$B40,'3)Target &amp; Cal_Staff'!$A$4:$A$164,'3)Target &amp; Cal_Sect'!$C40)</f>
        <v>0</v>
      </c>
      <c r="AB40" s="297">
        <f>IFERROR(IF(VLOOKUP($B40,Shortage!$A:$M,AB$2,FALSE)="Shortage",1,IFERROR(ROUND(P40/D40,4),0)),IFERROR(ROUND(P40/D40,4),0))</f>
        <v>1.5029999999999999</v>
      </c>
      <c r="AC40" s="297">
        <f>IFERROR(IF(VLOOKUP($B40,Shortage!$A:$M,AC$2,FALSE)="Shortage",1,IFERROR(ROUND(Q40/E40,4),0)),IFERROR(ROUND(Q40/E40,4),0))</f>
        <v>0</v>
      </c>
      <c r="AD40" s="297">
        <f>IFERROR(IF(VLOOKUP($B40,Shortage!$A:$M,AD$2,FALSE)="Shortage",1,IFERROR(ROUND(R40/F40,4),0)),IFERROR(ROUND(R40/F40,4),0))</f>
        <v>0</v>
      </c>
      <c r="AE40" s="297">
        <f>IFERROR(IF(VLOOKUP($B40,Shortage!$A:$M,AE$2,FALSE)="Shortage",1,IFERROR(ROUND(S40/G40,4),0)),IFERROR(ROUND(S40/G40,4),0))</f>
        <v>0</v>
      </c>
      <c r="AF40" s="297">
        <f>IFERROR(IF(VLOOKUP($B40,Shortage!$A:$M,AF$2,FALSE)="Shortage",1,IFERROR(ROUND(T40/H40,4),0)),IFERROR(ROUND(T40/H40,4),0))</f>
        <v>0</v>
      </c>
      <c r="AG40" s="297">
        <f>IFERROR(IF(VLOOKUP($B40,Shortage!$A:$M,AG$2,FALSE)="Shortage",1,IFERROR(ROUND(U40/I40,4),0)),IFERROR(ROUND(U40/I40,4),0))</f>
        <v>0</v>
      </c>
      <c r="AH40" s="297">
        <f>IFERROR(IF(VLOOKUP($B40,Shortage!$A:$M,AH$2,FALSE)="Shortage",1,IFERROR(ROUND(V40/J40,4),0)),IFERROR(ROUND(V40/J40,4),0))</f>
        <v>0</v>
      </c>
      <c r="AI40" s="297">
        <f>IFERROR(IF(VLOOKUP($B40,Shortage!$A:$M,AI$2,FALSE)="Shortage",1,IFERROR(ROUND(W40/K40,4),0)),IFERROR(ROUND(W40/K40,4),0))</f>
        <v>0</v>
      </c>
      <c r="AJ40" s="297">
        <f>IFERROR(IF(VLOOKUP($B40,Shortage!$A:$M,AJ$2,FALSE)="Shortage",1,IFERROR(ROUND(X40/L40,4),0)),IFERROR(ROUND(X40/L40,4),0))</f>
        <v>0</v>
      </c>
      <c r="AK40" s="297">
        <f>IFERROR(IF(VLOOKUP($B40,Shortage!$A:$M,AK$2,FALSE)="Shortage",1,IFERROR(ROUND(Y40/M40,4),0)),IFERROR(ROUND(Y40/M40,4),0))</f>
        <v>0</v>
      </c>
      <c r="AL40" s="297">
        <f>IFERROR(IF(VLOOKUP($B40,Shortage!$A:$M,AL$2,FALSE)="Shortage",1,IFERROR(ROUND(Z40/N40,4),0)),IFERROR(ROUND(Z40/N40,4),0))</f>
        <v>0</v>
      </c>
      <c r="AM40" s="297">
        <f>IFERROR(IF(VLOOKUP($B40,Shortage!$A:$M,AM$2,FALSE)="Shortage",1,IFERROR(ROUND(AA40/O40,4),0)),IFERROR(ROUND(AA40/O40,4),0))</f>
        <v>0</v>
      </c>
      <c r="AN40" s="298">
        <f>IFERROR(_xlfn.XLOOKUP(AB40,'2) หลักการคำนวน Table'!$C$3:$K$3,'2) หลักการคำนวน Table'!$C$3:$K$3,,1),INDEX('2) หลักการคำนวน Table'!$C$3:$K$3,1))</f>
        <v>20</v>
      </c>
      <c r="AO40" s="298">
        <f>IFERROR(
  _xlfn.XLOOKUP(AC40,'2) หลักการคำนวน Table'!$C$3:$K$3,'2) หลักการคำนวน Table'!$C$3:$K$3,,1),
  IF(AC40&lt;MIN('2) หลักการคำนวน Table'!$C$3:$K$3),
     MIN('2) หลักการคำนวน Table'!$C$3:$K$3),
     MAX('2) หลักการคำนวน Table'!$C$3:$K$3)
  )
)</f>
        <v>0.9</v>
      </c>
      <c r="AP40" s="298">
        <f>IFERROR(
  _xlfn.XLOOKUP(AD40,'2) หลักการคำนวน Table'!$C$3:$K$3,'2) หลักการคำนวน Table'!$C$3:$K$3,,1),
  IF(AD40&lt;MIN('2) หลักการคำนวน Table'!$C$3:$K$3),
     MIN('2) หลักการคำนวน Table'!$C$3:$K$3),
     MAX('2) หลักการคำนวน Table'!$C$3:$K$3)
  )
)</f>
        <v>0.9</v>
      </c>
      <c r="AQ40" s="298">
        <f>IFERROR(
  _xlfn.XLOOKUP(AE40,'2) หลักการคำนวน Table'!$C$3:$K$3,'2) หลักการคำนวน Table'!$C$3:$K$3,,1),
  IF(AE40&lt;MIN('2) หลักการคำนวน Table'!$C$3:$K$3),
     MIN('2) หลักการคำนวน Table'!$C$3:$K$3),
     MAX('2) หลักการคำนวน Table'!$C$3:$K$3)
  )
)</f>
        <v>0.9</v>
      </c>
      <c r="AR40" s="298">
        <f>IFERROR(
  _xlfn.XLOOKUP(AF40,'2) หลักการคำนวน Table'!$C$3:$K$3,'2) หลักการคำนวน Table'!$C$3:$K$3,,1),
  IF(AF40&lt;MIN('2) หลักการคำนวน Table'!$C$3:$K$3),
     MIN('2) หลักการคำนวน Table'!$C$3:$K$3),
     MAX('2) หลักการคำนวน Table'!$C$3:$K$3)
  )
)</f>
        <v>0.9</v>
      </c>
      <c r="AS40" s="298">
        <f>IFERROR(
  _xlfn.XLOOKUP(AG40,'2) หลักการคำนวน Table'!$C$3:$K$3,'2) หลักการคำนวน Table'!$C$3:$K$3,,1),
  IF(AG40&lt;MIN('2) หลักการคำนวน Table'!$C$3:$K$3),
     MIN('2) หลักการคำนวน Table'!$C$3:$K$3),
     MAX('2) หลักการคำนวน Table'!$C$3:$K$3)
  )
)</f>
        <v>0.9</v>
      </c>
      <c r="AT40" s="298">
        <f>IFERROR(
  _xlfn.XLOOKUP(AH40,'2) หลักการคำนวน Table'!$C$3:$K$3,'2) หลักการคำนวน Table'!$C$3:$K$3,,1),
  IF(AH40&lt;MIN('2) หลักการคำนวน Table'!$C$3:$K$3),
     MIN('2) หลักการคำนวน Table'!$C$3:$K$3),
     MAX('2) หลักการคำนวน Table'!$C$3:$K$3)
  )
)</f>
        <v>0.9</v>
      </c>
      <c r="AU40" s="298">
        <f>IFERROR(
  _xlfn.XLOOKUP(AI40,'2) หลักการคำนวน Table'!$C$3:$K$3,'2) หลักการคำนวน Table'!$C$3:$K$3,,1),
  IF(AI40&lt;MIN('2) หลักการคำนวน Table'!$C$3:$K$3),
     MIN('2) หลักการคำนวน Table'!$C$3:$K$3),
     MAX('2) หลักการคำนวน Table'!$C$3:$K$3)
  )
)</f>
        <v>0.9</v>
      </c>
      <c r="AV40" s="298">
        <f>IFERROR(
  _xlfn.XLOOKUP(AJ40,'2) หลักการคำนวน Table'!$C$3:$K$3,'2) หลักการคำนวน Table'!$C$3:$K$3,,1),
  IF(AJ40&lt;MIN('2) หลักการคำนวน Table'!$C$3:$K$3),
     MIN('2) หลักการคำนวน Table'!$C$3:$K$3),
     MAX('2) หลักการคำนวน Table'!$C$3:$K$3)
  )
)</f>
        <v>0.9</v>
      </c>
      <c r="AW40" s="298">
        <f>IFERROR(
  _xlfn.XLOOKUP(AK40,'2) หลักการคำนวน Table'!$C$3:$K$3,'2) หลักการคำนวน Table'!$C$3:$K$3,,1),
  IF(AK40&lt;MIN('2) หลักการคำนวน Table'!$C$3:$K$3),
     MIN('2) หลักการคำนวน Table'!$C$3:$K$3),
     MAX('2) หลักการคำนวน Table'!$C$3:$K$3)
  )
)</f>
        <v>0.9</v>
      </c>
      <c r="AX40" s="298">
        <f>IFERROR(
  _xlfn.XLOOKUP(AL40,'2) หลักการคำนวน Table'!$C$3:$K$3,'2) หลักการคำนวน Table'!$C$3:$K$3,,1),
  IF(AL40&lt;MIN('2) หลักการคำนวน Table'!$C$3:$K$3),
     MIN('2) หลักการคำนวน Table'!$C$3:$K$3),
     MAX('2) หลักการคำนวน Table'!$C$3:$K$3)
  )
)</f>
        <v>0.9</v>
      </c>
      <c r="AY40" s="298">
        <f>IFERROR(
  _xlfn.XLOOKUP(AM40,'2) หลักการคำนวน Table'!$C$3:$K$3,'2) หลักการคำนวน Table'!$C$3:$K$3,,1),
  IF(AM40&lt;MIN('2) หลักการคำนวน Table'!$C$3:$K$3),
     MIN('2) หลักการคำนวน Table'!$C$3:$K$3),
     MAX('2) หลักการคำนวน Table'!$C$3:$K$3)
  )
)</f>
        <v>0.9</v>
      </c>
      <c r="AZ40" s="299" t="e" cm="1">
        <f t="array" ref="AZ40">(_xlfn.XLOOKUP($C40,'2) หลักการคำนวน Table'!$A$4:$A$36,
_xlfn.XLOOKUP(AN40,'2)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</f>
        <v>#N/A</v>
      </c>
      <c r="BA40" s="299" t="e" cm="1">
        <f t="array" ref="BA40">(_xlfn.XLOOKUP($C40,'2) หลักการคำนวน Table'!$A$4:$A$36,
_xlfn.XLOOKUP(AO40,'2)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</f>
        <v>#N/A</v>
      </c>
      <c r="BB40" s="299" t="e" cm="1">
        <f t="array" ref="BB40">(_xlfn.XLOOKUP($C40,'2) หลักการคำนวน Table'!$A$4:$A$36,
_xlfn.XLOOKUP(AP40,'2)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</f>
        <v>#N/A</v>
      </c>
      <c r="BC40" s="299" t="e" cm="1">
        <f t="array" ref="BC40">(_xlfn.XLOOKUP($C40,'2) หลักการคำนวน Table'!$A$4:$A$36,
_xlfn.XLOOKUP(AQ40,'2)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</f>
        <v>#N/A</v>
      </c>
      <c r="BD40" s="299" t="e" cm="1">
        <f t="array" ref="BD40">(_xlfn.XLOOKUP($C40,'2) หลักการคำนวน Table'!$A$4:$A$36,
_xlfn.XLOOKUP(AR40,'2)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</f>
        <v>#N/A</v>
      </c>
      <c r="BE40" s="299" t="e" cm="1">
        <f t="array" ref="BE40">(_xlfn.XLOOKUP($C40,'2) หลักการคำนวน Table'!$A$4:$A$36,
_xlfn.XLOOKUP(AS40,'2)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</f>
        <v>#N/A</v>
      </c>
      <c r="BF40" s="299" t="e" cm="1">
        <f t="array" ref="BF40">(_xlfn.XLOOKUP($C40,'2) หลักการคำนวน Table'!$A$4:$A$36,
_xlfn.XLOOKUP(AT40,'2)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</f>
        <v>#N/A</v>
      </c>
      <c r="BG40" s="299" t="e" cm="1">
        <f t="array" ref="BG40">(_xlfn.XLOOKUP($C40,'2) หลักการคำนวน Table'!$A$4:$A$36,
_xlfn.XLOOKUP(AU40,'2)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</f>
        <v>#N/A</v>
      </c>
      <c r="BH40" s="299" t="e" cm="1">
        <f t="array" ref="BH40">ROUND((_xlfn.XLOOKUP($C40,'2) หลักการคำนวน Table'!$A$4:$A$36,
_xlfn.XLOOKUP(AV40,'2)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I40" s="299" t="e" cm="1">
        <f t="array" ref="BI40">ROUND((_xlfn.XLOOKUP($C40,'2) หลักการคำนวน Table'!$A$4:$A$36,
_xlfn.XLOOKUP(AW40,'2)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J40" s="299" t="e" cm="1">
        <f t="array" ref="BJ40">ROUND((_xlfn.XLOOKUP($C40,'2) หลักการคำนวน Table'!$A$4:$A$36,
_xlfn.XLOOKUP(AX40,'2)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K40" s="299" t="e" cm="1">
        <f t="array" ref="BK40">ROUND((_xlfn.XLOOKUP($C40,'2) หลักการคำนวน Table'!$A$4:$A$36,
_xlfn.XLOOKUP(AY40,'2) หลักการคำนวน Table'!$C$3:$K$3,'2) หลักการคำนวน Table'!$C$4:$K$36,,-1)))*(_xlfn.XLOOKUP($C40,'2) หลักการคำนวน Table'!$A$4:$A$36, _xlfn.XLOOKUP($B40,'2) หลักการคำนวน Table'!$L$3:$Z$3,'2) หลักการคำนวน Table'!$L$4:$Z$36))),0)</f>
        <v>#N/A</v>
      </c>
      <c r="BL40" s="295"/>
      <c r="BM40" s="295">
        <v>222237</v>
      </c>
      <c r="BN40" s="300">
        <v>656.56565656565658</v>
      </c>
    </row>
    <row r="41" spans="1:66" ht="13.2" customHeight="1" x14ac:dyDescent="0.25">
      <c r="A41" s="322">
        <f>VLOOKUP(C41,ASTBase!F:S,12,FALSE)</f>
        <v>222223</v>
      </c>
      <c r="B41" s="295" t="s">
        <v>410</v>
      </c>
      <c r="C41" s="322">
        <v>222237</v>
      </c>
      <c r="D41" s="296">
        <f>SUMIFS('3)Target &amp; Cal_Staff'!D$4:D$164,'3)Target &amp; Cal_Staff'!$B$4:$B$164,'3)Target &amp; Cal_Sect'!$B41,'3)Target &amp; Cal_Staff'!$A$4:$A$164,'3)Target &amp; Cal_Sect'!$C41)</f>
        <v>30500</v>
      </c>
      <c r="E41" s="296">
        <f>SUMIFS('3)Target &amp; Cal_Staff'!E$4:E$164,'3)Target &amp; Cal_Staff'!$B$4:$B$164,'3)Target &amp; Cal_Sect'!$B41,'3)Target &amp; Cal_Staff'!$A$4:$A$164,'3)Target &amp; Cal_Sect'!$C41)</f>
        <v>28000</v>
      </c>
      <c r="F41" s="296">
        <f>SUMIFS('3)Target &amp; Cal_Staff'!F$4:F$164,'3)Target &amp; Cal_Staff'!$B$4:$B$164,'3)Target &amp; Cal_Sect'!$B41,'3)Target &amp; Cal_Staff'!$A$4:$A$164,'3)Target &amp; Cal_Sect'!$C41)</f>
        <v>125500</v>
      </c>
      <c r="G41" s="296">
        <f>SUMIFS('3)Target &amp; Cal_Staff'!G$4:G$164,'3)Target &amp; Cal_Staff'!$B$4:$B$164,'3)Target &amp; Cal_Sect'!$B41,'3)Target &amp; Cal_Staff'!$A$4:$A$164,'3)Target &amp; Cal_Sect'!$C41)</f>
        <v>29000</v>
      </c>
      <c r="H41" s="296">
        <f>SUMIFS('3)Target &amp; Cal_Staff'!H$4:H$164,'3)Target &amp; Cal_Staff'!$B$4:$B$164,'3)Target &amp; Cal_Sect'!$B41,'3)Target &amp; Cal_Staff'!$A$4:$A$164,'3)Target &amp; Cal_Sect'!$C41)</f>
        <v>28000</v>
      </c>
      <c r="I41" s="296">
        <f>SUMIFS('3)Target &amp; Cal_Staff'!I$4:I$164,'3)Target &amp; Cal_Staff'!$B$4:$B$164,'3)Target &amp; Cal_Sect'!$B41,'3)Target &amp; Cal_Staff'!$A$4:$A$164,'3)Target &amp; Cal_Sect'!$C41)</f>
        <v>30000</v>
      </c>
      <c r="J41" s="296">
        <f>SUMIFS('3)Target &amp; Cal_Staff'!J$4:J$164,'3)Target &amp; Cal_Staff'!$B$4:$B$164,'3)Target &amp; Cal_Sect'!$B41,'3)Target &amp; Cal_Staff'!$A$4:$A$164,'3)Target &amp; Cal_Sect'!$C41)</f>
        <v>28000</v>
      </c>
      <c r="K41" s="296">
        <f>SUMIFS('3)Target &amp; Cal_Staff'!K$4:K$164,'3)Target &amp; Cal_Staff'!$B$4:$B$164,'3)Target &amp; Cal_Sect'!$B41,'3)Target &amp; Cal_Staff'!$A$4:$A$164,'3)Target &amp; Cal_Sect'!$C41)</f>
        <v>33000</v>
      </c>
      <c r="L41" s="296">
        <f>SUMIFS('3)Target &amp; Cal_Staff'!L$4:L$164,'3)Target &amp; Cal_Staff'!$B$4:$B$164,'3)Target &amp; Cal_Sect'!$B41,'3)Target &amp; Cal_Staff'!$A$4:$A$164,'3)Target &amp; Cal_Sect'!$C41)</f>
        <v>30000</v>
      </c>
      <c r="M41" s="296">
        <f>SUMIFS('3)Target &amp; Cal_Staff'!M$4:M$164,'3)Target &amp; Cal_Staff'!$B$4:$B$164,'3)Target &amp; Cal_Sect'!$B41,'3)Target &amp; Cal_Staff'!$A$4:$A$164,'3)Target &amp; Cal_Sect'!$C41)</f>
        <v>32500</v>
      </c>
      <c r="N41" s="296">
        <f>SUMIFS('3)Target &amp; Cal_Staff'!N$4:N$164,'3)Target &amp; Cal_Staff'!$B$4:$B$164,'3)Target &amp; Cal_Sect'!$B41,'3)Target &amp; Cal_Staff'!$A$4:$A$164,'3)Target &amp; Cal_Sect'!$C41)</f>
        <v>30000</v>
      </c>
      <c r="O41" s="296">
        <f>SUMIFS('3)Target &amp; Cal_Staff'!O$4:O$164,'3)Target &amp; Cal_Staff'!$B$4:$B$164,'3)Target &amp; Cal_Sect'!$B41,'3)Target &amp; Cal_Staff'!$A$4:$A$164,'3)Target &amp; Cal_Sect'!$C41)</f>
        <v>165500</v>
      </c>
      <c r="P41" s="296">
        <f>SUMIFS('3)Target &amp; Cal_Staff'!P$4:P$164,'3)Target &amp; Cal_Staff'!$B$4:$B$164,'3)Target &amp; Cal_Sect'!$B41,'3)Target &amp; Cal_Staff'!$A$4:$A$164,'3)Target &amp; Cal_Sect'!$C41)</f>
        <v>55556.45</v>
      </c>
      <c r="Q41" s="296">
        <f>SUMIFS('3)Target &amp; Cal_Staff'!Q$4:Q$164,'3)Target &amp; Cal_Staff'!$B$4:$B$164,'3)Target &amp; Cal_Sect'!$B41,'3)Target &amp; Cal_Staff'!$A$4:$A$164,'3)Target &amp; Cal_Sect'!$C41)</f>
        <v>0</v>
      </c>
      <c r="R41" s="296">
        <f>SUMIFS('3)Target &amp; Cal_Staff'!R$4:R$164,'3)Target &amp; Cal_Staff'!$B$4:$B$164,'3)Target &amp; Cal_Sect'!$B41,'3)Target &amp; Cal_Staff'!$A$4:$A$164,'3)Target &amp; Cal_Sect'!$C41)</f>
        <v>0</v>
      </c>
      <c r="S41" s="296">
        <f>SUMIFS('3)Target &amp; Cal_Staff'!S$4:S$164,'3)Target &amp; Cal_Staff'!$B$4:$B$164,'3)Target &amp; Cal_Sect'!$B41,'3)Target &amp; Cal_Staff'!$A$4:$A$164,'3)Target &amp; Cal_Sect'!$C41)</f>
        <v>0</v>
      </c>
      <c r="T41" s="296">
        <f>SUMIFS('3)Target &amp; Cal_Staff'!T$4:T$164,'3)Target &amp; Cal_Staff'!$B$4:$B$164,'3)Target &amp; Cal_Sect'!$B41,'3)Target &amp; Cal_Staff'!$A$4:$A$164,'3)Target &amp; Cal_Sect'!$C41)</f>
        <v>0</v>
      </c>
      <c r="U41" s="296">
        <f>SUMIFS('3)Target &amp; Cal_Staff'!U$4:U$164,'3)Target &amp; Cal_Staff'!$B$4:$B$164,'3)Target &amp; Cal_Sect'!$B41,'3)Target &amp; Cal_Staff'!$A$4:$A$164,'3)Target &amp; Cal_Sect'!$C41)</f>
        <v>0</v>
      </c>
      <c r="V41" s="296">
        <f>SUMIFS('3)Target &amp; Cal_Staff'!V$4:V$164,'3)Target &amp; Cal_Staff'!$B$4:$B$164,'3)Target &amp; Cal_Sect'!$B41,'3)Target &amp; Cal_Staff'!$A$4:$A$164,'3)Target &amp; Cal_Sect'!$C41)</f>
        <v>0</v>
      </c>
      <c r="W41" s="296">
        <f>SUMIFS('3)Target &amp; Cal_Staff'!W$4:W$164,'3)Target &amp; Cal_Staff'!$B$4:$B$164,'3)Target &amp; Cal_Sect'!$B41,'3)Target &amp; Cal_Staff'!$A$4:$A$164,'3)Target &amp; Cal_Sect'!$C41)</f>
        <v>0</v>
      </c>
      <c r="X41" s="296">
        <f>SUMIFS('3)Target &amp; Cal_Staff'!X$4:X$164,'3)Target &amp; Cal_Staff'!$B$4:$B$164,'3)Target &amp; Cal_Sect'!$B41,'3)Target &amp; Cal_Staff'!$A$4:$A$164,'3)Target &amp; Cal_Sect'!$C41)</f>
        <v>0</v>
      </c>
      <c r="Y41" s="296">
        <f>SUMIFS('3)Target &amp; Cal_Staff'!Y$4:Y$164,'3)Target &amp; Cal_Staff'!$B$4:$B$164,'3)Target &amp; Cal_Sect'!$B41,'3)Target &amp; Cal_Staff'!$A$4:$A$164,'3)Target &amp; Cal_Sect'!$C41)</f>
        <v>0</v>
      </c>
      <c r="Z41" s="296">
        <f>SUMIFS('3)Target &amp; Cal_Staff'!Z$4:Z$164,'3)Target &amp; Cal_Staff'!$B$4:$B$164,'3)Target &amp; Cal_Sect'!$B41,'3)Target &amp; Cal_Staff'!$A$4:$A$164,'3)Target &amp; Cal_Sect'!$C41)</f>
        <v>0</v>
      </c>
      <c r="AA41" s="296">
        <f>SUMIFS('3)Target &amp; Cal_Staff'!AA$4:AA$164,'3)Target &amp; Cal_Staff'!$B$4:$B$164,'3)Target &amp; Cal_Sect'!$B41,'3)Target &amp; Cal_Staff'!$A$4:$A$164,'3)Target &amp; Cal_Sect'!$C41)</f>
        <v>0</v>
      </c>
      <c r="AB41" s="297">
        <f>IFERROR(IF(VLOOKUP($B41,Shortage!$A:$M,AB$2,FALSE)="Shortage",1,IFERROR(ROUND(P41/D41,4),0)),IFERROR(ROUND(P41/D41,4),0))</f>
        <v>1.8214999999999999</v>
      </c>
      <c r="AC41" s="297">
        <f>IFERROR(IF(VLOOKUP($B41,Shortage!$A:$M,AC$2,FALSE)="Shortage",1,IFERROR(ROUND(Q41/E41,4),0)),IFERROR(ROUND(Q41/E41,4),0))</f>
        <v>0</v>
      </c>
      <c r="AD41" s="297">
        <f>IFERROR(IF(VLOOKUP($B41,Shortage!$A:$M,AD$2,FALSE)="Shortage",1,IFERROR(ROUND(R41/F41,4),0)),IFERROR(ROUND(R41/F41,4),0))</f>
        <v>0</v>
      </c>
      <c r="AE41" s="297">
        <f>IFERROR(IF(VLOOKUP($B41,Shortage!$A:$M,AE$2,FALSE)="Shortage",1,IFERROR(ROUND(S41/G41,4),0)),IFERROR(ROUND(S41/G41,4),0))</f>
        <v>0</v>
      </c>
      <c r="AF41" s="297">
        <f>IFERROR(IF(VLOOKUP($B41,Shortage!$A:$M,AF$2,FALSE)="Shortage",1,IFERROR(ROUND(T41/H41,4),0)),IFERROR(ROUND(T41/H41,4),0))</f>
        <v>0</v>
      </c>
      <c r="AG41" s="297">
        <f>IFERROR(IF(VLOOKUP($B41,Shortage!$A:$M,AG$2,FALSE)="Shortage",1,IFERROR(ROUND(U41/I41,4),0)),IFERROR(ROUND(U41/I41,4),0))</f>
        <v>0</v>
      </c>
      <c r="AH41" s="297">
        <f>IFERROR(IF(VLOOKUP($B41,Shortage!$A:$M,AH$2,FALSE)="Shortage",1,IFERROR(ROUND(V41/J41,4),0)),IFERROR(ROUND(V41/J41,4),0))</f>
        <v>0</v>
      </c>
      <c r="AI41" s="297">
        <f>IFERROR(IF(VLOOKUP($B41,Shortage!$A:$M,AI$2,FALSE)="Shortage",1,IFERROR(ROUND(W41/K41,4),0)),IFERROR(ROUND(W41/K41,4),0))</f>
        <v>0</v>
      </c>
      <c r="AJ41" s="297">
        <f>IFERROR(IF(VLOOKUP($B41,Shortage!$A:$M,AJ$2,FALSE)="Shortage",1,IFERROR(ROUND(X41/L41,4),0)),IFERROR(ROUND(X41/L41,4),0))</f>
        <v>0</v>
      </c>
      <c r="AK41" s="297">
        <f>IFERROR(IF(VLOOKUP($B41,Shortage!$A:$M,AK$2,FALSE)="Shortage",1,IFERROR(ROUND(Y41/M41,4),0)),IFERROR(ROUND(Y41/M41,4),0))</f>
        <v>0</v>
      </c>
      <c r="AL41" s="297">
        <f>IFERROR(IF(VLOOKUP($B41,Shortage!$A:$M,AL$2,FALSE)="Shortage",1,IFERROR(ROUND(Z41/N41,4),0)),IFERROR(ROUND(Z41/N41,4),0))</f>
        <v>0</v>
      </c>
      <c r="AM41" s="297">
        <f>IFERROR(IF(VLOOKUP($B41,Shortage!$A:$M,AM$2,FALSE)="Shortage",1,IFERROR(ROUND(AA41/O41,4),0)),IFERROR(ROUND(AA41/O41,4),0))</f>
        <v>0</v>
      </c>
      <c r="AN41" s="298">
        <f>IFERROR(_xlfn.XLOOKUP(AB41,'2) หลักการคำนวน Table'!$C$3:$K$3,'2) หลักการคำนวน Table'!$C$3:$K$3,,1),INDEX('2) หลักการคำนวน Table'!$C$3:$K$3,1))</f>
        <v>20</v>
      </c>
      <c r="AO41" s="298">
        <f>IFERROR(
  _xlfn.XLOOKUP(AC41,'2) หลักการคำนวน Table'!$C$3:$K$3,'2) หลักการคำนวน Table'!$C$3:$K$3,,1),
  IF(AC41&lt;MIN('2) หลักการคำนวน Table'!$C$3:$K$3),
     MIN('2) หลักการคำนวน Table'!$C$3:$K$3),
     MAX('2) หลักการคำนวน Table'!$C$3:$K$3)
  )
)</f>
        <v>0.9</v>
      </c>
      <c r="AP41" s="298">
        <f>IFERROR(
  _xlfn.XLOOKUP(AD41,'2) หลักการคำนวน Table'!$C$3:$K$3,'2) หลักการคำนวน Table'!$C$3:$K$3,,1),
  IF(AD41&lt;MIN('2) หลักการคำนวน Table'!$C$3:$K$3),
     MIN('2) หลักการคำนวน Table'!$C$3:$K$3),
     MAX('2) หลักการคำนวน Table'!$C$3:$K$3)
  )
)</f>
        <v>0.9</v>
      </c>
      <c r="AQ41" s="298">
        <f>IFERROR(
  _xlfn.XLOOKUP(AE41,'2) หลักการคำนวน Table'!$C$3:$K$3,'2) หลักการคำนวน Table'!$C$3:$K$3,,1),
  IF(AE41&lt;MIN('2) หลักการคำนวน Table'!$C$3:$K$3),
     MIN('2) หลักการคำนวน Table'!$C$3:$K$3),
     MAX('2) หลักการคำนวน Table'!$C$3:$K$3)
  )
)</f>
        <v>0.9</v>
      </c>
      <c r="AR41" s="298">
        <f>IFERROR(
  _xlfn.XLOOKUP(AF41,'2) หลักการคำนวน Table'!$C$3:$K$3,'2) หลักการคำนวน Table'!$C$3:$K$3,,1),
  IF(AF41&lt;MIN('2) หลักการคำนวน Table'!$C$3:$K$3),
     MIN('2) หลักการคำนวน Table'!$C$3:$K$3),
     MAX('2) หลักการคำนวน Table'!$C$3:$K$3)
  )
)</f>
        <v>0.9</v>
      </c>
      <c r="AS41" s="298">
        <f>IFERROR(
  _xlfn.XLOOKUP(AG41,'2) หลักการคำนวน Table'!$C$3:$K$3,'2) หลักการคำนวน Table'!$C$3:$K$3,,1),
  IF(AG41&lt;MIN('2) หลักการคำนวน Table'!$C$3:$K$3),
     MIN('2) หลักการคำนวน Table'!$C$3:$K$3),
     MAX('2) หลักการคำนวน Table'!$C$3:$K$3)
  )
)</f>
        <v>0.9</v>
      </c>
      <c r="AT41" s="298">
        <f>IFERROR(
  _xlfn.XLOOKUP(AH41,'2) หลักการคำนวน Table'!$C$3:$K$3,'2) หลักการคำนวน Table'!$C$3:$K$3,,1),
  IF(AH41&lt;MIN('2) หลักการคำนวน Table'!$C$3:$K$3),
     MIN('2) หลักการคำนวน Table'!$C$3:$K$3),
     MAX('2) หลักการคำนวน Table'!$C$3:$K$3)
  )
)</f>
        <v>0.9</v>
      </c>
      <c r="AU41" s="298">
        <f>IFERROR(
  _xlfn.XLOOKUP(AI41,'2) หลักการคำนวน Table'!$C$3:$K$3,'2) หลักการคำนวน Table'!$C$3:$K$3,,1),
  IF(AI41&lt;MIN('2) หลักการคำนวน Table'!$C$3:$K$3),
     MIN('2) หลักการคำนวน Table'!$C$3:$K$3),
     MAX('2) หลักการคำนวน Table'!$C$3:$K$3)
  )
)</f>
        <v>0.9</v>
      </c>
      <c r="AV41" s="298">
        <f>IFERROR(
  _xlfn.XLOOKUP(AJ41,'2) หลักการคำนวน Table'!$C$3:$K$3,'2) หลักการคำนวน Table'!$C$3:$K$3,,1),
  IF(AJ41&lt;MIN('2) หลักการคำนวน Table'!$C$3:$K$3),
     MIN('2) หลักการคำนวน Table'!$C$3:$K$3),
     MAX('2) หลักการคำนวน Table'!$C$3:$K$3)
  )
)</f>
        <v>0.9</v>
      </c>
      <c r="AW41" s="298">
        <f>IFERROR(
  _xlfn.XLOOKUP(AK41,'2) หลักการคำนวน Table'!$C$3:$K$3,'2) หลักการคำนวน Table'!$C$3:$K$3,,1),
  IF(AK41&lt;MIN('2) หลักการคำนวน Table'!$C$3:$K$3),
     MIN('2) หลักการคำนวน Table'!$C$3:$K$3),
     MAX('2) หลักการคำนวน Table'!$C$3:$K$3)
  )
)</f>
        <v>0.9</v>
      </c>
      <c r="AX41" s="298">
        <f>IFERROR(
  _xlfn.XLOOKUP(AL41,'2) หลักการคำนวน Table'!$C$3:$K$3,'2) หลักการคำนวน Table'!$C$3:$K$3,,1),
  IF(AL41&lt;MIN('2) หลักการคำนวน Table'!$C$3:$K$3),
     MIN('2) หลักการคำนวน Table'!$C$3:$K$3),
     MAX('2) หลักการคำนวน Table'!$C$3:$K$3)
  )
)</f>
        <v>0.9</v>
      </c>
      <c r="AY41" s="298">
        <f>IFERROR(
  _xlfn.XLOOKUP(AM41,'2) หลักการคำนวน Table'!$C$3:$K$3,'2) หลักการคำนวน Table'!$C$3:$K$3,,1),
  IF(AM41&lt;MIN('2) หลักการคำนวน Table'!$C$3:$K$3),
     MIN('2) หลักการคำนวน Table'!$C$3:$K$3),
     MAX('2) หลักการคำนวน Table'!$C$3:$K$3)
  )
)</f>
        <v>0.9</v>
      </c>
      <c r="AZ41" s="299" t="e" cm="1">
        <f t="array" ref="AZ41">(_xlfn.XLOOKUP($C41,'2) หลักการคำนวน Table'!$A$4:$A$36,
_xlfn.XLOOKUP(AN41,'2)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</f>
        <v>#N/A</v>
      </c>
      <c r="BA41" s="299" t="e" cm="1">
        <f t="array" ref="BA41">(_xlfn.XLOOKUP($C41,'2) หลักการคำนวน Table'!$A$4:$A$36,
_xlfn.XLOOKUP(AO41,'2)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</f>
        <v>#N/A</v>
      </c>
      <c r="BB41" s="299" t="e" cm="1">
        <f t="array" ref="BB41">(_xlfn.XLOOKUP($C41,'2) หลักการคำนวน Table'!$A$4:$A$36,
_xlfn.XLOOKUP(AP41,'2)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</f>
        <v>#N/A</v>
      </c>
      <c r="BC41" s="299" t="e" cm="1">
        <f t="array" ref="BC41">(_xlfn.XLOOKUP($C41,'2) หลักการคำนวน Table'!$A$4:$A$36,
_xlfn.XLOOKUP(AQ41,'2)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</f>
        <v>#N/A</v>
      </c>
      <c r="BD41" s="299" t="e" cm="1">
        <f t="array" ref="BD41">(_xlfn.XLOOKUP($C41,'2) หลักการคำนวน Table'!$A$4:$A$36,
_xlfn.XLOOKUP(AR41,'2)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</f>
        <v>#N/A</v>
      </c>
      <c r="BE41" s="299" t="e" cm="1">
        <f t="array" ref="BE41">(_xlfn.XLOOKUP($C41,'2) หลักการคำนวน Table'!$A$4:$A$36,
_xlfn.XLOOKUP(AS41,'2)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</f>
        <v>#N/A</v>
      </c>
      <c r="BF41" s="299" t="e" cm="1">
        <f t="array" ref="BF41">(_xlfn.XLOOKUP($C41,'2) หลักการคำนวน Table'!$A$4:$A$36,
_xlfn.XLOOKUP(AT41,'2)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</f>
        <v>#N/A</v>
      </c>
      <c r="BG41" s="299" t="e" cm="1">
        <f t="array" ref="BG41">(_xlfn.XLOOKUP($C41,'2) หลักการคำนวน Table'!$A$4:$A$36,
_xlfn.XLOOKUP(AU41,'2)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</f>
        <v>#N/A</v>
      </c>
      <c r="BH41" s="299" t="e" cm="1">
        <f t="array" ref="BH41">ROUND((_xlfn.XLOOKUP($C41,'2) หลักการคำนวน Table'!$A$4:$A$36,
_xlfn.XLOOKUP(AV41,'2)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I41" s="299" t="e" cm="1">
        <f t="array" ref="BI41">ROUND((_xlfn.XLOOKUP($C41,'2) หลักการคำนวน Table'!$A$4:$A$36,
_xlfn.XLOOKUP(AW41,'2)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J41" s="299" t="e" cm="1">
        <f t="array" ref="BJ41">ROUND((_xlfn.XLOOKUP($C41,'2) หลักการคำนวน Table'!$A$4:$A$36,
_xlfn.XLOOKUP(AX41,'2)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K41" s="299" t="e" cm="1">
        <f t="array" ref="BK41">ROUND((_xlfn.XLOOKUP($C41,'2) หลักการคำนวน Table'!$A$4:$A$36,
_xlfn.XLOOKUP(AY41,'2) หลักการคำนวน Table'!$C$3:$K$3,'2) หลักการคำนวน Table'!$C$4:$K$36,,-1)))*(_xlfn.XLOOKUP($C41,'2) หลักการคำนวน Table'!$A$4:$A$36, _xlfn.XLOOKUP($B41,'2) หลักการคำนวน Table'!$L$3:$Z$3,'2) หลักการคำนวน Table'!$L$4:$Z$36))),0)</f>
        <v>#N/A</v>
      </c>
      <c r="BL41" s="295"/>
      <c r="BM41" s="295">
        <v>222237</v>
      </c>
      <c r="BN41" s="300">
        <v>722.22222222222217</v>
      </c>
    </row>
    <row r="42" spans="1:66" ht="13.2" customHeight="1" x14ac:dyDescent="0.25">
      <c r="A42" s="322">
        <f>VLOOKUP(C42,ASTBase!F:S,12,FALSE)</f>
        <v>222223</v>
      </c>
      <c r="B42" s="295" t="s">
        <v>415</v>
      </c>
      <c r="C42" s="322">
        <v>222237</v>
      </c>
      <c r="D42" s="296">
        <f>SUMIFS('3)Target &amp; Cal_Staff'!D$4:D$164,'3)Target &amp; Cal_Staff'!$B$4:$B$164,'3)Target &amp; Cal_Sect'!$B42,'3)Target &amp; Cal_Staff'!$A$4:$A$164,'3)Target &amp; Cal_Sect'!$C42)</f>
        <v>10200</v>
      </c>
      <c r="E42" s="296">
        <f>SUMIFS('3)Target &amp; Cal_Staff'!E$4:E$164,'3)Target &amp; Cal_Staff'!$B$4:$B$164,'3)Target &amp; Cal_Sect'!$B42,'3)Target &amp; Cal_Staff'!$A$4:$A$164,'3)Target &amp; Cal_Sect'!$C42)</f>
        <v>10700</v>
      </c>
      <c r="F42" s="296">
        <f>SUMIFS('3)Target &amp; Cal_Staff'!F$4:F$164,'3)Target &amp; Cal_Staff'!$B$4:$B$164,'3)Target &amp; Cal_Sect'!$B42,'3)Target &amp; Cal_Staff'!$A$4:$A$164,'3)Target &amp; Cal_Sect'!$C42)</f>
        <v>56000</v>
      </c>
      <c r="G42" s="296">
        <f>SUMIFS('3)Target &amp; Cal_Staff'!G$4:G$164,'3)Target &amp; Cal_Staff'!$B$4:$B$164,'3)Target &amp; Cal_Sect'!$B42,'3)Target &amp; Cal_Staff'!$A$4:$A$164,'3)Target &amp; Cal_Sect'!$C42)</f>
        <v>10800</v>
      </c>
      <c r="H42" s="296">
        <f>SUMIFS('3)Target &amp; Cal_Staff'!H$4:H$164,'3)Target &amp; Cal_Staff'!$B$4:$B$164,'3)Target &amp; Cal_Sect'!$B42,'3)Target &amp; Cal_Staff'!$A$4:$A$164,'3)Target &amp; Cal_Sect'!$C42)</f>
        <v>10000</v>
      </c>
      <c r="I42" s="296">
        <f>SUMIFS('3)Target &amp; Cal_Staff'!I$4:I$164,'3)Target &amp; Cal_Staff'!$B$4:$B$164,'3)Target &amp; Cal_Sect'!$B42,'3)Target &amp; Cal_Staff'!$A$4:$A$164,'3)Target &amp; Cal_Sect'!$C42)</f>
        <v>10500</v>
      </c>
      <c r="J42" s="296">
        <f>SUMIFS('3)Target &amp; Cal_Staff'!J$4:J$164,'3)Target &amp; Cal_Staff'!$B$4:$B$164,'3)Target &amp; Cal_Sect'!$B42,'3)Target &amp; Cal_Staff'!$A$4:$A$164,'3)Target &amp; Cal_Sect'!$C42)</f>
        <v>11000</v>
      </c>
      <c r="K42" s="296">
        <f>SUMIFS('3)Target &amp; Cal_Staff'!K$4:K$164,'3)Target &amp; Cal_Staff'!$B$4:$B$164,'3)Target &amp; Cal_Sect'!$B42,'3)Target &amp; Cal_Staff'!$A$4:$A$164,'3)Target &amp; Cal_Sect'!$C42)</f>
        <v>10100</v>
      </c>
      <c r="L42" s="296">
        <f>SUMIFS('3)Target &amp; Cal_Staff'!L$4:L$164,'3)Target &amp; Cal_Staff'!$B$4:$B$164,'3)Target &amp; Cal_Sect'!$B42,'3)Target &amp; Cal_Staff'!$A$4:$A$164,'3)Target &amp; Cal_Sect'!$C42)</f>
        <v>10650</v>
      </c>
      <c r="M42" s="296">
        <f>SUMIFS('3)Target &amp; Cal_Staff'!M$4:M$164,'3)Target &amp; Cal_Staff'!$B$4:$B$164,'3)Target &amp; Cal_Sect'!$B42,'3)Target &amp; Cal_Staff'!$A$4:$A$164,'3)Target &amp; Cal_Sect'!$C42)</f>
        <v>10500</v>
      </c>
      <c r="N42" s="296">
        <f>SUMIFS('3)Target &amp; Cal_Staff'!N$4:N$164,'3)Target &amp; Cal_Staff'!$B$4:$B$164,'3)Target &amp; Cal_Sect'!$B42,'3)Target &amp; Cal_Staff'!$A$4:$A$164,'3)Target &amp; Cal_Sect'!$C42)</f>
        <v>11500</v>
      </c>
      <c r="O42" s="296">
        <f>SUMIFS('3)Target &amp; Cal_Staff'!O$4:O$164,'3)Target &amp; Cal_Staff'!$B$4:$B$164,'3)Target &amp; Cal_Sect'!$B42,'3)Target &amp; Cal_Staff'!$A$4:$A$164,'3)Target &amp; Cal_Sect'!$C42)</f>
        <v>65750</v>
      </c>
      <c r="P42" s="296">
        <f>SUMIFS('3)Target &amp; Cal_Staff'!P$4:P$164,'3)Target &amp; Cal_Staff'!$B$4:$B$164,'3)Target &amp; Cal_Sect'!$B42,'3)Target &amp; Cal_Staff'!$A$4:$A$164,'3)Target &amp; Cal_Sect'!$C42)</f>
        <v>15375.600000000008</v>
      </c>
      <c r="Q42" s="296">
        <f>SUMIFS('3)Target &amp; Cal_Staff'!Q$4:Q$164,'3)Target &amp; Cal_Staff'!$B$4:$B$164,'3)Target &amp; Cal_Sect'!$B42,'3)Target &amp; Cal_Staff'!$A$4:$A$164,'3)Target &amp; Cal_Sect'!$C42)</f>
        <v>0</v>
      </c>
      <c r="R42" s="296">
        <f>SUMIFS('3)Target &amp; Cal_Staff'!R$4:R$164,'3)Target &amp; Cal_Staff'!$B$4:$B$164,'3)Target &amp; Cal_Sect'!$B42,'3)Target &amp; Cal_Staff'!$A$4:$A$164,'3)Target &amp; Cal_Sect'!$C42)</f>
        <v>0</v>
      </c>
      <c r="S42" s="296">
        <f>SUMIFS('3)Target &amp; Cal_Staff'!S$4:S$164,'3)Target &amp; Cal_Staff'!$B$4:$B$164,'3)Target &amp; Cal_Sect'!$B42,'3)Target &amp; Cal_Staff'!$A$4:$A$164,'3)Target &amp; Cal_Sect'!$C42)</f>
        <v>0</v>
      </c>
      <c r="T42" s="296">
        <f>SUMIFS('3)Target &amp; Cal_Staff'!T$4:T$164,'3)Target &amp; Cal_Staff'!$B$4:$B$164,'3)Target &amp; Cal_Sect'!$B42,'3)Target &amp; Cal_Staff'!$A$4:$A$164,'3)Target &amp; Cal_Sect'!$C42)</f>
        <v>0</v>
      </c>
      <c r="U42" s="296">
        <f>SUMIFS('3)Target &amp; Cal_Staff'!U$4:U$164,'3)Target &amp; Cal_Staff'!$B$4:$B$164,'3)Target &amp; Cal_Sect'!$B42,'3)Target &amp; Cal_Staff'!$A$4:$A$164,'3)Target &amp; Cal_Sect'!$C42)</f>
        <v>0</v>
      </c>
      <c r="V42" s="296">
        <f>SUMIFS('3)Target &amp; Cal_Staff'!V$4:V$164,'3)Target &amp; Cal_Staff'!$B$4:$B$164,'3)Target &amp; Cal_Sect'!$B42,'3)Target &amp; Cal_Staff'!$A$4:$A$164,'3)Target &amp; Cal_Sect'!$C42)</f>
        <v>0</v>
      </c>
      <c r="W42" s="296">
        <f>SUMIFS('3)Target &amp; Cal_Staff'!W$4:W$164,'3)Target &amp; Cal_Staff'!$B$4:$B$164,'3)Target &amp; Cal_Sect'!$B42,'3)Target &amp; Cal_Staff'!$A$4:$A$164,'3)Target &amp; Cal_Sect'!$C42)</f>
        <v>0</v>
      </c>
      <c r="X42" s="296">
        <f>SUMIFS('3)Target &amp; Cal_Staff'!X$4:X$164,'3)Target &amp; Cal_Staff'!$B$4:$B$164,'3)Target &amp; Cal_Sect'!$B42,'3)Target &amp; Cal_Staff'!$A$4:$A$164,'3)Target &amp; Cal_Sect'!$C42)</f>
        <v>0</v>
      </c>
      <c r="Y42" s="296">
        <f>SUMIFS('3)Target &amp; Cal_Staff'!Y$4:Y$164,'3)Target &amp; Cal_Staff'!$B$4:$B$164,'3)Target &amp; Cal_Sect'!$B42,'3)Target &amp; Cal_Staff'!$A$4:$A$164,'3)Target &amp; Cal_Sect'!$C42)</f>
        <v>0</v>
      </c>
      <c r="Z42" s="296">
        <f>SUMIFS('3)Target &amp; Cal_Staff'!Z$4:Z$164,'3)Target &amp; Cal_Staff'!$B$4:$B$164,'3)Target &amp; Cal_Sect'!$B42,'3)Target &amp; Cal_Staff'!$A$4:$A$164,'3)Target &amp; Cal_Sect'!$C42)</f>
        <v>0</v>
      </c>
      <c r="AA42" s="296">
        <f>SUMIFS('3)Target &amp; Cal_Staff'!AA$4:AA$164,'3)Target &amp; Cal_Staff'!$B$4:$B$164,'3)Target &amp; Cal_Sect'!$B42,'3)Target &amp; Cal_Staff'!$A$4:$A$164,'3)Target &amp; Cal_Sect'!$C42)</f>
        <v>0</v>
      </c>
      <c r="AB42" s="297">
        <f>IFERROR(IF(VLOOKUP($B42,Shortage!$A:$M,AB$2,FALSE)="Shortage",1,IFERROR(ROUND(P42/D42,4),0)),IFERROR(ROUND(P42/D42,4),0))</f>
        <v>1.5074000000000001</v>
      </c>
      <c r="AC42" s="297">
        <f>IFERROR(IF(VLOOKUP($B42,Shortage!$A:$M,AC$2,FALSE)="Shortage",1,IFERROR(ROUND(Q42/E42,4),0)),IFERROR(ROUND(Q42/E42,4),0))</f>
        <v>0</v>
      </c>
      <c r="AD42" s="297">
        <f>IFERROR(IF(VLOOKUP($B42,Shortage!$A:$M,AD$2,FALSE)="Shortage",1,IFERROR(ROUND(R42/F42,4),0)),IFERROR(ROUND(R42/F42,4),0))</f>
        <v>0</v>
      </c>
      <c r="AE42" s="297">
        <f>IFERROR(IF(VLOOKUP($B42,Shortage!$A:$M,AE$2,FALSE)="Shortage",1,IFERROR(ROUND(S42/G42,4),0)),IFERROR(ROUND(S42/G42,4),0))</f>
        <v>0</v>
      </c>
      <c r="AF42" s="297">
        <f>IFERROR(IF(VLOOKUP($B42,Shortage!$A:$M,AF$2,FALSE)="Shortage",1,IFERROR(ROUND(T42/H42,4),0)),IFERROR(ROUND(T42/H42,4),0))</f>
        <v>0</v>
      </c>
      <c r="AG42" s="297">
        <f>IFERROR(IF(VLOOKUP($B42,Shortage!$A:$M,AG$2,FALSE)="Shortage",1,IFERROR(ROUND(U42/I42,4),0)),IFERROR(ROUND(U42/I42,4),0))</f>
        <v>0</v>
      </c>
      <c r="AH42" s="297">
        <f>IFERROR(IF(VLOOKUP($B42,Shortage!$A:$M,AH$2,FALSE)="Shortage",1,IFERROR(ROUND(V42/J42,4),0)),IFERROR(ROUND(V42/J42,4),0))</f>
        <v>0</v>
      </c>
      <c r="AI42" s="297">
        <f>IFERROR(IF(VLOOKUP($B42,Shortage!$A:$M,AI$2,FALSE)="Shortage",1,IFERROR(ROUND(W42/K42,4),0)),IFERROR(ROUND(W42/K42,4),0))</f>
        <v>0</v>
      </c>
      <c r="AJ42" s="297">
        <f>IFERROR(IF(VLOOKUP($B42,Shortage!$A:$M,AJ$2,FALSE)="Shortage",1,IFERROR(ROUND(X42/L42,4),0)),IFERROR(ROUND(X42/L42,4),0))</f>
        <v>0</v>
      </c>
      <c r="AK42" s="297">
        <f>IFERROR(IF(VLOOKUP($B42,Shortage!$A:$M,AK$2,FALSE)="Shortage",1,IFERROR(ROUND(Y42/M42,4),0)),IFERROR(ROUND(Y42/M42,4),0))</f>
        <v>0</v>
      </c>
      <c r="AL42" s="297">
        <f>IFERROR(IF(VLOOKUP($B42,Shortage!$A:$M,AL$2,FALSE)="Shortage",1,IFERROR(ROUND(Z42/N42,4),0)),IFERROR(ROUND(Z42/N42,4),0))</f>
        <v>0</v>
      </c>
      <c r="AM42" s="297">
        <f>IFERROR(IF(VLOOKUP($B42,Shortage!$A:$M,AM$2,FALSE)="Shortage",1,IFERROR(ROUND(AA42/O42,4),0)),IFERROR(ROUND(AA42/O42,4),0))</f>
        <v>0</v>
      </c>
      <c r="AN42" s="298">
        <f>IFERROR(_xlfn.XLOOKUP(AB42,'2) หลักการคำนวน Table'!$C$3:$K$3,'2) หลักการคำนวน Table'!$C$3:$K$3,,1),INDEX('2) หลักการคำนวน Table'!$C$3:$K$3,1))</f>
        <v>20</v>
      </c>
      <c r="AO42" s="298">
        <f>IFERROR(
  _xlfn.XLOOKUP(AC42,'2) หลักการคำนวน Table'!$C$3:$K$3,'2) หลักการคำนวน Table'!$C$3:$K$3,,1),
  IF(AC42&lt;MIN('2) หลักการคำนวน Table'!$C$3:$K$3),
     MIN('2) หลักการคำนวน Table'!$C$3:$K$3),
     MAX('2) หลักการคำนวน Table'!$C$3:$K$3)
  )
)</f>
        <v>0.9</v>
      </c>
      <c r="AP42" s="298">
        <f>IFERROR(
  _xlfn.XLOOKUP(AD42,'2) หลักการคำนวน Table'!$C$3:$K$3,'2) หลักการคำนวน Table'!$C$3:$K$3,,1),
  IF(AD42&lt;MIN('2) หลักการคำนวน Table'!$C$3:$K$3),
     MIN('2) หลักการคำนวน Table'!$C$3:$K$3),
     MAX('2) หลักการคำนวน Table'!$C$3:$K$3)
  )
)</f>
        <v>0.9</v>
      </c>
      <c r="AQ42" s="298">
        <f>IFERROR(
  _xlfn.XLOOKUP(AE42,'2) หลักการคำนวน Table'!$C$3:$K$3,'2) หลักการคำนวน Table'!$C$3:$K$3,,1),
  IF(AE42&lt;MIN('2) หลักการคำนวน Table'!$C$3:$K$3),
     MIN('2) หลักการคำนวน Table'!$C$3:$K$3),
     MAX('2) หลักการคำนวน Table'!$C$3:$K$3)
  )
)</f>
        <v>0.9</v>
      </c>
      <c r="AR42" s="298">
        <f>IFERROR(
  _xlfn.XLOOKUP(AF42,'2) หลักการคำนวน Table'!$C$3:$K$3,'2) หลักการคำนวน Table'!$C$3:$K$3,,1),
  IF(AF42&lt;MIN('2) หลักการคำนวน Table'!$C$3:$K$3),
     MIN('2) หลักการคำนวน Table'!$C$3:$K$3),
     MAX('2) หลักการคำนวน Table'!$C$3:$K$3)
  )
)</f>
        <v>0.9</v>
      </c>
      <c r="AS42" s="298">
        <f>IFERROR(
  _xlfn.XLOOKUP(AG42,'2) หลักการคำนวน Table'!$C$3:$K$3,'2) หลักการคำนวน Table'!$C$3:$K$3,,1),
  IF(AG42&lt;MIN('2) หลักการคำนวน Table'!$C$3:$K$3),
     MIN('2) หลักการคำนวน Table'!$C$3:$K$3),
     MAX('2) หลักการคำนวน Table'!$C$3:$K$3)
  )
)</f>
        <v>0.9</v>
      </c>
      <c r="AT42" s="298">
        <f>IFERROR(
  _xlfn.XLOOKUP(AH42,'2) หลักการคำนวน Table'!$C$3:$K$3,'2) หลักการคำนวน Table'!$C$3:$K$3,,1),
  IF(AH42&lt;MIN('2) หลักการคำนวน Table'!$C$3:$K$3),
     MIN('2) หลักการคำนวน Table'!$C$3:$K$3),
     MAX('2) หลักการคำนวน Table'!$C$3:$K$3)
  )
)</f>
        <v>0.9</v>
      </c>
      <c r="AU42" s="298">
        <f>IFERROR(
  _xlfn.XLOOKUP(AI42,'2) หลักการคำนวน Table'!$C$3:$K$3,'2) หลักการคำนวน Table'!$C$3:$K$3,,1),
  IF(AI42&lt;MIN('2) หลักการคำนวน Table'!$C$3:$K$3),
     MIN('2) หลักการคำนวน Table'!$C$3:$K$3),
     MAX('2) หลักการคำนวน Table'!$C$3:$K$3)
  )
)</f>
        <v>0.9</v>
      </c>
      <c r="AV42" s="298">
        <f>IFERROR(
  _xlfn.XLOOKUP(AJ42,'2) หลักการคำนวน Table'!$C$3:$K$3,'2) หลักการคำนวน Table'!$C$3:$K$3,,1),
  IF(AJ42&lt;MIN('2) หลักการคำนวน Table'!$C$3:$K$3),
     MIN('2) หลักการคำนวน Table'!$C$3:$K$3),
     MAX('2) หลักการคำนวน Table'!$C$3:$K$3)
  )
)</f>
        <v>0.9</v>
      </c>
      <c r="AW42" s="298">
        <f>IFERROR(
  _xlfn.XLOOKUP(AK42,'2) หลักการคำนวน Table'!$C$3:$K$3,'2) หลักการคำนวน Table'!$C$3:$K$3,,1),
  IF(AK42&lt;MIN('2) หลักการคำนวน Table'!$C$3:$K$3),
     MIN('2) หลักการคำนวน Table'!$C$3:$K$3),
     MAX('2) หลักการคำนวน Table'!$C$3:$K$3)
  )
)</f>
        <v>0.9</v>
      </c>
      <c r="AX42" s="298">
        <f>IFERROR(
  _xlfn.XLOOKUP(AL42,'2) หลักการคำนวน Table'!$C$3:$K$3,'2) หลักการคำนวน Table'!$C$3:$K$3,,1),
  IF(AL42&lt;MIN('2) หลักการคำนวน Table'!$C$3:$K$3),
     MIN('2) หลักการคำนวน Table'!$C$3:$K$3),
     MAX('2) หลักการคำนวน Table'!$C$3:$K$3)
  )
)</f>
        <v>0.9</v>
      </c>
      <c r="AY42" s="298">
        <f>IFERROR(
  _xlfn.XLOOKUP(AM42,'2) หลักการคำนวน Table'!$C$3:$K$3,'2) หลักการคำนวน Table'!$C$3:$K$3,,1),
  IF(AM42&lt;MIN('2) หลักการคำนวน Table'!$C$3:$K$3),
     MIN('2) หลักการคำนวน Table'!$C$3:$K$3),
     MAX('2) หลักการคำนวน Table'!$C$3:$K$3)
  )
)</f>
        <v>0.9</v>
      </c>
      <c r="AZ42" s="299" t="e" cm="1">
        <f t="array" ref="AZ42">(_xlfn.XLOOKUP($C42,'2) หลักการคำนวน Table'!$A$4:$A$36,
_xlfn.XLOOKUP(AN42,'2)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</f>
        <v>#N/A</v>
      </c>
      <c r="BA42" s="299" t="e" cm="1">
        <f t="array" ref="BA42">(_xlfn.XLOOKUP($C42,'2) หลักการคำนวน Table'!$A$4:$A$36,
_xlfn.XLOOKUP(AO42,'2)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</f>
        <v>#N/A</v>
      </c>
      <c r="BB42" s="299" t="e" cm="1">
        <f t="array" ref="BB42">(_xlfn.XLOOKUP($C42,'2) หลักการคำนวน Table'!$A$4:$A$36,
_xlfn.XLOOKUP(AP42,'2)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</f>
        <v>#N/A</v>
      </c>
      <c r="BC42" s="299" t="e" cm="1">
        <f t="array" ref="BC42">(_xlfn.XLOOKUP($C42,'2) หลักการคำนวน Table'!$A$4:$A$36,
_xlfn.XLOOKUP(AQ42,'2)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</f>
        <v>#N/A</v>
      </c>
      <c r="BD42" s="299" t="e" cm="1">
        <f t="array" ref="BD42">(_xlfn.XLOOKUP($C42,'2) หลักการคำนวน Table'!$A$4:$A$36,
_xlfn.XLOOKUP(AR42,'2)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</f>
        <v>#N/A</v>
      </c>
      <c r="BE42" s="299" t="e" cm="1">
        <f t="array" ref="BE42">(_xlfn.XLOOKUP($C42,'2) หลักการคำนวน Table'!$A$4:$A$36,
_xlfn.XLOOKUP(AS42,'2)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</f>
        <v>#N/A</v>
      </c>
      <c r="BF42" s="299" t="e" cm="1">
        <f t="array" ref="BF42">(_xlfn.XLOOKUP($C42,'2) หลักการคำนวน Table'!$A$4:$A$36,
_xlfn.XLOOKUP(AT42,'2)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</f>
        <v>#N/A</v>
      </c>
      <c r="BG42" s="299" t="e" cm="1">
        <f t="array" ref="BG42">(_xlfn.XLOOKUP($C42,'2) หลักการคำนวน Table'!$A$4:$A$36,
_xlfn.XLOOKUP(AU42,'2)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</f>
        <v>#N/A</v>
      </c>
      <c r="BH42" s="299" t="e" cm="1">
        <f t="array" ref="BH42">ROUND((_xlfn.XLOOKUP($C42,'2) หลักการคำนวน Table'!$A$4:$A$36,
_xlfn.XLOOKUP(AV42,'2)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I42" s="299" t="e" cm="1">
        <f t="array" ref="BI42">ROUND((_xlfn.XLOOKUP($C42,'2) หลักการคำนวน Table'!$A$4:$A$36,
_xlfn.XLOOKUP(AW42,'2)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J42" s="299" t="e" cm="1">
        <f t="array" ref="BJ42">ROUND((_xlfn.XLOOKUP($C42,'2) หลักการคำนวน Table'!$A$4:$A$36,
_xlfn.XLOOKUP(AX42,'2)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K42" s="299" t="e" cm="1">
        <f t="array" ref="BK42">ROUND((_xlfn.XLOOKUP($C42,'2) หลักการคำนวน Table'!$A$4:$A$36,
_xlfn.XLOOKUP(AY42,'2) หลักการคำนวน Table'!$C$3:$K$3,'2) หลักการคำนวน Table'!$C$4:$K$36,,-1)))*(_xlfn.XLOOKUP($C42,'2) หลักการคำนวน Table'!$A$4:$A$36, _xlfn.XLOOKUP($B42,'2) หลักการคำนวน Table'!$L$3:$Z$3,'2) หลักการคำนวน Table'!$L$4:$Z$36))),0)</f>
        <v>#N/A</v>
      </c>
      <c r="BL42" s="295"/>
      <c r="BM42" s="295">
        <v>222237</v>
      </c>
      <c r="BN42" s="300">
        <v>262.62626262626259</v>
      </c>
    </row>
    <row r="43" spans="1:66" ht="13.2" customHeight="1" x14ac:dyDescent="0.25">
      <c r="A43" s="322">
        <f>VLOOKUP(C43,ASTBase!F:S,12,FALSE)</f>
        <v>222223</v>
      </c>
      <c r="B43" s="295" t="s">
        <v>414</v>
      </c>
      <c r="C43" s="322">
        <v>222237</v>
      </c>
      <c r="D43" s="296">
        <f>SUMIFS('3)Target &amp; Cal_Staff'!D$4:D$164,'3)Target &amp; Cal_Staff'!$B$4:$B$164,'3)Target &amp; Cal_Sect'!$B43,'3)Target &amp; Cal_Staff'!$A$4:$A$164,'3)Target &amp; Cal_Sect'!$C43)</f>
        <v>40000</v>
      </c>
      <c r="E43" s="296">
        <f>SUMIFS('3)Target &amp; Cal_Staff'!E$4:E$164,'3)Target &amp; Cal_Staff'!$B$4:$B$164,'3)Target &amp; Cal_Sect'!$B43,'3)Target &amp; Cal_Staff'!$A$4:$A$164,'3)Target &amp; Cal_Sect'!$C43)</f>
        <v>38000</v>
      </c>
      <c r="F43" s="296">
        <f>SUMIFS('3)Target &amp; Cal_Staff'!F$4:F$164,'3)Target &amp; Cal_Staff'!$B$4:$B$164,'3)Target &amp; Cal_Sect'!$B43,'3)Target &amp; Cal_Staff'!$A$4:$A$164,'3)Target &amp; Cal_Sect'!$C43)</f>
        <v>105000</v>
      </c>
      <c r="G43" s="296">
        <f>SUMIFS('3)Target &amp; Cal_Staff'!G$4:G$164,'3)Target &amp; Cal_Staff'!$B$4:$B$164,'3)Target &amp; Cal_Sect'!$B43,'3)Target &amp; Cal_Staff'!$A$4:$A$164,'3)Target &amp; Cal_Sect'!$C43)</f>
        <v>55000</v>
      </c>
      <c r="H43" s="296">
        <f>SUMIFS('3)Target &amp; Cal_Staff'!H$4:H$164,'3)Target &amp; Cal_Staff'!$B$4:$B$164,'3)Target &amp; Cal_Sect'!$B43,'3)Target &amp; Cal_Staff'!$A$4:$A$164,'3)Target &amp; Cal_Sect'!$C43)</f>
        <v>41000</v>
      </c>
      <c r="I43" s="296">
        <f>SUMIFS('3)Target &amp; Cal_Staff'!I$4:I$164,'3)Target &amp; Cal_Staff'!$B$4:$B$164,'3)Target &amp; Cal_Sect'!$B43,'3)Target &amp; Cal_Staff'!$A$4:$A$164,'3)Target &amp; Cal_Sect'!$C43)</f>
        <v>41500</v>
      </c>
      <c r="J43" s="296">
        <f>SUMIFS('3)Target &amp; Cal_Staff'!J$4:J$164,'3)Target &amp; Cal_Staff'!$B$4:$B$164,'3)Target &amp; Cal_Sect'!$B43,'3)Target &amp; Cal_Staff'!$A$4:$A$164,'3)Target &amp; Cal_Sect'!$C43)</f>
        <v>47500</v>
      </c>
      <c r="K43" s="296">
        <f>SUMIFS('3)Target &amp; Cal_Staff'!K$4:K$164,'3)Target &amp; Cal_Staff'!$B$4:$B$164,'3)Target &amp; Cal_Sect'!$B43,'3)Target &amp; Cal_Staff'!$A$4:$A$164,'3)Target &amp; Cal_Sect'!$C43)</f>
        <v>33000</v>
      </c>
      <c r="L43" s="296">
        <f>SUMIFS('3)Target &amp; Cal_Staff'!L$4:L$164,'3)Target &amp; Cal_Staff'!$B$4:$B$164,'3)Target &amp; Cal_Sect'!$B43,'3)Target &amp; Cal_Staff'!$A$4:$A$164,'3)Target &amp; Cal_Sect'!$C43)</f>
        <v>34500</v>
      </c>
      <c r="M43" s="296">
        <f>SUMIFS('3)Target &amp; Cal_Staff'!M$4:M$164,'3)Target &amp; Cal_Staff'!$B$4:$B$164,'3)Target &amp; Cal_Sect'!$B43,'3)Target &amp; Cal_Staff'!$A$4:$A$164,'3)Target &amp; Cal_Sect'!$C43)</f>
        <v>44500</v>
      </c>
      <c r="N43" s="296">
        <f>SUMIFS('3)Target &amp; Cal_Staff'!N$4:N$164,'3)Target &amp; Cal_Staff'!$B$4:$B$164,'3)Target &amp; Cal_Sect'!$B43,'3)Target &amp; Cal_Staff'!$A$4:$A$164,'3)Target &amp; Cal_Sect'!$C43)</f>
        <v>33000</v>
      </c>
      <c r="O43" s="296">
        <f>SUMIFS('3)Target &amp; Cal_Staff'!O$4:O$164,'3)Target &amp; Cal_Staff'!$B$4:$B$164,'3)Target &amp; Cal_Sect'!$B43,'3)Target &amp; Cal_Staff'!$A$4:$A$164,'3)Target &amp; Cal_Sect'!$C43)</f>
        <v>107000</v>
      </c>
      <c r="P43" s="296">
        <f>SUMIFS('3)Target &amp; Cal_Staff'!P$4:P$164,'3)Target &amp; Cal_Staff'!$B$4:$B$164,'3)Target &amp; Cal_Sect'!$B43,'3)Target &amp; Cal_Staff'!$A$4:$A$164,'3)Target &amp; Cal_Sect'!$C43)</f>
        <v>53168.399999999972</v>
      </c>
      <c r="Q43" s="296">
        <f>SUMIFS('3)Target &amp; Cal_Staff'!Q$4:Q$164,'3)Target &amp; Cal_Staff'!$B$4:$B$164,'3)Target &amp; Cal_Sect'!$B43,'3)Target &amp; Cal_Staff'!$A$4:$A$164,'3)Target &amp; Cal_Sect'!$C43)</f>
        <v>0</v>
      </c>
      <c r="R43" s="296">
        <f>SUMIFS('3)Target &amp; Cal_Staff'!R$4:R$164,'3)Target &amp; Cal_Staff'!$B$4:$B$164,'3)Target &amp; Cal_Sect'!$B43,'3)Target &amp; Cal_Staff'!$A$4:$A$164,'3)Target &amp; Cal_Sect'!$C43)</f>
        <v>0</v>
      </c>
      <c r="S43" s="296">
        <f>SUMIFS('3)Target &amp; Cal_Staff'!S$4:S$164,'3)Target &amp; Cal_Staff'!$B$4:$B$164,'3)Target &amp; Cal_Sect'!$B43,'3)Target &amp; Cal_Staff'!$A$4:$A$164,'3)Target &amp; Cal_Sect'!$C43)</f>
        <v>0</v>
      </c>
      <c r="T43" s="296">
        <f>SUMIFS('3)Target &amp; Cal_Staff'!T$4:T$164,'3)Target &amp; Cal_Staff'!$B$4:$B$164,'3)Target &amp; Cal_Sect'!$B43,'3)Target &amp; Cal_Staff'!$A$4:$A$164,'3)Target &amp; Cal_Sect'!$C43)</f>
        <v>0</v>
      </c>
      <c r="U43" s="296">
        <f>SUMIFS('3)Target &amp; Cal_Staff'!U$4:U$164,'3)Target &amp; Cal_Staff'!$B$4:$B$164,'3)Target &amp; Cal_Sect'!$B43,'3)Target &amp; Cal_Staff'!$A$4:$A$164,'3)Target &amp; Cal_Sect'!$C43)</f>
        <v>0</v>
      </c>
      <c r="V43" s="296">
        <f>SUMIFS('3)Target &amp; Cal_Staff'!V$4:V$164,'3)Target &amp; Cal_Staff'!$B$4:$B$164,'3)Target &amp; Cal_Sect'!$B43,'3)Target &amp; Cal_Staff'!$A$4:$A$164,'3)Target &amp; Cal_Sect'!$C43)</f>
        <v>0</v>
      </c>
      <c r="W43" s="296">
        <f>SUMIFS('3)Target &amp; Cal_Staff'!W$4:W$164,'3)Target &amp; Cal_Staff'!$B$4:$B$164,'3)Target &amp; Cal_Sect'!$B43,'3)Target &amp; Cal_Staff'!$A$4:$A$164,'3)Target &amp; Cal_Sect'!$C43)</f>
        <v>0</v>
      </c>
      <c r="X43" s="296">
        <f>SUMIFS('3)Target &amp; Cal_Staff'!X$4:X$164,'3)Target &amp; Cal_Staff'!$B$4:$B$164,'3)Target &amp; Cal_Sect'!$B43,'3)Target &amp; Cal_Staff'!$A$4:$A$164,'3)Target &amp; Cal_Sect'!$C43)</f>
        <v>0</v>
      </c>
      <c r="Y43" s="296">
        <f>SUMIFS('3)Target &amp; Cal_Staff'!Y$4:Y$164,'3)Target &amp; Cal_Staff'!$B$4:$B$164,'3)Target &amp; Cal_Sect'!$B43,'3)Target &amp; Cal_Staff'!$A$4:$A$164,'3)Target &amp; Cal_Sect'!$C43)</f>
        <v>0</v>
      </c>
      <c r="Z43" s="296">
        <f>SUMIFS('3)Target &amp; Cal_Staff'!Z$4:Z$164,'3)Target &amp; Cal_Staff'!$B$4:$B$164,'3)Target &amp; Cal_Sect'!$B43,'3)Target &amp; Cal_Staff'!$A$4:$A$164,'3)Target &amp; Cal_Sect'!$C43)</f>
        <v>0</v>
      </c>
      <c r="AA43" s="296">
        <f>SUMIFS('3)Target &amp; Cal_Staff'!AA$4:AA$164,'3)Target &amp; Cal_Staff'!$B$4:$B$164,'3)Target &amp; Cal_Sect'!$B43,'3)Target &amp; Cal_Staff'!$A$4:$A$164,'3)Target &amp; Cal_Sect'!$C43)</f>
        <v>0</v>
      </c>
      <c r="AB43" s="297">
        <f>IFERROR(IF(VLOOKUP($B43,Shortage!$A:$M,AB$2,FALSE)="Shortage",1,IFERROR(ROUND(P43/D43,4),0)),IFERROR(ROUND(P43/D43,4),0))</f>
        <v>1.3291999999999999</v>
      </c>
      <c r="AC43" s="297">
        <f>IFERROR(IF(VLOOKUP($B43,Shortage!$A:$M,AC$2,FALSE)="Shortage",1,IFERROR(ROUND(Q43/E43,4),0)),IFERROR(ROUND(Q43/E43,4),0))</f>
        <v>0</v>
      </c>
      <c r="AD43" s="297">
        <f>IFERROR(IF(VLOOKUP($B43,Shortage!$A:$M,AD$2,FALSE)="Shortage",1,IFERROR(ROUND(R43/F43,4),0)),IFERROR(ROUND(R43/F43,4),0))</f>
        <v>0</v>
      </c>
      <c r="AE43" s="297">
        <f>IFERROR(IF(VLOOKUP($B43,Shortage!$A:$M,AE$2,FALSE)="Shortage",1,IFERROR(ROUND(S43/G43,4),0)),IFERROR(ROUND(S43/G43,4),0))</f>
        <v>0</v>
      </c>
      <c r="AF43" s="297">
        <f>IFERROR(IF(VLOOKUP($B43,Shortage!$A:$M,AF$2,FALSE)="Shortage",1,IFERROR(ROUND(T43/H43,4),0)),IFERROR(ROUND(T43/H43,4),0))</f>
        <v>0</v>
      </c>
      <c r="AG43" s="297">
        <f>IFERROR(IF(VLOOKUP($B43,Shortage!$A:$M,AG$2,FALSE)="Shortage",1,IFERROR(ROUND(U43/I43,4),0)),IFERROR(ROUND(U43/I43,4),0))</f>
        <v>0</v>
      </c>
      <c r="AH43" s="297">
        <f>IFERROR(IF(VLOOKUP($B43,Shortage!$A:$M,AH$2,FALSE)="Shortage",1,IFERROR(ROUND(V43/J43,4),0)),IFERROR(ROUND(V43/J43,4),0))</f>
        <v>0</v>
      </c>
      <c r="AI43" s="297">
        <f>IFERROR(IF(VLOOKUP($B43,Shortage!$A:$M,AI$2,FALSE)="Shortage",1,IFERROR(ROUND(W43/K43,4),0)),IFERROR(ROUND(W43/K43,4),0))</f>
        <v>0</v>
      </c>
      <c r="AJ43" s="297">
        <f>IFERROR(IF(VLOOKUP($B43,Shortage!$A:$M,AJ$2,FALSE)="Shortage",1,IFERROR(ROUND(X43/L43,4),0)),IFERROR(ROUND(X43/L43,4),0))</f>
        <v>0</v>
      </c>
      <c r="AK43" s="297">
        <f>IFERROR(IF(VLOOKUP($B43,Shortage!$A:$M,AK$2,FALSE)="Shortage",1,IFERROR(ROUND(Y43/M43,4),0)),IFERROR(ROUND(Y43/M43,4),0))</f>
        <v>0</v>
      </c>
      <c r="AL43" s="297">
        <f>IFERROR(IF(VLOOKUP($B43,Shortage!$A:$M,AL$2,FALSE)="Shortage",1,IFERROR(ROUND(Z43/N43,4),0)),IFERROR(ROUND(Z43/N43,4),0))</f>
        <v>0</v>
      </c>
      <c r="AM43" s="297">
        <f>IFERROR(IF(VLOOKUP($B43,Shortage!$A:$M,AM$2,FALSE)="Shortage",1,IFERROR(ROUND(AA43/O43,4),0)),IFERROR(ROUND(AA43/O43,4),0))</f>
        <v>0</v>
      </c>
      <c r="AN43" s="298">
        <f>IFERROR(_xlfn.XLOOKUP(AB43,'2) หลักการคำนวน Table'!$C$3:$K$3,'2) หลักการคำนวน Table'!$C$3:$K$3,,1),INDEX('2) หลักการคำนวน Table'!$C$3:$K$3,1))</f>
        <v>20</v>
      </c>
      <c r="AO43" s="298">
        <f>IFERROR(
  _xlfn.XLOOKUP(AC43,'2) หลักการคำนวน Table'!$C$3:$K$3,'2) หลักการคำนวน Table'!$C$3:$K$3,,1),
  IF(AC43&lt;MIN('2) หลักการคำนวน Table'!$C$3:$K$3),
     MIN('2) หลักการคำนวน Table'!$C$3:$K$3),
     MAX('2) หลักการคำนวน Table'!$C$3:$K$3)
  )
)</f>
        <v>0.9</v>
      </c>
      <c r="AP43" s="298">
        <f>IFERROR(
  _xlfn.XLOOKUP(AD43,'2) หลักการคำนวน Table'!$C$3:$K$3,'2) หลักการคำนวน Table'!$C$3:$K$3,,1),
  IF(AD43&lt;MIN('2) หลักการคำนวน Table'!$C$3:$K$3),
     MIN('2) หลักการคำนวน Table'!$C$3:$K$3),
     MAX('2) หลักการคำนวน Table'!$C$3:$K$3)
  )
)</f>
        <v>0.9</v>
      </c>
      <c r="AQ43" s="298">
        <f>IFERROR(
  _xlfn.XLOOKUP(AE43,'2) หลักการคำนวน Table'!$C$3:$K$3,'2) หลักการคำนวน Table'!$C$3:$K$3,,1),
  IF(AE43&lt;MIN('2) หลักการคำนวน Table'!$C$3:$K$3),
     MIN('2) หลักการคำนวน Table'!$C$3:$K$3),
     MAX('2) หลักการคำนวน Table'!$C$3:$K$3)
  )
)</f>
        <v>0.9</v>
      </c>
      <c r="AR43" s="298">
        <f>IFERROR(
  _xlfn.XLOOKUP(AF43,'2) หลักการคำนวน Table'!$C$3:$K$3,'2) หลักการคำนวน Table'!$C$3:$K$3,,1),
  IF(AF43&lt;MIN('2) หลักการคำนวน Table'!$C$3:$K$3),
     MIN('2) หลักการคำนวน Table'!$C$3:$K$3),
     MAX('2) หลักการคำนวน Table'!$C$3:$K$3)
  )
)</f>
        <v>0.9</v>
      </c>
      <c r="AS43" s="298">
        <f>IFERROR(
  _xlfn.XLOOKUP(AG43,'2) หลักการคำนวน Table'!$C$3:$K$3,'2) หลักการคำนวน Table'!$C$3:$K$3,,1),
  IF(AG43&lt;MIN('2) หลักการคำนวน Table'!$C$3:$K$3),
     MIN('2) หลักการคำนวน Table'!$C$3:$K$3),
     MAX('2) หลักการคำนวน Table'!$C$3:$K$3)
  )
)</f>
        <v>0.9</v>
      </c>
      <c r="AT43" s="298">
        <f>IFERROR(
  _xlfn.XLOOKUP(AH43,'2) หลักการคำนวน Table'!$C$3:$K$3,'2) หลักการคำนวน Table'!$C$3:$K$3,,1),
  IF(AH43&lt;MIN('2) หลักการคำนวน Table'!$C$3:$K$3),
     MIN('2) หลักการคำนวน Table'!$C$3:$K$3),
     MAX('2) หลักการคำนวน Table'!$C$3:$K$3)
  )
)</f>
        <v>0.9</v>
      </c>
      <c r="AU43" s="298">
        <f>IFERROR(
  _xlfn.XLOOKUP(AI43,'2) หลักการคำนวน Table'!$C$3:$K$3,'2) หลักการคำนวน Table'!$C$3:$K$3,,1),
  IF(AI43&lt;MIN('2) หลักการคำนวน Table'!$C$3:$K$3),
     MIN('2) หลักการคำนวน Table'!$C$3:$K$3),
     MAX('2) หลักการคำนวน Table'!$C$3:$K$3)
  )
)</f>
        <v>0.9</v>
      </c>
      <c r="AV43" s="298">
        <f>IFERROR(
  _xlfn.XLOOKUP(AJ43,'2) หลักการคำนวน Table'!$C$3:$K$3,'2) หลักการคำนวน Table'!$C$3:$K$3,,1),
  IF(AJ43&lt;MIN('2) หลักการคำนวน Table'!$C$3:$K$3),
     MIN('2) หลักการคำนวน Table'!$C$3:$K$3),
     MAX('2) หลักการคำนวน Table'!$C$3:$K$3)
  )
)</f>
        <v>0.9</v>
      </c>
      <c r="AW43" s="298">
        <f>IFERROR(
  _xlfn.XLOOKUP(AK43,'2) หลักการคำนวน Table'!$C$3:$K$3,'2) หลักการคำนวน Table'!$C$3:$K$3,,1),
  IF(AK43&lt;MIN('2) หลักการคำนวน Table'!$C$3:$K$3),
     MIN('2) หลักการคำนวน Table'!$C$3:$K$3),
     MAX('2) หลักการคำนวน Table'!$C$3:$K$3)
  )
)</f>
        <v>0.9</v>
      </c>
      <c r="AX43" s="298">
        <f>IFERROR(
  _xlfn.XLOOKUP(AL43,'2) หลักการคำนวน Table'!$C$3:$K$3,'2) หลักการคำนวน Table'!$C$3:$K$3,,1),
  IF(AL43&lt;MIN('2) หลักการคำนวน Table'!$C$3:$K$3),
     MIN('2) หลักการคำนวน Table'!$C$3:$K$3),
     MAX('2) หลักการคำนวน Table'!$C$3:$K$3)
  )
)</f>
        <v>0.9</v>
      </c>
      <c r="AY43" s="298">
        <f>IFERROR(
  _xlfn.XLOOKUP(AM43,'2) หลักการคำนวน Table'!$C$3:$K$3,'2) หลักการคำนวน Table'!$C$3:$K$3,,1),
  IF(AM43&lt;MIN('2) หลักการคำนวน Table'!$C$3:$K$3),
     MIN('2) หลักการคำนวน Table'!$C$3:$K$3),
     MAX('2) หลักการคำนวน Table'!$C$3:$K$3)
  )
)</f>
        <v>0.9</v>
      </c>
      <c r="AZ43" s="299" t="e" cm="1">
        <f t="array" ref="AZ43">(_xlfn.XLOOKUP($C43,'2) หลักการคำนวน Table'!$A$4:$A$36,
_xlfn.XLOOKUP(AN43,'2)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</f>
        <v>#N/A</v>
      </c>
      <c r="BA43" s="299" t="e" cm="1">
        <f t="array" ref="BA43">(_xlfn.XLOOKUP($C43,'2) หลักการคำนวน Table'!$A$4:$A$36,
_xlfn.XLOOKUP(AO43,'2)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</f>
        <v>#N/A</v>
      </c>
      <c r="BB43" s="299" t="e" cm="1">
        <f t="array" ref="BB43">(_xlfn.XLOOKUP($C43,'2) หลักการคำนวน Table'!$A$4:$A$36,
_xlfn.XLOOKUP(AP43,'2)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</f>
        <v>#N/A</v>
      </c>
      <c r="BC43" s="299" t="e" cm="1">
        <f t="array" ref="BC43">(_xlfn.XLOOKUP($C43,'2) หลักการคำนวน Table'!$A$4:$A$36,
_xlfn.XLOOKUP(AQ43,'2)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</f>
        <v>#N/A</v>
      </c>
      <c r="BD43" s="299" t="e" cm="1">
        <f t="array" ref="BD43">(_xlfn.XLOOKUP($C43,'2) หลักการคำนวน Table'!$A$4:$A$36,
_xlfn.XLOOKUP(AR43,'2)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</f>
        <v>#N/A</v>
      </c>
      <c r="BE43" s="299" t="e" cm="1">
        <f t="array" ref="BE43">(_xlfn.XLOOKUP($C43,'2) หลักการคำนวน Table'!$A$4:$A$36,
_xlfn.XLOOKUP(AS43,'2)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</f>
        <v>#N/A</v>
      </c>
      <c r="BF43" s="299" t="e" cm="1">
        <f t="array" ref="BF43">(_xlfn.XLOOKUP($C43,'2) หลักการคำนวน Table'!$A$4:$A$36,
_xlfn.XLOOKUP(AT43,'2)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</f>
        <v>#N/A</v>
      </c>
      <c r="BG43" s="299" t="e" cm="1">
        <f t="array" ref="BG43">(_xlfn.XLOOKUP($C43,'2) หลักการคำนวน Table'!$A$4:$A$36,
_xlfn.XLOOKUP(AU43,'2)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</f>
        <v>#N/A</v>
      </c>
      <c r="BH43" s="299" t="e" cm="1">
        <f t="array" ref="BH43">ROUND((_xlfn.XLOOKUP($C43,'2) หลักการคำนวน Table'!$A$4:$A$36,
_xlfn.XLOOKUP(AV43,'2)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I43" s="299" t="e" cm="1">
        <f t="array" ref="BI43">ROUND((_xlfn.XLOOKUP($C43,'2) หลักการคำนวน Table'!$A$4:$A$36,
_xlfn.XLOOKUP(AW43,'2)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J43" s="299" t="e" cm="1">
        <f t="array" ref="BJ43">ROUND((_xlfn.XLOOKUP($C43,'2) หลักการคำนวน Table'!$A$4:$A$36,
_xlfn.XLOOKUP(AX43,'2)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K43" s="299" t="e" cm="1">
        <f t="array" ref="BK43">ROUND((_xlfn.XLOOKUP($C43,'2) หลักการคำนวน Table'!$A$4:$A$36,
_xlfn.XLOOKUP(AY43,'2) หลักการคำนวน Table'!$C$3:$K$3,'2) หลักการคำนวน Table'!$C$4:$K$36,,-1)))*(_xlfn.XLOOKUP($C43,'2) หลักการคำนวน Table'!$A$4:$A$36, _xlfn.XLOOKUP($B43,'2) หลักการคำนวน Table'!$L$3:$Z$3,'2) หลักการคำนวน Table'!$L$4:$Z$36))),0)</f>
        <v>#N/A</v>
      </c>
      <c r="BL43" s="295"/>
      <c r="BM43" s="295">
        <v>222237</v>
      </c>
      <c r="BN43" s="300">
        <v>262.62626262626259</v>
      </c>
    </row>
    <row r="44" spans="1:66" ht="13.2" customHeight="1" x14ac:dyDescent="0.25">
      <c r="A44" s="322">
        <f>VLOOKUP(C44,ASTBase!F:S,12,FALSE)</f>
        <v>222223</v>
      </c>
      <c r="B44" s="295" t="s">
        <v>412</v>
      </c>
      <c r="C44" s="322">
        <v>222237</v>
      </c>
      <c r="D44" s="296">
        <f>SUMIFS('3)Target &amp; Cal_Staff'!D$4:D$164,'3)Target &amp; Cal_Staff'!$B$4:$B$164,'3)Target &amp; Cal_Sect'!$B44,'3)Target &amp; Cal_Staff'!$A$4:$A$164,'3)Target &amp; Cal_Sect'!$C44)</f>
        <v>305000</v>
      </c>
      <c r="E44" s="296">
        <f>SUMIFS('3)Target &amp; Cal_Staff'!E$4:E$164,'3)Target &amp; Cal_Staff'!$B$4:$B$164,'3)Target &amp; Cal_Sect'!$B44,'3)Target &amp; Cal_Staff'!$A$4:$A$164,'3)Target &amp; Cal_Sect'!$C44)</f>
        <v>285000</v>
      </c>
      <c r="F44" s="296">
        <f>SUMIFS('3)Target &amp; Cal_Staff'!F$4:F$164,'3)Target &amp; Cal_Staff'!$B$4:$B$164,'3)Target &amp; Cal_Sect'!$B44,'3)Target &amp; Cal_Staff'!$A$4:$A$164,'3)Target &amp; Cal_Sect'!$C44)</f>
        <v>500000</v>
      </c>
      <c r="G44" s="296">
        <f>SUMIFS('3)Target &amp; Cal_Staff'!G$4:G$164,'3)Target &amp; Cal_Staff'!$B$4:$B$164,'3)Target &amp; Cal_Sect'!$B44,'3)Target &amp; Cal_Staff'!$A$4:$A$164,'3)Target &amp; Cal_Sect'!$C44)</f>
        <v>295000</v>
      </c>
      <c r="H44" s="296">
        <f>SUMIFS('3)Target &amp; Cal_Staff'!H$4:H$164,'3)Target &amp; Cal_Staff'!$B$4:$B$164,'3)Target &amp; Cal_Sect'!$B44,'3)Target &amp; Cal_Staff'!$A$4:$A$164,'3)Target &amp; Cal_Sect'!$C44)</f>
        <v>277000</v>
      </c>
      <c r="I44" s="296">
        <f>SUMIFS('3)Target &amp; Cal_Staff'!I$4:I$164,'3)Target &amp; Cal_Staff'!$B$4:$B$164,'3)Target &amp; Cal_Sect'!$B44,'3)Target &amp; Cal_Staff'!$A$4:$A$164,'3)Target &amp; Cal_Sect'!$C44)</f>
        <v>280000</v>
      </c>
      <c r="J44" s="296">
        <f>SUMIFS('3)Target &amp; Cal_Staff'!J$4:J$164,'3)Target &amp; Cal_Staff'!$B$4:$B$164,'3)Target &amp; Cal_Sect'!$B44,'3)Target &amp; Cal_Staff'!$A$4:$A$164,'3)Target &amp; Cal_Sect'!$C44)</f>
        <v>310000</v>
      </c>
      <c r="K44" s="296">
        <f>SUMIFS('3)Target &amp; Cal_Staff'!K$4:K$164,'3)Target &amp; Cal_Staff'!$B$4:$B$164,'3)Target &amp; Cal_Sect'!$B44,'3)Target &amp; Cal_Staff'!$A$4:$A$164,'3)Target &amp; Cal_Sect'!$C44)</f>
        <v>320000</v>
      </c>
      <c r="L44" s="296">
        <f>SUMIFS('3)Target &amp; Cal_Staff'!L$4:L$164,'3)Target &amp; Cal_Staff'!$B$4:$B$164,'3)Target &amp; Cal_Sect'!$B44,'3)Target &amp; Cal_Staff'!$A$4:$A$164,'3)Target &amp; Cal_Sect'!$C44)</f>
        <v>298000</v>
      </c>
      <c r="M44" s="296">
        <f>SUMIFS('3)Target &amp; Cal_Staff'!M$4:M$164,'3)Target &amp; Cal_Staff'!$B$4:$B$164,'3)Target &amp; Cal_Sect'!$B44,'3)Target &amp; Cal_Staff'!$A$4:$A$164,'3)Target &amp; Cal_Sect'!$C44)</f>
        <v>298000</v>
      </c>
      <c r="N44" s="296">
        <f>SUMIFS('3)Target &amp; Cal_Staff'!N$4:N$164,'3)Target &amp; Cal_Staff'!$B$4:$B$164,'3)Target &amp; Cal_Sect'!$B44,'3)Target &amp; Cal_Staff'!$A$4:$A$164,'3)Target &amp; Cal_Sect'!$C44)</f>
        <v>293000</v>
      </c>
      <c r="O44" s="296">
        <f>SUMIFS('3)Target &amp; Cal_Staff'!O$4:O$164,'3)Target &amp; Cal_Staff'!$B$4:$B$164,'3)Target &amp; Cal_Sect'!$B44,'3)Target &amp; Cal_Staff'!$A$4:$A$164,'3)Target &amp; Cal_Sect'!$C44)</f>
        <v>639000</v>
      </c>
      <c r="P44" s="296">
        <f>SUMIFS('3)Target &amp; Cal_Staff'!P$4:P$164,'3)Target &amp; Cal_Staff'!$B$4:$B$164,'3)Target &amp; Cal_Sect'!$B44,'3)Target &amp; Cal_Staff'!$A$4:$A$164,'3)Target &amp; Cal_Sect'!$C44)</f>
        <v>302684.99999526504</v>
      </c>
      <c r="Q44" s="296">
        <f>SUMIFS('3)Target &amp; Cal_Staff'!Q$4:Q$164,'3)Target &amp; Cal_Staff'!$B$4:$B$164,'3)Target &amp; Cal_Sect'!$B44,'3)Target &amp; Cal_Staff'!$A$4:$A$164,'3)Target &amp; Cal_Sect'!$C44)</f>
        <v>0</v>
      </c>
      <c r="R44" s="296">
        <f>SUMIFS('3)Target &amp; Cal_Staff'!R$4:R$164,'3)Target &amp; Cal_Staff'!$B$4:$B$164,'3)Target &amp; Cal_Sect'!$B44,'3)Target &amp; Cal_Staff'!$A$4:$A$164,'3)Target &amp; Cal_Sect'!$C44)</f>
        <v>0</v>
      </c>
      <c r="S44" s="296">
        <f>SUMIFS('3)Target &amp; Cal_Staff'!S$4:S$164,'3)Target &amp; Cal_Staff'!$B$4:$B$164,'3)Target &amp; Cal_Sect'!$B44,'3)Target &amp; Cal_Staff'!$A$4:$A$164,'3)Target &amp; Cal_Sect'!$C44)</f>
        <v>0</v>
      </c>
      <c r="T44" s="296">
        <f>SUMIFS('3)Target &amp; Cal_Staff'!T$4:T$164,'3)Target &amp; Cal_Staff'!$B$4:$B$164,'3)Target &amp; Cal_Sect'!$B44,'3)Target &amp; Cal_Staff'!$A$4:$A$164,'3)Target &amp; Cal_Sect'!$C44)</f>
        <v>0</v>
      </c>
      <c r="U44" s="296">
        <f>SUMIFS('3)Target &amp; Cal_Staff'!U$4:U$164,'3)Target &amp; Cal_Staff'!$B$4:$B$164,'3)Target &amp; Cal_Sect'!$B44,'3)Target &amp; Cal_Staff'!$A$4:$A$164,'3)Target &amp; Cal_Sect'!$C44)</f>
        <v>0</v>
      </c>
      <c r="V44" s="296">
        <f>SUMIFS('3)Target &amp; Cal_Staff'!V$4:V$164,'3)Target &amp; Cal_Staff'!$B$4:$B$164,'3)Target &amp; Cal_Sect'!$B44,'3)Target &amp; Cal_Staff'!$A$4:$A$164,'3)Target &amp; Cal_Sect'!$C44)</f>
        <v>0</v>
      </c>
      <c r="W44" s="296">
        <f>SUMIFS('3)Target &amp; Cal_Staff'!W$4:W$164,'3)Target &amp; Cal_Staff'!$B$4:$B$164,'3)Target &amp; Cal_Sect'!$B44,'3)Target &amp; Cal_Staff'!$A$4:$A$164,'3)Target &amp; Cal_Sect'!$C44)</f>
        <v>0</v>
      </c>
      <c r="X44" s="296">
        <f>SUMIFS('3)Target &amp; Cal_Staff'!X$4:X$164,'3)Target &amp; Cal_Staff'!$B$4:$B$164,'3)Target &amp; Cal_Sect'!$B44,'3)Target &amp; Cal_Staff'!$A$4:$A$164,'3)Target &amp; Cal_Sect'!$C44)</f>
        <v>0</v>
      </c>
      <c r="Y44" s="296">
        <f>SUMIFS('3)Target &amp; Cal_Staff'!Y$4:Y$164,'3)Target &amp; Cal_Staff'!$B$4:$B$164,'3)Target &amp; Cal_Sect'!$B44,'3)Target &amp; Cal_Staff'!$A$4:$A$164,'3)Target &amp; Cal_Sect'!$C44)</f>
        <v>0</v>
      </c>
      <c r="Z44" s="296">
        <f>SUMIFS('3)Target &amp; Cal_Staff'!Z$4:Z$164,'3)Target &amp; Cal_Staff'!$B$4:$B$164,'3)Target &amp; Cal_Sect'!$B44,'3)Target &amp; Cal_Staff'!$A$4:$A$164,'3)Target &amp; Cal_Sect'!$C44)</f>
        <v>0</v>
      </c>
      <c r="AA44" s="296">
        <f>SUMIFS('3)Target &amp; Cal_Staff'!AA$4:AA$164,'3)Target &amp; Cal_Staff'!$B$4:$B$164,'3)Target &amp; Cal_Sect'!$B44,'3)Target &amp; Cal_Staff'!$A$4:$A$164,'3)Target &amp; Cal_Sect'!$C44)</f>
        <v>0</v>
      </c>
      <c r="AB44" s="297">
        <f>IFERROR(IF(VLOOKUP($B44,Shortage!$A:$M,AB$2,FALSE)="Shortage",1,IFERROR(ROUND(P44/D44,4),0)),IFERROR(ROUND(P44/D44,4),0))</f>
        <v>1</v>
      </c>
      <c r="AC44" s="297">
        <f>IFERROR(IF(VLOOKUP($B44,Shortage!$A:$M,AC$2,FALSE)="Shortage",1,IFERROR(ROUND(Q44/E44,4),0)),IFERROR(ROUND(Q44/E44,4),0))</f>
        <v>0</v>
      </c>
      <c r="AD44" s="297">
        <f>IFERROR(IF(VLOOKUP($B44,Shortage!$A:$M,AD$2,FALSE)="Shortage",1,IFERROR(ROUND(R44/F44,4),0)),IFERROR(ROUND(R44/F44,4),0))</f>
        <v>0</v>
      </c>
      <c r="AE44" s="297">
        <f>IFERROR(IF(VLOOKUP($B44,Shortage!$A:$M,AE$2,FALSE)="Shortage",1,IFERROR(ROUND(S44/G44,4),0)),IFERROR(ROUND(S44/G44,4),0))</f>
        <v>0</v>
      </c>
      <c r="AF44" s="297">
        <f>IFERROR(IF(VLOOKUP($B44,Shortage!$A:$M,AF$2,FALSE)="Shortage",1,IFERROR(ROUND(T44/H44,4),0)),IFERROR(ROUND(T44/H44,4),0))</f>
        <v>0</v>
      </c>
      <c r="AG44" s="297">
        <f>IFERROR(IF(VLOOKUP($B44,Shortage!$A:$M,AG$2,FALSE)="Shortage",1,IFERROR(ROUND(U44/I44,4),0)),IFERROR(ROUND(U44/I44,4),0))</f>
        <v>0</v>
      </c>
      <c r="AH44" s="297">
        <f>IFERROR(IF(VLOOKUP($B44,Shortage!$A:$M,AH$2,FALSE)="Shortage",1,IFERROR(ROUND(V44/J44,4),0)),IFERROR(ROUND(V44/J44,4),0))</f>
        <v>0</v>
      </c>
      <c r="AI44" s="297">
        <f>IFERROR(IF(VLOOKUP($B44,Shortage!$A:$M,AI$2,FALSE)="Shortage",1,IFERROR(ROUND(W44/K44,4),0)),IFERROR(ROUND(W44/K44,4),0))</f>
        <v>0</v>
      </c>
      <c r="AJ44" s="297">
        <f>IFERROR(IF(VLOOKUP($B44,Shortage!$A:$M,AJ$2,FALSE)="Shortage",1,IFERROR(ROUND(X44/L44,4),0)),IFERROR(ROUND(X44/L44,4),0))</f>
        <v>0</v>
      </c>
      <c r="AK44" s="297">
        <f>IFERROR(IF(VLOOKUP($B44,Shortage!$A:$M,AK$2,FALSE)="Shortage",1,IFERROR(ROUND(Y44/M44,4),0)),IFERROR(ROUND(Y44/M44,4),0))</f>
        <v>0</v>
      </c>
      <c r="AL44" s="297">
        <f>IFERROR(IF(VLOOKUP($B44,Shortage!$A:$M,AL$2,FALSE)="Shortage",1,IFERROR(ROUND(Z44/N44,4),0)),IFERROR(ROUND(Z44/N44,4),0))</f>
        <v>0</v>
      </c>
      <c r="AM44" s="297">
        <f>IFERROR(IF(VLOOKUP($B44,Shortage!$A:$M,AM$2,FALSE)="Shortage",1,IFERROR(ROUND(AA44/O44,4),0)),IFERROR(ROUND(AA44/O44,4),0))</f>
        <v>0</v>
      </c>
      <c r="AN44" s="298">
        <f>IFERROR(_xlfn.XLOOKUP(AB44,'2) หลักการคำนวน Table'!$C$3:$K$3,'2) หลักการคำนวน Table'!$C$3:$K$3,,1),INDEX('2) หลักการคำนวน Table'!$C$3:$K$3,1))</f>
        <v>1</v>
      </c>
      <c r="AO44" s="298">
        <f>IFERROR(
  _xlfn.XLOOKUP(AC44,'2) หลักการคำนวน Table'!$C$3:$K$3,'2) หลักการคำนวน Table'!$C$3:$K$3,,1),
  IF(AC44&lt;MIN('2) หลักการคำนวน Table'!$C$3:$K$3),
     MIN('2) หลักการคำนวน Table'!$C$3:$K$3),
     MAX('2) หลักการคำนวน Table'!$C$3:$K$3)
  )
)</f>
        <v>0.9</v>
      </c>
      <c r="AP44" s="298">
        <f>IFERROR(
  _xlfn.XLOOKUP(AD44,'2) หลักการคำนวน Table'!$C$3:$K$3,'2) หลักการคำนวน Table'!$C$3:$K$3,,1),
  IF(AD44&lt;MIN('2) หลักการคำนวน Table'!$C$3:$K$3),
     MIN('2) หลักการคำนวน Table'!$C$3:$K$3),
     MAX('2) หลักการคำนวน Table'!$C$3:$K$3)
  )
)</f>
        <v>0.9</v>
      </c>
      <c r="AQ44" s="298">
        <f>IFERROR(
  _xlfn.XLOOKUP(AE44,'2) หลักการคำนวน Table'!$C$3:$K$3,'2) หลักการคำนวน Table'!$C$3:$K$3,,1),
  IF(AE44&lt;MIN('2) หลักการคำนวน Table'!$C$3:$K$3),
     MIN('2) หลักการคำนวน Table'!$C$3:$K$3),
     MAX('2) หลักการคำนวน Table'!$C$3:$K$3)
  )
)</f>
        <v>0.9</v>
      </c>
      <c r="AR44" s="298">
        <f>IFERROR(
  _xlfn.XLOOKUP(AF44,'2) หลักการคำนวน Table'!$C$3:$K$3,'2) หลักการคำนวน Table'!$C$3:$K$3,,1),
  IF(AF44&lt;MIN('2) หลักการคำนวน Table'!$C$3:$K$3),
     MIN('2) หลักการคำนวน Table'!$C$3:$K$3),
     MAX('2) หลักการคำนวน Table'!$C$3:$K$3)
  )
)</f>
        <v>0.9</v>
      </c>
      <c r="AS44" s="298">
        <f>IFERROR(
  _xlfn.XLOOKUP(AG44,'2) หลักการคำนวน Table'!$C$3:$K$3,'2) หลักการคำนวน Table'!$C$3:$K$3,,1),
  IF(AG44&lt;MIN('2) หลักการคำนวน Table'!$C$3:$K$3),
     MIN('2) หลักการคำนวน Table'!$C$3:$K$3),
     MAX('2) หลักการคำนวน Table'!$C$3:$K$3)
  )
)</f>
        <v>0.9</v>
      </c>
      <c r="AT44" s="298">
        <f>IFERROR(
  _xlfn.XLOOKUP(AH44,'2) หลักการคำนวน Table'!$C$3:$K$3,'2) หลักการคำนวน Table'!$C$3:$K$3,,1),
  IF(AH44&lt;MIN('2) หลักการคำนวน Table'!$C$3:$K$3),
     MIN('2) หลักการคำนวน Table'!$C$3:$K$3),
     MAX('2) หลักการคำนวน Table'!$C$3:$K$3)
  )
)</f>
        <v>0.9</v>
      </c>
      <c r="AU44" s="298">
        <f>IFERROR(
  _xlfn.XLOOKUP(AI44,'2) หลักการคำนวน Table'!$C$3:$K$3,'2) หลักการคำนวน Table'!$C$3:$K$3,,1),
  IF(AI44&lt;MIN('2) หลักการคำนวน Table'!$C$3:$K$3),
     MIN('2) หลักการคำนวน Table'!$C$3:$K$3),
     MAX('2) หลักการคำนวน Table'!$C$3:$K$3)
  )
)</f>
        <v>0.9</v>
      </c>
      <c r="AV44" s="298">
        <f>IFERROR(
  _xlfn.XLOOKUP(AJ44,'2) หลักการคำนวน Table'!$C$3:$K$3,'2) หลักการคำนวน Table'!$C$3:$K$3,,1),
  IF(AJ44&lt;MIN('2) หลักการคำนวน Table'!$C$3:$K$3),
     MIN('2) หลักการคำนวน Table'!$C$3:$K$3),
     MAX('2) หลักการคำนวน Table'!$C$3:$K$3)
  )
)</f>
        <v>0.9</v>
      </c>
      <c r="AW44" s="298">
        <f>IFERROR(
  _xlfn.XLOOKUP(AK44,'2) หลักการคำนวน Table'!$C$3:$K$3,'2) หลักการคำนวน Table'!$C$3:$K$3,,1),
  IF(AK44&lt;MIN('2) หลักการคำนวน Table'!$C$3:$K$3),
     MIN('2) หลักการคำนวน Table'!$C$3:$K$3),
     MAX('2) หลักการคำนวน Table'!$C$3:$K$3)
  )
)</f>
        <v>0.9</v>
      </c>
      <c r="AX44" s="298">
        <f>IFERROR(
  _xlfn.XLOOKUP(AL44,'2) หลักการคำนวน Table'!$C$3:$K$3,'2) หลักการคำนวน Table'!$C$3:$K$3,,1),
  IF(AL44&lt;MIN('2) หลักการคำนวน Table'!$C$3:$K$3),
     MIN('2) หลักการคำนวน Table'!$C$3:$K$3),
     MAX('2) หลักการคำนวน Table'!$C$3:$K$3)
  )
)</f>
        <v>0.9</v>
      </c>
      <c r="AY44" s="298">
        <f>IFERROR(
  _xlfn.XLOOKUP(AM44,'2) หลักการคำนวน Table'!$C$3:$K$3,'2) หลักการคำนวน Table'!$C$3:$K$3,,1),
  IF(AM44&lt;MIN('2) หลักการคำนวน Table'!$C$3:$K$3),
     MIN('2) หลักการคำนวน Table'!$C$3:$K$3),
     MAX('2) หลักการคำนวน Table'!$C$3:$K$3)
  )
)</f>
        <v>0.9</v>
      </c>
      <c r="AZ44" s="299" t="e" cm="1">
        <f t="array" ref="AZ44">(_xlfn.XLOOKUP($C44,'2) หลักการคำนวน Table'!$A$4:$A$36,
_xlfn.XLOOKUP(AN44,'2)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</f>
        <v>#N/A</v>
      </c>
      <c r="BA44" s="299" t="e" cm="1">
        <f t="array" ref="BA44">(_xlfn.XLOOKUP($C44,'2) หลักการคำนวน Table'!$A$4:$A$36,
_xlfn.XLOOKUP(AO44,'2)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</f>
        <v>#N/A</v>
      </c>
      <c r="BB44" s="299" t="e" cm="1">
        <f t="array" ref="BB44">(_xlfn.XLOOKUP($C44,'2) หลักการคำนวน Table'!$A$4:$A$36,
_xlfn.XLOOKUP(AP44,'2)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</f>
        <v>#N/A</v>
      </c>
      <c r="BC44" s="299" t="e" cm="1">
        <f t="array" ref="BC44">(_xlfn.XLOOKUP($C44,'2) หลักการคำนวน Table'!$A$4:$A$36,
_xlfn.XLOOKUP(AQ44,'2)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</f>
        <v>#N/A</v>
      </c>
      <c r="BD44" s="299" t="e" cm="1">
        <f t="array" ref="BD44">(_xlfn.XLOOKUP($C44,'2) หลักการคำนวน Table'!$A$4:$A$36,
_xlfn.XLOOKUP(AR44,'2)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</f>
        <v>#N/A</v>
      </c>
      <c r="BE44" s="299" t="e" cm="1">
        <f t="array" ref="BE44">(_xlfn.XLOOKUP($C44,'2) หลักการคำนวน Table'!$A$4:$A$36,
_xlfn.XLOOKUP(AS44,'2)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</f>
        <v>#N/A</v>
      </c>
      <c r="BF44" s="299" t="e" cm="1">
        <f t="array" ref="BF44">(_xlfn.XLOOKUP($C44,'2) หลักการคำนวน Table'!$A$4:$A$36,
_xlfn.XLOOKUP(AT44,'2)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</f>
        <v>#N/A</v>
      </c>
      <c r="BG44" s="299" t="e" cm="1">
        <f t="array" ref="BG44">(_xlfn.XLOOKUP($C44,'2) หลักการคำนวน Table'!$A$4:$A$36,
_xlfn.XLOOKUP(AU44,'2)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</f>
        <v>#N/A</v>
      </c>
      <c r="BH44" s="299" t="e" cm="1">
        <f t="array" ref="BH44">ROUND((_xlfn.XLOOKUP($C44,'2) หลักการคำนวน Table'!$A$4:$A$36,
_xlfn.XLOOKUP(AV44,'2)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I44" s="299" t="e" cm="1">
        <f t="array" ref="BI44">ROUND((_xlfn.XLOOKUP($C44,'2) หลักการคำนวน Table'!$A$4:$A$36,
_xlfn.XLOOKUP(AW44,'2)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J44" s="299" t="e" cm="1">
        <f t="array" ref="BJ44">ROUND((_xlfn.XLOOKUP($C44,'2) หลักการคำนวน Table'!$A$4:$A$36,
_xlfn.XLOOKUP(AX44,'2)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K44" s="299" t="e" cm="1">
        <f t="array" ref="BK44">ROUND((_xlfn.XLOOKUP($C44,'2) หลักการคำนวน Table'!$A$4:$A$36,
_xlfn.XLOOKUP(AY44,'2) หลักการคำนวน Table'!$C$3:$K$3,'2) หลักการคำนวน Table'!$C$4:$K$36,,-1)))*(_xlfn.XLOOKUP($C44,'2) หลักการคำนวน Table'!$A$4:$A$36, _xlfn.XLOOKUP($B44,'2) หลักการคำนวน Table'!$L$3:$Z$3,'2) หลักการคำนวน Table'!$L$4:$Z$36))),0)</f>
        <v>#N/A</v>
      </c>
      <c r="BL44" s="295"/>
      <c r="BM44" s="295">
        <v>222237</v>
      </c>
      <c r="BN44" s="300">
        <v>505.05050505050502</v>
      </c>
    </row>
    <row r="45" spans="1:66" ht="13.2" customHeight="1" x14ac:dyDescent="0.25">
      <c r="A45" s="322">
        <f>VLOOKUP(C45,ASTBase!F:S,12,FALSE)</f>
        <v>222223</v>
      </c>
      <c r="B45" s="295" t="s">
        <v>411</v>
      </c>
      <c r="C45" s="322">
        <v>222237</v>
      </c>
      <c r="D45" s="296">
        <f>SUMIFS('3)Target &amp; Cal_Staff'!D$4:D$164,'3)Target &amp; Cal_Staff'!$B$4:$B$164,'3)Target &amp; Cal_Sect'!$B45,'3)Target &amp; Cal_Staff'!$A$4:$A$164,'3)Target &amp; Cal_Sect'!$C45)</f>
        <v>7000</v>
      </c>
      <c r="E45" s="296">
        <f>SUMIFS('3)Target &amp; Cal_Staff'!E$4:E$164,'3)Target &amp; Cal_Staff'!$B$4:$B$164,'3)Target &amp; Cal_Sect'!$B45,'3)Target &amp; Cal_Staff'!$A$4:$A$164,'3)Target &amp; Cal_Sect'!$C45)</f>
        <v>6300</v>
      </c>
      <c r="F45" s="296">
        <f>SUMIFS('3)Target &amp; Cal_Staff'!F$4:F$164,'3)Target &amp; Cal_Staff'!$B$4:$B$164,'3)Target &amp; Cal_Sect'!$B45,'3)Target &amp; Cal_Staff'!$A$4:$A$164,'3)Target &amp; Cal_Sect'!$C45)</f>
        <v>34000</v>
      </c>
      <c r="G45" s="296">
        <f>SUMIFS('3)Target &amp; Cal_Staff'!G$4:G$164,'3)Target &amp; Cal_Staff'!$B$4:$B$164,'3)Target &amp; Cal_Sect'!$B45,'3)Target &amp; Cal_Staff'!$A$4:$A$164,'3)Target &amp; Cal_Sect'!$C45)</f>
        <v>5800</v>
      </c>
      <c r="H45" s="296">
        <f>SUMIFS('3)Target &amp; Cal_Staff'!H$4:H$164,'3)Target &amp; Cal_Staff'!$B$4:$B$164,'3)Target &amp; Cal_Sect'!$B45,'3)Target &amp; Cal_Staff'!$A$4:$A$164,'3)Target &amp; Cal_Sect'!$C45)</f>
        <v>6000</v>
      </c>
      <c r="I45" s="296">
        <f>SUMIFS('3)Target &amp; Cal_Staff'!I$4:I$164,'3)Target &amp; Cal_Staff'!$B$4:$B$164,'3)Target &amp; Cal_Sect'!$B45,'3)Target &amp; Cal_Staff'!$A$4:$A$164,'3)Target &amp; Cal_Sect'!$C45)</f>
        <v>5600</v>
      </c>
      <c r="J45" s="296">
        <f>SUMIFS('3)Target &amp; Cal_Staff'!J$4:J$164,'3)Target &amp; Cal_Staff'!$B$4:$B$164,'3)Target &amp; Cal_Sect'!$B45,'3)Target &amp; Cal_Staff'!$A$4:$A$164,'3)Target &amp; Cal_Sect'!$C45)</f>
        <v>5800</v>
      </c>
      <c r="K45" s="296">
        <f>SUMIFS('3)Target &amp; Cal_Staff'!K$4:K$164,'3)Target &amp; Cal_Staff'!$B$4:$B$164,'3)Target &amp; Cal_Sect'!$B45,'3)Target &amp; Cal_Staff'!$A$4:$A$164,'3)Target &amp; Cal_Sect'!$C45)</f>
        <v>6000</v>
      </c>
      <c r="L45" s="296">
        <f>SUMIFS('3)Target &amp; Cal_Staff'!L$4:L$164,'3)Target &amp; Cal_Staff'!$B$4:$B$164,'3)Target &amp; Cal_Sect'!$B45,'3)Target &amp; Cal_Staff'!$A$4:$A$164,'3)Target &amp; Cal_Sect'!$C45)</f>
        <v>5500</v>
      </c>
      <c r="M45" s="296">
        <f>SUMIFS('3)Target &amp; Cal_Staff'!M$4:M$164,'3)Target &amp; Cal_Staff'!$B$4:$B$164,'3)Target &amp; Cal_Sect'!$B45,'3)Target &amp; Cal_Staff'!$A$4:$A$164,'3)Target &amp; Cal_Sect'!$C45)</f>
        <v>5500</v>
      </c>
      <c r="N45" s="296">
        <f>SUMIFS('3)Target &amp; Cal_Staff'!N$4:N$164,'3)Target &amp; Cal_Staff'!$B$4:$B$164,'3)Target &amp; Cal_Sect'!$B45,'3)Target &amp; Cal_Staff'!$A$4:$A$164,'3)Target &amp; Cal_Sect'!$C45)</f>
        <v>7100</v>
      </c>
      <c r="O45" s="296">
        <f>SUMIFS('3)Target &amp; Cal_Staff'!O$4:O$164,'3)Target &amp; Cal_Staff'!$B$4:$B$164,'3)Target &amp; Cal_Sect'!$B45,'3)Target &amp; Cal_Staff'!$A$4:$A$164,'3)Target &amp; Cal_Sect'!$C45)</f>
        <v>35400</v>
      </c>
      <c r="P45" s="296">
        <f>SUMIFS('3)Target &amp; Cal_Staff'!P$4:P$164,'3)Target &amp; Cal_Staff'!$B$4:$B$164,'3)Target &amp; Cal_Sect'!$B45,'3)Target &amp; Cal_Staff'!$A$4:$A$164,'3)Target &amp; Cal_Sect'!$C45)</f>
        <v>15448.760000000002</v>
      </c>
      <c r="Q45" s="296">
        <f>SUMIFS('3)Target &amp; Cal_Staff'!Q$4:Q$164,'3)Target &amp; Cal_Staff'!$B$4:$B$164,'3)Target &amp; Cal_Sect'!$B45,'3)Target &amp; Cal_Staff'!$A$4:$A$164,'3)Target &amp; Cal_Sect'!$C45)</f>
        <v>0</v>
      </c>
      <c r="R45" s="296">
        <f>SUMIFS('3)Target &amp; Cal_Staff'!R$4:R$164,'3)Target &amp; Cal_Staff'!$B$4:$B$164,'3)Target &amp; Cal_Sect'!$B45,'3)Target &amp; Cal_Staff'!$A$4:$A$164,'3)Target &amp; Cal_Sect'!$C45)</f>
        <v>0</v>
      </c>
      <c r="S45" s="296">
        <f>SUMIFS('3)Target &amp; Cal_Staff'!S$4:S$164,'3)Target &amp; Cal_Staff'!$B$4:$B$164,'3)Target &amp; Cal_Sect'!$B45,'3)Target &amp; Cal_Staff'!$A$4:$A$164,'3)Target &amp; Cal_Sect'!$C45)</f>
        <v>0</v>
      </c>
      <c r="T45" s="296">
        <f>SUMIFS('3)Target &amp; Cal_Staff'!T$4:T$164,'3)Target &amp; Cal_Staff'!$B$4:$B$164,'3)Target &amp; Cal_Sect'!$B45,'3)Target &amp; Cal_Staff'!$A$4:$A$164,'3)Target &amp; Cal_Sect'!$C45)</f>
        <v>0</v>
      </c>
      <c r="U45" s="296">
        <f>SUMIFS('3)Target &amp; Cal_Staff'!U$4:U$164,'3)Target &amp; Cal_Staff'!$B$4:$B$164,'3)Target &amp; Cal_Sect'!$B45,'3)Target &amp; Cal_Staff'!$A$4:$A$164,'3)Target &amp; Cal_Sect'!$C45)</f>
        <v>0</v>
      </c>
      <c r="V45" s="296">
        <f>SUMIFS('3)Target &amp; Cal_Staff'!V$4:V$164,'3)Target &amp; Cal_Staff'!$B$4:$B$164,'3)Target &amp; Cal_Sect'!$B45,'3)Target &amp; Cal_Staff'!$A$4:$A$164,'3)Target &amp; Cal_Sect'!$C45)</f>
        <v>0</v>
      </c>
      <c r="W45" s="296">
        <f>SUMIFS('3)Target &amp; Cal_Staff'!W$4:W$164,'3)Target &amp; Cal_Staff'!$B$4:$B$164,'3)Target &amp; Cal_Sect'!$B45,'3)Target &amp; Cal_Staff'!$A$4:$A$164,'3)Target &amp; Cal_Sect'!$C45)</f>
        <v>0</v>
      </c>
      <c r="X45" s="296">
        <f>SUMIFS('3)Target &amp; Cal_Staff'!X$4:X$164,'3)Target &amp; Cal_Staff'!$B$4:$B$164,'3)Target &amp; Cal_Sect'!$B45,'3)Target &amp; Cal_Staff'!$A$4:$A$164,'3)Target &amp; Cal_Sect'!$C45)</f>
        <v>0</v>
      </c>
      <c r="Y45" s="296">
        <f>SUMIFS('3)Target &amp; Cal_Staff'!Y$4:Y$164,'3)Target &amp; Cal_Staff'!$B$4:$B$164,'3)Target &amp; Cal_Sect'!$B45,'3)Target &amp; Cal_Staff'!$A$4:$A$164,'3)Target &amp; Cal_Sect'!$C45)</f>
        <v>0</v>
      </c>
      <c r="Z45" s="296">
        <f>SUMIFS('3)Target &amp; Cal_Staff'!Z$4:Z$164,'3)Target &amp; Cal_Staff'!$B$4:$B$164,'3)Target &amp; Cal_Sect'!$B45,'3)Target &amp; Cal_Staff'!$A$4:$A$164,'3)Target &amp; Cal_Sect'!$C45)</f>
        <v>0</v>
      </c>
      <c r="AA45" s="296">
        <f>SUMIFS('3)Target &amp; Cal_Staff'!AA$4:AA$164,'3)Target &amp; Cal_Staff'!$B$4:$B$164,'3)Target &amp; Cal_Sect'!$B45,'3)Target &amp; Cal_Staff'!$A$4:$A$164,'3)Target &amp; Cal_Sect'!$C45)</f>
        <v>0</v>
      </c>
      <c r="AB45" s="297">
        <f>IFERROR(IF(VLOOKUP($B45,Shortage!$A:$M,AB$2,FALSE)="Shortage",1,IFERROR(ROUND(P45/D45,4),0)),IFERROR(ROUND(P45/D45,4),0))</f>
        <v>2.2069999999999999</v>
      </c>
      <c r="AC45" s="297">
        <f>IFERROR(IF(VLOOKUP($B45,Shortage!$A:$M,AC$2,FALSE)="Shortage",1,IFERROR(ROUND(Q45/E45,4),0)),IFERROR(ROUND(Q45/E45,4),0))</f>
        <v>0</v>
      </c>
      <c r="AD45" s="297">
        <f>IFERROR(IF(VLOOKUP($B45,Shortage!$A:$M,AD$2,FALSE)="Shortage",1,IFERROR(ROUND(R45/F45,4),0)),IFERROR(ROUND(R45/F45,4),0))</f>
        <v>0</v>
      </c>
      <c r="AE45" s="297">
        <f>IFERROR(IF(VLOOKUP($B45,Shortage!$A:$M,AE$2,FALSE)="Shortage",1,IFERROR(ROUND(S45/G45,4),0)),IFERROR(ROUND(S45/G45,4),0))</f>
        <v>0</v>
      </c>
      <c r="AF45" s="297">
        <f>IFERROR(IF(VLOOKUP($B45,Shortage!$A:$M,AF$2,FALSE)="Shortage",1,IFERROR(ROUND(T45/H45,4),0)),IFERROR(ROUND(T45/H45,4),0))</f>
        <v>0</v>
      </c>
      <c r="AG45" s="297">
        <f>IFERROR(IF(VLOOKUP($B45,Shortage!$A:$M,AG$2,FALSE)="Shortage",1,IFERROR(ROUND(U45/I45,4),0)),IFERROR(ROUND(U45/I45,4),0))</f>
        <v>0</v>
      </c>
      <c r="AH45" s="297">
        <f>IFERROR(IF(VLOOKUP($B45,Shortage!$A:$M,AH$2,FALSE)="Shortage",1,IFERROR(ROUND(V45/J45,4),0)),IFERROR(ROUND(V45/J45,4),0))</f>
        <v>0</v>
      </c>
      <c r="AI45" s="297">
        <f>IFERROR(IF(VLOOKUP($B45,Shortage!$A:$M,AI$2,FALSE)="Shortage",1,IFERROR(ROUND(W45/K45,4),0)),IFERROR(ROUND(W45/K45,4),0))</f>
        <v>0</v>
      </c>
      <c r="AJ45" s="297">
        <f>IFERROR(IF(VLOOKUP($B45,Shortage!$A:$M,AJ$2,FALSE)="Shortage",1,IFERROR(ROUND(X45/L45,4),0)),IFERROR(ROUND(X45/L45,4),0))</f>
        <v>0</v>
      </c>
      <c r="AK45" s="297">
        <f>IFERROR(IF(VLOOKUP($B45,Shortage!$A:$M,AK$2,FALSE)="Shortage",1,IFERROR(ROUND(Y45/M45,4),0)),IFERROR(ROUND(Y45/M45,4),0))</f>
        <v>0</v>
      </c>
      <c r="AL45" s="297">
        <f>IFERROR(IF(VLOOKUP($B45,Shortage!$A:$M,AL$2,FALSE)="Shortage",1,IFERROR(ROUND(Z45/N45,4),0)),IFERROR(ROUND(Z45/N45,4),0))</f>
        <v>0</v>
      </c>
      <c r="AM45" s="297">
        <f>IFERROR(IF(VLOOKUP($B45,Shortage!$A:$M,AM$2,FALSE)="Shortage",1,IFERROR(ROUND(AA45/O45,4),0)),IFERROR(ROUND(AA45/O45,4),0))</f>
        <v>0</v>
      </c>
      <c r="AN45" s="298">
        <f>IFERROR(_xlfn.XLOOKUP(AB45,'2) หลักการคำนวน Table'!$C$3:$K$3,'2) หลักการคำนวน Table'!$C$3:$K$3,,1),INDEX('2) หลักการคำนวน Table'!$C$3:$K$3,1))</f>
        <v>20</v>
      </c>
      <c r="AO45" s="298">
        <f>IFERROR(
  _xlfn.XLOOKUP(AC45,'2) หลักการคำนวน Table'!$C$3:$K$3,'2) หลักการคำนวน Table'!$C$3:$K$3,,1),
  IF(AC45&lt;MIN('2) หลักการคำนวน Table'!$C$3:$K$3),
     MIN('2) หลักการคำนวน Table'!$C$3:$K$3),
     MAX('2) หลักการคำนวน Table'!$C$3:$K$3)
  )
)</f>
        <v>0.9</v>
      </c>
      <c r="AP45" s="298">
        <f>IFERROR(
  _xlfn.XLOOKUP(AD45,'2) หลักการคำนวน Table'!$C$3:$K$3,'2) หลักการคำนวน Table'!$C$3:$K$3,,1),
  IF(AD45&lt;MIN('2) หลักการคำนวน Table'!$C$3:$K$3),
     MIN('2) หลักการคำนวน Table'!$C$3:$K$3),
     MAX('2) หลักการคำนวน Table'!$C$3:$K$3)
  )
)</f>
        <v>0.9</v>
      </c>
      <c r="AQ45" s="298">
        <f>IFERROR(
  _xlfn.XLOOKUP(AE45,'2) หลักการคำนวน Table'!$C$3:$K$3,'2) หลักการคำนวน Table'!$C$3:$K$3,,1),
  IF(AE45&lt;MIN('2) หลักการคำนวน Table'!$C$3:$K$3),
     MIN('2) หลักการคำนวน Table'!$C$3:$K$3),
     MAX('2) หลักการคำนวน Table'!$C$3:$K$3)
  )
)</f>
        <v>0.9</v>
      </c>
      <c r="AR45" s="298">
        <f>IFERROR(
  _xlfn.XLOOKUP(AF45,'2) หลักการคำนวน Table'!$C$3:$K$3,'2) หลักการคำนวน Table'!$C$3:$K$3,,1),
  IF(AF45&lt;MIN('2) หลักการคำนวน Table'!$C$3:$K$3),
     MIN('2) หลักการคำนวน Table'!$C$3:$K$3),
     MAX('2) หลักการคำนวน Table'!$C$3:$K$3)
  )
)</f>
        <v>0.9</v>
      </c>
      <c r="AS45" s="298">
        <f>IFERROR(
  _xlfn.XLOOKUP(AG45,'2) หลักการคำนวน Table'!$C$3:$K$3,'2) หลักการคำนวน Table'!$C$3:$K$3,,1),
  IF(AG45&lt;MIN('2) หลักการคำนวน Table'!$C$3:$K$3),
     MIN('2) หลักการคำนวน Table'!$C$3:$K$3),
     MAX('2) หลักการคำนวน Table'!$C$3:$K$3)
  )
)</f>
        <v>0.9</v>
      </c>
      <c r="AT45" s="298">
        <f>IFERROR(
  _xlfn.XLOOKUP(AH45,'2) หลักการคำนวน Table'!$C$3:$K$3,'2) หลักการคำนวน Table'!$C$3:$K$3,,1),
  IF(AH45&lt;MIN('2) หลักการคำนวน Table'!$C$3:$K$3),
     MIN('2) หลักการคำนวน Table'!$C$3:$K$3),
     MAX('2) หลักการคำนวน Table'!$C$3:$K$3)
  )
)</f>
        <v>0.9</v>
      </c>
      <c r="AU45" s="298">
        <f>IFERROR(
  _xlfn.XLOOKUP(AI45,'2) หลักการคำนวน Table'!$C$3:$K$3,'2) หลักการคำนวน Table'!$C$3:$K$3,,1),
  IF(AI45&lt;MIN('2) หลักการคำนวน Table'!$C$3:$K$3),
     MIN('2) หลักการคำนวน Table'!$C$3:$K$3),
     MAX('2) หลักการคำนวน Table'!$C$3:$K$3)
  )
)</f>
        <v>0.9</v>
      </c>
      <c r="AV45" s="298">
        <f>IFERROR(
  _xlfn.XLOOKUP(AJ45,'2) หลักการคำนวน Table'!$C$3:$K$3,'2) หลักการคำนวน Table'!$C$3:$K$3,,1),
  IF(AJ45&lt;MIN('2) หลักการคำนวน Table'!$C$3:$K$3),
     MIN('2) หลักการคำนวน Table'!$C$3:$K$3),
     MAX('2) หลักการคำนวน Table'!$C$3:$K$3)
  )
)</f>
        <v>0.9</v>
      </c>
      <c r="AW45" s="298">
        <f>IFERROR(
  _xlfn.XLOOKUP(AK45,'2) หลักการคำนวน Table'!$C$3:$K$3,'2) หลักการคำนวน Table'!$C$3:$K$3,,1),
  IF(AK45&lt;MIN('2) หลักการคำนวน Table'!$C$3:$K$3),
     MIN('2) หลักการคำนวน Table'!$C$3:$K$3),
     MAX('2) หลักการคำนวน Table'!$C$3:$K$3)
  )
)</f>
        <v>0.9</v>
      </c>
      <c r="AX45" s="298">
        <f>IFERROR(
  _xlfn.XLOOKUP(AL45,'2) หลักการคำนวน Table'!$C$3:$K$3,'2) หลักการคำนวน Table'!$C$3:$K$3,,1),
  IF(AL45&lt;MIN('2) หลักการคำนวน Table'!$C$3:$K$3),
     MIN('2) หลักการคำนวน Table'!$C$3:$K$3),
     MAX('2) หลักการคำนวน Table'!$C$3:$K$3)
  )
)</f>
        <v>0.9</v>
      </c>
      <c r="AY45" s="298">
        <f>IFERROR(
  _xlfn.XLOOKUP(AM45,'2) หลักการคำนวน Table'!$C$3:$K$3,'2) หลักการคำนวน Table'!$C$3:$K$3,,1),
  IF(AM45&lt;MIN('2) หลักการคำนวน Table'!$C$3:$K$3),
     MIN('2) หลักการคำนวน Table'!$C$3:$K$3),
     MAX('2) หลักการคำนวน Table'!$C$3:$K$3)
  )
)</f>
        <v>0.9</v>
      </c>
      <c r="AZ45" s="299" t="e" cm="1">
        <f t="array" ref="AZ45">(_xlfn.XLOOKUP($C45,'2) หลักการคำนวน Table'!$A$4:$A$36,
_xlfn.XLOOKUP(AN45,'2)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</f>
        <v>#N/A</v>
      </c>
      <c r="BA45" s="299" t="e" cm="1">
        <f t="array" ref="BA45">(_xlfn.XLOOKUP($C45,'2) หลักการคำนวน Table'!$A$4:$A$36,
_xlfn.XLOOKUP(AO45,'2)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</f>
        <v>#N/A</v>
      </c>
      <c r="BB45" s="299" t="e" cm="1">
        <f t="array" ref="BB45">(_xlfn.XLOOKUP($C45,'2) หลักการคำนวน Table'!$A$4:$A$36,
_xlfn.XLOOKUP(AP45,'2)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</f>
        <v>#N/A</v>
      </c>
      <c r="BC45" s="299" t="e" cm="1">
        <f t="array" ref="BC45">(_xlfn.XLOOKUP($C45,'2) หลักการคำนวน Table'!$A$4:$A$36,
_xlfn.XLOOKUP(AQ45,'2)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</f>
        <v>#N/A</v>
      </c>
      <c r="BD45" s="299" t="e" cm="1">
        <f t="array" ref="BD45">(_xlfn.XLOOKUP($C45,'2) หลักการคำนวน Table'!$A$4:$A$36,
_xlfn.XLOOKUP(AR45,'2)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</f>
        <v>#N/A</v>
      </c>
      <c r="BE45" s="299" t="e" cm="1">
        <f t="array" ref="BE45">(_xlfn.XLOOKUP($C45,'2) หลักการคำนวน Table'!$A$4:$A$36,
_xlfn.XLOOKUP(AS45,'2)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</f>
        <v>#N/A</v>
      </c>
      <c r="BF45" s="299" t="e" cm="1">
        <f t="array" ref="BF45">(_xlfn.XLOOKUP($C45,'2) หลักการคำนวน Table'!$A$4:$A$36,
_xlfn.XLOOKUP(AT45,'2)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</f>
        <v>#N/A</v>
      </c>
      <c r="BG45" s="299" t="e" cm="1">
        <f t="array" ref="BG45">(_xlfn.XLOOKUP($C45,'2) หลักการคำนวน Table'!$A$4:$A$36,
_xlfn.XLOOKUP(AU45,'2)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</f>
        <v>#N/A</v>
      </c>
      <c r="BH45" s="299" t="e" cm="1">
        <f t="array" ref="BH45">ROUND((_xlfn.XLOOKUP($C45,'2) หลักการคำนวน Table'!$A$4:$A$36,
_xlfn.XLOOKUP(AV45,'2)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I45" s="299" t="e" cm="1">
        <f t="array" ref="BI45">ROUND((_xlfn.XLOOKUP($C45,'2) หลักการคำนวน Table'!$A$4:$A$36,
_xlfn.XLOOKUP(AW45,'2)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J45" s="299" t="e" cm="1">
        <f t="array" ref="BJ45">ROUND((_xlfn.XLOOKUP($C45,'2) หลักการคำนวน Table'!$A$4:$A$36,
_xlfn.XLOOKUP(AX45,'2)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K45" s="299" t="e" cm="1">
        <f t="array" ref="BK45">ROUND((_xlfn.XLOOKUP($C45,'2) หลักการคำนวน Table'!$A$4:$A$36,
_xlfn.XLOOKUP(AY45,'2) หลักการคำนวน Table'!$C$3:$K$3,'2) หลักการคำนวน Table'!$C$4:$K$36,,-1)))*(_xlfn.XLOOKUP($C45,'2) หลักการคำนวน Table'!$A$4:$A$36, _xlfn.XLOOKUP($B45,'2) หลักการคำนวน Table'!$L$3:$Z$3,'2) หลักการคำนวน Table'!$L$4:$Z$36))),0)</f>
        <v>#N/A</v>
      </c>
      <c r="BL45" s="295"/>
      <c r="BM45" s="295">
        <v>222237</v>
      </c>
      <c r="BN45" s="300">
        <v>656.56565656565658</v>
      </c>
    </row>
    <row r="46" spans="1:66" ht="13.2" customHeight="1" x14ac:dyDescent="0.25">
      <c r="A46" s="322">
        <f>VLOOKUP(C46,ASTBase!F:S,12,FALSE)</f>
        <v>222223</v>
      </c>
      <c r="B46" s="295" t="s">
        <v>417</v>
      </c>
      <c r="C46" s="322">
        <v>222237</v>
      </c>
      <c r="D46" s="296">
        <f>SUMIFS('3)Target &amp; Cal_Staff'!D$4:D$164,'3)Target &amp; Cal_Staff'!$B$4:$B$164,'3)Target &amp; Cal_Sect'!$B46,'3)Target &amp; Cal_Staff'!$A$4:$A$164,'3)Target &amp; Cal_Sect'!$C46)</f>
        <v>0</v>
      </c>
      <c r="E46" s="296">
        <f>SUMIFS('3)Target &amp; Cal_Staff'!E$4:E$164,'3)Target &amp; Cal_Staff'!$B$4:$B$164,'3)Target &amp; Cal_Sect'!$B46,'3)Target &amp; Cal_Staff'!$A$4:$A$164,'3)Target &amp; Cal_Sect'!$C46)</f>
        <v>60</v>
      </c>
      <c r="F46" s="296">
        <f>SUMIFS('3)Target &amp; Cal_Staff'!F$4:F$164,'3)Target &amp; Cal_Staff'!$B$4:$B$164,'3)Target &amp; Cal_Sect'!$B46,'3)Target &amp; Cal_Staff'!$A$4:$A$164,'3)Target &amp; Cal_Sect'!$C46)</f>
        <v>10</v>
      </c>
      <c r="G46" s="296">
        <f>SUMIFS('3)Target &amp; Cal_Staff'!G$4:G$164,'3)Target &amp; Cal_Staff'!$B$4:$B$164,'3)Target &amp; Cal_Sect'!$B46,'3)Target &amp; Cal_Staff'!$A$4:$A$164,'3)Target &amp; Cal_Sect'!$C46)</f>
        <v>10</v>
      </c>
      <c r="H46" s="296">
        <f>SUMIFS('3)Target &amp; Cal_Staff'!H$4:H$164,'3)Target &amp; Cal_Staff'!$B$4:$B$164,'3)Target &amp; Cal_Sect'!$B46,'3)Target &amp; Cal_Staff'!$A$4:$A$164,'3)Target &amp; Cal_Sect'!$C46)</f>
        <v>10</v>
      </c>
      <c r="I46" s="296">
        <f>SUMIFS('3)Target &amp; Cal_Staff'!I$4:I$164,'3)Target &amp; Cal_Staff'!$B$4:$B$164,'3)Target &amp; Cal_Sect'!$B46,'3)Target &amp; Cal_Staff'!$A$4:$A$164,'3)Target &amp; Cal_Sect'!$C46)</f>
        <v>10</v>
      </c>
      <c r="J46" s="296">
        <f>SUMIFS('3)Target &amp; Cal_Staff'!J$4:J$164,'3)Target &amp; Cal_Staff'!$B$4:$B$164,'3)Target &amp; Cal_Sect'!$B46,'3)Target &amp; Cal_Staff'!$A$4:$A$164,'3)Target &amp; Cal_Sect'!$C46)</f>
        <v>10</v>
      </c>
      <c r="K46" s="296">
        <f>SUMIFS('3)Target &amp; Cal_Staff'!K$4:K$164,'3)Target &amp; Cal_Staff'!$B$4:$B$164,'3)Target &amp; Cal_Sect'!$B46,'3)Target &amp; Cal_Staff'!$A$4:$A$164,'3)Target &amp; Cal_Sect'!$C46)</f>
        <v>10</v>
      </c>
      <c r="L46" s="296">
        <f>SUMIFS('3)Target &amp; Cal_Staff'!L$4:L$164,'3)Target &amp; Cal_Staff'!$B$4:$B$164,'3)Target &amp; Cal_Sect'!$B46,'3)Target &amp; Cal_Staff'!$A$4:$A$164,'3)Target &amp; Cal_Sect'!$C46)</f>
        <v>10</v>
      </c>
      <c r="M46" s="296">
        <f>SUMIFS('3)Target &amp; Cal_Staff'!M$4:M$164,'3)Target &amp; Cal_Staff'!$B$4:$B$164,'3)Target &amp; Cal_Sect'!$B46,'3)Target &amp; Cal_Staff'!$A$4:$A$164,'3)Target &amp; Cal_Sect'!$C46)</f>
        <v>10</v>
      </c>
      <c r="N46" s="296">
        <f>SUMIFS('3)Target &amp; Cal_Staff'!N$4:N$164,'3)Target &amp; Cal_Staff'!$B$4:$B$164,'3)Target &amp; Cal_Sect'!$B46,'3)Target &amp; Cal_Staff'!$A$4:$A$164,'3)Target &amp; Cal_Sect'!$C46)</f>
        <v>10</v>
      </c>
      <c r="O46" s="296">
        <f>SUMIFS('3)Target &amp; Cal_Staff'!O$4:O$164,'3)Target &amp; Cal_Staff'!$B$4:$B$164,'3)Target &amp; Cal_Sect'!$B46,'3)Target &amp; Cal_Staff'!$A$4:$A$164,'3)Target &amp; Cal_Sect'!$C46)</f>
        <v>0</v>
      </c>
      <c r="P46" s="296">
        <f>SUMIFS('3)Target &amp; Cal_Staff'!P$4:P$164,'3)Target &amp; Cal_Staff'!$B$4:$B$164,'3)Target &amp; Cal_Sect'!$B46,'3)Target &amp; Cal_Staff'!$A$4:$A$164,'3)Target &amp; Cal_Sect'!$C46)</f>
        <v>0</v>
      </c>
      <c r="Q46" s="296">
        <f>SUMIFS('3)Target &amp; Cal_Staff'!Q$4:Q$164,'3)Target &amp; Cal_Staff'!$B$4:$B$164,'3)Target &amp; Cal_Sect'!$B46,'3)Target &amp; Cal_Staff'!$A$4:$A$164,'3)Target &amp; Cal_Sect'!$C46)</f>
        <v>0</v>
      </c>
      <c r="R46" s="296">
        <f>SUMIFS('3)Target &amp; Cal_Staff'!R$4:R$164,'3)Target &amp; Cal_Staff'!$B$4:$B$164,'3)Target &amp; Cal_Sect'!$B46,'3)Target &amp; Cal_Staff'!$A$4:$A$164,'3)Target &amp; Cal_Sect'!$C46)</f>
        <v>0</v>
      </c>
      <c r="S46" s="296">
        <f>SUMIFS('3)Target &amp; Cal_Staff'!S$4:S$164,'3)Target &amp; Cal_Staff'!$B$4:$B$164,'3)Target &amp; Cal_Sect'!$B46,'3)Target &amp; Cal_Staff'!$A$4:$A$164,'3)Target &amp; Cal_Sect'!$C46)</f>
        <v>0</v>
      </c>
      <c r="T46" s="296">
        <f>SUMIFS('3)Target &amp; Cal_Staff'!T$4:T$164,'3)Target &amp; Cal_Staff'!$B$4:$B$164,'3)Target &amp; Cal_Sect'!$B46,'3)Target &amp; Cal_Staff'!$A$4:$A$164,'3)Target &amp; Cal_Sect'!$C46)</f>
        <v>0</v>
      </c>
      <c r="U46" s="296">
        <f>SUMIFS('3)Target &amp; Cal_Staff'!U$4:U$164,'3)Target &amp; Cal_Staff'!$B$4:$B$164,'3)Target &amp; Cal_Sect'!$B46,'3)Target &amp; Cal_Staff'!$A$4:$A$164,'3)Target &amp; Cal_Sect'!$C46)</f>
        <v>0</v>
      </c>
      <c r="V46" s="296">
        <f>SUMIFS('3)Target &amp; Cal_Staff'!V$4:V$164,'3)Target &amp; Cal_Staff'!$B$4:$B$164,'3)Target &amp; Cal_Sect'!$B46,'3)Target &amp; Cal_Staff'!$A$4:$A$164,'3)Target &amp; Cal_Sect'!$C46)</f>
        <v>0</v>
      </c>
      <c r="W46" s="296">
        <f>SUMIFS('3)Target &amp; Cal_Staff'!W$4:W$164,'3)Target &amp; Cal_Staff'!$B$4:$B$164,'3)Target &amp; Cal_Sect'!$B46,'3)Target &amp; Cal_Staff'!$A$4:$A$164,'3)Target &amp; Cal_Sect'!$C46)</f>
        <v>0</v>
      </c>
      <c r="X46" s="296">
        <f>SUMIFS('3)Target &amp; Cal_Staff'!X$4:X$164,'3)Target &amp; Cal_Staff'!$B$4:$B$164,'3)Target &amp; Cal_Sect'!$B46,'3)Target &amp; Cal_Staff'!$A$4:$A$164,'3)Target &amp; Cal_Sect'!$C46)</f>
        <v>0</v>
      </c>
      <c r="Y46" s="296">
        <f>SUMIFS('3)Target &amp; Cal_Staff'!Y$4:Y$164,'3)Target &amp; Cal_Staff'!$B$4:$B$164,'3)Target &amp; Cal_Sect'!$B46,'3)Target &amp; Cal_Staff'!$A$4:$A$164,'3)Target &amp; Cal_Sect'!$C46)</f>
        <v>0</v>
      </c>
      <c r="Z46" s="296">
        <f>SUMIFS('3)Target &amp; Cal_Staff'!Z$4:Z$164,'3)Target &amp; Cal_Staff'!$B$4:$B$164,'3)Target &amp; Cal_Sect'!$B46,'3)Target &amp; Cal_Staff'!$A$4:$A$164,'3)Target &amp; Cal_Sect'!$C46)</f>
        <v>0</v>
      </c>
      <c r="AA46" s="296">
        <f>SUMIFS('3)Target &amp; Cal_Staff'!AA$4:AA$164,'3)Target &amp; Cal_Staff'!$B$4:$B$164,'3)Target &amp; Cal_Sect'!$B46,'3)Target &amp; Cal_Staff'!$A$4:$A$164,'3)Target &amp; Cal_Sect'!$C46)</f>
        <v>0</v>
      </c>
      <c r="AB46" s="297">
        <f>IFERROR(IF(VLOOKUP($B46,Shortage!$A:$M,AB$2,FALSE)="Shortage",1,IFERROR(ROUND(P46/D46,4),0)),IFERROR(ROUND(P46/D46,4),0))</f>
        <v>0</v>
      </c>
      <c r="AC46" s="297">
        <f>IFERROR(IF(VLOOKUP($B46,Shortage!$A:$M,AC$2,FALSE)="Shortage",1,IFERROR(ROUND(Q46/E46,4),0)),IFERROR(ROUND(Q46/E46,4),0))</f>
        <v>0</v>
      </c>
      <c r="AD46" s="297">
        <f>IFERROR(IF(VLOOKUP($B46,Shortage!$A:$M,AD$2,FALSE)="Shortage",1,IFERROR(ROUND(R46/F46,4),0)),IFERROR(ROUND(R46/F46,4),0))</f>
        <v>0</v>
      </c>
      <c r="AE46" s="297">
        <f>IFERROR(IF(VLOOKUP($B46,Shortage!$A:$M,AE$2,FALSE)="Shortage",1,IFERROR(ROUND(S46/G46,4),0)),IFERROR(ROUND(S46/G46,4),0))</f>
        <v>0</v>
      </c>
      <c r="AF46" s="297">
        <f>IFERROR(IF(VLOOKUP($B46,Shortage!$A:$M,AF$2,FALSE)="Shortage",1,IFERROR(ROUND(T46/H46,4),0)),IFERROR(ROUND(T46/H46,4),0))</f>
        <v>0</v>
      </c>
      <c r="AG46" s="297">
        <f>IFERROR(IF(VLOOKUP($B46,Shortage!$A:$M,AG$2,FALSE)="Shortage",1,IFERROR(ROUND(U46/I46,4),0)),IFERROR(ROUND(U46/I46,4),0))</f>
        <v>0</v>
      </c>
      <c r="AH46" s="297">
        <f>IFERROR(IF(VLOOKUP($B46,Shortage!$A:$M,AH$2,FALSE)="Shortage",1,IFERROR(ROUND(V46/J46,4),0)),IFERROR(ROUND(V46/J46,4),0))</f>
        <v>0</v>
      </c>
      <c r="AI46" s="297">
        <f>IFERROR(IF(VLOOKUP($B46,Shortage!$A:$M,AI$2,FALSE)="Shortage",1,IFERROR(ROUND(W46/K46,4),0)),IFERROR(ROUND(W46/K46,4),0))</f>
        <v>0</v>
      </c>
      <c r="AJ46" s="297">
        <f>IFERROR(IF(VLOOKUP($B46,Shortage!$A:$M,AJ$2,FALSE)="Shortage",1,IFERROR(ROUND(X46/L46,4),0)),IFERROR(ROUND(X46/L46,4),0))</f>
        <v>0</v>
      </c>
      <c r="AK46" s="297">
        <f>IFERROR(IF(VLOOKUP($B46,Shortage!$A:$M,AK$2,FALSE)="Shortage",1,IFERROR(ROUND(Y46/M46,4),0)),IFERROR(ROUND(Y46/M46,4),0))</f>
        <v>0</v>
      </c>
      <c r="AL46" s="297">
        <f>IFERROR(IF(VLOOKUP($B46,Shortage!$A:$M,AL$2,FALSE)="Shortage",1,IFERROR(ROUND(Z46/N46,4),0)),IFERROR(ROUND(Z46/N46,4),0))</f>
        <v>0</v>
      </c>
      <c r="AM46" s="297">
        <f>IFERROR(IF(VLOOKUP($B46,Shortage!$A:$M,AM$2,FALSE)="Shortage",1,IFERROR(ROUND(AA46/O46,4),0)),IFERROR(ROUND(AA46/O46,4),0))</f>
        <v>0</v>
      </c>
      <c r="AN46" s="298">
        <f>IFERROR(_xlfn.XLOOKUP(AB46,'2) หลักการคำนวน Table'!$C$3:$K$3,'2) หลักการคำนวน Table'!$C$3:$K$3,,1),INDEX('2) หลักการคำนวน Table'!$C$3:$K$3,1))</f>
        <v>0.9</v>
      </c>
      <c r="AO46" s="298">
        <f>IFERROR(
  _xlfn.XLOOKUP(AC46,'2) หลักการคำนวน Table'!$C$3:$K$3,'2) หลักการคำนวน Table'!$C$3:$K$3,,1),
  IF(AC46&lt;MIN('2) หลักการคำนวน Table'!$C$3:$K$3),
     MIN('2) หลักการคำนวน Table'!$C$3:$K$3),
     MAX('2) หลักการคำนวน Table'!$C$3:$K$3)
  )
)</f>
        <v>0.9</v>
      </c>
      <c r="AP46" s="298">
        <f>IFERROR(
  _xlfn.XLOOKUP(AD46,'2) หลักการคำนวน Table'!$C$3:$K$3,'2) หลักการคำนวน Table'!$C$3:$K$3,,1),
  IF(AD46&lt;MIN('2) หลักการคำนวน Table'!$C$3:$K$3),
     MIN('2) หลักการคำนวน Table'!$C$3:$K$3),
     MAX('2) หลักการคำนวน Table'!$C$3:$K$3)
  )
)</f>
        <v>0.9</v>
      </c>
      <c r="AQ46" s="298">
        <f>IFERROR(
  _xlfn.XLOOKUP(AE46,'2) หลักการคำนวน Table'!$C$3:$K$3,'2) หลักการคำนวน Table'!$C$3:$K$3,,1),
  IF(AE46&lt;MIN('2) หลักการคำนวน Table'!$C$3:$K$3),
     MIN('2) หลักการคำนวน Table'!$C$3:$K$3),
     MAX('2) หลักการคำนวน Table'!$C$3:$K$3)
  )
)</f>
        <v>0.9</v>
      </c>
      <c r="AR46" s="298">
        <f>IFERROR(
  _xlfn.XLOOKUP(AF46,'2) หลักการคำนวน Table'!$C$3:$K$3,'2) หลักการคำนวน Table'!$C$3:$K$3,,1),
  IF(AF46&lt;MIN('2) หลักการคำนวน Table'!$C$3:$K$3),
     MIN('2) หลักการคำนวน Table'!$C$3:$K$3),
     MAX('2) หลักการคำนวน Table'!$C$3:$K$3)
  )
)</f>
        <v>0.9</v>
      </c>
      <c r="AS46" s="298">
        <f>IFERROR(
  _xlfn.XLOOKUP(AG46,'2) หลักการคำนวน Table'!$C$3:$K$3,'2) หลักการคำนวน Table'!$C$3:$K$3,,1),
  IF(AG46&lt;MIN('2) หลักการคำนวน Table'!$C$3:$K$3),
     MIN('2) หลักการคำนวน Table'!$C$3:$K$3),
     MAX('2) หลักการคำนวน Table'!$C$3:$K$3)
  )
)</f>
        <v>0.9</v>
      </c>
      <c r="AT46" s="298">
        <f>IFERROR(
  _xlfn.XLOOKUP(AH46,'2) หลักการคำนวน Table'!$C$3:$K$3,'2) หลักการคำนวน Table'!$C$3:$K$3,,1),
  IF(AH46&lt;MIN('2) หลักการคำนวน Table'!$C$3:$K$3),
     MIN('2) หลักการคำนวน Table'!$C$3:$K$3),
     MAX('2) หลักการคำนวน Table'!$C$3:$K$3)
  )
)</f>
        <v>0.9</v>
      </c>
      <c r="AU46" s="298">
        <f>IFERROR(
  _xlfn.XLOOKUP(AI46,'2) หลักการคำนวน Table'!$C$3:$K$3,'2) หลักการคำนวน Table'!$C$3:$K$3,,1),
  IF(AI46&lt;MIN('2) หลักการคำนวน Table'!$C$3:$K$3),
     MIN('2) หลักการคำนวน Table'!$C$3:$K$3),
     MAX('2) หลักการคำนวน Table'!$C$3:$K$3)
  )
)</f>
        <v>0.9</v>
      </c>
      <c r="AV46" s="298">
        <f>IFERROR(
  _xlfn.XLOOKUP(AJ46,'2) หลักการคำนวน Table'!$C$3:$K$3,'2) หลักการคำนวน Table'!$C$3:$K$3,,1),
  IF(AJ46&lt;MIN('2) หลักการคำนวน Table'!$C$3:$K$3),
     MIN('2) หลักการคำนวน Table'!$C$3:$K$3),
     MAX('2) หลักการคำนวน Table'!$C$3:$K$3)
  )
)</f>
        <v>0.9</v>
      </c>
      <c r="AW46" s="298">
        <f>IFERROR(
  _xlfn.XLOOKUP(AK46,'2) หลักการคำนวน Table'!$C$3:$K$3,'2) หลักการคำนวน Table'!$C$3:$K$3,,1),
  IF(AK46&lt;MIN('2) หลักการคำนวน Table'!$C$3:$K$3),
     MIN('2) หลักการคำนวน Table'!$C$3:$K$3),
     MAX('2) หลักการคำนวน Table'!$C$3:$K$3)
  )
)</f>
        <v>0.9</v>
      </c>
      <c r="AX46" s="298">
        <f>IFERROR(
  _xlfn.XLOOKUP(AL46,'2) หลักการคำนวน Table'!$C$3:$K$3,'2) หลักการคำนวน Table'!$C$3:$K$3,,1),
  IF(AL46&lt;MIN('2) หลักการคำนวน Table'!$C$3:$K$3),
     MIN('2) หลักการคำนวน Table'!$C$3:$K$3),
     MAX('2) หลักการคำนวน Table'!$C$3:$K$3)
  )
)</f>
        <v>0.9</v>
      </c>
      <c r="AY46" s="298">
        <f>IFERROR(
  _xlfn.XLOOKUP(AM46,'2) หลักการคำนวน Table'!$C$3:$K$3,'2) หลักการคำนวน Table'!$C$3:$K$3,,1),
  IF(AM46&lt;MIN('2) หลักการคำนวน Table'!$C$3:$K$3),
     MIN('2) หลักการคำนวน Table'!$C$3:$K$3),
     MAX('2) หลักการคำนวน Table'!$C$3:$K$3)
  )
)</f>
        <v>0.9</v>
      </c>
      <c r="AZ46" s="299" t="e" cm="1">
        <f t="array" ref="AZ46">(_xlfn.XLOOKUP($C46,'2) หลักการคำนวน Table'!$A$4:$A$36,
_xlfn.XLOOKUP(AN46,'2)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</f>
        <v>#N/A</v>
      </c>
      <c r="BA46" s="299" t="e" cm="1">
        <f t="array" ref="BA46">(_xlfn.XLOOKUP($C46,'2) หลักการคำนวน Table'!$A$4:$A$36,
_xlfn.XLOOKUP(AO46,'2)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</f>
        <v>#N/A</v>
      </c>
      <c r="BB46" s="299" t="e" cm="1">
        <f t="array" ref="BB46">(_xlfn.XLOOKUP($C46,'2) หลักการคำนวน Table'!$A$4:$A$36,
_xlfn.XLOOKUP(AP46,'2)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</f>
        <v>#N/A</v>
      </c>
      <c r="BC46" s="299" t="e" cm="1">
        <f t="array" ref="BC46">(_xlfn.XLOOKUP($C46,'2) หลักการคำนวน Table'!$A$4:$A$36,
_xlfn.XLOOKUP(AQ46,'2)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</f>
        <v>#N/A</v>
      </c>
      <c r="BD46" s="299" t="e" cm="1">
        <f t="array" ref="BD46">(_xlfn.XLOOKUP($C46,'2) หลักการคำนวน Table'!$A$4:$A$36,
_xlfn.XLOOKUP(AR46,'2)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</f>
        <v>#N/A</v>
      </c>
      <c r="BE46" s="299" t="e" cm="1">
        <f t="array" ref="BE46">(_xlfn.XLOOKUP($C46,'2) หลักการคำนวน Table'!$A$4:$A$36,
_xlfn.XLOOKUP(AS46,'2)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</f>
        <v>#N/A</v>
      </c>
      <c r="BF46" s="299" t="e" cm="1">
        <f t="array" ref="BF46">(_xlfn.XLOOKUP($C46,'2) หลักการคำนวน Table'!$A$4:$A$36,
_xlfn.XLOOKUP(AT46,'2)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</f>
        <v>#N/A</v>
      </c>
      <c r="BG46" s="299" t="e" cm="1">
        <f t="array" ref="BG46">(_xlfn.XLOOKUP($C46,'2) หลักการคำนวน Table'!$A$4:$A$36,
_xlfn.XLOOKUP(AU46,'2)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</f>
        <v>#N/A</v>
      </c>
      <c r="BH46" s="299" t="e" cm="1">
        <f t="array" ref="BH46">ROUND((_xlfn.XLOOKUP($C46,'2) หลักการคำนวน Table'!$A$4:$A$36,
_xlfn.XLOOKUP(AV46,'2)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I46" s="299" t="e" cm="1">
        <f t="array" ref="BI46">ROUND((_xlfn.XLOOKUP($C46,'2) หลักการคำนวน Table'!$A$4:$A$36,
_xlfn.XLOOKUP(AW46,'2)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J46" s="299" t="e" cm="1">
        <f t="array" ref="BJ46">ROUND((_xlfn.XLOOKUP($C46,'2) หลักการคำนวน Table'!$A$4:$A$36,
_xlfn.XLOOKUP(AX46,'2)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K46" s="299" t="e" cm="1">
        <f t="array" ref="BK46">ROUND((_xlfn.XLOOKUP($C46,'2) หลักการคำนวน Table'!$A$4:$A$36,
_xlfn.XLOOKUP(AY46,'2) หลักการคำนวน Table'!$C$3:$K$3,'2) หลักการคำนวน Table'!$C$4:$K$36,,-1)))*(_xlfn.XLOOKUP($C46,'2) หลักการคำนวน Table'!$A$4:$A$36, _xlfn.XLOOKUP($B46,'2) หลักการคำนวน Table'!$L$3:$Z$3,'2) หลักการคำนวน Table'!$L$4:$Z$36))),0)</f>
        <v>#N/A</v>
      </c>
      <c r="BL46" s="295"/>
      <c r="BM46" s="295">
        <v>222237</v>
      </c>
      <c r="BN46" s="300">
        <v>0</v>
      </c>
    </row>
    <row r="47" spans="1:66" ht="13.2" customHeight="1" x14ac:dyDescent="0.25">
      <c r="A47" s="322">
        <f>VLOOKUP(C47,ASTBase!F:S,12,FALSE)</f>
        <v>222223</v>
      </c>
      <c r="B47" s="295" t="s">
        <v>419</v>
      </c>
      <c r="C47" s="322">
        <v>222237</v>
      </c>
      <c r="D47" s="296">
        <f>SUMIFS('3)Target &amp; Cal_Staff'!D$4:D$164,'3)Target &amp; Cal_Staff'!$B$4:$B$164,'3)Target &amp; Cal_Sect'!$B47,'3)Target &amp; Cal_Staff'!$A$4:$A$164,'3)Target &amp; Cal_Sect'!$C47)</f>
        <v>250</v>
      </c>
      <c r="E47" s="296">
        <f>SUMIFS('3)Target &amp; Cal_Staff'!E$4:E$164,'3)Target &amp; Cal_Staff'!$B$4:$B$164,'3)Target &amp; Cal_Sect'!$B47,'3)Target &amp; Cal_Staff'!$A$4:$A$164,'3)Target &amp; Cal_Sect'!$C47)</f>
        <v>250</v>
      </c>
      <c r="F47" s="296">
        <f>SUMIFS('3)Target &amp; Cal_Staff'!F$4:F$164,'3)Target &amp; Cal_Staff'!$B$4:$B$164,'3)Target &amp; Cal_Sect'!$B47,'3)Target &amp; Cal_Staff'!$A$4:$A$164,'3)Target &amp; Cal_Sect'!$C47)</f>
        <v>250</v>
      </c>
      <c r="G47" s="296">
        <f>SUMIFS('3)Target &amp; Cal_Staff'!G$4:G$164,'3)Target &amp; Cal_Staff'!$B$4:$B$164,'3)Target &amp; Cal_Sect'!$B47,'3)Target &amp; Cal_Staff'!$A$4:$A$164,'3)Target &amp; Cal_Sect'!$C47)</f>
        <v>300</v>
      </c>
      <c r="H47" s="296">
        <f>SUMIFS('3)Target &amp; Cal_Staff'!H$4:H$164,'3)Target &amp; Cal_Staff'!$B$4:$B$164,'3)Target &amp; Cal_Sect'!$B47,'3)Target &amp; Cal_Staff'!$A$4:$A$164,'3)Target &amp; Cal_Sect'!$C47)</f>
        <v>300</v>
      </c>
      <c r="I47" s="296">
        <f>SUMIFS('3)Target &amp; Cal_Staff'!I$4:I$164,'3)Target &amp; Cal_Staff'!$B$4:$B$164,'3)Target &amp; Cal_Sect'!$B47,'3)Target &amp; Cal_Staff'!$A$4:$A$164,'3)Target &amp; Cal_Sect'!$C47)</f>
        <v>300</v>
      </c>
      <c r="J47" s="296">
        <f>SUMIFS('3)Target &amp; Cal_Staff'!J$4:J$164,'3)Target &amp; Cal_Staff'!$B$4:$B$164,'3)Target &amp; Cal_Sect'!$B47,'3)Target &amp; Cal_Staff'!$A$4:$A$164,'3)Target &amp; Cal_Sect'!$C47)</f>
        <v>300</v>
      </c>
      <c r="K47" s="296">
        <f>SUMIFS('3)Target &amp; Cal_Staff'!K$4:K$164,'3)Target &amp; Cal_Staff'!$B$4:$B$164,'3)Target &amp; Cal_Sect'!$B47,'3)Target &amp; Cal_Staff'!$A$4:$A$164,'3)Target &amp; Cal_Sect'!$C47)</f>
        <v>300</v>
      </c>
      <c r="L47" s="296">
        <f>SUMIFS('3)Target &amp; Cal_Staff'!L$4:L$164,'3)Target &amp; Cal_Staff'!$B$4:$B$164,'3)Target &amp; Cal_Sect'!$B47,'3)Target &amp; Cal_Staff'!$A$4:$A$164,'3)Target &amp; Cal_Sect'!$C47)</f>
        <v>300</v>
      </c>
      <c r="M47" s="296">
        <f>SUMIFS('3)Target &amp; Cal_Staff'!M$4:M$164,'3)Target &amp; Cal_Staff'!$B$4:$B$164,'3)Target &amp; Cal_Sect'!$B47,'3)Target &amp; Cal_Staff'!$A$4:$A$164,'3)Target &amp; Cal_Sect'!$C47)</f>
        <v>300</v>
      </c>
      <c r="N47" s="296">
        <f>SUMIFS('3)Target &amp; Cal_Staff'!N$4:N$164,'3)Target &amp; Cal_Staff'!$B$4:$B$164,'3)Target &amp; Cal_Sect'!$B47,'3)Target &amp; Cal_Staff'!$A$4:$A$164,'3)Target &amp; Cal_Sect'!$C47)</f>
        <v>300</v>
      </c>
      <c r="O47" s="296">
        <f>SUMIFS('3)Target &amp; Cal_Staff'!O$4:O$164,'3)Target &amp; Cal_Staff'!$B$4:$B$164,'3)Target &amp; Cal_Sect'!$B47,'3)Target &amp; Cal_Staff'!$A$4:$A$164,'3)Target &amp; Cal_Sect'!$C47)</f>
        <v>300</v>
      </c>
      <c r="P47" s="296">
        <f>SUMIFS('3)Target &amp; Cal_Staff'!P$4:P$164,'3)Target &amp; Cal_Staff'!$B$4:$B$164,'3)Target &amp; Cal_Sect'!$B47,'3)Target &amp; Cal_Staff'!$A$4:$A$164,'3)Target &amp; Cal_Sect'!$C47)</f>
        <v>133</v>
      </c>
      <c r="Q47" s="296">
        <f>SUMIFS('3)Target &amp; Cal_Staff'!Q$4:Q$164,'3)Target &amp; Cal_Staff'!$B$4:$B$164,'3)Target &amp; Cal_Sect'!$B47,'3)Target &amp; Cal_Staff'!$A$4:$A$164,'3)Target &amp; Cal_Sect'!$C47)</f>
        <v>0</v>
      </c>
      <c r="R47" s="296">
        <f>SUMIFS('3)Target &amp; Cal_Staff'!R$4:R$164,'3)Target &amp; Cal_Staff'!$B$4:$B$164,'3)Target &amp; Cal_Sect'!$B47,'3)Target &amp; Cal_Staff'!$A$4:$A$164,'3)Target &amp; Cal_Sect'!$C47)</f>
        <v>0</v>
      </c>
      <c r="S47" s="296">
        <f>SUMIFS('3)Target &amp; Cal_Staff'!S$4:S$164,'3)Target &amp; Cal_Staff'!$B$4:$B$164,'3)Target &amp; Cal_Sect'!$B47,'3)Target &amp; Cal_Staff'!$A$4:$A$164,'3)Target &amp; Cal_Sect'!$C47)</f>
        <v>0</v>
      </c>
      <c r="T47" s="296">
        <f>SUMIFS('3)Target &amp; Cal_Staff'!T$4:T$164,'3)Target &amp; Cal_Staff'!$B$4:$B$164,'3)Target &amp; Cal_Sect'!$B47,'3)Target &amp; Cal_Staff'!$A$4:$A$164,'3)Target &amp; Cal_Sect'!$C47)</f>
        <v>0</v>
      </c>
      <c r="U47" s="296">
        <f>SUMIFS('3)Target &amp; Cal_Staff'!U$4:U$164,'3)Target &amp; Cal_Staff'!$B$4:$B$164,'3)Target &amp; Cal_Sect'!$B47,'3)Target &amp; Cal_Staff'!$A$4:$A$164,'3)Target &amp; Cal_Sect'!$C47)</f>
        <v>0</v>
      </c>
      <c r="V47" s="296">
        <f>SUMIFS('3)Target &amp; Cal_Staff'!V$4:V$164,'3)Target &amp; Cal_Staff'!$B$4:$B$164,'3)Target &amp; Cal_Sect'!$B47,'3)Target &amp; Cal_Staff'!$A$4:$A$164,'3)Target &amp; Cal_Sect'!$C47)</f>
        <v>0</v>
      </c>
      <c r="W47" s="296">
        <f>SUMIFS('3)Target &amp; Cal_Staff'!W$4:W$164,'3)Target &amp; Cal_Staff'!$B$4:$B$164,'3)Target &amp; Cal_Sect'!$B47,'3)Target &amp; Cal_Staff'!$A$4:$A$164,'3)Target &amp; Cal_Sect'!$C47)</f>
        <v>0</v>
      </c>
      <c r="X47" s="296">
        <f>SUMIFS('3)Target &amp; Cal_Staff'!X$4:X$164,'3)Target &amp; Cal_Staff'!$B$4:$B$164,'3)Target &amp; Cal_Sect'!$B47,'3)Target &amp; Cal_Staff'!$A$4:$A$164,'3)Target &amp; Cal_Sect'!$C47)</f>
        <v>0</v>
      </c>
      <c r="Y47" s="296">
        <f>SUMIFS('3)Target &amp; Cal_Staff'!Y$4:Y$164,'3)Target &amp; Cal_Staff'!$B$4:$B$164,'3)Target &amp; Cal_Sect'!$B47,'3)Target &amp; Cal_Staff'!$A$4:$A$164,'3)Target &amp; Cal_Sect'!$C47)</f>
        <v>0</v>
      </c>
      <c r="Z47" s="296">
        <f>SUMIFS('3)Target &amp; Cal_Staff'!Z$4:Z$164,'3)Target &amp; Cal_Staff'!$B$4:$B$164,'3)Target &amp; Cal_Sect'!$B47,'3)Target &amp; Cal_Staff'!$A$4:$A$164,'3)Target &amp; Cal_Sect'!$C47)</f>
        <v>0</v>
      </c>
      <c r="AA47" s="296">
        <f>SUMIFS('3)Target &amp; Cal_Staff'!AA$4:AA$164,'3)Target &amp; Cal_Staff'!$B$4:$B$164,'3)Target &amp; Cal_Sect'!$B47,'3)Target &amp; Cal_Staff'!$A$4:$A$164,'3)Target &amp; Cal_Sect'!$C47)</f>
        <v>0</v>
      </c>
      <c r="AB47" s="297">
        <f>IFERROR(IF(VLOOKUP($B47,Shortage!$A:$M,AB$2,FALSE)="Shortage",1,IFERROR(ROUND(P47/D47,4),0)),IFERROR(ROUND(P47/D47,4),0))</f>
        <v>0.53200000000000003</v>
      </c>
      <c r="AC47" s="297">
        <f>IFERROR(IF(VLOOKUP($B47,Shortage!$A:$M,AC$2,FALSE)="Shortage",1,IFERROR(ROUND(Q47/E47,4),0)),IFERROR(ROUND(Q47/E47,4),0))</f>
        <v>0</v>
      </c>
      <c r="AD47" s="297">
        <f>IFERROR(IF(VLOOKUP($B47,Shortage!$A:$M,AD$2,FALSE)="Shortage",1,IFERROR(ROUND(R47/F47,4),0)),IFERROR(ROUND(R47/F47,4),0))</f>
        <v>0</v>
      </c>
      <c r="AE47" s="297">
        <f>IFERROR(IF(VLOOKUP($B47,Shortage!$A:$M,AE$2,FALSE)="Shortage",1,IFERROR(ROUND(S47/G47,4),0)),IFERROR(ROUND(S47/G47,4),0))</f>
        <v>0</v>
      </c>
      <c r="AF47" s="297">
        <f>IFERROR(IF(VLOOKUP($B47,Shortage!$A:$M,AF$2,FALSE)="Shortage",1,IFERROR(ROUND(T47/H47,4),0)),IFERROR(ROUND(T47/H47,4),0))</f>
        <v>0</v>
      </c>
      <c r="AG47" s="297">
        <f>IFERROR(IF(VLOOKUP($B47,Shortage!$A:$M,AG$2,FALSE)="Shortage",1,IFERROR(ROUND(U47/I47,4),0)),IFERROR(ROUND(U47/I47,4),0))</f>
        <v>0</v>
      </c>
      <c r="AH47" s="297">
        <f>IFERROR(IF(VLOOKUP($B47,Shortage!$A:$M,AH$2,FALSE)="Shortage",1,IFERROR(ROUND(V47/J47,4),0)),IFERROR(ROUND(V47/J47,4),0))</f>
        <v>0</v>
      </c>
      <c r="AI47" s="297">
        <f>IFERROR(IF(VLOOKUP($B47,Shortage!$A:$M,AI$2,FALSE)="Shortage",1,IFERROR(ROUND(W47/K47,4),0)),IFERROR(ROUND(W47/K47,4),0))</f>
        <v>0</v>
      </c>
      <c r="AJ47" s="297">
        <f>IFERROR(IF(VLOOKUP($B47,Shortage!$A:$M,AJ$2,FALSE)="Shortage",1,IFERROR(ROUND(X47/L47,4),0)),IFERROR(ROUND(X47/L47,4),0))</f>
        <v>0</v>
      </c>
      <c r="AK47" s="297">
        <f>IFERROR(IF(VLOOKUP($B47,Shortage!$A:$M,AK$2,FALSE)="Shortage",1,IFERROR(ROUND(Y47/M47,4),0)),IFERROR(ROUND(Y47/M47,4),0))</f>
        <v>0</v>
      </c>
      <c r="AL47" s="297">
        <f>IFERROR(IF(VLOOKUP($B47,Shortage!$A:$M,AL$2,FALSE)="Shortage",1,IFERROR(ROUND(Z47/N47,4),0)),IFERROR(ROUND(Z47/N47,4),0))</f>
        <v>0</v>
      </c>
      <c r="AM47" s="297">
        <f>IFERROR(IF(VLOOKUP($B47,Shortage!$A:$M,AM$2,FALSE)="Shortage",1,IFERROR(ROUND(AA47/O47,4),0)),IFERROR(ROUND(AA47/O47,4),0))</f>
        <v>0</v>
      </c>
      <c r="AN47" s="298">
        <f>IFERROR(_xlfn.XLOOKUP(AB47,'2) หลักการคำนวน Table'!$C$3:$K$3,'2) หลักการคำนวน Table'!$C$3:$K$3,,1),INDEX('2) หลักการคำนวน Table'!$C$3:$K$3,1))</f>
        <v>0.9</v>
      </c>
      <c r="AO47" s="298">
        <f>IFERROR(
  _xlfn.XLOOKUP(AC47,'2) หลักการคำนวน Table'!$C$3:$K$3,'2) หลักการคำนวน Table'!$C$3:$K$3,,1),
  IF(AC47&lt;MIN('2) หลักการคำนวน Table'!$C$3:$K$3),
     MIN('2) หลักการคำนวน Table'!$C$3:$K$3),
     MAX('2) หลักการคำนวน Table'!$C$3:$K$3)
  )
)</f>
        <v>0.9</v>
      </c>
      <c r="AP47" s="298">
        <f>IFERROR(
  _xlfn.XLOOKUP(AD47,'2) หลักการคำนวน Table'!$C$3:$K$3,'2) หลักการคำนวน Table'!$C$3:$K$3,,1),
  IF(AD47&lt;MIN('2) หลักการคำนวน Table'!$C$3:$K$3),
     MIN('2) หลักการคำนวน Table'!$C$3:$K$3),
     MAX('2) หลักการคำนวน Table'!$C$3:$K$3)
  )
)</f>
        <v>0.9</v>
      </c>
      <c r="AQ47" s="298">
        <f>IFERROR(
  _xlfn.XLOOKUP(AE47,'2) หลักการคำนวน Table'!$C$3:$K$3,'2) หลักการคำนวน Table'!$C$3:$K$3,,1),
  IF(AE47&lt;MIN('2) หลักการคำนวน Table'!$C$3:$K$3),
     MIN('2) หลักการคำนวน Table'!$C$3:$K$3),
     MAX('2) หลักการคำนวน Table'!$C$3:$K$3)
  )
)</f>
        <v>0.9</v>
      </c>
      <c r="AR47" s="298">
        <f>IFERROR(
  _xlfn.XLOOKUP(AF47,'2) หลักการคำนวน Table'!$C$3:$K$3,'2) หลักการคำนวน Table'!$C$3:$K$3,,1),
  IF(AF47&lt;MIN('2) หลักการคำนวน Table'!$C$3:$K$3),
     MIN('2) หลักการคำนวน Table'!$C$3:$K$3),
     MAX('2) หลักการคำนวน Table'!$C$3:$K$3)
  )
)</f>
        <v>0.9</v>
      </c>
      <c r="AS47" s="298">
        <f>IFERROR(
  _xlfn.XLOOKUP(AG47,'2) หลักการคำนวน Table'!$C$3:$K$3,'2) หลักการคำนวน Table'!$C$3:$K$3,,1),
  IF(AG47&lt;MIN('2) หลักการคำนวน Table'!$C$3:$K$3),
     MIN('2) หลักการคำนวน Table'!$C$3:$K$3),
     MAX('2) หลักการคำนวน Table'!$C$3:$K$3)
  )
)</f>
        <v>0.9</v>
      </c>
      <c r="AT47" s="298">
        <f>IFERROR(
  _xlfn.XLOOKUP(AH47,'2) หลักการคำนวน Table'!$C$3:$K$3,'2) หลักการคำนวน Table'!$C$3:$K$3,,1),
  IF(AH47&lt;MIN('2) หลักการคำนวน Table'!$C$3:$K$3),
     MIN('2) หลักการคำนวน Table'!$C$3:$K$3),
     MAX('2) หลักการคำนวน Table'!$C$3:$K$3)
  )
)</f>
        <v>0.9</v>
      </c>
      <c r="AU47" s="298">
        <f>IFERROR(
  _xlfn.XLOOKUP(AI47,'2) หลักการคำนวน Table'!$C$3:$K$3,'2) หลักการคำนวน Table'!$C$3:$K$3,,1),
  IF(AI47&lt;MIN('2) หลักการคำนวน Table'!$C$3:$K$3),
     MIN('2) หลักการคำนวน Table'!$C$3:$K$3),
     MAX('2) หลักการคำนวน Table'!$C$3:$K$3)
  )
)</f>
        <v>0.9</v>
      </c>
      <c r="AV47" s="298">
        <f>IFERROR(
  _xlfn.XLOOKUP(AJ47,'2) หลักการคำนวน Table'!$C$3:$K$3,'2) หลักการคำนวน Table'!$C$3:$K$3,,1),
  IF(AJ47&lt;MIN('2) หลักการคำนวน Table'!$C$3:$K$3),
     MIN('2) หลักการคำนวน Table'!$C$3:$K$3),
     MAX('2) หลักการคำนวน Table'!$C$3:$K$3)
  )
)</f>
        <v>0.9</v>
      </c>
      <c r="AW47" s="298">
        <f>IFERROR(
  _xlfn.XLOOKUP(AK47,'2) หลักการคำนวน Table'!$C$3:$K$3,'2) หลักการคำนวน Table'!$C$3:$K$3,,1),
  IF(AK47&lt;MIN('2) หลักการคำนวน Table'!$C$3:$K$3),
     MIN('2) หลักการคำนวน Table'!$C$3:$K$3),
     MAX('2) หลักการคำนวน Table'!$C$3:$K$3)
  )
)</f>
        <v>0.9</v>
      </c>
      <c r="AX47" s="298">
        <f>IFERROR(
  _xlfn.XLOOKUP(AL47,'2) หลักการคำนวน Table'!$C$3:$K$3,'2) หลักการคำนวน Table'!$C$3:$K$3,,1),
  IF(AL47&lt;MIN('2) หลักการคำนวน Table'!$C$3:$K$3),
     MIN('2) หลักการคำนวน Table'!$C$3:$K$3),
     MAX('2) หลักการคำนวน Table'!$C$3:$K$3)
  )
)</f>
        <v>0.9</v>
      </c>
      <c r="AY47" s="298">
        <f>IFERROR(
  _xlfn.XLOOKUP(AM47,'2) หลักการคำนวน Table'!$C$3:$K$3,'2) หลักการคำนวน Table'!$C$3:$K$3,,1),
  IF(AM47&lt;MIN('2) หลักการคำนวน Table'!$C$3:$K$3),
     MIN('2) หลักการคำนวน Table'!$C$3:$K$3),
     MAX('2) หลักการคำนวน Table'!$C$3:$K$3)
  )
)</f>
        <v>0.9</v>
      </c>
      <c r="AZ47" s="299" t="e" cm="1">
        <f t="array" ref="AZ47">(_xlfn.XLOOKUP($C47,'2) หลักการคำนวน Table'!$A$4:$A$36,
_xlfn.XLOOKUP(AN47,'2)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</f>
        <v>#N/A</v>
      </c>
      <c r="BA47" s="299" t="e" cm="1">
        <f t="array" ref="BA47">(_xlfn.XLOOKUP($C47,'2) หลักการคำนวน Table'!$A$4:$A$36,
_xlfn.XLOOKUP(AO47,'2)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</f>
        <v>#N/A</v>
      </c>
      <c r="BB47" s="299" t="e" cm="1">
        <f t="array" ref="BB47">(_xlfn.XLOOKUP($C47,'2) หลักการคำนวน Table'!$A$4:$A$36,
_xlfn.XLOOKUP(AP47,'2)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</f>
        <v>#N/A</v>
      </c>
      <c r="BC47" s="299" t="e" cm="1">
        <f t="array" ref="BC47">(_xlfn.XLOOKUP($C47,'2) หลักการคำนวน Table'!$A$4:$A$36,
_xlfn.XLOOKUP(AQ47,'2)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</f>
        <v>#N/A</v>
      </c>
      <c r="BD47" s="299" t="e" cm="1">
        <f t="array" ref="BD47">(_xlfn.XLOOKUP($C47,'2) หลักการคำนวน Table'!$A$4:$A$36,
_xlfn.XLOOKUP(AR47,'2)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</f>
        <v>#N/A</v>
      </c>
      <c r="BE47" s="299" t="e" cm="1">
        <f t="array" ref="BE47">(_xlfn.XLOOKUP($C47,'2) หลักการคำนวน Table'!$A$4:$A$36,
_xlfn.XLOOKUP(AS47,'2)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</f>
        <v>#N/A</v>
      </c>
      <c r="BF47" s="299" t="e" cm="1">
        <f t="array" ref="BF47">(_xlfn.XLOOKUP($C47,'2) หลักการคำนวน Table'!$A$4:$A$36,
_xlfn.XLOOKUP(AT47,'2)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</f>
        <v>#N/A</v>
      </c>
      <c r="BG47" s="299" t="e" cm="1">
        <f t="array" ref="BG47">(_xlfn.XLOOKUP($C47,'2) หลักการคำนวน Table'!$A$4:$A$36,
_xlfn.XLOOKUP(AU47,'2)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</f>
        <v>#N/A</v>
      </c>
      <c r="BH47" s="299" t="e" cm="1">
        <f t="array" ref="BH47">ROUND((_xlfn.XLOOKUP($C47,'2) หลักการคำนวน Table'!$A$4:$A$36,
_xlfn.XLOOKUP(AV47,'2)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I47" s="299" t="e" cm="1">
        <f t="array" ref="BI47">ROUND((_xlfn.XLOOKUP($C47,'2) หลักการคำนวน Table'!$A$4:$A$36,
_xlfn.XLOOKUP(AW47,'2)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J47" s="299" t="e" cm="1">
        <f t="array" ref="BJ47">ROUND((_xlfn.XLOOKUP($C47,'2) หลักการคำนวน Table'!$A$4:$A$36,
_xlfn.XLOOKUP(AX47,'2)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K47" s="299" t="e" cm="1">
        <f t="array" ref="BK47">ROUND((_xlfn.XLOOKUP($C47,'2) หลักการคำนวน Table'!$A$4:$A$36,
_xlfn.XLOOKUP(AY47,'2) หลักการคำนวน Table'!$C$3:$K$3,'2) หลักการคำนวน Table'!$C$4:$K$36,,-1)))*(_xlfn.XLOOKUP($C47,'2) หลักการคำนวน Table'!$A$4:$A$36, _xlfn.XLOOKUP($B47,'2) หลักการคำนวน Table'!$L$3:$Z$3,'2) หลักการคำนวน Table'!$L$4:$Z$36))),0)</f>
        <v>#N/A</v>
      </c>
      <c r="BL47" s="295"/>
      <c r="BM47" s="295">
        <v>222237</v>
      </c>
      <c r="BN47" s="300">
        <v>45.454545454545453</v>
      </c>
    </row>
    <row r="48" spans="1:66" ht="13.2" customHeight="1" x14ac:dyDescent="0.25">
      <c r="A48" s="322">
        <f>VLOOKUP(C48,ASTBase!F:S,12,FALSE)</f>
        <v>222234</v>
      </c>
      <c r="B48" s="295" t="s">
        <v>416</v>
      </c>
      <c r="C48" s="322">
        <v>222236</v>
      </c>
      <c r="D48" s="296">
        <f>SUMIFS('3)Target &amp; Cal_Staff'!D$4:D$164,'3)Target &amp; Cal_Staff'!$B$4:$B$164,'3)Target &amp; Cal_Sect'!$B48,'3)Target &amp; Cal_Staff'!$A$4:$A$164,'3)Target &amp; Cal_Sect'!$C48)</f>
        <v>1083.2</v>
      </c>
      <c r="E48" s="296">
        <f>SUMIFS('3)Target &amp; Cal_Staff'!E$4:E$164,'3)Target &amp; Cal_Staff'!$B$4:$B$164,'3)Target &amp; Cal_Sect'!$B48,'3)Target &amp; Cal_Staff'!$A$4:$A$164,'3)Target &amp; Cal_Sect'!$C48)</f>
        <v>1270.5999999999999</v>
      </c>
      <c r="F48" s="296">
        <f>SUMIFS('3)Target &amp; Cal_Staff'!F$4:F$164,'3)Target &amp; Cal_Staff'!$B$4:$B$164,'3)Target &amp; Cal_Sect'!$B48,'3)Target &amp; Cal_Staff'!$A$4:$A$164,'3)Target &amp; Cal_Sect'!$C48)</f>
        <v>1416.6</v>
      </c>
      <c r="G48" s="296">
        <f>SUMIFS('3)Target &amp; Cal_Staff'!G$4:G$164,'3)Target &amp; Cal_Staff'!$B$4:$B$164,'3)Target &amp; Cal_Sect'!$B48,'3)Target &amp; Cal_Staff'!$A$4:$A$164,'3)Target &amp; Cal_Sect'!$C48)</f>
        <v>2417.8000000000002</v>
      </c>
      <c r="H48" s="296">
        <f>SUMIFS('3)Target &amp; Cal_Staff'!H$4:H$164,'3)Target &amp; Cal_Staff'!$B$4:$B$164,'3)Target &amp; Cal_Sect'!$B48,'3)Target &amp; Cal_Staff'!$A$4:$A$164,'3)Target &amp; Cal_Sect'!$C48)</f>
        <v>2522</v>
      </c>
      <c r="I48" s="296">
        <f>SUMIFS('3)Target &amp; Cal_Staff'!I$4:I$164,'3)Target &amp; Cal_Staff'!$B$4:$B$164,'3)Target &amp; Cal_Sect'!$B48,'3)Target &amp; Cal_Staff'!$A$4:$A$164,'3)Target &amp; Cal_Sect'!$C48)</f>
        <v>2162.25</v>
      </c>
      <c r="J48" s="296">
        <f>SUMIFS('3)Target &amp; Cal_Staff'!J$4:J$164,'3)Target &amp; Cal_Staff'!$B$4:$B$164,'3)Target &amp; Cal_Sect'!$B48,'3)Target &amp; Cal_Staff'!$A$4:$A$164,'3)Target &amp; Cal_Sect'!$C48)</f>
        <v>3971.7</v>
      </c>
      <c r="K48" s="296">
        <f>SUMIFS('3)Target &amp; Cal_Staff'!K$4:K$164,'3)Target &amp; Cal_Staff'!$B$4:$B$164,'3)Target &amp; Cal_Sect'!$B48,'3)Target &amp; Cal_Staff'!$A$4:$A$164,'3)Target &amp; Cal_Sect'!$C48)</f>
        <v>4136.45</v>
      </c>
      <c r="L48" s="296">
        <f>SUMIFS('3)Target &amp; Cal_Staff'!L$4:L$164,'3)Target &amp; Cal_Staff'!$B$4:$B$164,'3)Target &amp; Cal_Sect'!$B48,'3)Target &amp; Cal_Staff'!$A$4:$A$164,'3)Target &amp; Cal_Sect'!$C48)</f>
        <v>3748</v>
      </c>
      <c r="M48" s="296">
        <f>SUMIFS('3)Target &amp; Cal_Staff'!M$4:M$164,'3)Target &amp; Cal_Staff'!$B$4:$B$164,'3)Target &amp; Cal_Sect'!$B48,'3)Target &amp; Cal_Staff'!$A$4:$A$164,'3)Target &amp; Cal_Sect'!$C48)</f>
        <v>2373</v>
      </c>
      <c r="N48" s="296">
        <f>SUMIFS('3)Target &amp; Cal_Staff'!N$4:N$164,'3)Target &amp; Cal_Staff'!$B$4:$B$164,'3)Target &amp; Cal_Sect'!$B48,'3)Target &amp; Cal_Staff'!$A$4:$A$164,'3)Target &amp; Cal_Sect'!$C48)</f>
        <v>1622</v>
      </c>
      <c r="O48" s="296">
        <f>SUMIFS('3)Target &amp; Cal_Staff'!O$4:O$164,'3)Target &amp; Cal_Staff'!$B$4:$B$164,'3)Target &amp; Cal_Sect'!$B48,'3)Target &amp; Cal_Staff'!$A$4:$A$164,'3)Target &amp; Cal_Sect'!$C48)</f>
        <v>1528</v>
      </c>
      <c r="P48" s="296">
        <f>SUMIFS('3)Target &amp; Cal_Staff'!P$4:P$164,'3)Target &amp; Cal_Staff'!$B$4:$B$164,'3)Target &amp; Cal_Sect'!$B48,'3)Target &amp; Cal_Staff'!$A$4:$A$164,'3)Target &amp; Cal_Sect'!$C48)</f>
        <v>1566.9999999671545</v>
      </c>
      <c r="Q48" s="296">
        <f>SUMIFS('3)Target &amp; Cal_Staff'!Q$4:Q$164,'3)Target &amp; Cal_Staff'!$B$4:$B$164,'3)Target &amp; Cal_Sect'!$B48,'3)Target &amp; Cal_Staff'!$A$4:$A$164,'3)Target &amp; Cal_Sect'!$C48)</f>
        <v>0</v>
      </c>
      <c r="R48" s="296">
        <f>SUMIFS('3)Target &amp; Cal_Staff'!R$4:R$164,'3)Target &amp; Cal_Staff'!$B$4:$B$164,'3)Target &amp; Cal_Sect'!$B48,'3)Target &amp; Cal_Staff'!$A$4:$A$164,'3)Target &amp; Cal_Sect'!$C48)</f>
        <v>0</v>
      </c>
      <c r="S48" s="296">
        <f>SUMIFS('3)Target &amp; Cal_Staff'!S$4:S$164,'3)Target &amp; Cal_Staff'!$B$4:$B$164,'3)Target &amp; Cal_Sect'!$B48,'3)Target &amp; Cal_Staff'!$A$4:$A$164,'3)Target &amp; Cal_Sect'!$C48)</f>
        <v>0</v>
      </c>
      <c r="T48" s="296">
        <f>SUMIFS('3)Target &amp; Cal_Staff'!T$4:T$164,'3)Target &amp; Cal_Staff'!$B$4:$B$164,'3)Target &amp; Cal_Sect'!$B48,'3)Target &amp; Cal_Staff'!$A$4:$A$164,'3)Target &amp; Cal_Sect'!$C48)</f>
        <v>0</v>
      </c>
      <c r="U48" s="296">
        <f>SUMIFS('3)Target &amp; Cal_Staff'!U$4:U$164,'3)Target &amp; Cal_Staff'!$B$4:$B$164,'3)Target &amp; Cal_Sect'!$B48,'3)Target &amp; Cal_Staff'!$A$4:$A$164,'3)Target &amp; Cal_Sect'!$C48)</f>
        <v>0</v>
      </c>
      <c r="V48" s="296">
        <f>SUMIFS('3)Target &amp; Cal_Staff'!V$4:V$164,'3)Target &amp; Cal_Staff'!$B$4:$B$164,'3)Target &amp; Cal_Sect'!$B48,'3)Target &amp; Cal_Staff'!$A$4:$A$164,'3)Target &amp; Cal_Sect'!$C48)</f>
        <v>0</v>
      </c>
      <c r="W48" s="296">
        <f>SUMIFS('3)Target &amp; Cal_Staff'!W$4:W$164,'3)Target &amp; Cal_Staff'!$B$4:$B$164,'3)Target &amp; Cal_Sect'!$B48,'3)Target &amp; Cal_Staff'!$A$4:$A$164,'3)Target &amp; Cal_Sect'!$C48)</f>
        <v>0</v>
      </c>
      <c r="X48" s="296">
        <f>SUMIFS('3)Target &amp; Cal_Staff'!X$4:X$164,'3)Target &amp; Cal_Staff'!$B$4:$B$164,'3)Target &amp; Cal_Sect'!$B48,'3)Target &amp; Cal_Staff'!$A$4:$A$164,'3)Target &amp; Cal_Sect'!$C48)</f>
        <v>0</v>
      </c>
      <c r="Y48" s="296">
        <f>SUMIFS('3)Target &amp; Cal_Staff'!Y$4:Y$164,'3)Target &amp; Cal_Staff'!$B$4:$B$164,'3)Target &amp; Cal_Sect'!$B48,'3)Target &amp; Cal_Staff'!$A$4:$A$164,'3)Target &amp; Cal_Sect'!$C48)</f>
        <v>0</v>
      </c>
      <c r="Z48" s="296">
        <f>SUMIFS('3)Target &amp; Cal_Staff'!Z$4:Z$164,'3)Target &amp; Cal_Staff'!$B$4:$B$164,'3)Target &amp; Cal_Sect'!$B48,'3)Target &amp; Cal_Staff'!$A$4:$A$164,'3)Target &amp; Cal_Sect'!$C48)</f>
        <v>0</v>
      </c>
      <c r="AA48" s="296">
        <f>SUMIFS('3)Target &amp; Cal_Staff'!AA$4:AA$164,'3)Target &amp; Cal_Staff'!$B$4:$B$164,'3)Target &amp; Cal_Sect'!$B48,'3)Target &amp; Cal_Staff'!$A$4:$A$164,'3)Target &amp; Cal_Sect'!$C48)</f>
        <v>0</v>
      </c>
      <c r="AB48" s="297">
        <f>IFERROR(IF(VLOOKUP($B48,Shortage!$A:$M,AB$2,FALSE)="Shortage",1,IFERROR(ROUND(P48/D48,4),0)),IFERROR(ROUND(P48/D48,4),0))</f>
        <v>1.4466000000000001</v>
      </c>
      <c r="AC48" s="297">
        <f>IFERROR(IF(VLOOKUP($B48,Shortage!$A:$M,AC$2,FALSE)="Shortage",1,IFERROR(ROUND(Q48/E48,4),0)),IFERROR(ROUND(Q48/E48,4),0))</f>
        <v>0</v>
      </c>
      <c r="AD48" s="297">
        <f>IFERROR(IF(VLOOKUP($B48,Shortage!$A:$M,AD$2,FALSE)="Shortage",1,IFERROR(ROUND(R48/F48,4),0)),IFERROR(ROUND(R48/F48,4),0))</f>
        <v>0</v>
      </c>
      <c r="AE48" s="297">
        <f>IFERROR(IF(VLOOKUP($B48,Shortage!$A:$M,AE$2,FALSE)="Shortage",1,IFERROR(ROUND(S48/G48,4),0)),IFERROR(ROUND(S48/G48,4),0))</f>
        <v>0</v>
      </c>
      <c r="AF48" s="297">
        <f>IFERROR(IF(VLOOKUP($B48,Shortage!$A:$M,AF$2,FALSE)="Shortage",1,IFERROR(ROUND(T48/H48,4),0)),IFERROR(ROUND(T48/H48,4),0))</f>
        <v>0</v>
      </c>
      <c r="AG48" s="297">
        <f>IFERROR(IF(VLOOKUP($B48,Shortage!$A:$M,AG$2,FALSE)="Shortage",1,IFERROR(ROUND(U48/I48,4),0)),IFERROR(ROUND(U48/I48,4),0))</f>
        <v>0</v>
      </c>
      <c r="AH48" s="297">
        <f>IFERROR(IF(VLOOKUP($B48,Shortage!$A:$M,AH$2,FALSE)="Shortage",1,IFERROR(ROUND(V48/J48,4),0)),IFERROR(ROUND(V48/J48,4),0))</f>
        <v>0</v>
      </c>
      <c r="AI48" s="297">
        <f>IFERROR(IF(VLOOKUP($B48,Shortage!$A:$M,AI$2,FALSE)="Shortage",1,IFERROR(ROUND(W48/K48,4),0)),IFERROR(ROUND(W48/K48,4),0))</f>
        <v>0</v>
      </c>
      <c r="AJ48" s="297">
        <f>IFERROR(IF(VLOOKUP($B48,Shortage!$A:$M,AJ$2,FALSE)="Shortage",1,IFERROR(ROUND(X48/L48,4),0)),IFERROR(ROUND(X48/L48,4),0))</f>
        <v>0</v>
      </c>
      <c r="AK48" s="297">
        <f>IFERROR(IF(VLOOKUP($B48,Shortage!$A:$M,AK$2,FALSE)="Shortage",1,IFERROR(ROUND(Y48/M48,4),0)),IFERROR(ROUND(Y48/M48,4),0))</f>
        <v>0</v>
      </c>
      <c r="AL48" s="297">
        <f>IFERROR(IF(VLOOKUP($B48,Shortage!$A:$M,AL$2,FALSE)="Shortage",1,IFERROR(ROUND(Z48/N48,4),0)),IFERROR(ROUND(Z48/N48,4),0))</f>
        <v>0</v>
      </c>
      <c r="AM48" s="297">
        <f>IFERROR(IF(VLOOKUP($B48,Shortage!$A:$M,AM$2,FALSE)="Shortage",1,IFERROR(ROUND(AA48/O48,4),0)),IFERROR(ROUND(AA48/O48,4),0))</f>
        <v>0</v>
      </c>
      <c r="AN48" s="298">
        <f>IFERROR(_xlfn.XLOOKUP(AB48,'2) หลักการคำนวน Table'!$C$3:$K$3,'2) หลักการคำนวน Table'!$C$3:$K$3,,1),INDEX('2) หลักการคำนวน Table'!$C$3:$K$3,1))</f>
        <v>20</v>
      </c>
      <c r="AO48" s="298">
        <f>IFERROR(
  _xlfn.XLOOKUP(AC48,'2) หลักการคำนวน Table'!$C$3:$K$3,'2) หลักการคำนวน Table'!$C$3:$K$3,,1),
  IF(AC48&lt;MIN('2) หลักการคำนวน Table'!$C$3:$K$3),
     MIN('2) หลักการคำนวน Table'!$C$3:$K$3),
     MAX('2) หลักการคำนวน Table'!$C$3:$K$3)
  )
)</f>
        <v>0.9</v>
      </c>
      <c r="AP48" s="298">
        <f>IFERROR(
  _xlfn.XLOOKUP(AD48,'2) หลักการคำนวน Table'!$C$3:$K$3,'2) หลักการคำนวน Table'!$C$3:$K$3,,1),
  IF(AD48&lt;MIN('2) หลักการคำนวน Table'!$C$3:$K$3),
     MIN('2) หลักการคำนวน Table'!$C$3:$K$3),
     MAX('2) หลักการคำนวน Table'!$C$3:$K$3)
  )
)</f>
        <v>0.9</v>
      </c>
      <c r="AQ48" s="298">
        <f>IFERROR(
  _xlfn.XLOOKUP(AE48,'2) หลักการคำนวน Table'!$C$3:$K$3,'2) หลักการคำนวน Table'!$C$3:$K$3,,1),
  IF(AE48&lt;MIN('2) หลักการคำนวน Table'!$C$3:$K$3),
     MIN('2) หลักการคำนวน Table'!$C$3:$K$3),
     MAX('2) หลักการคำนวน Table'!$C$3:$K$3)
  )
)</f>
        <v>0.9</v>
      </c>
      <c r="AR48" s="298">
        <f>IFERROR(
  _xlfn.XLOOKUP(AF48,'2) หลักการคำนวน Table'!$C$3:$K$3,'2) หลักการคำนวน Table'!$C$3:$K$3,,1),
  IF(AF48&lt;MIN('2) หลักการคำนวน Table'!$C$3:$K$3),
     MIN('2) หลักการคำนวน Table'!$C$3:$K$3),
     MAX('2) หลักการคำนวน Table'!$C$3:$K$3)
  )
)</f>
        <v>0.9</v>
      </c>
      <c r="AS48" s="298">
        <f>IFERROR(
  _xlfn.XLOOKUP(AG48,'2) หลักการคำนวน Table'!$C$3:$K$3,'2) หลักการคำนวน Table'!$C$3:$K$3,,1),
  IF(AG48&lt;MIN('2) หลักการคำนวน Table'!$C$3:$K$3),
     MIN('2) หลักการคำนวน Table'!$C$3:$K$3),
     MAX('2) หลักการคำนวน Table'!$C$3:$K$3)
  )
)</f>
        <v>0.9</v>
      </c>
      <c r="AT48" s="298">
        <f>IFERROR(
  _xlfn.XLOOKUP(AH48,'2) หลักการคำนวน Table'!$C$3:$K$3,'2) หลักการคำนวน Table'!$C$3:$K$3,,1),
  IF(AH48&lt;MIN('2) หลักการคำนวน Table'!$C$3:$K$3),
     MIN('2) หลักการคำนวน Table'!$C$3:$K$3),
     MAX('2) หลักการคำนวน Table'!$C$3:$K$3)
  )
)</f>
        <v>0.9</v>
      </c>
      <c r="AU48" s="298">
        <f>IFERROR(
  _xlfn.XLOOKUP(AI48,'2) หลักการคำนวน Table'!$C$3:$K$3,'2) หลักการคำนวน Table'!$C$3:$K$3,,1),
  IF(AI48&lt;MIN('2) หลักการคำนวน Table'!$C$3:$K$3),
     MIN('2) หลักการคำนวน Table'!$C$3:$K$3),
     MAX('2) หลักการคำนวน Table'!$C$3:$K$3)
  )
)</f>
        <v>0.9</v>
      </c>
      <c r="AV48" s="298">
        <f>IFERROR(
  _xlfn.XLOOKUP(AJ48,'2) หลักการคำนวน Table'!$C$3:$K$3,'2) หลักการคำนวน Table'!$C$3:$K$3,,1),
  IF(AJ48&lt;MIN('2) หลักการคำนวน Table'!$C$3:$K$3),
     MIN('2) หลักการคำนวน Table'!$C$3:$K$3),
     MAX('2) หลักการคำนวน Table'!$C$3:$K$3)
  )
)</f>
        <v>0.9</v>
      </c>
      <c r="AW48" s="298">
        <f>IFERROR(
  _xlfn.XLOOKUP(AK48,'2) หลักการคำนวน Table'!$C$3:$K$3,'2) หลักการคำนวน Table'!$C$3:$K$3,,1),
  IF(AK48&lt;MIN('2) หลักการคำนวน Table'!$C$3:$K$3),
     MIN('2) หลักการคำนวน Table'!$C$3:$K$3),
     MAX('2) หลักการคำนวน Table'!$C$3:$K$3)
  )
)</f>
        <v>0.9</v>
      </c>
      <c r="AX48" s="298">
        <f>IFERROR(
  _xlfn.XLOOKUP(AL48,'2) หลักการคำนวน Table'!$C$3:$K$3,'2) หลักการคำนวน Table'!$C$3:$K$3,,1),
  IF(AL48&lt;MIN('2) หลักการคำนวน Table'!$C$3:$K$3),
     MIN('2) หลักการคำนวน Table'!$C$3:$K$3),
     MAX('2) หลักการคำนวน Table'!$C$3:$K$3)
  )
)</f>
        <v>0.9</v>
      </c>
      <c r="AY48" s="298">
        <f>IFERROR(
  _xlfn.XLOOKUP(AM48,'2) หลักการคำนวน Table'!$C$3:$K$3,'2) หลักการคำนวน Table'!$C$3:$K$3,,1),
  IF(AM48&lt;MIN('2) หลักการคำนวน Table'!$C$3:$K$3),
     MIN('2) หลักการคำนวน Table'!$C$3:$K$3),
     MAX('2) หลักการคำนวน Table'!$C$3:$K$3)
  )
)</f>
        <v>0.9</v>
      </c>
      <c r="AZ48" s="299" t="e" cm="1">
        <f t="array" ref="AZ48">(_xlfn.XLOOKUP($C48,'2) หลักการคำนวน Table'!$A$4:$A$36,
_xlfn.XLOOKUP(AN48,'2)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</f>
        <v>#N/A</v>
      </c>
      <c r="BA48" s="299" t="e" cm="1">
        <f t="array" ref="BA48">(_xlfn.XLOOKUP($C48,'2) หลักการคำนวน Table'!$A$4:$A$36,
_xlfn.XLOOKUP(AO48,'2)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</f>
        <v>#N/A</v>
      </c>
      <c r="BB48" s="299" t="e" cm="1">
        <f t="array" ref="BB48">(_xlfn.XLOOKUP($C48,'2) หลักการคำนวน Table'!$A$4:$A$36,
_xlfn.XLOOKUP(AP48,'2)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</f>
        <v>#N/A</v>
      </c>
      <c r="BC48" s="299" t="e" cm="1">
        <f t="array" ref="BC48">(_xlfn.XLOOKUP($C48,'2) หลักการคำนวน Table'!$A$4:$A$36,
_xlfn.XLOOKUP(AQ48,'2)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</f>
        <v>#N/A</v>
      </c>
      <c r="BD48" s="299" t="e" cm="1">
        <f t="array" ref="BD48">(_xlfn.XLOOKUP($C48,'2) หลักการคำนวน Table'!$A$4:$A$36,
_xlfn.XLOOKUP(AR48,'2)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</f>
        <v>#N/A</v>
      </c>
      <c r="BE48" s="299" t="e" cm="1">
        <f t="array" ref="BE48">(_xlfn.XLOOKUP($C48,'2) หลักการคำนวน Table'!$A$4:$A$36,
_xlfn.XLOOKUP(AS48,'2)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</f>
        <v>#N/A</v>
      </c>
      <c r="BF48" s="299" t="e" cm="1">
        <f t="array" ref="BF48">(_xlfn.XLOOKUP($C48,'2) หลักการคำนวน Table'!$A$4:$A$36,
_xlfn.XLOOKUP(AT48,'2)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</f>
        <v>#N/A</v>
      </c>
      <c r="BG48" s="299" t="e" cm="1">
        <f t="array" ref="BG48">(_xlfn.XLOOKUP($C48,'2) หลักการคำนวน Table'!$A$4:$A$36,
_xlfn.XLOOKUP(AU48,'2)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</f>
        <v>#N/A</v>
      </c>
      <c r="BH48" s="299" t="e" cm="1">
        <f t="array" ref="BH48">ROUND((_xlfn.XLOOKUP($C48,'2) หลักการคำนวน Table'!$A$4:$A$36,
_xlfn.XLOOKUP(AV48,'2)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I48" s="299" t="e" cm="1">
        <f t="array" ref="BI48">ROUND((_xlfn.XLOOKUP($C48,'2) หลักการคำนวน Table'!$A$4:$A$36,
_xlfn.XLOOKUP(AW48,'2)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J48" s="299" t="e" cm="1">
        <f t="array" ref="BJ48">ROUND((_xlfn.XLOOKUP($C48,'2) หลักการคำนวน Table'!$A$4:$A$36,
_xlfn.XLOOKUP(AX48,'2)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K48" s="299" t="e" cm="1">
        <f t="array" ref="BK48">ROUND((_xlfn.XLOOKUP($C48,'2) หลักการคำนวน Table'!$A$4:$A$36,
_xlfn.XLOOKUP(AY48,'2) หลักการคำนวน Table'!$C$3:$K$3,'2) หลักการคำนวน Table'!$C$4:$K$36,,-1)))*(_xlfn.XLOOKUP($C48,'2) หลักการคำนวน Table'!$A$4:$A$36, _xlfn.XLOOKUP($B48,'2) หลักการคำนวน Table'!$L$3:$Z$3,'2) หลักการคำนวน Table'!$L$4:$Z$36))),0)</f>
        <v>#N/A</v>
      </c>
      <c r="BL48" s="295"/>
      <c r="BM48" s="295">
        <v>222236</v>
      </c>
      <c r="BN48" s="300">
        <v>4550</v>
      </c>
    </row>
    <row r="49" spans="1:66" ht="13.2" customHeight="1" x14ac:dyDescent="0.25">
      <c r="A49" s="322">
        <f>VLOOKUP(C49,ASTBase!F:S,12,FALSE)</f>
        <v>222234</v>
      </c>
      <c r="B49" s="295" t="s">
        <v>417</v>
      </c>
      <c r="C49" s="322">
        <v>222236</v>
      </c>
      <c r="D49" s="296">
        <f>SUMIFS('3)Target &amp; Cal_Staff'!D$4:D$164,'3)Target &amp; Cal_Staff'!$B$4:$B$164,'3)Target &amp; Cal_Sect'!$B49,'3)Target &amp; Cal_Staff'!$A$4:$A$164,'3)Target &amp; Cal_Sect'!$C49)</f>
        <v>130</v>
      </c>
      <c r="E49" s="296">
        <f>SUMIFS('3)Target &amp; Cal_Staff'!E$4:E$164,'3)Target &amp; Cal_Staff'!$B$4:$B$164,'3)Target &amp; Cal_Sect'!$B49,'3)Target &amp; Cal_Staff'!$A$4:$A$164,'3)Target &amp; Cal_Sect'!$C49)</f>
        <v>30</v>
      </c>
      <c r="F49" s="296">
        <f>SUMIFS('3)Target &amp; Cal_Staff'!F$4:F$164,'3)Target &amp; Cal_Staff'!$B$4:$B$164,'3)Target &amp; Cal_Sect'!$B49,'3)Target &amp; Cal_Staff'!$A$4:$A$164,'3)Target &amp; Cal_Sect'!$C49)</f>
        <v>80</v>
      </c>
      <c r="G49" s="296">
        <f>SUMIFS('3)Target &amp; Cal_Staff'!G$4:G$164,'3)Target &amp; Cal_Staff'!$B$4:$B$164,'3)Target &amp; Cal_Sect'!$B49,'3)Target &amp; Cal_Staff'!$A$4:$A$164,'3)Target &amp; Cal_Sect'!$C49)</f>
        <v>80</v>
      </c>
      <c r="H49" s="296">
        <f>SUMIFS('3)Target &amp; Cal_Staff'!H$4:H$164,'3)Target &amp; Cal_Staff'!$B$4:$B$164,'3)Target &amp; Cal_Sect'!$B49,'3)Target &amp; Cal_Staff'!$A$4:$A$164,'3)Target &amp; Cal_Sect'!$C49)</f>
        <v>80</v>
      </c>
      <c r="I49" s="296">
        <f>SUMIFS('3)Target &amp; Cal_Staff'!I$4:I$164,'3)Target &amp; Cal_Staff'!$B$4:$B$164,'3)Target &amp; Cal_Sect'!$B49,'3)Target &amp; Cal_Staff'!$A$4:$A$164,'3)Target &amp; Cal_Sect'!$C49)</f>
        <v>80</v>
      </c>
      <c r="J49" s="296">
        <f>SUMIFS('3)Target &amp; Cal_Staff'!J$4:J$164,'3)Target &amp; Cal_Staff'!$B$4:$B$164,'3)Target &amp; Cal_Sect'!$B49,'3)Target &amp; Cal_Staff'!$A$4:$A$164,'3)Target &amp; Cal_Sect'!$C49)</f>
        <v>80</v>
      </c>
      <c r="K49" s="296">
        <f>SUMIFS('3)Target &amp; Cal_Staff'!K$4:K$164,'3)Target &amp; Cal_Staff'!$B$4:$B$164,'3)Target &amp; Cal_Sect'!$B49,'3)Target &amp; Cal_Staff'!$A$4:$A$164,'3)Target &amp; Cal_Sect'!$C49)</f>
        <v>80</v>
      </c>
      <c r="L49" s="296">
        <f>SUMIFS('3)Target &amp; Cal_Staff'!L$4:L$164,'3)Target &amp; Cal_Staff'!$B$4:$B$164,'3)Target &amp; Cal_Sect'!$B49,'3)Target &amp; Cal_Staff'!$A$4:$A$164,'3)Target &amp; Cal_Sect'!$C49)</f>
        <v>80</v>
      </c>
      <c r="M49" s="296">
        <f>SUMIFS('3)Target &amp; Cal_Staff'!M$4:M$164,'3)Target &amp; Cal_Staff'!$B$4:$B$164,'3)Target &amp; Cal_Sect'!$B49,'3)Target &amp; Cal_Staff'!$A$4:$A$164,'3)Target &amp; Cal_Sect'!$C49)</f>
        <v>80</v>
      </c>
      <c r="N49" s="296">
        <f>SUMIFS('3)Target &amp; Cal_Staff'!N$4:N$164,'3)Target &amp; Cal_Staff'!$B$4:$B$164,'3)Target &amp; Cal_Sect'!$B49,'3)Target &amp; Cal_Staff'!$A$4:$A$164,'3)Target &amp; Cal_Sect'!$C49)</f>
        <v>80</v>
      </c>
      <c r="O49" s="296">
        <f>SUMIFS('3)Target &amp; Cal_Staff'!O$4:O$164,'3)Target &amp; Cal_Staff'!$B$4:$B$164,'3)Target &amp; Cal_Sect'!$B49,'3)Target &amp; Cal_Staff'!$A$4:$A$164,'3)Target &amp; Cal_Sect'!$C49)</f>
        <v>80</v>
      </c>
      <c r="P49" s="296">
        <f>SUMIFS('3)Target &amp; Cal_Staff'!P$4:P$164,'3)Target &amp; Cal_Staff'!$B$4:$B$164,'3)Target &amp; Cal_Sect'!$B49,'3)Target &amp; Cal_Staff'!$A$4:$A$164,'3)Target &amp; Cal_Sect'!$C49)</f>
        <v>16.999999999271996</v>
      </c>
      <c r="Q49" s="296">
        <f>SUMIFS('3)Target &amp; Cal_Staff'!Q$4:Q$164,'3)Target &amp; Cal_Staff'!$B$4:$B$164,'3)Target &amp; Cal_Sect'!$B49,'3)Target &amp; Cal_Staff'!$A$4:$A$164,'3)Target &amp; Cal_Sect'!$C49)</f>
        <v>0</v>
      </c>
      <c r="R49" s="296">
        <f>SUMIFS('3)Target &amp; Cal_Staff'!R$4:R$164,'3)Target &amp; Cal_Staff'!$B$4:$B$164,'3)Target &amp; Cal_Sect'!$B49,'3)Target &amp; Cal_Staff'!$A$4:$A$164,'3)Target &amp; Cal_Sect'!$C49)</f>
        <v>0</v>
      </c>
      <c r="S49" s="296">
        <f>SUMIFS('3)Target &amp; Cal_Staff'!S$4:S$164,'3)Target &amp; Cal_Staff'!$B$4:$B$164,'3)Target &amp; Cal_Sect'!$B49,'3)Target &amp; Cal_Staff'!$A$4:$A$164,'3)Target &amp; Cal_Sect'!$C49)</f>
        <v>0</v>
      </c>
      <c r="T49" s="296">
        <f>SUMIFS('3)Target &amp; Cal_Staff'!T$4:T$164,'3)Target &amp; Cal_Staff'!$B$4:$B$164,'3)Target &amp; Cal_Sect'!$B49,'3)Target &amp; Cal_Staff'!$A$4:$A$164,'3)Target &amp; Cal_Sect'!$C49)</f>
        <v>0</v>
      </c>
      <c r="U49" s="296">
        <f>SUMIFS('3)Target &amp; Cal_Staff'!U$4:U$164,'3)Target &amp; Cal_Staff'!$B$4:$B$164,'3)Target &amp; Cal_Sect'!$B49,'3)Target &amp; Cal_Staff'!$A$4:$A$164,'3)Target &amp; Cal_Sect'!$C49)</f>
        <v>0</v>
      </c>
      <c r="V49" s="296">
        <f>SUMIFS('3)Target &amp; Cal_Staff'!V$4:V$164,'3)Target &amp; Cal_Staff'!$B$4:$B$164,'3)Target &amp; Cal_Sect'!$B49,'3)Target &amp; Cal_Staff'!$A$4:$A$164,'3)Target &amp; Cal_Sect'!$C49)</f>
        <v>0</v>
      </c>
      <c r="W49" s="296">
        <f>SUMIFS('3)Target &amp; Cal_Staff'!W$4:W$164,'3)Target &amp; Cal_Staff'!$B$4:$B$164,'3)Target &amp; Cal_Sect'!$B49,'3)Target &amp; Cal_Staff'!$A$4:$A$164,'3)Target &amp; Cal_Sect'!$C49)</f>
        <v>0</v>
      </c>
      <c r="X49" s="296">
        <f>SUMIFS('3)Target &amp; Cal_Staff'!X$4:X$164,'3)Target &amp; Cal_Staff'!$B$4:$B$164,'3)Target &amp; Cal_Sect'!$B49,'3)Target &amp; Cal_Staff'!$A$4:$A$164,'3)Target &amp; Cal_Sect'!$C49)</f>
        <v>0</v>
      </c>
      <c r="Y49" s="296">
        <f>SUMIFS('3)Target &amp; Cal_Staff'!Y$4:Y$164,'3)Target &amp; Cal_Staff'!$B$4:$B$164,'3)Target &amp; Cal_Sect'!$B49,'3)Target &amp; Cal_Staff'!$A$4:$A$164,'3)Target &amp; Cal_Sect'!$C49)</f>
        <v>0</v>
      </c>
      <c r="Z49" s="296">
        <f>SUMIFS('3)Target &amp; Cal_Staff'!Z$4:Z$164,'3)Target &amp; Cal_Staff'!$B$4:$B$164,'3)Target &amp; Cal_Sect'!$B49,'3)Target &amp; Cal_Staff'!$A$4:$A$164,'3)Target &amp; Cal_Sect'!$C49)</f>
        <v>0</v>
      </c>
      <c r="AA49" s="296">
        <f>SUMIFS('3)Target &amp; Cal_Staff'!AA$4:AA$164,'3)Target &amp; Cal_Staff'!$B$4:$B$164,'3)Target &amp; Cal_Sect'!$B49,'3)Target &amp; Cal_Staff'!$A$4:$A$164,'3)Target &amp; Cal_Sect'!$C49)</f>
        <v>0</v>
      </c>
      <c r="AB49" s="297">
        <f>IFERROR(IF(VLOOKUP($B49,Shortage!$A:$M,AB$2,FALSE)="Shortage",1,IFERROR(ROUND(P49/D49,4),0)),IFERROR(ROUND(P49/D49,4),0))</f>
        <v>0.1308</v>
      </c>
      <c r="AC49" s="297">
        <f>IFERROR(IF(VLOOKUP($B49,Shortage!$A:$M,AC$2,FALSE)="Shortage",1,IFERROR(ROUND(Q49/E49,4),0)),IFERROR(ROUND(Q49/E49,4),0))</f>
        <v>0</v>
      </c>
      <c r="AD49" s="297">
        <f>IFERROR(IF(VLOOKUP($B49,Shortage!$A:$M,AD$2,FALSE)="Shortage",1,IFERROR(ROUND(R49/F49,4),0)),IFERROR(ROUND(R49/F49,4),0))</f>
        <v>0</v>
      </c>
      <c r="AE49" s="297">
        <f>IFERROR(IF(VLOOKUP($B49,Shortage!$A:$M,AE$2,FALSE)="Shortage",1,IFERROR(ROUND(S49/G49,4),0)),IFERROR(ROUND(S49/G49,4),0))</f>
        <v>0</v>
      </c>
      <c r="AF49" s="297">
        <f>IFERROR(IF(VLOOKUP($B49,Shortage!$A:$M,AF$2,FALSE)="Shortage",1,IFERROR(ROUND(T49/H49,4),0)),IFERROR(ROUND(T49/H49,4),0))</f>
        <v>0</v>
      </c>
      <c r="AG49" s="297">
        <f>IFERROR(IF(VLOOKUP($B49,Shortage!$A:$M,AG$2,FALSE)="Shortage",1,IFERROR(ROUND(U49/I49,4),0)),IFERROR(ROUND(U49/I49,4),0))</f>
        <v>0</v>
      </c>
      <c r="AH49" s="297">
        <f>IFERROR(IF(VLOOKUP($B49,Shortage!$A:$M,AH$2,FALSE)="Shortage",1,IFERROR(ROUND(V49/J49,4),0)),IFERROR(ROUND(V49/J49,4),0))</f>
        <v>0</v>
      </c>
      <c r="AI49" s="297">
        <f>IFERROR(IF(VLOOKUP($B49,Shortage!$A:$M,AI$2,FALSE)="Shortage",1,IFERROR(ROUND(W49/K49,4),0)),IFERROR(ROUND(W49/K49,4),0))</f>
        <v>0</v>
      </c>
      <c r="AJ49" s="297">
        <f>IFERROR(IF(VLOOKUP($B49,Shortage!$A:$M,AJ$2,FALSE)="Shortage",1,IFERROR(ROUND(X49/L49,4),0)),IFERROR(ROUND(X49/L49,4),0))</f>
        <v>0</v>
      </c>
      <c r="AK49" s="297">
        <f>IFERROR(IF(VLOOKUP($B49,Shortage!$A:$M,AK$2,FALSE)="Shortage",1,IFERROR(ROUND(Y49/M49,4),0)),IFERROR(ROUND(Y49/M49,4),0))</f>
        <v>0</v>
      </c>
      <c r="AL49" s="297">
        <f>IFERROR(IF(VLOOKUP($B49,Shortage!$A:$M,AL$2,FALSE)="Shortage",1,IFERROR(ROUND(Z49/N49,4),0)),IFERROR(ROUND(Z49/N49,4),0))</f>
        <v>0</v>
      </c>
      <c r="AM49" s="297">
        <f>IFERROR(IF(VLOOKUP($B49,Shortage!$A:$M,AM$2,FALSE)="Shortage",1,IFERROR(ROUND(AA49/O49,4),0)),IFERROR(ROUND(AA49/O49,4),0))</f>
        <v>0</v>
      </c>
      <c r="AN49" s="298">
        <f>IFERROR(_xlfn.XLOOKUP(AB49,'2) หลักการคำนวน Table'!$C$3:$K$3,'2) หลักการคำนวน Table'!$C$3:$K$3,,1),INDEX('2) หลักการคำนวน Table'!$C$3:$K$3,1))</f>
        <v>0.9</v>
      </c>
      <c r="AO49" s="298">
        <f>IFERROR(
  _xlfn.XLOOKUP(AC49,'2) หลักการคำนวน Table'!$C$3:$K$3,'2) หลักการคำนวน Table'!$C$3:$K$3,,1),
  IF(AC49&lt;MIN('2) หลักการคำนวน Table'!$C$3:$K$3),
     MIN('2) หลักการคำนวน Table'!$C$3:$K$3),
     MAX('2) หลักการคำนวน Table'!$C$3:$K$3)
  )
)</f>
        <v>0.9</v>
      </c>
      <c r="AP49" s="298">
        <f>IFERROR(
  _xlfn.XLOOKUP(AD49,'2) หลักการคำนวน Table'!$C$3:$K$3,'2) หลักการคำนวน Table'!$C$3:$K$3,,1),
  IF(AD49&lt;MIN('2) หลักการคำนวน Table'!$C$3:$K$3),
     MIN('2) หลักการคำนวน Table'!$C$3:$K$3),
     MAX('2) หลักการคำนวน Table'!$C$3:$K$3)
  )
)</f>
        <v>0.9</v>
      </c>
      <c r="AQ49" s="298">
        <f>IFERROR(
  _xlfn.XLOOKUP(AE49,'2) หลักการคำนวน Table'!$C$3:$K$3,'2) หลักการคำนวน Table'!$C$3:$K$3,,1),
  IF(AE49&lt;MIN('2) หลักการคำนวน Table'!$C$3:$K$3),
     MIN('2) หลักการคำนวน Table'!$C$3:$K$3),
     MAX('2) หลักการคำนวน Table'!$C$3:$K$3)
  )
)</f>
        <v>0.9</v>
      </c>
      <c r="AR49" s="298">
        <f>IFERROR(
  _xlfn.XLOOKUP(AF49,'2) หลักการคำนวน Table'!$C$3:$K$3,'2) หลักการคำนวน Table'!$C$3:$K$3,,1),
  IF(AF49&lt;MIN('2) หลักการคำนวน Table'!$C$3:$K$3),
     MIN('2) หลักการคำนวน Table'!$C$3:$K$3),
     MAX('2) หลักการคำนวน Table'!$C$3:$K$3)
  )
)</f>
        <v>0.9</v>
      </c>
      <c r="AS49" s="298">
        <f>IFERROR(
  _xlfn.XLOOKUP(AG49,'2) หลักการคำนวน Table'!$C$3:$K$3,'2) หลักการคำนวน Table'!$C$3:$K$3,,1),
  IF(AG49&lt;MIN('2) หลักการคำนวน Table'!$C$3:$K$3),
     MIN('2) หลักการคำนวน Table'!$C$3:$K$3),
     MAX('2) หลักการคำนวน Table'!$C$3:$K$3)
  )
)</f>
        <v>0.9</v>
      </c>
      <c r="AT49" s="298">
        <f>IFERROR(
  _xlfn.XLOOKUP(AH49,'2) หลักการคำนวน Table'!$C$3:$K$3,'2) หลักการคำนวน Table'!$C$3:$K$3,,1),
  IF(AH49&lt;MIN('2) หลักการคำนวน Table'!$C$3:$K$3),
     MIN('2) หลักการคำนวน Table'!$C$3:$K$3),
     MAX('2) หลักการคำนวน Table'!$C$3:$K$3)
  )
)</f>
        <v>0.9</v>
      </c>
      <c r="AU49" s="298">
        <f>IFERROR(
  _xlfn.XLOOKUP(AI49,'2) หลักการคำนวน Table'!$C$3:$K$3,'2) หลักการคำนวน Table'!$C$3:$K$3,,1),
  IF(AI49&lt;MIN('2) หลักการคำนวน Table'!$C$3:$K$3),
     MIN('2) หลักการคำนวน Table'!$C$3:$K$3),
     MAX('2) หลักการคำนวน Table'!$C$3:$K$3)
  )
)</f>
        <v>0.9</v>
      </c>
      <c r="AV49" s="298">
        <f>IFERROR(
  _xlfn.XLOOKUP(AJ49,'2) หลักการคำนวน Table'!$C$3:$K$3,'2) หลักการคำนวน Table'!$C$3:$K$3,,1),
  IF(AJ49&lt;MIN('2) หลักการคำนวน Table'!$C$3:$K$3),
     MIN('2) หลักการคำนวน Table'!$C$3:$K$3),
     MAX('2) หลักการคำนวน Table'!$C$3:$K$3)
  )
)</f>
        <v>0.9</v>
      </c>
      <c r="AW49" s="298">
        <f>IFERROR(
  _xlfn.XLOOKUP(AK49,'2) หลักการคำนวน Table'!$C$3:$K$3,'2) หลักการคำนวน Table'!$C$3:$K$3,,1),
  IF(AK49&lt;MIN('2) หลักการคำนวน Table'!$C$3:$K$3),
     MIN('2) หลักการคำนวน Table'!$C$3:$K$3),
     MAX('2) หลักการคำนวน Table'!$C$3:$K$3)
  )
)</f>
        <v>0.9</v>
      </c>
      <c r="AX49" s="298">
        <f>IFERROR(
  _xlfn.XLOOKUP(AL49,'2) หลักการคำนวน Table'!$C$3:$K$3,'2) หลักการคำนวน Table'!$C$3:$K$3,,1),
  IF(AL49&lt;MIN('2) หลักการคำนวน Table'!$C$3:$K$3),
     MIN('2) หลักการคำนวน Table'!$C$3:$K$3),
     MAX('2) หลักการคำนวน Table'!$C$3:$K$3)
  )
)</f>
        <v>0.9</v>
      </c>
      <c r="AY49" s="298">
        <f>IFERROR(
  _xlfn.XLOOKUP(AM49,'2) หลักการคำนวน Table'!$C$3:$K$3,'2) หลักการคำนวน Table'!$C$3:$K$3,,1),
  IF(AM49&lt;MIN('2) หลักการคำนวน Table'!$C$3:$K$3),
     MIN('2) หลักการคำนวน Table'!$C$3:$K$3),
     MAX('2) หลักการคำนวน Table'!$C$3:$K$3)
  )
)</f>
        <v>0.9</v>
      </c>
      <c r="AZ49" s="299" t="e" cm="1">
        <f t="array" ref="AZ49">(_xlfn.XLOOKUP($C49,'2) หลักการคำนวน Table'!$A$4:$A$36,
_xlfn.XLOOKUP(AN49,'2)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</f>
        <v>#N/A</v>
      </c>
      <c r="BA49" s="299" t="e" cm="1">
        <f t="array" ref="BA49">(_xlfn.XLOOKUP($C49,'2) หลักการคำนวน Table'!$A$4:$A$36,
_xlfn.XLOOKUP(AO49,'2)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</f>
        <v>#N/A</v>
      </c>
      <c r="BB49" s="299" t="e" cm="1">
        <f t="array" ref="BB49">(_xlfn.XLOOKUP($C49,'2) หลักการคำนวน Table'!$A$4:$A$36,
_xlfn.XLOOKUP(AP49,'2)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</f>
        <v>#N/A</v>
      </c>
      <c r="BC49" s="299" t="e" cm="1">
        <f t="array" ref="BC49">(_xlfn.XLOOKUP($C49,'2) หลักการคำนวน Table'!$A$4:$A$36,
_xlfn.XLOOKUP(AQ49,'2)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</f>
        <v>#N/A</v>
      </c>
      <c r="BD49" s="299" t="e" cm="1">
        <f t="array" ref="BD49">(_xlfn.XLOOKUP($C49,'2) หลักการคำนวน Table'!$A$4:$A$36,
_xlfn.XLOOKUP(AR49,'2)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</f>
        <v>#N/A</v>
      </c>
      <c r="BE49" s="299" t="e" cm="1">
        <f t="array" ref="BE49">(_xlfn.XLOOKUP($C49,'2) หลักการคำนวน Table'!$A$4:$A$36,
_xlfn.XLOOKUP(AS49,'2)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</f>
        <v>#N/A</v>
      </c>
      <c r="BF49" s="299" t="e" cm="1">
        <f t="array" ref="BF49">(_xlfn.XLOOKUP($C49,'2) หลักการคำนวน Table'!$A$4:$A$36,
_xlfn.XLOOKUP(AT49,'2)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</f>
        <v>#N/A</v>
      </c>
      <c r="BG49" s="299" t="e" cm="1">
        <f t="array" ref="BG49">(_xlfn.XLOOKUP($C49,'2) หลักการคำนวน Table'!$A$4:$A$36,
_xlfn.XLOOKUP(AU49,'2)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</f>
        <v>#N/A</v>
      </c>
      <c r="BH49" s="299" t="e" cm="1">
        <f t="array" ref="BH49">ROUND((_xlfn.XLOOKUP($C49,'2) หลักการคำนวน Table'!$A$4:$A$36,
_xlfn.XLOOKUP(AV49,'2)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I49" s="299" t="e" cm="1">
        <f t="array" ref="BI49">ROUND((_xlfn.XLOOKUP($C49,'2) หลักการคำนวน Table'!$A$4:$A$36,
_xlfn.XLOOKUP(AW49,'2)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J49" s="299" t="e" cm="1">
        <f t="array" ref="BJ49">ROUND((_xlfn.XLOOKUP($C49,'2) หลักการคำนวน Table'!$A$4:$A$36,
_xlfn.XLOOKUP(AX49,'2)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K49" s="299" t="e" cm="1">
        <f t="array" ref="BK49">ROUND((_xlfn.XLOOKUP($C49,'2) หลักการคำนวน Table'!$A$4:$A$36,
_xlfn.XLOOKUP(AY49,'2) หลักการคำนวน Table'!$C$3:$K$3,'2) หลักการคำนวน Table'!$C$4:$K$36,,-1)))*(_xlfn.XLOOKUP($C49,'2) หลักการคำนวน Table'!$A$4:$A$36, _xlfn.XLOOKUP($B49,'2) หลักการคำนวน Table'!$L$3:$Z$3,'2) หลักการคำนวน Table'!$L$4:$Z$36))),0)</f>
        <v>#N/A</v>
      </c>
      <c r="BL49" s="295"/>
      <c r="BM49" s="295">
        <v>222236</v>
      </c>
      <c r="BN49" s="300">
        <v>1350</v>
      </c>
    </row>
    <row r="50" spans="1:66" ht="13.2" customHeight="1" x14ac:dyDescent="0.25">
      <c r="A50" s="128">
        <f>VLOOKUP(C50,ASTBase!F:S,12,FALSE)</f>
        <v>222223</v>
      </c>
      <c r="B50" s="126" t="s">
        <v>405</v>
      </c>
      <c r="C50" s="128">
        <v>222235</v>
      </c>
      <c r="D50" s="127">
        <f>SUMIFS('3)Target &amp; Cal_Staff'!D$4:D$164,'3)Target &amp; Cal_Staff'!$B$4:$B$164,'3)Target &amp; Cal_Sect'!$B50,'3)Target &amp; Cal_Staff'!$A$4:$A$164,'3)Target &amp; Cal_Sect'!$C50)</f>
        <v>1504500</v>
      </c>
      <c r="E50" s="127">
        <f>SUMIFS('3)Target &amp; Cal_Staff'!E$4:E$164,'3)Target &amp; Cal_Staff'!$B$4:$B$164,'3)Target &amp; Cal_Sect'!$B50,'3)Target &amp; Cal_Staff'!$A$4:$A$164,'3)Target &amp; Cal_Sect'!$C50)</f>
        <v>1332000</v>
      </c>
      <c r="F50" s="127">
        <f>SUMIFS('3)Target &amp; Cal_Staff'!F$4:F$164,'3)Target &amp; Cal_Staff'!$B$4:$B$164,'3)Target &amp; Cal_Sect'!$B50,'3)Target &amp; Cal_Staff'!$A$4:$A$164,'3)Target &amp; Cal_Sect'!$C50)</f>
        <v>1444000</v>
      </c>
      <c r="G50" s="127">
        <f>SUMIFS('3)Target &amp; Cal_Staff'!G$4:G$164,'3)Target &amp; Cal_Staff'!$B$4:$B$164,'3)Target &amp; Cal_Sect'!$B50,'3)Target &amp; Cal_Staff'!$A$4:$A$164,'3)Target &amp; Cal_Sect'!$C50)</f>
        <v>1413000</v>
      </c>
      <c r="H50" s="127">
        <f>SUMIFS('3)Target &amp; Cal_Staff'!H$4:H$164,'3)Target &amp; Cal_Staff'!$B$4:$B$164,'3)Target &amp; Cal_Sect'!$B50,'3)Target &amp; Cal_Staff'!$A$4:$A$164,'3)Target &amp; Cal_Sect'!$C50)</f>
        <v>1321000</v>
      </c>
      <c r="I50" s="127">
        <f>SUMIFS('3)Target &amp; Cal_Staff'!I$4:I$164,'3)Target &amp; Cal_Staff'!$B$4:$B$164,'3)Target &amp; Cal_Sect'!$B50,'3)Target &amp; Cal_Staff'!$A$4:$A$164,'3)Target &amp; Cal_Sect'!$C50)</f>
        <v>1525000</v>
      </c>
      <c r="J50" s="127">
        <f>SUMIFS('3)Target &amp; Cal_Staff'!J$4:J$164,'3)Target &amp; Cal_Staff'!$B$4:$B$164,'3)Target &amp; Cal_Sect'!$B50,'3)Target &amp; Cal_Staff'!$A$4:$A$164,'3)Target &amp; Cal_Sect'!$C50)</f>
        <v>1436500</v>
      </c>
      <c r="K50" s="127">
        <f>SUMIFS('3)Target &amp; Cal_Staff'!K$4:K$164,'3)Target &amp; Cal_Staff'!$B$4:$B$164,'3)Target &amp; Cal_Sect'!$B50,'3)Target &amp; Cal_Staff'!$A$4:$A$164,'3)Target &amp; Cal_Sect'!$C50)</f>
        <v>1342500</v>
      </c>
      <c r="L50" s="127">
        <f>SUMIFS('3)Target &amp; Cal_Staff'!L$4:L$164,'3)Target &amp; Cal_Staff'!$B$4:$B$164,'3)Target &amp; Cal_Sect'!$B50,'3)Target &amp; Cal_Staff'!$A$4:$A$164,'3)Target &amp; Cal_Sect'!$C50)</f>
        <v>1555000</v>
      </c>
      <c r="M50" s="127">
        <f>SUMIFS('3)Target &amp; Cal_Staff'!M$4:M$164,'3)Target &amp; Cal_Staff'!$B$4:$B$164,'3)Target &amp; Cal_Sect'!$B50,'3)Target &amp; Cal_Staff'!$A$4:$A$164,'3)Target &amp; Cal_Sect'!$C50)</f>
        <v>1426500</v>
      </c>
      <c r="N50" s="127">
        <f>SUMIFS('3)Target &amp; Cal_Staff'!N$4:N$164,'3)Target &amp; Cal_Staff'!$B$4:$B$164,'3)Target &amp; Cal_Sect'!$B50,'3)Target &amp; Cal_Staff'!$A$4:$A$164,'3)Target &amp; Cal_Sect'!$C50)</f>
        <v>1442500</v>
      </c>
      <c r="O50" s="127">
        <f>SUMIFS('3)Target &amp; Cal_Staff'!O$4:O$164,'3)Target &amp; Cal_Staff'!$B$4:$B$164,'3)Target &amp; Cal_Sect'!$B50,'3)Target &amp; Cal_Staff'!$A$4:$A$164,'3)Target &amp; Cal_Sect'!$C50)</f>
        <v>1387500</v>
      </c>
      <c r="P50" s="127">
        <f>SUMIFS('3)Target &amp; Cal_Staff'!P$4:P$164,'3)Target &amp; Cal_Staff'!$B$4:$B$164,'3)Target &amp; Cal_Sect'!$B50,'3)Target &amp; Cal_Staff'!$A$4:$A$164,'3)Target &amp; Cal_Sect'!$C50)</f>
        <v>1466157.7000000007</v>
      </c>
      <c r="Q50" s="127">
        <f>SUMIFS('3)Target &amp; Cal_Staff'!Q$4:Q$164,'3)Target &amp; Cal_Staff'!$B$4:$B$164,'3)Target &amp; Cal_Sect'!$B50,'3)Target &amp; Cal_Staff'!$A$4:$A$164,'3)Target &amp; Cal_Sect'!$C50)</f>
        <v>0</v>
      </c>
      <c r="R50" s="127">
        <f>SUMIFS('3)Target &amp; Cal_Staff'!R$4:R$164,'3)Target &amp; Cal_Staff'!$B$4:$B$164,'3)Target &amp; Cal_Sect'!$B50,'3)Target &amp; Cal_Staff'!$A$4:$A$164,'3)Target &amp; Cal_Sect'!$C50)</f>
        <v>0</v>
      </c>
      <c r="S50" s="127">
        <f>SUMIFS('3)Target &amp; Cal_Staff'!S$4:S$164,'3)Target &amp; Cal_Staff'!$B$4:$B$164,'3)Target &amp; Cal_Sect'!$B50,'3)Target &amp; Cal_Staff'!$A$4:$A$164,'3)Target &amp; Cal_Sect'!$C50)</f>
        <v>0</v>
      </c>
      <c r="T50" s="127">
        <f>SUMIFS('3)Target &amp; Cal_Staff'!T$4:T$164,'3)Target &amp; Cal_Staff'!$B$4:$B$164,'3)Target &amp; Cal_Sect'!$B50,'3)Target &amp; Cal_Staff'!$A$4:$A$164,'3)Target &amp; Cal_Sect'!$C50)</f>
        <v>0</v>
      </c>
      <c r="U50" s="127">
        <f>SUMIFS('3)Target &amp; Cal_Staff'!U$4:U$164,'3)Target &amp; Cal_Staff'!$B$4:$B$164,'3)Target &amp; Cal_Sect'!$B50,'3)Target &amp; Cal_Staff'!$A$4:$A$164,'3)Target &amp; Cal_Sect'!$C50)</f>
        <v>0</v>
      </c>
      <c r="V50" s="127">
        <f>SUMIFS('3)Target &amp; Cal_Staff'!V$4:V$164,'3)Target &amp; Cal_Staff'!$B$4:$B$164,'3)Target &amp; Cal_Sect'!$B50,'3)Target &amp; Cal_Staff'!$A$4:$A$164,'3)Target &amp; Cal_Sect'!$C50)</f>
        <v>0</v>
      </c>
      <c r="W50" s="127">
        <f>SUMIFS('3)Target &amp; Cal_Staff'!W$4:W$164,'3)Target &amp; Cal_Staff'!$B$4:$B$164,'3)Target &amp; Cal_Sect'!$B50,'3)Target &amp; Cal_Staff'!$A$4:$A$164,'3)Target &amp; Cal_Sect'!$C50)</f>
        <v>0</v>
      </c>
      <c r="X50" s="127">
        <f>SUMIFS('3)Target &amp; Cal_Staff'!X$4:X$164,'3)Target &amp; Cal_Staff'!$B$4:$B$164,'3)Target &amp; Cal_Sect'!$B50,'3)Target &amp; Cal_Staff'!$A$4:$A$164,'3)Target &amp; Cal_Sect'!$C50)</f>
        <v>0</v>
      </c>
      <c r="Y50" s="127">
        <f>SUMIFS('3)Target &amp; Cal_Staff'!Y$4:Y$164,'3)Target &amp; Cal_Staff'!$B$4:$B$164,'3)Target &amp; Cal_Sect'!$B50,'3)Target &amp; Cal_Staff'!$A$4:$A$164,'3)Target &amp; Cal_Sect'!$C50)</f>
        <v>0</v>
      </c>
      <c r="Z50" s="127">
        <f>SUMIFS('3)Target &amp; Cal_Staff'!Z$4:Z$164,'3)Target &amp; Cal_Staff'!$B$4:$B$164,'3)Target &amp; Cal_Sect'!$B50,'3)Target &amp; Cal_Staff'!$A$4:$A$164,'3)Target &amp; Cal_Sect'!$C50)</f>
        <v>0</v>
      </c>
      <c r="AA50" s="127">
        <f>SUMIFS('3)Target &amp; Cal_Staff'!AA$4:AA$164,'3)Target &amp; Cal_Staff'!$B$4:$B$164,'3)Target &amp; Cal_Sect'!$B50,'3)Target &amp; Cal_Staff'!$A$4:$A$164,'3)Target &amp; Cal_Sect'!$C50)</f>
        <v>0</v>
      </c>
      <c r="AB50" s="132">
        <f>IFERROR(IF(VLOOKUP($B50,Shortage!$A:$M,AB$2,FALSE)="Shortage",1,IFERROR(ROUND(P50/D50,4),0)),IFERROR(ROUND(P50/D50,4),0))</f>
        <v>1</v>
      </c>
      <c r="AC50" s="132">
        <f>IFERROR(IF(VLOOKUP($B50,Shortage!$A:$M,AC$2,FALSE)="Shortage",1,IFERROR(ROUND(Q50/E50,4),0)),IFERROR(ROUND(Q50/E50,4),0))</f>
        <v>0</v>
      </c>
      <c r="AD50" s="132">
        <f>IFERROR(IF(VLOOKUP($B50,Shortage!$A:$M,AD$2,FALSE)="Shortage",1,IFERROR(ROUND(R50/F50,4),0)),IFERROR(ROUND(R50/F50,4),0))</f>
        <v>0</v>
      </c>
      <c r="AE50" s="132">
        <f>IFERROR(IF(VLOOKUP($B50,Shortage!$A:$M,AE$2,FALSE)="Shortage",1,IFERROR(ROUND(S50/G50,4),0)),IFERROR(ROUND(S50/G50,4),0))</f>
        <v>0</v>
      </c>
      <c r="AF50" s="132">
        <f>IFERROR(IF(VLOOKUP($B50,Shortage!$A:$M,AF$2,FALSE)="Shortage",1,IFERROR(ROUND(T50/H50,4),0)),IFERROR(ROUND(T50/H50,4),0))</f>
        <v>0</v>
      </c>
      <c r="AG50" s="132">
        <f>IFERROR(IF(VLOOKUP($B50,Shortage!$A:$M,AG$2,FALSE)="Shortage",1,IFERROR(ROUND(U50/I50,4),0)),IFERROR(ROUND(U50/I50,4),0))</f>
        <v>0</v>
      </c>
      <c r="AH50" s="132">
        <f>IFERROR(IF(VLOOKUP($B50,Shortage!$A:$M,AH$2,FALSE)="Shortage",1,IFERROR(ROUND(V50/J50,4),0)),IFERROR(ROUND(V50/J50,4),0))</f>
        <v>0</v>
      </c>
      <c r="AI50" s="132">
        <f>IFERROR(IF(VLOOKUP($B50,Shortage!$A:$M,AI$2,FALSE)="Shortage",1,IFERROR(ROUND(W50/K50,4),0)),IFERROR(ROUND(W50/K50,4),0))</f>
        <v>0</v>
      </c>
      <c r="AJ50" s="132">
        <f>IFERROR(IF(VLOOKUP($B50,Shortage!$A:$M,AJ$2,FALSE)="Shortage",1,IFERROR(ROUND(X50/L50,4),0)),IFERROR(ROUND(X50/L50,4),0))</f>
        <v>0</v>
      </c>
      <c r="AK50" s="132">
        <f>IFERROR(IF(VLOOKUP($B50,Shortage!$A:$M,AK$2,FALSE)="Shortage",1,IFERROR(ROUND(Y50/M50,4),0)),IFERROR(ROUND(Y50/M50,4),0))</f>
        <v>0</v>
      </c>
      <c r="AL50" s="132">
        <f>IFERROR(IF(VLOOKUP($B50,Shortage!$A:$M,AL$2,FALSE)="Shortage",1,IFERROR(ROUND(Z50/N50,4),0)),IFERROR(ROUND(Z50/N50,4),0))</f>
        <v>0</v>
      </c>
      <c r="AM50" s="132">
        <f>IFERROR(IF(VLOOKUP($B50,Shortage!$A:$M,AM$2,FALSE)="Shortage",1,IFERROR(ROUND(AA50/O50,4),0)),IFERROR(ROUND(AA50/O50,4),0))</f>
        <v>0</v>
      </c>
      <c r="AN50" s="315">
        <f>IFERROR(_xlfn.XLOOKUP(AB50,'2) หลักการคำนวน Table'!$C$3:$K$3,'2) หลักการคำนวน Table'!$C$3:$K$3,,1),INDEX('2) หลักการคำนวน Table'!$C$3:$K$3,1))</f>
        <v>1</v>
      </c>
      <c r="AO50" s="315">
        <f>IFERROR(
  _xlfn.XLOOKUP(AC50,'2) หลักการคำนวน Table'!$C$3:$K$3,'2) หลักการคำนวน Table'!$C$3:$K$3,,1),
  IF(AC50&lt;MIN('2) หลักการคำนวน Table'!$C$3:$K$3),
     MIN('2) หลักการคำนวน Table'!$C$3:$K$3),
     MAX('2) หลักการคำนวน Table'!$C$3:$K$3)
  )
)</f>
        <v>0.9</v>
      </c>
      <c r="AP50" s="315">
        <f>IFERROR(
  _xlfn.XLOOKUP(AD50,'2) หลักการคำนวน Table'!$C$3:$K$3,'2) หลักการคำนวน Table'!$C$3:$K$3,,1),
  IF(AD50&lt;MIN('2) หลักการคำนวน Table'!$C$3:$K$3),
     MIN('2) หลักการคำนวน Table'!$C$3:$K$3),
     MAX('2) หลักการคำนวน Table'!$C$3:$K$3)
  )
)</f>
        <v>0.9</v>
      </c>
      <c r="AQ50" s="315">
        <f>IFERROR(
  _xlfn.XLOOKUP(AE50,'2) หลักการคำนวน Table'!$C$3:$K$3,'2) หลักการคำนวน Table'!$C$3:$K$3,,1),
  IF(AE50&lt;MIN('2) หลักการคำนวน Table'!$C$3:$K$3),
     MIN('2) หลักการคำนวน Table'!$C$3:$K$3),
     MAX('2) หลักการคำนวน Table'!$C$3:$K$3)
  )
)</f>
        <v>0.9</v>
      </c>
      <c r="AR50" s="315">
        <f>IFERROR(
  _xlfn.XLOOKUP(AF50,'2) หลักการคำนวน Table'!$C$3:$K$3,'2) หลักการคำนวน Table'!$C$3:$K$3,,1),
  IF(AF50&lt;MIN('2) หลักการคำนวน Table'!$C$3:$K$3),
     MIN('2) หลักการคำนวน Table'!$C$3:$K$3),
     MAX('2) หลักการคำนวน Table'!$C$3:$K$3)
  )
)</f>
        <v>0.9</v>
      </c>
      <c r="AS50" s="315">
        <f>IFERROR(
  _xlfn.XLOOKUP(AG50,'2) หลักการคำนวน Table'!$C$3:$K$3,'2) หลักการคำนวน Table'!$C$3:$K$3,,1),
  IF(AG50&lt;MIN('2) หลักการคำนวน Table'!$C$3:$K$3),
     MIN('2) หลักการคำนวน Table'!$C$3:$K$3),
     MAX('2) หลักการคำนวน Table'!$C$3:$K$3)
  )
)</f>
        <v>0.9</v>
      </c>
      <c r="AT50" s="315">
        <f>IFERROR(
  _xlfn.XLOOKUP(AH50,'2) หลักการคำนวน Table'!$C$3:$K$3,'2) หลักการคำนวน Table'!$C$3:$K$3,,1),
  IF(AH50&lt;MIN('2) หลักการคำนวน Table'!$C$3:$K$3),
     MIN('2) หลักการคำนวน Table'!$C$3:$K$3),
     MAX('2) หลักการคำนวน Table'!$C$3:$K$3)
  )
)</f>
        <v>0.9</v>
      </c>
      <c r="AU50" s="315">
        <f>IFERROR(
  _xlfn.XLOOKUP(AI50,'2) หลักการคำนวน Table'!$C$3:$K$3,'2) หลักการคำนวน Table'!$C$3:$K$3,,1),
  IF(AI50&lt;MIN('2) หลักการคำนวน Table'!$C$3:$K$3),
     MIN('2) หลักการคำนวน Table'!$C$3:$K$3),
     MAX('2) หลักการคำนวน Table'!$C$3:$K$3)
  )
)</f>
        <v>0.9</v>
      </c>
      <c r="AV50" s="315">
        <f>IFERROR(
  _xlfn.XLOOKUP(AJ50,'2) หลักการคำนวน Table'!$C$3:$K$3,'2) หลักการคำนวน Table'!$C$3:$K$3,,1),
  IF(AJ50&lt;MIN('2) หลักการคำนวน Table'!$C$3:$K$3),
     MIN('2) หลักการคำนวน Table'!$C$3:$K$3),
     MAX('2) หลักการคำนวน Table'!$C$3:$K$3)
  )
)</f>
        <v>0.9</v>
      </c>
      <c r="AW50" s="315">
        <f>IFERROR(
  _xlfn.XLOOKUP(AK50,'2) หลักการคำนวน Table'!$C$3:$K$3,'2) หลักการคำนวน Table'!$C$3:$K$3,,1),
  IF(AK50&lt;MIN('2) หลักการคำนวน Table'!$C$3:$K$3),
     MIN('2) หลักการคำนวน Table'!$C$3:$K$3),
     MAX('2) หลักการคำนวน Table'!$C$3:$K$3)
  )
)</f>
        <v>0.9</v>
      </c>
      <c r="AX50" s="315">
        <f>IFERROR(
  _xlfn.XLOOKUP(AL50,'2) หลักการคำนวน Table'!$C$3:$K$3,'2) หลักการคำนวน Table'!$C$3:$K$3,,1),
  IF(AL50&lt;MIN('2) หลักการคำนวน Table'!$C$3:$K$3),
     MIN('2) หลักการคำนวน Table'!$C$3:$K$3),
     MAX('2) หลักการคำนวน Table'!$C$3:$K$3)
  )
)</f>
        <v>0.9</v>
      </c>
      <c r="AY50" s="315">
        <f>IFERROR(
  _xlfn.XLOOKUP(AM50,'2) หลักการคำนวน Table'!$C$3:$K$3,'2) หลักการคำนวน Table'!$C$3:$K$3,,1),
  IF(AM50&lt;MIN('2) หลักการคำนวน Table'!$C$3:$K$3),
     MIN('2) หลักการคำนวน Table'!$C$3:$K$3),
     MAX('2) หลักการคำนวน Table'!$C$3:$K$3)
  )
)</f>
        <v>0.9</v>
      </c>
      <c r="AZ50" s="135" t="e" cm="1">
        <f t="array" ref="AZ50">(_xlfn.XLOOKUP($C50,'2) หลักการคำนวน Table'!$A$4:$A$36,
_xlfn.XLOOKUP(AN50,'2)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</f>
        <v>#N/A</v>
      </c>
      <c r="BA50" s="135" t="e" cm="1">
        <f t="array" ref="BA50">(_xlfn.XLOOKUP($C50,'2) หลักการคำนวน Table'!$A$4:$A$36,
_xlfn.XLOOKUP(AO50,'2)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</f>
        <v>#N/A</v>
      </c>
      <c r="BB50" s="135" t="e" cm="1">
        <f t="array" ref="BB50">(_xlfn.XLOOKUP($C50,'2) หลักการคำนวน Table'!$A$4:$A$36,
_xlfn.XLOOKUP(AP50,'2)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</f>
        <v>#N/A</v>
      </c>
      <c r="BC50" s="135" t="e" cm="1">
        <f t="array" ref="BC50">(_xlfn.XLOOKUP($C50,'2) หลักการคำนวน Table'!$A$4:$A$36,
_xlfn.XLOOKUP(AQ50,'2)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</f>
        <v>#N/A</v>
      </c>
      <c r="BD50" s="135" t="e" cm="1">
        <f t="array" ref="BD50">(_xlfn.XLOOKUP($C50,'2) หลักการคำนวน Table'!$A$4:$A$36,
_xlfn.XLOOKUP(AR50,'2)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</f>
        <v>#N/A</v>
      </c>
      <c r="BE50" s="135" t="e" cm="1">
        <f t="array" ref="BE50">(_xlfn.XLOOKUP($C50,'2) หลักการคำนวน Table'!$A$4:$A$36,
_xlfn.XLOOKUP(AS50,'2)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</f>
        <v>#N/A</v>
      </c>
      <c r="BF50" s="135" t="e" cm="1">
        <f t="array" ref="BF50">(_xlfn.XLOOKUP($C50,'2) หลักการคำนวน Table'!$A$4:$A$36,
_xlfn.XLOOKUP(AT50,'2)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</f>
        <v>#N/A</v>
      </c>
      <c r="BG50" s="135" t="e" cm="1">
        <f t="array" ref="BG50">(_xlfn.XLOOKUP($C50,'2) หลักการคำนวน Table'!$A$4:$A$36,
_xlfn.XLOOKUP(AU50,'2)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</f>
        <v>#N/A</v>
      </c>
      <c r="BH50" s="135" t="e" cm="1">
        <f t="array" ref="BH50">ROUND((_xlfn.XLOOKUP($C50,'2) หลักการคำนวน Table'!$A$4:$A$36,
_xlfn.XLOOKUP(AV50,'2)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I50" s="135" t="e" cm="1">
        <f t="array" ref="BI50">ROUND((_xlfn.XLOOKUP($C50,'2) หลักการคำนวน Table'!$A$4:$A$36,
_xlfn.XLOOKUP(AW50,'2)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J50" s="135" t="e" cm="1">
        <f t="array" ref="BJ50">ROUND((_xlfn.XLOOKUP($C50,'2) หลักการคำนวน Table'!$A$4:$A$36,
_xlfn.XLOOKUP(AX50,'2)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K50" s="135" t="e" cm="1">
        <f t="array" ref="BK50">ROUND((_xlfn.XLOOKUP($C50,'2) หลักการคำนวน Table'!$A$4:$A$36,
_xlfn.XLOOKUP(AY50,'2) หลักการคำนวน Table'!$C$3:$K$3,'2) หลักการคำนวน Table'!$C$4:$K$36,,-1)))*(_xlfn.XLOOKUP($C50,'2) หลักการคำนวน Table'!$A$4:$A$36, _xlfn.XLOOKUP($B50,'2) หลักการคำนวน Table'!$L$3:$Z$3,'2) หลักการคำนวน Table'!$L$4:$Z$36))),0)</f>
        <v>#N/A</v>
      </c>
      <c r="BM50" s="126">
        <v>222235</v>
      </c>
      <c r="BN50" s="316">
        <v>189.47368421052627</v>
      </c>
    </row>
    <row r="51" spans="1:66" ht="13.2" customHeight="1" x14ac:dyDescent="0.25">
      <c r="A51" s="128">
        <f>VLOOKUP(C51,ASTBase!F:S,12,FALSE)</f>
        <v>222223</v>
      </c>
      <c r="B51" s="126" t="s">
        <v>408</v>
      </c>
      <c r="C51" s="128">
        <v>222235</v>
      </c>
      <c r="D51" s="127">
        <f>SUMIFS('3)Target &amp; Cal_Staff'!D$4:D$164,'3)Target &amp; Cal_Staff'!$B$4:$B$164,'3)Target &amp; Cal_Sect'!$B51,'3)Target &amp; Cal_Staff'!$A$4:$A$164,'3)Target &amp; Cal_Sect'!$C51)</f>
        <v>125625</v>
      </c>
      <c r="E51" s="127">
        <f>SUMIFS('3)Target &amp; Cal_Staff'!E$4:E$164,'3)Target &amp; Cal_Staff'!$B$4:$B$164,'3)Target &amp; Cal_Sect'!$B51,'3)Target &amp; Cal_Staff'!$A$4:$A$164,'3)Target &amp; Cal_Sect'!$C51)</f>
        <v>124100</v>
      </c>
      <c r="F51" s="127">
        <f>SUMIFS('3)Target &amp; Cal_Staff'!F$4:F$164,'3)Target &amp; Cal_Staff'!$B$4:$B$164,'3)Target &amp; Cal_Sect'!$B51,'3)Target &amp; Cal_Staff'!$A$4:$A$164,'3)Target &amp; Cal_Sect'!$C51)</f>
        <v>122900</v>
      </c>
      <c r="G51" s="127">
        <f>SUMIFS('3)Target &amp; Cal_Staff'!G$4:G$164,'3)Target &amp; Cal_Staff'!$B$4:$B$164,'3)Target &amp; Cal_Sect'!$B51,'3)Target &amp; Cal_Staff'!$A$4:$A$164,'3)Target &amp; Cal_Sect'!$C51)</f>
        <v>132700</v>
      </c>
      <c r="H51" s="127">
        <f>SUMIFS('3)Target &amp; Cal_Staff'!H$4:H$164,'3)Target &amp; Cal_Staff'!$B$4:$B$164,'3)Target &amp; Cal_Sect'!$B51,'3)Target &amp; Cal_Staff'!$A$4:$A$164,'3)Target &amp; Cal_Sect'!$C51)</f>
        <v>119800</v>
      </c>
      <c r="I51" s="127">
        <f>SUMIFS('3)Target &amp; Cal_Staff'!I$4:I$164,'3)Target &amp; Cal_Staff'!$B$4:$B$164,'3)Target &amp; Cal_Sect'!$B51,'3)Target &amp; Cal_Staff'!$A$4:$A$164,'3)Target &amp; Cal_Sect'!$C51)</f>
        <v>123400</v>
      </c>
      <c r="J51" s="127">
        <f>SUMIFS('3)Target &amp; Cal_Staff'!J$4:J$164,'3)Target &amp; Cal_Staff'!$B$4:$B$164,'3)Target &amp; Cal_Sect'!$B51,'3)Target &amp; Cal_Staff'!$A$4:$A$164,'3)Target &amp; Cal_Sect'!$C51)</f>
        <v>128091.66666666667</v>
      </c>
      <c r="K51" s="127">
        <f>SUMIFS('3)Target &amp; Cal_Staff'!K$4:K$164,'3)Target &amp; Cal_Staff'!$B$4:$B$164,'3)Target &amp; Cal_Sect'!$B51,'3)Target &amp; Cal_Staff'!$A$4:$A$164,'3)Target &amp; Cal_Sect'!$C51)</f>
        <v>128091.66666666667</v>
      </c>
      <c r="L51" s="127">
        <f>SUMIFS('3)Target &amp; Cal_Staff'!L$4:L$164,'3)Target &amp; Cal_Staff'!$B$4:$B$164,'3)Target &amp; Cal_Sect'!$B51,'3)Target &amp; Cal_Staff'!$A$4:$A$164,'3)Target &amp; Cal_Sect'!$C51)</f>
        <v>140000</v>
      </c>
      <c r="M51" s="127">
        <f>SUMIFS('3)Target &amp; Cal_Staff'!M$4:M$164,'3)Target &amp; Cal_Staff'!$B$4:$B$164,'3)Target &amp; Cal_Sect'!$B51,'3)Target &amp; Cal_Staff'!$A$4:$A$164,'3)Target &amp; Cal_Sect'!$C51)</f>
        <v>126291.66666666667</v>
      </c>
      <c r="N51" s="127">
        <f>SUMIFS('3)Target &amp; Cal_Staff'!N$4:N$164,'3)Target &amp; Cal_Staff'!$B$4:$B$164,'3)Target &amp; Cal_Sect'!$B51,'3)Target &amp; Cal_Staff'!$A$4:$A$164,'3)Target &amp; Cal_Sect'!$C51)</f>
        <v>124000</v>
      </c>
      <c r="O51" s="127">
        <f>SUMIFS('3)Target &amp; Cal_Staff'!O$4:O$164,'3)Target &amp; Cal_Staff'!$B$4:$B$164,'3)Target &amp; Cal_Sect'!$B51,'3)Target &amp; Cal_Staff'!$A$4:$A$164,'3)Target &amp; Cal_Sect'!$C51)</f>
        <v>132500</v>
      </c>
      <c r="P51" s="127">
        <f>SUMIFS('3)Target &amp; Cal_Staff'!P$4:P$164,'3)Target &amp; Cal_Staff'!$B$4:$B$164,'3)Target &amp; Cal_Sect'!$B51,'3)Target &amp; Cal_Staff'!$A$4:$A$164,'3)Target &amp; Cal_Sect'!$C51)</f>
        <v>145383.84000000026</v>
      </c>
      <c r="Q51" s="127">
        <f>SUMIFS('3)Target &amp; Cal_Staff'!Q$4:Q$164,'3)Target &amp; Cal_Staff'!$B$4:$B$164,'3)Target &amp; Cal_Sect'!$B51,'3)Target &amp; Cal_Staff'!$A$4:$A$164,'3)Target &amp; Cal_Sect'!$C51)</f>
        <v>0</v>
      </c>
      <c r="R51" s="127">
        <f>SUMIFS('3)Target &amp; Cal_Staff'!R$4:R$164,'3)Target &amp; Cal_Staff'!$B$4:$B$164,'3)Target &amp; Cal_Sect'!$B51,'3)Target &amp; Cal_Staff'!$A$4:$A$164,'3)Target &amp; Cal_Sect'!$C51)</f>
        <v>0</v>
      </c>
      <c r="S51" s="127">
        <f>SUMIFS('3)Target &amp; Cal_Staff'!S$4:S$164,'3)Target &amp; Cal_Staff'!$B$4:$B$164,'3)Target &amp; Cal_Sect'!$B51,'3)Target &amp; Cal_Staff'!$A$4:$A$164,'3)Target &amp; Cal_Sect'!$C51)</f>
        <v>0</v>
      </c>
      <c r="T51" s="127">
        <f>SUMIFS('3)Target &amp; Cal_Staff'!T$4:T$164,'3)Target &amp; Cal_Staff'!$B$4:$B$164,'3)Target &amp; Cal_Sect'!$B51,'3)Target &amp; Cal_Staff'!$A$4:$A$164,'3)Target &amp; Cal_Sect'!$C51)</f>
        <v>0</v>
      </c>
      <c r="U51" s="127">
        <f>SUMIFS('3)Target &amp; Cal_Staff'!U$4:U$164,'3)Target &amp; Cal_Staff'!$B$4:$B$164,'3)Target &amp; Cal_Sect'!$B51,'3)Target &amp; Cal_Staff'!$A$4:$A$164,'3)Target &amp; Cal_Sect'!$C51)</f>
        <v>0</v>
      </c>
      <c r="V51" s="127">
        <f>SUMIFS('3)Target &amp; Cal_Staff'!V$4:V$164,'3)Target &amp; Cal_Staff'!$B$4:$B$164,'3)Target &amp; Cal_Sect'!$B51,'3)Target &amp; Cal_Staff'!$A$4:$A$164,'3)Target &amp; Cal_Sect'!$C51)</f>
        <v>0</v>
      </c>
      <c r="W51" s="127">
        <f>SUMIFS('3)Target &amp; Cal_Staff'!W$4:W$164,'3)Target &amp; Cal_Staff'!$B$4:$B$164,'3)Target &amp; Cal_Sect'!$B51,'3)Target &amp; Cal_Staff'!$A$4:$A$164,'3)Target &amp; Cal_Sect'!$C51)</f>
        <v>0</v>
      </c>
      <c r="X51" s="127">
        <f>SUMIFS('3)Target &amp; Cal_Staff'!X$4:X$164,'3)Target &amp; Cal_Staff'!$B$4:$B$164,'3)Target &amp; Cal_Sect'!$B51,'3)Target &amp; Cal_Staff'!$A$4:$A$164,'3)Target &amp; Cal_Sect'!$C51)</f>
        <v>0</v>
      </c>
      <c r="Y51" s="127">
        <f>SUMIFS('3)Target &amp; Cal_Staff'!Y$4:Y$164,'3)Target &amp; Cal_Staff'!$B$4:$B$164,'3)Target &amp; Cal_Sect'!$B51,'3)Target &amp; Cal_Staff'!$A$4:$A$164,'3)Target &amp; Cal_Sect'!$C51)</f>
        <v>0</v>
      </c>
      <c r="Z51" s="127">
        <f>SUMIFS('3)Target &amp; Cal_Staff'!Z$4:Z$164,'3)Target &amp; Cal_Staff'!$B$4:$B$164,'3)Target &amp; Cal_Sect'!$B51,'3)Target &amp; Cal_Staff'!$A$4:$A$164,'3)Target &amp; Cal_Sect'!$C51)</f>
        <v>0</v>
      </c>
      <c r="AA51" s="127">
        <f>SUMIFS('3)Target &amp; Cal_Staff'!AA$4:AA$164,'3)Target &amp; Cal_Staff'!$B$4:$B$164,'3)Target &amp; Cal_Sect'!$B51,'3)Target &amp; Cal_Staff'!$A$4:$A$164,'3)Target &amp; Cal_Sect'!$C51)</f>
        <v>0</v>
      </c>
      <c r="AB51" s="132">
        <f>IFERROR(IF(VLOOKUP($B51,Shortage!$A:$M,AB$2,FALSE)="Shortage",1,IFERROR(ROUND(P51/D51,4),0)),IFERROR(ROUND(P51/D51,4),0))</f>
        <v>1.1573</v>
      </c>
      <c r="AC51" s="132">
        <f>IFERROR(IF(VLOOKUP($B51,Shortage!$A:$M,AC$2,FALSE)="Shortage",1,IFERROR(ROUND(Q51/E51,4),0)),IFERROR(ROUND(Q51/E51,4),0))</f>
        <v>0</v>
      </c>
      <c r="AD51" s="132">
        <f>IFERROR(IF(VLOOKUP($B51,Shortage!$A:$M,AD$2,FALSE)="Shortage",1,IFERROR(ROUND(R51/F51,4),0)),IFERROR(ROUND(R51/F51,4),0))</f>
        <v>0</v>
      </c>
      <c r="AE51" s="132">
        <f>IFERROR(IF(VLOOKUP($B51,Shortage!$A:$M,AE$2,FALSE)="Shortage",1,IFERROR(ROUND(S51/G51,4),0)),IFERROR(ROUND(S51/G51,4),0))</f>
        <v>0</v>
      </c>
      <c r="AF51" s="132">
        <f>IFERROR(IF(VLOOKUP($B51,Shortage!$A:$M,AF$2,FALSE)="Shortage",1,IFERROR(ROUND(T51/H51,4),0)),IFERROR(ROUND(T51/H51,4),0))</f>
        <v>0</v>
      </c>
      <c r="AG51" s="132">
        <f>IFERROR(IF(VLOOKUP($B51,Shortage!$A:$M,AG$2,FALSE)="Shortage",1,IFERROR(ROUND(U51/I51,4),0)),IFERROR(ROUND(U51/I51,4),0))</f>
        <v>0</v>
      </c>
      <c r="AH51" s="132">
        <f>IFERROR(IF(VLOOKUP($B51,Shortage!$A:$M,AH$2,FALSE)="Shortage",1,IFERROR(ROUND(V51/J51,4),0)),IFERROR(ROUND(V51/J51,4),0))</f>
        <v>0</v>
      </c>
      <c r="AI51" s="132">
        <f>IFERROR(IF(VLOOKUP($B51,Shortage!$A:$M,AI$2,FALSE)="Shortage",1,IFERROR(ROUND(W51/K51,4),0)),IFERROR(ROUND(W51/K51,4),0))</f>
        <v>0</v>
      </c>
      <c r="AJ51" s="132">
        <f>IFERROR(IF(VLOOKUP($B51,Shortage!$A:$M,AJ$2,FALSE)="Shortage",1,IFERROR(ROUND(X51/L51,4),0)),IFERROR(ROUND(X51/L51,4),0))</f>
        <v>0</v>
      </c>
      <c r="AK51" s="132">
        <f>IFERROR(IF(VLOOKUP($B51,Shortage!$A:$M,AK$2,FALSE)="Shortage",1,IFERROR(ROUND(Y51/M51,4),0)),IFERROR(ROUND(Y51/M51,4),0))</f>
        <v>0</v>
      </c>
      <c r="AL51" s="132">
        <f>IFERROR(IF(VLOOKUP($B51,Shortage!$A:$M,AL$2,FALSE)="Shortage",1,IFERROR(ROUND(Z51/N51,4),0)),IFERROR(ROUND(Z51/N51,4),0))</f>
        <v>0</v>
      </c>
      <c r="AM51" s="132">
        <f>IFERROR(IF(VLOOKUP($B51,Shortage!$A:$M,AM$2,FALSE)="Shortage",1,IFERROR(ROUND(AA51/O51,4),0)),IFERROR(ROUND(AA51/O51,4),0))</f>
        <v>0</v>
      </c>
      <c r="AN51" s="315">
        <f>IFERROR(_xlfn.XLOOKUP(AB51,'2) หลักการคำนวน Table'!$C$3:$K$3,'2) หลักการคำนวน Table'!$C$3:$K$3,,1),INDEX('2) หลักการคำนวน Table'!$C$3:$K$3,1))</f>
        <v>1.2</v>
      </c>
      <c r="AO51" s="315">
        <f>IFERROR(
  _xlfn.XLOOKUP(AC51,'2) หลักการคำนวน Table'!$C$3:$K$3,'2) หลักการคำนวน Table'!$C$3:$K$3,,1),
  IF(AC51&lt;MIN('2) หลักการคำนวน Table'!$C$3:$K$3),
     MIN('2) หลักการคำนวน Table'!$C$3:$K$3),
     MAX('2) หลักการคำนวน Table'!$C$3:$K$3)
  )
)</f>
        <v>0.9</v>
      </c>
      <c r="AP51" s="315">
        <f>IFERROR(
  _xlfn.XLOOKUP(AD51,'2) หลักการคำนวน Table'!$C$3:$K$3,'2) หลักการคำนวน Table'!$C$3:$K$3,,1),
  IF(AD51&lt;MIN('2) หลักการคำนวน Table'!$C$3:$K$3),
     MIN('2) หลักการคำนวน Table'!$C$3:$K$3),
     MAX('2) หลักการคำนวน Table'!$C$3:$K$3)
  )
)</f>
        <v>0.9</v>
      </c>
      <c r="AQ51" s="315">
        <f>IFERROR(
  _xlfn.XLOOKUP(AE51,'2) หลักการคำนวน Table'!$C$3:$K$3,'2) หลักการคำนวน Table'!$C$3:$K$3,,1),
  IF(AE51&lt;MIN('2) หลักการคำนวน Table'!$C$3:$K$3),
     MIN('2) หลักการคำนวน Table'!$C$3:$K$3),
     MAX('2) หลักการคำนวน Table'!$C$3:$K$3)
  )
)</f>
        <v>0.9</v>
      </c>
      <c r="AR51" s="315">
        <f>IFERROR(
  _xlfn.XLOOKUP(AF51,'2) หลักการคำนวน Table'!$C$3:$K$3,'2) หลักการคำนวน Table'!$C$3:$K$3,,1),
  IF(AF51&lt;MIN('2) หลักการคำนวน Table'!$C$3:$K$3),
     MIN('2) หลักการคำนวน Table'!$C$3:$K$3),
     MAX('2) หลักการคำนวน Table'!$C$3:$K$3)
  )
)</f>
        <v>0.9</v>
      </c>
      <c r="AS51" s="315">
        <f>IFERROR(
  _xlfn.XLOOKUP(AG51,'2) หลักการคำนวน Table'!$C$3:$K$3,'2) หลักการคำนวน Table'!$C$3:$K$3,,1),
  IF(AG51&lt;MIN('2) หลักการคำนวน Table'!$C$3:$K$3),
     MIN('2) หลักการคำนวน Table'!$C$3:$K$3),
     MAX('2) หลักการคำนวน Table'!$C$3:$K$3)
  )
)</f>
        <v>0.9</v>
      </c>
      <c r="AT51" s="315">
        <f>IFERROR(
  _xlfn.XLOOKUP(AH51,'2) หลักการคำนวน Table'!$C$3:$K$3,'2) หลักการคำนวน Table'!$C$3:$K$3,,1),
  IF(AH51&lt;MIN('2) หลักการคำนวน Table'!$C$3:$K$3),
     MIN('2) หลักการคำนวน Table'!$C$3:$K$3),
     MAX('2) หลักการคำนวน Table'!$C$3:$K$3)
  )
)</f>
        <v>0.9</v>
      </c>
      <c r="AU51" s="315">
        <f>IFERROR(
  _xlfn.XLOOKUP(AI51,'2) หลักการคำนวน Table'!$C$3:$K$3,'2) หลักการคำนวน Table'!$C$3:$K$3,,1),
  IF(AI51&lt;MIN('2) หลักการคำนวน Table'!$C$3:$K$3),
     MIN('2) หลักการคำนวน Table'!$C$3:$K$3),
     MAX('2) หลักการคำนวน Table'!$C$3:$K$3)
  )
)</f>
        <v>0.9</v>
      </c>
      <c r="AV51" s="315">
        <f>IFERROR(
  _xlfn.XLOOKUP(AJ51,'2) หลักการคำนวน Table'!$C$3:$K$3,'2) หลักการคำนวน Table'!$C$3:$K$3,,1),
  IF(AJ51&lt;MIN('2) หลักการคำนวน Table'!$C$3:$K$3),
     MIN('2) หลักการคำนวน Table'!$C$3:$K$3),
     MAX('2) หลักการคำนวน Table'!$C$3:$K$3)
  )
)</f>
        <v>0.9</v>
      </c>
      <c r="AW51" s="315">
        <f>IFERROR(
  _xlfn.XLOOKUP(AK51,'2) หลักการคำนวน Table'!$C$3:$K$3,'2) หลักการคำนวน Table'!$C$3:$K$3,,1),
  IF(AK51&lt;MIN('2) หลักการคำนวน Table'!$C$3:$K$3),
     MIN('2) หลักการคำนวน Table'!$C$3:$K$3),
     MAX('2) หลักการคำนวน Table'!$C$3:$K$3)
  )
)</f>
        <v>0.9</v>
      </c>
      <c r="AX51" s="315">
        <f>IFERROR(
  _xlfn.XLOOKUP(AL51,'2) หลักการคำนวน Table'!$C$3:$K$3,'2) หลักการคำนวน Table'!$C$3:$K$3,,1),
  IF(AL51&lt;MIN('2) หลักการคำนวน Table'!$C$3:$K$3),
     MIN('2) หลักการคำนวน Table'!$C$3:$K$3),
     MAX('2) หลักการคำนวน Table'!$C$3:$K$3)
  )
)</f>
        <v>0.9</v>
      </c>
      <c r="AY51" s="315">
        <f>IFERROR(
  _xlfn.XLOOKUP(AM51,'2) หลักการคำนวน Table'!$C$3:$K$3,'2) หลักการคำนวน Table'!$C$3:$K$3,,1),
  IF(AM51&lt;MIN('2) หลักการคำนวน Table'!$C$3:$K$3),
     MIN('2) หลักการคำนวน Table'!$C$3:$K$3),
     MAX('2) หลักการคำนวน Table'!$C$3:$K$3)
  )
)</f>
        <v>0.9</v>
      </c>
      <c r="AZ51" s="135" t="e" cm="1">
        <f t="array" ref="AZ51">(_xlfn.XLOOKUP($C51,'2) หลักการคำนวน Table'!$A$4:$A$36,
_xlfn.XLOOKUP(AN51,'2)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</f>
        <v>#N/A</v>
      </c>
      <c r="BA51" s="135" t="e" cm="1">
        <f t="array" ref="BA51">(_xlfn.XLOOKUP($C51,'2) หลักการคำนวน Table'!$A$4:$A$36,
_xlfn.XLOOKUP(AO51,'2)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</f>
        <v>#N/A</v>
      </c>
      <c r="BB51" s="135" t="e" cm="1">
        <f t="array" ref="BB51">(_xlfn.XLOOKUP($C51,'2) หลักการคำนวน Table'!$A$4:$A$36,
_xlfn.XLOOKUP(AP51,'2)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</f>
        <v>#N/A</v>
      </c>
      <c r="BC51" s="135" t="e" cm="1">
        <f t="array" ref="BC51">(_xlfn.XLOOKUP($C51,'2) หลักการคำนวน Table'!$A$4:$A$36,
_xlfn.XLOOKUP(AQ51,'2)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</f>
        <v>#N/A</v>
      </c>
      <c r="BD51" s="135" t="e" cm="1">
        <f t="array" ref="BD51">(_xlfn.XLOOKUP($C51,'2) หลักการคำนวน Table'!$A$4:$A$36,
_xlfn.XLOOKUP(AR51,'2)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</f>
        <v>#N/A</v>
      </c>
      <c r="BE51" s="135" t="e" cm="1">
        <f t="array" ref="BE51">(_xlfn.XLOOKUP($C51,'2) หลักการคำนวน Table'!$A$4:$A$36,
_xlfn.XLOOKUP(AS51,'2)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</f>
        <v>#N/A</v>
      </c>
      <c r="BF51" s="135" t="e" cm="1">
        <f t="array" ref="BF51">(_xlfn.XLOOKUP($C51,'2) หลักการคำนวน Table'!$A$4:$A$36,
_xlfn.XLOOKUP(AT51,'2)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</f>
        <v>#N/A</v>
      </c>
      <c r="BG51" s="135" t="e" cm="1">
        <f t="array" ref="BG51">(_xlfn.XLOOKUP($C51,'2) หลักการคำนวน Table'!$A$4:$A$36,
_xlfn.XLOOKUP(AU51,'2)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</f>
        <v>#N/A</v>
      </c>
      <c r="BH51" s="135" t="e" cm="1">
        <f t="array" ref="BH51">ROUND((_xlfn.XLOOKUP($C51,'2) หลักการคำนวน Table'!$A$4:$A$36,
_xlfn.XLOOKUP(AV51,'2)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I51" s="135" t="e" cm="1">
        <f t="array" ref="BI51">ROUND((_xlfn.XLOOKUP($C51,'2) หลักการคำนวน Table'!$A$4:$A$36,
_xlfn.XLOOKUP(AW51,'2)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J51" s="135" t="e" cm="1">
        <f t="array" ref="BJ51">ROUND((_xlfn.XLOOKUP($C51,'2) หลักการคำนวน Table'!$A$4:$A$36,
_xlfn.XLOOKUP(AX51,'2)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K51" s="135" t="e" cm="1">
        <f t="array" ref="BK51">ROUND((_xlfn.XLOOKUP($C51,'2) หลักการคำนวน Table'!$A$4:$A$36,
_xlfn.XLOOKUP(AY51,'2) หลักการคำนวน Table'!$C$3:$K$3,'2) หลักการคำนวน Table'!$C$4:$K$36,,-1)))*(_xlfn.XLOOKUP($C51,'2) หลักการคำนวน Table'!$A$4:$A$36, _xlfn.XLOOKUP($B51,'2) หลักการคำนวน Table'!$L$3:$Z$3,'2) หลักการคำนวน Table'!$L$4:$Z$36))),0)</f>
        <v>#N/A</v>
      </c>
      <c r="BM51" s="126">
        <v>222235</v>
      </c>
      <c r="BN51" s="316">
        <v>378.9473684210526</v>
      </c>
    </row>
    <row r="52" spans="1:66" ht="13.2" customHeight="1" x14ac:dyDescent="0.25">
      <c r="A52" s="128">
        <f>VLOOKUP(C52,ASTBase!F:S,12,FALSE)</f>
        <v>222223</v>
      </c>
      <c r="B52" s="126" t="s">
        <v>407</v>
      </c>
      <c r="C52" s="128">
        <v>222235</v>
      </c>
      <c r="D52" s="127">
        <f>SUMIFS('3)Target &amp; Cal_Staff'!D$4:D$164,'3)Target &amp; Cal_Staff'!$B$4:$B$164,'3)Target &amp; Cal_Sect'!$B52,'3)Target &amp; Cal_Staff'!$A$4:$A$164,'3)Target &amp; Cal_Sect'!$C52)</f>
        <v>315000</v>
      </c>
      <c r="E52" s="127">
        <f>SUMIFS('3)Target &amp; Cal_Staff'!E$4:E$164,'3)Target &amp; Cal_Staff'!$B$4:$B$164,'3)Target &amp; Cal_Sect'!$B52,'3)Target &amp; Cal_Staff'!$A$4:$A$164,'3)Target &amp; Cal_Sect'!$C52)</f>
        <v>295000</v>
      </c>
      <c r="F52" s="127">
        <f>SUMIFS('3)Target &amp; Cal_Staff'!F$4:F$164,'3)Target &amp; Cal_Staff'!$B$4:$B$164,'3)Target &amp; Cal_Sect'!$B52,'3)Target &amp; Cal_Staff'!$A$4:$A$164,'3)Target &amp; Cal_Sect'!$C52)</f>
        <v>295000</v>
      </c>
      <c r="G52" s="127">
        <f>SUMIFS('3)Target &amp; Cal_Staff'!G$4:G$164,'3)Target &amp; Cal_Staff'!$B$4:$B$164,'3)Target &amp; Cal_Sect'!$B52,'3)Target &amp; Cal_Staff'!$A$4:$A$164,'3)Target &amp; Cal_Sect'!$C52)</f>
        <v>325000</v>
      </c>
      <c r="H52" s="127">
        <f>SUMIFS('3)Target &amp; Cal_Staff'!H$4:H$164,'3)Target &amp; Cal_Staff'!$B$4:$B$164,'3)Target &amp; Cal_Sect'!$B52,'3)Target &amp; Cal_Staff'!$A$4:$A$164,'3)Target &amp; Cal_Sect'!$C52)</f>
        <v>315000</v>
      </c>
      <c r="I52" s="127">
        <f>SUMIFS('3)Target &amp; Cal_Staff'!I$4:I$164,'3)Target &amp; Cal_Staff'!$B$4:$B$164,'3)Target &amp; Cal_Sect'!$B52,'3)Target &amp; Cal_Staff'!$A$4:$A$164,'3)Target &amp; Cal_Sect'!$C52)</f>
        <v>405000</v>
      </c>
      <c r="J52" s="127">
        <f>SUMIFS('3)Target &amp; Cal_Staff'!J$4:J$164,'3)Target &amp; Cal_Staff'!$B$4:$B$164,'3)Target &amp; Cal_Sect'!$B52,'3)Target &amp; Cal_Staff'!$A$4:$A$164,'3)Target &amp; Cal_Sect'!$C52)</f>
        <v>295000</v>
      </c>
      <c r="K52" s="127">
        <f>SUMIFS('3)Target &amp; Cal_Staff'!K$4:K$164,'3)Target &amp; Cal_Staff'!$B$4:$B$164,'3)Target &amp; Cal_Sect'!$B52,'3)Target &amp; Cal_Staff'!$A$4:$A$164,'3)Target &amp; Cal_Sect'!$C52)</f>
        <v>405000</v>
      </c>
      <c r="L52" s="127">
        <f>SUMIFS('3)Target &amp; Cal_Staff'!L$4:L$164,'3)Target &amp; Cal_Staff'!$B$4:$B$164,'3)Target &amp; Cal_Sect'!$B52,'3)Target &amp; Cal_Staff'!$A$4:$A$164,'3)Target &amp; Cal_Sect'!$C52)</f>
        <v>335000</v>
      </c>
      <c r="M52" s="127">
        <f>SUMIFS('3)Target &amp; Cal_Staff'!M$4:M$164,'3)Target &amp; Cal_Staff'!$B$4:$B$164,'3)Target &amp; Cal_Sect'!$B52,'3)Target &amp; Cal_Staff'!$A$4:$A$164,'3)Target &amp; Cal_Sect'!$C52)</f>
        <v>405000</v>
      </c>
      <c r="N52" s="127">
        <f>SUMIFS('3)Target &amp; Cal_Staff'!N$4:N$164,'3)Target &amp; Cal_Staff'!$B$4:$B$164,'3)Target &amp; Cal_Sect'!$B52,'3)Target &amp; Cal_Staff'!$A$4:$A$164,'3)Target &amp; Cal_Sect'!$C52)</f>
        <v>285000</v>
      </c>
      <c r="O52" s="127">
        <f>SUMIFS('3)Target &amp; Cal_Staff'!O$4:O$164,'3)Target &amp; Cal_Staff'!$B$4:$B$164,'3)Target &amp; Cal_Sect'!$B52,'3)Target &amp; Cal_Staff'!$A$4:$A$164,'3)Target &amp; Cal_Sect'!$C52)</f>
        <v>295000</v>
      </c>
      <c r="P52" s="127">
        <f>SUMIFS('3)Target &amp; Cal_Staff'!P$4:P$164,'3)Target &amp; Cal_Staff'!$B$4:$B$164,'3)Target &amp; Cal_Sect'!$B52,'3)Target &amp; Cal_Staff'!$A$4:$A$164,'3)Target &amp; Cal_Sect'!$C52)</f>
        <v>238567.99999761497</v>
      </c>
      <c r="Q52" s="127">
        <f>SUMIFS('3)Target &amp; Cal_Staff'!Q$4:Q$164,'3)Target &amp; Cal_Staff'!$B$4:$B$164,'3)Target &amp; Cal_Sect'!$B52,'3)Target &amp; Cal_Staff'!$A$4:$A$164,'3)Target &amp; Cal_Sect'!$C52)</f>
        <v>0</v>
      </c>
      <c r="R52" s="127">
        <f>SUMIFS('3)Target &amp; Cal_Staff'!R$4:R$164,'3)Target &amp; Cal_Staff'!$B$4:$B$164,'3)Target &amp; Cal_Sect'!$B52,'3)Target &amp; Cal_Staff'!$A$4:$A$164,'3)Target &amp; Cal_Sect'!$C52)</f>
        <v>0</v>
      </c>
      <c r="S52" s="127">
        <f>SUMIFS('3)Target &amp; Cal_Staff'!S$4:S$164,'3)Target &amp; Cal_Staff'!$B$4:$B$164,'3)Target &amp; Cal_Sect'!$B52,'3)Target &amp; Cal_Staff'!$A$4:$A$164,'3)Target &amp; Cal_Sect'!$C52)</f>
        <v>0</v>
      </c>
      <c r="T52" s="127">
        <f>SUMIFS('3)Target &amp; Cal_Staff'!T$4:T$164,'3)Target &amp; Cal_Staff'!$B$4:$B$164,'3)Target &amp; Cal_Sect'!$B52,'3)Target &amp; Cal_Staff'!$A$4:$A$164,'3)Target &amp; Cal_Sect'!$C52)</f>
        <v>0</v>
      </c>
      <c r="U52" s="127">
        <f>SUMIFS('3)Target &amp; Cal_Staff'!U$4:U$164,'3)Target &amp; Cal_Staff'!$B$4:$B$164,'3)Target &amp; Cal_Sect'!$B52,'3)Target &amp; Cal_Staff'!$A$4:$A$164,'3)Target &amp; Cal_Sect'!$C52)</f>
        <v>0</v>
      </c>
      <c r="V52" s="127">
        <f>SUMIFS('3)Target &amp; Cal_Staff'!V$4:V$164,'3)Target &amp; Cal_Staff'!$B$4:$B$164,'3)Target &amp; Cal_Sect'!$B52,'3)Target &amp; Cal_Staff'!$A$4:$A$164,'3)Target &amp; Cal_Sect'!$C52)</f>
        <v>0</v>
      </c>
      <c r="W52" s="127">
        <f>SUMIFS('3)Target &amp; Cal_Staff'!W$4:W$164,'3)Target &amp; Cal_Staff'!$B$4:$B$164,'3)Target &amp; Cal_Sect'!$B52,'3)Target &amp; Cal_Staff'!$A$4:$A$164,'3)Target &amp; Cal_Sect'!$C52)</f>
        <v>0</v>
      </c>
      <c r="X52" s="127">
        <f>SUMIFS('3)Target &amp; Cal_Staff'!X$4:X$164,'3)Target &amp; Cal_Staff'!$B$4:$B$164,'3)Target &amp; Cal_Sect'!$B52,'3)Target &amp; Cal_Staff'!$A$4:$A$164,'3)Target &amp; Cal_Sect'!$C52)</f>
        <v>0</v>
      </c>
      <c r="Y52" s="127">
        <f>SUMIFS('3)Target &amp; Cal_Staff'!Y$4:Y$164,'3)Target &amp; Cal_Staff'!$B$4:$B$164,'3)Target &amp; Cal_Sect'!$B52,'3)Target &amp; Cal_Staff'!$A$4:$A$164,'3)Target &amp; Cal_Sect'!$C52)</f>
        <v>0</v>
      </c>
      <c r="Z52" s="127">
        <f>SUMIFS('3)Target &amp; Cal_Staff'!Z$4:Z$164,'3)Target &amp; Cal_Staff'!$B$4:$B$164,'3)Target &amp; Cal_Sect'!$B52,'3)Target &amp; Cal_Staff'!$A$4:$A$164,'3)Target &amp; Cal_Sect'!$C52)</f>
        <v>0</v>
      </c>
      <c r="AA52" s="127">
        <f>SUMIFS('3)Target &amp; Cal_Staff'!AA$4:AA$164,'3)Target &amp; Cal_Staff'!$B$4:$B$164,'3)Target &amp; Cal_Sect'!$B52,'3)Target &amp; Cal_Staff'!$A$4:$A$164,'3)Target &amp; Cal_Sect'!$C52)</f>
        <v>0</v>
      </c>
      <c r="AB52" s="132">
        <f>IFERROR(IF(VLOOKUP($B52,Shortage!$A:$M,AB$2,FALSE)="Shortage",1,IFERROR(ROUND(P52/D52,4),0)),IFERROR(ROUND(P52/D52,4),0))</f>
        <v>0.75739999999999996</v>
      </c>
      <c r="AC52" s="132">
        <f>IFERROR(IF(VLOOKUP($B52,Shortage!$A:$M,AC$2,FALSE)="Shortage",1,IFERROR(ROUND(Q52/E52,4),0)),IFERROR(ROUND(Q52/E52,4),0))</f>
        <v>0</v>
      </c>
      <c r="AD52" s="132">
        <f>IFERROR(IF(VLOOKUP($B52,Shortage!$A:$M,AD$2,FALSE)="Shortage",1,IFERROR(ROUND(R52/F52,4),0)),IFERROR(ROUND(R52/F52,4),0))</f>
        <v>0</v>
      </c>
      <c r="AE52" s="132">
        <f>IFERROR(IF(VLOOKUP($B52,Shortage!$A:$M,AE$2,FALSE)="Shortage",1,IFERROR(ROUND(S52/G52,4),0)),IFERROR(ROUND(S52/G52,4),0))</f>
        <v>0</v>
      </c>
      <c r="AF52" s="132">
        <f>IFERROR(IF(VLOOKUP($B52,Shortage!$A:$M,AF$2,FALSE)="Shortage",1,IFERROR(ROUND(T52/H52,4),0)),IFERROR(ROUND(T52/H52,4),0))</f>
        <v>0</v>
      </c>
      <c r="AG52" s="132">
        <f>IFERROR(IF(VLOOKUP($B52,Shortage!$A:$M,AG$2,FALSE)="Shortage",1,IFERROR(ROUND(U52/I52,4),0)),IFERROR(ROUND(U52/I52,4),0))</f>
        <v>0</v>
      </c>
      <c r="AH52" s="132">
        <f>IFERROR(IF(VLOOKUP($B52,Shortage!$A:$M,AH$2,FALSE)="Shortage",1,IFERROR(ROUND(V52/J52,4),0)),IFERROR(ROUND(V52/J52,4),0))</f>
        <v>0</v>
      </c>
      <c r="AI52" s="132">
        <f>IFERROR(IF(VLOOKUP($B52,Shortage!$A:$M,AI$2,FALSE)="Shortage",1,IFERROR(ROUND(W52/K52,4),0)),IFERROR(ROUND(W52/K52,4),0))</f>
        <v>0</v>
      </c>
      <c r="AJ52" s="132">
        <f>IFERROR(IF(VLOOKUP($B52,Shortage!$A:$M,AJ$2,FALSE)="Shortage",1,IFERROR(ROUND(X52/L52,4),0)),IFERROR(ROUND(X52/L52,4),0))</f>
        <v>0</v>
      </c>
      <c r="AK52" s="132">
        <f>IFERROR(IF(VLOOKUP($B52,Shortage!$A:$M,AK$2,FALSE)="Shortage",1,IFERROR(ROUND(Y52/M52,4),0)),IFERROR(ROUND(Y52/M52,4),0))</f>
        <v>0</v>
      </c>
      <c r="AL52" s="132">
        <f>IFERROR(IF(VLOOKUP($B52,Shortage!$A:$M,AL$2,FALSE)="Shortage",1,IFERROR(ROUND(Z52/N52,4),0)),IFERROR(ROUND(Z52/N52,4),0))</f>
        <v>0</v>
      </c>
      <c r="AM52" s="132">
        <f>IFERROR(IF(VLOOKUP($B52,Shortage!$A:$M,AM$2,FALSE)="Shortage",1,IFERROR(ROUND(AA52/O52,4),0)),IFERROR(ROUND(AA52/O52,4),0))</f>
        <v>0</v>
      </c>
      <c r="AN52" s="315">
        <f>IFERROR(_xlfn.XLOOKUP(AB52,'2) หลักการคำนวน Table'!$C$3:$K$3,'2) หลักการคำนวน Table'!$C$3:$K$3,,1),INDEX('2) หลักการคำนวน Table'!$C$3:$K$3,1))</f>
        <v>0.9</v>
      </c>
      <c r="AO52" s="315">
        <f>IFERROR(
  _xlfn.XLOOKUP(AC52,'2) หลักการคำนวน Table'!$C$3:$K$3,'2) หลักการคำนวน Table'!$C$3:$K$3,,1),
  IF(AC52&lt;MIN('2) หลักการคำนวน Table'!$C$3:$K$3),
     MIN('2) หลักการคำนวน Table'!$C$3:$K$3),
     MAX('2) หลักการคำนวน Table'!$C$3:$K$3)
  )
)</f>
        <v>0.9</v>
      </c>
      <c r="AP52" s="315">
        <f>IFERROR(
  _xlfn.XLOOKUP(AD52,'2) หลักการคำนวน Table'!$C$3:$K$3,'2) หลักการคำนวน Table'!$C$3:$K$3,,1),
  IF(AD52&lt;MIN('2) หลักการคำนวน Table'!$C$3:$K$3),
     MIN('2) หลักการคำนวน Table'!$C$3:$K$3),
     MAX('2) หลักการคำนวน Table'!$C$3:$K$3)
  )
)</f>
        <v>0.9</v>
      </c>
      <c r="AQ52" s="315">
        <f>IFERROR(
  _xlfn.XLOOKUP(AE52,'2) หลักการคำนวน Table'!$C$3:$K$3,'2) หลักการคำนวน Table'!$C$3:$K$3,,1),
  IF(AE52&lt;MIN('2) หลักการคำนวน Table'!$C$3:$K$3),
     MIN('2) หลักการคำนวน Table'!$C$3:$K$3),
     MAX('2) หลักการคำนวน Table'!$C$3:$K$3)
  )
)</f>
        <v>0.9</v>
      </c>
      <c r="AR52" s="315">
        <f>IFERROR(
  _xlfn.XLOOKUP(AF52,'2) หลักการคำนวน Table'!$C$3:$K$3,'2) หลักการคำนวน Table'!$C$3:$K$3,,1),
  IF(AF52&lt;MIN('2) หลักการคำนวน Table'!$C$3:$K$3),
     MIN('2) หลักการคำนวน Table'!$C$3:$K$3),
     MAX('2) หลักการคำนวน Table'!$C$3:$K$3)
  )
)</f>
        <v>0.9</v>
      </c>
      <c r="AS52" s="315">
        <f>IFERROR(
  _xlfn.XLOOKUP(AG52,'2) หลักการคำนวน Table'!$C$3:$K$3,'2) หลักการคำนวน Table'!$C$3:$K$3,,1),
  IF(AG52&lt;MIN('2) หลักการคำนวน Table'!$C$3:$K$3),
     MIN('2) หลักการคำนวน Table'!$C$3:$K$3),
     MAX('2) หลักการคำนวน Table'!$C$3:$K$3)
  )
)</f>
        <v>0.9</v>
      </c>
      <c r="AT52" s="315">
        <f>IFERROR(
  _xlfn.XLOOKUP(AH52,'2) หลักการคำนวน Table'!$C$3:$K$3,'2) หลักการคำนวน Table'!$C$3:$K$3,,1),
  IF(AH52&lt;MIN('2) หลักการคำนวน Table'!$C$3:$K$3),
     MIN('2) หลักการคำนวน Table'!$C$3:$K$3),
     MAX('2) หลักการคำนวน Table'!$C$3:$K$3)
  )
)</f>
        <v>0.9</v>
      </c>
      <c r="AU52" s="315">
        <f>IFERROR(
  _xlfn.XLOOKUP(AI52,'2) หลักการคำนวน Table'!$C$3:$K$3,'2) หลักการคำนวน Table'!$C$3:$K$3,,1),
  IF(AI52&lt;MIN('2) หลักการคำนวน Table'!$C$3:$K$3),
     MIN('2) หลักการคำนวน Table'!$C$3:$K$3),
     MAX('2) หลักการคำนวน Table'!$C$3:$K$3)
  )
)</f>
        <v>0.9</v>
      </c>
      <c r="AV52" s="315">
        <f>IFERROR(
  _xlfn.XLOOKUP(AJ52,'2) หลักการคำนวน Table'!$C$3:$K$3,'2) หลักการคำนวน Table'!$C$3:$K$3,,1),
  IF(AJ52&lt;MIN('2) หลักการคำนวน Table'!$C$3:$K$3),
     MIN('2) หลักการคำนวน Table'!$C$3:$K$3),
     MAX('2) หลักการคำนวน Table'!$C$3:$K$3)
  )
)</f>
        <v>0.9</v>
      </c>
      <c r="AW52" s="315">
        <f>IFERROR(
  _xlfn.XLOOKUP(AK52,'2) หลักการคำนวน Table'!$C$3:$K$3,'2) หลักการคำนวน Table'!$C$3:$K$3,,1),
  IF(AK52&lt;MIN('2) หลักการคำนวน Table'!$C$3:$K$3),
     MIN('2) หลักการคำนวน Table'!$C$3:$K$3),
     MAX('2) หลักการคำนวน Table'!$C$3:$K$3)
  )
)</f>
        <v>0.9</v>
      </c>
      <c r="AX52" s="315">
        <f>IFERROR(
  _xlfn.XLOOKUP(AL52,'2) หลักการคำนวน Table'!$C$3:$K$3,'2) หลักการคำนวน Table'!$C$3:$K$3,,1),
  IF(AL52&lt;MIN('2) หลักการคำนวน Table'!$C$3:$K$3),
     MIN('2) หลักการคำนวน Table'!$C$3:$K$3),
     MAX('2) หลักการคำนวน Table'!$C$3:$K$3)
  )
)</f>
        <v>0.9</v>
      </c>
      <c r="AY52" s="315">
        <f>IFERROR(
  _xlfn.XLOOKUP(AM52,'2) หลักการคำนวน Table'!$C$3:$K$3,'2) หลักการคำนวน Table'!$C$3:$K$3,,1),
  IF(AM52&lt;MIN('2) หลักการคำนวน Table'!$C$3:$K$3),
     MIN('2) หลักการคำนวน Table'!$C$3:$K$3),
     MAX('2) หลักการคำนวน Table'!$C$3:$K$3)
  )
)</f>
        <v>0.9</v>
      </c>
      <c r="AZ52" s="135" t="e" cm="1">
        <f t="array" ref="AZ52">(_xlfn.XLOOKUP($C52,'2) หลักการคำนวน Table'!$A$4:$A$36,
_xlfn.XLOOKUP(AN52,'2)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</f>
        <v>#N/A</v>
      </c>
      <c r="BA52" s="135" t="e" cm="1">
        <f t="array" ref="BA52">(_xlfn.XLOOKUP($C52,'2) หลักการคำนวน Table'!$A$4:$A$36,
_xlfn.XLOOKUP(AO52,'2)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</f>
        <v>#N/A</v>
      </c>
      <c r="BB52" s="135" t="e" cm="1">
        <f t="array" ref="BB52">(_xlfn.XLOOKUP($C52,'2) หลักการคำนวน Table'!$A$4:$A$36,
_xlfn.XLOOKUP(AP52,'2)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</f>
        <v>#N/A</v>
      </c>
      <c r="BC52" s="135" t="e" cm="1">
        <f t="array" ref="BC52">(_xlfn.XLOOKUP($C52,'2) หลักการคำนวน Table'!$A$4:$A$36,
_xlfn.XLOOKUP(AQ52,'2)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</f>
        <v>#N/A</v>
      </c>
      <c r="BD52" s="135" t="e" cm="1">
        <f t="array" ref="BD52">(_xlfn.XLOOKUP($C52,'2) หลักการคำนวน Table'!$A$4:$A$36,
_xlfn.XLOOKUP(AR52,'2)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</f>
        <v>#N/A</v>
      </c>
      <c r="BE52" s="135" t="e" cm="1">
        <f t="array" ref="BE52">(_xlfn.XLOOKUP($C52,'2) หลักการคำนวน Table'!$A$4:$A$36,
_xlfn.XLOOKUP(AS52,'2)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</f>
        <v>#N/A</v>
      </c>
      <c r="BF52" s="135" t="e" cm="1">
        <f t="array" ref="BF52">(_xlfn.XLOOKUP($C52,'2) หลักการคำนวน Table'!$A$4:$A$36,
_xlfn.XLOOKUP(AT52,'2)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</f>
        <v>#N/A</v>
      </c>
      <c r="BG52" s="135" t="e" cm="1">
        <f t="array" ref="BG52">(_xlfn.XLOOKUP($C52,'2) หลักการคำนวน Table'!$A$4:$A$36,
_xlfn.XLOOKUP(AU52,'2)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</f>
        <v>#N/A</v>
      </c>
      <c r="BH52" s="135" t="e" cm="1">
        <f t="array" ref="BH52">ROUND((_xlfn.XLOOKUP($C52,'2) หลักการคำนวน Table'!$A$4:$A$36,
_xlfn.XLOOKUP(AV52,'2)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I52" s="135" t="e" cm="1">
        <f t="array" ref="BI52">ROUND((_xlfn.XLOOKUP($C52,'2) หลักการคำนวน Table'!$A$4:$A$36,
_xlfn.XLOOKUP(AW52,'2)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J52" s="135" t="e" cm="1">
        <f t="array" ref="BJ52">ROUND((_xlfn.XLOOKUP($C52,'2) หลักการคำนวน Table'!$A$4:$A$36,
_xlfn.XLOOKUP(AX52,'2)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K52" s="135" t="e" cm="1">
        <f t="array" ref="BK52">ROUND((_xlfn.XLOOKUP($C52,'2) หลักการคำนวน Table'!$A$4:$A$36,
_xlfn.XLOOKUP(AY52,'2) หลักการคำนวน Table'!$C$3:$K$3,'2) หลักการคำนวน Table'!$C$4:$K$36,,-1)))*(_xlfn.XLOOKUP($C52,'2) หลักการคำนวน Table'!$A$4:$A$36, _xlfn.XLOOKUP($B52,'2) หลักการคำนวน Table'!$L$3:$Z$3,'2) หลักการคำนวน Table'!$L$4:$Z$36))),0)</f>
        <v>#N/A</v>
      </c>
      <c r="BM52" s="126">
        <v>222235</v>
      </c>
      <c r="BN52" s="316">
        <v>852.63157894736833</v>
      </c>
    </row>
    <row r="53" spans="1:66" ht="13.2" customHeight="1" x14ac:dyDescent="0.25">
      <c r="A53" s="128">
        <f>VLOOKUP(C53,ASTBase!F:S,12,FALSE)</f>
        <v>222223</v>
      </c>
      <c r="B53" s="126" t="s">
        <v>418</v>
      </c>
      <c r="C53" s="128">
        <v>222235</v>
      </c>
      <c r="D53" s="127">
        <f>SUMIFS('3)Target &amp; Cal_Staff'!D$4:D$164,'3)Target &amp; Cal_Staff'!$B$4:$B$164,'3)Target &amp; Cal_Sect'!$B53,'3)Target &amp; Cal_Staff'!$A$4:$A$164,'3)Target &amp; Cal_Sect'!$C53)</f>
        <v>0</v>
      </c>
      <c r="E53" s="127">
        <f>SUMIFS('3)Target &amp; Cal_Staff'!E$4:E$164,'3)Target &amp; Cal_Staff'!$B$4:$B$164,'3)Target &amp; Cal_Sect'!$B53,'3)Target &amp; Cal_Staff'!$A$4:$A$164,'3)Target &amp; Cal_Sect'!$C53)</f>
        <v>0</v>
      </c>
      <c r="F53" s="127">
        <f>SUMIFS('3)Target &amp; Cal_Staff'!F$4:F$164,'3)Target &amp; Cal_Staff'!$B$4:$B$164,'3)Target &amp; Cal_Sect'!$B53,'3)Target &amp; Cal_Staff'!$A$4:$A$164,'3)Target &amp; Cal_Sect'!$C53)</f>
        <v>0</v>
      </c>
      <c r="G53" s="127">
        <f>SUMIFS('3)Target &amp; Cal_Staff'!G$4:G$164,'3)Target &amp; Cal_Staff'!$B$4:$B$164,'3)Target &amp; Cal_Sect'!$B53,'3)Target &amp; Cal_Staff'!$A$4:$A$164,'3)Target &amp; Cal_Sect'!$C53)</f>
        <v>0</v>
      </c>
      <c r="H53" s="127">
        <f>SUMIFS('3)Target &amp; Cal_Staff'!H$4:H$164,'3)Target &amp; Cal_Staff'!$B$4:$B$164,'3)Target &amp; Cal_Sect'!$B53,'3)Target &amp; Cal_Staff'!$A$4:$A$164,'3)Target &amp; Cal_Sect'!$C53)</f>
        <v>75</v>
      </c>
      <c r="I53" s="127">
        <f>SUMIFS('3)Target &amp; Cal_Staff'!I$4:I$164,'3)Target &amp; Cal_Staff'!$B$4:$B$164,'3)Target &amp; Cal_Sect'!$B53,'3)Target &amp; Cal_Staff'!$A$4:$A$164,'3)Target &amp; Cal_Sect'!$C53)</f>
        <v>75</v>
      </c>
      <c r="J53" s="127">
        <f>SUMIFS('3)Target &amp; Cal_Staff'!J$4:J$164,'3)Target &amp; Cal_Staff'!$B$4:$B$164,'3)Target &amp; Cal_Sect'!$B53,'3)Target &amp; Cal_Staff'!$A$4:$A$164,'3)Target &amp; Cal_Sect'!$C53)</f>
        <v>35</v>
      </c>
      <c r="K53" s="127">
        <f>SUMIFS('3)Target &amp; Cal_Staff'!K$4:K$164,'3)Target &amp; Cal_Staff'!$B$4:$B$164,'3)Target &amp; Cal_Sect'!$B53,'3)Target &amp; Cal_Staff'!$A$4:$A$164,'3)Target &amp; Cal_Sect'!$C53)</f>
        <v>35</v>
      </c>
      <c r="L53" s="127">
        <f>SUMIFS('3)Target &amp; Cal_Staff'!L$4:L$164,'3)Target &amp; Cal_Staff'!$B$4:$B$164,'3)Target &amp; Cal_Sect'!$B53,'3)Target &amp; Cal_Staff'!$A$4:$A$164,'3)Target &amp; Cal_Sect'!$C53)</f>
        <v>85</v>
      </c>
      <c r="M53" s="127">
        <f>SUMIFS('3)Target &amp; Cal_Staff'!M$4:M$164,'3)Target &amp; Cal_Staff'!$B$4:$B$164,'3)Target &amp; Cal_Sect'!$B53,'3)Target &amp; Cal_Staff'!$A$4:$A$164,'3)Target &amp; Cal_Sect'!$C53)</f>
        <v>60</v>
      </c>
      <c r="N53" s="127">
        <f>SUMIFS('3)Target &amp; Cal_Staff'!N$4:N$164,'3)Target &amp; Cal_Staff'!$B$4:$B$164,'3)Target &amp; Cal_Sect'!$B53,'3)Target &amp; Cal_Staff'!$A$4:$A$164,'3)Target &amp; Cal_Sect'!$C53)</f>
        <v>60</v>
      </c>
      <c r="O53" s="127">
        <f>SUMIFS('3)Target &amp; Cal_Staff'!O$4:O$164,'3)Target &amp; Cal_Staff'!$B$4:$B$164,'3)Target &amp; Cal_Sect'!$B53,'3)Target &amp; Cal_Staff'!$A$4:$A$164,'3)Target &amp; Cal_Sect'!$C53)</f>
        <v>75</v>
      </c>
      <c r="P53" s="127">
        <f>SUMIFS('3)Target &amp; Cal_Staff'!P$4:P$164,'3)Target &amp; Cal_Staff'!$B$4:$B$164,'3)Target &amp; Cal_Sect'!$B53,'3)Target &amp; Cal_Staff'!$A$4:$A$164,'3)Target &amp; Cal_Sect'!$C53)</f>
        <v>0</v>
      </c>
      <c r="Q53" s="127">
        <f>SUMIFS('3)Target &amp; Cal_Staff'!Q$4:Q$164,'3)Target &amp; Cal_Staff'!$B$4:$B$164,'3)Target &amp; Cal_Sect'!$B53,'3)Target &amp; Cal_Staff'!$A$4:$A$164,'3)Target &amp; Cal_Sect'!$C53)</f>
        <v>0</v>
      </c>
      <c r="R53" s="127">
        <f>SUMIFS('3)Target &amp; Cal_Staff'!R$4:R$164,'3)Target &amp; Cal_Staff'!$B$4:$B$164,'3)Target &amp; Cal_Sect'!$B53,'3)Target &amp; Cal_Staff'!$A$4:$A$164,'3)Target &amp; Cal_Sect'!$C53)</f>
        <v>0</v>
      </c>
      <c r="S53" s="127">
        <f>SUMIFS('3)Target &amp; Cal_Staff'!S$4:S$164,'3)Target &amp; Cal_Staff'!$B$4:$B$164,'3)Target &amp; Cal_Sect'!$B53,'3)Target &amp; Cal_Staff'!$A$4:$A$164,'3)Target &amp; Cal_Sect'!$C53)</f>
        <v>0</v>
      </c>
      <c r="T53" s="127">
        <f>SUMIFS('3)Target &amp; Cal_Staff'!T$4:T$164,'3)Target &amp; Cal_Staff'!$B$4:$B$164,'3)Target &amp; Cal_Sect'!$B53,'3)Target &amp; Cal_Staff'!$A$4:$A$164,'3)Target &amp; Cal_Sect'!$C53)</f>
        <v>0</v>
      </c>
      <c r="U53" s="127">
        <f>SUMIFS('3)Target &amp; Cal_Staff'!U$4:U$164,'3)Target &amp; Cal_Staff'!$B$4:$B$164,'3)Target &amp; Cal_Sect'!$B53,'3)Target &amp; Cal_Staff'!$A$4:$A$164,'3)Target &amp; Cal_Sect'!$C53)</f>
        <v>0</v>
      </c>
      <c r="V53" s="127">
        <f>SUMIFS('3)Target &amp; Cal_Staff'!V$4:V$164,'3)Target &amp; Cal_Staff'!$B$4:$B$164,'3)Target &amp; Cal_Sect'!$B53,'3)Target &amp; Cal_Staff'!$A$4:$A$164,'3)Target &amp; Cal_Sect'!$C53)</f>
        <v>0</v>
      </c>
      <c r="W53" s="127">
        <f>SUMIFS('3)Target &amp; Cal_Staff'!W$4:W$164,'3)Target &amp; Cal_Staff'!$B$4:$B$164,'3)Target &amp; Cal_Sect'!$B53,'3)Target &amp; Cal_Staff'!$A$4:$A$164,'3)Target &amp; Cal_Sect'!$C53)</f>
        <v>0</v>
      </c>
      <c r="X53" s="127">
        <f>SUMIFS('3)Target &amp; Cal_Staff'!X$4:X$164,'3)Target &amp; Cal_Staff'!$B$4:$B$164,'3)Target &amp; Cal_Sect'!$B53,'3)Target &amp; Cal_Staff'!$A$4:$A$164,'3)Target &amp; Cal_Sect'!$C53)</f>
        <v>0</v>
      </c>
      <c r="Y53" s="127">
        <f>SUMIFS('3)Target &amp; Cal_Staff'!Y$4:Y$164,'3)Target &amp; Cal_Staff'!$B$4:$B$164,'3)Target &amp; Cal_Sect'!$B53,'3)Target &amp; Cal_Staff'!$A$4:$A$164,'3)Target &amp; Cal_Sect'!$C53)</f>
        <v>0</v>
      </c>
      <c r="Z53" s="127">
        <f>SUMIFS('3)Target &amp; Cal_Staff'!Z$4:Z$164,'3)Target &amp; Cal_Staff'!$B$4:$B$164,'3)Target &amp; Cal_Sect'!$B53,'3)Target &amp; Cal_Staff'!$A$4:$A$164,'3)Target &amp; Cal_Sect'!$C53)</f>
        <v>0</v>
      </c>
      <c r="AA53" s="127">
        <f>SUMIFS('3)Target &amp; Cal_Staff'!AA$4:AA$164,'3)Target &amp; Cal_Staff'!$B$4:$B$164,'3)Target &amp; Cal_Sect'!$B53,'3)Target &amp; Cal_Staff'!$A$4:$A$164,'3)Target &amp; Cal_Sect'!$C53)</f>
        <v>0</v>
      </c>
      <c r="AB53" s="132">
        <f>IFERROR(IF(VLOOKUP($B53,Shortage!$A:$M,AB$2,FALSE)="Shortage",1,IFERROR(ROUND(P53/D53,4),0)),IFERROR(ROUND(P53/D53,4),0))</f>
        <v>0</v>
      </c>
      <c r="AC53" s="132">
        <f>IFERROR(IF(VLOOKUP($B53,Shortage!$A:$M,AC$2,FALSE)="Shortage",1,IFERROR(ROUND(Q53/E53,4),0)),IFERROR(ROUND(Q53/E53,4),0))</f>
        <v>0</v>
      </c>
      <c r="AD53" s="132">
        <f>IFERROR(IF(VLOOKUP($B53,Shortage!$A:$M,AD$2,FALSE)="Shortage",1,IFERROR(ROUND(R53/F53,4),0)),IFERROR(ROUND(R53/F53,4),0))</f>
        <v>0</v>
      </c>
      <c r="AE53" s="132">
        <f>IFERROR(IF(VLOOKUP($B53,Shortage!$A:$M,AE$2,FALSE)="Shortage",1,IFERROR(ROUND(S53/G53,4),0)),IFERROR(ROUND(S53/G53,4),0))</f>
        <v>0</v>
      </c>
      <c r="AF53" s="132">
        <f>IFERROR(IF(VLOOKUP($B53,Shortage!$A:$M,AF$2,FALSE)="Shortage",1,IFERROR(ROUND(T53/H53,4),0)),IFERROR(ROUND(T53/H53,4),0))</f>
        <v>0</v>
      </c>
      <c r="AG53" s="132">
        <f>IFERROR(IF(VLOOKUP($B53,Shortage!$A:$M,AG$2,FALSE)="Shortage",1,IFERROR(ROUND(U53/I53,4),0)),IFERROR(ROUND(U53/I53,4),0))</f>
        <v>0</v>
      </c>
      <c r="AH53" s="132">
        <f>IFERROR(IF(VLOOKUP($B53,Shortage!$A:$M,AH$2,FALSE)="Shortage",1,IFERROR(ROUND(V53/J53,4),0)),IFERROR(ROUND(V53/J53,4),0))</f>
        <v>0</v>
      </c>
      <c r="AI53" s="132">
        <f>IFERROR(IF(VLOOKUP($B53,Shortage!$A:$M,AI$2,FALSE)="Shortage",1,IFERROR(ROUND(W53/K53,4),0)),IFERROR(ROUND(W53/K53,4),0))</f>
        <v>0</v>
      </c>
      <c r="AJ53" s="132">
        <f>IFERROR(IF(VLOOKUP($B53,Shortage!$A:$M,AJ$2,FALSE)="Shortage",1,IFERROR(ROUND(X53/L53,4),0)),IFERROR(ROUND(X53/L53,4),0))</f>
        <v>0</v>
      </c>
      <c r="AK53" s="132">
        <f>IFERROR(IF(VLOOKUP($B53,Shortage!$A:$M,AK$2,FALSE)="Shortage",1,IFERROR(ROUND(Y53/M53,4),0)),IFERROR(ROUND(Y53/M53,4),0))</f>
        <v>0</v>
      </c>
      <c r="AL53" s="132">
        <f>IFERROR(IF(VLOOKUP($B53,Shortage!$A:$M,AL$2,FALSE)="Shortage",1,IFERROR(ROUND(Z53/N53,4),0)),IFERROR(ROUND(Z53/N53,4),0))</f>
        <v>0</v>
      </c>
      <c r="AM53" s="132">
        <f>IFERROR(IF(VLOOKUP($B53,Shortage!$A:$M,AM$2,FALSE)="Shortage",1,IFERROR(ROUND(AA53/O53,4),0)),IFERROR(ROUND(AA53/O53,4),0))</f>
        <v>0</v>
      </c>
      <c r="AN53" s="315">
        <f>IFERROR(_xlfn.XLOOKUP(AB53,'2) หลักการคำนวน Table'!$C$3:$K$3,'2) หลักการคำนวน Table'!$C$3:$K$3,,1),INDEX('2) หลักการคำนวน Table'!$C$3:$K$3,1))</f>
        <v>0.9</v>
      </c>
      <c r="AO53" s="315">
        <f>IFERROR(
  _xlfn.XLOOKUP(AC53,'2) หลักการคำนวน Table'!$C$3:$K$3,'2) หลักการคำนวน Table'!$C$3:$K$3,,1),
  IF(AC53&lt;MIN('2) หลักการคำนวน Table'!$C$3:$K$3),
     MIN('2) หลักการคำนวน Table'!$C$3:$K$3),
     MAX('2) หลักการคำนวน Table'!$C$3:$K$3)
  )
)</f>
        <v>0.9</v>
      </c>
      <c r="AP53" s="315">
        <f>IFERROR(
  _xlfn.XLOOKUP(AD53,'2) หลักการคำนวน Table'!$C$3:$K$3,'2) หลักการคำนวน Table'!$C$3:$K$3,,1),
  IF(AD53&lt;MIN('2) หลักการคำนวน Table'!$C$3:$K$3),
     MIN('2) หลักการคำนวน Table'!$C$3:$K$3),
     MAX('2) หลักการคำนวน Table'!$C$3:$K$3)
  )
)</f>
        <v>0.9</v>
      </c>
      <c r="AQ53" s="315">
        <f>IFERROR(
  _xlfn.XLOOKUP(AE53,'2) หลักการคำนวน Table'!$C$3:$K$3,'2) หลักการคำนวน Table'!$C$3:$K$3,,1),
  IF(AE53&lt;MIN('2) หลักการคำนวน Table'!$C$3:$K$3),
     MIN('2) หลักการคำนวน Table'!$C$3:$K$3),
     MAX('2) หลักการคำนวน Table'!$C$3:$K$3)
  )
)</f>
        <v>0.9</v>
      </c>
      <c r="AR53" s="315">
        <f>IFERROR(
  _xlfn.XLOOKUP(AF53,'2) หลักการคำนวน Table'!$C$3:$K$3,'2) หลักการคำนวน Table'!$C$3:$K$3,,1),
  IF(AF53&lt;MIN('2) หลักการคำนวน Table'!$C$3:$K$3),
     MIN('2) หลักการคำนวน Table'!$C$3:$K$3),
     MAX('2) หลักการคำนวน Table'!$C$3:$K$3)
  )
)</f>
        <v>0.9</v>
      </c>
      <c r="AS53" s="315">
        <f>IFERROR(
  _xlfn.XLOOKUP(AG53,'2) หลักการคำนวน Table'!$C$3:$K$3,'2) หลักการคำนวน Table'!$C$3:$K$3,,1),
  IF(AG53&lt;MIN('2) หลักการคำนวน Table'!$C$3:$K$3),
     MIN('2) หลักการคำนวน Table'!$C$3:$K$3),
     MAX('2) หลักการคำนวน Table'!$C$3:$K$3)
  )
)</f>
        <v>0.9</v>
      </c>
      <c r="AT53" s="315">
        <f>IFERROR(
  _xlfn.XLOOKUP(AH53,'2) หลักการคำนวน Table'!$C$3:$K$3,'2) หลักการคำนวน Table'!$C$3:$K$3,,1),
  IF(AH53&lt;MIN('2) หลักการคำนวน Table'!$C$3:$K$3),
     MIN('2) หลักการคำนวน Table'!$C$3:$K$3),
     MAX('2) หลักการคำนวน Table'!$C$3:$K$3)
  )
)</f>
        <v>0.9</v>
      </c>
      <c r="AU53" s="315">
        <f>IFERROR(
  _xlfn.XLOOKUP(AI53,'2) หลักการคำนวน Table'!$C$3:$K$3,'2) หลักการคำนวน Table'!$C$3:$K$3,,1),
  IF(AI53&lt;MIN('2) หลักการคำนวน Table'!$C$3:$K$3),
     MIN('2) หลักการคำนวน Table'!$C$3:$K$3),
     MAX('2) หลักการคำนวน Table'!$C$3:$K$3)
  )
)</f>
        <v>0.9</v>
      </c>
      <c r="AV53" s="315">
        <f>IFERROR(
  _xlfn.XLOOKUP(AJ53,'2) หลักการคำนวน Table'!$C$3:$K$3,'2) หลักการคำนวน Table'!$C$3:$K$3,,1),
  IF(AJ53&lt;MIN('2) หลักการคำนวน Table'!$C$3:$K$3),
     MIN('2) หลักการคำนวน Table'!$C$3:$K$3),
     MAX('2) หลักการคำนวน Table'!$C$3:$K$3)
  )
)</f>
        <v>0.9</v>
      </c>
      <c r="AW53" s="315">
        <f>IFERROR(
  _xlfn.XLOOKUP(AK53,'2) หลักการคำนวน Table'!$C$3:$K$3,'2) หลักการคำนวน Table'!$C$3:$K$3,,1),
  IF(AK53&lt;MIN('2) หลักการคำนวน Table'!$C$3:$K$3),
     MIN('2) หลักการคำนวน Table'!$C$3:$K$3),
     MAX('2) หลักการคำนวน Table'!$C$3:$K$3)
  )
)</f>
        <v>0.9</v>
      </c>
      <c r="AX53" s="315">
        <f>IFERROR(
  _xlfn.XLOOKUP(AL53,'2) หลักการคำนวน Table'!$C$3:$K$3,'2) หลักการคำนวน Table'!$C$3:$K$3,,1),
  IF(AL53&lt;MIN('2) หลักการคำนวน Table'!$C$3:$K$3),
     MIN('2) หลักการคำนวน Table'!$C$3:$K$3),
     MAX('2) หลักการคำนวน Table'!$C$3:$K$3)
  )
)</f>
        <v>0.9</v>
      </c>
      <c r="AY53" s="315">
        <f>IFERROR(
  _xlfn.XLOOKUP(AM53,'2) หลักการคำนวน Table'!$C$3:$K$3,'2) หลักการคำนวน Table'!$C$3:$K$3,,1),
  IF(AM53&lt;MIN('2) หลักการคำนวน Table'!$C$3:$K$3),
     MIN('2) หลักการคำนวน Table'!$C$3:$K$3),
     MAX('2) หลักการคำนวน Table'!$C$3:$K$3)
  )
)</f>
        <v>0.9</v>
      </c>
      <c r="AZ53" s="135" t="e" cm="1">
        <f t="array" ref="AZ53">(_xlfn.XLOOKUP($C53,'2) หลักการคำนวน Table'!$A$4:$A$36,
_xlfn.XLOOKUP(AN53,'2)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</f>
        <v>#N/A</v>
      </c>
      <c r="BA53" s="135" t="e" cm="1">
        <f t="array" ref="BA53">(_xlfn.XLOOKUP($C53,'2) หลักการคำนวน Table'!$A$4:$A$36,
_xlfn.XLOOKUP(AO53,'2)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</f>
        <v>#N/A</v>
      </c>
      <c r="BB53" s="135" t="e" cm="1">
        <f t="array" ref="BB53">(_xlfn.XLOOKUP($C53,'2) หลักการคำนวน Table'!$A$4:$A$36,
_xlfn.XLOOKUP(AP53,'2)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</f>
        <v>#N/A</v>
      </c>
      <c r="BC53" s="135" t="e" cm="1">
        <f t="array" ref="BC53">(_xlfn.XLOOKUP($C53,'2) หลักการคำนวน Table'!$A$4:$A$36,
_xlfn.XLOOKUP(AQ53,'2)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</f>
        <v>#N/A</v>
      </c>
      <c r="BD53" s="135" t="e" cm="1">
        <f t="array" ref="BD53">(_xlfn.XLOOKUP($C53,'2) หลักการคำนวน Table'!$A$4:$A$36,
_xlfn.XLOOKUP(AR53,'2)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</f>
        <v>#N/A</v>
      </c>
      <c r="BE53" s="135" t="e" cm="1">
        <f t="array" ref="BE53">(_xlfn.XLOOKUP($C53,'2) หลักการคำนวน Table'!$A$4:$A$36,
_xlfn.XLOOKUP(AS53,'2)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</f>
        <v>#N/A</v>
      </c>
      <c r="BF53" s="135" t="e" cm="1">
        <f t="array" ref="BF53">(_xlfn.XLOOKUP($C53,'2) หลักการคำนวน Table'!$A$4:$A$36,
_xlfn.XLOOKUP(AT53,'2)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</f>
        <v>#N/A</v>
      </c>
      <c r="BG53" s="135" t="e" cm="1">
        <f t="array" ref="BG53">(_xlfn.XLOOKUP($C53,'2) หลักการคำนวน Table'!$A$4:$A$36,
_xlfn.XLOOKUP(AU53,'2)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</f>
        <v>#N/A</v>
      </c>
      <c r="BH53" s="135" t="e" cm="1">
        <f t="array" ref="BH53">ROUND((_xlfn.XLOOKUP($C53,'2) หลักการคำนวน Table'!$A$4:$A$36,
_xlfn.XLOOKUP(AV53,'2)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I53" s="135" t="e" cm="1">
        <f t="array" ref="BI53">ROUND((_xlfn.XLOOKUP($C53,'2) หลักการคำนวน Table'!$A$4:$A$36,
_xlfn.XLOOKUP(AW53,'2)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J53" s="135" t="e" cm="1">
        <f t="array" ref="BJ53">ROUND((_xlfn.XLOOKUP($C53,'2) หลักการคำนวน Table'!$A$4:$A$36,
_xlfn.XLOOKUP(AX53,'2)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K53" s="135" t="e" cm="1">
        <f t="array" ref="BK53">ROUND((_xlfn.XLOOKUP($C53,'2) หลักการคำนวน Table'!$A$4:$A$36,
_xlfn.XLOOKUP(AY53,'2) หลักการคำนวน Table'!$C$3:$K$3,'2) หลักการคำนวน Table'!$C$4:$K$36,,-1)))*(_xlfn.XLOOKUP($C53,'2) หลักการคำนวน Table'!$A$4:$A$36, _xlfn.XLOOKUP($B53,'2) หลักการคำนวน Table'!$L$3:$Z$3,'2) หลักการคำนวน Table'!$L$4:$Z$36))),0)</f>
        <v>#N/A</v>
      </c>
      <c r="BM53" s="126">
        <v>222235</v>
      </c>
      <c r="BN53" s="316">
        <v>0</v>
      </c>
    </row>
    <row r="54" spans="1:66" ht="13.2" customHeight="1" x14ac:dyDescent="0.25">
      <c r="A54" s="128">
        <f>VLOOKUP(C54,ASTBase!F:S,12,FALSE)</f>
        <v>222223</v>
      </c>
      <c r="B54" s="126" t="s">
        <v>413</v>
      </c>
      <c r="C54" s="128">
        <v>222235</v>
      </c>
      <c r="D54" s="127">
        <f>SUMIFS('3)Target &amp; Cal_Staff'!D$4:D$164,'3)Target &amp; Cal_Staff'!$B$4:$B$164,'3)Target &amp; Cal_Sect'!$B54,'3)Target &amp; Cal_Staff'!$A$4:$A$164,'3)Target &amp; Cal_Sect'!$C54)</f>
        <v>261850</v>
      </c>
      <c r="E54" s="127">
        <f>SUMIFS('3)Target &amp; Cal_Staff'!E$4:E$164,'3)Target &amp; Cal_Staff'!$B$4:$B$164,'3)Target &amp; Cal_Sect'!$B54,'3)Target &amp; Cal_Staff'!$A$4:$A$164,'3)Target &amp; Cal_Sect'!$C54)</f>
        <v>221850</v>
      </c>
      <c r="F54" s="127">
        <f>SUMIFS('3)Target &amp; Cal_Staff'!F$4:F$164,'3)Target &amp; Cal_Staff'!$B$4:$B$164,'3)Target &amp; Cal_Sect'!$B54,'3)Target &amp; Cal_Staff'!$A$4:$A$164,'3)Target &amp; Cal_Sect'!$C54)</f>
        <v>262700</v>
      </c>
      <c r="G54" s="127">
        <f>SUMIFS('3)Target &amp; Cal_Staff'!G$4:G$164,'3)Target &amp; Cal_Staff'!$B$4:$B$164,'3)Target &amp; Cal_Sect'!$B54,'3)Target &amp; Cal_Staff'!$A$4:$A$164,'3)Target &amp; Cal_Sect'!$C54)</f>
        <v>481850</v>
      </c>
      <c r="H54" s="127">
        <f>SUMIFS('3)Target &amp; Cal_Staff'!H$4:H$164,'3)Target &amp; Cal_Staff'!$B$4:$B$164,'3)Target &amp; Cal_Sect'!$B54,'3)Target &amp; Cal_Staff'!$A$4:$A$164,'3)Target &amp; Cal_Sect'!$C54)</f>
        <v>252550</v>
      </c>
      <c r="I54" s="127">
        <f>SUMIFS('3)Target &amp; Cal_Staff'!I$4:I$164,'3)Target &amp; Cal_Staff'!$B$4:$B$164,'3)Target &amp; Cal_Sect'!$B54,'3)Target &amp; Cal_Staff'!$A$4:$A$164,'3)Target &amp; Cal_Sect'!$C54)</f>
        <v>171850</v>
      </c>
      <c r="J54" s="127">
        <f>SUMIFS('3)Target &amp; Cal_Staff'!J$4:J$164,'3)Target &amp; Cal_Staff'!$B$4:$B$164,'3)Target &amp; Cal_Sect'!$B54,'3)Target &amp; Cal_Staff'!$A$4:$A$164,'3)Target &amp; Cal_Sect'!$C54)</f>
        <v>292700</v>
      </c>
      <c r="K54" s="127">
        <f>SUMIFS('3)Target &amp; Cal_Staff'!K$4:K$164,'3)Target &amp; Cal_Staff'!$B$4:$B$164,'3)Target &amp; Cal_Sect'!$B54,'3)Target &amp; Cal_Staff'!$A$4:$A$164,'3)Target &amp; Cal_Sect'!$C54)</f>
        <v>481850</v>
      </c>
      <c r="L54" s="127">
        <f>SUMIFS('3)Target &amp; Cal_Staff'!L$4:L$164,'3)Target &amp; Cal_Staff'!$B$4:$B$164,'3)Target &amp; Cal_Sect'!$B54,'3)Target &amp; Cal_Staff'!$A$4:$A$164,'3)Target &amp; Cal_Sect'!$C54)</f>
        <v>272700</v>
      </c>
      <c r="M54" s="127">
        <f>SUMIFS('3)Target &amp; Cal_Staff'!M$4:M$164,'3)Target &amp; Cal_Staff'!$B$4:$B$164,'3)Target &amp; Cal_Sect'!$B54,'3)Target &amp; Cal_Staff'!$A$4:$A$164,'3)Target &amp; Cal_Sect'!$C54)</f>
        <v>402700</v>
      </c>
      <c r="N54" s="127">
        <f>SUMIFS('3)Target &amp; Cal_Staff'!N$4:N$164,'3)Target &amp; Cal_Staff'!$B$4:$B$164,'3)Target &amp; Cal_Sect'!$B54,'3)Target &amp; Cal_Staff'!$A$4:$A$164,'3)Target &amp; Cal_Sect'!$C54)</f>
        <v>292700</v>
      </c>
      <c r="O54" s="127">
        <f>SUMIFS('3)Target &amp; Cal_Staff'!O$4:O$164,'3)Target &amp; Cal_Staff'!$B$4:$B$164,'3)Target &amp; Cal_Sect'!$B54,'3)Target &amp; Cal_Staff'!$A$4:$A$164,'3)Target &amp; Cal_Sect'!$C54)</f>
        <v>232700</v>
      </c>
      <c r="P54" s="127">
        <f>SUMIFS('3)Target &amp; Cal_Staff'!P$4:P$164,'3)Target &amp; Cal_Staff'!$B$4:$B$164,'3)Target &amp; Cal_Sect'!$B54,'3)Target &amp; Cal_Staff'!$A$4:$A$164,'3)Target &amp; Cal_Sect'!$C54)</f>
        <v>176419.61099999928</v>
      </c>
      <c r="Q54" s="127">
        <f>SUMIFS('3)Target &amp; Cal_Staff'!Q$4:Q$164,'3)Target &amp; Cal_Staff'!$B$4:$B$164,'3)Target &amp; Cal_Sect'!$B54,'3)Target &amp; Cal_Staff'!$A$4:$A$164,'3)Target &amp; Cal_Sect'!$C54)</f>
        <v>0</v>
      </c>
      <c r="R54" s="127">
        <f>SUMIFS('3)Target &amp; Cal_Staff'!R$4:R$164,'3)Target &amp; Cal_Staff'!$B$4:$B$164,'3)Target &amp; Cal_Sect'!$B54,'3)Target &amp; Cal_Staff'!$A$4:$A$164,'3)Target &amp; Cal_Sect'!$C54)</f>
        <v>0</v>
      </c>
      <c r="S54" s="127">
        <f>SUMIFS('3)Target &amp; Cal_Staff'!S$4:S$164,'3)Target &amp; Cal_Staff'!$B$4:$B$164,'3)Target &amp; Cal_Sect'!$B54,'3)Target &amp; Cal_Staff'!$A$4:$A$164,'3)Target &amp; Cal_Sect'!$C54)</f>
        <v>0</v>
      </c>
      <c r="T54" s="127">
        <f>SUMIFS('3)Target &amp; Cal_Staff'!T$4:T$164,'3)Target &amp; Cal_Staff'!$B$4:$B$164,'3)Target &amp; Cal_Sect'!$B54,'3)Target &amp; Cal_Staff'!$A$4:$A$164,'3)Target &amp; Cal_Sect'!$C54)</f>
        <v>0</v>
      </c>
      <c r="U54" s="127">
        <f>SUMIFS('3)Target &amp; Cal_Staff'!U$4:U$164,'3)Target &amp; Cal_Staff'!$B$4:$B$164,'3)Target &amp; Cal_Sect'!$B54,'3)Target &amp; Cal_Staff'!$A$4:$A$164,'3)Target &amp; Cal_Sect'!$C54)</f>
        <v>0</v>
      </c>
      <c r="V54" s="127">
        <f>SUMIFS('3)Target &amp; Cal_Staff'!V$4:V$164,'3)Target &amp; Cal_Staff'!$B$4:$B$164,'3)Target &amp; Cal_Sect'!$B54,'3)Target &amp; Cal_Staff'!$A$4:$A$164,'3)Target &amp; Cal_Sect'!$C54)</f>
        <v>0</v>
      </c>
      <c r="W54" s="127">
        <f>SUMIFS('3)Target &amp; Cal_Staff'!W$4:W$164,'3)Target &amp; Cal_Staff'!$B$4:$B$164,'3)Target &amp; Cal_Sect'!$B54,'3)Target &amp; Cal_Staff'!$A$4:$A$164,'3)Target &amp; Cal_Sect'!$C54)</f>
        <v>0</v>
      </c>
      <c r="X54" s="127">
        <f>SUMIFS('3)Target &amp; Cal_Staff'!X$4:X$164,'3)Target &amp; Cal_Staff'!$B$4:$B$164,'3)Target &amp; Cal_Sect'!$B54,'3)Target &amp; Cal_Staff'!$A$4:$A$164,'3)Target &amp; Cal_Sect'!$C54)</f>
        <v>0</v>
      </c>
      <c r="Y54" s="127">
        <f>SUMIFS('3)Target &amp; Cal_Staff'!Y$4:Y$164,'3)Target &amp; Cal_Staff'!$B$4:$B$164,'3)Target &amp; Cal_Sect'!$B54,'3)Target &amp; Cal_Staff'!$A$4:$A$164,'3)Target &amp; Cal_Sect'!$C54)</f>
        <v>0</v>
      </c>
      <c r="Z54" s="127">
        <f>SUMIFS('3)Target &amp; Cal_Staff'!Z$4:Z$164,'3)Target &amp; Cal_Staff'!$B$4:$B$164,'3)Target &amp; Cal_Sect'!$B54,'3)Target &amp; Cal_Staff'!$A$4:$A$164,'3)Target &amp; Cal_Sect'!$C54)</f>
        <v>0</v>
      </c>
      <c r="AA54" s="127">
        <f>SUMIFS('3)Target &amp; Cal_Staff'!AA$4:AA$164,'3)Target &amp; Cal_Staff'!$B$4:$B$164,'3)Target &amp; Cal_Sect'!$B54,'3)Target &amp; Cal_Staff'!$A$4:$A$164,'3)Target &amp; Cal_Sect'!$C54)</f>
        <v>0</v>
      </c>
      <c r="AB54" s="132">
        <f>IFERROR(IF(VLOOKUP($B54,Shortage!$A:$M,AB$2,FALSE)="Shortage",1,IFERROR(ROUND(P54/D54,4),0)),IFERROR(ROUND(P54/D54,4),0))</f>
        <v>0.67369999999999997</v>
      </c>
      <c r="AC54" s="132">
        <f>IFERROR(IF(VLOOKUP($B54,Shortage!$A:$M,AC$2,FALSE)="Shortage",1,IFERROR(ROUND(Q54/E54,4),0)),IFERROR(ROUND(Q54/E54,4),0))</f>
        <v>0</v>
      </c>
      <c r="AD54" s="132">
        <f>IFERROR(IF(VLOOKUP($B54,Shortage!$A:$M,AD$2,FALSE)="Shortage",1,IFERROR(ROUND(R54/F54,4),0)),IFERROR(ROUND(R54/F54,4),0))</f>
        <v>0</v>
      </c>
      <c r="AE54" s="132">
        <f>IFERROR(IF(VLOOKUP($B54,Shortage!$A:$M,AE$2,FALSE)="Shortage",1,IFERROR(ROUND(S54/G54,4),0)),IFERROR(ROUND(S54/G54,4),0))</f>
        <v>0</v>
      </c>
      <c r="AF54" s="132">
        <f>IFERROR(IF(VLOOKUP($B54,Shortage!$A:$M,AF$2,FALSE)="Shortage",1,IFERROR(ROUND(T54/H54,4),0)),IFERROR(ROUND(T54/H54,4),0))</f>
        <v>0</v>
      </c>
      <c r="AG54" s="132">
        <f>IFERROR(IF(VLOOKUP($B54,Shortage!$A:$M,AG$2,FALSE)="Shortage",1,IFERROR(ROUND(U54/I54,4),0)),IFERROR(ROUND(U54/I54,4),0))</f>
        <v>0</v>
      </c>
      <c r="AH54" s="132">
        <f>IFERROR(IF(VLOOKUP($B54,Shortage!$A:$M,AH$2,FALSE)="Shortage",1,IFERROR(ROUND(V54/J54,4),0)),IFERROR(ROUND(V54/J54,4),0))</f>
        <v>0</v>
      </c>
      <c r="AI54" s="132">
        <f>IFERROR(IF(VLOOKUP($B54,Shortage!$A:$M,AI$2,FALSE)="Shortage",1,IFERROR(ROUND(W54/K54,4),0)),IFERROR(ROUND(W54/K54,4),0))</f>
        <v>0</v>
      </c>
      <c r="AJ54" s="132">
        <f>IFERROR(IF(VLOOKUP($B54,Shortage!$A:$M,AJ$2,FALSE)="Shortage",1,IFERROR(ROUND(X54/L54,4),0)),IFERROR(ROUND(X54/L54,4),0))</f>
        <v>0</v>
      </c>
      <c r="AK54" s="132">
        <f>IFERROR(IF(VLOOKUP($B54,Shortage!$A:$M,AK$2,FALSE)="Shortage",1,IFERROR(ROUND(Y54/M54,4),0)),IFERROR(ROUND(Y54/M54,4),0))</f>
        <v>0</v>
      </c>
      <c r="AL54" s="132">
        <f>IFERROR(IF(VLOOKUP($B54,Shortage!$A:$M,AL$2,FALSE)="Shortage",1,IFERROR(ROUND(Z54/N54,4),0)),IFERROR(ROUND(Z54/N54,4),0))</f>
        <v>0</v>
      </c>
      <c r="AM54" s="132">
        <f>IFERROR(IF(VLOOKUP($B54,Shortage!$A:$M,AM$2,FALSE)="Shortage",1,IFERROR(ROUND(AA54/O54,4),0)),IFERROR(ROUND(AA54/O54,4),0))</f>
        <v>0</v>
      </c>
      <c r="AN54" s="315">
        <f>IFERROR(_xlfn.XLOOKUP(AB54,'2) หลักการคำนวน Table'!$C$3:$K$3,'2) หลักการคำนวน Table'!$C$3:$K$3,,1),INDEX('2) หลักการคำนวน Table'!$C$3:$K$3,1))</f>
        <v>0.9</v>
      </c>
      <c r="AO54" s="315">
        <f>IFERROR(
  _xlfn.XLOOKUP(AC54,'2) หลักการคำนวน Table'!$C$3:$K$3,'2) หลักการคำนวน Table'!$C$3:$K$3,,1),
  IF(AC54&lt;MIN('2) หลักการคำนวน Table'!$C$3:$K$3),
     MIN('2) หลักการคำนวน Table'!$C$3:$K$3),
     MAX('2) หลักการคำนวน Table'!$C$3:$K$3)
  )
)</f>
        <v>0.9</v>
      </c>
      <c r="AP54" s="315">
        <f>IFERROR(
  _xlfn.XLOOKUP(AD54,'2) หลักการคำนวน Table'!$C$3:$K$3,'2) หลักการคำนวน Table'!$C$3:$K$3,,1),
  IF(AD54&lt;MIN('2) หลักการคำนวน Table'!$C$3:$K$3),
     MIN('2) หลักการคำนวน Table'!$C$3:$K$3),
     MAX('2) หลักการคำนวน Table'!$C$3:$K$3)
  )
)</f>
        <v>0.9</v>
      </c>
      <c r="AQ54" s="315">
        <f>IFERROR(
  _xlfn.XLOOKUP(AE54,'2) หลักการคำนวน Table'!$C$3:$K$3,'2) หลักการคำนวน Table'!$C$3:$K$3,,1),
  IF(AE54&lt;MIN('2) หลักการคำนวน Table'!$C$3:$K$3),
     MIN('2) หลักการคำนวน Table'!$C$3:$K$3),
     MAX('2) หลักการคำนวน Table'!$C$3:$K$3)
  )
)</f>
        <v>0.9</v>
      </c>
      <c r="AR54" s="315">
        <f>IFERROR(
  _xlfn.XLOOKUP(AF54,'2) หลักการคำนวน Table'!$C$3:$K$3,'2) หลักการคำนวน Table'!$C$3:$K$3,,1),
  IF(AF54&lt;MIN('2) หลักการคำนวน Table'!$C$3:$K$3),
     MIN('2) หลักการคำนวน Table'!$C$3:$K$3),
     MAX('2) หลักการคำนวน Table'!$C$3:$K$3)
  )
)</f>
        <v>0.9</v>
      </c>
      <c r="AS54" s="315">
        <f>IFERROR(
  _xlfn.XLOOKUP(AG54,'2) หลักการคำนวน Table'!$C$3:$K$3,'2) หลักการคำนวน Table'!$C$3:$K$3,,1),
  IF(AG54&lt;MIN('2) หลักการคำนวน Table'!$C$3:$K$3),
     MIN('2) หลักการคำนวน Table'!$C$3:$K$3),
     MAX('2) หลักการคำนวน Table'!$C$3:$K$3)
  )
)</f>
        <v>0.9</v>
      </c>
      <c r="AT54" s="315">
        <f>IFERROR(
  _xlfn.XLOOKUP(AH54,'2) หลักการคำนวน Table'!$C$3:$K$3,'2) หลักการคำนวน Table'!$C$3:$K$3,,1),
  IF(AH54&lt;MIN('2) หลักการคำนวน Table'!$C$3:$K$3),
     MIN('2) หลักการคำนวน Table'!$C$3:$K$3),
     MAX('2) หลักการคำนวน Table'!$C$3:$K$3)
  )
)</f>
        <v>0.9</v>
      </c>
      <c r="AU54" s="315">
        <f>IFERROR(
  _xlfn.XLOOKUP(AI54,'2) หลักการคำนวน Table'!$C$3:$K$3,'2) หลักการคำนวน Table'!$C$3:$K$3,,1),
  IF(AI54&lt;MIN('2) หลักการคำนวน Table'!$C$3:$K$3),
     MIN('2) หลักการคำนวน Table'!$C$3:$K$3),
     MAX('2) หลักการคำนวน Table'!$C$3:$K$3)
  )
)</f>
        <v>0.9</v>
      </c>
      <c r="AV54" s="315">
        <f>IFERROR(
  _xlfn.XLOOKUP(AJ54,'2) หลักการคำนวน Table'!$C$3:$K$3,'2) หลักการคำนวน Table'!$C$3:$K$3,,1),
  IF(AJ54&lt;MIN('2) หลักการคำนวน Table'!$C$3:$K$3),
     MIN('2) หลักการคำนวน Table'!$C$3:$K$3),
     MAX('2) หลักการคำนวน Table'!$C$3:$K$3)
  )
)</f>
        <v>0.9</v>
      </c>
      <c r="AW54" s="315">
        <f>IFERROR(
  _xlfn.XLOOKUP(AK54,'2) หลักการคำนวน Table'!$C$3:$K$3,'2) หลักการคำนวน Table'!$C$3:$K$3,,1),
  IF(AK54&lt;MIN('2) หลักการคำนวน Table'!$C$3:$K$3),
     MIN('2) หลักการคำนวน Table'!$C$3:$K$3),
     MAX('2) หลักการคำนวน Table'!$C$3:$K$3)
  )
)</f>
        <v>0.9</v>
      </c>
      <c r="AX54" s="315">
        <f>IFERROR(
  _xlfn.XLOOKUP(AL54,'2) หลักการคำนวน Table'!$C$3:$K$3,'2) หลักการคำนวน Table'!$C$3:$K$3,,1),
  IF(AL54&lt;MIN('2) หลักการคำนวน Table'!$C$3:$K$3),
     MIN('2) หลักการคำนวน Table'!$C$3:$K$3),
     MAX('2) หลักการคำนวน Table'!$C$3:$K$3)
  )
)</f>
        <v>0.9</v>
      </c>
      <c r="AY54" s="315">
        <f>IFERROR(
  _xlfn.XLOOKUP(AM54,'2) หลักการคำนวน Table'!$C$3:$K$3,'2) หลักการคำนวน Table'!$C$3:$K$3,,1),
  IF(AM54&lt;MIN('2) หลักการคำนวน Table'!$C$3:$K$3),
     MIN('2) หลักการคำนวน Table'!$C$3:$K$3),
     MAX('2) หลักการคำนวน Table'!$C$3:$K$3)
  )
)</f>
        <v>0.9</v>
      </c>
      <c r="AZ54" s="135" t="e" cm="1">
        <f t="array" ref="AZ54">(_xlfn.XLOOKUP($C54,'2) หลักการคำนวน Table'!$A$4:$A$36,
_xlfn.XLOOKUP(AN54,'2)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</f>
        <v>#N/A</v>
      </c>
      <c r="BA54" s="135" t="e" cm="1">
        <f t="array" ref="BA54">(_xlfn.XLOOKUP($C54,'2) หลักการคำนวน Table'!$A$4:$A$36,
_xlfn.XLOOKUP(AO54,'2)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</f>
        <v>#N/A</v>
      </c>
      <c r="BB54" s="135" t="e" cm="1">
        <f t="array" ref="BB54">(_xlfn.XLOOKUP($C54,'2) หลักการคำนวน Table'!$A$4:$A$36,
_xlfn.XLOOKUP(AP54,'2)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</f>
        <v>#N/A</v>
      </c>
      <c r="BC54" s="135" t="e" cm="1">
        <f t="array" ref="BC54">(_xlfn.XLOOKUP($C54,'2) หลักการคำนวน Table'!$A$4:$A$36,
_xlfn.XLOOKUP(AQ54,'2)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</f>
        <v>#N/A</v>
      </c>
      <c r="BD54" s="135" t="e" cm="1">
        <f t="array" ref="BD54">(_xlfn.XLOOKUP($C54,'2) หลักการคำนวน Table'!$A$4:$A$36,
_xlfn.XLOOKUP(AR54,'2)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</f>
        <v>#N/A</v>
      </c>
      <c r="BE54" s="135" t="e" cm="1">
        <f t="array" ref="BE54">(_xlfn.XLOOKUP($C54,'2) หลักการคำนวน Table'!$A$4:$A$36,
_xlfn.XLOOKUP(AS54,'2)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</f>
        <v>#N/A</v>
      </c>
      <c r="BF54" s="135" t="e" cm="1">
        <f t="array" ref="BF54">(_xlfn.XLOOKUP($C54,'2) หลักการคำนวน Table'!$A$4:$A$36,
_xlfn.XLOOKUP(AT54,'2)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</f>
        <v>#N/A</v>
      </c>
      <c r="BG54" s="135" t="e" cm="1">
        <f t="array" ref="BG54">(_xlfn.XLOOKUP($C54,'2) หลักการคำนวน Table'!$A$4:$A$36,
_xlfn.XLOOKUP(AU54,'2)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</f>
        <v>#N/A</v>
      </c>
      <c r="BH54" s="135" t="e" cm="1">
        <f t="array" ref="BH54">ROUND((_xlfn.XLOOKUP($C54,'2) หลักการคำนวน Table'!$A$4:$A$36,
_xlfn.XLOOKUP(AV54,'2)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I54" s="135" t="e" cm="1">
        <f t="array" ref="BI54">ROUND((_xlfn.XLOOKUP($C54,'2) หลักการคำนวน Table'!$A$4:$A$36,
_xlfn.XLOOKUP(AW54,'2)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J54" s="135" t="e" cm="1">
        <f t="array" ref="BJ54">ROUND((_xlfn.XLOOKUP($C54,'2) หลักการคำนวน Table'!$A$4:$A$36,
_xlfn.XLOOKUP(AX54,'2)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K54" s="135" t="e" cm="1">
        <f t="array" ref="BK54">ROUND((_xlfn.XLOOKUP($C54,'2) หลักการคำนวน Table'!$A$4:$A$36,
_xlfn.XLOOKUP(AY54,'2) หลักการคำนวน Table'!$C$3:$K$3,'2) หลักการคำนวน Table'!$C$4:$K$36,,-1)))*(_xlfn.XLOOKUP($C54,'2) หลักการคำนวน Table'!$A$4:$A$36, _xlfn.XLOOKUP($B54,'2) หลักการคำนวน Table'!$L$3:$Z$3,'2) หลักการคำนวน Table'!$L$4:$Z$36))),0)</f>
        <v>#N/A</v>
      </c>
      <c r="BM54" s="126">
        <v>222235</v>
      </c>
      <c r="BN54" s="316">
        <v>852.63157894736833</v>
      </c>
    </row>
    <row r="55" spans="1:66" ht="13.2" customHeight="1" x14ac:dyDescent="0.25">
      <c r="A55" s="128">
        <f>VLOOKUP(C55,ASTBase!F:S,12,FALSE)</f>
        <v>222223</v>
      </c>
      <c r="B55" s="126" t="s">
        <v>406</v>
      </c>
      <c r="C55" s="128">
        <v>222235</v>
      </c>
      <c r="D55" s="127">
        <f>SUMIFS('3)Target &amp; Cal_Staff'!D$4:D$164,'3)Target &amp; Cal_Staff'!$B$4:$B$164,'3)Target &amp; Cal_Sect'!$B55,'3)Target &amp; Cal_Staff'!$A$4:$A$164,'3)Target &amp; Cal_Sect'!$C55)</f>
        <v>1526000</v>
      </c>
      <c r="E55" s="127">
        <f>SUMIFS('3)Target &amp; Cal_Staff'!E$4:E$164,'3)Target &amp; Cal_Staff'!$B$4:$B$164,'3)Target &amp; Cal_Sect'!$B55,'3)Target &amp; Cal_Staff'!$A$4:$A$164,'3)Target &amp; Cal_Sect'!$C55)</f>
        <v>1873000</v>
      </c>
      <c r="F55" s="127">
        <f>SUMIFS('3)Target &amp; Cal_Staff'!F$4:F$164,'3)Target &amp; Cal_Staff'!$B$4:$B$164,'3)Target &amp; Cal_Sect'!$B55,'3)Target &amp; Cal_Staff'!$A$4:$A$164,'3)Target &amp; Cal_Sect'!$C55)</f>
        <v>1725000</v>
      </c>
      <c r="G55" s="127">
        <f>SUMIFS('3)Target &amp; Cal_Staff'!G$4:G$164,'3)Target &amp; Cal_Staff'!$B$4:$B$164,'3)Target &amp; Cal_Sect'!$B55,'3)Target &amp; Cal_Staff'!$A$4:$A$164,'3)Target &amp; Cal_Sect'!$C55)</f>
        <v>1848000</v>
      </c>
      <c r="H55" s="127">
        <f>SUMIFS('3)Target &amp; Cal_Staff'!H$4:H$164,'3)Target &amp; Cal_Staff'!$B$4:$B$164,'3)Target &amp; Cal_Sect'!$B55,'3)Target &amp; Cal_Staff'!$A$4:$A$164,'3)Target &amp; Cal_Sect'!$C55)</f>
        <v>1414000</v>
      </c>
      <c r="I55" s="127">
        <f>SUMIFS('3)Target &amp; Cal_Staff'!I$4:I$164,'3)Target &amp; Cal_Staff'!$B$4:$B$164,'3)Target &amp; Cal_Sect'!$B55,'3)Target &amp; Cal_Staff'!$A$4:$A$164,'3)Target &amp; Cal_Sect'!$C55)</f>
        <v>1681000</v>
      </c>
      <c r="J55" s="127">
        <f>SUMIFS('3)Target &amp; Cal_Staff'!J$4:J$164,'3)Target &amp; Cal_Staff'!$B$4:$B$164,'3)Target &amp; Cal_Sect'!$B55,'3)Target &amp; Cal_Staff'!$A$4:$A$164,'3)Target &amp; Cal_Sect'!$C55)</f>
        <v>924000</v>
      </c>
      <c r="K55" s="127">
        <f>SUMIFS('3)Target &amp; Cal_Staff'!K$4:K$164,'3)Target &amp; Cal_Staff'!$B$4:$B$164,'3)Target &amp; Cal_Sect'!$B55,'3)Target &amp; Cal_Staff'!$A$4:$A$164,'3)Target &amp; Cal_Sect'!$C55)</f>
        <v>2118000</v>
      </c>
      <c r="L55" s="127">
        <f>SUMIFS('3)Target &amp; Cal_Staff'!L$4:L$164,'3)Target &amp; Cal_Staff'!$B$4:$B$164,'3)Target &amp; Cal_Sect'!$B55,'3)Target &amp; Cal_Staff'!$A$4:$A$164,'3)Target &amp; Cal_Sect'!$C55)</f>
        <v>1573000</v>
      </c>
      <c r="M55" s="127">
        <f>SUMIFS('3)Target &amp; Cal_Staff'!M$4:M$164,'3)Target &amp; Cal_Staff'!$B$4:$B$164,'3)Target &amp; Cal_Sect'!$B55,'3)Target &amp; Cal_Staff'!$A$4:$A$164,'3)Target &amp; Cal_Sect'!$C55)</f>
        <v>2097891</v>
      </c>
      <c r="N55" s="127">
        <f>SUMIFS('3)Target &amp; Cal_Staff'!N$4:N$164,'3)Target &amp; Cal_Staff'!$B$4:$B$164,'3)Target &amp; Cal_Sect'!$B55,'3)Target &amp; Cal_Staff'!$A$4:$A$164,'3)Target &amp; Cal_Sect'!$C55)</f>
        <v>1355000</v>
      </c>
      <c r="O55" s="127">
        <f>SUMIFS('3)Target &amp; Cal_Staff'!O$4:O$164,'3)Target &amp; Cal_Staff'!$B$4:$B$164,'3)Target &amp; Cal_Sect'!$B55,'3)Target &amp; Cal_Staff'!$A$4:$A$164,'3)Target &amp; Cal_Sect'!$C55)</f>
        <v>1378000</v>
      </c>
      <c r="P55" s="127">
        <f>SUMIFS('3)Target &amp; Cal_Staff'!P$4:P$164,'3)Target &amp; Cal_Staff'!$B$4:$B$164,'3)Target &amp; Cal_Sect'!$B55,'3)Target &amp; Cal_Staff'!$A$4:$A$164,'3)Target &amp; Cal_Sect'!$C55)</f>
        <v>1511692.4000000092</v>
      </c>
      <c r="Q55" s="127">
        <f>SUMIFS('3)Target &amp; Cal_Staff'!Q$4:Q$164,'3)Target &amp; Cal_Staff'!$B$4:$B$164,'3)Target &amp; Cal_Sect'!$B55,'3)Target &amp; Cal_Staff'!$A$4:$A$164,'3)Target &amp; Cal_Sect'!$C55)</f>
        <v>0</v>
      </c>
      <c r="R55" s="127">
        <f>SUMIFS('3)Target &amp; Cal_Staff'!R$4:R$164,'3)Target &amp; Cal_Staff'!$B$4:$B$164,'3)Target &amp; Cal_Sect'!$B55,'3)Target &amp; Cal_Staff'!$A$4:$A$164,'3)Target &amp; Cal_Sect'!$C55)</f>
        <v>0</v>
      </c>
      <c r="S55" s="127">
        <f>SUMIFS('3)Target &amp; Cal_Staff'!S$4:S$164,'3)Target &amp; Cal_Staff'!$B$4:$B$164,'3)Target &amp; Cal_Sect'!$B55,'3)Target &amp; Cal_Staff'!$A$4:$A$164,'3)Target &amp; Cal_Sect'!$C55)</f>
        <v>0</v>
      </c>
      <c r="T55" s="127">
        <f>SUMIFS('3)Target &amp; Cal_Staff'!T$4:T$164,'3)Target &amp; Cal_Staff'!$B$4:$B$164,'3)Target &amp; Cal_Sect'!$B55,'3)Target &amp; Cal_Staff'!$A$4:$A$164,'3)Target &amp; Cal_Sect'!$C55)</f>
        <v>0</v>
      </c>
      <c r="U55" s="127">
        <f>SUMIFS('3)Target &amp; Cal_Staff'!U$4:U$164,'3)Target &amp; Cal_Staff'!$B$4:$B$164,'3)Target &amp; Cal_Sect'!$B55,'3)Target &amp; Cal_Staff'!$A$4:$A$164,'3)Target &amp; Cal_Sect'!$C55)</f>
        <v>0</v>
      </c>
      <c r="V55" s="127">
        <f>SUMIFS('3)Target &amp; Cal_Staff'!V$4:V$164,'3)Target &amp; Cal_Staff'!$B$4:$B$164,'3)Target &amp; Cal_Sect'!$B55,'3)Target &amp; Cal_Staff'!$A$4:$A$164,'3)Target &amp; Cal_Sect'!$C55)</f>
        <v>0</v>
      </c>
      <c r="W55" s="127">
        <f>SUMIFS('3)Target &amp; Cal_Staff'!W$4:W$164,'3)Target &amp; Cal_Staff'!$B$4:$B$164,'3)Target &amp; Cal_Sect'!$B55,'3)Target &amp; Cal_Staff'!$A$4:$A$164,'3)Target &amp; Cal_Sect'!$C55)</f>
        <v>0</v>
      </c>
      <c r="X55" s="127">
        <f>SUMIFS('3)Target &amp; Cal_Staff'!X$4:X$164,'3)Target &amp; Cal_Staff'!$B$4:$B$164,'3)Target &amp; Cal_Sect'!$B55,'3)Target &amp; Cal_Staff'!$A$4:$A$164,'3)Target &amp; Cal_Sect'!$C55)</f>
        <v>0</v>
      </c>
      <c r="Y55" s="127">
        <f>SUMIFS('3)Target &amp; Cal_Staff'!Y$4:Y$164,'3)Target &amp; Cal_Staff'!$B$4:$B$164,'3)Target &amp; Cal_Sect'!$B55,'3)Target &amp; Cal_Staff'!$A$4:$A$164,'3)Target &amp; Cal_Sect'!$C55)</f>
        <v>0</v>
      </c>
      <c r="Z55" s="127">
        <f>SUMIFS('3)Target &amp; Cal_Staff'!Z$4:Z$164,'3)Target &amp; Cal_Staff'!$B$4:$B$164,'3)Target &amp; Cal_Sect'!$B55,'3)Target &amp; Cal_Staff'!$A$4:$A$164,'3)Target &amp; Cal_Sect'!$C55)</f>
        <v>0</v>
      </c>
      <c r="AA55" s="127">
        <f>SUMIFS('3)Target &amp; Cal_Staff'!AA$4:AA$164,'3)Target &amp; Cal_Staff'!$B$4:$B$164,'3)Target &amp; Cal_Sect'!$B55,'3)Target &amp; Cal_Staff'!$A$4:$A$164,'3)Target &amp; Cal_Sect'!$C55)</f>
        <v>0</v>
      </c>
      <c r="AB55" s="132">
        <f>IFERROR(IF(VLOOKUP($B55,Shortage!$A:$M,AB$2,FALSE)="Shortage",1,IFERROR(ROUND(P55/D55,4),0)),IFERROR(ROUND(P55/D55,4),0))</f>
        <v>1</v>
      </c>
      <c r="AC55" s="132">
        <f>IFERROR(IF(VLOOKUP($B55,Shortage!$A:$M,AC$2,FALSE)="Shortage",1,IFERROR(ROUND(Q55/E55,4),0)),IFERROR(ROUND(Q55/E55,4),0))</f>
        <v>0</v>
      </c>
      <c r="AD55" s="132">
        <f>IFERROR(IF(VLOOKUP($B55,Shortage!$A:$M,AD$2,FALSE)="Shortage",1,IFERROR(ROUND(R55/F55,4),0)),IFERROR(ROUND(R55/F55,4),0))</f>
        <v>0</v>
      </c>
      <c r="AE55" s="132">
        <f>IFERROR(IF(VLOOKUP($B55,Shortage!$A:$M,AE$2,FALSE)="Shortage",1,IFERROR(ROUND(S55/G55,4),0)),IFERROR(ROUND(S55/G55,4),0))</f>
        <v>0</v>
      </c>
      <c r="AF55" s="132">
        <f>IFERROR(IF(VLOOKUP($B55,Shortage!$A:$M,AF$2,FALSE)="Shortage",1,IFERROR(ROUND(T55/H55,4),0)),IFERROR(ROUND(T55/H55,4),0))</f>
        <v>0</v>
      </c>
      <c r="AG55" s="132">
        <f>IFERROR(IF(VLOOKUP($B55,Shortage!$A:$M,AG$2,FALSE)="Shortage",1,IFERROR(ROUND(U55/I55,4),0)),IFERROR(ROUND(U55/I55,4),0))</f>
        <v>0</v>
      </c>
      <c r="AH55" s="132">
        <f>IFERROR(IF(VLOOKUP($B55,Shortage!$A:$M,AH$2,FALSE)="Shortage",1,IFERROR(ROUND(V55/J55,4),0)),IFERROR(ROUND(V55/J55,4),0))</f>
        <v>0</v>
      </c>
      <c r="AI55" s="132">
        <f>IFERROR(IF(VLOOKUP($B55,Shortage!$A:$M,AI$2,FALSE)="Shortage",1,IFERROR(ROUND(W55/K55,4),0)),IFERROR(ROUND(W55/K55,4),0))</f>
        <v>0</v>
      </c>
      <c r="AJ55" s="132">
        <f>IFERROR(IF(VLOOKUP($B55,Shortage!$A:$M,AJ$2,FALSE)="Shortage",1,IFERROR(ROUND(X55/L55,4),0)),IFERROR(ROUND(X55/L55,4),0))</f>
        <v>0</v>
      </c>
      <c r="AK55" s="132">
        <f>IFERROR(IF(VLOOKUP($B55,Shortage!$A:$M,AK$2,FALSE)="Shortage",1,IFERROR(ROUND(Y55/M55,4),0)),IFERROR(ROUND(Y55/M55,4),0))</f>
        <v>0</v>
      </c>
      <c r="AL55" s="132">
        <f>IFERROR(IF(VLOOKUP($B55,Shortage!$A:$M,AL$2,FALSE)="Shortage",1,IFERROR(ROUND(Z55/N55,4),0)),IFERROR(ROUND(Z55/N55,4),0))</f>
        <v>0</v>
      </c>
      <c r="AM55" s="132">
        <f>IFERROR(IF(VLOOKUP($B55,Shortage!$A:$M,AM$2,FALSE)="Shortage",1,IFERROR(ROUND(AA55/O55,4),0)),IFERROR(ROUND(AA55/O55,4),0))</f>
        <v>0</v>
      </c>
      <c r="AN55" s="315">
        <f>IFERROR(_xlfn.XLOOKUP(AB55,'2) หลักการคำนวน Table'!$C$3:$K$3,'2) หลักการคำนวน Table'!$C$3:$K$3,,1),INDEX('2) หลักการคำนวน Table'!$C$3:$K$3,1))</f>
        <v>1</v>
      </c>
      <c r="AO55" s="315">
        <f>IFERROR(
  _xlfn.XLOOKUP(AC55,'2) หลักการคำนวน Table'!$C$3:$K$3,'2) หลักการคำนวน Table'!$C$3:$K$3,,1),
  IF(AC55&lt;MIN('2) หลักการคำนวน Table'!$C$3:$K$3),
     MIN('2) หลักการคำนวน Table'!$C$3:$K$3),
     MAX('2) หลักการคำนวน Table'!$C$3:$K$3)
  )
)</f>
        <v>0.9</v>
      </c>
      <c r="AP55" s="315">
        <f>IFERROR(
  _xlfn.XLOOKUP(AD55,'2) หลักการคำนวน Table'!$C$3:$K$3,'2) หลักการคำนวน Table'!$C$3:$K$3,,1),
  IF(AD55&lt;MIN('2) หลักการคำนวน Table'!$C$3:$K$3),
     MIN('2) หลักการคำนวน Table'!$C$3:$K$3),
     MAX('2) หลักการคำนวน Table'!$C$3:$K$3)
  )
)</f>
        <v>0.9</v>
      </c>
      <c r="AQ55" s="315">
        <f>IFERROR(
  _xlfn.XLOOKUP(AE55,'2) หลักการคำนวน Table'!$C$3:$K$3,'2) หลักการคำนวน Table'!$C$3:$K$3,,1),
  IF(AE55&lt;MIN('2) หลักการคำนวน Table'!$C$3:$K$3),
     MIN('2) หลักการคำนวน Table'!$C$3:$K$3),
     MAX('2) หลักการคำนวน Table'!$C$3:$K$3)
  )
)</f>
        <v>0.9</v>
      </c>
      <c r="AR55" s="315">
        <f>IFERROR(
  _xlfn.XLOOKUP(AF55,'2) หลักการคำนวน Table'!$C$3:$K$3,'2) หลักการคำนวน Table'!$C$3:$K$3,,1),
  IF(AF55&lt;MIN('2) หลักการคำนวน Table'!$C$3:$K$3),
     MIN('2) หลักการคำนวน Table'!$C$3:$K$3),
     MAX('2) หลักการคำนวน Table'!$C$3:$K$3)
  )
)</f>
        <v>0.9</v>
      </c>
      <c r="AS55" s="315">
        <f>IFERROR(
  _xlfn.XLOOKUP(AG55,'2) หลักการคำนวน Table'!$C$3:$K$3,'2) หลักการคำนวน Table'!$C$3:$K$3,,1),
  IF(AG55&lt;MIN('2) หลักการคำนวน Table'!$C$3:$K$3),
     MIN('2) หลักการคำนวน Table'!$C$3:$K$3),
     MAX('2) หลักการคำนวน Table'!$C$3:$K$3)
  )
)</f>
        <v>0.9</v>
      </c>
      <c r="AT55" s="315">
        <f>IFERROR(
  _xlfn.XLOOKUP(AH55,'2) หลักการคำนวน Table'!$C$3:$K$3,'2) หลักการคำนวน Table'!$C$3:$K$3,,1),
  IF(AH55&lt;MIN('2) หลักการคำนวน Table'!$C$3:$K$3),
     MIN('2) หลักการคำนวน Table'!$C$3:$K$3),
     MAX('2) หลักการคำนวน Table'!$C$3:$K$3)
  )
)</f>
        <v>0.9</v>
      </c>
      <c r="AU55" s="315">
        <f>IFERROR(
  _xlfn.XLOOKUP(AI55,'2) หลักการคำนวน Table'!$C$3:$K$3,'2) หลักการคำนวน Table'!$C$3:$K$3,,1),
  IF(AI55&lt;MIN('2) หลักการคำนวน Table'!$C$3:$K$3),
     MIN('2) หลักการคำนวน Table'!$C$3:$K$3),
     MAX('2) หลักการคำนวน Table'!$C$3:$K$3)
  )
)</f>
        <v>0.9</v>
      </c>
      <c r="AV55" s="315">
        <f>IFERROR(
  _xlfn.XLOOKUP(AJ55,'2) หลักการคำนวน Table'!$C$3:$K$3,'2) หลักการคำนวน Table'!$C$3:$K$3,,1),
  IF(AJ55&lt;MIN('2) หลักการคำนวน Table'!$C$3:$K$3),
     MIN('2) หลักการคำนวน Table'!$C$3:$K$3),
     MAX('2) หลักการคำนวน Table'!$C$3:$K$3)
  )
)</f>
        <v>0.9</v>
      </c>
      <c r="AW55" s="315">
        <f>IFERROR(
  _xlfn.XLOOKUP(AK55,'2) หลักการคำนวน Table'!$C$3:$K$3,'2) หลักการคำนวน Table'!$C$3:$K$3,,1),
  IF(AK55&lt;MIN('2) หลักการคำนวน Table'!$C$3:$K$3),
     MIN('2) หลักการคำนวน Table'!$C$3:$K$3),
     MAX('2) หลักการคำนวน Table'!$C$3:$K$3)
  )
)</f>
        <v>0.9</v>
      </c>
      <c r="AX55" s="315">
        <f>IFERROR(
  _xlfn.XLOOKUP(AL55,'2) หลักการคำนวน Table'!$C$3:$K$3,'2) หลักการคำนวน Table'!$C$3:$K$3,,1),
  IF(AL55&lt;MIN('2) หลักการคำนวน Table'!$C$3:$K$3),
     MIN('2) หลักการคำนวน Table'!$C$3:$K$3),
     MAX('2) หลักการคำนวน Table'!$C$3:$K$3)
  )
)</f>
        <v>0.9</v>
      </c>
      <c r="AY55" s="315">
        <f>IFERROR(
  _xlfn.XLOOKUP(AM55,'2) หลักการคำนวน Table'!$C$3:$K$3,'2) หลักการคำนวน Table'!$C$3:$K$3,,1),
  IF(AM55&lt;MIN('2) หลักการคำนวน Table'!$C$3:$K$3),
     MIN('2) หลักการคำนวน Table'!$C$3:$K$3),
     MAX('2) หลักการคำนวน Table'!$C$3:$K$3)
  )
)</f>
        <v>0.9</v>
      </c>
      <c r="AZ55" s="135" t="e" cm="1">
        <f t="array" ref="AZ55">(_xlfn.XLOOKUP($C55,'2) หลักการคำนวน Table'!$A$4:$A$36,
_xlfn.XLOOKUP(AN55,'2)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</f>
        <v>#N/A</v>
      </c>
      <c r="BA55" s="135" t="e" cm="1">
        <f t="array" ref="BA55">(_xlfn.XLOOKUP($C55,'2) หลักการคำนวน Table'!$A$4:$A$36,
_xlfn.XLOOKUP(AO55,'2)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</f>
        <v>#N/A</v>
      </c>
      <c r="BB55" s="135" t="e" cm="1">
        <f t="array" ref="BB55">(_xlfn.XLOOKUP($C55,'2) หลักการคำนวน Table'!$A$4:$A$36,
_xlfn.XLOOKUP(AP55,'2)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</f>
        <v>#N/A</v>
      </c>
      <c r="BC55" s="135" t="e" cm="1">
        <f t="array" ref="BC55">(_xlfn.XLOOKUP($C55,'2) หลักการคำนวน Table'!$A$4:$A$36,
_xlfn.XLOOKUP(AQ55,'2)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</f>
        <v>#N/A</v>
      </c>
      <c r="BD55" s="135" t="e" cm="1">
        <f t="array" ref="BD55">(_xlfn.XLOOKUP($C55,'2) หลักการคำนวน Table'!$A$4:$A$36,
_xlfn.XLOOKUP(AR55,'2)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</f>
        <v>#N/A</v>
      </c>
      <c r="BE55" s="135" t="e" cm="1">
        <f t="array" ref="BE55">(_xlfn.XLOOKUP($C55,'2) หลักการคำนวน Table'!$A$4:$A$36,
_xlfn.XLOOKUP(AS55,'2)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</f>
        <v>#N/A</v>
      </c>
      <c r="BF55" s="135" t="e" cm="1">
        <f t="array" ref="BF55">(_xlfn.XLOOKUP($C55,'2) หลักการคำนวน Table'!$A$4:$A$36,
_xlfn.XLOOKUP(AT55,'2)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</f>
        <v>#N/A</v>
      </c>
      <c r="BG55" s="135" t="e" cm="1">
        <f t="array" ref="BG55">(_xlfn.XLOOKUP($C55,'2) หลักการคำนวน Table'!$A$4:$A$36,
_xlfn.XLOOKUP(AU55,'2)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</f>
        <v>#N/A</v>
      </c>
      <c r="BH55" s="135" t="e" cm="1">
        <f t="array" ref="BH55">ROUND((_xlfn.XLOOKUP($C55,'2) หลักการคำนวน Table'!$A$4:$A$36,
_xlfn.XLOOKUP(AV55,'2)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I55" s="135" t="e" cm="1">
        <f t="array" ref="BI55">ROUND((_xlfn.XLOOKUP($C55,'2) หลักการคำนวน Table'!$A$4:$A$36,
_xlfn.XLOOKUP(AW55,'2)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J55" s="135" t="e" cm="1">
        <f t="array" ref="BJ55">ROUND((_xlfn.XLOOKUP($C55,'2) หลักการคำนวน Table'!$A$4:$A$36,
_xlfn.XLOOKUP(AX55,'2)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K55" s="135" t="e" cm="1">
        <f t="array" ref="BK55">ROUND((_xlfn.XLOOKUP($C55,'2) หลักการคำนวน Table'!$A$4:$A$36,
_xlfn.XLOOKUP(AY55,'2) หลักการคำนวน Table'!$C$3:$K$3,'2) หลักการคำนวน Table'!$C$4:$K$36,,-1)))*(_xlfn.XLOOKUP($C55,'2) หลักการคำนวน Table'!$A$4:$A$36, _xlfn.XLOOKUP($B55,'2) หลักการคำนวน Table'!$L$3:$Z$3,'2) หลักการคำนวน Table'!$L$4:$Z$36))),0)</f>
        <v>#N/A</v>
      </c>
      <c r="BM55" s="126">
        <v>222235</v>
      </c>
      <c r="BN55" s="316">
        <v>189.47368421052627</v>
      </c>
    </row>
    <row r="56" spans="1:66" ht="13.2" customHeight="1" x14ac:dyDescent="0.25">
      <c r="A56" s="128">
        <f>VLOOKUP(C56,ASTBase!F:S,12,FALSE)</f>
        <v>222223</v>
      </c>
      <c r="B56" s="126" t="s">
        <v>409</v>
      </c>
      <c r="C56" s="128">
        <v>222235</v>
      </c>
      <c r="D56" s="127">
        <f>SUMIFS('3)Target &amp; Cal_Staff'!D$4:D$164,'3)Target &amp; Cal_Staff'!$B$4:$B$164,'3)Target &amp; Cal_Sect'!$B56,'3)Target &amp; Cal_Staff'!$A$4:$A$164,'3)Target &amp; Cal_Sect'!$C56)</f>
        <v>19400</v>
      </c>
      <c r="E56" s="127">
        <f>SUMIFS('3)Target &amp; Cal_Staff'!E$4:E$164,'3)Target &amp; Cal_Staff'!$B$4:$B$164,'3)Target &amp; Cal_Sect'!$B56,'3)Target &amp; Cal_Staff'!$A$4:$A$164,'3)Target &amp; Cal_Sect'!$C56)</f>
        <v>19400</v>
      </c>
      <c r="F56" s="127">
        <f>SUMIFS('3)Target &amp; Cal_Staff'!F$4:F$164,'3)Target &amp; Cal_Staff'!$B$4:$B$164,'3)Target &amp; Cal_Sect'!$B56,'3)Target &amp; Cal_Staff'!$A$4:$A$164,'3)Target &amp; Cal_Sect'!$C56)</f>
        <v>23600</v>
      </c>
      <c r="G56" s="127">
        <f>SUMIFS('3)Target &amp; Cal_Staff'!G$4:G$164,'3)Target &amp; Cal_Staff'!$B$4:$B$164,'3)Target &amp; Cal_Sect'!$B56,'3)Target &amp; Cal_Staff'!$A$4:$A$164,'3)Target &amp; Cal_Sect'!$C56)</f>
        <v>19400</v>
      </c>
      <c r="H56" s="127">
        <f>SUMIFS('3)Target &amp; Cal_Staff'!H$4:H$164,'3)Target &amp; Cal_Staff'!$B$4:$B$164,'3)Target &amp; Cal_Sect'!$B56,'3)Target &amp; Cal_Staff'!$A$4:$A$164,'3)Target &amp; Cal_Sect'!$C56)</f>
        <v>15400</v>
      </c>
      <c r="I56" s="127">
        <f>SUMIFS('3)Target &amp; Cal_Staff'!I$4:I$164,'3)Target &amp; Cal_Staff'!$B$4:$B$164,'3)Target &amp; Cal_Sect'!$B56,'3)Target &amp; Cal_Staff'!$A$4:$A$164,'3)Target &amp; Cal_Sect'!$C56)</f>
        <v>23300</v>
      </c>
      <c r="J56" s="127">
        <f>SUMIFS('3)Target &amp; Cal_Staff'!J$4:J$164,'3)Target &amp; Cal_Staff'!$B$4:$B$164,'3)Target &amp; Cal_Sect'!$B56,'3)Target &amp; Cal_Staff'!$A$4:$A$164,'3)Target &amp; Cal_Sect'!$C56)</f>
        <v>20400</v>
      </c>
      <c r="K56" s="127">
        <f>SUMIFS('3)Target &amp; Cal_Staff'!K$4:K$164,'3)Target &amp; Cal_Staff'!$B$4:$B$164,'3)Target &amp; Cal_Sect'!$B56,'3)Target &amp; Cal_Staff'!$A$4:$A$164,'3)Target &amp; Cal_Sect'!$C56)</f>
        <v>15400</v>
      </c>
      <c r="L56" s="127">
        <f>SUMIFS('3)Target &amp; Cal_Staff'!L$4:L$164,'3)Target &amp; Cal_Staff'!$B$4:$B$164,'3)Target &amp; Cal_Sect'!$B56,'3)Target &amp; Cal_Staff'!$A$4:$A$164,'3)Target &amp; Cal_Sect'!$C56)</f>
        <v>25600</v>
      </c>
      <c r="M56" s="127">
        <f>SUMIFS('3)Target &amp; Cal_Staff'!M$4:M$164,'3)Target &amp; Cal_Staff'!$B$4:$B$164,'3)Target &amp; Cal_Sect'!$B56,'3)Target &amp; Cal_Staff'!$A$4:$A$164,'3)Target &amp; Cal_Sect'!$C56)</f>
        <v>19300</v>
      </c>
      <c r="N56" s="127">
        <f>SUMIFS('3)Target &amp; Cal_Staff'!N$4:N$164,'3)Target &amp; Cal_Staff'!$B$4:$B$164,'3)Target &amp; Cal_Sect'!$B56,'3)Target &amp; Cal_Staff'!$A$4:$A$164,'3)Target &amp; Cal_Sect'!$C56)</f>
        <v>19400</v>
      </c>
      <c r="O56" s="127">
        <f>SUMIFS('3)Target &amp; Cal_Staff'!O$4:O$164,'3)Target &amp; Cal_Staff'!$B$4:$B$164,'3)Target &amp; Cal_Sect'!$B56,'3)Target &amp; Cal_Staff'!$A$4:$A$164,'3)Target &amp; Cal_Sect'!$C56)</f>
        <v>19400</v>
      </c>
      <c r="P56" s="127">
        <f>SUMIFS('3)Target &amp; Cal_Staff'!P$4:P$164,'3)Target &amp; Cal_Staff'!$B$4:$B$164,'3)Target &amp; Cal_Sect'!$B56,'3)Target &amp; Cal_Staff'!$A$4:$A$164,'3)Target &amp; Cal_Sect'!$C56)</f>
        <v>14600.448000000057</v>
      </c>
      <c r="Q56" s="127">
        <f>SUMIFS('3)Target &amp; Cal_Staff'!Q$4:Q$164,'3)Target &amp; Cal_Staff'!$B$4:$B$164,'3)Target &amp; Cal_Sect'!$B56,'3)Target &amp; Cal_Staff'!$A$4:$A$164,'3)Target &amp; Cal_Sect'!$C56)</f>
        <v>0</v>
      </c>
      <c r="R56" s="127">
        <f>SUMIFS('3)Target &amp; Cal_Staff'!R$4:R$164,'3)Target &amp; Cal_Staff'!$B$4:$B$164,'3)Target &amp; Cal_Sect'!$B56,'3)Target &amp; Cal_Staff'!$A$4:$A$164,'3)Target &amp; Cal_Sect'!$C56)</f>
        <v>0</v>
      </c>
      <c r="S56" s="127">
        <f>SUMIFS('3)Target &amp; Cal_Staff'!S$4:S$164,'3)Target &amp; Cal_Staff'!$B$4:$B$164,'3)Target &amp; Cal_Sect'!$B56,'3)Target &amp; Cal_Staff'!$A$4:$A$164,'3)Target &amp; Cal_Sect'!$C56)</f>
        <v>0</v>
      </c>
      <c r="T56" s="127">
        <f>SUMIFS('3)Target &amp; Cal_Staff'!T$4:T$164,'3)Target &amp; Cal_Staff'!$B$4:$B$164,'3)Target &amp; Cal_Sect'!$B56,'3)Target &amp; Cal_Staff'!$A$4:$A$164,'3)Target &amp; Cal_Sect'!$C56)</f>
        <v>0</v>
      </c>
      <c r="U56" s="127">
        <f>SUMIFS('3)Target &amp; Cal_Staff'!U$4:U$164,'3)Target &amp; Cal_Staff'!$B$4:$B$164,'3)Target &amp; Cal_Sect'!$B56,'3)Target &amp; Cal_Staff'!$A$4:$A$164,'3)Target &amp; Cal_Sect'!$C56)</f>
        <v>0</v>
      </c>
      <c r="V56" s="127">
        <f>SUMIFS('3)Target &amp; Cal_Staff'!V$4:V$164,'3)Target &amp; Cal_Staff'!$B$4:$B$164,'3)Target &amp; Cal_Sect'!$B56,'3)Target &amp; Cal_Staff'!$A$4:$A$164,'3)Target &amp; Cal_Sect'!$C56)</f>
        <v>0</v>
      </c>
      <c r="W56" s="127">
        <f>SUMIFS('3)Target &amp; Cal_Staff'!W$4:W$164,'3)Target &amp; Cal_Staff'!$B$4:$B$164,'3)Target &amp; Cal_Sect'!$B56,'3)Target &amp; Cal_Staff'!$A$4:$A$164,'3)Target &amp; Cal_Sect'!$C56)</f>
        <v>0</v>
      </c>
      <c r="X56" s="127">
        <f>SUMIFS('3)Target &amp; Cal_Staff'!X$4:X$164,'3)Target &amp; Cal_Staff'!$B$4:$B$164,'3)Target &amp; Cal_Sect'!$B56,'3)Target &amp; Cal_Staff'!$A$4:$A$164,'3)Target &amp; Cal_Sect'!$C56)</f>
        <v>0</v>
      </c>
      <c r="Y56" s="127">
        <f>SUMIFS('3)Target &amp; Cal_Staff'!Y$4:Y$164,'3)Target &amp; Cal_Staff'!$B$4:$B$164,'3)Target &amp; Cal_Sect'!$B56,'3)Target &amp; Cal_Staff'!$A$4:$A$164,'3)Target &amp; Cal_Sect'!$C56)</f>
        <v>0</v>
      </c>
      <c r="Z56" s="127">
        <f>SUMIFS('3)Target &amp; Cal_Staff'!Z$4:Z$164,'3)Target &amp; Cal_Staff'!$B$4:$B$164,'3)Target &amp; Cal_Sect'!$B56,'3)Target &amp; Cal_Staff'!$A$4:$A$164,'3)Target &amp; Cal_Sect'!$C56)</f>
        <v>0</v>
      </c>
      <c r="AA56" s="127">
        <f>SUMIFS('3)Target &amp; Cal_Staff'!AA$4:AA$164,'3)Target &amp; Cal_Staff'!$B$4:$B$164,'3)Target &amp; Cal_Sect'!$B56,'3)Target &amp; Cal_Staff'!$A$4:$A$164,'3)Target &amp; Cal_Sect'!$C56)</f>
        <v>0</v>
      </c>
      <c r="AB56" s="132">
        <f>IFERROR(IF(VLOOKUP($B56,Shortage!$A:$M,AB$2,FALSE)="Shortage",1,IFERROR(ROUND(P56/D56,4),0)),IFERROR(ROUND(P56/D56,4),0))</f>
        <v>0.75260000000000005</v>
      </c>
      <c r="AC56" s="132">
        <f>IFERROR(IF(VLOOKUP($B56,Shortage!$A:$M,AC$2,FALSE)="Shortage",1,IFERROR(ROUND(Q56/E56,4),0)),IFERROR(ROUND(Q56/E56,4),0))</f>
        <v>0</v>
      </c>
      <c r="AD56" s="132">
        <f>IFERROR(IF(VLOOKUP($B56,Shortage!$A:$M,AD$2,FALSE)="Shortage",1,IFERROR(ROUND(R56/F56,4),0)),IFERROR(ROUND(R56/F56,4),0))</f>
        <v>0</v>
      </c>
      <c r="AE56" s="132">
        <f>IFERROR(IF(VLOOKUP($B56,Shortage!$A:$M,AE$2,FALSE)="Shortage",1,IFERROR(ROUND(S56/G56,4),0)),IFERROR(ROUND(S56/G56,4),0))</f>
        <v>0</v>
      </c>
      <c r="AF56" s="132">
        <f>IFERROR(IF(VLOOKUP($B56,Shortage!$A:$M,AF$2,FALSE)="Shortage",1,IFERROR(ROUND(T56/H56,4),0)),IFERROR(ROUND(T56/H56,4),0))</f>
        <v>0</v>
      </c>
      <c r="AG56" s="132">
        <f>IFERROR(IF(VLOOKUP($B56,Shortage!$A:$M,AG$2,FALSE)="Shortage",1,IFERROR(ROUND(U56/I56,4),0)),IFERROR(ROUND(U56/I56,4),0))</f>
        <v>0</v>
      </c>
      <c r="AH56" s="132">
        <f>IFERROR(IF(VLOOKUP($B56,Shortage!$A:$M,AH$2,FALSE)="Shortage",1,IFERROR(ROUND(V56/J56,4),0)),IFERROR(ROUND(V56/J56,4),0))</f>
        <v>0</v>
      </c>
      <c r="AI56" s="132">
        <f>IFERROR(IF(VLOOKUP($B56,Shortage!$A:$M,AI$2,FALSE)="Shortage",1,IFERROR(ROUND(W56/K56,4),0)),IFERROR(ROUND(W56/K56,4),0))</f>
        <v>0</v>
      </c>
      <c r="AJ56" s="132">
        <f>IFERROR(IF(VLOOKUP($B56,Shortage!$A:$M,AJ$2,FALSE)="Shortage",1,IFERROR(ROUND(X56/L56,4),0)),IFERROR(ROUND(X56/L56,4),0))</f>
        <v>0</v>
      </c>
      <c r="AK56" s="132">
        <f>IFERROR(IF(VLOOKUP($B56,Shortage!$A:$M,AK$2,FALSE)="Shortage",1,IFERROR(ROUND(Y56/M56,4),0)),IFERROR(ROUND(Y56/M56,4),0))</f>
        <v>0</v>
      </c>
      <c r="AL56" s="132">
        <f>IFERROR(IF(VLOOKUP($B56,Shortage!$A:$M,AL$2,FALSE)="Shortage",1,IFERROR(ROUND(Z56/N56,4),0)),IFERROR(ROUND(Z56/N56,4),0))</f>
        <v>0</v>
      </c>
      <c r="AM56" s="132">
        <f>IFERROR(IF(VLOOKUP($B56,Shortage!$A:$M,AM$2,FALSE)="Shortage",1,IFERROR(ROUND(AA56/O56,4),0)),IFERROR(ROUND(AA56/O56,4),0))</f>
        <v>0</v>
      </c>
      <c r="AN56" s="315">
        <f>IFERROR(_xlfn.XLOOKUP(AB56,'2) หลักการคำนวน Table'!$C$3:$K$3,'2) หลักการคำนวน Table'!$C$3:$K$3,,1),INDEX('2) หลักการคำนวน Table'!$C$3:$K$3,1))</f>
        <v>0.9</v>
      </c>
      <c r="AO56" s="315">
        <f>IFERROR(
  _xlfn.XLOOKUP(AC56,'2) หลักการคำนวน Table'!$C$3:$K$3,'2) หลักการคำนวน Table'!$C$3:$K$3,,1),
  IF(AC56&lt;MIN('2) หลักการคำนวน Table'!$C$3:$K$3),
     MIN('2) หลักการคำนวน Table'!$C$3:$K$3),
     MAX('2) หลักการคำนวน Table'!$C$3:$K$3)
  )
)</f>
        <v>0.9</v>
      </c>
      <c r="AP56" s="315">
        <f>IFERROR(
  _xlfn.XLOOKUP(AD56,'2) หลักการคำนวน Table'!$C$3:$K$3,'2) หลักการคำนวน Table'!$C$3:$K$3,,1),
  IF(AD56&lt;MIN('2) หลักการคำนวน Table'!$C$3:$K$3),
     MIN('2) หลักการคำนวน Table'!$C$3:$K$3),
     MAX('2) หลักการคำนวน Table'!$C$3:$K$3)
  )
)</f>
        <v>0.9</v>
      </c>
      <c r="AQ56" s="315">
        <f>IFERROR(
  _xlfn.XLOOKUP(AE56,'2) หลักการคำนวน Table'!$C$3:$K$3,'2) หลักการคำนวน Table'!$C$3:$K$3,,1),
  IF(AE56&lt;MIN('2) หลักการคำนวน Table'!$C$3:$K$3),
     MIN('2) หลักการคำนวน Table'!$C$3:$K$3),
     MAX('2) หลักการคำนวน Table'!$C$3:$K$3)
  )
)</f>
        <v>0.9</v>
      </c>
      <c r="AR56" s="315">
        <f>IFERROR(
  _xlfn.XLOOKUP(AF56,'2) หลักการคำนวน Table'!$C$3:$K$3,'2) หลักการคำนวน Table'!$C$3:$K$3,,1),
  IF(AF56&lt;MIN('2) หลักการคำนวน Table'!$C$3:$K$3),
     MIN('2) หลักการคำนวน Table'!$C$3:$K$3),
     MAX('2) หลักการคำนวน Table'!$C$3:$K$3)
  )
)</f>
        <v>0.9</v>
      </c>
      <c r="AS56" s="315">
        <f>IFERROR(
  _xlfn.XLOOKUP(AG56,'2) หลักการคำนวน Table'!$C$3:$K$3,'2) หลักการคำนวน Table'!$C$3:$K$3,,1),
  IF(AG56&lt;MIN('2) หลักการคำนวน Table'!$C$3:$K$3),
     MIN('2) หลักการคำนวน Table'!$C$3:$K$3),
     MAX('2) หลักการคำนวน Table'!$C$3:$K$3)
  )
)</f>
        <v>0.9</v>
      </c>
      <c r="AT56" s="315">
        <f>IFERROR(
  _xlfn.XLOOKUP(AH56,'2) หลักการคำนวน Table'!$C$3:$K$3,'2) หลักการคำนวน Table'!$C$3:$K$3,,1),
  IF(AH56&lt;MIN('2) หลักการคำนวน Table'!$C$3:$K$3),
     MIN('2) หลักการคำนวน Table'!$C$3:$K$3),
     MAX('2) หลักการคำนวน Table'!$C$3:$K$3)
  )
)</f>
        <v>0.9</v>
      </c>
      <c r="AU56" s="315">
        <f>IFERROR(
  _xlfn.XLOOKUP(AI56,'2) หลักการคำนวน Table'!$C$3:$K$3,'2) หลักการคำนวน Table'!$C$3:$K$3,,1),
  IF(AI56&lt;MIN('2) หลักการคำนวน Table'!$C$3:$K$3),
     MIN('2) หลักการคำนวน Table'!$C$3:$K$3),
     MAX('2) หลักการคำนวน Table'!$C$3:$K$3)
  )
)</f>
        <v>0.9</v>
      </c>
      <c r="AV56" s="315">
        <f>IFERROR(
  _xlfn.XLOOKUP(AJ56,'2) หลักการคำนวน Table'!$C$3:$K$3,'2) หลักการคำนวน Table'!$C$3:$K$3,,1),
  IF(AJ56&lt;MIN('2) หลักการคำนวน Table'!$C$3:$K$3),
     MIN('2) หลักการคำนวน Table'!$C$3:$K$3),
     MAX('2) หลักการคำนวน Table'!$C$3:$K$3)
  )
)</f>
        <v>0.9</v>
      </c>
      <c r="AW56" s="315">
        <f>IFERROR(
  _xlfn.XLOOKUP(AK56,'2) หลักการคำนวน Table'!$C$3:$K$3,'2) หลักการคำนวน Table'!$C$3:$K$3,,1),
  IF(AK56&lt;MIN('2) หลักการคำนวน Table'!$C$3:$K$3),
     MIN('2) หลักการคำนวน Table'!$C$3:$K$3),
     MAX('2) หลักการคำนวน Table'!$C$3:$K$3)
  )
)</f>
        <v>0.9</v>
      </c>
      <c r="AX56" s="315">
        <f>IFERROR(
  _xlfn.XLOOKUP(AL56,'2) หลักการคำนวน Table'!$C$3:$K$3,'2) หลักการคำนวน Table'!$C$3:$K$3,,1),
  IF(AL56&lt;MIN('2) หลักการคำนวน Table'!$C$3:$K$3),
     MIN('2) หลักการคำนวน Table'!$C$3:$K$3),
     MAX('2) หลักการคำนวน Table'!$C$3:$K$3)
  )
)</f>
        <v>0.9</v>
      </c>
      <c r="AY56" s="315">
        <f>IFERROR(
  _xlfn.XLOOKUP(AM56,'2) หลักการคำนวน Table'!$C$3:$K$3,'2) หลักการคำนวน Table'!$C$3:$K$3,,1),
  IF(AM56&lt;MIN('2) หลักการคำนวน Table'!$C$3:$K$3),
     MIN('2) หลักการคำนวน Table'!$C$3:$K$3),
     MAX('2) หลักการคำนวน Table'!$C$3:$K$3)
  )
)</f>
        <v>0.9</v>
      </c>
      <c r="AZ56" s="135" t="e" cm="1">
        <f t="array" ref="AZ56">(_xlfn.XLOOKUP($C56,'2) หลักการคำนวน Table'!$A$4:$A$36,
_xlfn.XLOOKUP(AN56,'2)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</f>
        <v>#N/A</v>
      </c>
      <c r="BA56" s="135" t="e" cm="1">
        <f t="array" ref="BA56">(_xlfn.XLOOKUP($C56,'2) หลักการคำนวน Table'!$A$4:$A$36,
_xlfn.XLOOKUP(AO56,'2)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</f>
        <v>#N/A</v>
      </c>
      <c r="BB56" s="135" t="e" cm="1">
        <f t="array" ref="BB56">(_xlfn.XLOOKUP($C56,'2) หลักการคำนวน Table'!$A$4:$A$36,
_xlfn.XLOOKUP(AP56,'2)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</f>
        <v>#N/A</v>
      </c>
      <c r="BC56" s="135" t="e" cm="1">
        <f t="array" ref="BC56">(_xlfn.XLOOKUP($C56,'2) หลักการคำนวน Table'!$A$4:$A$36,
_xlfn.XLOOKUP(AQ56,'2)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</f>
        <v>#N/A</v>
      </c>
      <c r="BD56" s="135" t="e" cm="1">
        <f t="array" ref="BD56">(_xlfn.XLOOKUP($C56,'2) หลักการคำนวน Table'!$A$4:$A$36,
_xlfn.XLOOKUP(AR56,'2)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</f>
        <v>#N/A</v>
      </c>
      <c r="BE56" s="135" t="e" cm="1">
        <f t="array" ref="BE56">(_xlfn.XLOOKUP($C56,'2) หลักการคำนวน Table'!$A$4:$A$36,
_xlfn.XLOOKUP(AS56,'2)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</f>
        <v>#N/A</v>
      </c>
      <c r="BF56" s="135" t="e" cm="1">
        <f t="array" ref="BF56">(_xlfn.XLOOKUP($C56,'2) หลักการคำนวน Table'!$A$4:$A$36,
_xlfn.XLOOKUP(AT56,'2)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</f>
        <v>#N/A</v>
      </c>
      <c r="BG56" s="135" t="e" cm="1">
        <f t="array" ref="BG56">(_xlfn.XLOOKUP($C56,'2) หลักการคำนวน Table'!$A$4:$A$36,
_xlfn.XLOOKUP(AU56,'2)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</f>
        <v>#N/A</v>
      </c>
      <c r="BH56" s="135" t="e" cm="1">
        <f t="array" ref="BH56">ROUND((_xlfn.XLOOKUP($C56,'2) หลักการคำนวน Table'!$A$4:$A$36,
_xlfn.XLOOKUP(AV56,'2)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I56" s="135" t="e" cm="1">
        <f t="array" ref="BI56">ROUND((_xlfn.XLOOKUP($C56,'2) หลักการคำนวน Table'!$A$4:$A$36,
_xlfn.XLOOKUP(AW56,'2)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J56" s="135" t="e" cm="1">
        <f t="array" ref="BJ56">ROUND((_xlfn.XLOOKUP($C56,'2) หลักการคำนวน Table'!$A$4:$A$36,
_xlfn.XLOOKUP(AX56,'2)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K56" s="135" t="e" cm="1">
        <f t="array" ref="BK56">ROUND((_xlfn.XLOOKUP($C56,'2) หลักการคำนวน Table'!$A$4:$A$36,
_xlfn.XLOOKUP(AY56,'2) หลักการคำนวน Table'!$C$3:$K$3,'2) หลักการคำนวน Table'!$C$4:$K$36,,-1)))*(_xlfn.XLOOKUP($C56,'2) หลักการคำนวน Table'!$A$4:$A$36, _xlfn.XLOOKUP($B56,'2) หลักการคำนวน Table'!$L$3:$Z$3,'2) หลักการคำนวน Table'!$L$4:$Z$36))),0)</f>
        <v>#N/A</v>
      </c>
      <c r="BM56" s="126">
        <v>222235</v>
      </c>
      <c r="BN56" s="316">
        <v>625.26315789473688</v>
      </c>
    </row>
    <row r="57" spans="1:66" ht="13.2" customHeight="1" x14ac:dyDescent="0.25">
      <c r="A57" s="128">
        <f>VLOOKUP(C57,ASTBase!F:S,12,FALSE)</f>
        <v>222223</v>
      </c>
      <c r="B57" s="126" t="s">
        <v>410</v>
      </c>
      <c r="C57" s="128">
        <v>222235</v>
      </c>
      <c r="D57" s="127">
        <f>SUMIFS('3)Target &amp; Cal_Staff'!D$4:D$164,'3)Target &amp; Cal_Staff'!$B$4:$B$164,'3)Target &amp; Cal_Sect'!$B57,'3)Target &amp; Cal_Staff'!$A$4:$A$164,'3)Target &amp; Cal_Sect'!$C57)</f>
        <v>113400</v>
      </c>
      <c r="E57" s="127">
        <f>SUMIFS('3)Target &amp; Cal_Staff'!E$4:E$164,'3)Target &amp; Cal_Staff'!$B$4:$B$164,'3)Target &amp; Cal_Sect'!$B57,'3)Target &amp; Cal_Staff'!$A$4:$A$164,'3)Target &amp; Cal_Sect'!$C57)</f>
        <v>34300</v>
      </c>
      <c r="F57" s="127">
        <f>SUMIFS('3)Target &amp; Cal_Staff'!F$4:F$164,'3)Target &amp; Cal_Staff'!$B$4:$B$164,'3)Target &amp; Cal_Sect'!$B57,'3)Target &amp; Cal_Staff'!$A$4:$A$164,'3)Target &amp; Cal_Sect'!$C57)</f>
        <v>36000</v>
      </c>
      <c r="G57" s="127">
        <f>SUMIFS('3)Target &amp; Cal_Staff'!G$4:G$164,'3)Target &amp; Cal_Staff'!$B$4:$B$164,'3)Target &amp; Cal_Sect'!$B57,'3)Target &amp; Cal_Staff'!$A$4:$A$164,'3)Target &amp; Cal_Sect'!$C57)</f>
        <v>121000</v>
      </c>
      <c r="H57" s="127">
        <f>SUMIFS('3)Target &amp; Cal_Staff'!H$4:H$164,'3)Target &amp; Cal_Staff'!$B$4:$B$164,'3)Target &amp; Cal_Sect'!$B57,'3)Target &amp; Cal_Staff'!$A$4:$A$164,'3)Target &amp; Cal_Sect'!$C57)</f>
        <v>34500</v>
      </c>
      <c r="I57" s="127">
        <f>SUMIFS('3)Target &amp; Cal_Staff'!I$4:I$164,'3)Target &amp; Cal_Staff'!$B$4:$B$164,'3)Target &amp; Cal_Sect'!$B57,'3)Target &amp; Cal_Staff'!$A$4:$A$164,'3)Target &amp; Cal_Sect'!$C57)</f>
        <v>36600</v>
      </c>
      <c r="J57" s="127">
        <f>SUMIFS('3)Target &amp; Cal_Staff'!J$4:J$164,'3)Target &amp; Cal_Staff'!$B$4:$B$164,'3)Target &amp; Cal_Sect'!$B57,'3)Target &amp; Cal_Staff'!$A$4:$A$164,'3)Target &amp; Cal_Sect'!$C57)</f>
        <v>36800</v>
      </c>
      <c r="K57" s="127">
        <f>SUMIFS('3)Target &amp; Cal_Staff'!K$4:K$164,'3)Target &amp; Cal_Staff'!$B$4:$B$164,'3)Target &amp; Cal_Sect'!$B57,'3)Target &amp; Cal_Staff'!$A$4:$A$164,'3)Target &amp; Cal_Sect'!$C57)</f>
        <v>125700</v>
      </c>
      <c r="L57" s="127">
        <f>SUMIFS('3)Target &amp; Cal_Staff'!L$4:L$164,'3)Target &amp; Cal_Staff'!$B$4:$B$164,'3)Target &amp; Cal_Sect'!$B57,'3)Target &amp; Cal_Staff'!$A$4:$A$164,'3)Target &amp; Cal_Sect'!$C57)</f>
        <v>96200</v>
      </c>
      <c r="M57" s="127">
        <f>SUMIFS('3)Target &amp; Cal_Staff'!M$4:M$164,'3)Target &amp; Cal_Staff'!$B$4:$B$164,'3)Target &amp; Cal_Sect'!$B57,'3)Target &amp; Cal_Staff'!$A$4:$A$164,'3)Target &amp; Cal_Sect'!$C57)</f>
        <v>64300</v>
      </c>
      <c r="N57" s="127">
        <f>SUMIFS('3)Target &amp; Cal_Staff'!N$4:N$164,'3)Target &amp; Cal_Staff'!$B$4:$B$164,'3)Target &amp; Cal_Sect'!$B57,'3)Target &amp; Cal_Staff'!$A$4:$A$164,'3)Target &amp; Cal_Sect'!$C57)</f>
        <v>27200</v>
      </c>
      <c r="O57" s="127">
        <f>SUMIFS('3)Target &amp; Cal_Staff'!O$4:O$164,'3)Target &amp; Cal_Staff'!$B$4:$B$164,'3)Target &amp; Cal_Sect'!$B57,'3)Target &amp; Cal_Staff'!$A$4:$A$164,'3)Target &amp; Cal_Sect'!$C57)</f>
        <v>36000</v>
      </c>
      <c r="P57" s="127">
        <f>SUMIFS('3)Target &amp; Cal_Staff'!P$4:P$164,'3)Target &amp; Cal_Staff'!$B$4:$B$164,'3)Target &amp; Cal_Sect'!$B57,'3)Target &amp; Cal_Staff'!$A$4:$A$164,'3)Target &amp; Cal_Sect'!$C57)</f>
        <v>159165.79999999949</v>
      </c>
      <c r="Q57" s="127">
        <f>SUMIFS('3)Target &amp; Cal_Staff'!Q$4:Q$164,'3)Target &amp; Cal_Staff'!$B$4:$B$164,'3)Target &amp; Cal_Sect'!$B57,'3)Target &amp; Cal_Staff'!$A$4:$A$164,'3)Target &amp; Cal_Sect'!$C57)</f>
        <v>0</v>
      </c>
      <c r="R57" s="127">
        <f>SUMIFS('3)Target &amp; Cal_Staff'!R$4:R$164,'3)Target &amp; Cal_Staff'!$B$4:$B$164,'3)Target &amp; Cal_Sect'!$B57,'3)Target &amp; Cal_Staff'!$A$4:$A$164,'3)Target &amp; Cal_Sect'!$C57)</f>
        <v>0</v>
      </c>
      <c r="S57" s="127">
        <f>SUMIFS('3)Target &amp; Cal_Staff'!S$4:S$164,'3)Target &amp; Cal_Staff'!$B$4:$B$164,'3)Target &amp; Cal_Sect'!$B57,'3)Target &amp; Cal_Staff'!$A$4:$A$164,'3)Target &amp; Cal_Sect'!$C57)</f>
        <v>0</v>
      </c>
      <c r="T57" s="127">
        <f>SUMIFS('3)Target &amp; Cal_Staff'!T$4:T$164,'3)Target &amp; Cal_Staff'!$B$4:$B$164,'3)Target &amp; Cal_Sect'!$B57,'3)Target &amp; Cal_Staff'!$A$4:$A$164,'3)Target &amp; Cal_Sect'!$C57)</f>
        <v>0</v>
      </c>
      <c r="U57" s="127">
        <f>SUMIFS('3)Target &amp; Cal_Staff'!U$4:U$164,'3)Target &amp; Cal_Staff'!$B$4:$B$164,'3)Target &amp; Cal_Sect'!$B57,'3)Target &amp; Cal_Staff'!$A$4:$A$164,'3)Target &amp; Cal_Sect'!$C57)</f>
        <v>0</v>
      </c>
      <c r="V57" s="127">
        <f>SUMIFS('3)Target &amp; Cal_Staff'!V$4:V$164,'3)Target &amp; Cal_Staff'!$B$4:$B$164,'3)Target &amp; Cal_Sect'!$B57,'3)Target &amp; Cal_Staff'!$A$4:$A$164,'3)Target &amp; Cal_Sect'!$C57)</f>
        <v>0</v>
      </c>
      <c r="W57" s="127">
        <f>SUMIFS('3)Target &amp; Cal_Staff'!W$4:W$164,'3)Target &amp; Cal_Staff'!$B$4:$B$164,'3)Target &amp; Cal_Sect'!$B57,'3)Target &amp; Cal_Staff'!$A$4:$A$164,'3)Target &amp; Cal_Sect'!$C57)</f>
        <v>0</v>
      </c>
      <c r="X57" s="127">
        <f>SUMIFS('3)Target &amp; Cal_Staff'!X$4:X$164,'3)Target &amp; Cal_Staff'!$B$4:$B$164,'3)Target &amp; Cal_Sect'!$B57,'3)Target &amp; Cal_Staff'!$A$4:$A$164,'3)Target &amp; Cal_Sect'!$C57)</f>
        <v>0</v>
      </c>
      <c r="Y57" s="127">
        <f>SUMIFS('3)Target &amp; Cal_Staff'!Y$4:Y$164,'3)Target &amp; Cal_Staff'!$B$4:$B$164,'3)Target &amp; Cal_Sect'!$B57,'3)Target &amp; Cal_Staff'!$A$4:$A$164,'3)Target &amp; Cal_Sect'!$C57)</f>
        <v>0</v>
      </c>
      <c r="Z57" s="127">
        <f>SUMIFS('3)Target &amp; Cal_Staff'!Z$4:Z$164,'3)Target &amp; Cal_Staff'!$B$4:$B$164,'3)Target &amp; Cal_Sect'!$B57,'3)Target &amp; Cal_Staff'!$A$4:$A$164,'3)Target &amp; Cal_Sect'!$C57)</f>
        <v>0</v>
      </c>
      <c r="AA57" s="127">
        <f>SUMIFS('3)Target &amp; Cal_Staff'!AA$4:AA$164,'3)Target &amp; Cal_Staff'!$B$4:$B$164,'3)Target &amp; Cal_Sect'!$B57,'3)Target &amp; Cal_Staff'!$A$4:$A$164,'3)Target &amp; Cal_Sect'!$C57)</f>
        <v>0</v>
      </c>
      <c r="AB57" s="132">
        <f>IFERROR(IF(VLOOKUP($B57,Shortage!$A:$M,AB$2,FALSE)="Shortage",1,IFERROR(ROUND(P57/D57,4),0)),IFERROR(ROUND(P57/D57,4),0))</f>
        <v>1.4036</v>
      </c>
      <c r="AC57" s="132">
        <f>IFERROR(IF(VLOOKUP($B57,Shortage!$A:$M,AC$2,FALSE)="Shortage",1,IFERROR(ROUND(Q57/E57,4),0)),IFERROR(ROUND(Q57/E57,4),0))</f>
        <v>0</v>
      </c>
      <c r="AD57" s="132">
        <f>IFERROR(IF(VLOOKUP($B57,Shortage!$A:$M,AD$2,FALSE)="Shortage",1,IFERROR(ROUND(R57/F57,4),0)),IFERROR(ROUND(R57/F57,4),0))</f>
        <v>0</v>
      </c>
      <c r="AE57" s="132">
        <f>IFERROR(IF(VLOOKUP($B57,Shortage!$A:$M,AE$2,FALSE)="Shortage",1,IFERROR(ROUND(S57/G57,4),0)),IFERROR(ROUND(S57/G57,4),0))</f>
        <v>0</v>
      </c>
      <c r="AF57" s="132">
        <f>IFERROR(IF(VLOOKUP($B57,Shortage!$A:$M,AF$2,FALSE)="Shortage",1,IFERROR(ROUND(T57/H57,4),0)),IFERROR(ROUND(T57/H57,4),0))</f>
        <v>0</v>
      </c>
      <c r="AG57" s="132">
        <f>IFERROR(IF(VLOOKUP($B57,Shortage!$A:$M,AG$2,FALSE)="Shortage",1,IFERROR(ROUND(U57/I57,4),0)),IFERROR(ROUND(U57/I57,4),0))</f>
        <v>0</v>
      </c>
      <c r="AH57" s="132">
        <f>IFERROR(IF(VLOOKUP($B57,Shortage!$A:$M,AH$2,FALSE)="Shortage",1,IFERROR(ROUND(V57/J57,4),0)),IFERROR(ROUND(V57/J57,4),0))</f>
        <v>0</v>
      </c>
      <c r="AI57" s="132">
        <f>IFERROR(IF(VLOOKUP($B57,Shortage!$A:$M,AI$2,FALSE)="Shortage",1,IFERROR(ROUND(W57/K57,4),0)),IFERROR(ROUND(W57/K57,4),0))</f>
        <v>0</v>
      </c>
      <c r="AJ57" s="132">
        <f>IFERROR(IF(VLOOKUP($B57,Shortage!$A:$M,AJ$2,FALSE)="Shortage",1,IFERROR(ROUND(X57/L57,4),0)),IFERROR(ROUND(X57/L57,4),0))</f>
        <v>0</v>
      </c>
      <c r="AK57" s="132">
        <f>IFERROR(IF(VLOOKUP($B57,Shortage!$A:$M,AK$2,FALSE)="Shortage",1,IFERROR(ROUND(Y57/M57,4),0)),IFERROR(ROUND(Y57/M57,4),0))</f>
        <v>0</v>
      </c>
      <c r="AL57" s="132">
        <f>IFERROR(IF(VLOOKUP($B57,Shortage!$A:$M,AL$2,FALSE)="Shortage",1,IFERROR(ROUND(Z57/N57,4),0)),IFERROR(ROUND(Z57/N57,4),0))</f>
        <v>0</v>
      </c>
      <c r="AM57" s="132">
        <f>IFERROR(IF(VLOOKUP($B57,Shortage!$A:$M,AM$2,FALSE)="Shortage",1,IFERROR(ROUND(AA57/O57,4),0)),IFERROR(ROUND(AA57/O57,4),0))</f>
        <v>0</v>
      </c>
      <c r="AN57" s="315">
        <f>IFERROR(_xlfn.XLOOKUP(AB57,'2) หลักการคำนวน Table'!$C$3:$K$3,'2) หลักการคำนวน Table'!$C$3:$K$3,,1),INDEX('2) หลักการคำนวน Table'!$C$3:$K$3,1))</f>
        <v>20</v>
      </c>
      <c r="AO57" s="315">
        <f>IFERROR(
  _xlfn.XLOOKUP(AC57,'2) หลักการคำนวน Table'!$C$3:$K$3,'2) หลักการคำนวน Table'!$C$3:$K$3,,1),
  IF(AC57&lt;MIN('2) หลักการคำนวน Table'!$C$3:$K$3),
     MIN('2) หลักการคำนวน Table'!$C$3:$K$3),
     MAX('2) หลักการคำนวน Table'!$C$3:$K$3)
  )
)</f>
        <v>0.9</v>
      </c>
      <c r="AP57" s="315">
        <f>IFERROR(
  _xlfn.XLOOKUP(AD57,'2) หลักการคำนวน Table'!$C$3:$K$3,'2) หลักการคำนวน Table'!$C$3:$K$3,,1),
  IF(AD57&lt;MIN('2) หลักการคำนวน Table'!$C$3:$K$3),
     MIN('2) หลักการคำนวน Table'!$C$3:$K$3),
     MAX('2) หลักการคำนวน Table'!$C$3:$K$3)
  )
)</f>
        <v>0.9</v>
      </c>
      <c r="AQ57" s="315">
        <f>IFERROR(
  _xlfn.XLOOKUP(AE57,'2) หลักการคำนวน Table'!$C$3:$K$3,'2) หลักการคำนวน Table'!$C$3:$K$3,,1),
  IF(AE57&lt;MIN('2) หลักการคำนวน Table'!$C$3:$K$3),
     MIN('2) หลักการคำนวน Table'!$C$3:$K$3),
     MAX('2) หลักการคำนวน Table'!$C$3:$K$3)
  )
)</f>
        <v>0.9</v>
      </c>
      <c r="AR57" s="315">
        <f>IFERROR(
  _xlfn.XLOOKUP(AF57,'2) หลักการคำนวน Table'!$C$3:$K$3,'2) หลักการคำนวน Table'!$C$3:$K$3,,1),
  IF(AF57&lt;MIN('2) หลักการคำนวน Table'!$C$3:$K$3),
     MIN('2) หลักการคำนวน Table'!$C$3:$K$3),
     MAX('2) หลักการคำนวน Table'!$C$3:$K$3)
  )
)</f>
        <v>0.9</v>
      </c>
      <c r="AS57" s="315">
        <f>IFERROR(
  _xlfn.XLOOKUP(AG57,'2) หลักการคำนวน Table'!$C$3:$K$3,'2) หลักการคำนวน Table'!$C$3:$K$3,,1),
  IF(AG57&lt;MIN('2) หลักการคำนวน Table'!$C$3:$K$3),
     MIN('2) หลักการคำนวน Table'!$C$3:$K$3),
     MAX('2) หลักการคำนวน Table'!$C$3:$K$3)
  )
)</f>
        <v>0.9</v>
      </c>
      <c r="AT57" s="315">
        <f>IFERROR(
  _xlfn.XLOOKUP(AH57,'2) หลักการคำนวน Table'!$C$3:$K$3,'2) หลักการคำนวน Table'!$C$3:$K$3,,1),
  IF(AH57&lt;MIN('2) หลักการคำนวน Table'!$C$3:$K$3),
     MIN('2) หลักการคำนวน Table'!$C$3:$K$3),
     MAX('2) หลักการคำนวน Table'!$C$3:$K$3)
  )
)</f>
        <v>0.9</v>
      </c>
      <c r="AU57" s="315">
        <f>IFERROR(
  _xlfn.XLOOKUP(AI57,'2) หลักการคำนวน Table'!$C$3:$K$3,'2) หลักการคำนวน Table'!$C$3:$K$3,,1),
  IF(AI57&lt;MIN('2) หลักการคำนวน Table'!$C$3:$K$3),
     MIN('2) หลักการคำนวน Table'!$C$3:$K$3),
     MAX('2) หลักการคำนวน Table'!$C$3:$K$3)
  )
)</f>
        <v>0.9</v>
      </c>
      <c r="AV57" s="315">
        <f>IFERROR(
  _xlfn.XLOOKUP(AJ57,'2) หลักการคำนวน Table'!$C$3:$K$3,'2) หลักการคำนวน Table'!$C$3:$K$3,,1),
  IF(AJ57&lt;MIN('2) หลักการคำนวน Table'!$C$3:$K$3),
     MIN('2) หลักการคำนวน Table'!$C$3:$K$3),
     MAX('2) หลักการคำนวน Table'!$C$3:$K$3)
  )
)</f>
        <v>0.9</v>
      </c>
      <c r="AW57" s="315">
        <f>IFERROR(
  _xlfn.XLOOKUP(AK57,'2) หลักการคำนวน Table'!$C$3:$K$3,'2) หลักการคำนวน Table'!$C$3:$K$3,,1),
  IF(AK57&lt;MIN('2) หลักการคำนวน Table'!$C$3:$K$3),
     MIN('2) หลักการคำนวน Table'!$C$3:$K$3),
     MAX('2) หลักการคำนวน Table'!$C$3:$K$3)
  )
)</f>
        <v>0.9</v>
      </c>
      <c r="AX57" s="315">
        <f>IFERROR(
  _xlfn.XLOOKUP(AL57,'2) หลักการคำนวน Table'!$C$3:$K$3,'2) หลักการคำนวน Table'!$C$3:$K$3,,1),
  IF(AL57&lt;MIN('2) หลักการคำนวน Table'!$C$3:$K$3),
     MIN('2) หลักการคำนวน Table'!$C$3:$K$3),
     MAX('2) หลักการคำนวน Table'!$C$3:$K$3)
  )
)</f>
        <v>0.9</v>
      </c>
      <c r="AY57" s="315">
        <f>IFERROR(
  _xlfn.XLOOKUP(AM57,'2) หลักการคำนวน Table'!$C$3:$K$3,'2) หลักการคำนวน Table'!$C$3:$K$3,,1),
  IF(AM57&lt;MIN('2) หลักการคำนวน Table'!$C$3:$K$3),
     MIN('2) หลักการคำนวน Table'!$C$3:$K$3),
     MAX('2) หลักการคำนวน Table'!$C$3:$K$3)
  )
)</f>
        <v>0.9</v>
      </c>
      <c r="AZ57" s="135" t="e" cm="1">
        <f t="array" ref="AZ57">(_xlfn.XLOOKUP($C57,'2) หลักการคำนวน Table'!$A$4:$A$36,
_xlfn.XLOOKUP(AN57,'2)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</f>
        <v>#N/A</v>
      </c>
      <c r="BA57" s="135" t="e" cm="1">
        <f t="array" ref="BA57">(_xlfn.XLOOKUP($C57,'2) หลักการคำนวน Table'!$A$4:$A$36,
_xlfn.XLOOKUP(AO57,'2)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</f>
        <v>#N/A</v>
      </c>
      <c r="BB57" s="135" t="e" cm="1">
        <f t="array" ref="BB57">(_xlfn.XLOOKUP($C57,'2) หลักการคำนวน Table'!$A$4:$A$36,
_xlfn.XLOOKUP(AP57,'2)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</f>
        <v>#N/A</v>
      </c>
      <c r="BC57" s="135" t="e" cm="1">
        <f t="array" ref="BC57">(_xlfn.XLOOKUP($C57,'2) หลักการคำนวน Table'!$A$4:$A$36,
_xlfn.XLOOKUP(AQ57,'2)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</f>
        <v>#N/A</v>
      </c>
      <c r="BD57" s="135" t="e" cm="1">
        <f t="array" ref="BD57">(_xlfn.XLOOKUP($C57,'2) หลักการคำนวน Table'!$A$4:$A$36,
_xlfn.XLOOKUP(AR57,'2)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</f>
        <v>#N/A</v>
      </c>
      <c r="BE57" s="135" t="e" cm="1">
        <f t="array" ref="BE57">(_xlfn.XLOOKUP($C57,'2) หลักการคำนวน Table'!$A$4:$A$36,
_xlfn.XLOOKUP(AS57,'2)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</f>
        <v>#N/A</v>
      </c>
      <c r="BF57" s="135" t="e" cm="1">
        <f t="array" ref="BF57">(_xlfn.XLOOKUP($C57,'2) หลักการคำนวน Table'!$A$4:$A$36,
_xlfn.XLOOKUP(AT57,'2)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</f>
        <v>#N/A</v>
      </c>
      <c r="BG57" s="135" t="e" cm="1">
        <f t="array" ref="BG57">(_xlfn.XLOOKUP($C57,'2) หลักการคำนวน Table'!$A$4:$A$36,
_xlfn.XLOOKUP(AU57,'2)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</f>
        <v>#N/A</v>
      </c>
      <c r="BH57" s="135" t="e" cm="1">
        <f t="array" ref="BH57">ROUND((_xlfn.XLOOKUP($C57,'2) หลักการคำนวน Table'!$A$4:$A$36,
_xlfn.XLOOKUP(AV57,'2)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I57" s="135" t="e" cm="1">
        <f t="array" ref="BI57">ROUND((_xlfn.XLOOKUP($C57,'2) หลักการคำนวน Table'!$A$4:$A$36,
_xlfn.XLOOKUP(AW57,'2)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J57" s="135" t="e" cm="1">
        <f t="array" ref="BJ57">ROUND((_xlfn.XLOOKUP($C57,'2) หลักการคำนวน Table'!$A$4:$A$36,
_xlfn.XLOOKUP(AX57,'2)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K57" s="135" t="e" cm="1">
        <f t="array" ref="BK57">ROUND((_xlfn.XLOOKUP($C57,'2) หลักการคำนวน Table'!$A$4:$A$36,
_xlfn.XLOOKUP(AY57,'2) หลักการคำนวน Table'!$C$3:$K$3,'2) หลักการคำนวน Table'!$C$4:$K$36,,-1)))*(_xlfn.XLOOKUP($C57,'2) หลักการคำนวน Table'!$A$4:$A$36, _xlfn.XLOOKUP($B57,'2) หลักการคำนวน Table'!$L$3:$Z$3,'2) หลักการคำนวน Table'!$L$4:$Z$36))),0)</f>
        <v>#N/A</v>
      </c>
      <c r="BM57" s="126">
        <v>222235</v>
      </c>
      <c r="BN57" s="316">
        <v>821.05263157894728</v>
      </c>
    </row>
    <row r="58" spans="1:66" ht="13.2" customHeight="1" x14ac:dyDescent="0.25">
      <c r="A58" s="128">
        <f>VLOOKUP(C58,ASTBase!F:S,12,FALSE)</f>
        <v>222223</v>
      </c>
      <c r="B58" s="126" t="s">
        <v>415</v>
      </c>
      <c r="C58" s="128">
        <v>222235</v>
      </c>
      <c r="D58" s="127">
        <f>SUMIFS('3)Target &amp; Cal_Staff'!D$4:D$164,'3)Target &amp; Cal_Staff'!$B$4:$B$164,'3)Target &amp; Cal_Sect'!$B58,'3)Target &amp; Cal_Staff'!$A$4:$A$164,'3)Target &amp; Cal_Sect'!$C58)</f>
        <v>28300</v>
      </c>
      <c r="E58" s="127">
        <f>SUMIFS('3)Target &amp; Cal_Staff'!E$4:E$164,'3)Target &amp; Cal_Staff'!$B$4:$B$164,'3)Target &amp; Cal_Sect'!$B58,'3)Target &amp; Cal_Staff'!$A$4:$A$164,'3)Target &amp; Cal_Sect'!$C58)</f>
        <v>15800</v>
      </c>
      <c r="F58" s="127">
        <f>SUMIFS('3)Target &amp; Cal_Staff'!F$4:F$164,'3)Target &amp; Cal_Staff'!$B$4:$B$164,'3)Target &amp; Cal_Sect'!$B58,'3)Target &amp; Cal_Staff'!$A$4:$A$164,'3)Target &amp; Cal_Sect'!$C58)</f>
        <v>20300</v>
      </c>
      <c r="G58" s="127">
        <f>SUMIFS('3)Target &amp; Cal_Staff'!G$4:G$164,'3)Target &amp; Cal_Staff'!$B$4:$B$164,'3)Target &amp; Cal_Sect'!$B58,'3)Target &amp; Cal_Staff'!$A$4:$A$164,'3)Target &amp; Cal_Sect'!$C58)</f>
        <v>26800</v>
      </c>
      <c r="H58" s="127">
        <f>SUMIFS('3)Target &amp; Cal_Staff'!H$4:H$164,'3)Target &amp; Cal_Staff'!$B$4:$B$164,'3)Target &amp; Cal_Sect'!$B58,'3)Target &amp; Cal_Staff'!$A$4:$A$164,'3)Target &amp; Cal_Sect'!$C58)</f>
        <v>19000</v>
      </c>
      <c r="I58" s="127">
        <f>SUMIFS('3)Target &amp; Cal_Staff'!I$4:I$164,'3)Target &amp; Cal_Staff'!$B$4:$B$164,'3)Target &amp; Cal_Sect'!$B58,'3)Target &amp; Cal_Staff'!$A$4:$A$164,'3)Target &amp; Cal_Sect'!$C58)</f>
        <v>27500</v>
      </c>
      <c r="J58" s="127">
        <f>SUMIFS('3)Target &amp; Cal_Staff'!J$4:J$164,'3)Target &amp; Cal_Staff'!$B$4:$B$164,'3)Target &amp; Cal_Sect'!$B58,'3)Target &amp; Cal_Staff'!$A$4:$A$164,'3)Target &amp; Cal_Sect'!$C58)</f>
        <v>24300</v>
      </c>
      <c r="K58" s="127">
        <f>SUMIFS('3)Target &amp; Cal_Staff'!K$4:K$164,'3)Target &amp; Cal_Staff'!$B$4:$B$164,'3)Target &amp; Cal_Sect'!$B58,'3)Target &amp; Cal_Staff'!$A$4:$A$164,'3)Target &amp; Cal_Sect'!$C58)</f>
        <v>24800</v>
      </c>
      <c r="L58" s="127">
        <f>SUMIFS('3)Target &amp; Cal_Staff'!L$4:L$164,'3)Target &amp; Cal_Staff'!$B$4:$B$164,'3)Target &amp; Cal_Sect'!$B58,'3)Target &amp; Cal_Staff'!$A$4:$A$164,'3)Target &amp; Cal_Sect'!$C58)</f>
        <v>25850</v>
      </c>
      <c r="M58" s="127">
        <f>SUMIFS('3)Target &amp; Cal_Staff'!M$4:M$164,'3)Target &amp; Cal_Staff'!$B$4:$B$164,'3)Target &amp; Cal_Sect'!$B58,'3)Target &amp; Cal_Staff'!$A$4:$A$164,'3)Target &amp; Cal_Sect'!$C58)</f>
        <v>17400</v>
      </c>
      <c r="N58" s="127">
        <f>SUMIFS('3)Target &amp; Cal_Staff'!N$4:N$164,'3)Target &amp; Cal_Staff'!$B$4:$B$164,'3)Target &amp; Cal_Sect'!$B58,'3)Target &amp; Cal_Staff'!$A$4:$A$164,'3)Target &amp; Cal_Sect'!$C58)</f>
        <v>23300</v>
      </c>
      <c r="O58" s="127">
        <f>SUMIFS('3)Target &amp; Cal_Staff'!O$4:O$164,'3)Target &amp; Cal_Staff'!$B$4:$B$164,'3)Target &amp; Cal_Sect'!$B58,'3)Target &amp; Cal_Staff'!$A$4:$A$164,'3)Target &amp; Cal_Sect'!$C58)</f>
        <v>24900</v>
      </c>
      <c r="P58" s="127">
        <f>SUMIFS('3)Target &amp; Cal_Staff'!P$4:P$164,'3)Target &amp; Cal_Staff'!$B$4:$B$164,'3)Target &amp; Cal_Sect'!$B58,'3)Target &amp; Cal_Staff'!$A$4:$A$164,'3)Target &amp; Cal_Sect'!$C58)</f>
        <v>25612.199999999673</v>
      </c>
      <c r="Q58" s="127">
        <f>SUMIFS('3)Target &amp; Cal_Staff'!Q$4:Q$164,'3)Target &amp; Cal_Staff'!$B$4:$B$164,'3)Target &amp; Cal_Sect'!$B58,'3)Target &amp; Cal_Staff'!$A$4:$A$164,'3)Target &amp; Cal_Sect'!$C58)</f>
        <v>0</v>
      </c>
      <c r="R58" s="127">
        <f>SUMIFS('3)Target &amp; Cal_Staff'!R$4:R$164,'3)Target &amp; Cal_Staff'!$B$4:$B$164,'3)Target &amp; Cal_Sect'!$B58,'3)Target &amp; Cal_Staff'!$A$4:$A$164,'3)Target &amp; Cal_Sect'!$C58)</f>
        <v>0</v>
      </c>
      <c r="S58" s="127">
        <f>SUMIFS('3)Target &amp; Cal_Staff'!S$4:S$164,'3)Target &amp; Cal_Staff'!$B$4:$B$164,'3)Target &amp; Cal_Sect'!$B58,'3)Target &amp; Cal_Staff'!$A$4:$A$164,'3)Target &amp; Cal_Sect'!$C58)</f>
        <v>0</v>
      </c>
      <c r="T58" s="127">
        <f>SUMIFS('3)Target &amp; Cal_Staff'!T$4:T$164,'3)Target &amp; Cal_Staff'!$B$4:$B$164,'3)Target &amp; Cal_Sect'!$B58,'3)Target &amp; Cal_Staff'!$A$4:$A$164,'3)Target &amp; Cal_Sect'!$C58)</f>
        <v>0</v>
      </c>
      <c r="U58" s="127">
        <f>SUMIFS('3)Target &amp; Cal_Staff'!U$4:U$164,'3)Target &amp; Cal_Staff'!$B$4:$B$164,'3)Target &amp; Cal_Sect'!$B58,'3)Target &amp; Cal_Staff'!$A$4:$A$164,'3)Target &amp; Cal_Sect'!$C58)</f>
        <v>0</v>
      </c>
      <c r="V58" s="127">
        <f>SUMIFS('3)Target &amp; Cal_Staff'!V$4:V$164,'3)Target &amp; Cal_Staff'!$B$4:$B$164,'3)Target &amp; Cal_Sect'!$B58,'3)Target &amp; Cal_Staff'!$A$4:$A$164,'3)Target &amp; Cal_Sect'!$C58)</f>
        <v>0</v>
      </c>
      <c r="W58" s="127">
        <f>SUMIFS('3)Target &amp; Cal_Staff'!W$4:W$164,'3)Target &amp; Cal_Staff'!$B$4:$B$164,'3)Target &amp; Cal_Sect'!$B58,'3)Target &amp; Cal_Staff'!$A$4:$A$164,'3)Target &amp; Cal_Sect'!$C58)</f>
        <v>0</v>
      </c>
      <c r="X58" s="127">
        <f>SUMIFS('3)Target &amp; Cal_Staff'!X$4:X$164,'3)Target &amp; Cal_Staff'!$B$4:$B$164,'3)Target &amp; Cal_Sect'!$B58,'3)Target &amp; Cal_Staff'!$A$4:$A$164,'3)Target &amp; Cal_Sect'!$C58)</f>
        <v>0</v>
      </c>
      <c r="Y58" s="127">
        <f>SUMIFS('3)Target &amp; Cal_Staff'!Y$4:Y$164,'3)Target &amp; Cal_Staff'!$B$4:$B$164,'3)Target &amp; Cal_Sect'!$B58,'3)Target &amp; Cal_Staff'!$A$4:$A$164,'3)Target &amp; Cal_Sect'!$C58)</f>
        <v>0</v>
      </c>
      <c r="Z58" s="127">
        <f>SUMIFS('3)Target &amp; Cal_Staff'!Z$4:Z$164,'3)Target &amp; Cal_Staff'!$B$4:$B$164,'3)Target &amp; Cal_Sect'!$B58,'3)Target &amp; Cal_Staff'!$A$4:$A$164,'3)Target &amp; Cal_Sect'!$C58)</f>
        <v>0</v>
      </c>
      <c r="AA58" s="127">
        <f>SUMIFS('3)Target &amp; Cal_Staff'!AA$4:AA$164,'3)Target &amp; Cal_Staff'!$B$4:$B$164,'3)Target &amp; Cal_Sect'!$B58,'3)Target &amp; Cal_Staff'!$A$4:$A$164,'3)Target &amp; Cal_Sect'!$C58)</f>
        <v>0</v>
      </c>
      <c r="AB58" s="132">
        <f>IFERROR(IF(VLOOKUP($B58,Shortage!$A:$M,AB$2,FALSE)="Shortage",1,IFERROR(ROUND(P58/D58,4),0)),IFERROR(ROUND(P58/D58,4),0))</f>
        <v>0.90500000000000003</v>
      </c>
      <c r="AC58" s="132">
        <f>IFERROR(IF(VLOOKUP($B58,Shortage!$A:$M,AC$2,FALSE)="Shortage",1,IFERROR(ROUND(Q58/E58,4),0)),IFERROR(ROUND(Q58/E58,4),0))</f>
        <v>0</v>
      </c>
      <c r="AD58" s="132">
        <f>IFERROR(IF(VLOOKUP($B58,Shortage!$A:$M,AD$2,FALSE)="Shortage",1,IFERROR(ROUND(R58/F58,4),0)),IFERROR(ROUND(R58/F58,4),0))</f>
        <v>0</v>
      </c>
      <c r="AE58" s="132">
        <f>IFERROR(IF(VLOOKUP($B58,Shortage!$A:$M,AE$2,FALSE)="Shortage",1,IFERROR(ROUND(S58/G58,4),0)),IFERROR(ROUND(S58/G58,4),0))</f>
        <v>0</v>
      </c>
      <c r="AF58" s="132">
        <f>IFERROR(IF(VLOOKUP($B58,Shortage!$A:$M,AF$2,FALSE)="Shortage",1,IFERROR(ROUND(T58/H58,4),0)),IFERROR(ROUND(T58/H58,4),0))</f>
        <v>0</v>
      </c>
      <c r="AG58" s="132">
        <f>IFERROR(IF(VLOOKUP($B58,Shortage!$A:$M,AG$2,FALSE)="Shortage",1,IFERROR(ROUND(U58/I58,4),0)),IFERROR(ROUND(U58/I58,4),0))</f>
        <v>0</v>
      </c>
      <c r="AH58" s="132">
        <f>IFERROR(IF(VLOOKUP($B58,Shortage!$A:$M,AH$2,FALSE)="Shortage",1,IFERROR(ROUND(V58/J58,4),0)),IFERROR(ROUND(V58/J58,4),0))</f>
        <v>0</v>
      </c>
      <c r="AI58" s="132">
        <f>IFERROR(IF(VLOOKUP($B58,Shortage!$A:$M,AI$2,FALSE)="Shortage",1,IFERROR(ROUND(W58/K58,4),0)),IFERROR(ROUND(W58/K58,4),0))</f>
        <v>0</v>
      </c>
      <c r="AJ58" s="132">
        <f>IFERROR(IF(VLOOKUP($B58,Shortage!$A:$M,AJ$2,FALSE)="Shortage",1,IFERROR(ROUND(X58/L58,4),0)),IFERROR(ROUND(X58/L58,4),0))</f>
        <v>0</v>
      </c>
      <c r="AK58" s="132">
        <f>IFERROR(IF(VLOOKUP($B58,Shortage!$A:$M,AK$2,FALSE)="Shortage",1,IFERROR(ROUND(Y58/M58,4),0)),IFERROR(ROUND(Y58/M58,4),0))</f>
        <v>0</v>
      </c>
      <c r="AL58" s="132">
        <f>IFERROR(IF(VLOOKUP($B58,Shortage!$A:$M,AL$2,FALSE)="Shortage",1,IFERROR(ROUND(Z58/N58,4),0)),IFERROR(ROUND(Z58/N58,4),0))</f>
        <v>0</v>
      </c>
      <c r="AM58" s="132">
        <f>IFERROR(IF(VLOOKUP($B58,Shortage!$A:$M,AM$2,FALSE)="Shortage",1,IFERROR(ROUND(AA58/O58,4),0)),IFERROR(ROUND(AA58/O58,4),0))</f>
        <v>0</v>
      </c>
      <c r="AN58" s="315">
        <f>IFERROR(_xlfn.XLOOKUP(AB58,'2) หลักการคำนวน Table'!$C$3:$K$3,'2) หลักการคำนวน Table'!$C$3:$K$3,,1),INDEX('2) หลักการคำนวน Table'!$C$3:$K$3,1))</f>
        <v>0.95</v>
      </c>
      <c r="AO58" s="315">
        <f>IFERROR(
  _xlfn.XLOOKUP(AC58,'2) หลักการคำนวน Table'!$C$3:$K$3,'2) หลักการคำนวน Table'!$C$3:$K$3,,1),
  IF(AC58&lt;MIN('2) หลักการคำนวน Table'!$C$3:$K$3),
     MIN('2) หลักการคำนวน Table'!$C$3:$K$3),
     MAX('2) หลักการคำนวน Table'!$C$3:$K$3)
  )
)</f>
        <v>0.9</v>
      </c>
      <c r="AP58" s="315">
        <f>IFERROR(
  _xlfn.XLOOKUP(AD58,'2) หลักการคำนวน Table'!$C$3:$K$3,'2) หลักการคำนวน Table'!$C$3:$K$3,,1),
  IF(AD58&lt;MIN('2) หลักการคำนวน Table'!$C$3:$K$3),
     MIN('2) หลักการคำนวน Table'!$C$3:$K$3),
     MAX('2) หลักการคำนวน Table'!$C$3:$K$3)
  )
)</f>
        <v>0.9</v>
      </c>
      <c r="AQ58" s="315">
        <f>IFERROR(
  _xlfn.XLOOKUP(AE58,'2) หลักการคำนวน Table'!$C$3:$K$3,'2) หลักการคำนวน Table'!$C$3:$K$3,,1),
  IF(AE58&lt;MIN('2) หลักการคำนวน Table'!$C$3:$K$3),
     MIN('2) หลักการคำนวน Table'!$C$3:$K$3),
     MAX('2) หลักการคำนวน Table'!$C$3:$K$3)
  )
)</f>
        <v>0.9</v>
      </c>
      <c r="AR58" s="315">
        <f>IFERROR(
  _xlfn.XLOOKUP(AF58,'2) หลักการคำนวน Table'!$C$3:$K$3,'2) หลักการคำนวน Table'!$C$3:$K$3,,1),
  IF(AF58&lt;MIN('2) หลักการคำนวน Table'!$C$3:$K$3),
     MIN('2) หลักการคำนวน Table'!$C$3:$K$3),
     MAX('2) หลักการคำนวน Table'!$C$3:$K$3)
  )
)</f>
        <v>0.9</v>
      </c>
      <c r="AS58" s="315">
        <f>IFERROR(
  _xlfn.XLOOKUP(AG58,'2) หลักการคำนวน Table'!$C$3:$K$3,'2) หลักการคำนวน Table'!$C$3:$K$3,,1),
  IF(AG58&lt;MIN('2) หลักการคำนวน Table'!$C$3:$K$3),
     MIN('2) หลักการคำนวน Table'!$C$3:$K$3),
     MAX('2) หลักการคำนวน Table'!$C$3:$K$3)
  )
)</f>
        <v>0.9</v>
      </c>
      <c r="AT58" s="315">
        <f>IFERROR(
  _xlfn.XLOOKUP(AH58,'2) หลักการคำนวน Table'!$C$3:$K$3,'2) หลักการคำนวน Table'!$C$3:$K$3,,1),
  IF(AH58&lt;MIN('2) หลักการคำนวน Table'!$C$3:$K$3),
     MIN('2) หลักการคำนวน Table'!$C$3:$K$3),
     MAX('2) หลักการคำนวน Table'!$C$3:$K$3)
  )
)</f>
        <v>0.9</v>
      </c>
      <c r="AU58" s="315">
        <f>IFERROR(
  _xlfn.XLOOKUP(AI58,'2) หลักการคำนวน Table'!$C$3:$K$3,'2) หลักการคำนวน Table'!$C$3:$K$3,,1),
  IF(AI58&lt;MIN('2) หลักการคำนวน Table'!$C$3:$K$3),
     MIN('2) หลักการคำนวน Table'!$C$3:$K$3),
     MAX('2) หลักการคำนวน Table'!$C$3:$K$3)
  )
)</f>
        <v>0.9</v>
      </c>
      <c r="AV58" s="315">
        <f>IFERROR(
  _xlfn.XLOOKUP(AJ58,'2) หลักการคำนวน Table'!$C$3:$K$3,'2) หลักการคำนวน Table'!$C$3:$K$3,,1),
  IF(AJ58&lt;MIN('2) หลักการคำนวน Table'!$C$3:$K$3),
     MIN('2) หลักการคำนวน Table'!$C$3:$K$3),
     MAX('2) หลักการคำนวน Table'!$C$3:$K$3)
  )
)</f>
        <v>0.9</v>
      </c>
      <c r="AW58" s="315">
        <f>IFERROR(
  _xlfn.XLOOKUP(AK58,'2) หลักการคำนวน Table'!$C$3:$K$3,'2) หลักการคำนวน Table'!$C$3:$K$3,,1),
  IF(AK58&lt;MIN('2) หลักการคำนวน Table'!$C$3:$K$3),
     MIN('2) หลักการคำนวน Table'!$C$3:$K$3),
     MAX('2) หลักการคำนวน Table'!$C$3:$K$3)
  )
)</f>
        <v>0.9</v>
      </c>
      <c r="AX58" s="315">
        <f>IFERROR(
  _xlfn.XLOOKUP(AL58,'2) หลักการคำนวน Table'!$C$3:$K$3,'2) หลักการคำนวน Table'!$C$3:$K$3,,1),
  IF(AL58&lt;MIN('2) หลักการคำนวน Table'!$C$3:$K$3),
     MIN('2) หลักการคำนวน Table'!$C$3:$K$3),
     MAX('2) หลักการคำนวน Table'!$C$3:$K$3)
  )
)</f>
        <v>0.9</v>
      </c>
      <c r="AY58" s="315">
        <f>IFERROR(
  _xlfn.XLOOKUP(AM58,'2) หลักการคำนวน Table'!$C$3:$K$3,'2) หลักการคำนวน Table'!$C$3:$K$3,,1),
  IF(AM58&lt;MIN('2) หลักการคำนวน Table'!$C$3:$K$3),
     MIN('2) หลักการคำนวน Table'!$C$3:$K$3),
     MAX('2) หลักการคำนวน Table'!$C$3:$K$3)
  )
)</f>
        <v>0.9</v>
      </c>
      <c r="AZ58" s="135" t="e" cm="1">
        <f t="array" ref="AZ58">(_xlfn.XLOOKUP($C58,'2) หลักการคำนวน Table'!$A$4:$A$36,
_xlfn.XLOOKUP(AN58,'2)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</f>
        <v>#N/A</v>
      </c>
      <c r="BA58" s="135" t="e" cm="1">
        <f t="array" ref="BA58">(_xlfn.XLOOKUP($C58,'2) หลักการคำนวน Table'!$A$4:$A$36,
_xlfn.XLOOKUP(AO58,'2)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</f>
        <v>#N/A</v>
      </c>
      <c r="BB58" s="135" t="e" cm="1">
        <f t="array" ref="BB58">(_xlfn.XLOOKUP($C58,'2) หลักการคำนวน Table'!$A$4:$A$36,
_xlfn.XLOOKUP(AP58,'2)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</f>
        <v>#N/A</v>
      </c>
      <c r="BC58" s="135" t="e" cm="1">
        <f t="array" ref="BC58">(_xlfn.XLOOKUP($C58,'2) หลักการคำนวน Table'!$A$4:$A$36,
_xlfn.XLOOKUP(AQ58,'2)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</f>
        <v>#N/A</v>
      </c>
      <c r="BD58" s="135" t="e" cm="1">
        <f t="array" ref="BD58">(_xlfn.XLOOKUP($C58,'2) หลักการคำนวน Table'!$A$4:$A$36,
_xlfn.XLOOKUP(AR58,'2)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</f>
        <v>#N/A</v>
      </c>
      <c r="BE58" s="135" t="e" cm="1">
        <f t="array" ref="BE58">(_xlfn.XLOOKUP($C58,'2) หลักการคำนวน Table'!$A$4:$A$36,
_xlfn.XLOOKUP(AS58,'2)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</f>
        <v>#N/A</v>
      </c>
      <c r="BF58" s="135" t="e" cm="1">
        <f t="array" ref="BF58">(_xlfn.XLOOKUP($C58,'2) หลักการคำนวน Table'!$A$4:$A$36,
_xlfn.XLOOKUP(AT58,'2)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</f>
        <v>#N/A</v>
      </c>
      <c r="BG58" s="135" t="e" cm="1">
        <f t="array" ref="BG58">(_xlfn.XLOOKUP($C58,'2) หลักการคำนวน Table'!$A$4:$A$36,
_xlfn.XLOOKUP(AU58,'2)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</f>
        <v>#N/A</v>
      </c>
      <c r="BH58" s="135" t="e" cm="1">
        <f t="array" ref="BH58">ROUND((_xlfn.XLOOKUP($C58,'2) หลักการคำนวน Table'!$A$4:$A$36,
_xlfn.XLOOKUP(AV58,'2)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I58" s="135" t="e" cm="1">
        <f t="array" ref="BI58">ROUND((_xlfn.XLOOKUP($C58,'2) หลักการคำนวน Table'!$A$4:$A$36,
_xlfn.XLOOKUP(AW58,'2)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J58" s="135" t="e" cm="1">
        <f t="array" ref="BJ58">ROUND((_xlfn.XLOOKUP($C58,'2) หลักการคำนวน Table'!$A$4:$A$36,
_xlfn.XLOOKUP(AX58,'2)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K58" s="135" t="e" cm="1">
        <f t="array" ref="BK58">ROUND((_xlfn.XLOOKUP($C58,'2) หลักการคำนวน Table'!$A$4:$A$36,
_xlfn.XLOOKUP(AY58,'2) หลักการคำนวน Table'!$C$3:$K$3,'2) หลักการคำนวน Table'!$C$4:$K$36,,-1)))*(_xlfn.XLOOKUP($C58,'2) หลักการคำนวน Table'!$A$4:$A$36, _xlfn.XLOOKUP($B58,'2) หลักการคำนวน Table'!$L$3:$Z$3,'2) หลักการคำนวน Table'!$L$4:$Z$36))),0)</f>
        <v>#N/A</v>
      </c>
      <c r="BM58" s="126">
        <v>222235</v>
      </c>
      <c r="BN58" s="316">
        <v>240</v>
      </c>
    </row>
    <row r="59" spans="1:66" ht="13.2" customHeight="1" x14ac:dyDescent="0.25">
      <c r="A59" s="128">
        <f>VLOOKUP(C59,ASTBase!F:S,12,FALSE)</f>
        <v>222223</v>
      </c>
      <c r="B59" s="126" t="s">
        <v>414</v>
      </c>
      <c r="C59" s="128">
        <v>222235</v>
      </c>
      <c r="D59" s="127">
        <f>SUMIFS('3)Target &amp; Cal_Staff'!D$4:D$164,'3)Target &amp; Cal_Staff'!$B$4:$B$164,'3)Target &amp; Cal_Sect'!$B59,'3)Target &amp; Cal_Staff'!$A$4:$A$164,'3)Target &amp; Cal_Sect'!$C59)</f>
        <v>83050</v>
      </c>
      <c r="E59" s="127">
        <f>SUMIFS('3)Target &amp; Cal_Staff'!E$4:E$164,'3)Target &amp; Cal_Staff'!$B$4:$B$164,'3)Target &amp; Cal_Sect'!$B59,'3)Target &amp; Cal_Staff'!$A$4:$A$164,'3)Target &amp; Cal_Sect'!$C59)</f>
        <v>82950</v>
      </c>
      <c r="F59" s="127">
        <f>SUMIFS('3)Target &amp; Cal_Staff'!F$4:F$164,'3)Target &amp; Cal_Staff'!$B$4:$B$164,'3)Target &amp; Cal_Sect'!$B59,'3)Target &amp; Cal_Staff'!$A$4:$A$164,'3)Target &amp; Cal_Sect'!$C59)</f>
        <v>92900</v>
      </c>
      <c r="G59" s="127">
        <f>SUMIFS('3)Target &amp; Cal_Staff'!G$4:G$164,'3)Target &amp; Cal_Staff'!$B$4:$B$164,'3)Target &amp; Cal_Sect'!$B59,'3)Target &amp; Cal_Staff'!$A$4:$A$164,'3)Target &amp; Cal_Sect'!$C59)</f>
        <v>82500</v>
      </c>
      <c r="H59" s="127">
        <f>SUMIFS('3)Target &amp; Cal_Staff'!H$4:H$164,'3)Target &amp; Cal_Staff'!$B$4:$B$164,'3)Target &amp; Cal_Sect'!$B59,'3)Target &amp; Cal_Staff'!$A$4:$A$164,'3)Target &amp; Cal_Sect'!$C59)</f>
        <v>103600</v>
      </c>
      <c r="I59" s="127">
        <f>SUMIFS('3)Target &amp; Cal_Staff'!I$4:I$164,'3)Target &amp; Cal_Staff'!$B$4:$B$164,'3)Target &amp; Cal_Sect'!$B59,'3)Target &amp; Cal_Staff'!$A$4:$A$164,'3)Target &amp; Cal_Sect'!$C59)</f>
        <v>83100</v>
      </c>
      <c r="J59" s="127">
        <f>SUMIFS('3)Target &amp; Cal_Staff'!J$4:J$164,'3)Target &amp; Cal_Staff'!$B$4:$B$164,'3)Target &amp; Cal_Sect'!$B59,'3)Target &amp; Cal_Staff'!$A$4:$A$164,'3)Target &amp; Cal_Sect'!$C59)</f>
        <v>83200</v>
      </c>
      <c r="K59" s="127">
        <f>SUMIFS('3)Target &amp; Cal_Staff'!K$4:K$164,'3)Target &amp; Cal_Staff'!$B$4:$B$164,'3)Target &amp; Cal_Sect'!$B59,'3)Target &amp; Cal_Staff'!$A$4:$A$164,'3)Target &amp; Cal_Sect'!$C59)</f>
        <v>103800</v>
      </c>
      <c r="L59" s="127">
        <f>SUMIFS('3)Target &amp; Cal_Staff'!L$4:L$164,'3)Target &amp; Cal_Staff'!$B$4:$B$164,'3)Target &amp; Cal_Sect'!$B59,'3)Target &amp; Cal_Staff'!$A$4:$A$164,'3)Target &amp; Cal_Sect'!$C59)</f>
        <v>102800</v>
      </c>
      <c r="M59" s="127">
        <f>SUMIFS('3)Target &amp; Cal_Staff'!M$4:M$164,'3)Target &amp; Cal_Staff'!$B$4:$B$164,'3)Target &amp; Cal_Sect'!$B59,'3)Target &amp; Cal_Staff'!$A$4:$A$164,'3)Target &amp; Cal_Sect'!$C59)</f>
        <v>83700</v>
      </c>
      <c r="N59" s="127">
        <f>SUMIFS('3)Target &amp; Cal_Staff'!N$4:N$164,'3)Target &amp; Cal_Staff'!$B$4:$B$164,'3)Target &amp; Cal_Sect'!$B59,'3)Target &amp; Cal_Staff'!$A$4:$A$164,'3)Target &amp; Cal_Sect'!$C59)</f>
        <v>93200</v>
      </c>
      <c r="O59" s="127">
        <f>SUMIFS('3)Target &amp; Cal_Staff'!O$4:O$164,'3)Target &amp; Cal_Staff'!$B$4:$B$164,'3)Target &amp; Cal_Sect'!$B59,'3)Target &amp; Cal_Staff'!$A$4:$A$164,'3)Target &amp; Cal_Sect'!$C59)</f>
        <v>83200</v>
      </c>
      <c r="P59" s="127">
        <f>SUMIFS('3)Target &amp; Cal_Staff'!P$4:P$164,'3)Target &amp; Cal_Staff'!$B$4:$B$164,'3)Target &amp; Cal_Sect'!$B59,'3)Target &amp; Cal_Staff'!$A$4:$A$164,'3)Target &amp; Cal_Sect'!$C59)</f>
        <v>86383.199999999852</v>
      </c>
      <c r="Q59" s="127">
        <f>SUMIFS('3)Target &amp; Cal_Staff'!Q$4:Q$164,'3)Target &amp; Cal_Staff'!$B$4:$B$164,'3)Target &amp; Cal_Sect'!$B59,'3)Target &amp; Cal_Staff'!$A$4:$A$164,'3)Target &amp; Cal_Sect'!$C59)</f>
        <v>0</v>
      </c>
      <c r="R59" s="127">
        <f>SUMIFS('3)Target &amp; Cal_Staff'!R$4:R$164,'3)Target &amp; Cal_Staff'!$B$4:$B$164,'3)Target &amp; Cal_Sect'!$B59,'3)Target &amp; Cal_Staff'!$A$4:$A$164,'3)Target &amp; Cal_Sect'!$C59)</f>
        <v>0</v>
      </c>
      <c r="S59" s="127">
        <f>SUMIFS('3)Target &amp; Cal_Staff'!S$4:S$164,'3)Target &amp; Cal_Staff'!$B$4:$B$164,'3)Target &amp; Cal_Sect'!$B59,'3)Target &amp; Cal_Staff'!$A$4:$A$164,'3)Target &amp; Cal_Sect'!$C59)</f>
        <v>0</v>
      </c>
      <c r="T59" s="127">
        <f>SUMIFS('3)Target &amp; Cal_Staff'!T$4:T$164,'3)Target &amp; Cal_Staff'!$B$4:$B$164,'3)Target &amp; Cal_Sect'!$B59,'3)Target &amp; Cal_Staff'!$A$4:$A$164,'3)Target &amp; Cal_Sect'!$C59)</f>
        <v>0</v>
      </c>
      <c r="U59" s="127">
        <f>SUMIFS('3)Target &amp; Cal_Staff'!U$4:U$164,'3)Target &amp; Cal_Staff'!$B$4:$B$164,'3)Target &amp; Cal_Sect'!$B59,'3)Target &amp; Cal_Staff'!$A$4:$A$164,'3)Target &amp; Cal_Sect'!$C59)</f>
        <v>0</v>
      </c>
      <c r="V59" s="127">
        <f>SUMIFS('3)Target &amp; Cal_Staff'!V$4:V$164,'3)Target &amp; Cal_Staff'!$B$4:$B$164,'3)Target &amp; Cal_Sect'!$B59,'3)Target &amp; Cal_Staff'!$A$4:$A$164,'3)Target &amp; Cal_Sect'!$C59)</f>
        <v>0</v>
      </c>
      <c r="W59" s="127">
        <f>SUMIFS('3)Target &amp; Cal_Staff'!W$4:W$164,'3)Target &amp; Cal_Staff'!$B$4:$B$164,'3)Target &amp; Cal_Sect'!$B59,'3)Target &amp; Cal_Staff'!$A$4:$A$164,'3)Target &amp; Cal_Sect'!$C59)</f>
        <v>0</v>
      </c>
      <c r="X59" s="127">
        <f>SUMIFS('3)Target &amp; Cal_Staff'!X$4:X$164,'3)Target &amp; Cal_Staff'!$B$4:$B$164,'3)Target &amp; Cal_Sect'!$B59,'3)Target &amp; Cal_Staff'!$A$4:$A$164,'3)Target &amp; Cal_Sect'!$C59)</f>
        <v>0</v>
      </c>
      <c r="Y59" s="127">
        <f>SUMIFS('3)Target &amp; Cal_Staff'!Y$4:Y$164,'3)Target &amp; Cal_Staff'!$B$4:$B$164,'3)Target &amp; Cal_Sect'!$B59,'3)Target &amp; Cal_Staff'!$A$4:$A$164,'3)Target &amp; Cal_Sect'!$C59)</f>
        <v>0</v>
      </c>
      <c r="Z59" s="127">
        <f>SUMIFS('3)Target &amp; Cal_Staff'!Z$4:Z$164,'3)Target &amp; Cal_Staff'!$B$4:$B$164,'3)Target &amp; Cal_Sect'!$B59,'3)Target &amp; Cal_Staff'!$A$4:$A$164,'3)Target &amp; Cal_Sect'!$C59)</f>
        <v>0</v>
      </c>
      <c r="AA59" s="127">
        <f>SUMIFS('3)Target &amp; Cal_Staff'!AA$4:AA$164,'3)Target &amp; Cal_Staff'!$B$4:$B$164,'3)Target &amp; Cal_Sect'!$B59,'3)Target &amp; Cal_Staff'!$A$4:$A$164,'3)Target &amp; Cal_Sect'!$C59)</f>
        <v>0</v>
      </c>
      <c r="AB59" s="132">
        <f>IFERROR(IF(VLOOKUP($B59,Shortage!$A:$M,AB$2,FALSE)="Shortage",1,IFERROR(ROUND(P59/D59,4),0)),IFERROR(ROUND(P59/D59,4),0))</f>
        <v>1.0401</v>
      </c>
      <c r="AC59" s="132">
        <f>IFERROR(IF(VLOOKUP($B59,Shortage!$A:$M,AC$2,FALSE)="Shortage",1,IFERROR(ROUND(Q59/E59,4),0)),IFERROR(ROUND(Q59/E59,4),0))</f>
        <v>0</v>
      </c>
      <c r="AD59" s="132">
        <f>IFERROR(IF(VLOOKUP($B59,Shortage!$A:$M,AD$2,FALSE)="Shortage",1,IFERROR(ROUND(R59/F59,4),0)),IFERROR(ROUND(R59/F59,4),0))</f>
        <v>0</v>
      </c>
      <c r="AE59" s="132">
        <f>IFERROR(IF(VLOOKUP($B59,Shortage!$A:$M,AE$2,FALSE)="Shortage",1,IFERROR(ROUND(S59/G59,4),0)),IFERROR(ROUND(S59/G59,4),0))</f>
        <v>0</v>
      </c>
      <c r="AF59" s="132">
        <f>IFERROR(IF(VLOOKUP($B59,Shortage!$A:$M,AF$2,FALSE)="Shortage",1,IFERROR(ROUND(T59/H59,4),0)),IFERROR(ROUND(T59/H59,4),0))</f>
        <v>0</v>
      </c>
      <c r="AG59" s="132">
        <f>IFERROR(IF(VLOOKUP($B59,Shortage!$A:$M,AG$2,FALSE)="Shortage",1,IFERROR(ROUND(U59/I59,4),0)),IFERROR(ROUND(U59/I59,4),0))</f>
        <v>0</v>
      </c>
      <c r="AH59" s="132">
        <f>IFERROR(IF(VLOOKUP($B59,Shortage!$A:$M,AH$2,FALSE)="Shortage",1,IFERROR(ROUND(V59/J59,4),0)),IFERROR(ROUND(V59/J59,4),0))</f>
        <v>0</v>
      </c>
      <c r="AI59" s="132">
        <f>IFERROR(IF(VLOOKUP($B59,Shortage!$A:$M,AI$2,FALSE)="Shortage",1,IFERROR(ROUND(W59/K59,4),0)),IFERROR(ROUND(W59/K59,4),0))</f>
        <v>0</v>
      </c>
      <c r="AJ59" s="132">
        <f>IFERROR(IF(VLOOKUP($B59,Shortage!$A:$M,AJ$2,FALSE)="Shortage",1,IFERROR(ROUND(X59/L59,4),0)),IFERROR(ROUND(X59/L59,4),0))</f>
        <v>0</v>
      </c>
      <c r="AK59" s="132">
        <f>IFERROR(IF(VLOOKUP($B59,Shortage!$A:$M,AK$2,FALSE)="Shortage",1,IFERROR(ROUND(Y59/M59,4),0)),IFERROR(ROUND(Y59/M59,4),0))</f>
        <v>0</v>
      </c>
      <c r="AL59" s="132">
        <f>IFERROR(IF(VLOOKUP($B59,Shortage!$A:$M,AL$2,FALSE)="Shortage",1,IFERROR(ROUND(Z59/N59,4),0)),IFERROR(ROUND(Z59/N59,4),0))</f>
        <v>0</v>
      </c>
      <c r="AM59" s="132">
        <f>IFERROR(IF(VLOOKUP($B59,Shortage!$A:$M,AM$2,FALSE)="Shortage",1,IFERROR(ROUND(AA59/O59,4),0)),IFERROR(ROUND(AA59/O59,4),0))</f>
        <v>0</v>
      </c>
      <c r="AN59" s="315">
        <f>IFERROR(_xlfn.XLOOKUP(AB59,'2) หลักการคำนวน Table'!$C$3:$K$3,'2) หลักการคำนวน Table'!$C$3:$K$3,,1),INDEX('2) หลักการคำนวน Table'!$C$3:$K$3,1))</f>
        <v>1.06</v>
      </c>
      <c r="AO59" s="315">
        <f>IFERROR(
  _xlfn.XLOOKUP(AC59,'2) หลักการคำนวน Table'!$C$3:$K$3,'2) หลักการคำนวน Table'!$C$3:$K$3,,1),
  IF(AC59&lt;MIN('2) หลักการคำนวน Table'!$C$3:$K$3),
     MIN('2) หลักการคำนวน Table'!$C$3:$K$3),
     MAX('2) หลักการคำนวน Table'!$C$3:$K$3)
  )
)</f>
        <v>0.9</v>
      </c>
      <c r="AP59" s="315">
        <f>IFERROR(
  _xlfn.XLOOKUP(AD59,'2) หลักการคำนวน Table'!$C$3:$K$3,'2) หลักการคำนวน Table'!$C$3:$K$3,,1),
  IF(AD59&lt;MIN('2) หลักการคำนวน Table'!$C$3:$K$3),
     MIN('2) หลักการคำนวน Table'!$C$3:$K$3),
     MAX('2) หลักการคำนวน Table'!$C$3:$K$3)
  )
)</f>
        <v>0.9</v>
      </c>
      <c r="AQ59" s="315">
        <f>IFERROR(
  _xlfn.XLOOKUP(AE59,'2) หลักการคำนวน Table'!$C$3:$K$3,'2) หลักการคำนวน Table'!$C$3:$K$3,,1),
  IF(AE59&lt;MIN('2) หลักการคำนวน Table'!$C$3:$K$3),
     MIN('2) หลักการคำนวน Table'!$C$3:$K$3),
     MAX('2) หลักการคำนวน Table'!$C$3:$K$3)
  )
)</f>
        <v>0.9</v>
      </c>
      <c r="AR59" s="315">
        <f>IFERROR(
  _xlfn.XLOOKUP(AF59,'2) หลักการคำนวน Table'!$C$3:$K$3,'2) หลักการคำนวน Table'!$C$3:$K$3,,1),
  IF(AF59&lt;MIN('2) หลักการคำนวน Table'!$C$3:$K$3),
     MIN('2) หลักการคำนวน Table'!$C$3:$K$3),
     MAX('2) หลักการคำนวน Table'!$C$3:$K$3)
  )
)</f>
        <v>0.9</v>
      </c>
      <c r="AS59" s="315">
        <f>IFERROR(
  _xlfn.XLOOKUP(AG59,'2) หลักการคำนวน Table'!$C$3:$K$3,'2) หลักการคำนวน Table'!$C$3:$K$3,,1),
  IF(AG59&lt;MIN('2) หลักการคำนวน Table'!$C$3:$K$3),
     MIN('2) หลักการคำนวน Table'!$C$3:$K$3),
     MAX('2) หลักการคำนวน Table'!$C$3:$K$3)
  )
)</f>
        <v>0.9</v>
      </c>
      <c r="AT59" s="315">
        <f>IFERROR(
  _xlfn.XLOOKUP(AH59,'2) หลักการคำนวน Table'!$C$3:$K$3,'2) หลักการคำนวน Table'!$C$3:$K$3,,1),
  IF(AH59&lt;MIN('2) หลักการคำนวน Table'!$C$3:$K$3),
     MIN('2) หลักการคำนวน Table'!$C$3:$K$3),
     MAX('2) หลักการคำนวน Table'!$C$3:$K$3)
  )
)</f>
        <v>0.9</v>
      </c>
      <c r="AU59" s="315">
        <f>IFERROR(
  _xlfn.XLOOKUP(AI59,'2) หลักการคำนวน Table'!$C$3:$K$3,'2) หลักการคำนวน Table'!$C$3:$K$3,,1),
  IF(AI59&lt;MIN('2) หลักการคำนวน Table'!$C$3:$K$3),
     MIN('2) หลักการคำนวน Table'!$C$3:$K$3),
     MAX('2) หลักการคำนวน Table'!$C$3:$K$3)
  )
)</f>
        <v>0.9</v>
      </c>
      <c r="AV59" s="315">
        <f>IFERROR(
  _xlfn.XLOOKUP(AJ59,'2) หลักการคำนวน Table'!$C$3:$K$3,'2) หลักการคำนวน Table'!$C$3:$K$3,,1),
  IF(AJ59&lt;MIN('2) หลักการคำนวน Table'!$C$3:$K$3),
     MIN('2) หลักการคำนวน Table'!$C$3:$K$3),
     MAX('2) หลักการคำนวน Table'!$C$3:$K$3)
  )
)</f>
        <v>0.9</v>
      </c>
      <c r="AW59" s="315">
        <f>IFERROR(
  _xlfn.XLOOKUP(AK59,'2) หลักการคำนวน Table'!$C$3:$K$3,'2) หลักการคำนวน Table'!$C$3:$K$3,,1),
  IF(AK59&lt;MIN('2) หลักการคำนวน Table'!$C$3:$K$3),
     MIN('2) หลักการคำนวน Table'!$C$3:$K$3),
     MAX('2) หลักการคำนวน Table'!$C$3:$K$3)
  )
)</f>
        <v>0.9</v>
      </c>
      <c r="AX59" s="315">
        <f>IFERROR(
  _xlfn.XLOOKUP(AL59,'2) หลักการคำนวน Table'!$C$3:$K$3,'2) หลักการคำนวน Table'!$C$3:$K$3,,1),
  IF(AL59&lt;MIN('2) หลักการคำนวน Table'!$C$3:$K$3),
     MIN('2) หลักการคำนวน Table'!$C$3:$K$3),
     MAX('2) หลักการคำนวน Table'!$C$3:$K$3)
  )
)</f>
        <v>0.9</v>
      </c>
      <c r="AY59" s="315">
        <f>IFERROR(
  _xlfn.XLOOKUP(AM59,'2) หลักการคำนวน Table'!$C$3:$K$3,'2) หลักการคำนวน Table'!$C$3:$K$3,,1),
  IF(AM59&lt;MIN('2) หลักการคำนวน Table'!$C$3:$K$3),
     MIN('2) หลักการคำนวน Table'!$C$3:$K$3),
     MAX('2) หลักการคำนวน Table'!$C$3:$K$3)
  )
)</f>
        <v>0.9</v>
      </c>
      <c r="AZ59" s="135" t="e" cm="1">
        <f t="array" ref="AZ59">(_xlfn.XLOOKUP($C59,'2) หลักการคำนวน Table'!$A$4:$A$36,
_xlfn.XLOOKUP(AN59,'2)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</f>
        <v>#N/A</v>
      </c>
      <c r="BA59" s="135" t="e" cm="1">
        <f t="array" ref="BA59">(_xlfn.XLOOKUP($C59,'2) หลักการคำนวน Table'!$A$4:$A$36,
_xlfn.XLOOKUP(AO59,'2)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</f>
        <v>#N/A</v>
      </c>
      <c r="BB59" s="135" t="e" cm="1">
        <f t="array" ref="BB59">(_xlfn.XLOOKUP($C59,'2) หลักการคำนวน Table'!$A$4:$A$36,
_xlfn.XLOOKUP(AP59,'2)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</f>
        <v>#N/A</v>
      </c>
      <c r="BC59" s="135" t="e" cm="1">
        <f t="array" ref="BC59">(_xlfn.XLOOKUP($C59,'2) หลักการคำนวน Table'!$A$4:$A$36,
_xlfn.XLOOKUP(AQ59,'2)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</f>
        <v>#N/A</v>
      </c>
      <c r="BD59" s="135" t="e" cm="1">
        <f t="array" ref="BD59">(_xlfn.XLOOKUP($C59,'2) หลักการคำนวน Table'!$A$4:$A$36,
_xlfn.XLOOKUP(AR59,'2)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</f>
        <v>#N/A</v>
      </c>
      <c r="BE59" s="135" t="e" cm="1">
        <f t="array" ref="BE59">(_xlfn.XLOOKUP($C59,'2) หลักการคำนวน Table'!$A$4:$A$36,
_xlfn.XLOOKUP(AS59,'2)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</f>
        <v>#N/A</v>
      </c>
      <c r="BF59" s="135" t="e" cm="1">
        <f t="array" ref="BF59">(_xlfn.XLOOKUP($C59,'2) หลักการคำนวน Table'!$A$4:$A$36,
_xlfn.XLOOKUP(AT59,'2)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</f>
        <v>#N/A</v>
      </c>
      <c r="BG59" s="135" t="e" cm="1">
        <f t="array" ref="BG59">(_xlfn.XLOOKUP($C59,'2) หลักการคำนวน Table'!$A$4:$A$36,
_xlfn.XLOOKUP(AU59,'2)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</f>
        <v>#N/A</v>
      </c>
      <c r="BH59" s="135" t="e" cm="1">
        <f t="array" ref="BH59">ROUND((_xlfn.XLOOKUP($C59,'2) หลักการคำนวน Table'!$A$4:$A$36,
_xlfn.XLOOKUP(AV59,'2)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I59" s="135" t="e" cm="1">
        <f t="array" ref="BI59">ROUND((_xlfn.XLOOKUP($C59,'2) หลักการคำนวน Table'!$A$4:$A$36,
_xlfn.XLOOKUP(AW59,'2)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J59" s="135" t="e" cm="1">
        <f t="array" ref="BJ59">ROUND((_xlfn.XLOOKUP($C59,'2) หลักการคำนวน Table'!$A$4:$A$36,
_xlfn.XLOOKUP(AX59,'2)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K59" s="135" t="e" cm="1">
        <f t="array" ref="BK59">ROUND((_xlfn.XLOOKUP($C59,'2) หลักการคำนวน Table'!$A$4:$A$36,
_xlfn.XLOOKUP(AY59,'2) หลักการคำนวน Table'!$C$3:$K$3,'2) หลักการคำนวน Table'!$C$4:$K$36,,-1)))*(_xlfn.XLOOKUP($C59,'2) หลักการคำนวน Table'!$A$4:$A$36, _xlfn.XLOOKUP($B59,'2) หลักการคำนวน Table'!$L$3:$Z$3,'2) หลักการคำนวน Table'!$L$4:$Z$36))),0)</f>
        <v>#N/A</v>
      </c>
      <c r="BM59" s="126">
        <v>222235</v>
      </c>
      <c r="BN59" s="300">
        <v>341.05263157894734</v>
      </c>
    </row>
    <row r="60" spans="1:66" ht="13.2" customHeight="1" x14ac:dyDescent="0.25">
      <c r="A60" s="128">
        <f>VLOOKUP(C60,ASTBase!F:S,12,FALSE)</f>
        <v>222223</v>
      </c>
      <c r="B60" s="126" t="s">
        <v>412</v>
      </c>
      <c r="C60" s="128">
        <v>222235</v>
      </c>
      <c r="D60" s="127">
        <f>SUMIFS('3)Target &amp; Cal_Staff'!D$4:D$164,'3)Target &amp; Cal_Staff'!$B$4:$B$164,'3)Target &amp; Cal_Sect'!$B60,'3)Target &amp; Cal_Staff'!$A$4:$A$164,'3)Target &amp; Cal_Sect'!$C60)</f>
        <v>486800</v>
      </c>
      <c r="E60" s="127">
        <f>SUMIFS('3)Target &amp; Cal_Staff'!E$4:E$164,'3)Target &amp; Cal_Staff'!$B$4:$B$164,'3)Target &amp; Cal_Sect'!$B60,'3)Target &amp; Cal_Staff'!$A$4:$A$164,'3)Target &amp; Cal_Sect'!$C60)</f>
        <v>370000</v>
      </c>
      <c r="F60" s="127">
        <f>SUMIFS('3)Target &amp; Cal_Staff'!F$4:F$164,'3)Target &amp; Cal_Staff'!$B$4:$B$164,'3)Target &amp; Cal_Sect'!$B60,'3)Target &amp; Cal_Staff'!$A$4:$A$164,'3)Target &amp; Cal_Sect'!$C60)</f>
        <v>451800</v>
      </c>
      <c r="G60" s="127">
        <f>SUMIFS('3)Target &amp; Cal_Staff'!G$4:G$164,'3)Target &amp; Cal_Staff'!$B$4:$B$164,'3)Target &amp; Cal_Sect'!$B60,'3)Target &amp; Cal_Staff'!$A$4:$A$164,'3)Target &amp; Cal_Sect'!$C60)</f>
        <v>425000</v>
      </c>
      <c r="H60" s="127">
        <f>SUMIFS('3)Target &amp; Cal_Staff'!H$4:H$164,'3)Target &amp; Cal_Staff'!$B$4:$B$164,'3)Target &amp; Cal_Sect'!$B60,'3)Target &amp; Cal_Staff'!$A$4:$A$164,'3)Target &amp; Cal_Sect'!$C60)</f>
        <v>493100</v>
      </c>
      <c r="I60" s="127">
        <f>SUMIFS('3)Target &amp; Cal_Staff'!I$4:I$164,'3)Target &amp; Cal_Staff'!$B$4:$B$164,'3)Target &amp; Cal_Sect'!$B60,'3)Target &amp; Cal_Staff'!$A$4:$A$164,'3)Target &amp; Cal_Sect'!$C60)</f>
        <v>471500</v>
      </c>
      <c r="J60" s="127">
        <f>SUMIFS('3)Target &amp; Cal_Staff'!J$4:J$164,'3)Target &amp; Cal_Staff'!$B$4:$B$164,'3)Target &amp; Cal_Sect'!$B60,'3)Target &amp; Cal_Staff'!$A$4:$A$164,'3)Target &amp; Cal_Sect'!$C60)</f>
        <v>384000</v>
      </c>
      <c r="K60" s="127">
        <f>SUMIFS('3)Target &amp; Cal_Staff'!K$4:K$164,'3)Target &amp; Cal_Staff'!$B$4:$B$164,'3)Target &amp; Cal_Sect'!$B60,'3)Target &amp; Cal_Staff'!$A$4:$A$164,'3)Target &amp; Cal_Sect'!$C60)</f>
        <v>459000</v>
      </c>
      <c r="L60" s="127">
        <f>SUMIFS('3)Target &amp; Cal_Staff'!L$4:L$164,'3)Target &amp; Cal_Staff'!$B$4:$B$164,'3)Target &amp; Cal_Sect'!$B60,'3)Target &amp; Cal_Staff'!$A$4:$A$164,'3)Target &amp; Cal_Sect'!$C60)</f>
        <v>498400</v>
      </c>
      <c r="M60" s="127">
        <f>SUMIFS('3)Target &amp; Cal_Staff'!M$4:M$164,'3)Target &amp; Cal_Staff'!$B$4:$B$164,'3)Target &amp; Cal_Sect'!$B60,'3)Target &amp; Cal_Staff'!$A$4:$A$164,'3)Target &amp; Cal_Sect'!$C60)</f>
        <v>431800</v>
      </c>
      <c r="N60" s="127">
        <f>SUMIFS('3)Target &amp; Cal_Staff'!N$4:N$164,'3)Target &amp; Cal_Staff'!$B$4:$B$164,'3)Target &amp; Cal_Sect'!$B60,'3)Target &amp; Cal_Staff'!$A$4:$A$164,'3)Target &amp; Cal_Sect'!$C60)</f>
        <v>431800</v>
      </c>
      <c r="O60" s="127">
        <f>SUMIFS('3)Target &amp; Cal_Staff'!O$4:O$164,'3)Target &amp; Cal_Staff'!$B$4:$B$164,'3)Target &amp; Cal_Sect'!$B60,'3)Target &amp; Cal_Staff'!$A$4:$A$164,'3)Target &amp; Cal_Sect'!$C60)</f>
        <v>406800</v>
      </c>
      <c r="P60" s="127">
        <f>SUMIFS('3)Target &amp; Cal_Staff'!P$4:P$164,'3)Target &amp; Cal_Staff'!$B$4:$B$164,'3)Target &amp; Cal_Sect'!$B60,'3)Target &amp; Cal_Staff'!$A$4:$A$164,'3)Target &amp; Cal_Sect'!$C60)</f>
        <v>357715.99999472086</v>
      </c>
      <c r="Q60" s="127">
        <f>SUMIFS('3)Target &amp; Cal_Staff'!Q$4:Q$164,'3)Target &amp; Cal_Staff'!$B$4:$B$164,'3)Target &amp; Cal_Sect'!$B60,'3)Target &amp; Cal_Staff'!$A$4:$A$164,'3)Target &amp; Cal_Sect'!$C60)</f>
        <v>0</v>
      </c>
      <c r="R60" s="127">
        <f>SUMIFS('3)Target &amp; Cal_Staff'!R$4:R$164,'3)Target &amp; Cal_Staff'!$B$4:$B$164,'3)Target &amp; Cal_Sect'!$B60,'3)Target &amp; Cal_Staff'!$A$4:$A$164,'3)Target &amp; Cal_Sect'!$C60)</f>
        <v>0</v>
      </c>
      <c r="S60" s="127">
        <f>SUMIFS('3)Target &amp; Cal_Staff'!S$4:S$164,'3)Target &amp; Cal_Staff'!$B$4:$B$164,'3)Target &amp; Cal_Sect'!$B60,'3)Target &amp; Cal_Staff'!$A$4:$A$164,'3)Target &amp; Cal_Sect'!$C60)</f>
        <v>0</v>
      </c>
      <c r="T60" s="127">
        <f>SUMIFS('3)Target &amp; Cal_Staff'!T$4:T$164,'3)Target &amp; Cal_Staff'!$B$4:$B$164,'3)Target &amp; Cal_Sect'!$B60,'3)Target &amp; Cal_Staff'!$A$4:$A$164,'3)Target &amp; Cal_Sect'!$C60)</f>
        <v>0</v>
      </c>
      <c r="U60" s="127">
        <f>SUMIFS('3)Target &amp; Cal_Staff'!U$4:U$164,'3)Target &amp; Cal_Staff'!$B$4:$B$164,'3)Target &amp; Cal_Sect'!$B60,'3)Target &amp; Cal_Staff'!$A$4:$A$164,'3)Target &amp; Cal_Sect'!$C60)</f>
        <v>0</v>
      </c>
      <c r="V60" s="127">
        <f>SUMIFS('3)Target &amp; Cal_Staff'!V$4:V$164,'3)Target &amp; Cal_Staff'!$B$4:$B$164,'3)Target &amp; Cal_Sect'!$B60,'3)Target &amp; Cal_Staff'!$A$4:$A$164,'3)Target &amp; Cal_Sect'!$C60)</f>
        <v>0</v>
      </c>
      <c r="W60" s="127">
        <f>SUMIFS('3)Target &amp; Cal_Staff'!W$4:W$164,'3)Target &amp; Cal_Staff'!$B$4:$B$164,'3)Target &amp; Cal_Sect'!$B60,'3)Target &amp; Cal_Staff'!$A$4:$A$164,'3)Target &amp; Cal_Sect'!$C60)</f>
        <v>0</v>
      </c>
      <c r="X60" s="127">
        <f>SUMIFS('3)Target &amp; Cal_Staff'!X$4:X$164,'3)Target &amp; Cal_Staff'!$B$4:$B$164,'3)Target &amp; Cal_Sect'!$B60,'3)Target &amp; Cal_Staff'!$A$4:$A$164,'3)Target &amp; Cal_Sect'!$C60)</f>
        <v>0</v>
      </c>
      <c r="Y60" s="127">
        <f>SUMIFS('3)Target &amp; Cal_Staff'!Y$4:Y$164,'3)Target &amp; Cal_Staff'!$B$4:$B$164,'3)Target &amp; Cal_Sect'!$B60,'3)Target &amp; Cal_Staff'!$A$4:$A$164,'3)Target &amp; Cal_Sect'!$C60)</f>
        <v>0</v>
      </c>
      <c r="Z60" s="127">
        <f>SUMIFS('3)Target &amp; Cal_Staff'!Z$4:Z$164,'3)Target &amp; Cal_Staff'!$B$4:$B$164,'3)Target &amp; Cal_Sect'!$B60,'3)Target &amp; Cal_Staff'!$A$4:$A$164,'3)Target &amp; Cal_Sect'!$C60)</f>
        <v>0</v>
      </c>
      <c r="AA60" s="127">
        <f>SUMIFS('3)Target &amp; Cal_Staff'!AA$4:AA$164,'3)Target &amp; Cal_Staff'!$B$4:$B$164,'3)Target &amp; Cal_Sect'!$B60,'3)Target &amp; Cal_Staff'!$A$4:$A$164,'3)Target &amp; Cal_Sect'!$C60)</f>
        <v>0</v>
      </c>
      <c r="AB60" s="132">
        <f>IFERROR(IF(VLOOKUP($B60,Shortage!$A:$M,AB$2,FALSE)="Shortage",1,IFERROR(ROUND(P60/D60,4),0)),IFERROR(ROUND(P60/D60,4),0))</f>
        <v>1</v>
      </c>
      <c r="AC60" s="132">
        <f>IFERROR(IF(VLOOKUP($B60,Shortage!$A:$M,AC$2,FALSE)="Shortage",1,IFERROR(ROUND(Q60/E60,4),0)),IFERROR(ROUND(Q60/E60,4),0))</f>
        <v>0</v>
      </c>
      <c r="AD60" s="132">
        <f>IFERROR(IF(VLOOKUP($B60,Shortage!$A:$M,AD$2,FALSE)="Shortage",1,IFERROR(ROUND(R60/F60,4),0)),IFERROR(ROUND(R60/F60,4),0))</f>
        <v>0</v>
      </c>
      <c r="AE60" s="132">
        <f>IFERROR(IF(VLOOKUP($B60,Shortage!$A:$M,AE$2,FALSE)="Shortage",1,IFERROR(ROUND(S60/G60,4),0)),IFERROR(ROUND(S60/G60,4),0))</f>
        <v>0</v>
      </c>
      <c r="AF60" s="132">
        <f>IFERROR(IF(VLOOKUP($B60,Shortage!$A:$M,AF$2,FALSE)="Shortage",1,IFERROR(ROUND(T60/H60,4),0)),IFERROR(ROUND(T60/H60,4),0))</f>
        <v>0</v>
      </c>
      <c r="AG60" s="132">
        <f>IFERROR(IF(VLOOKUP($B60,Shortage!$A:$M,AG$2,FALSE)="Shortage",1,IFERROR(ROUND(U60/I60,4),0)),IFERROR(ROUND(U60/I60,4),0))</f>
        <v>0</v>
      </c>
      <c r="AH60" s="132">
        <f>IFERROR(IF(VLOOKUP($B60,Shortage!$A:$M,AH$2,FALSE)="Shortage",1,IFERROR(ROUND(V60/J60,4),0)),IFERROR(ROUND(V60/J60,4),0))</f>
        <v>0</v>
      </c>
      <c r="AI60" s="132">
        <f>IFERROR(IF(VLOOKUP($B60,Shortage!$A:$M,AI$2,FALSE)="Shortage",1,IFERROR(ROUND(W60/K60,4),0)),IFERROR(ROUND(W60/K60,4),0))</f>
        <v>0</v>
      </c>
      <c r="AJ60" s="132">
        <f>IFERROR(IF(VLOOKUP($B60,Shortage!$A:$M,AJ$2,FALSE)="Shortage",1,IFERROR(ROUND(X60/L60,4),0)),IFERROR(ROUND(X60/L60,4),0))</f>
        <v>0</v>
      </c>
      <c r="AK60" s="132">
        <f>IFERROR(IF(VLOOKUP($B60,Shortage!$A:$M,AK$2,FALSE)="Shortage",1,IFERROR(ROUND(Y60/M60,4),0)),IFERROR(ROUND(Y60/M60,4),0))</f>
        <v>0</v>
      </c>
      <c r="AL60" s="132">
        <f>IFERROR(IF(VLOOKUP($B60,Shortage!$A:$M,AL$2,FALSE)="Shortage",1,IFERROR(ROUND(Z60/N60,4),0)),IFERROR(ROUND(Z60/N60,4),0))</f>
        <v>0</v>
      </c>
      <c r="AM60" s="132">
        <f>IFERROR(IF(VLOOKUP($B60,Shortage!$A:$M,AM$2,FALSE)="Shortage",1,IFERROR(ROUND(AA60/O60,4),0)),IFERROR(ROUND(AA60/O60,4),0))</f>
        <v>0</v>
      </c>
      <c r="AN60" s="315">
        <f>IFERROR(_xlfn.XLOOKUP(AB60,'2) หลักการคำนวน Table'!$C$3:$K$3,'2) หลักการคำนวน Table'!$C$3:$K$3,,1),INDEX('2) หลักการคำนวน Table'!$C$3:$K$3,1))</f>
        <v>1</v>
      </c>
      <c r="AO60" s="315">
        <f>IFERROR(
  _xlfn.XLOOKUP(AC60,'2) หลักการคำนวน Table'!$C$3:$K$3,'2) หลักการคำนวน Table'!$C$3:$K$3,,1),
  IF(AC60&lt;MIN('2) หลักการคำนวน Table'!$C$3:$K$3),
     MIN('2) หลักการคำนวน Table'!$C$3:$K$3),
     MAX('2) หลักการคำนวน Table'!$C$3:$K$3)
  )
)</f>
        <v>0.9</v>
      </c>
      <c r="AP60" s="315">
        <f>IFERROR(
  _xlfn.XLOOKUP(AD60,'2) หลักการคำนวน Table'!$C$3:$K$3,'2) หลักการคำนวน Table'!$C$3:$K$3,,1),
  IF(AD60&lt;MIN('2) หลักการคำนวน Table'!$C$3:$K$3),
     MIN('2) หลักการคำนวน Table'!$C$3:$K$3),
     MAX('2) หลักการคำนวน Table'!$C$3:$K$3)
  )
)</f>
        <v>0.9</v>
      </c>
      <c r="AQ60" s="315">
        <f>IFERROR(
  _xlfn.XLOOKUP(AE60,'2) หลักการคำนวน Table'!$C$3:$K$3,'2) หลักการคำนวน Table'!$C$3:$K$3,,1),
  IF(AE60&lt;MIN('2) หลักการคำนวน Table'!$C$3:$K$3),
     MIN('2) หลักการคำนวน Table'!$C$3:$K$3),
     MAX('2) หลักการคำนวน Table'!$C$3:$K$3)
  )
)</f>
        <v>0.9</v>
      </c>
      <c r="AR60" s="315">
        <f>IFERROR(
  _xlfn.XLOOKUP(AF60,'2) หลักการคำนวน Table'!$C$3:$K$3,'2) หลักการคำนวน Table'!$C$3:$K$3,,1),
  IF(AF60&lt;MIN('2) หลักการคำนวน Table'!$C$3:$K$3),
     MIN('2) หลักการคำนวน Table'!$C$3:$K$3),
     MAX('2) หลักการคำนวน Table'!$C$3:$K$3)
  )
)</f>
        <v>0.9</v>
      </c>
      <c r="AS60" s="315">
        <f>IFERROR(
  _xlfn.XLOOKUP(AG60,'2) หลักการคำนวน Table'!$C$3:$K$3,'2) หลักการคำนวน Table'!$C$3:$K$3,,1),
  IF(AG60&lt;MIN('2) หลักการคำนวน Table'!$C$3:$K$3),
     MIN('2) หลักการคำนวน Table'!$C$3:$K$3),
     MAX('2) หลักการคำนวน Table'!$C$3:$K$3)
  )
)</f>
        <v>0.9</v>
      </c>
      <c r="AT60" s="315">
        <f>IFERROR(
  _xlfn.XLOOKUP(AH60,'2) หลักการคำนวน Table'!$C$3:$K$3,'2) หลักการคำนวน Table'!$C$3:$K$3,,1),
  IF(AH60&lt;MIN('2) หลักการคำนวน Table'!$C$3:$K$3),
     MIN('2) หลักการคำนวน Table'!$C$3:$K$3),
     MAX('2) หลักการคำนวน Table'!$C$3:$K$3)
  )
)</f>
        <v>0.9</v>
      </c>
      <c r="AU60" s="315">
        <f>IFERROR(
  _xlfn.XLOOKUP(AI60,'2) หลักการคำนวน Table'!$C$3:$K$3,'2) หลักการคำนวน Table'!$C$3:$K$3,,1),
  IF(AI60&lt;MIN('2) หลักการคำนวน Table'!$C$3:$K$3),
     MIN('2) หลักการคำนวน Table'!$C$3:$K$3),
     MAX('2) หลักการคำนวน Table'!$C$3:$K$3)
  )
)</f>
        <v>0.9</v>
      </c>
      <c r="AV60" s="315">
        <f>IFERROR(
  _xlfn.XLOOKUP(AJ60,'2) หลักการคำนวน Table'!$C$3:$K$3,'2) หลักการคำนวน Table'!$C$3:$K$3,,1),
  IF(AJ60&lt;MIN('2) หลักการคำนวน Table'!$C$3:$K$3),
     MIN('2) หลักการคำนวน Table'!$C$3:$K$3),
     MAX('2) หลักการคำนวน Table'!$C$3:$K$3)
  )
)</f>
        <v>0.9</v>
      </c>
      <c r="AW60" s="315">
        <f>IFERROR(
  _xlfn.XLOOKUP(AK60,'2) หลักการคำนวน Table'!$C$3:$K$3,'2) หลักการคำนวน Table'!$C$3:$K$3,,1),
  IF(AK60&lt;MIN('2) หลักการคำนวน Table'!$C$3:$K$3),
     MIN('2) หลักการคำนวน Table'!$C$3:$K$3),
     MAX('2) หลักการคำนวน Table'!$C$3:$K$3)
  )
)</f>
        <v>0.9</v>
      </c>
      <c r="AX60" s="315">
        <f>IFERROR(
  _xlfn.XLOOKUP(AL60,'2) หลักการคำนวน Table'!$C$3:$K$3,'2) หลักการคำนวน Table'!$C$3:$K$3,,1),
  IF(AL60&lt;MIN('2) หลักการคำนวน Table'!$C$3:$K$3),
     MIN('2) หลักการคำนวน Table'!$C$3:$K$3),
     MAX('2) หลักการคำนวน Table'!$C$3:$K$3)
  )
)</f>
        <v>0.9</v>
      </c>
      <c r="AY60" s="315">
        <f>IFERROR(
  _xlfn.XLOOKUP(AM60,'2) หลักการคำนวน Table'!$C$3:$K$3,'2) หลักการคำนวน Table'!$C$3:$K$3,,1),
  IF(AM60&lt;MIN('2) หลักการคำนวน Table'!$C$3:$K$3),
     MIN('2) หลักการคำนวน Table'!$C$3:$K$3),
     MAX('2) หลักการคำนวน Table'!$C$3:$K$3)
  )
)</f>
        <v>0.9</v>
      </c>
      <c r="AZ60" s="135" t="e" cm="1">
        <f t="array" ref="AZ60">(_xlfn.XLOOKUP($C60,'2) หลักการคำนวน Table'!$A$4:$A$36,
_xlfn.XLOOKUP(AN60,'2)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</f>
        <v>#N/A</v>
      </c>
      <c r="BA60" s="135" t="e" cm="1">
        <f t="array" ref="BA60">(_xlfn.XLOOKUP($C60,'2) หลักการคำนวน Table'!$A$4:$A$36,
_xlfn.XLOOKUP(AO60,'2)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</f>
        <v>#N/A</v>
      </c>
      <c r="BB60" s="135" t="e" cm="1">
        <f t="array" ref="BB60">(_xlfn.XLOOKUP($C60,'2) หลักการคำนวน Table'!$A$4:$A$36,
_xlfn.XLOOKUP(AP60,'2)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</f>
        <v>#N/A</v>
      </c>
      <c r="BC60" s="135" t="e" cm="1">
        <f t="array" ref="BC60">(_xlfn.XLOOKUP($C60,'2) หลักการคำนวน Table'!$A$4:$A$36,
_xlfn.XLOOKUP(AQ60,'2)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</f>
        <v>#N/A</v>
      </c>
      <c r="BD60" s="135" t="e" cm="1">
        <f t="array" ref="BD60">(_xlfn.XLOOKUP($C60,'2) หลักการคำนวน Table'!$A$4:$A$36,
_xlfn.XLOOKUP(AR60,'2)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</f>
        <v>#N/A</v>
      </c>
      <c r="BE60" s="135" t="e" cm="1">
        <f t="array" ref="BE60">(_xlfn.XLOOKUP($C60,'2) หลักการคำนวน Table'!$A$4:$A$36,
_xlfn.XLOOKUP(AS60,'2)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</f>
        <v>#N/A</v>
      </c>
      <c r="BF60" s="135" t="e" cm="1">
        <f t="array" ref="BF60">(_xlfn.XLOOKUP($C60,'2) หลักการคำนวน Table'!$A$4:$A$36,
_xlfn.XLOOKUP(AT60,'2)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</f>
        <v>#N/A</v>
      </c>
      <c r="BG60" s="135" t="e" cm="1">
        <f t="array" ref="BG60">(_xlfn.XLOOKUP($C60,'2) หลักการคำนวน Table'!$A$4:$A$36,
_xlfn.XLOOKUP(AU60,'2)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</f>
        <v>#N/A</v>
      </c>
      <c r="BH60" s="135" t="e" cm="1">
        <f t="array" ref="BH60">ROUND((_xlfn.XLOOKUP($C60,'2) หลักการคำนวน Table'!$A$4:$A$36,
_xlfn.XLOOKUP(AV60,'2)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I60" s="135" t="e" cm="1">
        <f t="array" ref="BI60">ROUND((_xlfn.XLOOKUP($C60,'2) หลักการคำนวน Table'!$A$4:$A$36,
_xlfn.XLOOKUP(AW60,'2)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J60" s="135" t="e" cm="1">
        <f t="array" ref="BJ60">ROUND((_xlfn.XLOOKUP($C60,'2) หลักการคำนวน Table'!$A$4:$A$36,
_xlfn.XLOOKUP(AX60,'2)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K60" s="135" t="e" cm="1">
        <f t="array" ref="BK60">ROUND((_xlfn.XLOOKUP($C60,'2) หลักการคำนวน Table'!$A$4:$A$36,
_xlfn.XLOOKUP(AY60,'2) หลักการคำนวน Table'!$C$3:$K$3,'2) หลักการคำนวน Table'!$C$4:$K$36,,-1)))*(_xlfn.XLOOKUP($C60,'2) หลักการคำนวน Table'!$A$4:$A$36, _xlfn.XLOOKUP($B60,'2) หลักการคำนวน Table'!$L$3:$Z$3,'2) หลักการคำนวน Table'!$L$4:$Z$36))),0)</f>
        <v>#N/A</v>
      </c>
      <c r="BM60" s="126">
        <v>222235</v>
      </c>
      <c r="BN60" s="316">
        <v>757.89473684210509</v>
      </c>
    </row>
    <row r="61" spans="1:66" ht="13.2" customHeight="1" x14ac:dyDescent="0.25">
      <c r="A61" s="128">
        <f>VLOOKUP(C61,ASTBase!F:S,12,FALSE)</f>
        <v>222223</v>
      </c>
      <c r="B61" s="126" t="s">
        <v>411</v>
      </c>
      <c r="C61" s="128">
        <v>222235</v>
      </c>
      <c r="D61" s="127">
        <f>SUMIFS('3)Target &amp; Cal_Staff'!D$4:D$164,'3)Target &amp; Cal_Staff'!$B$4:$B$164,'3)Target &amp; Cal_Sect'!$B61,'3)Target &amp; Cal_Staff'!$A$4:$A$164,'3)Target &amp; Cal_Sect'!$C61)</f>
        <v>42700</v>
      </c>
      <c r="E61" s="127">
        <f>SUMIFS('3)Target &amp; Cal_Staff'!E$4:E$164,'3)Target &amp; Cal_Staff'!$B$4:$B$164,'3)Target &amp; Cal_Sect'!$B61,'3)Target &amp; Cal_Staff'!$A$4:$A$164,'3)Target &amp; Cal_Sect'!$C61)</f>
        <v>42900</v>
      </c>
      <c r="F61" s="127">
        <f>SUMIFS('3)Target &amp; Cal_Staff'!F$4:F$164,'3)Target &amp; Cal_Staff'!$B$4:$B$164,'3)Target &amp; Cal_Sect'!$B61,'3)Target &amp; Cal_Staff'!$A$4:$A$164,'3)Target &amp; Cal_Sect'!$C61)</f>
        <v>44600</v>
      </c>
      <c r="G61" s="127">
        <f>SUMIFS('3)Target &amp; Cal_Staff'!G$4:G$164,'3)Target &amp; Cal_Staff'!$B$4:$B$164,'3)Target &amp; Cal_Sect'!$B61,'3)Target &amp; Cal_Staff'!$A$4:$A$164,'3)Target &amp; Cal_Sect'!$C61)</f>
        <v>45000</v>
      </c>
      <c r="H61" s="127">
        <f>SUMIFS('3)Target &amp; Cal_Staff'!H$4:H$164,'3)Target &amp; Cal_Staff'!$B$4:$B$164,'3)Target &amp; Cal_Sect'!$B61,'3)Target &amp; Cal_Staff'!$A$4:$A$164,'3)Target &amp; Cal_Sect'!$C61)</f>
        <v>42900</v>
      </c>
      <c r="I61" s="127">
        <f>SUMIFS('3)Target &amp; Cal_Staff'!I$4:I$164,'3)Target &amp; Cal_Staff'!$B$4:$B$164,'3)Target &amp; Cal_Sect'!$B61,'3)Target &amp; Cal_Staff'!$A$4:$A$164,'3)Target &amp; Cal_Sect'!$C61)</f>
        <v>45000</v>
      </c>
      <c r="J61" s="127">
        <f>SUMIFS('3)Target &amp; Cal_Staff'!J$4:J$164,'3)Target &amp; Cal_Staff'!$B$4:$B$164,'3)Target &amp; Cal_Sect'!$B61,'3)Target &amp; Cal_Staff'!$A$4:$A$164,'3)Target &amp; Cal_Sect'!$C61)</f>
        <v>42500</v>
      </c>
      <c r="K61" s="127">
        <f>SUMIFS('3)Target &amp; Cal_Staff'!K$4:K$164,'3)Target &amp; Cal_Staff'!$B$4:$B$164,'3)Target &amp; Cal_Sect'!$B61,'3)Target &amp; Cal_Staff'!$A$4:$A$164,'3)Target &amp; Cal_Sect'!$C61)</f>
        <v>79400</v>
      </c>
      <c r="L61" s="127">
        <f>SUMIFS('3)Target &amp; Cal_Staff'!L$4:L$164,'3)Target &amp; Cal_Staff'!$B$4:$B$164,'3)Target &amp; Cal_Sect'!$B61,'3)Target &amp; Cal_Staff'!$A$4:$A$164,'3)Target &amp; Cal_Sect'!$C61)</f>
        <v>59300</v>
      </c>
      <c r="M61" s="127">
        <f>SUMIFS('3)Target &amp; Cal_Staff'!M$4:M$164,'3)Target &amp; Cal_Staff'!$B$4:$B$164,'3)Target &amp; Cal_Sect'!$B61,'3)Target &amp; Cal_Staff'!$A$4:$A$164,'3)Target &amp; Cal_Sect'!$C61)</f>
        <v>67700</v>
      </c>
      <c r="N61" s="127">
        <f>SUMIFS('3)Target &amp; Cal_Staff'!N$4:N$164,'3)Target &amp; Cal_Staff'!$B$4:$B$164,'3)Target &amp; Cal_Sect'!$B61,'3)Target &amp; Cal_Staff'!$A$4:$A$164,'3)Target &amp; Cal_Sect'!$C61)</f>
        <v>62500</v>
      </c>
      <c r="O61" s="127">
        <f>SUMIFS('3)Target &amp; Cal_Staff'!O$4:O$164,'3)Target &amp; Cal_Staff'!$B$4:$B$164,'3)Target &amp; Cal_Sect'!$B61,'3)Target &amp; Cal_Staff'!$A$4:$A$164,'3)Target &amp; Cal_Sect'!$C61)</f>
        <v>87500</v>
      </c>
      <c r="P61" s="127">
        <f>SUMIFS('3)Target &amp; Cal_Staff'!P$4:P$164,'3)Target &amp; Cal_Staff'!$B$4:$B$164,'3)Target &amp; Cal_Sect'!$B61,'3)Target &amp; Cal_Staff'!$A$4:$A$164,'3)Target &amp; Cal_Sect'!$C61)</f>
        <v>58725.819999999818</v>
      </c>
      <c r="Q61" s="127">
        <f>SUMIFS('3)Target &amp; Cal_Staff'!Q$4:Q$164,'3)Target &amp; Cal_Staff'!$B$4:$B$164,'3)Target &amp; Cal_Sect'!$B61,'3)Target &amp; Cal_Staff'!$A$4:$A$164,'3)Target &amp; Cal_Sect'!$C61)</f>
        <v>0</v>
      </c>
      <c r="R61" s="127">
        <f>SUMIFS('3)Target &amp; Cal_Staff'!R$4:R$164,'3)Target &amp; Cal_Staff'!$B$4:$B$164,'3)Target &amp; Cal_Sect'!$B61,'3)Target &amp; Cal_Staff'!$A$4:$A$164,'3)Target &amp; Cal_Sect'!$C61)</f>
        <v>0</v>
      </c>
      <c r="S61" s="127">
        <f>SUMIFS('3)Target &amp; Cal_Staff'!S$4:S$164,'3)Target &amp; Cal_Staff'!$B$4:$B$164,'3)Target &amp; Cal_Sect'!$B61,'3)Target &amp; Cal_Staff'!$A$4:$A$164,'3)Target &amp; Cal_Sect'!$C61)</f>
        <v>0</v>
      </c>
      <c r="T61" s="127">
        <f>SUMIFS('3)Target &amp; Cal_Staff'!T$4:T$164,'3)Target &amp; Cal_Staff'!$B$4:$B$164,'3)Target &amp; Cal_Sect'!$B61,'3)Target &amp; Cal_Staff'!$A$4:$A$164,'3)Target &amp; Cal_Sect'!$C61)</f>
        <v>0</v>
      </c>
      <c r="U61" s="127">
        <f>SUMIFS('3)Target &amp; Cal_Staff'!U$4:U$164,'3)Target &amp; Cal_Staff'!$B$4:$B$164,'3)Target &amp; Cal_Sect'!$B61,'3)Target &amp; Cal_Staff'!$A$4:$A$164,'3)Target &amp; Cal_Sect'!$C61)</f>
        <v>0</v>
      </c>
      <c r="V61" s="127">
        <f>SUMIFS('3)Target &amp; Cal_Staff'!V$4:V$164,'3)Target &amp; Cal_Staff'!$B$4:$B$164,'3)Target &amp; Cal_Sect'!$B61,'3)Target &amp; Cal_Staff'!$A$4:$A$164,'3)Target &amp; Cal_Sect'!$C61)</f>
        <v>0</v>
      </c>
      <c r="W61" s="127">
        <f>SUMIFS('3)Target &amp; Cal_Staff'!W$4:W$164,'3)Target &amp; Cal_Staff'!$B$4:$B$164,'3)Target &amp; Cal_Sect'!$B61,'3)Target &amp; Cal_Staff'!$A$4:$A$164,'3)Target &amp; Cal_Sect'!$C61)</f>
        <v>0</v>
      </c>
      <c r="X61" s="127">
        <f>SUMIFS('3)Target &amp; Cal_Staff'!X$4:X$164,'3)Target &amp; Cal_Staff'!$B$4:$B$164,'3)Target &amp; Cal_Sect'!$B61,'3)Target &amp; Cal_Staff'!$A$4:$A$164,'3)Target &amp; Cal_Sect'!$C61)</f>
        <v>0</v>
      </c>
      <c r="Y61" s="127">
        <f>SUMIFS('3)Target &amp; Cal_Staff'!Y$4:Y$164,'3)Target &amp; Cal_Staff'!$B$4:$B$164,'3)Target &amp; Cal_Sect'!$B61,'3)Target &amp; Cal_Staff'!$A$4:$A$164,'3)Target &amp; Cal_Sect'!$C61)</f>
        <v>0</v>
      </c>
      <c r="Z61" s="127">
        <f>SUMIFS('3)Target &amp; Cal_Staff'!Z$4:Z$164,'3)Target &amp; Cal_Staff'!$B$4:$B$164,'3)Target &amp; Cal_Sect'!$B61,'3)Target &amp; Cal_Staff'!$A$4:$A$164,'3)Target &amp; Cal_Sect'!$C61)</f>
        <v>0</v>
      </c>
      <c r="AA61" s="127">
        <f>SUMIFS('3)Target &amp; Cal_Staff'!AA$4:AA$164,'3)Target &amp; Cal_Staff'!$B$4:$B$164,'3)Target &amp; Cal_Sect'!$B61,'3)Target &amp; Cal_Staff'!$A$4:$A$164,'3)Target &amp; Cal_Sect'!$C61)</f>
        <v>0</v>
      </c>
      <c r="AB61" s="132">
        <f>IFERROR(IF(VLOOKUP($B61,Shortage!$A:$M,AB$2,FALSE)="Shortage",1,IFERROR(ROUND(P61/D61,4),0)),IFERROR(ROUND(P61/D61,4),0))</f>
        <v>1.3753</v>
      </c>
      <c r="AC61" s="132">
        <f>IFERROR(IF(VLOOKUP($B61,Shortage!$A:$M,AC$2,FALSE)="Shortage",1,IFERROR(ROUND(Q61/E61,4),0)),IFERROR(ROUND(Q61/E61,4),0))</f>
        <v>0</v>
      </c>
      <c r="AD61" s="132">
        <f>IFERROR(IF(VLOOKUP($B61,Shortage!$A:$M,AD$2,FALSE)="Shortage",1,IFERROR(ROUND(R61/F61,4),0)),IFERROR(ROUND(R61/F61,4),0))</f>
        <v>0</v>
      </c>
      <c r="AE61" s="132">
        <f>IFERROR(IF(VLOOKUP($B61,Shortage!$A:$M,AE$2,FALSE)="Shortage",1,IFERROR(ROUND(S61/G61,4),0)),IFERROR(ROUND(S61/G61,4),0))</f>
        <v>0</v>
      </c>
      <c r="AF61" s="132">
        <f>IFERROR(IF(VLOOKUP($B61,Shortage!$A:$M,AF$2,FALSE)="Shortage",1,IFERROR(ROUND(T61/H61,4),0)),IFERROR(ROUND(T61/H61,4),0))</f>
        <v>0</v>
      </c>
      <c r="AG61" s="132">
        <f>IFERROR(IF(VLOOKUP($B61,Shortage!$A:$M,AG$2,FALSE)="Shortage",1,IFERROR(ROUND(U61/I61,4),0)),IFERROR(ROUND(U61/I61,4),0))</f>
        <v>0</v>
      </c>
      <c r="AH61" s="132">
        <f>IFERROR(IF(VLOOKUP($B61,Shortage!$A:$M,AH$2,FALSE)="Shortage",1,IFERROR(ROUND(V61/J61,4),0)),IFERROR(ROUND(V61/J61,4),0))</f>
        <v>0</v>
      </c>
      <c r="AI61" s="132">
        <f>IFERROR(IF(VLOOKUP($B61,Shortage!$A:$M,AI$2,FALSE)="Shortage",1,IFERROR(ROUND(W61/K61,4),0)),IFERROR(ROUND(W61/K61,4),0))</f>
        <v>0</v>
      </c>
      <c r="AJ61" s="132">
        <f>IFERROR(IF(VLOOKUP($B61,Shortage!$A:$M,AJ$2,FALSE)="Shortage",1,IFERROR(ROUND(X61/L61,4),0)),IFERROR(ROUND(X61/L61,4),0))</f>
        <v>0</v>
      </c>
      <c r="AK61" s="132">
        <f>IFERROR(IF(VLOOKUP($B61,Shortage!$A:$M,AK$2,FALSE)="Shortage",1,IFERROR(ROUND(Y61/M61,4),0)),IFERROR(ROUND(Y61/M61,4),0))</f>
        <v>0</v>
      </c>
      <c r="AL61" s="132">
        <f>IFERROR(IF(VLOOKUP($B61,Shortage!$A:$M,AL$2,FALSE)="Shortage",1,IFERROR(ROUND(Z61/N61,4),0)),IFERROR(ROUND(Z61/N61,4),0))</f>
        <v>0</v>
      </c>
      <c r="AM61" s="132">
        <f>IFERROR(IF(VLOOKUP($B61,Shortage!$A:$M,AM$2,FALSE)="Shortage",1,IFERROR(ROUND(AA61/O61,4),0)),IFERROR(ROUND(AA61/O61,4),0))</f>
        <v>0</v>
      </c>
      <c r="AN61" s="315">
        <f>IFERROR(_xlfn.XLOOKUP(AB61,'2) หลักการคำนวน Table'!$C$3:$K$3,'2) หลักการคำนวน Table'!$C$3:$K$3,,1),INDEX('2) หลักการคำนวน Table'!$C$3:$K$3,1))</f>
        <v>20</v>
      </c>
      <c r="AO61" s="315">
        <f>IFERROR(
  _xlfn.XLOOKUP(AC61,'2) หลักการคำนวน Table'!$C$3:$K$3,'2) หลักการคำนวน Table'!$C$3:$K$3,,1),
  IF(AC61&lt;MIN('2) หลักการคำนวน Table'!$C$3:$K$3),
     MIN('2) หลักการคำนวน Table'!$C$3:$K$3),
     MAX('2) หลักการคำนวน Table'!$C$3:$K$3)
  )
)</f>
        <v>0.9</v>
      </c>
      <c r="AP61" s="315">
        <f>IFERROR(
  _xlfn.XLOOKUP(AD61,'2) หลักการคำนวน Table'!$C$3:$K$3,'2) หลักการคำนวน Table'!$C$3:$K$3,,1),
  IF(AD61&lt;MIN('2) หลักการคำนวน Table'!$C$3:$K$3),
     MIN('2) หลักการคำนวน Table'!$C$3:$K$3),
     MAX('2) หลักการคำนวน Table'!$C$3:$K$3)
  )
)</f>
        <v>0.9</v>
      </c>
      <c r="AQ61" s="315">
        <f>IFERROR(
  _xlfn.XLOOKUP(AE61,'2) หลักการคำนวน Table'!$C$3:$K$3,'2) หลักการคำนวน Table'!$C$3:$K$3,,1),
  IF(AE61&lt;MIN('2) หลักการคำนวน Table'!$C$3:$K$3),
     MIN('2) หลักการคำนวน Table'!$C$3:$K$3),
     MAX('2) หลักการคำนวน Table'!$C$3:$K$3)
  )
)</f>
        <v>0.9</v>
      </c>
      <c r="AR61" s="315">
        <f>IFERROR(
  _xlfn.XLOOKUP(AF61,'2) หลักการคำนวน Table'!$C$3:$K$3,'2) หลักการคำนวน Table'!$C$3:$K$3,,1),
  IF(AF61&lt;MIN('2) หลักการคำนวน Table'!$C$3:$K$3),
     MIN('2) หลักการคำนวน Table'!$C$3:$K$3),
     MAX('2) หลักการคำนวน Table'!$C$3:$K$3)
  )
)</f>
        <v>0.9</v>
      </c>
      <c r="AS61" s="315">
        <f>IFERROR(
  _xlfn.XLOOKUP(AG61,'2) หลักการคำนวน Table'!$C$3:$K$3,'2) หลักการคำนวน Table'!$C$3:$K$3,,1),
  IF(AG61&lt;MIN('2) หลักการคำนวน Table'!$C$3:$K$3),
     MIN('2) หลักการคำนวน Table'!$C$3:$K$3),
     MAX('2) หลักการคำนวน Table'!$C$3:$K$3)
  )
)</f>
        <v>0.9</v>
      </c>
      <c r="AT61" s="315">
        <f>IFERROR(
  _xlfn.XLOOKUP(AH61,'2) หลักการคำนวน Table'!$C$3:$K$3,'2) หลักการคำนวน Table'!$C$3:$K$3,,1),
  IF(AH61&lt;MIN('2) หลักการคำนวน Table'!$C$3:$K$3),
     MIN('2) หลักการคำนวน Table'!$C$3:$K$3),
     MAX('2) หลักการคำนวน Table'!$C$3:$K$3)
  )
)</f>
        <v>0.9</v>
      </c>
      <c r="AU61" s="315">
        <f>IFERROR(
  _xlfn.XLOOKUP(AI61,'2) หลักการคำนวน Table'!$C$3:$K$3,'2) หลักการคำนวน Table'!$C$3:$K$3,,1),
  IF(AI61&lt;MIN('2) หลักการคำนวน Table'!$C$3:$K$3),
     MIN('2) หลักการคำนวน Table'!$C$3:$K$3),
     MAX('2) หลักการคำนวน Table'!$C$3:$K$3)
  )
)</f>
        <v>0.9</v>
      </c>
      <c r="AV61" s="315">
        <f>IFERROR(
  _xlfn.XLOOKUP(AJ61,'2) หลักการคำนวน Table'!$C$3:$K$3,'2) หลักการคำนวน Table'!$C$3:$K$3,,1),
  IF(AJ61&lt;MIN('2) หลักการคำนวน Table'!$C$3:$K$3),
     MIN('2) หลักการคำนวน Table'!$C$3:$K$3),
     MAX('2) หลักการคำนวน Table'!$C$3:$K$3)
  )
)</f>
        <v>0.9</v>
      </c>
      <c r="AW61" s="315">
        <f>IFERROR(
  _xlfn.XLOOKUP(AK61,'2) หลักการคำนวน Table'!$C$3:$K$3,'2) หลักการคำนวน Table'!$C$3:$K$3,,1),
  IF(AK61&lt;MIN('2) หลักการคำนวน Table'!$C$3:$K$3),
     MIN('2) หลักการคำนวน Table'!$C$3:$K$3),
     MAX('2) หลักการคำนวน Table'!$C$3:$K$3)
  )
)</f>
        <v>0.9</v>
      </c>
      <c r="AX61" s="315">
        <f>IFERROR(
  _xlfn.XLOOKUP(AL61,'2) หลักการคำนวน Table'!$C$3:$K$3,'2) หลักการคำนวน Table'!$C$3:$K$3,,1),
  IF(AL61&lt;MIN('2) หลักการคำนวน Table'!$C$3:$K$3),
     MIN('2) หลักการคำนวน Table'!$C$3:$K$3),
     MAX('2) หลักการคำนวน Table'!$C$3:$K$3)
  )
)</f>
        <v>0.9</v>
      </c>
      <c r="AY61" s="315">
        <f>IFERROR(
  _xlfn.XLOOKUP(AM61,'2) หลักการคำนวน Table'!$C$3:$K$3,'2) หลักการคำนวน Table'!$C$3:$K$3,,1),
  IF(AM61&lt;MIN('2) หลักการคำนวน Table'!$C$3:$K$3),
     MIN('2) หลักการคำนวน Table'!$C$3:$K$3),
     MAX('2) หลักการคำนวน Table'!$C$3:$K$3)
  )
)</f>
        <v>0.9</v>
      </c>
      <c r="AZ61" s="135" t="e" cm="1">
        <f t="array" ref="AZ61">(_xlfn.XLOOKUP($C61,'2) หลักการคำนวน Table'!$A$4:$A$36,
_xlfn.XLOOKUP(AN61,'2)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</f>
        <v>#N/A</v>
      </c>
      <c r="BA61" s="135" t="e" cm="1">
        <f t="array" ref="BA61">(_xlfn.XLOOKUP($C61,'2) หลักการคำนวน Table'!$A$4:$A$36,
_xlfn.XLOOKUP(AO61,'2)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</f>
        <v>#N/A</v>
      </c>
      <c r="BB61" s="135" t="e" cm="1">
        <f t="array" ref="BB61">(_xlfn.XLOOKUP($C61,'2) หลักการคำนวน Table'!$A$4:$A$36,
_xlfn.XLOOKUP(AP61,'2)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</f>
        <v>#N/A</v>
      </c>
      <c r="BC61" s="135" t="e" cm="1">
        <f t="array" ref="BC61">(_xlfn.XLOOKUP($C61,'2) หลักการคำนวน Table'!$A$4:$A$36,
_xlfn.XLOOKUP(AQ61,'2)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</f>
        <v>#N/A</v>
      </c>
      <c r="BD61" s="135" t="e" cm="1">
        <f t="array" ref="BD61">(_xlfn.XLOOKUP($C61,'2) หลักการคำนวน Table'!$A$4:$A$36,
_xlfn.XLOOKUP(AR61,'2)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</f>
        <v>#N/A</v>
      </c>
      <c r="BE61" s="135" t="e" cm="1">
        <f t="array" ref="BE61">(_xlfn.XLOOKUP($C61,'2) หลักการคำนวน Table'!$A$4:$A$36,
_xlfn.XLOOKUP(AS61,'2)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</f>
        <v>#N/A</v>
      </c>
      <c r="BF61" s="135" t="e" cm="1">
        <f t="array" ref="BF61">(_xlfn.XLOOKUP($C61,'2) หลักการคำนวน Table'!$A$4:$A$36,
_xlfn.XLOOKUP(AT61,'2)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</f>
        <v>#N/A</v>
      </c>
      <c r="BG61" s="135" t="e" cm="1">
        <f t="array" ref="BG61">(_xlfn.XLOOKUP($C61,'2) หลักการคำนวน Table'!$A$4:$A$36,
_xlfn.XLOOKUP(AU61,'2)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</f>
        <v>#N/A</v>
      </c>
      <c r="BH61" s="135" t="e" cm="1">
        <f t="array" ref="BH61">ROUND((_xlfn.XLOOKUP($C61,'2) หลักการคำนวน Table'!$A$4:$A$36,
_xlfn.XLOOKUP(AV61,'2)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I61" s="135" t="e" cm="1">
        <f t="array" ref="BI61">ROUND((_xlfn.XLOOKUP($C61,'2) หลักการคำนวน Table'!$A$4:$A$36,
_xlfn.XLOOKUP(AW61,'2)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J61" s="135" t="e" cm="1">
        <f t="array" ref="BJ61">ROUND((_xlfn.XLOOKUP($C61,'2) หลักการคำนวน Table'!$A$4:$A$36,
_xlfn.XLOOKUP(AX61,'2)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K61" s="135" t="e" cm="1">
        <f t="array" ref="BK61">ROUND((_xlfn.XLOOKUP($C61,'2) หลักการคำนวน Table'!$A$4:$A$36,
_xlfn.XLOOKUP(AY61,'2) หลักการคำนวน Table'!$C$3:$K$3,'2) หลักการคำนวน Table'!$C$4:$K$36,,-1)))*(_xlfn.XLOOKUP($C61,'2) หลักการคำนวน Table'!$A$4:$A$36, _xlfn.XLOOKUP($B61,'2) หลักการคำนวน Table'!$L$3:$Z$3,'2) หลักการคำนวน Table'!$L$4:$Z$36))),0)</f>
        <v>#N/A</v>
      </c>
      <c r="BM61" s="126">
        <v>222235</v>
      </c>
      <c r="BN61" s="316">
        <v>985.26315789473665</v>
      </c>
    </row>
    <row r="62" spans="1:66" ht="13.2" customHeight="1" x14ac:dyDescent="0.25">
      <c r="BN62" s="186"/>
    </row>
    <row r="63" spans="1:66" ht="13.2" customHeight="1" x14ac:dyDescent="0.25">
      <c r="BN63" s="186"/>
    </row>
    <row r="64" spans="1:66" ht="13.2" customHeight="1" x14ac:dyDescent="0.25">
      <c r="BN64" s="186"/>
    </row>
    <row r="65" spans="66:66" ht="13.2" customHeight="1" x14ac:dyDescent="0.25">
      <c r="BN65" s="186"/>
    </row>
    <row r="66" spans="66:66" ht="13.2" customHeight="1" x14ac:dyDescent="0.25">
      <c r="BN66" s="186"/>
    </row>
    <row r="67" spans="66:66" ht="13.2" customHeight="1" x14ac:dyDescent="0.25">
      <c r="BN67" s="186"/>
    </row>
    <row r="68" spans="66:66" ht="13.2" customHeight="1" x14ac:dyDescent="0.25">
      <c r="BN68" s="186"/>
    </row>
    <row r="69" spans="66:66" ht="13.2" customHeight="1" x14ac:dyDescent="0.25">
      <c r="BN69" s="186"/>
    </row>
    <row r="70" spans="66:66" ht="13.2" customHeight="1" x14ac:dyDescent="0.25">
      <c r="BN70" s="186"/>
    </row>
    <row r="71" spans="66:66" ht="13.2" customHeight="1" x14ac:dyDescent="0.25">
      <c r="BN71" s="186"/>
    </row>
    <row r="72" spans="66:66" ht="13.2" customHeight="1" x14ac:dyDescent="0.25">
      <c r="BN72" s="186"/>
    </row>
    <row r="73" spans="66:66" ht="13.2" customHeight="1" x14ac:dyDescent="0.25">
      <c r="BN73" s="186"/>
    </row>
    <row r="74" spans="66:66" ht="13.2" customHeight="1" x14ac:dyDescent="0.25">
      <c r="BN74" s="186"/>
    </row>
    <row r="75" spans="66:66" ht="13.2" customHeight="1" x14ac:dyDescent="0.25">
      <c r="BN75" s="186"/>
    </row>
    <row r="76" spans="66:66" ht="13.2" customHeight="1" x14ac:dyDescent="0.25">
      <c r="BN76" s="186"/>
    </row>
    <row r="77" spans="66:66" ht="13.2" customHeight="1" x14ac:dyDescent="0.25">
      <c r="BN77" s="186"/>
    </row>
    <row r="78" spans="66:66" ht="13.2" customHeight="1" x14ac:dyDescent="0.25">
      <c r="BN78" s="186"/>
    </row>
    <row r="79" spans="66:66" ht="13.2" customHeight="1" x14ac:dyDescent="0.25">
      <c r="BN79" s="186"/>
    </row>
    <row r="80" spans="66:66" ht="13.2" customHeight="1" x14ac:dyDescent="0.25">
      <c r="BN80" s="186"/>
    </row>
    <row r="81" spans="66:66" ht="13.2" customHeight="1" x14ac:dyDescent="0.25">
      <c r="BN81" s="186"/>
    </row>
    <row r="82" spans="66:66" ht="13.2" customHeight="1" x14ac:dyDescent="0.25">
      <c r="BN82" s="186"/>
    </row>
    <row r="83" spans="66:66" ht="13.2" customHeight="1" x14ac:dyDescent="0.25">
      <c r="BN83" s="186"/>
    </row>
    <row r="84" spans="66:66" ht="13.2" customHeight="1" x14ac:dyDescent="0.25">
      <c r="BN84" s="186"/>
    </row>
    <row r="85" spans="66:66" ht="13.2" customHeight="1" x14ac:dyDescent="0.25">
      <c r="BN85" s="186"/>
    </row>
    <row r="86" spans="66:66" ht="13.2" customHeight="1" x14ac:dyDescent="0.25">
      <c r="BN86" s="186"/>
    </row>
    <row r="87" spans="66:66" ht="13.2" customHeight="1" x14ac:dyDescent="0.25">
      <c r="BN87" s="186"/>
    </row>
    <row r="88" spans="66:66" ht="13.2" customHeight="1" x14ac:dyDescent="0.25">
      <c r="BN88" s="186"/>
    </row>
    <row r="89" spans="66:66" ht="13.2" customHeight="1" x14ac:dyDescent="0.25">
      <c r="BN89" s="186"/>
    </row>
    <row r="90" spans="66:66" ht="13.2" customHeight="1" x14ac:dyDescent="0.25">
      <c r="BN90" s="186"/>
    </row>
    <row r="91" spans="66:66" ht="13.2" customHeight="1" x14ac:dyDescent="0.25">
      <c r="BN91" s="186"/>
    </row>
    <row r="92" spans="66:66" ht="13.2" customHeight="1" x14ac:dyDescent="0.25">
      <c r="BN92" s="186"/>
    </row>
    <row r="93" spans="66:66" ht="13.2" customHeight="1" x14ac:dyDescent="0.25">
      <c r="BN93" s="186"/>
    </row>
    <row r="94" spans="66:66" ht="13.2" customHeight="1" x14ac:dyDescent="0.25">
      <c r="BN94" s="186"/>
    </row>
    <row r="95" spans="66:66" ht="13.2" customHeight="1" x14ac:dyDescent="0.25">
      <c r="BN95" s="186"/>
    </row>
    <row r="96" spans="66:66" ht="13.2" customHeight="1" x14ac:dyDescent="0.25">
      <c r="BN96" s="186"/>
    </row>
    <row r="97" spans="66:66" ht="13.2" customHeight="1" x14ac:dyDescent="0.25">
      <c r="BN97" s="186"/>
    </row>
    <row r="98" spans="66:66" ht="13.2" customHeight="1" x14ac:dyDescent="0.25">
      <c r="BN98" s="186"/>
    </row>
    <row r="99" spans="66:66" ht="13.2" customHeight="1" x14ac:dyDescent="0.25">
      <c r="BN99" s="186"/>
    </row>
    <row r="100" spans="66:66" ht="13.2" customHeight="1" x14ac:dyDescent="0.25">
      <c r="BN100" s="186"/>
    </row>
    <row r="101" spans="66:66" ht="13.2" customHeight="1" x14ac:dyDescent="0.25">
      <c r="BN101" s="186"/>
    </row>
    <row r="102" spans="66:66" ht="13.2" customHeight="1" x14ac:dyDescent="0.25">
      <c r="BN102" s="186"/>
    </row>
    <row r="103" spans="66:66" ht="13.2" customHeight="1" x14ac:dyDescent="0.25">
      <c r="BN103" s="186"/>
    </row>
    <row r="104" spans="66:66" ht="13.2" customHeight="1" x14ac:dyDescent="0.25">
      <c r="BN104" s="186"/>
    </row>
    <row r="105" spans="66:66" ht="13.2" customHeight="1" x14ac:dyDescent="0.25">
      <c r="BN105" s="186"/>
    </row>
    <row r="106" spans="66:66" ht="13.2" customHeight="1" x14ac:dyDescent="0.25">
      <c r="BN106" s="186"/>
    </row>
    <row r="107" spans="66:66" ht="13.2" customHeight="1" x14ac:dyDescent="0.25">
      <c r="BN107" s="186"/>
    </row>
    <row r="108" spans="66:66" ht="13.2" customHeight="1" x14ac:dyDescent="0.25">
      <c r="BN108" s="186"/>
    </row>
    <row r="109" spans="66:66" ht="13.2" customHeight="1" x14ac:dyDescent="0.25">
      <c r="BN109" s="186"/>
    </row>
    <row r="110" spans="66:66" ht="13.2" customHeight="1" x14ac:dyDescent="0.25">
      <c r="BN110" s="186"/>
    </row>
    <row r="111" spans="66:66" ht="13.2" customHeight="1" x14ac:dyDescent="0.25">
      <c r="BN111" s="186"/>
    </row>
    <row r="112" spans="66:66" ht="13.2" customHeight="1" x14ac:dyDescent="0.25">
      <c r="BN112" s="186"/>
    </row>
    <row r="113" spans="66:66" ht="13.2" customHeight="1" x14ac:dyDescent="0.25">
      <c r="BN113" s="186"/>
    </row>
    <row r="114" spans="66:66" ht="13.2" customHeight="1" x14ac:dyDescent="0.25">
      <c r="BN114" s="186"/>
    </row>
    <row r="115" spans="66:66" ht="13.2" customHeight="1" x14ac:dyDescent="0.25">
      <c r="BN115" s="186"/>
    </row>
    <row r="116" spans="66:66" ht="13.2" customHeight="1" x14ac:dyDescent="0.25">
      <c r="BN116" s="186"/>
    </row>
    <row r="117" spans="66:66" ht="13.2" customHeight="1" x14ac:dyDescent="0.25">
      <c r="BN117" s="186"/>
    </row>
    <row r="118" spans="66:66" ht="13.2" customHeight="1" x14ac:dyDescent="0.25">
      <c r="BN118" s="186"/>
    </row>
    <row r="119" spans="66:66" ht="13.2" customHeight="1" x14ac:dyDescent="0.25">
      <c r="BN119" s="186"/>
    </row>
    <row r="120" spans="66:66" ht="13.2" customHeight="1" x14ac:dyDescent="0.25">
      <c r="BN120" s="186"/>
    </row>
    <row r="121" spans="66:66" ht="13.2" customHeight="1" x14ac:dyDescent="0.25">
      <c r="BN121" s="186"/>
    </row>
    <row r="122" spans="66:66" ht="13.2" customHeight="1" x14ac:dyDescent="0.25">
      <c r="BN122" s="186"/>
    </row>
    <row r="123" spans="66:66" ht="13.2" customHeight="1" x14ac:dyDescent="0.25">
      <c r="BN123" s="186"/>
    </row>
    <row r="124" spans="66:66" ht="13.2" customHeight="1" x14ac:dyDescent="0.25">
      <c r="BN124" s="186"/>
    </row>
    <row r="125" spans="66:66" ht="13.2" customHeight="1" x14ac:dyDescent="0.25">
      <c r="BN125" s="186"/>
    </row>
    <row r="126" spans="66:66" ht="13.2" customHeight="1" x14ac:dyDescent="0.25">
      <c r="BN126" s="186"/>
    </row>
    <row r="127" spans="66:66" ht="13.2" customHeight="1" x14ac:dyDescent="0.25">
      <c r="BN127" s="186"/>
    </row>
    <row r="128" spans="66:66" ht="13.2" customHeight="1" x14ac:dyDescent="0.25">
      <c r="BN128" s="186"/>
    </row>
    <row r="129" spans="66:66" ht="13.2" customHeight="1" x14ac:dyDescent="0.25">
      <c r="BN129" s="186"/>
    </row>
    <row r="130" spans="66:66" ht="13.2" customHeight="1" x14ac:dyDescent="0.25">
      <c r="BN130" s="186"/>
    </row>
    <row r="131" spans="66:66" ht="13.2" customHeight="1" x14ac:dyDescent="0.25">
      <c r="BN131" s="186"/>
    </row>
    <row r="132" spans="66:66" ht="13.2" customHeight="1" x14ac:dyDescent="0.25">
      <c r="BN132" s="186"/>
    </row>
    <row r="133" spans="66:66" ht="13.2" customHeight="1" x14ac:dyDescent="0.25">
      <c r="BN133" s="186"/>
    </row>
    <row r="134" spans="66:66" ht="13.2" customHeight="1" x14ac:dyDescent="0.25">
      <c r="BN134" s="186"/>
    </row>
    <row r="135" spans="66:66" ht="13.2" customHeight="1" x14ac:dyDescent="0.25">
      <c r="BN135" s="186"/>
    </row>
    <row r="136" spans="66:66" ht="13.2" customHeight="1" x14ac:dyDescent="0.25">
      <c r="BN136" s="186"/>
    </row>
    <row r="137" spans="66:66" ht="13.2" customHeight="1" x14ac:dyDescent="0.25">
      <c r="BN137" s="186"/>
    </row>
    <row r="138" spans="66:66" ht="13.2" customHeight="1" x14ac:dyDescent="0.25">
      <c r="BN138" s="186"/>
    </row>
    <row r="139" spans="66:66" ht="13.2" customHeight="1" x14ac:dyDescent="0.25">
      <c r="BN139" s="186"/>
    </row>
    <row r="140" spans="66:66" ht="13.2" customHeight="1" x14ac:dyDescent="0.25">
      <c r="BN140" s="186"/>
    </row>
    <row r="141" spans="66:66" ht="13.2" customHeight="1" x14ac:dyDescent="0.25">
      <c r="BN141" s="186"/>
    </row>
    <row r="142" spans="66:66" ht="13.2" customHeight="1" x14ac:dyDescent="0.25">
      <c r="BN142" s="186"/>
    </row>
    <row r="143" spans="66:66" ht="13.2" customHeight="1" x14ac:dyDescent="0.25">
      <c r="BN143" s="186"/>
    </row>
    <row r="144" spans="66:66" ht="13.2" customHeight="1" x14ac:dyDescent="0.25">
      <c r="BN144" s="186"/>
    </row>
    <row r="145" spans="66:66" ht="13.2" customHeight="1" x14ac:dyDescent="0.25">
      <c r="BN145" s="186"/>
    </row>
    <row r="146" spans="66:66" ht="13.2" customHeight="1" x14ac:dyDescent="0.25">
      <c r="BN146" s="186"/>
    </row>
    <row r="147" spans="66:66" ht="13.2" customHeight="1" x14ac:dyDescent="0.25">
      <c r="BN147" s="186"/>
    </row>
    <row r="148" spans="66:66" ht="13.2" customHeight="1" x14ac:dyDescent="0.25">
      <c r="BN148" s="186"/>
    </row>
    <row r="149" spans="66:66" ht="13.2" customHeight="1" x14ac:dyDescent="0.25">
      <c r="BN149" s="186"/>
    </row>
    <row r="150" spans="66:66" ht="13.2" customHeight="1" x14ac:dyDescent="0.25">
      <c r="BN150" s="186"/>
    </row>
    <row r="151" spans="66:66" ht="13.2" customHeight="1" x14ac:dyDescent="0.25">
      <c r="BN151" s="186"/>
    </row>
  </sheetData>
  <autoFilter ref="A3:BN61" xr:uid="{A6F8C588-8359-4084-87ED-2B91FAFC500A}"/>
  <mergeCells count="5">
    <mergeCell ref="D1:O1"/>
    <mergeCell ref="P1:AA1"/>
    <mergeCell ref="AB1:AM1"/>
    <mergeCell ref="AN1:AY1"/>
    <mergeCell ref="AZ1:BK1"/>
  </mergeCells>
  <phoneticPr fontId="10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E6D0-1625-4716-A007-098E182651AD}">
  <sheetPr>
    <tabColor rgb="FF00B050"/>
  </sheetPr>
  <dimension ref="A1:BN55"/>
  <sheetViews>
    <sheetView zoomScaleNormal="100" workbookViewId="0">
      <pane xSplit="3" ySplit="3" topLeftCell="AB4" activePane="bottomRight" state="frozen"/>
      <selection pane="topRight" activeCell="AH12" sqref="AH12"/>
      <selection pane="bottomLeft" activeCell="AH12" sqref="AH12"/>
      <selection pane="bottomRight" activeCell="AL35" sqref="AL35"/>
    </sheetView>
  </sheetViews>
  <sheetFormatPr defaultColWidth="6.8984375" defaultRowHeight="13.2" customHeight="1" x14ac:dyDescent="0.25"/>
  <cols>
    <col min="1" max="1" width="13.5" style="128" bestFit="1" customWidth="1"/>
    <col min="2" max="2" width="17.3984375" style="126" customWidth="1"/>
    <col min="3" max="3" width="13.3984375" style="128" customWidth="1"/>
    <col min="4" max="4" width="9.3984375" style="127" customWidth="1"/>
    <col min="5" max="5" width="9.59765625" style="127" customWidth="1"/>
    <col min="6" max="6" width="9.5" style="127" customWidth="1"/>
    <col min="7" max="7" width="9.09765625" style="127" customWidth="1"/>
    <col min="8" max="9" width="9.59765625" style="127" customWidth="1"/>
    <col min="10" max="10" width="9.3984375" style="127" customWidth="1"/>
    <col min="11" max="11" width="9.59765625" style="127" customWidth="1"/>
    <col min="12" max="12" width="10.3984375" style="127" bestFit="1" customWidth="1"/>
    <col min="13" max="13" width="10.19921875" style="127" bestFit="1" customWidth="1"/>
    <col min="14" max="15" width="10.3984375" style="127" bestFit="1" customWidth="1"/>
    <col min="16" max="16" width="10.5" style="126" bestFit="1" customWidth="1"/>
    <col min="17" max="17" width="10.59765625" style="126" bestFit="1" customWidth="1"/>
    <col min="18" max="18" width="10.3984375" style="126" bestFit="1" customWidth="1"/>
    <col min="19" max="19" width="10" style="126" bestFit="1" customWidth="1"/>
    <col min="20" max="20" width="10.69921875" style="126" bestFit="1" customWidth="1"/>
    <col min="21" max="21" width="10.5" style="126" bestFit="1" customWidth="1"/>
    <col min="22" max="22" width="10.3984375" style="126" bestFit="1" customWidth="1"/>
    <col min="23" max="23" width="10.59765625" style="126" bestFit="1" customWidth="1"/>
    <col min="24" max="24" width="10.5" style="126" bestFit="1" customWidth="1"/>
    <col min="25" max="25" width="10.3984375" style="126" bestFit="1" customWidth="1"/>
    <col min="26" max="27" width="6.8984375" style="126" customWidth="1"/>
    <col min="28" max="28" width="9.69921875" style="126" customWidth="1"/>
    <col min="29" max="35" width="6.8984375" style="126" customWidth="1"/>
    <col min="36" max="37" width="6.8984375" style="126"/>
    <col min="38" max="59" width="6.8984375" style="126" customWidth="1"/>
    <col min="60" max="16384" width="6.8984375" style="126"/>
  </cols>
  <sheetData>
    <row r="1" spans="1:66" ht="13.2" customHeight="1" x14ac:dyDescent="0.25">
      <c r="A1" s="143" t="s">
        <v>145</v>
      </c>
      <c r="D1" s="362" t="s">
        <v>146</v>
      </c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3" t="s">
        <v>91</v>
      </c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4" t="s">
        <v>147</v>
      </c>
      <c r="AC1" s="364"/>
      <c r="AD1" s="364"/>
      <c r="AE1" s="364"/>
      <c r="AF1" s="364"/>
      <c r="AG1" s="364"/>
      <c r="AH1" s="364"/>
      <c r="AI1" s="364"/>
      <c r="AJ1" s="364"/>
      <c r="AK1" s="364"/>
      <c r="AL1" s="364"/>
      <c r="AM1" s="364"/>
      <c r="AN1" s="366" t="s">
        <v>148</v>
      </c>
      <c r="AO1" s="366"/>
      <c r="AP1" s="366"/>
      <c r="AQ1" s="366"/>
      <c r="AR1" s="366"/>
      <c r="AS1" s="366"/>
      <c r="AT1" s="366"/>
      <c r="AU1" s="366"/>
      <c r="AV1" s="366"/>
      <c r="AW1" s="366"/>
      <c r="AX1" s="366"/>
      <c r="AY1" s="366"/>
      <c r="AZ1" s="365" t="s">
        <v>39</v>
      </c>
      <c r="BA1" s="365"/>
      <c r="BB1" s="365"/>
      <c r="BC1" s="365"/>
      <c r="BD1" s="365"/>
      <c r="BE1" s="365"/>
      <c r="BF1" s="365"/>
      <c r="BG1" s="365"/>
      <c r="BH1" s="365"/>
      <c r="BI1" s="365"/>
      <c r="BJ1" s="365"/>
      <c r="BK1" s="365"/>
      <c r="BL1" s="239"/>
      <c r="BM1" s="241"/>
      <c r="BN1" s="241"/>
    </row>
    <row r="2" spans="1:66" ht="13.2" customHeight="1" x14ac:dyDescent="0.25">
      <c r="A2" s="143"/>
      <c r="D2" s="199">
        <v>2</v>
      </c>
      <c r="E2" s="199">
        <v>3</v>
      </c>
      <c r="F2" s="199">
        <v>4</v>
      </c>
      <c r="G2" s="199">
        <v>5</v>
      </c>
      <c r="H2" s="199">
        <v>6</v>
      </c>
      <c r="I2" s="199">
        <v>7</v>
      </c>
      <c r="J2" s="199">
        <v>8</v>
      </c>
      <c r="K2" s="199">
        <v>9</v>
      </c>
      <c r="L2" s="199">
        <v>10</v>
      </c>
      <c r="M2" s="199">
        <v>11</v>
      </c>
      <c r="N2" s="199">
        <v>12</v>
      </c>
      <c r="O2" s="199">
        <v>13</v>
      </c>
      <c r="P2" s="203">
        <v>2</v>
      </c>
      <c r="Q2" s="203">
        <v>3</v>
      </c>
      <c r="R2" s="203">
        <v>4</v>
      </c>
      <c r="S2" s="203">
        <v>5</v>
      </c>
      <c r="T2" s="203">
        <v>6</v>
      </c>
      <c r="U2" s="203">
        <v>7</v>
      </c>
      <c r="V2" s="203">
        <v>8</v>
      </c>
      <c r="W2" s="203">
        <v>9</v>
      </c>
      <c r="X2" s="203">
        <v>10</v>
      </c>
      <c r="Y2" s="203">
        <v>11</v>
      </c>
      <c r="Z2" s="203">
        <v>12</v>
      </c>
      <c r="AA2" s="203">
        <v>13</v>
      </c>
      <c r="AB2" s="202">
        <v>2</v>
      </c>
      <c r="AC2" s="202">
        <v>3</v>
      </c>
      <c r="AD2" s="202">
        <v>4</v>
      </c>
      <c r="AE2" s="202">
        <v>5</v>
      </c>
      <c r="AF2" s="202">
        <v>6</v>
      </c>
      <c r="AG2" s="202">
        <v>7</v>
      </c>
      <c r="AH2" s="202">
        <v>8</v>
      </c>
      <c r="AI2" s="202">
        <v>9</v>
      </c>
      <c r="AJ2" s="202">
        <v>10</v>
      </c>
      <c r="AK2" s="202">
        <v>11</v>
      </c>
      <c r="AL2" s="202">
        <v>12</v>
      </c>
      <c r="AM2" s="202">
        <v>13</v>
      </c>
      <c r="AN2" s="201">
        <v>2</v>
      </c>
      <c r="AO2" s="201">
        <v>3</v>
      </c>
      <c r="AP2" s="201">
        <v>4</v>
      </c>
      <c r="AQ2" s="201">
        <v>5</v>
      </c>
      <c r="AR2" s="201">
        <v>6</v>
      </c>
      <c r="AS2" s="201">
        <v>7</v>
      </c>
      <c r="AT2" s="201">
        <v>8</v>
      </c>
      <c r="AU2" s="201">
        <v>9</v>
      </c>
      <c r="AV2" s="201">
        <v>10</v>
      </c>
      <c r="AW2" s="201">
        <v>11</v>
      </c>
      <c r="AX2" s="201">
        <v>12</v>
      </c>
      <c r="AY2" s="201">
        <v>13</v>
      </c>
      <c r="AZ2" s="200">
        <v>2</v>
      </c>
      <c r="BA2" s="200">
        <v>3</v>
      </c>
      <c r="BB2" s="200">
        <v>4</v>
      </c>
      <c r="BC2" s="200">
        <v>5</v>
      </c>
      <c r="BD2" s="200">
        <v>6</v>
      </c>
      <c r="BE2" s="200">
        <v>7</v>
      </c>
      <c r="BF2" s="200">
        <v>8</v>
      </c>
      <c r="BG2" s="200">
        <v>9</v>
      </c>
      <c r="BH2" s="200">
        <v>10</v>
      </c>
      <c r="BI2" s="200">
        <v>11</v>
      </c>
      <c r="BJ2" s="200">
        <v>12</v>
      </c>
      <c r="BK2" s="200">
        <v>13</v>
      </c>
      <c r="BL2" s="239"/>
      <c r="BM2" s="241"/>
      <c r="BN2" s="241"/>
    </row>
    <row r="3" spans="1:66" s="128" customFormat="1" ht="13.2" customHeight="1" x14ac:dyDescent="0.25">
      <c r="A3" s="329" t="s">
        <v>137</v>
      </c>
      <c r="B3" s="329" t="s">
        <v>116</v>
      </c>
      <c r="C3" s="329" t="s">
        <v>144</v>
      </c>
      <c r="D3" s="129" t="s">
        <v>149</v>
      </c>
      <c r="E3" s="129" t="s">
        <v>150</v>
      </c>
      <c r="F3" s="129" t="s">
        <v>151</v>
      </c>
      <c r="G3" s="129" t="s">
        <v>152</v>
      </c>
      <c r="H3" s="129" t="s">
        <v>153</v>
      </c>
      <c r="I3" s="129" t="s">
        <v>154</v>
      </c>
      <c r="J3" s="129" t="s">
        <v>155</v>
      </c>
      <c r="K3" s="129" t="s">
        <v>156</v>
      </c>
      <c r="L3" s="129" t="s">
        <v>157</v>
      </c>
      <c r="M3" s="129" t="s">
        <v>158</v>
      </c>
      <c r="N3" s="129" t="s">
        <v>159</v>
      </c>
      <c r="O3" s="129" t="s">
        <v>160</v>
      </c>
      <c r="P3" s="130" t="s">
        <v>161</v>
      </c>
      <c r="Q3" s="130" t="s">
        <v>162</v>
      </c>
      <c r="R3" s="130" t="s">
        <v>163</v>
      </c>
      <c r="S3" s="130" t="s">
        <v>164</v>
      </c>
      <c r="T3" s="130" t="s">
        <v>165</v>
      </c>
      <c r="U3" s="130" t="s">
        <v>166</v>
      </c>
      <c r="V3" s="130" t="s">
        <v>167</v>
      </c>
      <c r="W3" s="130" t="s">
        <v>168</v>
      </c>
      <c r="X3" s="130" t="s">
        <v>169</v>
      </c>
      <c r="Y3" s="130" t="s">
        <v>170</v>
      </c>
      <c r="Z3" s="130" t="s">
        <v>171</v>
      </c>
      <c r="AA3" s="130" t="s">
        <v>172</v>
      </c>
      <c r="AB3" s="131" t="s">
        <v>173</v>
      </c>
      <c r="AC3" s="131" t="s">
        <v>174</v>
      </c>
      <c r="AD3" s="131" t="s">
        <v>175</v>
      </c>
      <c r="AE3" s="131" t="s">
        <v>176</v>
      </c>
      <c r="AF3" s="131" t="s">
        <v>177</v>
      </c>
      <c r="AG3" s="131" t="s">
        <v>178</v>
      </c>
      <c r="AH3" s="131" t="s">
        <v>179</v>
      </c>
      <c r="AI3" s="131" t="s">
        <v>180</v>
      </c>
      <c r="AJ3" s="131" t="s">
        <v>181</v>
      </c>
      <c r="AK3" s="131" t="s">
        <v>182</v>
      </c>
      <c r="AL3" s="131" t="s">
        <v>183</v>
      </c>
      <c r="AM3" s="131" t="s">
        <v>184</v>
      </c>
      <c r="AN3" s="185" t="s">
        <v>185</v>
      </c>
      <c r="AO3" s="185" t="s">
        <v>186</v>
      </c>
      <c r="AP3" s="185" t="s">
        <v>187</v>
      </c>
      <c r="AQ3" s="185" t="s">
        <v>188</v>
      </c>
      <c r="AR3" s="185" t="s">
        <v>189</v>
      </c>
      <c r="AS3" s="185" t="s">
        <v>190</v>
      </c>
      <c r="AT3" s="185" t="s">
        <v>191</v>
      </c>
      <c r="AU3" s="185" t="s">
        <v>192</v>
      </c>
      <c r="AV3" s="185" t="s">
        <v>193</v>
      </c>
      <c r="AW3" s="185" t="s">
        <v>194</v>
      </c>
      <c r="AX3" s="185" t="s">
        <v>195</v>
      </c>
      <c r="AY3" s="185" t="s">
        <v>196</v>
      </c>
      <c r="AZ3" s="134" t="s">
        <v>185</v>
      </c>
      <c r="BA3" s="134" t="s">
        <v>186</v>
      </c>
      <c r="BB3" s="134" t="s">
        <v>187</v>
      </c>
      <c r="BC3" s="134" t="s">
        <v>188</v>
      </c>
      <c r="BD3" s="134" t="s">
        <v>189</v>
      </c>
      <c r="BE3" s="134" t="s">
        <v>190</v>
      </c>
      <c r="BF3" s="134" t="s">
        <v>191</v>
      </c>
      <c r="BG3" s="134" t="s">
        <v>192</v>
      </c>
      <c r="BH3" s="134" t="s">
        <v>193</v>
      </c>
      <c r="BI3" s="134" t="s">
        <v>194</v>
      </c>
      <c r="BJ3" s="134" t="s">
        <v>195</v>
      </c>
      <c r="BK3" s="134" t="s">
        <v>196</v>
      </c>
      <c r="BL3" s="240"/>
      <c r="BM3" s="242" t="s">
        <v>197</v>
      </c>
      <c r="BN3" s="243" t="s">
        <v>39</v>
      </c>
    </row>
    <row r="4" spans="1:66" ht="13.2" customHeight="1" x14ac:dyDescent="0.25">
      <c r="A4" s="128">
        <f>VLOOKUP(C4,ASTBase!F:S,12,FALSE)</f>
        <v>222222</v>
      </c>
      <c r="B4" s="126" t="s">
        <v>405</v>
      </c>
      <c r="C4" s="128">
        <v>222234</v>
      </c>
      <c r="D4" s="127">
        <f>SUMIFS('3)Target &amp; Cal_Sect'!D$4:D$60,'3)Target &amp; Cal_Sect'!$B$4:$B$60,'3)Target &amp; Cal_Dept'!$B4,'3)Target &amp; Cal_Sect'!$A$4:$A$60,'3)Target &amp; Cal_Dept'!$C4)</f>
        <v>452758</v>
      </c>
      <c r="E4" s="127">
        <f>SUMIFS('3)Target &amp; Cal_Sect'!E$4:E$60,'3)Target &amp; Cal_Sect'!$B$4:$B$60,'3)Target &amp; Cal_Dept'!$B4,'3)Target &amp; Cal_Sect'!$A$4:$A$60,'3)Target &amp; Cal_Dept'!$C4)</f>
        <v>445960</v>
      </c>
      <c r="F4" s="127">
        <f>SUMIFS('3)Target &amp; Cal_Sect'!F$4:F$60,'3)Target &amp; Cal_Sect'!$B$4:$B$60,'3)Target &amp; Cal_Dept'!$B4,'3)Target &amp; Cal_Sect'!$A$4:$A$60,'3)Target &amp; Cal_Dept'!$C4)</f>
        <v>450794</v>
      </c>
      <c r="G4" s="127">
        <f>SUMIFS('3)Target &amp; Cal_Sect'!G$4:G$60,'3)Target &amp; Cal_Sect'!$B$4:$B$60,'3)Target &amp; Cal_Dept'!$B4,'3)Target &amp; Cal_Sect'!$A$4:$A$60,'3)Target &amp; Cal_Dept'!$C4)</f>
        <v>438690</v>
      </c>
      <c r="H4" s="127">
        <f>SUMIFS('3)Target &amp; Cal_Sect'!H$4:H$60,'3)Target &amp; Cal_Sect'!$B$4:$B$60,'3)Target &amp; Cal_Dept'!$B4,'3)Target &amp; Cal_Sect'!$A$4:$A$60,'3)Target &amp; Cal_Dept'!$C4)</f>
        <v>470343.49</v>
      </c>
      <c r="I4" s="127">
        <f>SUMIFS('3)Target &amp; Cal_Sect'!I$4:I$60,'3)Target &amp; Cal_Sect'!$B$4:$B$60,'3)Target &amp; Cal_Dept'!$B4,'3)Target &amp; Cal_Sect'!$A$4:$A$60,'3)Target &amp; Cal_Dept'!$C4)</f>
        <v>471941.5</v>
      </c>
      <c r="J4" s="127">
        <f>SUMIFS('3)Target &amp; Cal_Sect'!J$4:J$60,'3)Target &amp; Cal_Sect'!$B$4:$B$60,'3)Target &amp; Cal_Dept'!$B4,'3)Target &amp; Cal_Sect'!$A$4:$A$60,'3)Target &amp; Cal_Dept'!$C4)</f>
        <v>474278.5</v>
      </c>
      <c r="K4" s="127">
        <f>SUMIFS('3)Target &amp; Cal_Sect'!K$4:K$60,'3)Target &amp; Cal_Sect'!$B$4:$B$60,'3)Target &amp; Cal_Dept'!$B4,'3)Target &amp; Cal_Sect'!$A$4:$A$60,'3)Target &amp; Cal_Dept'!$C4)</f>
        <v>419336.16666666698</v>
      </c>
      <c r="L4" s="127">
        <f>SUMIFS('3)Target &amp; Cal_Sect'!L$4:L$60,'3)Target &amp; Cal_Sect'!$B$4:$B$60,'3)Target &amp; Cal_Dept'!$B4,'3)Target &amp; Cal_Sect'!$A$4:$A$60,'3)Target &amp; Cal_Dept'!$C4)</f>
        <v>439923</v>
      </c>
      <c r="M4" s="127">
        <f>SUMIFS('3)Target &amp; Cal_Sect'!M$4:M$60,'3)Target &amp; Cal_Sect'!$B$4:$B$60,'3)Target &amp; Cal_Dept'!$B4,'3)Target &amp; Cal_Sect'!$A$4:$A$60,'3)Target &amp; Cal_Dept'!$C4)</f>
        <v>457166.66666666698</v>
      </c>
      <c r="N4" s="127">
        <f>SUMIFS('3)Target &amp; Cal_Sect'!N$4:N$60,'3)Target &amp; Cal_Sect'!$B$4:$B$60,'3)Target &amp; Cal_Dept'!$B4,'3)Target &amp; Cal_Sect'!$A$4:$A$60,'3)Target &amp; Cal_Dept'!$C4)</f>
        <v>411476.66666666698</v>
      </c>
      <c r="O4" s="127">
        <f>SUMIFS('3)Target &amp; Cal_Sect'!O$4:O$60,'3)Target &amp; Cal_Sect'!$B$4:$B$60,'3)Target &amp; Cal_Dept'!$B4,'3)Target &amp; Cal_Sect'!$A$4:$A$60,'3)Target &amp; Cal_Dept'!$C4)</f>
        <v>460872</v>
      </c>
      <c r="P4" s="127">
        <f>SUMIFS('3)Target &amp; Cal_Sect'!P$4:P$60,'3)Target &amp; Cal_Sect'!$B$4:$B$60,'3)Target &amp; Cal_Dept'!$B4,'3)Target &amp; Cal_Sect'!$A$4:$A$60,'3)Target &amp; Cal_Dept'!$C4)</f>
        <v>439454.76000000024</v>
      </c>
      <c r="Q4" s="127">
        <f>SUMIFS('3)Target &amp; Cal_Sect'!Q$4:Q$60,'3)Target &amp; Cal_Sect'!$B$4:$B$60,'3)Target &amp; Cal_Dept'!$B4,'3)Target &amp; Cal_Sect'!$A$4:$A$60,'3)Target &amp; Cal_Dept'!$C4)</f>
        <v>0</v>
      </c>
      <c r="R4" s="127">
        <f>SUMIFS('3)Target &amp; Cal_Sect'!R$4:R$60,'3)Target &amp; Cal_Sect'!$B$4:$B$60,'3)Target &amp; Cal_Dept'!$B4,'3)Target &amp; Cal_Sect'!$A$4:$A$60,'3)Target &amp; Cal_Dept'!$C4)</f>
        <v>0</v>
      </c>
      <c r="S4" s="127">
        <f>SUMIFS('3)Target &amp; Cal_Sect'!S$4:S$60,'3)Target &amp; Cal_Sect'!$B$4:$B$60,'3)Target &amp; Cal_Dept'!$B4,'3)Target &amp; Cal_Sect'!$A$4:$A$60,'3)Target &amp; Cal_Dept'!$C4)</f>
        <v>0</v>
      </c>
      <c r="T4" s="127">
        <f>SUMIFS('3)Target &amp; Cal_Sect'!T$4:T$60,'3)Target &amp; Cal_Sect'!$B$4:$B$60,'3)Target &amp; Cal_Dept'!$B4,'3)Target &amp; Cal_Sect'!$A$4:$A$60,'3)Target &amp; Cal_Dept'!$C4)</f>
        <v>0</v>
      </c>
      <c r="U4" s="127">
        <f>SUMIFS('3)Target &amp; Cal_Sect'!U$4:U$60,'3)Target &amp; Cal_Sect'!$B$4:$B$60,'3)Target &amp; Cal_Dept'!$B4,'3)Target &amp; Cal_Sect'!$A$4:$A$60,'3)Target &amp; Cal_Dept'!$C4)</f>
        <v>0</v>
      </c>
      <c r="V4" s="127">
        <f>SUMIFS('3)Target &amp; Cal_Sect'!V$4:V$60,'3)Target &amp; Cal_Sect'!$B$4:$B$60,'3)Target &amp; Cal_Dept'!$B4,'3)Target &amp; Cal_Sect'!$A$4:$A$60,'3)Target &amp; Cal_Dept'!$C4)</f>
        <v>0</v>
      </c>
      <c r="W4" s="127">
        <f>SUMIFS('3)Target &amp; Cal_Sect'!W$4:W$60,'3)Target &amp; Cal_Sect'!$B$4:$B$60,'3)Target &amp; Cal_Dept'!$B4,'3)Target &amp; Cal_Sect'!$A$4:$A$60,'3)Target &amp; Cal_Dept'!$C4)</f>
        <v>0</v>
      </c>
      <c r="X4" s="127">
        <f>SUMIFS('3)Target &amp; Cal_Sect'!X$4:X$60,'3)Target &amp; Cal_Sect'!$B$4:$B$60,'3)Target &amp; Cal_Dept'!$B4,'3)Target &amp; Cal_Sect'!$A$4:$A$60,'3)Target &amp; Cal_Dept'!$C4)</f>
        <v>0</v>
      </c>
      <c r="Y4" s="127">
        <f>SUMIFS('3)Target &amp; Cal_Sect'!Y$4:Y$60,'3)Target &amp; Cal_Sect'!$B$4:$B$60,'3)Target &amp; Cal_Dept'!$B4,'3)Target &amp; Cal_Sect'!$A$4:$A$60,'3)Target &amp; Cal_Dept'!$C4)</f>
        <v>0</v>
      </c>
      <c r="Z4" s="127">
        <f>SUMIFS('3)Target &amp; Cal_Sect'!Z$4:Z$60,'3)Target &amp; Cal_Sect'!$B$4:$B$60,'3)Target &amp; Cal_Dept'!$B4,'3)Target &amp; Cal_Sect'!$A$4:$A$60,'3)Target &amp; Cal_Dept'!$C4)</f>
        <v>0</v>
      </c>
      <c r="AA4" s="127">
        <f>SUMIFS('3)Target &amp; Cal_Sect'!AA$4:AA$60,'3)Target &amp; Cal_Sect'!$B$4:$B$60,'3)Target &amp; Cal_Dept'!$B4,'3)Target &amp; Cal_Sect'!$A$4:$A$60,'3)Target &amp; Cal_Dept'!$C4)</f>
        <v>0</v>
      </c>
      <c r="AB4" s="132">
        <f>IFERROR(IF(VLOOKUP($B4,Shortage!$A:$M,AB$2,FALSE)="Shortage",1,IFERROR(ROUND(P4/D4,4),0)),IFERROR(ROUND(P4/D4,4),0))</f>
        <v>1</v>
      </c>
      <c r="AC4" s="132">
        <f>IFERROR(IF(VLOOKUP($B4,Shortage!$A:$M,AC$2,FALSE)="Shortage",1,IFERROR(ROUND(Q4/E4,4),0)),IFERROR(ROUND(Q4/E4,4),0))</f>
        <v>0</v>
      </c>
      <c r="AD4" s="132">
        <f>IFERROR(IF(VLOOKUP($B4,Shortage!$A:$M,AD$2,FALSE)="Shortage",1,IFERROR(ROUND(R4/F4,4),0)),IFERROR(ROUND(R4/F4,4),0))</f>
        <v>0</v>
      </c>
      <c r="AE4" s="132">
        <f>IFERROR(IF(VLOOKUP($B4,Shortage!$A:$M,AE$2,FALSE)="Shortage",1,IFERROR(ROUND(S4/G4,4),0)),IFERROR(ROUND(S4/G4,4),0))</f>
        <v>0</v>
      </c>
      <c r="AF4" s="132">
        <f>IFERROR(IF(VLOOKUP($B4,Shortage!$A:$M,AF$2,FALSE)="Shortage",1,IFERROR(ROUND(T4/H4,4),0)),IFERROR(ROUND(T4/H4,4),0))</f>
        <v>0</v>
      </c>
      <c r="AG4" s="132">
        <f>IFERROR(IF(VLOOKUP($B4,Shortage!$A:$M,AG$2,FALSE)="Shortage",1,IFERROR(ROUND(U4/I4,4),0)),IFERROR(ROUND(U4/I4,4),0))</f>
        <v>0</v>
      </c>
      <c r="AH4" s="132">
        <f>IFERROR(IF(VLOOKUP($B4,Shortage!$A:$M,AH$2,FALSE)="Shortage",1,IFERROR(ROUND(V4/J4,4),0)),IFERROR(ROUND(V4/J4,4),0))</f>
        <v>0</v>
      </c>
      <c r="AI4" s="132">
        <f>IFERROR(IF(VLOOKUP($B4,Shortage!$A:$M,AI$2,FALSE)="Shortage",1,IFERROR(ROUND(W4/K4,4),0)),IFERROR(ROUND(W4/K4,4),0))</f>
        <v>0</v>
      </c>
      <c r="AJ4" s="132">
        <f>IFERROR(IF(VLOOKUP($B4,Shortage!$A:$M,AJ$2,FALSE)="Shortage",1,IFERROR(ROUND(X4/L4,4),0)),IFERROR(ROUND(X4/L4,4),0))</f>
        <v>0</v>
      </c>
      <c r="AK4" s="132">
        <f>IFERROR(IF(VLOOKUP($B4,Shortage!$A:$M,AK$2,FALSE)="Shortage",1,IFERROR(ROUND(Y4/M4,4),0)),IFERROR(ROUND(Y4/M4,4),0))</f>
        <v>0</v>
      </c>
      <c r="AL4" s="132">
        <f>IFERROR(IF(VLOOKUP($B4,Shortage!$A:$M,AL$2,FALSE)="Shortage",1,IFERROR(ROUND(Z4/N4,4),0)),IFERROR(ROUND(Z4/N4,4),0))</f>
        <v>0</v>
      </c>
      <c r="AM4" s="132">
        <f>IFERROR(IF(VLOOKUP($B4,Shortage!$A:$M,AM$2,FALSE)="Shortage",1,IFERROR(ROUND(AA4/O4,4),0)),IFERROR(ROUND(AA4/O4,4),0))</f>
        <v>0</v>
      </c>
      <c r="AN4" s="186">
        <f>IFERROR(_xlfn.XLOOKUP(AB4,'2) หลักการคำนวน Table'!$C$3:$K$3,'2) หลักการคำนวน Table'!$C$3:$K$3,,1),INDEX('2) หลักการคำนวน Table'!$C$3:$K$3,1))</f>
        <v>1</v>
      </c>
      <c r="AO4" s="186">
        <f>IFERROR(
  _xlfn.XLOOKUP(AC4,'2) หลักการคำนวน Table'!$C$3:$K$3,'2) หลักการคำนวน Table'!$C$3:$K$3,,1),
  IF(AC4&lt;MIN('2) หลักการคำนวน Table'!$C$3:$K$3),
     MIN('2) หลักการคำนวน Table'!$C$3:$K$3),
     MAX('2) หลักการคำนวน Table'!$C$3:$K$3)
  )
)</f>
        <v>0.9</v>
      </c>
      <c r="AP4" s="186">
        <f>IFERROR(
  _xlfn.XLOOKUP(AD4,'2) หลักการคำนวน Table'!$C$3:$K$3,'2) หลักการคำนวน Table'!$C$3:$K$3,,1),
  IF(AD4&lt;MIN('2) หลักการคำนวน Table'!$C$3:$K$3),
     MIN('2) หลักการคำนวน Table'!$C$3:$K$3),
     MAX('2) หลักการคำนวน Table'!$C$3:$K$3)
  )
)</f>
        <v>0.9</v>
      </c>
      <c r="AQ4" s="186">
        <f>IFERROR(
  _xlfn.XLOOKUP(AE4,'2) หลักการคำนวน Table'!$C$3:$K$3,'2) หลักการคำนวน Table'!$C$3:$K$3,,1),
  IF(AE4&lt;MIN('2) หลักการคำนวน Table'!$C$3:$K$3),
     MIN('2) หลักการคำนวน Table'!$C$3:$K$3),
     MAX('2) หลักการคำนวน Table'!$C$3:$K$3)
  )
)</f>
        <v>0.9</v>
      </c>
      <c r="AR4" s="186">
        <f>IFERROR(
  _xlfn.XLOOKUP(AF4,'2) หลักการคำนวน Table'!$C$3:$K$3,'2) หลักการคำนวน Table'!$C$3:$K$3,,1),
  IF(AF4&lt;MIN('2) หลักการคำนวน Table'!$C$3:$K$3),
     MIN('2) หลักการคำนวน Table'!$C$3:$K$3),
     MAX('2) หลักการคำนวน Table'!$C$3:$K$3)
  )
)</f>
        <v>0.9</v>
      </c>
      <c r="AS4" s="186">
        <f>IFERROR(
  _xlfn.XLOOKUP(AG4,'2) หลักการคำนวน Table'!$C$3:$K$3,'2) หลักการคำนวน Table'!$C$3:$K$3,,1),
  IF(AG4&lt;MIN('2) หลักการคำนวน Table'!$C$3:$K$3),
     MIN('2) หลักการคำนวน Table'!$C$3:$K$3),
     MAX('2) หลักการคำนวน Table'!$C$3:$K$3)
  )
)</f>
        <v>0.9</v>
      </c>
      <c r="AT4" s="186">
        <f>IFERROR(
  _xlfn.XLOOKUP(AH4,'2) หลักการคำนวน Table'!$C$3:$K$3,'2) หลักการคำนวน Table'!$C$3:$K$3,,1),
  IF(AH4&lt;MIN('2) หลักการคำนวน Table'!$C$3:$K$3),
     MIN('2) หลักการคำนวน Table'!$C$3:$K$3),
     MAX('2) หลักการคำนวน Table'!$C$3:$K$3)
  )
)</f>
        <v>0.9</v>
      </c>
      <c r="AU4" s="186">
        <f>IFERROR(
  _xlfn.XLOOKUP(AI4,'2) หลักการคำนวน Table'!$C$3:$K$3,'2) หลักการคำนวน Table'!$C$3:$K$3,,1),
  IF(AI4&lt;MIN('2) หลักการคำนวน Table'!$C$3:$K$3),
     MIN('2) หลักการคำนวน Table'!$C$3:$K$3),
     MAX('2) หลักการคำนวน Table'!$C$3:$K$3)
  )
)</f>
        <v>0.9</v>
      </c>
      <c r="AV4" s="186">
        <f>IFERROR(
  _xlfn.XLOOKUP(AJ4,'2) หลักการคำนวน Table'!$C$3:$K$3,'2) หลักการคำนวน Table'!$C$3:$K$3,,1),
  IF(AJ4&lt;MIN('2) หลักการคำนวน Table'!$C$3:$K$3),
     MIN('2) หลักการคำนวน Table'!$C$3:$K$3),
     MAX('2) หลักการคำนวน Table'!$C$3:$K$3)
  )
)</f>
        <v>0.9</v>
      </c>
      <c r="AW4" s="186">
        <f>IFERROR(
  _xlfn.XLOOKUP(AK4,'2) หลักการคำนวน Table'!$C$3:$K$3,'2) หลักการคำนวน Table'!$C$3:$K$3,,1),
  IF(AK4&lt;MIN('2) หลักการคำนวน Table'!$C$3:$K$3),
     MIN('2) หลักการคำนวน Table'!$C$3:$K$3),
     MAX('2) หลักการคำนวน Table'!$C$3:$K$3)
  )
)</f>
        <v>0.9</v>
      </c>
      <c r="AX4" s="186">
        <f>IFERROR(
  _xlfn.XLOOKUP(AL4,'2) หลักการคำนวน Table'!$C$3:$K$3,'2) หลักการคำนวน Table'!$C$3:$K$3,,1),
  IF(AL4&lt;MIN('2) หลักการคำนวน Table'!$C$3:$K$3),
     MIN('2) หลักการคำนวน Table'!$C$3:$K$3),
     MAX('2) หลักการคำนวน Table'!$C$3:$K$3)
  )
)</f>
        <v>0.9</v>
      </c>
      <c r="AY4" s="186">
        <f>IFERROR(
  _xlfn.XLOOKUP(AM4,'2) หลักการคำนวน Table'!$C$3:$K$3,'2) หลักการคำนวน Table'!$C$3:$K$3,,1),
  IF(AM4&lt;MIN('2) หลักการคำนวน Table'!$C$3:$K$3),
     MIN('2) หลักการคำนวน Table'!$C$3:$K$3),
     MAX('2) หลักการคำนวน Table'!$C$3:$K$3)
  )
)</f>
        <v>0.9</v>
      </c>
      <c r="AZ4" s="135" t="e" cm="1">
        <f t="array" ref="AZ4">ROUND((_xlfn.XLOOKUP($C4,'[1]2) หลักการคำนวน Table'!$A$4:$A$36,
_xlfn.XLOOKUP(AN4,'[1]2) หลักการคำนวน Table'!$C$3:$K$3,'[1]2) หลักการคำนวน Table'!$C$4:$K$36,,-1)))*(_xlfn.XLOOKUP($C4,'[1]2) หลักการคำนวน Table'!$A$4:$A$36, _xlfn.XLOOKUP($B4,'[1]2) หลักการคำนวน Table'!$L$3:$Z$3,'[1]2) หลักการคำนวน Table'!$L$4:$Z$36))),0)</f>
        <v>#N/A</v>
      </c>
      <c r="BA4" s="135" t="e" cm="1">
        <f t="array" ref="BA4">ROUND((_xlfn.XLOOKUP($C4,'2) หลักการคำนวน Table'!$A$4:$A$36,
_xlfn.XLOOKUP(AO4,'2)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B4" s="135" t="e" cm="1">
        <f t="array" ref="BB4">ROUND((_xlfn.XLOOKUP($C4,'2) หลักการคำนวน Table'!$A$4:$A$36,
_xlfn.XLOOKUP(AP4,'2)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C4" s="135" t="e" cm="1">
        <f t="array" ref="BC4">ROUND((_xlfn.XLOOKUP($C4,'2) หลักการคำนวน Table'!$A$4:$A$36,
_xlfn.XLOOKUP(AQ4,'2)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D4" s="135" t="e" cm="1">
        <f t="array" ref="BD4">ROUND((_xlfn.XLOOKUP($C4,'2) หลักการคำนวน Table'!$A$4:$A$36,
_xlfn.XLOOKUP(AR4,'2)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E4" s="135" t="e" cm="1">
        <f t="array" ref="BE4">ROUND((_xlfn.XLOOKUP($C4,'2) หลักการคำนวน Table'!$A$4:$A$36,
_xlfn.XLOOKUP(AS4,'2)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F4" s="135" t="e" cm="1">
        <f t="array" ref="BF4">ROUND((_xlfn.XLOOKUP($C4,'2) หลักการคำนวน Table'!$A$4:$A$36,
_xlfn.XLOOKUP(AT4,'2)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G4" s="135" t="e" cm="1">
        <f t="array" ref="BG4">ROUND((_xlfn.XLOOKUP($C4,'2) หลักการคำนวน Table'!$A$4:$A$36,
_xlfn.XLOOKUP(AU4,'2)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H4" s="135" t="e" cm="1">
        <f t="array" ref="BH4">ROUND((_xlfn.XLOOKUP($C4,'2) หลักการคำนวน Table'!$A$4:$A$36,
_xlfn.XLOOKUP(AV4,'2)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I4" s="135" t="e" cm="1">
        <f t="array" ref="BI4">ROUND((_xlfn.XLOOKUP($C4,'2) หลักการคำนวน Table'!$A$4:$A$36,
_xlfn.XLOOKUP(AW4,'2)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J4" s="135" t="e" cm="1">
        <f t="array" ref="BJ4">ROUND((_xlfn.XLOOKUP($C4,'2) หลักการคำนวน Table'!$A$4:$A$36,
_xlfn.XLOOKUP(AX4,'2)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K4" s="135" t="e" cm="1">
        <f t="array" ref="BK4">ROUND((_xlfn.XLOOKUP($C4,'2) หลักการคำนวน Table'!$A$4:$A$36,
_xlfn.XLOOKUP(AY4,'2)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L4" s="239"/>
      <c r="BM4" s="126">
        <v>222234</v>
      </c>
      <c r="BN4" s="245">
        <v>1031</v>
      </c>
    </row>
    <row r="5" spans="1:66" ht="13.2" customHeight="1" x14ac:dyDescent="0.25">
      <c r="A5" s="128">
        <f>VLOOKUP(C5,ASTBase!F:S,12,FALSE)</f>
        <v>222222</v>
      </c>
      <c r="B5" s="126" t="s">
        <v>408</v>
      </c>
      <c r="C5" s="128">
        <v>222234</v>
      </c>
      <c r="D5" s="127">
        <f>SUMIFS('3)Target &amp; Cal_Sect'!D$4:D$60,'3)Target &amp; Cal_Sect'!$B$4:$B$60,'3)Target &amp; Cal_Dept'!$B5,'3)Target &amp; Cal_Sect'!$A$4:$A$60,'3)Target &amp; Cal_Dept'!$C5)</f>
        <v>50398</v>
      </c>
      <c r="E5" s="127">
        <f>SUMIFS('3)Target &amp; Cal_Sect'!E$4:E$60,'3)Target &amp; Cal_Sect'!$B$4:$B$60,'3)Target &amp; Cal_Dept'!$B5,'3)Target &amp; Cal_Sect'!$A$4:$A$60,'3)Target &amp; Cal_Dept'!$C5)</f>
        <v>48310</v>
      </c>
      <c r="F5" s="127">
        <f>SUMIFS('3)Target &amp; Cal_Sect'!F$4:F$60,'3)Target &amp; Cal_Sect'!$B$4:$B$60,'3)Target &amp; Cal_Dept'!$B5,'3)Target &amp; Cal_Sect'!$A$4:$A$60,'3)Target &amp; Cal_Dept'!$C5)</f>
        <v>48360</v>
      </c>
      <c r="G5" s="127">
        <f>SUMIFS('3)Target &amp; Cal_Sect'!G$4:G$60,'3)Target &amp; Cal_Sect'!$B$4:$B$60,'3)Target &amp; Cal_Dept'!$B5,'3)Target &amp; Cal_Sect'!$A$4:$A$60,'3)Target &amp; Cal_Dept'!$C5)</f>
        <v>49300</v>
      </c>
      <c r="H5" s="127">
        <f>SUMIFS('3)Target &amp; Cal_Sect'!H$4:H$60,'3)Target &amp; Cal_Sect'!$B$4:$B$60,'3)Target &amp; Cal_Dept'!$B5,'3)Target &amp; Cal_Sect'!$A$4:$A$60,'3)Target &amp; Cal_Dept'!$C5)</f>
        <v>53768</v>
      </c>
      <c r="I5" s="127">
        <f>SUMIFS('3)Target &amp; Cal_Sect'!I$4:I$60,'3)Target &amp; Cal_Sect'!$B$4:$B$60,'3)Target &amp; Cal_Dept'!$B5,'3)Target &amp; Cal_Sect'!$A$4:$A$60,'3)Target &amp; Cal_Dept'!$C5)</f>
        <v>50031</v>
      </c>
      <c r="J5" s="127">
        <f>SUMIFS('3)Target &amp; Cal_Sect'!J$4:J$60,'3)Target &amp; Cal_Sect'!$B$4:$B$60,'3)Target &amp; Cal_Dept'!$B5,'3)Target &amp; Cal_Sect'!$A$4:$A$60,'3)Target &amp; Cal_Dept'!$C5)</f>
        <v>52757</v>
      </c>
      <c r="K5" s="127">
        <f>SUMIFS('3)Target &amp; Cal_Sect'!K$4:K$60,'3)Target &amp; Cal_Sect'!$B$4:$B$60,'3)Target &amp; Cal_Dept'!$B5,'3)Target &amp; Cal_Sect'!$A$4:$A$60,'3)Target &amp; Cal_Dept'!$C5)</f>
        <v>50648</v>
      </c>
      <c r="L5" s="127">
        <f>SUMIFS('3)Target &amp; Cal_Sect'!L$4:L$60,'3)Target &amp; Cal_Sect'!$B$4:$B$60,'3)Target &amp; Cal_Dept'!$B5,'3)Target &amp; Cal_Sect'!$A$4:$A$60,'3)Target &amp; Cal_Dept'!$C5)</f>
        <v>50699</v>
      </c>
      <c r="M5" s="127">
        <f>SUMIFS('3)Target &amp; Cal_Sect'!M$4:M$60,'3)Target &amp; Cal_Sect'!$B$4:$B$60,'3)Target &amp; Cal_Dept'!$B5,'3)Target &amp; Cal_Sect'!$A$4:$A$60,'3)Target &amp; Cal_Dept'!$C5)</f>
        <v>50079</v>
      </c>
      <c r="N5" s="127">
        <f>SUMIFS('3)Target &amp; Cal_Sect'!N$4:N$60,'3)Target &amp; Cal_Sect'!$B$4:$B$60,'3)Target &amp; Cal_Dept'!$B5,'3)Target &amp; Cal_Sect'!$A$4:$A$60,'3)Target &amp; Cal_Dept'!$C5)</f>
        <v>45813</v>
      </c>
      <c r="O5" s="127">
        <f>SUMIFS('3)Target &amp; Cal_Sect'!O$4:O$60,'3)Target &amp; Cal_Sect'!$B$4:$B$60,'3)Target &amp; Cal_Dept'!$B5,'3)Target &amp; Cal_Sect'!$A$4:$A$60,'3)Target &amp; Cal_Dept'!$C5)</f>
        <v>53676</v>
      </c>
      <c r="P5" s="127">
        <f>SUMIFS('3)Target &amp; Cal_Sect'!P$4:P$60,'3)Target &amp; Cal_Sect'!$B$4:$B$60,'3)Target &amp; Cal_Dept'!$B5,'3)Target &amp; Cal_Sect'!$A$4:$A$60,'3)Target &amp; Cal_Dept'!$C5)</f>
        <v>55275.659999999967</v>
      </c>
      <c r="Q5" s="127">
        <f>SUMIFS('3)Target &amp; Cal_Sect'!Q$4:Q$60,'3)Target &amp; Cal_Sect'!$B$4:$B$60,'3)Target &amp; Cal_Dept'!$B5,'3)Target &amp; Cal_Sect'!$A$4:$A$60,'3)Target &amp; Cal_Dept'!$C5)</f>
        <v>0</v>
      </c>
      <c r="R5" s="127">
        <f>SUMIFS('3)Target &amp; Cal_Sect'!R$4:R$60,'3)Target &amp; Cal_Sect'!$B$4:$B$60,'3)Target &amp; Cal_Dept'!$B5,'3)Target &amp; Cal_Sect'!$A$4:$A$60,'3)Target &amp; Cal_Dept'!$C5)</f>
        <v>0</v>
      </c>
      <c r="S5" s="127">
        <f>SUMIFS('3)Target &amp; Cal_Sect'!S$4:S$60,'3)Target &amp; Cal_Sect'!$B$4:$B$60,'3)Target &amp; Cal_Dept'!$B5,'3)Target &amp; Cal_Sect'!$A$4:$A$60,'3)Target &amp; Cal_Dept'!$C5)</f>
        <v>0</v>
      </c>
      <c r="T5" s="127">
        <f>SUMIFS('3)Target &amp; Cal_Sect'!T$4:T$60,'3)Target &amp; Cal_Sect'!$B$4:$B$60,'3)Target &amp; Cal_Dept'!$B5,'3)Target &amp; Cal_Sect'!$A$4:$A$60,'3)Target &amp; Cal_Dept'!$C5)</f>
        <v>0</v>
      </c>
      <c r="U5" s="127">
        <f>SUMIFS('3)Target &amp; Cal_Sect'!U$4:U$60,'3)Target &amp; Cal_Sect'!$B$4:$B$60,'3)Target &amp; Cal_Dept'!$B5,'3)Target &amp; Cal_Sect'!$A$4:$A$60,'3)Target &amp; Cal_Dept'!$C5)</f>
        <v>0</v>
      </c>
      <c r="V5" s="127">
        <f>SUMIFS('3)Target &amp; Cal_Sect'!V$4:V$60,'3)Target &amp; Cal_Sect'!$B$4:$B$60,'3)Target &amp; Cal_Dept'!$B5,'3)Target &amp; Cal_Sect'!$A$4:$A$60,'3)Target &amp; Cal_Dept'!$C5)</f>
        <v>0</v>
      </c>
      <c r="W5" s="127">
        <f>SUMIFS('3)Target &amp; Cal_Sect'!W$4:W$60,'3)Target &amp; Cal_Sect'!$B$4:$B$60,'3)Target &amp; Cal_Dept'!$B5,'3)Target &amp; Cal_Sect'!$A$4:$A$60,'3)Target &amp; Cal_Dept'!$C5)</f>
        <v>0</v>
      </c>
      <c r="X5" s="127">
        <f>SUMIFS('3)Target &amp; Cal_Sect'!X$4:X$60,'3)Target &amp; Cal_Sect'!$B$4:$B$60,'3)Target &amp; Cal_Dept'!$B5,'3)Target &amp; Cal_Sect'!$A$4:$A$60,'3)Target &amp; Cal_Dept'!$C5)</f>
        <v>0</v>
      </c>
      <c r="Y5" s="127">
        <f>SUMIFS('3)Target &amp; Cal_Sect'!Y$4:Y$60,'3)Target &amp; Cal_Sect'!$B$4:$B$60,'3)Target &amp; Cal_Dept'!$B5,'3)Target &amp; Cal_Sect'!$A$4:$A$60,'3)Target &amp; Cal_Dept'!$C5)</f>
        <v>0</v>
      </c>
      <c r="Z5" s="127">
        <f>SUMIFS('3)Target &amp; Cal_Sect'!Z$4:Z$60,'3)Target &amp; Cal_Sect'!$B$4:$B$60,'3)Target &amp; Cal_Dept'!$B5,'3)Target &amp; Cal_Sect'!$A$4:$A$60,'3)Target &amp; Cal_Dept'!$C5)</f>
        <v>0</v>
      </c>
      <c r="AA5" s="127">
        <f>SUMIFS('3)Target &amp; Cal_Sect'!AA$4:AA$60,'3)Target &amp; Cal_Sect'!$B$4:$B$60,'3)Target &amp; Cal_Dept'!$B5,'3)Target &amp; Cal_Sect'!$A$4:$A$60,'3)Target &amp; Cal_Dept'!$C5)</f>
        <v>0</v>
      </c>
      <c r="AB5" s="132">
        <f>IFERROR(IF(VLOOKUP($B5,Shortage!$A:$M,AB$2,FALSE)="Shortage",1,IFERROR(ROUND(P5/D5,4),0)),IFERROR(ROUND(P5/D5,4),0))</f>
        <v>1.0968</v>
      </c>
      <c r="AC5" s="132">
        <f>IFERROR(IF(VLOOKUP($B5,Shortage!$A:$M,AC$2,FALSE)="Shortage",1,IFERROR(ROUND(Q5/E5,4),0)),IFERROR(ROUND(Q5/E5,4),0))</f>
        <v>0</v>
      </c>
      <c r="AD5" s="132">
        <f>IFERROR(IF(VLOOKUP($B5,Shortage!$A:$M,AD$2,FALSE)="Shortage",1,IFERROR(ROUND(R5/F5,4),0)),IFERROR(ROUND(R5/F5,4),0))</f>
        <v>0</v>
      </c>
      <c r="AE5" s="132">
        <f>IFERROR(IF(VLOOKUP($B5,Shortage!$A:$M,AE$2,FALSE)="Shortage",1,IFERROR(ROUND(S5/G5,4),0)),IFERROR(ROUND(S5/G5,4),0))</f>
        <v>0</v>
      </c>
      <c r="AF5" s="132">
        <f>IFERROR(IF(VLOOKUP($B5,Shortage!$A:$M,AF$2,FALSE)="Shortage",1,IFERROR(ROUND(T5/H5,4),0)),IFERROR(ROUND(T5/H5,4),0))</f>
        <v>0</v>
      </c>
      <c r="AG5" s="132">
        <f>IFERROR(IF(VLOOKUP($B5,Shortage!$A:$M,AG$2,FALSE)="Shortage",1,IFERROR(ROUND(U5/I5,4),0)),IFERROR(ROUND(U5/I5,4),0))</f>
        <v>0</v>
      </c>
      <c r="AH5" s="132">
        <f>IFERROR(IF(VLOOKUP($B5,Shortage!$A:$M,AH$2,FALSE)="Shortage",1,IFERROR(ROUND(V5/J5,4),0)),IFERROR(ROUND(V5/J5,4),0))</f>
        <v>0</v>
      </c>
      <c r="AI5" s="132">
        <f>IFERROR(IF(VLOOKUP($B5,Shortage!$A:$M,AI$2,FALSE)="Shortage",1,IFERROR(ROUND(W5/K5,4),0)),IFERROR(ROUND(W5/K5,4),0))</f>
        <v>0</v>
      </c>
      <c r="AJ5" s="132">
        <f>IFERROR(IF(VLOOKUP($B5,Shortage!$A:$M,AJ$2,FALSE)="Shortage",1,IFERROR(ROUND(X5/L5,4),0)),IFERROR(ROUND(X5/L5,4),0))</f>
        <v>0</v>
      </c>
      <c r="AK5" s="132">
        <f>IFERROR(IF(VLOOKUP($B5,Shortage!$A:$M,AK$2,FALSE)="Shortage",1,IFERROR(ROUND(Y5/M5,4),0)),IFERROR(ROUND(Y5/M5,4),0))</f>
        <v>0</v>
      </c>
      <c r="AL5" s="132">
        <f>IFERROR(IF(VLOOKUP($B5,Shortage!$A:$M,AL$2,FALSE)="Shortage",1,IFERROR(ROUND(Z5/N5,4),0)),IFERROR(ROUND(Z5/N5,4),0))</f>
        <v>0</v>
      </c>
      <c r="AM5" s="132">
        <f>IFERROR(IF(VLOOKUP($B5,Shortage!$A:$M,AM$2,FALSE)="Shortage",1,IFERROR(ROUND(AA5/O5,4),0)),IFERROR(ROUND(AA5/O5,4),0))</f>
        <v>0</v>
      </c>
      <c r="AN5" s="186">
        <f>IFERROR(_xlfn.XLOOKUP(AB5,'2) หลักการคำนวน Table'!$C$3:$K$3,'2) หลักการคำนวน Table'!$C$3:$K$3,,1),INDEX('2) หลักการคำนวน Table'!$C$3:$K$3,1))</f>
        <v>1.1000000000000001</v>
      </c>
      <c r="AO5" s="186">
        <f>IFERROR(
  _xlfn.XLOOKUP(AC5,'2) หลักการคำนวน Table'!$C$3:$K$3,'2) หลักการคำนวน Table'!$C$3:$K$3,,1),
  IF(AC5&lt;MIN('2) หลักการคำนวน Table'!$C$3:$K$3),
     MIN('2) หลักการคำนวน Table'!$C$3:$K$3),
     MAX('2) หลักการคำนวน Table'!$C$3:$K$3)
  )
)</f>
        <v>0.9</v>
      </c>
      <c r="AP5" s="186">
        <f>IFERROR(
  _xlfn.XLOOKUP(AD5,'2) หลักการคำนวน Table'!$C$3:$K$3,'2) หลักการคำนวน Table'!$C$3:$K$3,,1),
  IF(AD5&lt;MIN('2) หลักการคำนวน Table'!$C$3:$K$3),
     MIN('2) หลักการคำนวน Table'!$C$3:$K$3),
     MAX('2) หลักการคำนวน Table'!$C$3:$K$3)
  )
)</f>
        <v>0.9</v>
      </c>
      <c r="AQ5" s="186">
        <f>IFERROR(
  _xlfn.XLOOKUP(AE5,'2) หลักการคำนวน Table'!$C$3:$K$3,'2) หลักการคำนวน Table'!$C$3:$K$3,,1),
  IF(AE5&lt;MIN('2) หลักการคำนวน Table'!$C$3:$K$3),
     MIN('2) หลักการคำนวน Table'!$C$3:$K$3),
     MAX('2) หลักการคำนวน Table'!$C$3:$K$3)
  )
)</f>
        <v>0.9</v>
      </c>
      <c r="AR5" s="186">
        <f>IFERROR(
  _xlfn.XLOOKUP(AF5,'2) หลักการคำนวน Table'!$C$3:$K$3,'2) หลักการคำนวน Table'!$C$3:$K$3,,1),
  IF(AF5&lt;MIN('2) หลักการคำนวน Table'!$C$3:$K$3),
     MIN('2) หลักการคำนวน Table'!$C$3:$K$3),
     MAX('2) หลักการคำนวน Table'!$C$3:$K$3)
  )
)</f>
        <v>0.9</v>
      </c>
      <c r="AS5" s="186">
        <f>IFERROR(
  _xlfn.XLOOKUP(AG5,'2) หลักการคำนวน Table'!$C$3:$K$3,'2) หลักการคำนวน Table'!$C$3:$K$3,,1),
  IF(AG5&lt;MIN('2) หลักการคำนวน Table'!$C$3:$K$3),
     MIN('2) หลักการคำนวน Table'!$C$3:$K$3),
     MAX('2) หลักการคำนวน Table'!$C$3:$K$3)
  )
)</f>
        <v>0.9</v>
      </c>
      <c r="AT5" s="186">
        <f>IFERROR(
  _xlfn.XLOOKUP(AH5,'2) หลักการคำนวน Table'!$C$3:$K$3,'2) หลักการคำนวน Table'!$C$3:$K$3,,1),
  IF(AH5&lt;MIN('2) หลักการคำนวน Table'!$C$3:$K$3),
     MIN('2) หลักการคำนวน Table'!$C$3:$K$3),
     MAX('2) หลักการคำนวน Table'!$C$3:$K$3)
  )
)</f>
        <v>0.9</v>
      </c>
      <c r="AU5" s="186">
        <f>IFERROR(
  _xlfn.XLOOKUP(AI5,'2) หลักการคำนวน Table'!$C$3:$K$3,'2) หลักการคำนวน Table'!$C$3:$K$3,,1),
  IF(AI5&lt;MIN('2) หลักการคำนวน Table'!$C$3:$K$3),
     MIN('2) หลักการคำนวน Table'!$C$3:$K$3),
     MAX('2) หลักการคำนวน Table'!$C$3:$K$3)
  )
)</f>
        <v>0.9</v>
      </c>
      <c r="AV5" s="186">
        <f>IFERROR(
  _xlfn.XLOOKUP(AJ5,'2) หลักการคำนวน Table'!$C$3:$K$3,'2) หลักการคำนวน Table'!$C$3:$K$3,,1),
  IF(AJ5&lt;MIN('2) หลักการคำนวน Table'!$C$3:$K$3),
     MIN('2) หลักการคำนวน Table'!$C$3:$K$3),
     MAX('2) หลักการคำนวน Table'!$C$3:$K$3)
  )
)</f>
        <v>0.9</v>
      </c>
      <c r="AW5" s="186">
        <f>IFERROR(
  _xlfn.XLOOKUP(AK5,'2) หลักการคำนวน Table'!$C$3:$K$3,'2) หลักการคำนวน Table'!$C$3:$K$3,,1),
  IF(AK5&lt;MIN('2) หลักการคำนวน Table'!$C$3:$K$3),
     MIN('2) หลักการคำนวน Table'!$C$3:$K$3),
     MAX('2) หลักการคำนวน Table'!$C$3:$K$3)
  )
)</f>
        <v>0.9</v>
      </c>
      <c r="AX5" s="186">
        <f>IFERROR(
  _xlfn.XLOOKUP(AL5,'2) หลักการคำนวน Table'!$C$3:$K$3,'2) หลักการคำนวน Table'!$C$3:$K$3,,1),
  IF(AL5&lt;MIN('2) หลักการคำนวน Table'!$C$3:$K$3),
     MIN('2) หลักการคำนวน Table'!$C$3:$K$3),
     MAX('2) หลักการคำนวน Table'!$C$3:$K$3)
  )
)</f>
        <v>0.9</v>
      </c>
      <c r="AY5" s="186">
        <f>IFERROR(
  _xlfn.XLOOKUP(AM5,'2) หลักการคำนวน Table'!$C$3:$K$3,'2) หลักการคำนวน Table'!$C$3:$K$3,,1),
  IF(AM5&lt;MIN('2) หลักการคำนวน Table'!$C$3:$K$3),
     MIN('2) หลักการคำนวน Table'!$C$3:$K$3),
     MAX('2) หลักการคำนวน Table'!$C$3:$K$3)
  )
)</f>
        <v>0.9</v>
      </c>
      <c r="AZ5" s="135" t="e" cm="1">
        <f t="array" ref="AZ5">ROUND((_xlfn.XLOOKUP($C5,'2) หลักการคำนวน Table'!$A$4:$A$36,
_xlfn.XLOOKUP(AN5,'2)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A5" s="135" t="e" cm="1">
        <f t="array" ref="BA5">ROUND((_xlfn.XLOOKUP($C5,'2) หลักการคำนวน Table'!$A$4:$A$36,
_xlfn.XLOOKUP(AO5,'2)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B5" s="135" t="e" cm="1">
        <f t="array" ref="BB5">ROUND((_xlfn.XLOOKUP($C5,'2) หลักการคำนวน Table'!$A$4:$A$36,
_xlfn.XLOOKUP(AP5,'2)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C5" s="135" t="e" cm="1">
        <f t="array" ref="BC5">ROUND((_xlfn.XLOOKUP($C5,'2) หลักการคำนวน Table'!$A$4:$A$36,
_xlfn.XLOOKUP(AQ5,'2)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D5" s="135" t="e" cm="1">
        <f t="array" ref="BD5">ROUND((_xlfn.XLOOKUP($C5,'2) หลักการคำนวน Table'!$A$4:$A$36,
_xlfn.XLOOKUP(AR5,'2)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E5" s="135" t="e" cm="1">
        <f t="array" ref="BE5">ROUND((_xlfn.XLOOKUP($C5,'2) หลักการคำนวน Table'!$A$4:$A$36,
_xlfn.XLOOKUP(AS5,'2)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F5" s="135" t="e" cm="1">
        <f t="array" ref="BF5">ROUND((_xlfn.XLOOKUP($C5,'2) หลักการคำนวน Table'!$A$4:$A$36,
_xlfn.XLOOKUP(AT5,'2)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G5" s="135" t="e" cm="1">
        <f t="array" ref="BG5">ROUND((_xlfn.XLOOKUP($C5,'2) หลักการคำนวน Table'!$A$4:$A$36,
_xlfn.XLOOKUP(AU5,'2)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H5" s="135" t="e" cm="1">
        <f t="array" ref="BH5">ROUND((_xlfn.XLOOKUP($C5,'2) หลักการคำนวน Table'!$A$4:$A$36,
_xlfn.XLOOKUP(AV5,'2)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I5" s="135" t="e" cm="1">
        <f t="array" ref="BI5">ROUND((_xlfn.XLOOKUP($C5,'2) หลักการคำนวน Table'!$A$4:$A$36,
_xlfn.XLOOKUP(AW5,'2)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J5" s="135" t="e" cm="1">
        <f t="array" ref="BJ5">ROUND((_xlfn.XLOOKUP($C5,'2) หลักการคำนวน Table'!$A$4:$A$36,
_xlfn.XLOOKUP(AX5,'2)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K5" s="135" t="e" cm="1">
        <f t="array" ref="BK5">ROUND((_xlfn.XLOOKUP($C5,'2) หลักการคำนวน Table'!$A$4:$A$36,
_xlfn.XLOOKUP(AY5,'2)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L5" s="239"/>
      <c r="BM5" s="126">
        <v>222234</v>
      </c>
      <c r="BN5" s="292">
        <v>158</v>
      </c>
    </row>
    <row r="6" spans="1:66" ht="13.2" customHeight="1" x14ac:dyDescent="0.25">
      <c r="A6" s="128">
        <f>VLOOKUP(C6,ASTBase!F:S,12,FALSE)</f>
        <v>222222</v>
      </c>
      <c r="B6" s="126" t="s">
        <v>416</v>
      </c>
      <c r="C6" s="128">
        <v>222234</v>
      </c>
      <c r="D6" s="127">
        <f>SUMIFS('3)Target &amp; Cal_Sect'!D$4:D$60,'3)Target &amp; Cal_Sect'!$B$4:$B$60,'3)Target &amp; Cal_Dept'!$B6,'3)Target &amp; Cal_Sect'!$A$4:$A$60,'3)Target &amp; Cal_Dept'!$C6)</f>
        <v>1161.2</v>
      </c>
      <c r="E6" s="127">
        <f>SUMIFS('3)Target &amp; Cal_Sect'!E$4:E$60,'3)Target &amp; Cal_Sect'!$B$4:$B$60,'3)Target &amp; Cal_Dept'!$B6,'3)Target &amp; Cal_Sect'!$A$4:$A$60,'3)Target &amp; Cal_Dept'!$C6)</f>
        <v>1331.6</v>
      </c>
      <c r="F6" s="127">
        <f>SUMIFS('3)Target &amp; Cal_Sect'!F$4:F$60,'3)Target &amp; Cal_Sect'!$B$4:$B$60,'3)Target &amp; Cal_Dept'!$B6,'3)Target &amp; Cal_Sect'!$A$4:$A$60,'3)Target &amp; Cal_Dept'!$C6)</f>
        <v>1475.6</v>
      </c>
      <c r="G6" s="127">
        <f>SUMIFS('3)Target &amp; Cal_Sect'!G$4:G$60,'3)Target &amp; Cal_Sect'!$B$4:$B$60,'3)Target &amp; Cal_Dept'!$B6,'3)Target &amp; Cal_Sect'!$A$4:$A$60,'3)Target &amp; Cal_Dept'!$C6)</f>
        <v>2468.8000000000002</v>
      </c>
      <c r="H6" s="127">
        <f>SUMIFS('3)Target &amp; Cal_Sect'!H$4:H$60,'3)Target &amp; Cal_Sect'!$B$4:$B$60,'3)Target &amp; Cal_Dept'!$B6,'3)Target &amp; Cal_Sect'!$A$4:$A$60,'3)Target &amp; Cal_Dept'!$C6)</f>
        <v>2592</v>
      </c>
      <c r="I6" s="127">
        <f>SUMIFS('3)Target &amp; Cal_Sect'!I$4:I$60,'3)Target &amp; Cal_Sect'!$B$4:$B$60,'3)Target &amp; Cal_Dept'!$B6,'3)Target &amp; Cal_Sect'!$A$4:$A$60,'3)Target &amp; Cal_Dept'!$C6)</f>
        <v>2219.25</v>
      </c>
      <c r="J6" s="127">
        <f>SUMIFS('3)Target &amp; Cal_Sect'!J$4:J$60,'3)Target &amp; Cal_Sect'!$B$4:$B$60,'3)Target &amp; Cal_Dept'!$B6,'3)Target &amp; Cal_Sect'!$A$4:$A$60,'3)Target &amp; Cal_Dept'!$C6)</f>
        <v>4032.7</v>
      </c>
      <c r="K6" s="127">
        <f>SUMIFS('3)Target &amp; Cal_Sect'!K$4:K$60,'3)Target &amp; Cal_Sect'!$B$4:$B$60,'3)Target &amp; Cal_Dept'!$B6,'3)Target &amp; Cal_Sect'!$A$4:$A$60,'3)Target &amp; Cal_Dept'!$C6)</f>
        <v>4199.45</v>
      </c>
      <c r="L6" s="127">
        <f>SUMIFS('3)Target &amp; Cal_Sect'!L$4:L$60,'3)Target &amp; Cal_Sect'!$B$4:$B$60,'3)Target &amp; Cal_Dept'!$B6,'3)Target &amp; Cal_Sect'!$A$4:$A$60,'3)Target &amp; Cal_Dept'!$C6)</f>
        <v>3819</v>
      </c>
      <c r="M6" s="127">
        <f>SUMIFS('3)Target &amp; Cal_Sect'!M$4:M$60,'3)Target &amp; Cal_Sect'!$B$4:$B$60,'3)Target &amp; Cal_Dept'!$B6,'3)Target &amp; Cal_Sect'!$A$4:$A$60,'3)Target &amp; Cal_Dept'!$C6)</f>
        <v>2434</v>
      </c>
      <c r="N6" s="127">
        <f>SUMIFS('3)Target &amp; Cal_Sect'!N$4:N$60,'3)Target &amp; Cal_Sect'!$B$4:$B$60,'3)Target &amp; Cal_Dept'!$B6,'3)Target &amp; Cal_Sect'!$A$4:$A$60,'3)Target &amp; Cal_Dept'!$C6)</f>
        <v>1683</v>
      </c>
      <c r="O6" s="127">
        <f>SUMIFS('3)Target &amp; Cal_Sect'!O$4:O$60,'3)Target &amp; Cal_Sect'!$B$4:$B$60,'3)Target &amp; Cal_Dept'!$B6,'3)Target &amp; Cal_Sect'!$A$4:$A$60,'3)Target &amp; Cal_Dept'!$C6)</f>
        <v>1580</v>
      </c>
      <c r="P6" s="324">
        <f>SUMIFS('3)Target &amp; Cal_Sect'!P$4:P$60,'3)Target &amp; Cal_Sect'!$B$4:$B$60,'3)Target &amp; Cal_Dept'!$B6,'3)Target &amp; Cal_Sect'!$A$4:$A$60,'3)Target &amp; Cal_Dept'!$C6)</f>
        <v>1783.9999999624824</v>
      </c>
      <c r="Q6" s="127">
        <f>SUMIFS('3)Target &amp; Cal_Sect'!Q$4:Q$60,'3)Target &amp; Cal_Sect'!$B$4:$B$60,'3)Target &amp; Cal_Dept'!$B6,'3)Target &amp; Cal_Sect'!$A$4:$A$60,'3)Target &amp; Cal_Dept'!$C6)</f>
        <v>0</v>
      </c>
      <c r="R6" s="127">
        <f>SUMIFS('3)Target &amp; Cal_Sect'!R$4:R$60,'3)Target &amp; Cal_Sect'!$B$4:$B$60,'3)Target &amp; Cal_Dept'!$B6,'3)Target &amp; Cal_Sect'!$A$4:$A$60,'3)Target &amp; Cal_Dept'!$C6)</f>
        <v>0</v>
      </c>
      <c r="S6" s="127">
        <f>SUMIFS('3)Target &amp; Cal_Sect'!S$4:S$60,'3)Target &amp; Cal_Sect'!$B$4:$B$60,'3)Target &amp; Cal_Dept'!$B6,'3)Target &amp; Cal_Sect'!$A$4:$A$60,'3)Target &amp; Cal_Dept'!$C6)</f>
        <v>0</v>
      </c>
      <c r="T6" s="127">
        <f>SUMIFS('3)Target &amp; Cal_Sect'!T$4:T$60,'3)Target &amp; Cal_Sect'!$B$4:$B$60,'3)Target &amp; Cal_Dept'!$B6,'3)Target &amp; Cal_Sect'!$A$4:$A$60,'3)Target &amp; Cal_Dept'!$C6)</f>
        <v>0</v>
      </c>
      <c r="U6" s="127">
        <f>SUMIFS('3)Target &amp; Cal_Sect'!U$4:U$60,'3)Target &amp; Cal_Sect'!$B$4:$B$60,'3)Target &amp; Cal_Dept'!$B6,'3)Target &amp; Cal_Sect'!$A$4:$A$60,'3)Target &amp; Cal_Dept'!$C6)</f>
        <v>0</v>
      </c>
      <c r="V6" s="127">
        <f>SUMIFS('3)Target &amp; Cal_Sect'!V$4:V$60,'3)Target &amp; Cal_Sect'!$B$4:$B$60,'3)Target &amp; Cal_Dept'!$B6,'3)Target &amp; Cal_Sect'!$A$4:$A$60,'3)Target &amp; Cal_Dept'!$C6)</f>
        <v>0</v>
      </c>
      <c r="W6" s="127">
        <f>SUMIFS('3)Target &amp; Cal_Sect'!W$4:W$60,'3)Target &amp; Cal_Sect'!$B$4:$B$60,'3)Target &amp; Cal_Dept'!$B6,'3)Target &amp; Cal_Sect'!$A$4:$A$60,'3)Target &amp; Cal_Dept'!$C6)</f>
        <v>0</v>
      </c>
      <c r="X6" s="127">
        <f>SUMIFS('3)Target &amp; Cal_Sect'!X$4:X$60,'3)Target &amp; Cal_Sect'!$B$4:$B$60,'3)Target &amp; Cal_Dept'!$B6,'3)Target &amp; Cal_Sect'!$A$4:$A$60,'3)Target &amp; Cal_Dept'!$C6)</f>
        <v>0</v>
      </c>
      <c r="Y6" s="127">
        <f>SUMIFS('3)Target &amp; Cal_Sect'!Y$4:Y$60,'3)Target &amp; Cal_Sect'!$B$4:$B$60,'3)Target &amp; Cal_Dept'!$B6,'3)Target &amp; Cal_Sect'!$A$4:$A$60,'3)Target &amp; Cal_Dept'!$C6)</f>
        <v>0</v>
      </c>
      <c r="Z6" s="127">
        <f>SUMIFS('3)Target &amp; Cal_Sect'!Z$4:Z$60,'3)Target &amp; Cal_Sect'!$B$4:$B$60,'3)Target &amp; Cal_Dept'!$B6,'3)Target &amp; Cal_Sect'!$A$4:$A$60,'3)Target &amp; Cal_Dept'!$C6)</f>
        <v>0</v>
      </c>
      <c r="AA6" s="127">
        <f>SUMIFS('3)Target &amp; Cal_Sect'!AA$4:AA$60,'3)Target &amp; Cal_Sect'!$B$4:$B$60,'3)Target &amp; Cal_Dept'!$B6,'3)Target &amp; Cal_Sect'!$A$4:$A$60,'3)Target &amp; Cal_Dept'!$C6)</f>
        <v>0</v>
      </c>
      <c r="AB6" s="132">
        <f>IFERROR(IF(VLOOKUP($B6,Shortage!$A:$M,AB$2,FALSE)="Shortage",1,IFERROR(ROUND(P6/D6,4),0)),IFERROR(ROUND(P6/D6,4),0))</f>
        <v>1.5363</v>
      </c>
      <c r="AC6" s="132">
        <f>IFERROR(IF(VLOOKUP($B6,Shortage!$A:$M,AC$2,FALSE)="Shortage",1,IFERROR(ROUND(Q6/E6,4),0)),IFERROR(ROUND(Q6/E6,4),0))</f>
        <v>0</v>
      </c>
      <c r="AD6" s="132">
        <f>IFERROR(IF(VLOOKUP($B6,Shortage!$A:$M,AD$2,FALSE)="Shortage",1,IFERROR(ROUND(R6/F6,4),0)),IFERROR(ROUND(R6/F6,4),0))</f>
        <v>0</v>
      </c>
      <c r="AE6" s="132">
        <f>IFERROR(IF(VLOOKUP($B6,Shortage!$A:$M,AE$2,FALSE)="Shortage",1,IFERROR(ROUND(S6/G6,4),0)),IFERROR(ROUND(S6/G6,4),0))</f>
        <v>0</v>
      </c>
      <c r="AF6" s="132">
        <f>IFERROR(IF(VLOOKUP($B6,Shortage!$A:$M,AF$2,FALSE)="Shortage",1,IFERROR(ROUND(T6/H6,4),0)),IFERROR(ROUND(T6/H6,4),0))</f>
        <v>0</v>
      </c>
      <c r="AG6" s="132">
        <f>IFERROR(IF(VLOOKUP($B6,Shortage!$A:$M,AG$2,FALSE)="Shortage",1,IFERROR(ROUND(U6/I6,4),0)),IFERROR(ROUND(U6/I6,4),0))</f>
        <v>0</v>
      </c>
      <c r="AH6" s="132">
        <f>IFERROR(IF(VLOOKUP($B6,Shortage!$A:$M,AH$2,FALSE)="Shortage",1,IFERROR(ROUND(V6/J6,4),0)),IFERROR(ROUND(V6/J6,4),0))</f>
        <v>0</v>
      </c>
      <c r="AI6" s="132">
        <f>IFERROR(IF(VLOOKUP($B6,Shortage!$A:$M,AI$2,FALSE)="Shortage",1,IFERROR(ROUND(W6/K6,4),0)),IFERROR(ROUND(W6/K6,4),0))</f>
        <v>0</v>
      </c>
      <c r="AJ6" s="132">
        <f>IFERROR(IF(VLOOKUP($B6,Shortage!$A:$M,AJ$2,FALSE)="Shortage",1,IFERROR(ROUND(X6/L6,4),0)),IFERROR(ROUND(X6/L6,4),0))</f>
        <v>0</v>
      </c>
      <c r="AK6" s="132">
        <f>IFERROR(IF(VLOOKUP($B6,Shortage!$A:$M,AK$2,FALSE)="Shortage",1,IFERROR(ROUND(Y6/M6,4),0)),IFERROR(ROUND(Y6/M6,4),0))</f>
        <v>0</v>
      </c>
      <c r="AL6" s="132">
        <f>IFERROR(IF(VLOOKUP($B6,Shortage!$A:$M,AL$2,FALSE)="Shortage",1,IFERROR(ROUND(Z6/N6,4),0)),IFERROR(ROUND(Z6/N6,4),0))</f>
        <v>0</v>
      </c>
      <c r="AM6" s="132">
        <f>IFERROR(IF(VLOOKUP($B6,Shortage!$A:$M,AM$2,FALSE)="Shortage",1,IFERROR(ROUND(AA6/O6,4),0)),IFERROR(ROUND(AA6/O6,4),0))</f>
        <v>0</v>
      </c>
      <c r="AN6" s="186">
        <f>IFERROR(_xlfn.XLOOKUP(AB6,'2) หลักการคำนวน Table'!$C$3:$K$3,'2) หลักการคำนวน Table'!$C$3:$K$3,,1),INDEX('2) หลักการคำนวน Table'!$C$3:$K$3,1))</f>
        <v>20</v>
      </c>
      <c r="AO6" s="186">
        <f>IFERROR(
  _xlfn.XLOOKUP(AC6,'2) หลักการคำนวน Table'!$C$3:$K$3,'2) หลักการคำนวน Table'!$C$3:$K$3,,1),
  IF(AC6&lt;MIN('2) หลักการคำนวน Table'!$C$3:$K$3),
     MIN('2) หลักการคำนวน Table'!$C$3:$K$3),
     MAX('2) หลักการคำนวน Table'!$C$3:$K$3)
  )
)</f>
        <v>0.9</v>
      </c>
      <c r="AP6" s="186">
        <f>IFERROR(
  _xlfn.XLOOKUP(AD6,'2) หลักการคำนวน Table'!$C$3:$K$3,'2) หลักการคำนวน Table'!$C$3:$K$3,,1),
  IF(AD6&lt;MIN('2) หลักการคำนวน Table'!$C$3:$K$3),
     MIN('2) หลักการคำนวน Table'!$C$3:$K$3),
     MAX('2) หลักการคำนวน Table'!$C$3:$K$3)
  )
)</f>
        <v>0.9</v>
      </c>
      <c r="AQ6" s="186">
        <f>IFERROR(
  _xlfn.XLOOKUP(AE6,'2) หลักการคำนวน Table'!$C$3:$K$3,'2) หลักการคำนวน Table'!$C$3:$K$3,,1),
  IF(AE6&lt;MIN('2) หลักการคำนวน Table'!$C$3:$K$3),
     MIN('2) หลักการคำนวน Table'!$C$3:$K$3),
     MAX('2) หลักการคำนวน Table'!$C$3:$K$3)
  )
)</f>
        <v>0.9</v>
      </c>
      <c r="AR6" s="186">
        <f>IFERROR(
  _xlfn.XLOOKUP(AF6,'2) หลักการคำนวน Table'!$C$3:$K$3,'2) หลักการคำนวน Table'!$C$3:$K$3,,1),
  IF(AF6&lt;MIN('2) หลักการคำนวน Table'!$C$3:$K$3),
     MIN('2) หลักการคำนวน Table'!$C$3:$K$3),
     MAX('2) หลักการคำนวน Table'!$C$3:$K$3)
  )
)</f>
        <v>0.9</v>
      </c>
      <c r="AS6" s="186">
        <f>IFERROR(
  _xlfn.XLOOKUP(AG6,'2) หลักการคำนวน Table'!$C$3:$K$3,'2) หลักการคำนวน Table'!$C$3:$K$3,,1),
  IF(AG6&lt;MIN('2) หลักการคำนวน Table'!$C$3:$K$3),
     MIN('2) หลักการคำนวน Table'!$C$3:$K$3),
     MAX('2) หลักการคำนวน Table'!$C$3:$K$3)
  )
)</f>
        <v>0.9</v>
      </c>
      <c r="AT6" s="186">
        <f>IFERROR(
  _xlfn.XLOOKUP(AH6,'2) หลักการคำนวน Table'!$C$3:$K$3,'2) หลักการคำนวน Table'!$C$3:$K$3,,1),
  IF(AH6&lt;MIN('2) หลักการคำนวน Table'!$C$3:$K$3),
     MIN('2) หลักการคำนวน Table'!$C$3:$K$3),
     MAX('2) หลักการคำนวน Table'!$C$3:$K$3)
  )
)</f>
        <v>0.9</v>
      </c>
      <c r="AU6" s="186">
        <f>IFERROR(
  _xlfn.XLOOKUP(AI6,'2) หลักการคำนวน Table'!$C$3:$K$3,'2) หลักการคำนวน Table'!$C$3:$K$3,,1),
  IF(AI6&lt;MIN('2) หลักการคำนวน Table'!$C$3:$K$3),
     MIN('2) หลักการคำนวน Table'!$C$3:$K$3),
     MAX('2) หลักการคำนวน Table'!$C$3:$K$3)
  )
)</f>
        <v>0.9</v>
      </c>
      <c r="AV6" s="186">
        <f>IFERROR(
  _xlfn.XLOOKUP(AJ6,'2) หลักการคำนวน Table'!$C$3:$K$3,'2) หลักการคำนวน Table'!$C$3:$K$3,,1),
  IF(AJ6&lt;MIN('2) หลักการคำนวน Table'!$C$3:$K$3),
     MIN('2) หลักการคำนวน Table'!$C$3:$K$3),
     MAX('2) หลักการคำนวน Table'!$C$3:$K$3)
  )
)</f>
        <v>0.9</v>
      </c>
      <c r="AW6" s="186">
        <f>IFERROR(
  _xlfn.XLOOKUP(AK6,'2) หลักการคำนวน Table'!$C$3:$K$3,'2) หลักการคำนวน Table'!$C$3:$K$3,,1),
  IF(AK6&lt;MIN('2) หลักการคำนวน Table'!$C$3:$K$3),
     MIN('2) หลักการคำนวน Table'!$C$3:$K$3),
     MAX('2) หลักการคำนวน Table'!$C$3:$K$3)
  )
)</f>
        <v>0.9</v>
      </c>
      <c r="AX6" s="186">
        <f>IFERROR(
  _xlfn.XLOOKUP(AL6,'2) หลักการคำนวน Table'!$C$3:$K$3,'2) หลักการคำนวน Table'!$C$3:$K$3,,1),
  IF(AL6&lt;MIN('2) หลักการคำนวน Table'!$C$3:$K$3),
     MIN('2) หลักการคำนวน Table'!$C$3:$K$3),
     MAX('2) หลักการคำนวน Table'!$C$3:$K$3)
  )
)</f>
        <v>0.9</v>
      </c>
      <c r="AY6" s="186">
        <f>IFERROR(
  _xlfn.XLOOKUP(AM6,'2) หลักการคำนวน Table'!$C$3:$K$3,'2) หลักการคำนวน Table'!$C$3:$K$3,,1),
  IF(AM6&lt;MIN('2) หลักการคำนวน Table'!$C$3:$K$3),
     MIN('2) หลักการคำนวน Table'!$C$3:$K$3),
     MAX('2) หลักการคำนวน Table'!$C$3:$K$3)
  )
)</f>
        <v>0.9</v>
      </c>
      <c r="AZ6" s="135" t="e" cm="1">
        <f t="array" ref="AZ6">ROUND((_xlfn.XLOOKUP($C6,'2) หลักการคำนวน Table'!$A$4:$A$36,
_xlfn.XLOOKUP(AN6,'2)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A6" s="135" t="e" cm="1">
        <f t="array" ref="BA6">ROUND((_xlfn.XLOOKUP($C6,'2) หลักการคำนวน Table'!$A$4:$A$36,
_xlfn.XLOOKUP(AO6,'2)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B6" s="135" t="e" cm="1">
        <f t="array" ref="BB6">ROUND((_xlfn.XLOOKUP($C6,'2) หลักการคำนวน Table'!$A$4:$A$36,
_xlfn.XLOOKUP(AP6,'2)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C6" s="135" t="e" cm="1">
        <f t="array" ref="BC6">ROUND((_xlfn.XLOOKUP($C6,'2) หลักการคำนวน Table'!$A$4:$A$36,
_xlfn.XLOOKUP(AQ6,'2)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D6" s="135" t="e" cm="1">
        <f t="array" ref="BD6">ROUND((_xlfn.XLOOKUP($C6,'2) หลักการคำนวน Table'!$A$4:$A$36,
_xlfn.XLOOKUP(AR6,'2)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E6" s="135" t="e" cm="1">
        <f t="array" ref="BE6">ROUND((_xlfn.XLOOKUP($C6,'2) หลักการคำนวน Table'!$A$4:$A$36,
_xlfn.XLOOKUP(AS6,'2)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F6" s="135" t="e" cm="1">
        <f t="array" ref="BF6">ROUND((_xlfn.XLOOKUP($C6,'2) หลักการคำนวน Table'!$A$4:$A$36,
_xlfn.XLOOKUP(AT6,'2)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G6" s="135" t="e" cm="1">
        <f t="array" ref="BG6">ROUND((_xlfn.XLOOKUP($C6,'2) หลักการคำนวน Table'!$A$4:$A$36,
_xlfn.XLOOKUP(AU6,'2)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H6" s="135" t="e" cm="1">
        <f t="array" ref="BH6">ROUND((_xlfn.XLOOKUP($C6,'2) หลักการคำนวน Table'!$A$4:$A$36,
_xlfn.XLOOKUP(AV6,'2)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I6" s="135" t="e" cm="1">
        <f t="array" ref="BI6">ROUND((_xlfn.XLOOKUP($C6,'2) หลักการคำนวน Table'!$A$4:$A$36,
_xlfn.XLOOKUP(AW6,'2)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J6" s="135" t="e" cm="1">
        <f t="array" ref="BJ6">ROUND((_xlfn.XLOOKUP($C6,'2) หลักการคำนวน Table'!$A$4:$A$36,
_xlfn.XLOOKUP(AX6,'2)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K6" s="135" t="e" cm="1">
        <f t="array" ref="BK6">ROUND((_xlfn.XLOOKUP($C6,'2) หลักการคำนวน Table'!$A$4:$A$36,
_xlfn.XLOOKUP(AY6,'2)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L6" s="239"/>
      <c r="BM6" s="126">
        <v>222234</v>
      </c>
      <c r="BN6" s="292">
        <v>26</v>
      </c>
    </row>
    <row r="7" spans="1:66" ht="13.2" customHeight="1" x14ac:dyDescent="0.25">
      <c r="A7" s="128">
        <f>VLOOKUP(C7,ASTBase!F:S,12,FALSE)</f>
        <v>222222</v>
      </c>
      <c r="B7" s="126" t="s">
        <v>407</v>
      </c>
      <c r="C7" s="128">
        <v>222234</v>
      </c>
      <c r="D7" s="127">
        <f>SUMIFS('3)Target &amp; Cal_Sect'!D$4:D$60,'3)Target &amp; Cal_Sect'!$B$4:$B$60,'3)Target &amp; Cal_Dept'!$B7,'3)Target &amp; Cal_Sect'!$A$4:$A$60,'3)Target &amp; Cal_Dept'!$C7)</f>
        <v>491846.99999999843</v>
      </c>
      <c r="E7" s="127">
        <f>SUMIFS('3)Target &amp; Cal_Sect'!E$4:E$60,'3)Target &amp; Cal_Sect'!$B$4:$B$60,'3)Target &amp; Cal_Dept'!$B7,'3)Target &amp; Cal_Sect'!$A$4:$A$60,'3)Target &amp; Cal_Dept'!$C7)</f>
        <v>451429.99999999837</v>
      </c>
      <c r="F7" s="127">
        <f>SUMIFS('3)Target &amp; Cal_Sect'!F$4:F$60,'3)Target &amp; Cal_Sect'!$B$4:$B$60,'3)Target &amp; Cal_Dept'!$B7,'3)Target &amp; Cal_Sect'!$A$4:$A$60,'3)Target &amp; Cal_Dept'!$C7)</f>
        <v>449610</v>
      </c>
      <c r="G7" s="127">
        <f>SUMIFS('3)Target &amp; Cal_Sect'!G$4:G$60,'3)Target &amp; Cal_Sect'!$B$4:$B$60,'3)Target &amp; Cal_Dept'!$B7,'3)Target &amp; Cal_Sect'!$A$4:$A$60,'3)Target &amp; Cal_Dept'!$C7)</f>
        <v>464677.99999999854</v>
      </c>
      <c r="H7" s="127">
        <f>SUMIFS('3)Target &amp; Cal_Sect'!H$4:H$60,'3)Target &amp; Cal_Sect'!$B$4:$B$60,'3)Target &amp; Cal_Dept'!$B7,'3)Target &amp; Cal_Sect'!$A$4:$A$60,'3)Target &amp; Cal_Dept'!$C7)</f>
        <v>520162.99999997893</v>
      </c>
      <c r="I7" s="127">
        <f>SUMIFS('3)Target &amp; Cal_Sect'!I$4:I$60,'3)Target &amp; Cal_Sect'!$B$4:$B$60,'3)Target &amp; Cal_Dept'!$B7,'3)Target &amp; Cal_Sect'!$A$4:$A$60,'3)Target &amp; Cal_Dept'!$C7)</f>
        <v>423544.99999999476</v>
      </c>
      <c r="J7" s="127">
        <f>SUMIFS('3)Target &amp; Cal_Sect'!J$4:J$60,'3)Target &amp; Cal_Sect'!$B$4:$B$60,'3)Target &amp; Cal_Dept'!$B7,'3)Target &amp; Cal_Sect'!$A$4:$A$60,'3)Target &amp; Cal_Dept'!$C7)</f>
        <v>477951.99999999843</v>
      </c>
      <c r="K7" s="127">
        <f>SUMIFS('3)Target &amp; Cal_Sect'!K$4:K$60,'3)Target &amp; Cal_Sect'!$B$4:$B$60,'3)Target &amp; Cal_Dept'!$B7,'3)Target &amp; Cal_Sect'!$A$4:$A$60,'3)Target &amp; Cal_Dept'!$C7)</f>
        <v>478961.99999999412</v>
      </c>
      <c r="L7" s="127">
        <f>SUMIFS('3)Target &amp; Cal_Sect'!L$4:L$60,'3)Target &amp; Cal_Sect'!$B$4:$B$60,'3)Target &amp; Cal_Dept'!$B7,'3)Target &amp; Cal_Sect'!$A$4:$A$60,'3)Target &amp; Cal_Dept'!$C7)</f>
        <v>525894</v>
      </c>
      <c r="M7" s="127">
        <f>SUMIFS('3)Target &amp; Cal_Sect'!M$4:M$60,'3)Target &amp; Cal_Sect'!$B$4:$B$60,'3)Target &amp; Cal_Dept'!$B7,'3)Target &amp; Cal_Sect'!$A$4:$A$60,'3)Target &amp; Cal_Dept'!$C7)</f>
        <v>444099</v>
      </c>
      <c r="N7" s="127">
        <f>SUMIFS('3)Target &amp; Cal_Sect'!N$4:N$60,'3)Target &amp; Cal_Sect'!$B$4:$B$60,'3)Target &amp; Cal_Dept'!$B7,'3)Target &amp; Cal_Sect'!$A$4:$A$60,'3)Target &amp; Cal_Dept'!$C7)</f>
        <v>448065</v>
      </c>
      <c r="O7" s="127">
        <f>SUMIFS('3)Target &amp; Cal_Sect'!O$4:O$60,'3)Target &amp; Cal_Sect'!$B$4:$B$60,'3)Target &amp; Cal_Dept'!$B7,'3)Target &amp; Cal_Sect'!$A$4:$A$60,'3)Target &amp; Cal_Dept'!$C7)</f>
        <v>486763.9999999982</v>
      </c>
      <c r="P7" s="127">
        <f>SUMIFS('3)Target &amp; Cal_Sect'!P$4:P$60,'3)Target &amp; Cal_Sect'!$B$4:$B$60,'3)Target &amp; Cal_Dept'!$B7,'3)Target &amp; Cal_Sect'!$A$4:$A$60,'3)Target &amp; Cal_Dept'!$C7)</f>
        <v>453033.99999569979</v>
      </c>
      <c r="Q7" s="127">
        <f>SUMIFS('3)Target &amp; Cal_Sect'!Q$4:Q$60,'3)Target &amp; Cal_Sect'!$B$4:$B$60,'3)Target &amp; Cal_Dept'!$B7,'3)Target &amp; Cal_Sect'!$A$4:$A$60,'3)Target &amp; Cal_Dept'!$C7)</f>
        <v>0</v>
      </c>
      <c r="R7" s="127">
        <f>SUMIFS('3)Target &amp; Cal_Sect'!R$4:R$60,'3)Target &amp; Cal_Sect'!$B$4:$B$60,'3)Target &amp; Cal_Dept'!$B7,'3)Target &amp; Cal_Sect'!$A$4:$A$60,'3)Target &amp; Cal_Dept'!$C7)</f>
        <v>0</v>
      </c>
      <c r="S7" s="127">
        <f>SUMIFS('3)Target &amp; Cal_Sect'!S$4:S$60,'3)Target &amp; Cal_Sect'!$B$4:$B$60,'3)Target &amp; Cal_Dept'!$B7,'3)Target &amp; Cal_Sect'!$A$4:$A$60,'3)Target &amp; Cal_Dept'!$C7)</f>
        <v>0</v>
      </c>
      <c r="T7" s="127">
        <f>SUMIFS('3)Target &amp; Cal_Sect'!T$4:T$60,'3)Target &amp; Cal_Sect'!$B$4:$B$60,'3)Target &amp; Cal_Dept'!$B7,'3)Target &amp; Cal_Sect'!$A$4:$A$60,'3)Target &amp; Cal_Dept'!$C7)</f>
        <v>0</v>
      </c>
      <c r="U7" s="127">
        <f>SUMIFS('3)Target &amp; Cal_Sect'!U$4:U$60,'3)Target &amp; Cal_Sect'!$B$4:$B$60,'3)Target &amp; Cal_Dept'!$B7,'3)Target &amp; Cal_Sect'!$A$4:$A$60,'3)Target &amp; Cal_Dept'!$C7)</f>
        <v>0</v>
      </c>
      <c r="V7" s="127">
        <f>SUMIFS('3)Target &amp; Cal_Sect'!V$4:V$60,'3)Target &amp; Cal_Sect'!$B$4:$B$60,'3)Target &amp; Cal_Dept'!$B7,'3)Target &amp; Cal_Sect'!$A$4:$A$60,'3)Target &amp; Cal_Dept'!$C7)</f>
        <v>0</v>
      </c>
      <c r="W7" s="127">
        <f>SUMIFS('3)Target &amp; Cal_Sect'!W$4:W$60,'3)Target &amp; Cal_Sect'!$B$4:$B$60,'3)Target &amp; Cal_Dept'!$B7,'3)Target &amp; Cal_Sect'!$A$4:$A$60,'3)Target &amp; Cal_Dept'!$C7)</f>
        <v>0</v>
      </c>
      <c r="X7" s="127">
        <f>SUMIFS('3)Target &amp; Cal_Sect'!X$4:X$60,'3)Target &amp; Cal_Sect'!$B$4:$B$60,'3)Target &amp; Cal_Dept'!$B7,'3)Target &amp; Cal_Sect'!$A$4:$A$60,'3)Target &amp; Cal_Dept'!$C7)</f>
        <v>0</v>
      </c>
      <c r="Y7" s="127">
        <f>SUMIFS('3)Target &amp; Cal_Sect'!Y$4:Y$60,'3)Target &amp; Cal_Sect'!$B$4:$B$60,'3)Target &amp; Cal_Dept'!$B7,'3)Target &amp; Cal_Sect'!$A$4:$A$60,'3)Target &amp; Cal_Dept'!$C7)</f>
        <v>0</v>
      </c>
      <c r="Z7" s="127">
        <f>SUMIFS('3)Target &amp; Cal_Sect'!Z$4:Z$60,'3)Target &amp; Cal_Sect'!$B$4:$B$60,'3)Target &amp; Cal_Dept'!$B7,'3)Target &amp; Cal_Sect'!$A$4:$A$60,'3)Target &amp; Cal_Dept'!$C7)</f>
        <v>0</v>
      </c>
      <c r="AA7" s="127">
        <f>SUMIFS('3)Target &amp; Cal_Sect'!AA$4:AA$60,'3)Target &amp; Cal_Sect'!$B$4:$B$60,'3)Target &amp; Cal_Dept'!$B7,'3)Target &amp; Cal_Sect'!$A$4:$A$60,'3)Target &amp; Cal_Dept'!$C7)</f>
        <v>0</v>
      </c>
      <c r="AB7" s="132">
        <f>IFERROR(IF(VLOOKUP($B7,Shortage!$A:$M,AB$2,FALSE)="Shortage",1,IFERROR(ROUND(P7/D7,4),0)),IFERROR(ROUND(P7/D7,4),0))</f>
        <v>0.92110000000000003</v>
      </c>
      <c r="AC7" s="132">
        <f>IFERROR(IF(VLOOKUP($B7,Shortage!$A:$M,AC$2,FALSE)="Shortage",1,IFERROR(ROUND(Q7/E7,4),0)),IFERROR(ROUND(Q7/E7,4),0))</f>
        <v>0</v>
      </c>
      <c r="AD7" s="132">
        <f>IFERROR(IF(VLOOKUP($B7,Shortage!$A:$M,AD$2,FALSE)="Shortage",1,IFERROR(ROUND(R7/F7,4),0)),IFERROR(ROUND(R7/F7,4),0))</f>
        <v>0</v>
      </c>
      <c r="AE7" s="132">
        <f>IFERROR(IF(VLOOKUP($B7,Shortage!$A:$M,AE$2,FALSE)="Shortage",1,IFERROR(ROUND(S7/G7,4),0)),IFERROR(ROUND(S7/G7,4),0))</f>
        <v>0</v>
      </c>
      <c r="AF7" s="132">
        <f>IFERROR(IF(VLOOKUP($B7,Shortage!$A:$M,AF$2,FALSE)="Shortage",1,IFERROR(ROUND(T7/H7,4),0)),IFERROR(ROUND(T7/H7,4),0))</f>
        <v>0</v>
      </c>
      <c r="AG7" s="132">
        <f>IFERROR(IF(VLOOKUP($B7,Shortage!$A:$M,AG$2,FALSE)="Shortage",1,IFERROR(ROUND(U7/I7,4),0)),IFERROR(ROUND(U7/I7,4),0))</f>
        <v>0</v>
      </c>
      <c r="AH7" s="132">
        <f>IFERROR(IF(VLOOKUP($B7,Shortage!$A:$M,AH$2,FALSE)="Shortage",1,IFERROR(ROUND(V7/J7,4),0)),IFERROR(ROUND(V7/J7,4),0))</f>
        <v>0</v>
      </c>
      <c r="AI7" s="132">
        <f>IFERROR(IF(VLOOKUP($B7,Shortage!$A:$M,AI$2,FALSE)="Shortage",1,IFERROR(ROUND(W7/K7,4),0)),IFERROR(ROUND(W7/K7,4),0))</f>
        <v>0</v>
      </c>
      <c r="AJ7" s="132">
        <f>IFERROR(IF(VLOOKUP($B7,Shortage!$A:$M,AJ$2,FALSE)="Shortage",1,IFERROR(ROUND(X7/L7,4),0)),IFERROR(ROUND(X7/L7,4),0))</f>
        <v>0</v>
      </c>
      <c r="AK7" s="132">
        <f>IFERROR(IF(VLOOKUP($B7,Shortage!$A:$M,AK$2,FALSE)="Shortage",1,IFERROR(ROUND(Y7/M7,4),0)),IFERROR(ROUND(Y7/M7,4),0))</f>
        <v>0</v>
      </c>
      <c r="AL7" s="132">
        <f>IFERROR(IF(VLOOKUP($B7,Shortage!$A:$M,AL$2,FALSE)="Shortage",1,IFERROR(ROUND(Z7/N7,4),0)),IFERROR(ROUND(Z7/N7,4),0))</f>
        <v>0</v>
      </c>
      <c r="AM7" s="132">
        <f>IFERROR(IF(VLOOKUP($B7,Shortage!$A:$M,AM$2,FALSE)="Shortage",1,IFERROR(ROUND(AA7/O7,4),0)),IFERROR(ROUND(AA7/O7,4),0))</f>
        <v>0</v>
      </c>
      <c r="AN7" s="186">
        <f>IFERROR(_xlfn.XLOOKUP(AB7,'2) หลักการคำนวน Table'!$C$3:$K$3,'2) หลักการคำนวน Table'!$C$3:$K$3,,1),INDEX('2) หลักการคำนวน Table'!$C$3:$K$3,1))</f>
        <v>0.95</v>
      </c>
      <c r="AO7" s="186">
        <f>IFERROR(
  _xlfn.XLOOKUP(AC7,'2) หลักการคำนวน Table'!$C$3:$K$3,'2) หลักการคำนวน Table'!$C$3:$K$3,,1),
  IF(AC7&lt;MIN('2) หลักการคำนวน Table'!$C$3:$K$3),
     MIN('2) หลักการคำนวน Table'!$C$3:$K$3),
     MAX('2) หลักการคำนวน Table'!$C$3:$K$3)
  )
)</f>
        <v>0.9</v>
      </c>
      <c r="AP7" s="186">
        <f>IFERROR(
  _xlfn.XLOOKUP(AD7,'2) หลักการคำนวน Table'!$C$3:$K$3,'2) หลักการคำนวน Table'!$C$3:$K$3,,1),
  IF(AD7&lt;MIN('2) หลักการคำนวน Table'!$C$3:$K$3),
     MIN('2) หลักการคำนวน Table'!$C$3:$K$3),
     MAX('2) หลักการคำนวน Table'!$C$3:$K$3)
  )
)</f>
        <v>0.9</v>
      </c>
      <c r="AQ7" s="186">
        <f>IFERROR(
  _xlfn.XLOOKUP(AE7,'2) หลักการคำนวน Table'!$C$3:$K$3,'2) หลักการคำนวน Table'!$C$3:$K$3,,1),
  IF(AE7&lt;MIN('2) หลักการคำนวน Table'!$C$3:$K$3),
     MIN('2) หลักการคำนวน Table'!$C$3:$K$3),
     MAX('2) หลักการคำนวน Table'!$C$3:$K$3)
  )
)</f>
        <v>0.9</v>
      </c>
      <c r="AR7" s="186">
        <f>IFERROR(
  _xlfn.XLOOKUP(AF7,'2) หลักการคำนวน Table'!$C$3:$K$3,'2) หลักการคำนวน Table'!$C$3:$K$3,,1),
  IF(AF7&lt;MIN('2) หลักการคำนวน Table'!$C$3:$K$3),
     MIN('2) หลักการคำนวน Table'!$C$3:$K$3),
     MAX('2) หลักการคำนวน Table'!$C$3:$K$3)
  )
)</f>
        <v>0.9</v>
      </c>
      <c r="AS7" s="186">
        <f>IFERROR(
  _xlfn.XLOOKUP(AG7,'2) หลักการคำนวน Table'!$C$3:$K$3,'2) หลักการคำนวน Table'!$C$3:$K$3,,1),
  IF(AG7&lt;MIN('2) หลักการคำนวน Table'!$C$3:$K$3),
     MIN('2) หลักการคำนวน Table'!$C$3:$K$3),
     MAX('2) หลักการคำนวน Table'!$C$3:$K$3)
  )
)</f>
        <v>0.9</v>
      </c>
      <c r="AT7" s="186">
        <f>IFERROR(
  _xlfn.XLOOKUP(AH7,'2) หลักการคำนวน Table'!$C$3:$K$3,'2) หลักการคำนวน Table'!$C$3:$K$3,,1),
  IF(AH7&lt;MIN('2) หลักการคำนวน Table'!$C$3:$K$3),
     MIN('2) หลักการคำนวน Table'!$C$3:$K$3),
     MAX('2) หลักการคำนวน Table'!$C$3:$K$3)
  )
)</f>
        <v>0.9</v>
      </c>
      <c r="AU7" s="186">
        <f>IFERROR(
  _xlfn.XLOOKUP(AI7,'2) หลักการคำนวน Table'!$C$3:$K$3,'2) หลักการคำนวน Table'!$C$3:$K$3,,1),
  IF(AI7&lt;MIN('2) หลักการคำนวน Table'!$C$3:$K$3),
     MIN('2) หลักการคำนวน Table'!$C$3:$K$3),
     MAX('2) หลักการคำนวน Table'!$C$3:$K$3)
  )
)</f>
        <v>0.9</v>
      </c>
      <c r="AV7" s="186">
        <f>IFERROR(
  _xlfn.XLOOKUP(AJ7,'2) หลักการคำนวน Table'!$C$3:$K$3,'2) หลักการคำนวน Table'!$C$3:$K$3,,1),
  IF(AJ7&lt;MIN('2) หลักการคำนวน Table'!$C$3:$K$3),
     MIN('2) หลักการคำนวน Table'!$C$3:$K$3),
     MAX('2) หลักการคำนวน Table'!$C$3:$K$3)
  )
)</f>
        <v>0.9</v>
      </c>
      <c r="AW7" s="186">
        <f>IFERROR(
  _xlfn.XLOOKUP(AK7,'2) หลักการคำนวน Table'!$C$3:$K$3,'2) หลักการคำนวน Table'!$C$3:$K$3,,1),
  IF(AK7&lt;MIN('2) หลักการคำนวน Table'!$C$3:$K$3),
     MIN('2) หลักการคำนวน Table'!$C$3:$K$3),
     MAX('2) หลักการคำนวน Table'!$C$3:$K$3)
  )
)</f>
        <v>0.9</v>
      </c>
      <c r="AX7" s="186">
        <f>IFERROR(
  _xlfn.XLOOKUP(AL7,'2) หลักการคำนวน Table'!$C$3:$K$3,'2) หลักการคำนวน Table'!$C$3:$K$3,,1),
  IF(AL7&lt;MIN('2) หลักการคำนวน Table'!$C$3:$K$3),
     MIN('2) หลักการคำนวน Table'!$C$3:$K$3),
     MAX('2) หลักการคำนวน Table'!$C$3:$K$3)
  )
)</f>
        <v>0.9</v>
      </c>
      <c r="AY7" s="186">
        <f>IFERROR(
  _xlfn.XLOOKUP(AM7,'2) หลักการคำนวน Table'!$C$3:$K$3,'2) หลักการคำนวน Table'!$C$3:$K$3,,1),
  IF(AM7&lt;MIN('2) หลักการคำนวน Table'!$C$3:$K$3),
     MIN('2) หลักการคำนวน Table'!$C$3:$K$3),
     MAX('2) หลักการคำนวน Table'!$C$3:$K$3)
  )
)</f>
        <v>0.9</v>
      </c>
      <c r="AZ7" s="135" t="e" cm="1">
        <f t="array" ref="AZ7">ROUND((_xlfn.XLOOKUP($C7,'2) หลักการคำนวน Table'!$A$4:$A$36,
_xlfn.XLOOKUP(AN7,'2)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A7" s="135" t="e" cm="1">
        <f t="array" ref="BA7">ROUND((_xlfn.XLOOKUP($C7,'2) หลักการคำนวน Table'!$A$4:$A$36,
_xlfn.XLOOKUP(AO7,'2)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B7" s="135" t="e" cm="1">
        <f t="array" ref="BB7">ROUND((_xlfn.XLOOKUP($C7,'2) หลักการคำนวน Table'!$A$4:$A$36,
_xlfn.XLOOKUP(AP7,'2)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C7" s="135" t="e" cm="1">
        <f t="array" ref="BC7">ROUND((_xlfn.XLOOKUP($C7,'2) หลักการคำนวน Table'!$A$4:$A$36,
_xlfn.XLOOKUP(AQ7,'2)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D7" s="135" t="e" cm="1">
        <f t="array" ref="BD7">ROUND((_xlfn.XLOOKUP($C7,'2) หลักการคำนวน Table'!$A$4:$A$36,
_xlfn.XLOOKUP(AR7,'2)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E7" s="135" t="e" cm="1">
        <f t="array" ref="BE7">ROUND((_xlfn.XLOOKUP($C7,'2) หลักการคำนวน Table'!$A$4:$A$36,
_xlfn.XLOOKUP(AS7,'2)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F7" s="135" t="e" cm="1">
        <f t="array" ref="BF7">ROUND((_xlfn.XLOOKUP($C7,'2) หลักการคำนวน Table'!$A$4:$A$36,
_xlfn.XLOOKUP(AT7,'2)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G7" s="135" t="e" cm="1">
        <f t="array" ref="BG7">ROUND((_xlfn.XLOOKUP($C7,'2) หลักการคำนวน Table'!$A$4:$A$36,
_xlfn.XLOOKUP(AU7,'2)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H7" s="135" t="e" cm="1">
        <f t="array" ref="BH7">ROUND((_xlfn.XLOOKUP($C7,'2) หลักการคำนวน Table'!$A$4:$A$36,
_xlfn.XLOOKUP(AV7,'2)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I7" s="135" t="e" cm="1">
        <f t="array" ref="BI7">ROUND((_xlfn.XLOOKUP($C7,'2) หลักการคำนวน Table'!$A$4:$A$36,
_xlfn.XLOOKUP(AW7,'2)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J7" s="135" t="e" cm="1">
        <f t="array" ref="BJ7">ROUND((_xlfn.XLOOKUP($C7,'2) หลักการคำนวน Table'!$A$4:$A$36,
_xlfn.XLOOKUP(AX7,'2)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K7" s="135" t="e" cm="1">
        <f t="array" ref="BK7">ROUND((_xlfn.XLOOKUP($C7,'2) หลักการคำนวน Table'!$A$4:$A$36,
_xlfn.XLOOKUP(AY7,'2)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L7" s="239"/>
      <c r="BM7" s="126">
        <v>222234</v>
      </c>
      <c r="BN7" s="245">
        <v>2083</v>
      </c>
    </row>
    <row r="8" spans="1:66" ht="13.2" customHeight="1" x14ac:dyDescent="0.25">
      <c r="A8" s="128">
        <f>VLOOKUP(C8,ASTBase!F:S,12,FALSE)</f>
        <v>222222</v>
      </c>
      <c r="B8" s="126" t="s">
        <v>418</v>
      </c>
      <c r="C8" s="128">
        <v>222234</v>
      </c>
      <c r="D8" s="127">
        <f>SUMIFS('3)Target &amp; Cal_Sect'!D$4:D$60,'3)Target &amp; Cal_Sect'!$B$4:$B$60,'3)Target &amp; Cal_Dept'!$B8,'3)Target &amp; Cal_Sect'!$A$4:$A$60,'3)Target &amp; Cal_Dept'!$C8)</f>
        <v>731.16</v>
      </c>
      <c r="E8" s="127">
        <f>SUMIFS('3)Target &amp; Cal_Sect'!E$4:E$60,'3)Target &amp; Cal_Sect'!$B$4:$B$60,'3)Target &amp; Cal_Dept'!$B8,'3)Target &amp; Cal_Sect'!$A$4:$A$60,'3)Target &amp; Cal_Dept'!$C8)</f>
        <v>647.48</v>
      </c>
      <c r="F8" s="127">
        <f>SUMIFS('3)Target &amp; Cal_Sect'!F$4:F$60,'3)Target &amp; Cal_Sect'!$B$4:$B$60,'3)Target &amp; Cal_Dept'!$B8,'3)Target &amp; Cal_Sect'!$A$4:$A$60,'3)Target &amp; Cal_Dept'!$C8)</f>
        <v>470.19200000000001</v>
      </c>
      <c r="G8" s="127">
        <f>SUMIFS('3)Target &amp; Cal_Sect'!G$4:G$60,'3)Target &amp; Cal_Sect'!$B$4:$B$60,'3)Target &amp; Cal_Dept'!$B8,'3)Target &amp; Cal_Sect'!$A$4:$A$60,'3)Target &amp; Cal_Dept'!$C8)</f>
        <v>275.13599999999997</v>
      </c>
      <c r="H8" s="127">
        <f>SUMIFS('3)Target &amp; Cal_Sect'!H$4:H$60,'3)Target &amp; Cal_Sect'!$B$4:$B$60,'3)Target &amp; Cal_Dept'!$B8,'3)Target &amp; Cal_Sect'!$A$4:$A$60,'3)Target &amp; Cal_Dept'!$C8)</f>
        <v>433.13599999999997</v>
      </c>
      <c r="I8" s="127">
        <f>SUMIFS('3)Target &amp; Cal_Sect'!I$4:I$60,'3)Target &amp; Cal_Sect'!$B$4:$B$60,'3)Target &amp; Cal_Dept'!$B8,'3)Target &amp; Cal_Sect'!$A$4:$A$60,'3)Target &amp; Cal_Dept'!$C8)</f>
        <v>363.84000000000003</v>
      </c>
      <c r="J8" s="127">
        <f>SUMIFS('3)Target &amp; Cal_Sect'!J$4:J$60,'3)Target &amp; Cal_Sect'!$B$4:$B$60,'3)Target &amp; Cal_Dept'!$B8,'3)Target &amp; Cal_Sect'!$A$4:$A$60,'3)Target &amp; Cal_Dept'!$C8)</f>
        <v>342.13599999999997</v>
      </c>
      <c r="K8" s="127">
        <f>SUMIFS('3)Target &amp; Cal_Sect'!K$4:K$60,'3)Target &amp; Cal_Sect'!$B$4:$B$60,'3)Target &amp; Cal_Dept'!$B8,'3)Target &amp; Cal_Sect'!$A$4:$A$60,'3)Target &amp; Cal_Dept'!$C8)</f>
        <v>283.56799999999998</v>
      </c>
      <c r="L8" s="127">
        <f>SUMIFS('3)Target &amp; Cal_Sect'!L$4:L$60,'3)Target &amp; Cal_Sect'!$B$4:$B$60,'3)Target &amp; Cal_Dept'!$B8,'3)Target &amp; Cal_Sect'!$A$4:$A$60,'3)Target &amp; Cal_Dept'!$C8)</f>
        <v>463.70400000000001</v>
      </c>
      <c r="M8" s="127">
        <f>SUMIFS('3)Target &amp; Cal_Sect'!M$4:M$60,'3)Target &amp; Cal_Sect'!$B$4:$B$60,'3)Target &amp; Cal_Dept'!$B8,'3)Target &amp; Cal_Sect'!$A$4:$A$60,'3)Target &amp; Cal_Dept'!$C8)</f>
        <v>2143.84</v>
      </c>
      <c r="N8" s="127">
        <f>SUMIFS('3)Target &amp; Cal_Sect'!N$4:N$60,'3)Target &amp; Cal_Sect'!$B$4:$B$60,'3)Target &amp; Cal_Dept'!$B8,'3)Target &amp; Cal_Sect'!$A$4:$A$60,'3)Target &amp; Cal_Dept'!$C8)</f>
        <v>1341.136</v>
      </c>
      <c r="O8" s="127">
        <f>SUMIFS('3)Target &amp; Cal_Sect'!O$4:O$60,'3)Target &amp; Cal_Sect'!$B$4:$B$60,'3)Target &amp; Cal_Dept'!$B8,'3)Target &amp; Cal_Sect'!$A$4:$A$60,'3)Target &amp; Cal_Dept'!$C8)</f>
        <v>304.70400000000001</v>
      </c>
      <c r="P8" s="127">
        <f>SUMIFS('3)Target &amp; Cal_Sect'!P$4:P$60,'3)Target &amp; Cal_Sect'!$B$4:$B$60,'3)Target &amp; Cal_Dept'!$B8,'3)Target &amp; Cal_Sect'!$A$4:$A$60,'3)Target &amp; Cal_Dept'!$C8)</f>
        <v>699.95999999999981</v>
      </c>
      <c r="Q8" s="127">
        <f>SUMIFS('3)Target &amp; Cal_Sect'!Q$4:Q$60,'3)Target &amp; Cal_Sect'!$B$4:$B$60,'3)Target &amp; Cal_Dept'!$B8,'3)Target &amp; Cal_Sect'!$A$4:$A$60,'3)Target &amp; Cal_Dept'!$C8)</f>
        <v>0</v>
      </c>
      <c r="R8" s="127">
        <f>SUMIFS('3)Target &amp; Cal_Sect'!R$4:R$60,'3)Target &amp; Cal_Sect'!$B$4:$B$60,'3)Target &amp; Cal_Dept'!$B8,'3)Target &amp; Cal_Sect'!$A$4:$A$60,'3)Target &amp; Cal_Dept'!$C8)</f>
        <v>0</v>
      </c>
      <c r="S8" s="127">
        <f>SUMIFS('3)Target &amp; Cal_Sect'!S$4:S$60,'3)Target &amp; Cal_Sect'!$B$4:$B$60,'3)Target &amp; Cal_Dept'!$B8,'3)Target &amp; Cal_Sect'!$A$4:$A$60,'3)Target &amp; Cal_Dept'!$C8)</f>
        <v>0</v>
      </c>
      <c r="T8" s="127">
        <f>SUMIFS('3)Target &amp; Cal_Sect'!T$4:T$60,'3)Target &amp; Cal_Sect'!$B$4:$B$60,'3)Target &amp; Cal_Dept'!$B8,'3)Target &amp; Cal_Sect'!$A$4:$A$60,'3)Target &amp; Cal_Dept'!$C8)</f>
        <v>0</v>
      </c>
      <c r="U8" s="127">
        <f>SUMIFS('3)Target &amp; Cal_Sect'!U$4:U$60,'3)Target &amp; Cal_Sect'!$B$4:$B$60,'3)Target &amp; Cal_Dept'!$B8,'3)Target &amp; Cal_Sect'!$A$4:$A$60,'3)Target &amp; Cal_Dept'!$C8)</f>
        <v>0</v>
      </c>
      <c r="V8" s="127">
        <f>SUMIFS('3)Target &amp; Cal_Sect'!V$4:V$60,'3)Target &amp; Cal_Sect'!$B$4:$B$60,'3)Target &amp; Cal_Dept'!$B8,'3)Target &amp; Cal_Sect'!$A$4:$A$60,'3)Target &amp; Cal_Dept'!$C8)</f>
        <v>0</v>
      </c>
      <c r="W8" s="127">
        <f>SUMIFS('3)Target &amp; Cal_Sect'!W$4:W$60,'3)Target &amp; Cal_Sect'!$B$4:$B$60,'3)Target &amp; Cal_Dept'!$B8,'3)Target &amp; Cal_Sect'!$A$4:$A$60,'3)Target &amp; Cal_Dept'!$C8)</f>
        <v>0</v>
      </c>
      <c r="X8" s="127">
        <f>SUMIFS('3)Target &amp; Cal_Sect'!X$4:X$60,'3)Target &amp; Cal_Sect'!$B$4:$B$60,'3)Target &amp; Cal_Dept'!$B8,'3)Target &amp; Cal_Sect'!$A$4:$A$60,'3)Target &amp; Cal_Dept'!$C8)</f>
        <v>0</v>
      </c>
      <c r="Y8" s="127">
        <f>SUMIFS('3)Target &amp; Cal_Sect'!Y$4:Y$60,'3)Target &amp; Cal_Sect'!$B$4:$B$60,'3)Target &amp; Cal_Dept'!$B8,'3)Target &amp; Cal_Sect'!$A$4:$A$60,'3)Target &amp; Cal_Dept'!$C8)</f>
        <v>0</v>
      </c>
      <c r="Z8" s="127">
        <f>SUMIFS('3)Target &amp; Cal_Sect'!Z$4:Z$60,'3)Target &amp; Cal_Sect'!$B$4:$B$60,'3)Target &amp; Cal_Dept'!$B8,'3)Target &amp; Cal_Sect'!$A$4:$A$60,'3)Target &amp; Cal_Dept'!$C8)</f>
        <v>0</v>
      </c>
      <c r="AA8" s="127">
        <f>SUMIFS('3)Target &amp; Cal_Sect'!AA$4:AA$60,'3)Target &amp; Cal_Sect'!$B$4:$B$60,'3)Target &amp; Cal_Dept'!$B8,'3)Target &amp; Cal_Sect'!$A$4:$A$60,'3)Target &amp; Cal_Dept'!$C8)</f>
        <v>0</v>
      </c>
      <c r="AB8" s="132">
        <f>IFERROR(IF(VLOOKUP($B8,Shortage!$A:$M,AB$2,FALSE)="Shortage",1,IFERROR(ROUND(P8/D8,4),0)),IFERROR(ROUND(P8/D8,4),0))</f>
        <v>0.95730000000000004</v>
      </c>
      <c r="AC8" s="132">
        <f>IFERROR(IF(VLOOKUP($B8,Shortage!$A:$M,AC$2,FALSE)="Shortage",1,IFERROR(ROUND(Q8/E8,4),0)),IFERROR(ROUND(Q8/E8,4),0))</f>
        <v>0</v>
      </c>
      <c r="AD8" s="132">
        <f>IFERROR(IF(VLOOKUP($B8,Shortage!$A:$M,AD$2,FALSE)="Shortage",1,IFERROR(ROUND(R8/F8,4),0)),IFERROR(ROUND(R8/F8,4),0))</f>
        <v>0</v>
      </c>
      <c r="AE8" s="132">
        <f>IFERROR(IF(VLOOKUP($B8,Shortage!$A:$M,AE$2,FALSE)="Shortage",1,IFERROR(ROUND(S8/G8,4),0)),IFERROR(ROUND(S8/G8,4),0))</f>
        <v>0</v>
      </c>
      <c r="AF8" s="132">
        <f>IFERROR(IF(VLOOKUP($B8,Shortage!$A:$M,AF$2,FALSE)="Shortage",1,IFERROR(ROUND(T8/H8,4),0)),IFERROR(ROUND(T8/H8,4),0))</f>
        <v>0</v>
      </c>
      <c r="AG8" s="132">
        <f>IFERROR(IF(VLOOKUP($B8,Shortage!$A:$M,AG$2,FALSE)="Shortage",1,IFERROR(ROUND(U8/I8,4),0)),IFERROR(ROUND(U8/I8,4),0))</f>
        <v>0</v>
      </c>
      <c r="AH8" s="132">
        <f>IFERROR(IF(VLOOKUP($B8,Shortage!$A:$M,AH$2,FALSE)="Shortage",1,IFERROR(ROUND(V8/J8,4),0)),IFERROR(ROUND(V8/J8,4),0))</f>
        <v>0</v>
      </c>
      <c r="AI8" s="132">
        <f>IFERROR(IF(VLOOKUP($B8,Shortage!$A:$M,AI$2,FALSE)="Shortage",1,IFERROR(ROUND(W8/K8,4),0)),IFERROR(ROUND(W8/K8,4),0))</f>
        <v>0</v>
      </c>
      <c r="AJ8" s="132">
        <f>IFERROR(IF(VLOOKUP($B8,Shortage!$A:$M,AJ$2,FALSE)="Shortage",1,IFERROR(ROUND(X8/L8,4),0)),IFERROR(ROUND(X8/L8,4),0))</f>
        <v>0</v>
      </c>
      <c r="AK8" s="132">
        <f>IFERROR(IF(VLOOKUP($B8,Shortage!$A:$M,AK$2,FALSE)="Shortage",1,IFERROR(ROUND(Y8/M8,4),0)),IFERROR(ROUND(Y8/M8,4),0))</f>
        <v>0</v>
      </c>
      <c r="AL8" s="132">
        <f>IFERROR(IF(VLOOKUP($B8,Shortage!$A:$M,AL$2,FALSE)="Shortage",1,IFERROR(ROUND(Z8/N8,4),0)),IFERROR(ROUND(Z8/N8,4),0))</f>
        <v>0</v>
      </c>
      <c r="AM8" s="132">
        <f>IFERROR(IF(VLOOKUP($B8,Shortage!$A:$M,AM$2,FALSE)="Shortage",1,IFERROR(ROUND(AA8/O8,4),0)),IFERROR(ROUND(AA8/O8,4),0))</f>
        <v>0</v>
      </c>
      <c r="AN8" s="186">
        <f>IFERROR(_xlfn.XLOOKUP(AB8,'2) หลักการคำนวน Table'!$C$3:$K$3,'2) หลักการคำนวน Table'!$C$3:$K$3,,1),INDEX('2) หลักการคำนวน Table'!$C$3:$K$3,1))</f>
        <v>1</v>
      </c>
      <c r="AO8" s="186">
        <f>IFERROR(
  _xlfn.XLOOKUP(AC8,'2) หลักการคำนวน Table'!$C$3:$K$3,'2) หลักการคำนวน Table'!$C$3:$K$3,,1),
  IF(AC8&lt;MIN('2) หลักการคำนวน Table'!$C$3:$K$3),
     MIN('2) หลักการคำนวน Table'!$C$3:$K$3),
     MAX('2) หลักการคำนวน Table'!$C$3:$K$3)
  )
)</f>
        <v>0.9</v>
      </c>
      <c r="AP8" s="186">
        <f>IFERROR(
  _xlfn.XLOOKUP(AD8,'2) หลักการคำนวน Table'!$C$3:$K$3,'2) หลักการคำนวน Table'!$C$3:$K$3,,1),
  IF(AD8&lt;MIN('2) หลักการคำนวน Table'!$C$3:$K$3),
     MIN('2) หลักการคำนวน Table'!$C$3:$K$3),
     MAX('2) หลักการคำนวน Table'!$C$3:$K$3)
  )
)</f>
        <v>0.9</v>
      </c>
      <c r="AQ8" s="186">
        <f>IFERROR(
  _xlfn.XLOOKUP(AE8,'2) หลักการคำนวน Table'!$C$3:$K$3,'2) หลักการคำนวน Table'!$C$3:$K$3,,1),
  IF(AE8&lt;MIN('2) หลักการคำนวน Table'!$C$3:$K$3),
     MIN('2) หลักการคำนวน Table'!$C$3:$K$3),
     MAX('2) หลักการคำนวน Table'!$C$3:$K$3)
  )
)</f>
        <v>0.9</v>
      </c>
      <c r="AR8" s="186">
        <f>IFERROR(
  _xlfn.XLOOKUP(AF8,'2) หลักการคำนวน Table'!$C$3:$K$3,'2) หลักการคำนวน Table'!$C$3:$K$3,,1),
  IF(AF8&lt;MIN('2) หลักการคำนวน Table'!$C$3:$K$3),
     MIN('2) หลักการคำนวน Table'!$C$3:$K$3),
     MAX('2) หลักการคำนวน Table'!$C$3:$K$3)
  )
)</f>
        <v>0.9</v>
      </c>
      <c r="AS8" s="186">
        <f>IFERROR(
  _xlfn.XLOOKUP(AG8,'2) หลักการคำนวน Table'!$C$3:$K$3,'2) หลักการคำนวน Table'!$C$3:$K$3,,1),
  IF(AG8&lt;MIN('2) หลักการคำนวน Table'!$C$3:$K$3),
     MIN('2) หลักการคำนวน Table'!$C$3:$K$3),
     MAX('2) หลักการคำนวน Table'!$C$3:$K$3)
  )
)</f>
        <v>0.9</v>
      </c>
      <c r="AT8" s="186">
        <f>IFERROR(
  _xlfn.XLOOKUP(AH8,'2) หลักการคำนวน Table'!$C$3:$K$3,'2) หลักการคำนวน Table'!$C$3:$K$3,,1),
  IF(AH8&lt;MIN('2) หลักการคำนวน Table'!$C$3:$K$3),
     MIN('2) หลักการคำนวน Table'!$C$3:$K$3),
     MAX('2) หลักการคำนวน Table'!$C$3:$K$3)
  )
)</f>
        <v>0.9</v>
      </c>
      <c r="AU8" s="186">
        <f>IFERROR(
  _xlfn.XLOOKUP(AI8,'2) หลักการคำนวน Table'!$C$3:$K$3,'2) หลักการคำนวน Table'!$C$3:$K$3,,1),
  IF(AI8&lt;MIN('2) หลักการคำนวน Table'!$C$3:$K$3),
     MIN('2) หลักการคำนวน Table'!$C$3:$K$3),
     MAX('2) หลักการคำนวน Table'!$C$3:$K$3)
  )
)</f>
        <v>0.9</v>
      </c>
      <c r="AV8" s="186">
        <f>IFERROR(
  _xlfn.XLOOKUP(AJ8,'2) หลักการคำนวน Table'!$C$3:$K$3,'2) หลักการคำนวน Table'!$C$3:$K$3,,1),
  IF(AJ8&lt;MIN('2) หลักการคำนวน Table'!$C$3:$K$3),
     MIN('2) หลักการคำนวน Table'!$C$3:$K$3),
     MAX('2) หลักการคำนวน Table'!$C$3:$K$3)
  )
)</f>
        <v>0.9</v>
      </c>
      <c r="AW8" s="186">
        <f>IFERROR(
  _xlfn.XLOOKUP(AK8,'2) หลักการคำนวน Table'!$C$3:$K$3,'2) หลักการคำนวน Table'!$C$3:$K$3,,1),
  IF(AK8&lt;MIN('2) หลักการคำนวน Table'!$C$3:$K$3),
     MIN('2) หลักการคำนวน Table'!$C$3:$K$3),
     MAX('2) หลักการคำนวน Table'!$C$3:$K$3)
  )
)</f>
        <v>0.9</v>
      </c>
      <c r="AX8" s="186">
        <f>IFERROR(
  _xlfn.XLOOKUP(AL8,'2) หลักการคำนวน Table'!$C$3:$K$3,'2) หลักการคำนวน Table'!$C$3:$K$3,,1),
  IF(AL8&lt;MIN('2) หลักการคำนวน Table'!$C$3:$K$3),
     MIN('2) หลักการคำนวน Table'!$C$3:$K$3),
     MAX('2) หลักการคำนวน Table'!$C$3:$K$3)
  )
)</f>
        <v>0.9</v>
      </c>
      <c r="AY8" s="186">
        <f>IFERROR(
  _xlfn.XLOOKUP(AM8,'2) หลักการคำนวน Table'!$C$3:$K$3,'2) หลักการคำนวน Table'!$C$3:$K$3,,1),
  IF(AM8&lt;MIN('2) หลักการคำนวน Table'!$C$3:$K$3),
     MIN('2) หลักการคำนวน Table'!$C$3:$K$3),
     MAX('2) หลักการคำนวน Table'!$C$3:$K$3)
  )
)</f>
        <v>0.9</v>
      </c>
      <c r="AZ8" s="135" t="e" cm="1">
        <f t="array" ref="AZ8">ROUND((_xlfn.XLOOKUP($C8,'2) หลักการคำนวน Table'!$A$4:$A$36,
_xlfn.XLOOKUP(AN8,'2)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A8" s="135" t="e" cm="1">
        <f t="array" ref="BA8">ROUND((_xlfn.XLOOKUP($C8,'2) หลักการคำนวน Table'!$A$4:$A$36,
_xlfn.XLOOKUP(AO8,'2)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B8" s="135" t="e" cm="1">
        <f t="array" ref="BB8">ROUND((_xlfn.XLOOKUP($C8,'2) หลักการคำนวน Table'!$A$4:$A$36,
_xlfn.XLOOKUP(AP8,'2)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C8" s="135" t="e" cm="1">
        <f t="array" ref="BC8">ROUND((_xlfn.XLOOKUP($C8,'2) หลักการคำนวน Table'!$A$4:$A$36,
_xlfn.XLOOKUP(AQ8,'2)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D8" s="135" t="e" cm="1">
        <f t="array" ref="BD8">ROUND((_xlfn.XLOOKUP($C8,'2) หลักการคำนวน Table'!$A$4:$A$36,
_xlfn.XLOOKUP(AR8,'2)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E8" s="135" t="e" cm="1">
        <f t="array" ref="BE8">ROUND((_xlfn.XLOOKUP($C8,'2) หลักการคำนวน Table'!$A$4:$A$36,
_xlfn.XLOOKUP(AS8,'2)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F8" s="135" t="e" cm="1">
        <f t="array" ref="BF8">ROUND((_xlfn.XLOOKUP($C8,'2) หลักการคำนวน Table'!$A$4:$A$36,
_xlfn.XLOOKUP(AT8,'2)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G8" s="135" t="e" cm="1">
        <f t="array" ref="BG8">ROUND((_xlfn.XLOOKUP($C8,'2) หลักการคำนวน Table'!$A$4:$A$36,
_xlfn.XLOOKUP(AU8,'2)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H8" s="135" t="e" cm="1">
        <f t="array" ref="BH8">ROUND((_xlfn.XLOOKUP($C8,'2) หลักการคำนวน Table'!$A$4:$A$36,
_xlfn.XLOOKUP(AV8,'2)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I8" s="135" t="e" cm="1">
        <f t="array" ref="BI8">ROUND((_xlfn.XLOOKUP($C8,'2) หลักการคำนวน Table'!$A$4:$A$36,
_xlfn.XLOOKUP(AW8,'2)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J8" s="135" t="e" cm="1">
        <f t="array" ref="BJ8">ROUND((_xlfn.XLOOKUP($C8,'2) หลักการคำนวน Table'!$A$4:$A$36,
_xlfn.XLOOKUP(AX8,'2)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K8" s="135" t="e" cm="1">
        <f t="array" ref="BK8">ROUND((_xlfn.XLOOKUP($C8,'2) หลักการคำนวน Table'!$A$4:$A$36,
_xlfn.XLOOKUP(AY8,'2)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L8" s="239"/>
      <c r="BM8" s="126">
        <v>222234</v>
      </c>
      <c r="BN8" s="245">
        <v>19</v>
      </c>
    </row>
    <row r="9" spans="1:66" ht="13.2" customHeight="1" x14ac:dyDescent="0.25">
      <c r="A9" s="128">
        <f>VLOOKUP(C9,ASTBase!F:S,12,FALSE)</f>
        <v>222222</v>
      </c>
      <c r="B9" s="126" t="s">
        <v>413</v>
      </c>
      <c r="C9" s="128">
        <v>222234</v>
      </c>
      <c r="D9" s="127">
        <f>SUMIFS('3)Target &amp; Cal_Sect'!D$4:D$60,'3)Target &amp; Cal_Sect'!$B$4:$B$60,'3)Target &amp; Cal_Dept'!$B9,'3)Target &amp; Cal_Sect'!$A$4:$A$60,'3)Target &amp; Cal_Dept'!$C9)</f>
        <v>80328.5524</v>
      </c>
      <c r="E9" s="127">
        <f>SUMIFS('3)Target &amp; Cal_Sect'!E$4:E$60,'3)Target &amp; Cal_Sect'!$B$4:$B$60,'3)Target &amp; Cal_Dept'!$B9,'3)Target &amp; Cal_Sect'!$A$4:$A$60,'3)Target &amp; Cal_Dept'!$C9)</f>
        <v>111047</v>
      </c>
      <c r="F9" s="127">
        <f>SUMIFS('3)Target &amp; Cal_Sect'!F$4:F$60,'3)Target &amp; Cal_Sect'!$B$4:$B$60,'3)Target &amp; Cal_Dept'!$B9,'3)Target &amp; Cal_Sect'!$A$4:$A$60,'3)Target &amp; Cal_Dept'!$C9)</f>
        <v>83819.943400000004</v>
      </c>
      <c r="G9" s="127">
        <f>SUMIFS('3)Target &amp; Cal_Sect'!G$4:G$60,'3)Target &amp; Cal_Sect'!$B$4:$B$60,'3)Target &amp; Cal_Dept'!$B9,'3)Target &amp; Cal_Sect'!$A$4:$A$60,'3)Target &amp; Cal_Dept'!$C9)</f>
        <v>117019.20359999999</v>
      </c>
      <c r="H9" s="127">
        <f>SUMIFS('3)Target &amp; Cal_Sect'!H$4:H$60,'3)Target &amp; Cal_Sect'!$B$4:$B$60,'3)Target &amp; Cal_Dept'!$B9,'3)Target &amp; Cal_Sect'!$A$4:$A$60,'3)Target &amp; Cal_Dept'!$C9)</f>
        <v>76897.428100000005</v>
      </c>
      <c r="I9" s="127">
        <f>SUMIFS('3)Target &amp; Cal_Sect'!I$4:I$60,'3)Target &amp; Cal_Sect'!$B$4:$B$60,'3)Target &amp; Cal_Dept'!$B9,'3)Target &amp; Cal_Sect'!$A$4:$A$60,'3)Target &amp; Cal_Dept'!$C9)</f>
        <v>111343.2453</v>
      </c>
      <c r="J9" s="127">
        <f>SUMIFS('3)Target &amp; Cal_Sect'!J$4:J$60,'3)Target &amp; Cal_Sect'!$B$4:$B$60,'3)Target &amp; Cal_Dept'!$B9,'3)Target &amp; Cal_Sect'!$A$4:$A$60,'3)Target &amp; Cal_Dept'!$C9)</f>
        <v>93508.086899999995</v>
      </c>
      <c r="K9" s="127">
        <f>SUMIFS('3)Target &amp; Cal_Sect'!K$4:K$60,'3)Target &amp; Cal_Sect'!$B$4:$B$60,'3)Target &amp; Cal_Dept'!$B9,'3)Target &amp; Cal_Sect'!$A$4:$A$60,'3)Target &amp; Cal_Dept'!$C9)</f>
        <v>115975.56140000001</v>
      </c>
      <c r="L9" s="127">
        <f>SUMIFS('3)Target &amp; Cal_Sect'!L$4:L$60,'3)Target &amp; Cal_Sect'!$B$4:$B$60,'3)Target &amp; Cal_Dept'!$B9,'3)Target &amp; Cal_Sect'!$A$4:$A$60,'3)Target &amp; Cal_Dept'!$C9)</f>
        <v>121284.84759999999</v>
      </c>
      <c r="M9" s="127">
        <f>SUMIFS('3)Target &amp; Cal_Sect'!M$4:M$60,'3)Target &amp; Cal_Sect'!$B$4:$B$60,'3)Target &amp; Cal_Dept'!$B9,'3)Target &amp; Cal_Sect'!$A$4:$A$60,'3)Target &amp; Cal_Dept'!$C9)</f>
        <v>107023</v>
      </c>
      <c r="N9" s="127">
        <f>SUMIFS('3)Target &amp; Cal_Sect'!N$4:N$60,'3)Target &amp; Cal_Sect'!$B$4:$B$60,'3)Target &amp; Cal_Dept'!$B9,'3)Target &amp; Cal_Sect'!$A$4:$A$60,'3)Target &amp; Cal_Dept'!$C9)</f>
        <v>98392</v>
      </c>
      <c r="O9" s="127">
        <f>SUMIFS('3)Target &amp; Cal_Sect'!O$4:O$60,'3)Target &amp; Cal_Sect'!$B$4:$B$60,'3)Target &amp; Cal_Dept'!$B9,'3)Target &amp; Cal_Sect'!$A$4:$A$60,'3)Target &amp; Cal_Dept'!$C9)</f>
        <v>108751</v>
      </c>
      <c r="P9" s="127">
        <f>SUMIFS('3)Target &amp; Cal_Sect'!P$4:P$60,'3)Target &amp; Cal_Sect'!$B$4:$B$60,'3)Target &amp; Cal_Dept'!$B9,'3)Target &amp; Cal_Sect'!$A$4:$A$60,'3)Target &amp; Cal_Dept'!$C9)</f>
        <v>64143.12150000011</v>
      </c>
      <c r="Q9" s="127">
        <f>SUMIFS('3)Target &amp; Cal_Sect'!Q$4:Q$60,'3)Target &amp; Cal_Sect'!$B$4:$B$60,'3)Target &amp; Cal_Dept'!$B9,'3)Target &amp; Cal_Sect'!$A$4:$A$60,'3)Target &amp; Cal_Dept'!$C9)</f>
        <v>0</v>
      </c>
      <c r="R9" s="127">
        <f>SUMIFS('3)Target &amp; Cal_Sect'!R$4:R$60,'3)Target &amp; Cal_Sect'!$B$4:$B$60,'3)Target &amp; Cal_Dept'!$B9,'3)Target &amp; Cal_Sect'!$A$4:$A$60,'3)Target &amp; Cal_Dept'!$C9)</f>
        <v>0</v>
      </c>
      <c r="S9" s="127">
        <f>SUMIFS('3)Target &amp; Cal_Sect'!S$4:S$60,'3)Target &amp; Cal_Sect'!$B$4:$B$60,'3)Target &amp; Cal_Dept'!$B9,'3)Target &amp; Cal_Sect'!$A$4:$A$60,'3)Target &amp; Cal_Dept'!$C9)</f>
        <v>0</v>
      </c>
      <c r="T9" s="127">
        <f>SUMIFS('3)Target &amp; Cal_Sect'!T$4:T$60,'3)Target &amp; Cal_Sect'!$B$4:$B$60,'3)Target &amp; Cal_Dept'!$B9,'3)Target &amp; Cal_Sect'!$A$4:$A$60,'3)Target &amp; Cal_Dept'!$C9)</f>
        <v>0</v>
      </c>
      <c r="U9" s="127">
        <f>SUMIFS('3)Target &amp; Cal_Sect'!U$4:U$60,'3)Target &amp; Cal_Sect'!$B$4:$B$60,'3)Target &amp; Cal_Dept'!$B9,'3)Target &amp; Cal_Sect'!$A$4:$A$60,'3)Target &amp; Cal_Dept'!$C9)</f>
        <v>0</v>
      </c>
      <c r="V9" s="127">
        <f>SUMIFS('3)Target &amp; Cal_Sect'!V$4:V$60,'3)Target &amp; Cal_Sect'!$B$4:$B$60,'3)Target &amp; Cal_Dept'!$B9,'3)Target &amp; Cal_Sect'!$A$4:$A$60,'3)Target &amp; Cal_Dept'!$C9)</f>
        <v>0</v>
      </c>
      <c r="W9" s="127">
        <f>SUMIFS('3)Target &amp; Cal_Sect'!W$4:W$60,'3)Target &amp; Cal_Sect'!$B$4:$B$60,'3)Target &amp; Cal_Dept'!$B9,'3)Target &amp; Cal_Sect'!$A$4:$A$60,'3)Target &amp; Cal_Dept'!$C9)</f>
        <v>0</v>
      </c>
      <c r="X9" s="127">
        <f>SUMIFS('3)Target &amp; Cal_Sect'!X$4:X$60,'3)Target &amp; Cal_Sect'!$B$4:$B$60,'3)Target &amp; Cal_Dept'!$B9,'3)Target &amp; Cal_Sect'!$A$4:$A$60,'3)Target &amp; Cal_Dept'!$C9)</f>
        <v>0</v>
      </c>
      <c r="Y9" s="127">
        <f>SUMIFS('3)Target &amp; Cal_Sect'!Y$4:Y$60,'3)Target &amp; Cal_Sect'!$B$4:$B$60,'3)Target &amp; Cal_Dept'!$B9,'3)Target &amp; Cal_Sect'!$A$4:$A$60,'3)Target &amp; Cal_Dept'!$C9)</f>
        <v>0</v>
      </c>
      <c r="Z9" s="127">
        <f>SUMIFS('3)Target &amp; Cal_Sect'!Z$4:Z$60,'3)Target &amp; Cal_Sect'!$B$4:$B$60,'3)Target &amp; Cal_Dept'!$B9,'3)Target &amp; Cal_Sect'!$A$4:$A$60,'3)Target &amp; Cal_Dept'!$C9)</f>
        <v>0</v>
      </c>
      <c r="AA9" s="127">
        <f>SUMIFS('3)Target &amp; Cal_Sect'!AA$4:AA$60,'3)Target &amp; Cal_Sect'!$B$4:$B$60,'3)Target &amp; Cal_Dept'!$B9,'3)Target &amp; Cal_Sect'!$A$4:$A$60,'3)Target &amp; Cal_Dept'!$C9)</f>
        <v>0</v>
      </c>
      <c r="AB9" s="132">
        <f>IFERROR(IF(VLOOKUP($B9,Shortage!$A:$M,AB$2,FALSE)="Shortage",1,IFERROR(ROUND(P9/D9,4),0)),IFERROR(ROUND(P9/D9,4),0))</f>
        <v>0.79849999999999999</v>
      </c>
      <c r="AC9" s="132">
        <f>IFERROR(IF(VLOOKUP($B9,Shortage!$A:$M,AC$2,FALSE)="Shortage",1,IFERROR(ROUND(Q9/E9,4),0)),IFERROR(ROUND(Q9/E9,4),0))</f>
        <v>0</v>
      </c>
      <c r="AD9" s="132">
        <f>IFERROR(IF(VLOOKUP($B9,Shortage!$A:$M,AD$2,FALSE)="Shortage",1,IFERROR(ROUND(R9/F9,4),0)),IFERROR(ROUND(R9/F9,4),0))</f>
        <v>0</v>
      </c>
      <c r="AE9" s="132">
        <f>IFERROR(IF(VLOOKUP($B9,Shortage!$A:$M,AE$2,FALSE)="Shortage",1,IFERROR(ROUND(S9/G9,4),0)),IFERROR(ROUND(S9/G9,4),0))</f>
        <v>0</v>
      </c>
      <c r="AF9" s="132">
        <f>IFERROR(IF(VLOOKUP($B9,Shortage!$A:$M,AF$2,FALSE)="Shortage",1,IFERROR(ROUND(T9/H9,4),0)),IFERROR(ROUND(T9/H9,4),0))</f>
        <v>0</v>
      </c>
      <c r="AG9" s="132">
        <f>IFERROR(IF(VLOOKUP($B9,Shortage!$A:$M,AG$2,FALSE)="Shortage",1,IFERROR(ROUND(U9/I9,4),0)),IFERROR(ROUND(U9/I9,4),0))</f>
        <v>0</v>
      </c>
      <c r="AH9" s="132">
        <f>IFERROR(IF(VLOOKUP($B9,Shortage!$A:$M,AH$2,FALSE)="Shortage",1,IFERROR(ROUND(V9/J9,4),0)),IFERROR(ROUND(V9/J9,4),0))</f>
        <v>0</v>
      </c>
      <c r="AI9" s="132">
        <f>IFERROR(IF(VLOOKUP($B9,Shortage!$A:$M,AI$2,FALSE)="Shortage",1,IFERROR(ROUND(W9/K9,4),0)),IFERROR(ROUND(W9/K9,4),0))</f>
        <v>0</v>
      </c>
      <c r="AJ9" s="132">
        <f>IFERROR(IF(VLOOKUP($B9,Shortage!$A:$M,AJ$2,FALSE)="Shortage",1,IFERROR(ROUND(X9/L9,4),0)),IFERROR(ROUND(X9/L9,4),0))</f>
        <v>0</v>
      </c>
      <c r="AK9" s="132">
        <f>IFERROR(IF(VLOOKUP($B9,Shortage!$A:$M,AK$2,FALSE)="Shortage",1,IFERROR(ROUND(Y9/M9,4),0)),IFERROR(ROUND(Y9/M9,4),0))</f>
        <v>0</v>
      </c>
      <c r="AL9" s="132">
        <f>IFERROR(IF(VLOOKUP($B9,Shortage!$A:$M,AL$2,FALSE)="Shortage",1,IFERROR(ROUND(Z9/N9,4),0)),IFERROR(ROUND(Z9/N9,4),0))</f>
        <v>0</v>
      </c>
      <c r="AM9" s="132">
        <f>IFERROR(IF(VLOOKUP($B9,Shortage!$A:$M,AM$2,FALSE)="Shortage",1,IFERROR(ROUND(AA9/O9,4),0)),IFERROR(ROUND(AA9/O9,4),0))</f>
        <v>0</v>
      </c>
      <c r="AN9" s="186">
        <f>IFERROR(_xlfn.XLOOKUP(AB9,'2) หลักการคำนวน Table'!$C$3:$K$3,'2) หลักการคำนวน Table'!$C$3:$K$3,,1),INDEX('2) หลักการคำนวน Table'!$C$3:$K$3,1))</f>
        <v>0.9</v>
      </c>
      <c r="AO9" s="186">
        <f>IFERROR(
  _xlfn.XLOOKUP(AC9,'2) หลักการคำนวน Table'!$C$3:$K$3,'2) หลักการคำนวน Table'!$C$3:$K$3,,1),
  IF(AC9&lt;MIN('2) หลักการคำนวน Table'!$C$3:$K$3),
     MIN('2) หลักการคำนวน Table'!$C$3:$K$3),
     MAX('2) หลักการคำนวน Table'!$C$3:$K$3)
  )
)</f>
        <v>0.9</v>
      </c>
      <c r="AP9" s="186">
        <f>IFERROR(
  _xlfn.XLOOKUP(AD9,'2) หลักการคำนวน Table'!$C$3:$K$3,'2) หลักการคำนวน Table'!$C$3:$K$3,,1),
  IF(AD9&lt;MIN('2) หลักการคำนวน Table'!$C$3:$K$3),
     MIN('2) หลักการคำนวน Table'!$C$3:$K$3),
     MAX('2) หลักการคำนวน Table'!$C$3:$K$3)
  )
)</f>
        <v>0.9</v>
      </c>
      <c r="AQ9" s="186">
        <f>IFERROR(
  _xlfn.XLOOKUP(AE9,'2) หลักการคำนวน Table'!$C$3:$K$3,'2) หลักการคำนวน Table'!$C$3:$K$3,,1),
  IF(AE9&lt;MIN('2) หลักการคำนวน Table'!$C$3:$K$3),
     MIN('2) หลักการคำนวน Table'!$C$3:$K$3),
     MAX('2) หลักการคำนวน Table'!$C$3:$K$3)
  )
)</f>
        <v>0.9</v>
      </c>
      <c r="AR9" s="186">
        <f>IFERROR(
  _xlfn.XLOOKUP(AF9,'2) หลักการคำนวน Table'!$C$3:$K$3,'2) หลักการคำนวน Table'!$C$3:$K$3,,1),
  IF(AF9&lt;MIN('2) หลักการคำนวน Table'!$C$3:$K$3),
     MIN('2) หลักการคำนวน Table'!$C$3:$K$3),
     MAX('2) หลักการคำนวน Table'!$C$3:$K$3)
  )
)</f>
        <v>0.9</v>
      </c>
      <c r="AS9" s="186">
        <f>IFERROR(
  _xlfn.XLOOKUP(AG9,'2) หลักการคำนวน Table'!$C$3:$K$3,'2) หลักการคำนวน Table'!$C$3:$K$3,,1),
  IF(AG9&lt;MIN('2) หลักการคำนวน Table'!$C$3:$K$3),
     MIN('2) หลักการคำนวน Table'!$C$3:$K$3),
     MAX('2) หลักการคำนวน Table'!$C$3:$K$3)
  )
)</f>
        <v>0.9</v>
      </c>
      <c r="AT9" s="186">
        <f>IFERROR(
  _xlfn.XLOOKUP(AH9,'2) หลักการคำนวน Table'!$C$3:$K$3,'2) หลักการคำนวน Table'!$C$3:$K$3,,1),
  IF(AH9&lt;MIN('2) หลักการคำนวน Table'!$C$3:$K$3),
     MIN('2) หลักการคำนวน Table'!$C$3:$K$3),
     MAX('2) หลักการคำนวน Table'!$C$3:$K$3)
  )
)</f>
        <v>0.9</v>
      </c>
      <c r="AU9" s="186">
        <f>IFERROR(
  _xlfn.XLOOKUP(AI9,'2) หลักการคำนวน Table'!$C$3:$K$3,'2) หลักการคำนวน Table'!$C$3:$K$3,,1),
  IF(AI9&lt;MIN('2) หลักการคำนวน Table'!$C$3:$K$3),
     MIN('2) หลักการคำนวน Table'!$C$3:$K$3),
     MAX('2) หลักการคำนวน Table'!$C$3:$K$3)
  )
)</f>
        <v>0.9</v>
      </c>
      <c r="AV9" s="186">
        <f>IFERROR(
  _xlfn.XLOOKUP(AJ9,'2) หลักการคำนวน Table'!$C$3:$K$3,'2) หลักการคำนวน Table'!$C$3:$K$3,,1),
  IF(AJ9&lt;MIN('2) หลักการคำนวน Table'!$C$3:$K$3),
     MIN('2) หลักการคำนวน Table'!$C$3:$K$3),
     MAX('2) หลักการคำนวน Table'!$C$3:$K$3)
  )
)</f>
        <v>0.9</v>
      </c>
      <c r="AW9" s="186">
        <f>IFERROR(
  _xlfn.XLOOKUP(AK9,'2) หลักการคำนวน Table'!$C$3:$K$3,'2) หลักการคำนวน Table'!$C$3:$K$3,,1),
  IF(AK9&lt;MIN('2) หลักการคำนวน Table'!$C$3:$K$3),
     MIN('2) หลักการคำนวน Table'!$C$3:$K$3),
     MAX('2) หลักการคำนวน Table'!$C$3:$K$3)
  )
)</f>
        <v>0.9</v>
      </c>
      <c r="AX9" s="186">
        <f>IFERROR(
  _xlfn.XLOOKUP(AL9,'2) หลักการคำนวน Table'!$C$3:$K$3,'2) หลักการคำนวน Table'!$C$3:$K$3,,1),
  IF(AL9&lt;MIN('2) หลักการคำนวน Table'!$C$3:$K$3),
     MIN('2) หลักการคำนวน Table'!$C$3:$K$3),
     MAX('2) หลักการคำนวน Table'!$C$3:$K$3)
  )
)</f>
        <v>0.9</v>
      </c>
      <c r="AY9" s="186">
        <f>IFERROR(
  _xlfn.XLOOKUP(AM9,'2) หลักการคำนวน Table'!$C$3:$K$3,'2) หลักการคำนวน Table'!$C$3:$K$3,,1),
  IF(AM9&lt;MIN('2) หลักการคำนวน Table'!$C$3:$K$3),
     MIN('2) หลักการคำนวน Table'!$C$3:$K$3),
     MAX('2) หลักการคำนวน Table'!$C$3:$K$3)
  )
)</f>
        <v>0.9</v>
      </c>
      <c r="AZ9" s="135" t="e" cm="1">
        <f t="array" ref="AZ9">ROUND((_xlfn.XLOOKUP($C9,'2) หลักการคำนวน Table'!$A$4:$A$36,
_xlfn.XLOOKUP(AN9,'2)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A9" s="135" t="e" cm="1">
        <f t="array" ref="BA9">ROUND((_xlfn.XLOOKUP($C9,'2) หลักการคำนวน Table'!$A$4:$A$36,
_xlfn.XLOOKUP(AO9,'2)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B9" s="135" t="e" cm="1">
        <f t="array" ref="BB9">ROUND((_xlfn.XLOOKUP($C9,'2) หลักการคำนวน Table'!$A$4:$A$36,
_xlfn.XLOOKUP(AP9,'2)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C9" s="135" t="e" cm="1">
        <f t="array" ref="BC9">ROUND((_xlfn.XLOOKUP($C9,'2) หลักการคำนวน Table'!$A$4:$A$36,
_xlfn.XLOOKUP(AQ9,'2)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D9" s="135" t="e" cm="1">
        <f t="array" ref="BD9">ROUND((_xlfn.XLOOKUP($C9,'2) หลักการคำนวน Table'!$A$4:$A$36,
_xlfn.XLOOKUP(AR9,'2)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E9" s="135" t="e" cm="1">
        <f t="array" ref="BE9">ROUND((_xlfn.XLOOKUP($C9,'2) หลักการคำนวน Table'!$A$4:$A$36,
_xlfn.XLOOKUP(AS9,'2)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F9" s="135" t="e" cm="1">
        <f t="array" ref="BF9">ROUND((_xlfn.XLOOKUP($C9,'2) หลักการคำนวน Table'!$A$4:$A$36,
_xlfn.XLOOKUP(AT9,'2)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G9" s="135" t="e" cm="1">
        <f t="array" ref="BG9">ROUND((_xlfn.XLOOKUP($C9,'2) หลักการคำนวน Table'!$A$4:$A$36,
_xlfn.XLOOKUP(AU9,'2)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H9" s="135" t="e" cm="1">
        <f t="array" ref="BH9">ROUND((_xlfn.XLOOKUP($C9,'2) หลักการคำนวน Table'!$A$4:$A$36,
_xlfn.XLOOKUP(AV9,'2)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I9" s="135" t="e" cm="1">
        <f t="array" ref="BI9">ROUND((_xlfn.XLOOKUP($C9,'2) หลักการคำนวน Table'!$A$4:$A$36,
_xlfn.XLOOKUP(AW9,'2)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J9" s="135" t="e" cm="1">
        <f t="array" ref="BJ9">ROUND((_xlfn.XLOOKUP($C9,'2) หลักการคำนวน Table'!$A$4:$A$36,
_xlfn.XLOOKUP(AX9,'2)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K9" s="135" t="e" cm="1">
        <f t="array" ref="BK9">ROUND((_xlfn.XLOOKUP($C9,'2) หลักการคำนวน Table'!$A$4:$A$36,
_xlfn.XLOOKUP(AY9,'2)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L9" s="239"/>
      <c r="BM9" s="126">
        <v>222234</v>
      </c>
      <c r="BN9" s="245">
        <v>336</v>
      </c>
    </row>
    <row r="10" spans="1:66" ht="13.2" customHeight="1" x14ac:dyDescent="0.25">
      <c r="A10" s="128">
        <f>VLOOKUP(C10,ASTBase!F:S,12,FALSE)</f>
        <v>222222</v>
      </c>
      <c r="B10" s="126" t="s">
        <v>406</v>
      </c>
      <c r="C10" s="128">
        <v>222234</v>
      </c>
      <c r="D10" s="127">
        <f>SUMIFS('3)Target &amp; Cal_Sect'!D$4:D$60,'3)Target &amp; Cal_Sect'!$B$4:$B$60,'3)Target &amp; Cal_Dept'!$B10,'3)Target &amp; Cal_Sect'!$A$4:$A$60,'3)Target &amp; Cal_Dept'!$C10)</f>
        <v>211386.2</v>
      </c>
      <c r="E10" s="127">
        <f>SUMIFS('3)Target &amp; Cal_Sect'!E$4:E$60,'3)Target &amp; Cal_Sect'!$B$4:$B$60,'3)Target &amp; Cal_Dept'!$B10,'3)Target &amp; Cal_Sect'!$A$4:$A$60,'3)Target &amp; Cal_Dept'!$C10)</f>
        <v>205726.43</v>
      </c>
      <c r="F10" s="127">
        <f>SUMIFS('3)Target &amp; Cal_Sect'!F$4:F$60,'3)Target &amp; Cal_Sect'!$B$4:$B$60,'3)Target &amp; Cal_Dept'!$B10,'3)Target &amp; Cal_Sect'!$A$4:$A$60,'3)Target &amp; Cal_Dept'!$C10)</f>
        <v>205039.92</v>
      </c>
      <c r="G10" s="127">
        <f>SUMIFS('3)Target &amp; Cal_Sect'!G$4:G$60,'3)Target &amp; Cal_Sect'!$B$4:$B$60,'3)Target &amp; Cal_Dept'!$B10,'3)Target &amp; Cal_Sect'!$A$4:$A$60,'3)Target &amp; Cal_Dept'!$C10)</f>
        <v>201961.92</v>
      </c>
      <c r="H10" s="127">
        <f>SUMIFS('3)Target &amp; Cal_Sect'!H$4:H$60,'3)Target &amp; Cal_Sect'!$B$4:$B$60,'3)Target &amp; Cal_Dept'!$B10,'3)Target &amp; Cal_Sect'!$A$4:$A$60,'3)Target &amp; Cal_Dept'!$C10)</f>
        <v>206318.34</v>
      </c>
      <c r="I10" s="127">
        <f>SUMIFS('3)Target &amp; Cal_Sect'!I$4:I$60,'3)Target &amp; Cal_Sect'!$B$4:$B$60,'3)Target &amp; Cal_Dept'!$B10,'3)Target &amp; Cal_Sect'!$A$4:$A$60,'3)Target &amp; Cal_Dept'!$C10)</f>
        <v>222353.87</v>
      </c>
      <c r="J10" s="127">
        <f>SUMIFS('3)Target &amp; Cal_Sect'!J$4:J$60,'3)Target &amp; Cal_Sect'!$B$4:$B$60,'3)Target &amp; Cal_Dept'!$B10,'3)Target &amp; Cal_Sect'!$A$4:$A$60,'3)Target &amp; Cal_Dept'!$C10)</f>
        <v>216403.32</v>
      </c>
      <c r="K10" s="127">
        <f>SUMIFS('3)Target &amp; Cal_Sect'!K$4:K$60,'3)Target &amp; Cal_Sect'!$B$4:$B$60,'3)Target &amp; Cal_Dept'!$B10,'3)Target &amp; Cal_Sect'!$A$4:$A$60,'3)Target &amp; Cal_Dept'!$C10)</f>
        <v>209484.18</v>
      </c>
      <c r="L10" s="127">
        <f>SUMIFS('3)Target &amp; Cal_Sect'!L$4:L$60,'3)Target &amp; Cal_Sect'!$B$4:$B$60,'3)Target &amp; Cal_Dept'!$B10,'3)Target &amp; Cal_Sect'!$A$4:$A$60,'3)Target &amp; Cal_Dept'!$C10)</f>
        <v>205546</v>
      </c>
      <c r="M10" s="127">
        <f>SUMIFS('3)Target &amp; Cal_Sect'!M$4:M$60,'3)Target &amp; Cal_Sect'!$B$4:$B$60,'3)Target &amp; Cal_Dept'!$B10,'3)Target &amp; Cal_Sect'!$A$4:$A$60,'3)Target &amp; Cal_Dept'!$C10)</f>
        <v>227606.44</v>
      </c>
      <c r="N10" s="127">
        <f>SUMIFS('3)Target &amp; Cal_Sect'!N$4:N$60,'3)Target &amp; Cal_Sect'!$B$4:$B$60,'3)Target &amp; Cal_Dept'!$B10,'3)Target &amp; Cal_Sect'!$A$4:$A$60,'3)Target &amp; Cal_Dept'!$C10)</f>
        <v>204988.493333333</v>
      </c>
      <c r="O10" s="127">
        <f>SUMIFS('3)Target &amp; Cal_Sect'!O$4:O$60,'3)Target &amp; Cal_Sect'!$B$4:$B$60,'3)Target &amp; Cal_Dept'!$B10,'3)Target &amp; Cal_Sect'!$A$4:$A$60,'3)Target &amp; Cal_Dept'!$C10)</f>
        <v>219485.48333333299</v>
      </c>
      <c r="P10" s="127">
        <f>SUMIFS('3)Target &amp; Cal_Sect'!P$4:P$60,'3)Target &amp; Cal_Sect'!$B$4:$B$60,'3)Target &amp; Cal_Dept'!$B10,'3)Target &amp; Cal_Sect'!$A$4:$A$60,'3)Target &amp; Cal_Dept'!$C10)</f>
        <v>209393.73999999964</v>
      </c>
      <c r="Q10" s="127">
        <f>SUMIFS('3)Target &amp; Cal_Sect'!Q$4:Q$60,'3)Target &amp; Cal_Sect'!$B$4:$B$60,'3)Target &amp; Cal_Dept'!$B10,'3)Target &amp; Cal_Sect'!$A$4:$A$60,'3)Target &amp; Cal_Dept'!$C10)</f>
        <v>0</v>
      </c>
      <c r="R10" s="127">
        <f>SUMIFS('3)Target &amp; Cal_Sect'!R$4:R$60,'3)Target &amp; Cal_Sect'!$B$4:$B$60,'3)Target &amp; Cal_Dept'!$B10,'3)Target &amp; Cal_Sect'!$A$4:$A$60,'3)Target &amp; Cal_Dept'!$C10)</f>
        <v>0</v>
      </c>
      <c r="S10" s="127">
        <f>SUMIFS('3)Target &amp; Cal_Sect'!S$4:S$60,'3)Target &amp; Cal_Sect'!$B$4:$B$60,'3)Target &amp; Cal_Dept'!$B10,'3)Target &amp; Cal_Sect'!$A$4:$A$60,'3)Target &amp; Cal_Dept'!$C10)</f>
        <v>0</v>
      </c>
      <c r="T10" s="127">
        <f>SUMIFS('3)Target &amp; Cal_Sect'!T$4:T$60,'3)Target &amp; Cal_Sect'!$B$4:$B$60,'3)Target &amp; Cal_Dept'!$B10,'3)Target &amp; Cal_Sect'!$A$4:$A$60,'3)Target &amp; Cal_Dept'!$C10)</f>
        <v>0</v>
      </c>
      <c r="U10" s="127">
        <f>SUMIFS('3)Target &amp; Cal_Sect'!U$4:U$60,'3)Target &amp; Cal_Sect'!$B$4:$B$60,'3)Target &amp; Cal_Dept'!$B10,'3)Target &amp; Cal_Sect'!$A$4:$A$60,'3)Target &amp; Cal_Dept'!$C10)</f>
        <v>0</v>
      </c>
      <c r="V10" s="127">
        <f>SUMIFS('3)Target &amp; Cal_Sect'!V$4:V$60,'3)Target &amp; Cal_Sect'!$B$4:$B$60,'3)Target &amp; Cal_Dept'!$B10,'3)Target &amp; Cal_Sect'!$A$4:$A$60,'3)Target &amp; Cal_Dept'!$C10)</f>
        <v>0</v>
      </c>
      <c r="W10" s="127">
        <f>SUMIFS('3)Target &amp; Cal_Sect'!W$4:W$60,'3)Target &amp; Cal_Sect'!$B$4:$B$60,'3)Target &amp; Cal_Dept'!$B10,'3)Target &amp; Cal_Sect'!$A$4:$A$60,'3)Target &amp; Cal_Dept'!$C10)</f>
        <v>0</v>
      </c>
      <c r="X10" s="127">
        <f>SUMIFS('3)Target &amp; Cal_Sect'!X$4:X$60,'3)Target &amp; Cal_Sect'!$B$4:$B$60,'3)Target &amp; Cal_Dept'!$B10,'3)Target &amp; Cal_Sect'!$A$4:$A$60,'3)Target &amp; Cal_Dept'!$C10)</f>
        <v>0</v>
      </c>
      <c r="Y10" s="127">
        <f>SUMIFS('3)Target &amp; Cal_Sect'!Y$4:Y$60,'3)Target &amp; Cal_Sect'!$B$4:$B$60,'3)Target &amp; Cal_Dept'!$B10,'3)Target &amp; Cal_Sect'!$A$4:$A$60,'3)Target &amp; Cal_Dept'!$C10)</f>
        <v>0</v>
      </c>
      <c r="Z10" s="127">
        <f>SUMIFS('3)Target &amp; Cal_Sect'!Z$4:Z$60,'3)Target &amp; Cal_Sect'!$B$4:$B$60,'3)Target &amp; Cal_Dept'!$B10,'3)Target &amp; Cal_Sect'!$A$4:$A$60,'3)Target &amp; Cal_Dept'!$C10)</f>
        <v>0</v>
      </c>
      <c r="AA10" s="127">
        <f>SUMIFS('3)Target &amp; Cal_Sect'!AA$4:AA$60,'3)Target &amp; Cal_Sect'!$B$4:$B$60,'3)Target &amp; Cal_Dept'!$B10,'3)Target &amp; Cal_Sect'!$A$4:$A$60,'3)Target &amp; Cal_Dept'!$C10)</f>
        <v>0</v>
      </c>
      <c r="AB10" s="132">
        <f>IFERROR(IF(VLOOKUP($B10,Shortage!$A:$M,AB$2,FALSE)="Shortage",1,IFERROR(ROUND(P10/D10,4),0)),IFERROR(ROUND(P10/D10,4),0))</f>
        <v>1</v>
      </c>
      <c r="AC10" s="132">
        <f>IFERROR(IF(VLOOKUP($B10,Shortage!$A:$M,AC$2,FALSE)="Shortage",1,IFERROR(ROUND(Q10/E10,4),0)),IFERROR(ROUND(Q10/E10,4),0))</f>
        <v>0</v>
      </c>
      <c r="AD10" s="132">
        <f>IFERROR(IF(VLOOKUP($B10,Shortage!$A:$M,AD$2,FALSE)="Shortage",1,IFERROR(ROUND(R10/F10,4),0)),IFERROR(ROUND(R10/F10,4),0))</f>
        <v>0</v>
      </c>
      <c r="AE10" s="132">
        <f>IFERROR(IF(VLOOKUP($B10,Shortage!$A:$M,AE$2,FALSE)="Shortage",1,IFERROR(ROUND(S10/G10,4),0)),IFERROR(ROUND(S10/G10,4),0))</f>
        <v>0</v>
      </c>
      <c r="AF10" s="132">
        <f>IFERROR(IF(VLOOKUP($B10,Shortage!$A:$M,AF$2,FALSE)="Shortage",1,IFERROR(ROUND(T10/H10,4),0)),IFERROR(ROUND(T10/H10,4),0))</f>
        <v>0</v>
      </c>
      <c r="AG10" s="132">
        <f>IFERROR(IF(VLOOKUP($B10,Shortage!$A:$M,AG$2,FALSE)="Shortage",1,IFERROR(ROUND(U10/I10,4),0)),IFERROR(ROUND(U10/I10,4),0))</f>
        <v>0</v>
      </c>
      <c r="AH10" s="132">
        <f>IFERROR(IF(VLOOKUP($B10,Shortage!$A:$M,AH$2,FALSE)="Shortage",1,IFERROR(ROUND(V10/J10,4),0)),IFERROR(ROUND(V10/J10,4),0))</f>
        <v>0</v>
      </c>
      <c r="AI10" s="132">
        <f>IFERROR(IF(VLOOKUP($B10,Shortage!$A:$M,AI$2,FALSE)="Shortage",1,IFERROR(ROUND(W10/K10,4),0)),IFERROR(ROUND(W10/K10,4),0))</f>
        <v>0</v>
      </c>
      <c r="AJ10" s="132">
        <f>IFERROR(IF(VLOOKUP($B10,Shortage!$A:$M,AJ$2,FALSE)="Shortage",1,IFERROR(ROUND(X10/L10,4),0)),IFERROR(ROUND(X10/L10,4),0))</f>
        <v>0</v>
      </c>
      <c r="AK10" s="132">
        <f>IFERROR(IF(VLOOKUP($B10,Shortage!$A:$M,AK$2,FALSE)="Shortage",1,IFERROR(ROUND(Y10/M10,4),0)),IFERROR(ROUND(Y10/M10,4),0))</f>
        <v>0</v>
      </c>
      <c r="AL10" s="132">
        <f>IFERROR(IF(VLOOKUP($B10,Shortage!$A:$M,AL$2,FALSE)="Shortage",1,IFERROR(ROUND(Z10/N10,4),0)),IFERROR(ROUND(Z10/N10,4),0))</f>
        <v>0</v>
      </c>
      <c r="AM10" s="132">
        <f>IFERROR(IF(VLOOKUP($B10,Shortage!$A:$M,AM$2,FALSE)="Shortage",1,IFERROR(ROUND(AA10/O10,4),0)),IFERROR(ROUND(AA10/O10,4),0))</f>
        <v>0</v>
      </c>
      <c r="AN10" s="186">
        <f>IFERROR(_xlfn.XLOOKUP(AB10,'2) หลักการคำนวน Table'!$C$3:$K$3,'2) หลักการคำนวน Table'!$C$3:$K$3,,1),INDEX('2) หลักการคำนวน Table'!$C$3:$K$3,1))</f>
        <v>1</v>
      </c>
      <c r="AO10" s="186">
        <f>IFERROR(
  _xlfn.XLOOKUP(AC10,'2) หลักการคำนวน Table'!$C$3:$K$3,'2) หลักการคำนวน Table'!$C$3:$K$3,,1),
  IF(AC10&lt;MIN('2) หลักการคำนวน Table'!$C$3:$K$3),
     MIN('2) หลักการคำนวน Table'!$C$3:$K$3),
     MAX('2) หลักการคำนวน Table'!$C$3:$K$3)
  )
)</f>
        <v>0.9</v>
      </c>
      <c r="AP10" s="186">
        <f>IFERROR(
  _xlfn.XLOOKUP(AD10,'2) หลักการคำนวน Table'!$C$3:$K$3,'2) หลักการคำนวน Table'!$C$3:$K$3,,1),
  IF(AD10&lt;MIN('2) หลักการคำนวน Table'!$C$3:$K$3),
     MIN('2) หลักการคำนวน Table'!$C$3:$K$3),
     MAX('2) หลักการคำนวน Table'!$C$3:$K$3)
  )
)</f>
        <v>0.9</v>
      </c>
      <c r="AQ10" s="186">
        <f>IFERROR(
  _xlfn.XLOOKUP(AE10,'2) หลักการคำนวน Table'!$C$3:$K$3,'2) หลักการคำนวน Table'!$C$3:$K$3,,1),
  IF(AE10&lt;MIN('2) หลักการคำนวน Table'!$C$3:$K$3),
     MIN('2) หลักการคำนวน Table'!$C$3:$K$3),
     MAX('2) หลักการคำนวน Table'!$C$3:$K$3)
  )
)</f>
        <v>0.9</v>
      </c>
      <c r="AR10" s="186">
        <f>IFERROR(
  _xlfn.XLOOKUP(AF10,'2) หลักการคำนวน Table'!$C$3:$K$3,'2) หลักการคำนวน Table'!$C$3:$K$3,,1),
  IF(AF10&lt;MIN('2) หลักการคำนวน Table'!$C$3:$K$3),
     MIN('2) หลักการคำนวน Table'!$C$3:$K$3),
     MAX('2) หลักการคำนวน Table'!$C$3:$K$3)
  )
)</f>
        <v>0.9</v>
      </c>
      <c r="AS10" s="186">
        <f>IFERROR(
  _xlfn.XLOOKUP(AG10,'2) หลักการคำนวน Table'!$C$3:$K$3,'2) หลักการคำนวน Table'!$C$3:$K$3,,1),
  IF(AG10&lt;MIN('2) หลักการคำนวน Table'!$C$3:$K$3),
     MIN('2) หลักการคำนวน Table'!$C$3:$K$3),
     MAX('2) หลักการคำนวน Table'!$C$3:$K$3)
  )
)</f>
        <v>0.9</v>
      </c>
      <c r="AT10" s="186">
        <f>IFERROR(
  _xlfn.XLOOKUP(AH10,'2) หลักการคำนวน Table'!$C$3:$K$3,'2) หลักการคำนวน Table'!$C$3:$K$3,,1),
  IF(AH10&lt;MIN('2) หลักการคำนวน Table'!$C$3:$K$3),
     MIN('2) หลักการคำนวน Table'!$C$3:$K$3),
     MAX('2) หลักการคำนวน Table'!$C$3:$K$3)
  )
)</f>
        <v>0.9</v>
      </c>
      <c r="AU10" s="186">
        <f>IFERROR(
  _xlfn.XLOOKUP(AI10,'2) หลักการคำนวน Table'!$C$3:$K$3,'2) หลักการคำนวน Table'!$C$3:$K$3,,1),
  IF(AI10&lt;MIN('2) หลักการคำนวน Table'!$C$3:$K$3),
     MIN('2) หลักการคำนวน Table'!$C$3:$K$3),
     MAX('2) หลักการคำนวน Table'!$C$3:$K$3)
  )
)</f>
        <v>0.9</v>
      </c>
      <c r="AV10" s="186">
        <f>IFERROR(
  _xlfn.XLOOKUP(AJ10,'2) หลักการคำนวน Table'!$C$3:$K$3,'2) หลักการคำนวน Table'!$C$3:$K$3,,1),
  IF(AJ10&lt;MIN('2) หลักการคำนวน Table'!$C$3:$K$3),
     MIN('2) หลักการคำนวน Table'!$C$3:$K$3),
     MAX('2) หลักการคำนวน Table'!$C$3:$K$3)
  )
)</f>
        <v>0.9</v>
      </c>
      <c r="AW10" s="186">
        <f>IFERROR(
  _xlfn.XLOOKUP(AK10,'2) หลักการคำนวน Table'!$C$3:$K$3,'2) หลักการคำนวน Table'!$C$3:$K$3,,1),
  IF(AK10&lt;MIN('2) หลักการคำนวน Table'!$C$3:$K$3),
     MIN('2) หลักการคำนวน Table'!$C$3:$K$3),
     MAX('2) หลักการคำนวน Table'!$C$3:$K$3)
  )
)</f>
        <v>0.9</v>
      </c>
      <c r="AX10" s="186">
        <f>IFERROR(
  _xlfn.XLOOKUP(AL10,'2) หลักการคำนวน Table'!$C$3:$K$3,'2) หลักการคำนวน Table'!$C$3:$K$3,,1),
  IF(AL10&lt;MIN('2) หลักการคำนวน Table'!$C$3:$K$3),
     MIN('2) หลักการคำนวน Table'!$C$3:$K$3),
     MAX('2) หลักการคำนวน Table'!$C$3:$K$3)
  )
)</f>
        <v>0.9</v>
      </c>
      <c r="AY10" s="186">
        <f>IFERROR(
  _xlfn.XLOOKUP(AM10,'2) หลักการคำนวน Table'!$C$3:$K$3,'2) หลักการคำนวน Table'!$C$3:$K$3,,1),
  IF(AM10&lt;MIN('2) หลักการคำนวน Table'!$C$3:$K$3),
     MIN('2) หลักการคำนวน Table'!$C$3:$K$3),
     MAX('2) หลักการคำนวน Table'!$C$3:$K$3)
  )
)</f>
        <v>0.9</v>
      </c>
      <c r="AZ10" s="135" t="e" cm="1">
        <f t="array" ref="AZ10">ROUND((_xlfn.XLOOKUP($C10,'2) หลักการคำนวน Table'!$A$4:$A$36,
_xlfn.XLOOKUP(AN10,'2)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A10" s="135" t="e" cm="1">
        <f t="array" ref="BA10">ROUND((_xlfn.XLOOKUP($C10,'2) หลักการคำนวน Table'!$A$4:$A$36,
_xlfn.XLOOKUP(AO10,'2)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B10" s="135" t="e" cm="1">
        <f t="array" ref="BB10">ROUND((_xlfn.XLOOKUP($C10,'2) หลักการคำนวน Table'!$A$4:$A$36,
_xlfn.XLOOKUP(AP10,'2)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C10" s="135" t="e" cm="1">
        <f t="array" ref="BC10">ROUND((_xlfn.XLOOKUP($C10,'2) หลักการคำนวน Table'!$A$4:$A$36,
_xlfn.XLOOKUP(AQ10,'2)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D10" s="135" t="e" cm="1">
        <f t="array" ref="BD10">ROUND((_xlfn.XLOOKUP($C10,'2) หลักการคำนวน Table'!$A$4:$A$36,
_xlfn.XLOOKUP(AR10,'2)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E10" s="135" t="e" cm="1">
        <f t="array" ref="BE10">ROUND((_xlfn.XLOOKUP($C10,'2) หลักการคำนวน Table'!$A$4:$A$36,
_xlfn.XLOOKUP(AS10,'2)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F10" s="135" t="e" cm="1">
        <f t="array" ref="BF10">ROUND((_xlfn.XLOOKUP($C10,'2) หลักการคำนวน Table'!$A$4:$A$36,
_xlfn.XLOOKUP(AT10,'2)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G10" s="135" t="e" cm="1">
        <f t="array" ref="BG10">ROUND((_xlfn.XLOOKUP($C10,'2) หลักการคำนวน Table'!$A$4:$A$36,
_xlfn.XLOOKUP(AU10,'2)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H10" s="135" t="e" cm="1">
        <f t="array" ref="BH10">ROUND((_xlfn.XLOOKUP($C10,'2) หลักการคำนวน Table'!$A$4:$A$36,
_xlfn.XLOOKUP(AV10,'2)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I10" s="135" t="e" cm="1">
        <f t="array" ref="BI10">ROUND((_xlfn.XLOOKUP($C10,'2) หลักการคำนวน Table'!$A$4:$A$36,
_xlfn.XLOOKUP(AW10,'2)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J10" s="135" t="e" cm="1">
        <f t="array" ref="BJ10">ROUND((_xlfn.XLOOKUP($C10,'2) หลักการคำนวน Table'!$A$4:$A$36,
_xlfn.XLOOKUP(AX10,'2)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K10" s="135" t="e" cm="1">
        <f t="array" ref="BK10">ROUND((_xlfn.XLOOKUP($C10,'2) หลักการคำนวน Table'!$A$4:$A$36,
_xlfn.XLOOKUP(AY10,'2)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L10" s="239"/>
      <c r="BM10" s="126">
        <v>222234</v>
      </c>
      <c r="BN10" s="245">
        <v>754</v>
      </c>
    </row>
    <row r="11" spans="1:66" ht="13.2" customHeight="1" x14ac:dyDescent="0.25">
      <c r="A11" s="128">
        <f>VLOOKUP(C11,ASTBase!F:S,12,FALSE)</f>
        <v>222222</v>
      </c>
      <c r="B11" s="126" t="s">
        <v>409</v>
      </c>
      <c r="C11" s="128">
        <v>222234</v>
      </c>
      <c r="D11" s="127">
        <f>SUMIFS('3)Target &amp; Cal_Sect'!D$4:D$60,'3)Target &amp; Cal_Sect'!$B$4:$B$60,'3)Target &amp; Cal_Dept'!$B11,'3)Target &amp; Cal_Sect'!$A$4:$A$60,'3)Target &amp; Cal_Dept'!$C11)</f>
        <v>20402.240000000002</v>
      </c>
      <c r="E11" s="127">
        <f>SUMIFS('3)Target &amp; Cal_Sect'!E$4:E$60,'3)Target &amp; Cal_Sect'!$B$4:$B$60,'3)Target &amp; Cal_Dept'!$B11,'3)Target &amp; Cal_Sect'!$A$4:$A$60,'3)Target &amp; Cal_Dept'!$C11)</f>
        <v>18367.48</v>
      </c>
      <c r="F11" s="127">
        <f>SUMIFS('3)Target &amp; Cal_Sect'!F$4:F$60,'3)Target &amp; Cal_Sect'!$B$4:$B$60,'3)Target &amp; Cal_Dept'!$B11,'3)Target &amp; Cal_Sect'!$A$4:$A$60,'3)Target &amp; Cal_Dept'!$C11)</f>
        <v>18254.759999999998</v>
      </c>
      <c r="G11" s="127">
        <f>SUMIFS('3)Target &amp; Cal_Sect'!G$4:G$60,'3)Target &amp; Cal_Sect'!$B$4:$B$60,'3)Target &amp; Cal_Dept'!$B11,'3)Target &amp; Cal_Sect'!$A$4:$A$60,'3)Target &amp; Cal_Dept'!$C11)</f>
        <v>14668.52</v>
      </c>
      <c r="H11" s="127">
        <f>SUMIFS('3)Target &amp; Cal_Sect'!H$4:H$60,'3)Target &amp; Cal_Sect'!$B$4:$B$60,'3)Target &amp; Cal_Dept'!$B11,'3)Target &amp; Cal_Sect'!$A$4:$A$60,'3)Target &amp; Cal_Dept'!$C11)</f>
        <v>19768.400000000001</v>
      </c>
      <c r="I11" s="127">
        <f>SUMIFS('3)Target &amp; Cal_Sect'!I$4:I$60,'3)Target &amp; Cal_Sect'!$B$4:$B$60,'3)Target &amp; Cal_Dept'!$B11,'3)Target &amp; Cal_Sect'!$A$4:$A$60,'3)Target &amp; Cal_Dept'!$C11)</f>
        <v>19569.04</v>
      </c>
      <c r="J11" s="127">
        <f>SUMIFS('3)Target &amp; Cal_Sect'!J$4:J$60,'3)Target &amp; Cal_Sect'!$B$4:$B$60,'3)Target &amp; Cal_Dept'!$B11,'3)Target &amp; Cal_Sect'!$A$4:$A$60,'3)Target &amp; Cal_Dept'!$C11)</f>
        <v>28027.279999999999</v>
      </c>
      <c r="K11" s="127">
        <f>SUMIFS('3)Target &amp; Cal_Sect'!K$4:K$60,'3)Target &amp; Cal_Sect'!$B$4:$B$60,'3)Target &amp; Cal_Dept'!$B11,'3)Target &amp; Cal_Sect'!$A$4:$A$60,'3)Target &amp; Cal_Dept'!$C11)</f>
        <v>28452.639999999999</v>
      </c>
      <c r="L11" s="127">
        <f>SUMIFS('3)Target &amp; Cal_Sect'!L$4:L$60,'3)Target &amp; Cal_Sect'!$B$4:$B$60,'3)Target &amp; Cal_Dept'!$B11,'3)Target &amp; Cal_Sect'!$A$4:$A$60,'3)Target &amp; Cal_Dept'!$C11)</f>
        <v>25723.24</v>
      </c>
      <c r="M11" s="127">
        <f>SUMIFS('3)Target &amp; Cal_Sect'!M$4:M$60,'3)Target &amp; Cal_Sect'!$B$4:$B$60,'3)Target &amp; Cal_Dept'!$B11,'3)Target &amp; Cal_Sect'!$A$4:$A$60,'3)Target &amp; Cal_Dept'!$C11)</f>
        <v>20151.52</v>
      </c>
      <c r="N11" s="127">
        <f>SUMIFS('3)Target &amp; Cal_Sect'!N$4:N$60,'3)Target &amp; Cal_Sect'!$B$4:$B$60,'3)Target &amp; Cal_Dept'!$B11,'3)Target &amp; Cal_Sect'!$A$4:$A$60,'3)Target &amp; Cal_Dept'!$C11)</f>
        <v>19530.28</v>
      </c>
      <c r="O11" s="127">
        <f>SUMIFS('3)Target &amp; Cal_Sect'!O$4:O$60,'3)Target &amp; Cal_Sect'!$B$4:$B$60,'3)Target &amp; Cal_Dept'!$B11,'3)Target &amp; Cal_Sect'!$A$4:$A$60,'3)Target &amp; Cal_Dept'!$C11)</f>
        <v>27311</v>
      </c>
      <c r="P11" s="127">
        <f>SUMIFS('3)Target &amp; Cal_Sect'!P$4:P$60,'3)Target &amp; Cal_Sect'!$B$4:$B$60,'3)Target &amp; Cal_Dept'!$B11,'3)Target &amp; Cal_Sect'!$A$4:$A$60,'3)Target &amp; Cal_Dept'!$C11)</f>
        <v>16718.696000000065</v>
      </c>
      <c r="Q11" s="127">
        <f>SUMIFS('3)Target &amp; Cal_Sect'!Q$4:Q$60,'3)Target &amp; Cal_Sect'!$B$4:$B$60,'3)Target &amp; Cal_Dept'!$B11,'3)Target &amp; Cal_Sect'!$A$4:$A$60,'3)Target &amp; Cal_Dept'!$C11)</f>
        <v>0</v>
      </c>
      <c r="R11" s="127">
        <f>SUMIFS('3)Target &amp; Cal_Sect'!R$4:R$60,'3)Target &amp; Cal_Sect'!$B$4:$B$60,'3)Target &amp; Cal_Dept'!$B11,'3)Target &amp; Cal_Sect'!$A$4:$A$60,'3)Target &amp; Cal_Dept'!$C11)</f>
        <v>0</v>
      </c>
      <c r="S11" s="127">
        <f>SUMIFS('3)Target &amp; Cal_Sect'!S$4:S$60,'3)Target &amp; Cal_Sect'!$B$4:$B$60,'3)Target &amp; Cal_Dept'!$B11,'3)Target &amp; Cal_Sect'!$A$4:$A$60,'3)Target &amp; Cal_Dept'!$C11)</f>
        <v>0</v>
      </c>
      <c r="T11" s="127">
        <f>SUMIFS('3)Target &amp; Cal_Sect'!T$4:T$60,'3)Target &amp; Cal_Sect'!$B$4:$B$60,'3)Target &amp; Cal_Dept'!$B11,'3)Target &amp; Cal_Sect'!$A$4:$A$60,'3)Target &amp; Cal_Dept'!$C11)</f>
        <v>0</v>
      </c>
      <c r="U11" s="127">
        <f>SUMIFS('3)Target &amp; Cal_Sect'!U$4:U$60,'3)Target &amp; Cal_Sect'!$B$4:$B$60,'3)Target &amp; Cal_Dept'!$B11,'3)Target &amp; Cal_Sect'!$A$4:$A$60,'3)Target &amp; Cal_Dept'!$C11)</f>
        <v>0</v>
      </c>
      <c r="V11" s="127">
        <f>SUMIFS('3)Target &amp; Cal_Sect'!V$4:V$60,'3)Target &amp; Cal_Sect'!$B$4:$B$60,'3)Target &amp; Cal_Dept'!$B11,'3)Target &amp; Cal_Sect'!$A$4:$A$60,'3)Target &amp; Cal_Dept'!$C11)</f>
        <v>0</v>
      </c>
      <c r="W11" s="127">
        <f>SUMIFS('3)Target &amp; Cal_Sect'!W$4:W$60,'3)Target &amp; Cal_Sect'!$B$4:$B$60,'3)Target &amp; Cal_Dept'!$B11,'3)Target &amp; Cal_Sect'!$A$4:$A$60,'3)Target &amp; Cal_Dept'!$C11)</f>
        <v>0</v>
      </c>
      <c r="X11" s="127">
        <f>SUMIFS('3)Target &amp; Cal_Sect'!X$4:X$60,'3)Target &amp; Cal_Sect'!$B$4:$B$60,'3)Target &amp; Cal_Dept'!$B11,'3)Target &amp; Cal_Sect'!$A$4:$A$60,'3)Target &amp; Cal_Dept'!$C11)</f>
        <v>0</v>
      </c>
      <c r="Y11" s="127">
        <f>SUMIFS('3)Target &amp; Cal_Sect'!Y$4:Y$60,'3)Target &amp; Cal_Sect'!$B$4:$B$60,'3)Target &amp; Cal_Dept'!$B11,'3)Target &amp; Cal_Sect'!$A$4:$A$60,'3)Target &amp; Cal_Dept'!$C11)</f>
        <v>0</v>
      </c>
      <c r="Z11" s="127">
        <f>SUMIFS('3)Target &amp; Cal_Sect'!Z$4:Z$60,'3)Target &amp; Cal_Sect'!$B$4:$B$60,'3)Target &amp; Cal_Dept'!$B11,'3)Target &amp; Cal_Sect'!$A$4:$A$60,'3)Target &amp; Cal_Dept'!$C11)</f>
        <v>0</v>
      </c>
      <c r="AA11" s="127">
        <f>SUMIFS('3)Target &amp; Cal_Sect'!AA$4:AA$60,'3)Target &amp; Cal_Sect'!$B$4:$B$60,'3)Target &amp; Cal_Dept'!$B11,'3)Target &amp; Cal_Sect'!$A$4:$A$60,'3)Target &amp; Cal_Dept'!$C11)</f>
        <v>0</v>
      </c>
      <c r="AB11" s="132">
        <f>IFERROR(IF(VLOOKUP($B11,Shortage!$A:$M,AB$2,FALSE)="Shortage",1,IFERROR(ROUND(P11/D11,4),0)),IFERROR(ROUND(P11/D11,4),0))</f>
        <v>0.81950000000000001</v>
      </c>
      <c r="AC11" s="132">
        <f>IFERROR(IF(VLOOKUP($B11,Shortage!$A:$M,AC$2,FALSE)="Shortage",1,IFERROR(ROUND(Q11/E11,4),0)),IFERROR(ROUND(Q11/E11,4),0))</f>
        <v>0</v>
      </c>
      <c r="AD11" s="132">
        <f>IFERROR(IF(VLOOKUP($B11,Shortage!$A:$M,AD$2,FALSE)="Shortage",1,IFERROR(ROUND(R11/F11,4),0)),IFERROR(ROUND(R11/F11,4),0))</f>
        <v>0</v>
      </c>
      <c r="AE11" s="132">
        <f>IFERROR(IF(VLOOKUP($B11,Shortage!$A:$M,AE$2,FALSE)="Shortage",1,IFERROR(ROUND(S11/G11,4),0)),IFERROR(ROUND(S11/G11,4),0))</f>
        <v>0</v>
      </c>
      <c r="AF11" s="132">
        <f>IFERROR(IF(VLOOKUP($B11,Shortage!$A:$M,AF$2,FALSE)="Shortage",1,IFERROR(ROUND(T11/H11,4),0)),IFERROR(ROUND(T11/H11,4),0))</f>
        <v>0</v>
      </c>
      <c r="AG11" s="132">
        <f>IFERROR(IF(VLOOKUP($B11,Shortage!$A:$M,AG$2,FALSE)="Shortage",1,IFERROR(ROUND(U11/I11,4),0)),IFERROR(ROUND(U11/I11,4),0))</f>
        <v>0</v>
      </c>
      <c r="AH11" s="132">
        <f>IFERROR(IF(VLOOKUP($B11,Shortage!$A:$M,AH$2,FALSE)="Shortage",1,IFERROR(ROUND(V11/J11,4),0)),IFERROR(ROUND(V11/J11,4),0))</f>
        <v>0</v>
      </c>
      <c r="AI11" s="132">
        <f>IFERROR(IF(VLOOKUP($B11,Shortage!$A:$M,AI$2,FALSE)="Shortage",1,IFERROR(ROUND(W11/K11,4),0)),IFERROR(ROUND(W11/K11,4),0))</f>
        <v>0</v>
      </c>
      <c r="AJ11" s="132">
        <f>IFERROR(IF(VLOOKUP($B11,Shortage!$A:$M,AJ$2,FALSE)="Shortage",1,IFERROR(ROUND(X11/L11,4),0)),IFERROR(ROUND(X11/L11,4),0))</f>
        <v>0</v>
      </c>
      <c r="AK11" s="132">
        <f>IFERROR(IF(VLOOKUP($B11,Shortage!$A:$M,AK$2,FALSE)="Shortage",1,IFERROR(ROUND(Y11/M11,4),0)),IFERROR(ROUND(Y11/M11,4),0))</f>
        <v>0</v>
      </c>
      <c r="AL11" s="132">
        <f>IFERROR(IF(VLOOKUP($B11,Shortage!$A:$M,AL$2,FALSE)="Shortage",1,IFERROR(ROUND(Z11/N11,4),0)),IFERROR(ROUND(Z11/N11,4),0))</f>
        <v>0</v>
      </c>
      <c r="AM11" s="132">
        <f>IFERROR(IF(VLOOKUP($B11,Shortage!$A:$M,AM$2,FALSE)="Shortage",1,IFERROR(ROUND(AA11/O11,4),0)),IFERROR(ROUND(AA11/O11,4),0))</f>
        <v>0</v>
      </c>
      <c r="AN11" s="186">
        <f>IFERROR(_xlfn.XLOOKUP(AB11,'2) หลักการคำนวน Table'!$C$3:$K$3,'2) หลักการคำนวน Table'!$C$3:$K$3,,1),INDEX('2) หลักการคำนวน Table'!$C$3:$K$3,1))</f>
        <v>0.9</v>
      </c>
      <c r="AO11" s="186">
        <f>IFERROR(
  _xlfn.XLOOKUP(AC11,'2) หลักการคำนวน Table'!$C$3:$K$3,'2) หลักการคำนวน Table'!$C$3:$K$3,,1),
  IF(AC11&lt;MIN('2) หลักการคำนวน Table'!$C$3:$K$3),
     MIN('2) หลักการคำนวน Table'!$C$3:$K$3),
     MAX('2) หลักการคำนวน Table'!$C$3:$K$3)
  )
)</f>
        <v>0.9</v>
      </c>
      <c r="AP11" s="186">
        <f>IFERROR(
  _xlfn.XLOOKUP(AD11,'2) หลักการคำนวน Table'!$C$3:$K$3,'2) หลักการคำนวน Table'!$C$3:$K$3,,1),
  IF(AD11&lt;MIN('2) หลักการคำนวน Table'!$C$3:$K$3),
     MIN('2) หลักการคำนวน Table'!$C$3:$K$3),
     MAX('2) หลักการคำนวน Table'!$C$3:$K$3)
  )
)</f>
        <v>0.9</v>
      </c>
      <c r="AQ11" s="186">
        <f>IFERROR(
  _xlfn.XLOOKUP(AE11,'2) หลักการคำนวน Table'!$C$3:$K$3,'2) หลักการคำนวน Table'!$C$3:$K$3,,1),
  IF(AE11&lt;MIN('2) หลักการคำนวน Table'!$C$3:$K$3),
     MIN('2) หลักการคำนวน Table'!$C$3:$K$3),
     MAX('2) หลักการคำนวน Table'!$C$3:$K$3)
  )
)</f>
        <v>0.9</v>
      </c>
      <c r="AR11" s="186">
        <f>IFERROR(
  _xlfn.XLOOKUP(AF11,'2) หลักการคำนวน Table'!$C$3:$K$3,'2) หลักการคำนวน Table'!$C$3:$K$3,,1),
  IF(AF11&lt;MIN('2) หลักการคำนวน Table'!$C$3:$K$3),
     MIN('2) หลักการคำนวน Table'!$C$3:$K$3),
     MAX('2) หลักการคำนวน Table'!$C$3:$K$3)
  )
)</f>
        <v>0.9</v>
      </c>
      <c r="AS11" s="186">
        <f>IFERROR(
  _xlfn.XLOOKUP(AG11,'2) หลักการคำนวน Table'!$C$3:$K$3,'2) หลักการคำนวน Table'!$C$3:$K$3,,1),
  IF(AG11&lt;MIN('2) หลักการคำนวน Table'!$C$3:$K$3),
     MIN('2) หลักการคำนวน Table'!$C$3:$K$3),
     MAX('2) หลักการคำนวน Table'!$C$3:$K$3)
  )
)</f>
        <v>0.9</v>
      </c>
      <c r="AT11" s="186">
        <f>IFERROR(
  _xlfn.XLOOKUP(AH11,'2) หลักการคำนวน Table'!$C$3:$K$3,'2) หลักการคำนวน Table'!$C$3:$K$3,,1),
  IF(AH11&lt;MIN('2) หลักการคำนวน Table'!$C$3:$K$3),
     MIN('2) หลักการคำนวน Table'!$C$3:$K$3),
     MAX('2) หลักการคำนวน Table'!$C$3:$K$3)
  )
)</f>
        <v>0.9</v>
      </c>
      <c r="AU11" s="186">
        <f>IFERROR(
  _xlfn.XLOOKUP(AI11,'2) หลักการคำนวน Table'!$C$3:$K$3,'2) หลักการคำนวน Table'!$C$3:$K$3,,1),
  IF(AI11&lt;MIN('2) หลักการคำนวน Table'!$C$3:$K$3),
     MIN('2) หลักการคำนวน Table'!$C$3:$K$3),
     MAX('2) หลักการคำนวน Table'!$C$3:$K$3)
  )
)</f>
        <v>0.9</v>
      </c>
      <c r="AV11" s="186">
        <f>IFERROR(
  _xlfn.XLOOKUP(AJ11,'2) หลักการคำนวน Table'!$C$3:$K$3,'2) หลักการคำนวน Table'!$C$3:$K$3,,1),
  IF(AJ11&lt;MIN('2) หลักการคำนวน Table'!$C$3:$K$3),
     MIN('2) หลักการคำนวน Table'!$C$3:$K$3),
     MAX('2) หลักการคำนวน Table'!$C$3:$K$3)
  )
)</f>
        <v>0.9</v>
      </c>
      <c r="AW11" s="186">
        <f>IFERROR(
  _xlfn.XLOOKUP(AK11,'2) หลักการคำนวน Table'!$C$3:$K$3,'2) หลักการคำนวน Table'!$C$3:$K$3,,1),
  IF(AK11&lt;MIN('2) หลักการคำนวน Table'!$C$3:$K$3),
     MIN('2) หลักการคำนวน Table'!$C$3:$K$3),
     MAX('2) หลักการคำนวน Table'!$C$3:$K$3)
  )
)</f>
        <v>0.9</v>
      </c>
      <c r="AX11" s="186">
        <f>IFERROR(
  _xlfn.XLOOKUP(AL11,'2) หลักการคำนวน Table'!$C$3:$K$3,'2) หลักการคำนวน Table'!$C$3:$K$3,,1),
  IF(AL11&lt;MIN('2) หลักการคำนวน Table'!$C$3:$K$3),
     MIN('2) หลักการคำนวน Table'!$C$3:$K$3),
     MAX('2) หลักการคำนวน Table'!$C$3:$K$3)
  )
)</f>
        <v>0.9</v>
      </c>
      <c r="AY11" s="186">
        <f>IFERROR(
  _xlfn.XLOOKUP(AM11,'2) หลักการคำนวน Table'!$C$3:$K$3,'2) หลักการคำนวน Table'!$C$3:$K$3,,1),
  IF(AM11&lt;MIN('2) หลักการคำนวน Table'!$C$3:$K$3),
     MIN('2) หลักการคำนวน Table'!$C$3:$K$3),
     MAX('2) หลักการคำนวน Table'!$C$3:$K$3)
  )
)</f>
        <v>0.9</v>
      </c>
      <c r="AZ11" s="135" t="e" cm="1">
        <f t="array" ref="AZ11">ROUND((_xlfn.XLOOKUP($C11,'2) หลักการคำนวน Table'!$A$4:$A$36,
_xlfn.XLOOKUP(AN11,'2)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A11" s="135" t="e" cm="1">
        <f t="array" ref="BA11">ROUND((_xlfn.XLOOKUP($C11,'2) หลักการคำนวน Table'!$A$4:$A$36,
_xlfn.XLOOKUP(AO11,'2)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B11" s="135" t="e" cm="1">
        <f t="array" ref="BB11">ROUND((_xlfn.XLOOKUP($C11,'2) หลักการคำนวน Table'!$A$4:$A$36,
_xlfn.XLOOKUP(AP11,'2)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C11" s="135" t="e" cm="1">
        <f t="array" ref="BC11">ROUND((_xlfn.XLOOKUP($C11,'2) หลักการคำนวน Table'!$A$4:$A$36,
_xlfn.XLOOKUP(AQ11,'2)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D11" s="135" t="e" cm="1">
        <f t="array" ref="BD11">ROUND((_xlfn.XLOOKUP($C11,'2) หลักการคำนวน Table'!$A$4:$A$36,
_xlfn.XLOOKUP(AR11,'2)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E11" s="135" t="e" cm="1">
        <f t="array" ref="BE11">ROUND((_xlfn.XLOOKUP($C11,'2) หลักการคำนวน Table'!$A$4:$A$36,
_xlfn.XLOOKUP(AS11,'2)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F11" s="135" t="e" cm="1">
        <f t="array" ref="BF11">ROUND((_xlfn.XLOOKUP($C11,'2) หลักการคำนวน Table'!$A$4:$A$36,
_xlfn.XLOOKUP(AT11,'2)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G11" s="135" t="e" cm="1">
        <f t="array" ref="BG11">ROUND((_xlfn.XLOOKUP($C11,'2) หลักการคำนวน Table'!$A$4:$A$36,
_xlfn.XLOOKUP(AU11,'2)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H11" s="135" t="e" cm="1">
        <f t="array" ref="BH11">ROUND((_xlfn.XLOOKUP($C11,'2) หลักการคำนวน Table'!$A$4:$A$36,
_xlfn.XLOOKUP(AV11,'2)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I11" s="135" t="e" cm="1">
        <f t="array" ref="BI11">ROUND((_xlfn.XLOOKUP($C11,'2) หลักการคำนวน Table'!$A$4:$A$36,
_xlfn.XLOOKUP(AW11,'2)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J11" s="135" t="e" cm="1">
        <f t="array" ref="BJ11">ROUND((_xlfn.XLOOKUP($C11,'2) หลักการคำนวน Table'!$A$4:$A$36,
_xlfn.XLOOKUP(AX11,'2)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K11" s="135" t="e" cm="1">
        <f t="array" ref="BK11">ROUND((_xlfn.XLOOKUP($C11,'2) หลักการคำนวน Table'!$A$4:$A$36,
_xlfn.XLOOKUP(AY11,'2)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L11" s="239"/>
      <c r="BM11" s="126">
        <v>222234</v>
      </c>
      <c r="BN11" s="245">
        <v>72</v>
      </c>
    </row>
    <row r="12" spans="1:66" ht="13.2" customHeight="1" x14ac:dyDescent="0.25">
      <c r="A12" s="128">
        <f>VLOOKUP(C12,ASTBase!F:S,12,FALSE)</f>
        <v>222222</v>
      </c>
      <c r="B12" s="126" t="s">
        <v>410</v>
      </c>
      <c r="C12" s="128">
        <v>222234</v>
      </c>
      <c r="D12" s="127">
        <f>SUMIFS('3)Target &amp; Cal_Sect'!D$4:D$60,'3)Target &amp; Cal_Sect'!$B$4:$B$60,'3)Target &amp; Cal_Dept'!$B12,'3)Target &amp; Cal_Sect'!$A$4:$A$60,'3)Target &amp; Cal_Dept'!$C12)</f>
        <v>24987.9</v>
      </c>
      <c r="E12" s="127">
        <f>SUMIFS('3)Target &amp; Cal_Sect'!E$4:E$60,'3)Target &amp; Cal_Sect'!$B$4:$B$60,'3)Target &amp; Cal_Dept'!$B12,'3)Target &amp; Cal_Sect'!$A$4:$A$60,'3)Target &amp; Cal_Dept'!$C12)</f>
        <v>50858.52</v>
      </c>
      <c r="F12" s="127">
        <f>SUMIFS('3)Target &amp; Cal_Sect'!F$4:F$60,'3)Target &amp; Cal_Sect'!$B$4:$B$60,'3)Target &amp; Cal_Dept'!$B12,'3)Target &amp; Cal_Sect'!$A$4:$A$60,'3)Target &amp; Cal_Dept'!$C12)</f>
        <v>23407.91</v>
      </c>
      <c r="G12" s="127">
        <f>SUMIFS('3)Target &amp; Cal_Sect'!G$4:G$60,'3)Target &amp; Cal_Sect'!$B$4:$B$60,'3)Target &amp; Cal_Dept'!$B12,'3)Target &amp; Cal_Sect'!$A$4:$A$60,'3)Target &amp; Cal_Dept'!$C12)</f>
        <v>25259.7</v>
      </c>
      <c r="H12" s="127">
        <f>SUMIFS('3)Target &amp; Cal_Sect'!H$4:H$60,'3)Target &amp; Cal_Sect'!$B$4:$B$60,'3)Target &amp; Cal_Dept'!$B12,'3)Target &amp; Cal_Sect'!$A$4:$A$60,'3)Target &amp; Cal_Dept'!$C12)</f>
        <v>30782.79</v>
      </c>
      <c r="I12" s="127">
        <f>SUMIFS('3)Target &amp; Cal_Sect'!I$4:I$60,'3)Target &amp; Cal_Sect'!$B$4:$B$60,'3)Target &amp; Cal_Dept'!$B12,'3)Target &amp; Cal_Sect'!$A$4:$A$60,'3)Target &amp; Cal_Dept'!$C12)</f>
        <v>27306.84</v>
      </c>
      <c r="J12" s="127">
        <f>SUMIFS('3)Target &amp; Cal_Sect'!J$4:J$60,'3)Target &amp; Cal_Sect'!$B$4:$B$60,'3)Target &amp; Cal_Dept'!$B12,'3)Target &amp; Cal_Sect'!$A$4:$A$60,'3)Target &amp; Cal_Dept'!$C12)</f>
        <v>26297.34</v>
      </c>
      <c r="K12" s="127">
        <f>SUMIFS('3)Target &amp; Cal_Sect'!K$4:K$60,'3)Target &amp; Cal_Sect'!$B$4:$B$60,'3)Target &amp; Cal_Dept'!$B12,'3)Target &amp; Cal_Sect'!$A$4:$A$60,'3)Target &amp; Cal_Dept'!$C12)</f>
        <v>25476.5</v>
      </c>
      <c r="L12" s="127">
        <f>SUMIFS('3)Target &amp; Cal_Sect'!L$4:L$60,'3)Target &amp; Cal_Sect'!$B$4:$B$60,'3)Target &amp; Cal_Dept'!$B12,'3)Target &amp; Cal_Sect'!$A$4:$A$60,'3)Target &amp; Cal_Dept'!$C12)</f>
        <v>26563.27</v>
      </c>
      <c r="M12" s="127">
        <f>SUMIFS('3)Target &amp; Cal_Sect'!M$4:M$60,'3)Target &amp; Cal_Sect'!$B$4:$B$60,'3)Target &amp; Cal_Dept'!$B12,'3)Target &amp; Cal_Sect'!$A$4:$A$60,'3)Target &amp; Cal_Dept'!$C12)</f>
        <v>26834.2</v>
      </c>
      <c r="N12" s="127">
        <f>SUMIFS('3)Target &amp; Cal_Sect'!N$4:N$60,'3)Target &amp; Cal_Sect'!$B$4:$B$60,'3)Target &amp; Cal_Dept'!$B12,'3)Target &amp; Cal_Sect'!$A$4:$A$60,'3)Target &amp; Cal_Dept'!$C12)</f>
        <v>26032</v>
      </c>
      <c r="O12" s="127">
        <f>SUMIFS('3)Target &amp; Cal_Sect'!O$4:O$60,'3)Target &amp; Cal_Sect'!$B$4:$B$60,'3)Target &amp; Cal_Dept'!$B12,'3)Target &amp; Cal_Sect'!$A$4:$A$60,'3)Target &amp; Cal_Dept'!$C12)</f>
        <v>29443</v>
      </c>
      <c r="P12" s="127">
        <f>SUMIFS('3)Target &amp; Cal_Sect'!P$4:P$60,'3)Target &amp; Cal_Sect'!$B$4:$B$60,'3)Target &amp; Cal_Dept'!$B12,'3)Target &amp; Cal_Sect'!$A$4:$A$60,'3)Target &amp; Cal_Dept'!$C12)</f>
        <v>25138.929999999993</v>
      </c>
      <c r="Q12" s="127">
        <f>SUMIFS('3)Target &amp; Cal_Sect'!Q$4:Q$60,'3)Target &amp; Cal_Sect'!$B$4:$B$60,'3)Target &amp; Cal_Dept'!$B12,'3)Target &amp; Cal_Sect'!$A$4:$A$60,'3)Target &amp; Cal_Dept'!$C12)</f>
        <v>0</v>
      </c>
      <c r="R12" s="127">
        <f>SUMIFS('3)Target &amp; Cal_Sect'!R$4:R$60,'3)Target &amp; Cal_Sect'!$B$4:$B$60,'3)Target &amp; Cal_Dept'!$B12,'3)Target &amp; Cal_Sect'!$A$4:$A$60,'3)Target &amp; Cal_Dept'!$C12)</f>
        <v>0</v>
      </c>
      <c r="S12" s="127">
        <f>SUMIFS('3)Target &amp; Cal_Sect'!S$4:S$60,'3)Target &amp; Cal_Sect'!$B$4:$B$60,'3)Target &amp; Cal_Dept'!$B12,'3)Target &amp; Cal_Sect'!$A$4:$A$60,'3)Target &amp; Cal_Dept'!$C12)</f>
        <v>0</v>
      </c>
      <c r="T12" s="127">
        <f>SUMIFS('3)Target &amp; Cal_Sect'!T$4:T$60,'3)Target &amp; Cal_Sect'!$B$4:$B$60,'3)Target &amp; Cal_Dept'!$B12,'3)Target &amp; Cal_Sect'!$A$4:$A$60,'3)Target &amp; Cal_Dept'!$C12)</f>
        <v>0</v>
      </c>
      <c r="U12" s="127">
        <f>SUMIFS('3)Target &amp; Cal_Sect'!U$4:U$60,'3)Target &amp; Cal_Sect'!$B$4:$B$60,'3)Target &amp; Cal_Dept'!$B12,'3)Target &amp; Cal_Sect'!$A$4:$A$60,'3)Target &amp; Cal_Dept'!$C12)</f>
        <v>0</v>
      </c>
      <c r="V12" s="127">
        <f>SUMIFS('3)Target &amp; Cal_Sect'!V$4:V$60,'3)Target &amp; Cal_Sect'!$B$4:$B$60,'3)Target &amp; Cal_Dept'!$B12,'3)Target &amp; Cal_Sect'!$A$4:$A$60,'3)Target &amp; Cal_Dept'!$C12)</f>
        <v>0</v>
      </c>
      <c r="W12" s="127">
        <f>SUMIFS('3)Target &amp; Cal_Sect'!W$4:W$60,'3)Target &amp; Cal_Sect'!$B$4:$B$60,'3)Target &amp; Cal_Dept'!$B12,'3)Target &amp; Cal_Sect'!$A$4:$A$60,'3)Target &amp; Cal_Dept'!$C12)</f>
        <v>0</v>
      </c>
      <c r="X12" s="127">
        <f>SUMIFS('3)Target &amp; Cal_Sect'!X$4:X$60,'3)Target &amp; Cal_Sect'!$B$4:$B$60,'3)Target &amp; Cal_Dept'!$B12,'3)Target &amp; Cal_Sect'!$A$4:$A$60,'3)Target &amp; Cal_Dept'!$C12)</f>
        <v>0</v>
      </c>
      <c r="Y12" s="127">
        <f>SUMIFS('3)Target &amp; Cal_Sect'!Y$4:Y$60,'3)Target &amp; Cal_Sect'!$B$4:$B$60,'3)Target &amp; Cal_Dept'!$B12,'3)Target &amp; Cal_Sect'!$A$4:$A$60,'3)Target &amp; Cal_Dept'!$C12)</f>
        <v>0</v>
      </c>
      <c r="Z12" s="127">
        <f>SUMIFS('3)Target &amp; Cal_Sect'!Z$4:Z$60,'3)Target &amp; Cal_Sect'!$B$4:$B$60,'3)Target &amp; Cal_Dept'!$B12,'3)Target &amp; Cal_Sect'!$A$4:$A$60,'3)Target &amp; Cal_Dept'!$C12)</f>
        <v>0</v>
      </c>
      <c r="AA12" s="127">
        <f>SUMIFS('3)Target &amp; Cal_Sect'!AA$4:AA$60,'3)Target &amp; Cal_Sect'!$B$4:$B$60,'3)Target &amp; Cal_Dept'!$B12,'3)Target &amp; Cal_Sect'!$A$4:$A$60,'3)Target &amp; Cal_Dept'!$C12)</f>
        <v>0</v>
      </c>
      <c r="AB12" s="132">
        <f>IFERROR(IF(VLOOKUP($B12,Shortage!$A:$M,AB$2,FALSE)="Shortage",1,IFERROR(ROUND(P12/D12,4),0)),IFERROR(ROUND(P12/D12,4),0))</f>
        <v>1.006</v>
      </c>
      <c r="AC12" s="132">
        <f>IFERROR(IF(VLOOKUP($B12,Shortage!$A:$M,AC$2,FALSE)="Shortage",1,IFERROR(ROUND(Q12/E12,4),0)),IFERROR(ROUND(Q12/E12,4),0))</f>
        <v>0</v>
      </c>
      <c r="AD12" s="132">
        <f>IFERROR(IF(VLOOKUP($B12,Shortage!$A:$M,AD$2,FALSE)="Shortage",1,IFERROR(ROUND(R12/F12,4),0)),IFERROR(ROUND(R12/F12,4),0))</f>
        <v>0</v>
      </c>
      <c r="AE12" s="132">
        <f>IFERROR(IF(VLOOKUP($B12,Shortage!$A:$M,AE$2,FALSE)="Shortage",1,IFERROR(ROUND(S12/G12,4),0)),IFERROR(ROUND(S12/G12,4),0))</f>
        <v>0</v>
      </c>
      <c r="AF12" s="132">
        <f>IFERROR(IF(VLOOKUP($B12,Shortage!$A:$M,AF$2,FALSE)="Shortage",1,IFERROR(ROUND(T12/H12,4),0)),IFERROR(ROUND(T12/H12,4),0))</f>
        <v>0</v>
      </c>
      <c r="AG12" s="132">
        <f>IFERROR(IF(VLOOKUP($B12,Shortage!$A:$M,AG$2,FALSE)="Shortage",1,IFERROR(ROUND(U12/I12,4),0)),IFERROR(ROUND(U12/I12,4),0))</f>
        <v>0</v>
      </c>
      <c r="AH12" s="132">
        <f>IFERROR(IF(VLOOKUP($B12,Shortage!$A:$M,AH$2,FALSE)="Shortage",1,IFERROR(ROUND(V12/J12,4),0)),IFERROR(ROUND(V12/J12,4),0))</f>
        <v>0</v>
      </c>
      <c r="AI12" s="132">
        <f>IFERROR(IF(VLOOKUP($B12,Shortage!$A:$M,AI$2,FALSE)="Shortage",1,IFERROR(ROUND(W12/K12,4),0)),IFERROR(ROUND(W12/K12,4),0))</f>
        <v>0</v>
      </c>
      <c r="AJ12" s="132">
        <f>IFERROR(IF(VLOOKUP($B12,Shortage!$A:$M,AJ$2,FALSE)="Shortage",1,IFERROR(ROUND(X12/L12,4),0)),IFERROR(ROUND(X12/L12,4),0))</f>
        <v>0</v>
      </c>
      <c r="AK12" s="132">
        <f>IFERROR(IF(VLOOKUP($B12,Shortage!$A:$M,AK$2,FALSE)="Shortage",1,IFERROR(ROUND(Y12/M12,4),0)),IFERROR(ROUND(Y12/M12,4),0))</f>
        <v>0</v>
      </c>
      <c r="AL12" s="132">
        <f>IFERROR(IF(VLOOKUP($B12,Shortage!$A:$M,AL$2,FALSE)="Shortage",1,IFERROR(ROUND(Z12/N12,4),0)),IFERROR(ROUND(Z12/N12,4),0))</f>
        <v>0</v>
      </c>
      <c r="AM12" s="132">
        <f>IFERROR(IF(VLOOKUP($B12,Shortage!$A:$M,AM$2,FALSE)="Shortage",1,IFERROR(ROUND(AA12/O12,4),0)),IFERROR(ROUND(AA12/O12,4),0))</f>
        <v>0</v>
      </c>
      <c r="AN12" s="186">
        <f>IFERROR(_xlfn.XLOOKUP(AB12,'2) หลักการคำนวน Table'!$C$3:$K$3,'2) หลักการคำนวน Table'!$C$3:$K$3,,1),INDEX('2) หลักการคำนวน Table'!$C$3:$K$3,1))</f>
        <v>1.03</v>
      </c>
      <c r="AO12" s="186">
        <f>IFERROR(
  _xlfn.XLOOKUP(AC12,'2) หลักการคำนวน Table'!$C$3:$K$3,'2) หลักการคำนวน Table'!$C$3:$K$3,,1),
  IF(AC12&lt;MIN('2) หลักการคำนวน Table'!$C$3:$K$3),
     MIN('2) หลักการคำนวน Table'!$C$3:$K$3),
     MAX('2) หลักการคำนวน Table'!$C$3:$K$3)
  )
)</f>
        <v>0.9</v>
      </c>
      <c r="AP12" s="186">
        <f>IFERROR(
  _xlfn.XLOOKUP(AD12,'2) หลักการคำนวน Table'!$C$3:$K$3,'2) หลักการคำนวน Table'!$C$3:$K$3,,1),
  IF(AD12&lt;MIN('2) หลักการคำนวน Table'!$C$3:$K$3),
     MIN('2) หลักการคำนวน Table'!$C$3:$K$3),
     MAX('2) หลักการคำนวน Table'!$C$3:$K$3)
  )
)</f>
        <v>0.9</v>
      </c>
      <c r="AQ12" s="186">
        <f>IFERROR(
  _xlfn.XLOOKUP(AE12,'2) หลักการคำนวน Table'!$C$3:$K$3,'2) หลักการคำนวน Table'!$C$3:$K$3,,1),
  IF(AE12&lt;MIN('2) หลักการคำนวน Table'!$C$3:$K$3),
     MIN('2) หลักการคำนวน Table'!$C$3:$K$3),
     MAX('2) หลักการคำนวน Table'!$C$3:$K$3)
  )
)</f>
        <v>0.9</v>
      </c>
      <c r="AR12" s="186">
        <f>IFERROR(
  _xlfn.XLOOKUP(AF12,'2) หลักการคำนวน Table'!$C$3:$K$3,'2) หลักการคำนวน Table'!$C$3:$K$3,,1),
  IF(AF12&lt;MIN('2) หลักการคำนวน Table'!$C$3:$K$3),
     MIN('2) หลักการคำนวน Table'!$C$3:$K$3),
     MAX('2) หลักการคำนวน Table'!$C$3:$K$3)
  )
)</f>
        <v>0.9</v>
      </c>
      <c r="AS12" s="186">
        <f>IFERROR(
  _xlfn.XLOOKUP(AG12,'2) หลักการคำนวน Table'!$C$3:$K$3,'2) หลักการคำนวน Table'!$C$3:$K$3,,1),
  IF(AG12&lt;MIN('2) หลักการคำนวน Table'!$C$3:$K$3),
     MIN('2) หลักการคำนวน Table'!$C$3:$K$3),
     MAX('2) หลักการคำนวน Table'!$C$3:$K$3)
  )
)</f>
        <v>0.9</v>
      </c>
      <c r="AT12" s="186">
        <f>IFERROR(
  _xlfn.XLOOKUP(AH12,'2) หลักการคำนวน Table'!$C$3:$K$3,'2) หลักการคำนวน Table'!$C$3:$K$3,,1),
  IF(AH12&lt;MIN('2) หลักการคำนวน Table'!$C$3:$K$3),
     MIN('2) หลักการคำนวน Table'!$C$3:$K$3),
     MAX('2) หลักการคำนวน Table'!$C$3:$K$3)
  )
)</f>
        <v>0.9</v>
      </c>
      <c r="AU12" s="186">
        <f>IFERROR(
  _xlfn.XLOOKUP(AI12,'2) หลักการคำนวน Table'!$C$3:$K$3,'2) หลักการคำนวน Table'!$C$3:$K$3,,1),
  IF(AI12&lt;MIN('2) หลักการคำนวน Table'!$C$3:$K$3),
     MIN('2) หลักการคำนวน Table'!$C$3:$K$3),
     MAX('2) หลักการคำนวน Table'!$C$3:$K$3)
  )
)</f>
        <v>0.9</v>
      </c>
      <c r="AV12" s="186">
        <f>IFERROR(
  _xlfn.XLOOKUP(AJ12,'2) หลักการคำนวน Table'!$C$3:$K$3,'2) หลักการคำนวน Table'!$C$3:$K$3,,1),
  IF(AJ12&lt;MIN('2) หลักการคำนวน Table'!$C$3:$K$3),
     MIN('2) หลักการคำนวน Table'!$C$3:$K$3),
     MAX('2) หลักการคำนวน Table'!$C$3:$K$3)
  )
)</f>
        <v>0.9</v>
      </c>
      <c r="AW12" s="186">
        <f>IFERROR(
  _xlfn.XLOOKUP(AK12,'2) หลักการคำนวน Table'!$C$3:$K$3,'2) หลักการคำนวน Table'!$C$3:$K$3,,1),
  IF(AK12&lt;MIN('2) หลักการคำนวน Table'!$C$3:$K$3),
     MIN('2) หลักการคำนวน Table'!$C$3:$K$3),
     MAX('2) หลักการคำนวน Table'!$C$3:$K$3)
  )
)</f>
        <v>0.9</v>
      </c>
      <c r="AX12" s="186">
        <f>IFERROR(
  _xlfn.XLOOKUP(AL12,'2) หลักการคำนวน Table'!$C$3:$K$3,'2) หลักการคำนวน Table'!$C$3:$K$3,,1),
  IF(AL12&lt;MIN('2) หลักการคำนวน Table'!$C$3:$K$3),
     MIN('2) หลักการคำนวน Table'!$C$3:$K$3),
     MAX('2) หลักการคำนวน Table'!$C$3:$K$3)
  )
)</f>
        <v>0.9</v>
      </c>
      <c r="AY12" s="186">
        <f>IFERROR(
  _xlfn.XLOOKUP(AM12,'2) หลักการคำนวน Table'!$C$3:$K$3,'2) หลักการคำนวน Table'!$C$3:$K$3,,1),
  IF(AM12&lt;MIN('2) หลักการคำนวน Table'!$C$3:$K$3),
     MIN('2) หลักการคำนวน Table'!$C$3:$K$3),
     MAX('2) หลักการคำนวน Table'!$C$3:$K$3)
  )
)</f>
        <v>0.9</v>
      </c>
      <c r="AZ12" s="135" t="e" cm="1">
        <f t="array" ref="AZ12">ROUND((_xlfn.XLOOKUP($C12,'2) หลักการคำนวน Table'!$A$4:$A$36,
_xlfn.XLOOKUP(AN12,'2)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A12" s="135" t="e" cm="1">
        <f t="array" ref="BA12">ROUND((_xlfn.XLOOKUP($C12,'2) หลักการคำนวน Table'!$A$4:$A$36,
_xlfn.XLOOKUP(AO12,'2)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B12" s="135" t="e" cm="1">
        <f t="array" ref="BB12">ROUND((_xlfn.XLOOKUP($C12,'2) หลักการคำนวน Table'!$A$4:$A$36,
_xlfn.XLOOKUP(AP12,'2)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C12" s="135" t="e" cm="1">
        <f t="array" ref="BC12">ROUND((_xlfn.XLOOKUP($C12,'2) หลักการคำนวน Table'!$A$4:$A$36,
_xlfn.XLOOKUP(AQ12,'2)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D12" s="135" t="e" cm="1">
        <f t="array" ref="BD12">ROUND((_xlfn.XLOOKUP($C12,'2) หลักการคำนวน Table'!$A$4:$A$36,
_xlfn.XLOOKUP(AR12,'2)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E12" s="135" t="e" cm="1">
        <f t="array" ref="BE12">ROUND((_xlfn.XLOOKUP($C12,'2) หลักการคำนวน Table'!$A$4:$A$36,
_xlfn.XLOOKUP(AS12,'2)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F12" s="135" t="e" cm="1">
        <f t="array" ref="BF12">ROUND((_xlfn.XLOOKUP($C12,'2) หลักการคำนวน Table'!$A$4:$A$36,
_xlfn.XLOOKUP(AT12,'2)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G12" s="135" t="e" cm="1">
        <f t="array" ref="BG12">ROUND((_xlfn.XLOOKUP($C12,'2) หลักการคำนวน Table'!$A$4:$A$36,
_xlfn.XLOOKUP(AU12,'2)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H12" s="135" t="e" cm="1">
        <f t="array" ref="BH12">ROUND((_xlfn.XLOOKUP($C12,'2) หลักการคำนวน Table'!$A$4:$A$36,
_xlfn.XLOOKUP(AV12,'2)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I12" s="135" t="e" cm="1">
        <f t="array" ref="BI12">ROUND((_xlfn.XLOOKUP($C12,'2) หลักการคำนวน Table'!$A$4:$A$36,
_xlfn.XLOOKUP(AW12,'2)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J12" s="135" t="e" cm="1">
        <f t="array" ref="BJ12">ROUND((_xlfn.XLOOKUP($C12,'2) หลักการคำนวน Table'!$A$4:$A$36,
_xlfn.XLOOKUP(AX12,'2)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K12" s="135" t="e" cm="1">
        <f t="array" ref="BK12">ROUND((_xlfn.XLOOKUP($C12,'2) หลักการคำนวน Table'!$A$4:$A$36,
_xlfn.XLOOKUP(AY12,'2)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L12" s="239"/>
      <c r="BM12" s="126">
        <v>222234</v>
      </c>
      <c r="BN12" s="245">
        <v>141</v>
      </c>
    </row>
    <row r="13" spans="1:66" ht="13.2" customHeight="1" x14ac:dyDescent="0.25">
      <c r="A13" s="128">
        <f>VLOOKUP(C13,ASTBase!F:S,12,FALSE)</f>
        <v>222222</v>
      </c>
      <c r="B13" s="126" t="s">
        <v>415</v>
      </c>
      <c r="C13" s="128">
        <v>222234</v>
      </c>
      <c r="D13" s="127">
        <f>SUMIFS('3)Target &amp; Cal_Sect'!D$4:D$60,'3)Target &amp; Cal_Sect'!$B$4:$B$60,'3)Target &amp; Cal_Dept'!$B13,'3)Target &amp; Cal_Sect'!$A$4:$A$60,'3)Target &amp; Cal_Dept'!$C13)</f>
        <v>11116</v>
      </c>
      <c r="E13" s="127">
        <f>SUMIFS('3)Target &amp; Cal_Sect'!E$4:E$60,'3)Target &amp; Cal_Sect'!$B$4:$B$60,'3)Target &amp; Cal_Dept'!$B13,'3)Target &amp; Cal_Sect'!$A$4:$A$60,'3)Target &amp; Cal_Dept'!$C13)</f>
        <v>12379.4</v>
      </c>
      <c r="F13" s="127">
        <f>SUMIFS('3)Target &amp; Cal_Sect'!F$4:F$60,'3)Target &amp; Cal_Sect'!$B$4:$B$60,'3)Target &amp; Cal_Dept'!$B13,'3)Target &amp; Cal_Sect'!$A$4:$A$60,'3)Target &amp; Cal_Dept'!$C13)</f>
        <v>12367.2</v>
      </c>
      <c r="G13" s="127">
        <f>SUMIFS('3)Target &amp; Cal_Sect'!G$4:G$60,'3)Target &amp; Cal_Sect'!$B$4:$B$60,'3)Target &amp; Cal_Dept'!$B13,'3)Target &amp; Cal_Sect'!$A$4:$A$60,'3)Target &amp; Cal_Dept'!$C13)</f>
        <v>13812</v>
      </c>
      <c r="H13" s="127">
        <f>SUMIFS('3)Target &amp; Cal_Sect'!H$4:H$60,'3)Target &amp; Cal_Sect'!$B$4:$B$60,'3)Target &amp; Cal_Dept'!$B13,'3)Target &amp; Cal_Sect'!$A$4:$A$60,'3)Target &amp; Cal_Dept'!$C13)</f>
        <v>16401.8</v>
      </c>
      <c r="I13" s="127">
        <f>SUMIFS('3)Target &amp; Cal_Sect'!I$4:I$60,'3)Target &amp; Cal_Sect'!$B$4:$B$60,'3)Target &amp; Cal_Dept'!$B13,'3)Target &amp; Cal_Sect'!$A$4:$A$60,'3)Target &amp; Cal_Dept'!$C13)</f>
        <v>20828.599999999999</v>
      </c>
      <c r="J13" s="127">
        <f>SUMIFS('3)Target &amp; Cal_Sect'!J$4:J$60,'3)Target &amp; Cal_Sect'!$B$4:$B$60,'3)Target &amp; Cal_Dept'!$B13,'3)Target &amp; Cal_Sect'!$A$4:$A$60,'3)Target &amp; Cal_Dept'!$C13)</f>
        <v>16183.6</v>
      </c>
      <c r="K13" s="127">
        <f>SUMIFS('3)Target &amp; Cal_Sect'!K$4:K$60,'3)Target &amp; Cal_Sect'!$B$4:$B$60,'3)Target &amp; Cal_Dept'!$B13,'3)Target &amp; Cal_Sect'!$A$4:$A$60,'3)Target &amp; Cal_Dept'!$C13)</f>
        <v>19079.439999999999</v>
      </c>
      <c r="L13" s="127">
        <f>SUMIFS('3)Target &amp; Cal_Sect'!L$4:L$60,'3)Target &amp; Cal_Sect'!$B$4:$B$60,'3)Target &amp; Cal_Dept'!$B13,'3)Target &amp; Cal_Sect'!$A$4:$A$60,'3)Target &amp; Cal_Dept'!$C13)</f>
        <v>16602.62</v>
      </c>
      <c r="M13" s="127">
        <f>SUMIFS('3)Target &amp; Cal_Sect'!M$4:M$60,'3)Target &amp; Cal_Sect'!$B$4:$B$60,'3)Target &amp; Cal_Dept'!$B13,'3)Target &amp; Cal_Sect'!$A$4:$A$60,'3)Target &amp; Cal_Dept'!$C13)</f>
        <v>23216.400000000001</v>
      </c>
      <c r="N13" s="127">
        <f>SUMIFS('3)Target &amp; Cal_Sect'!N$4:N$60,'3)Target &amp; Cal_Sect'!$B$4:$B$60,'3)Target &amp; Cal_Dept'!$B13,'3)Target &amp; Cal_Sect'!$A$4:$A$60,'3)Target &amp; Cal_Dept'!$C13)</f>
        <v>20829.8</v>
      </c>
      <c r="O13" s="127">
        <f>SUMIFS('3)Target &amp; Cal_Sect'!O$4:O$60,'3)Target &amp; Cal_Sect'!$B$4:$B$60,'3)Target &amp; Cal_Dept'!$B13,'3)Target &amp; Cal_Sect'!$A$4:$A$60,'3)Target &amp; Cal_Dept'!$C13)</f>
        <v>24226</v>
      </c>
      <c r="P13" s="127">
        <f>SUMIFS('3)Target &amp; Cal_Sect'!P$4:P$60,'3)Target &amp; Cal_Sect'!$B$4:$B$60,'3)Target &amp; Cal_Dept'!$B13,'3)Target &amp; Cal_Sect'!$A$4:$A$60,'3)Target &amp; Cal_Dept'!$C13)</f>
        <v>14272.199999999979</v>
      </c>
      <c r="Q13" s="127">
        <f>SUMIFS('3)Target &amp; Cal_Sect'!Q$4:Q$60,'3)Target &amp; Cal_Sect'!$B$4:$B$60,'3)Target &amp; Cal_Dept'!$B13,'3)Target &amp; Cal_Sect'!$A$4:$A$60,'3)Target &amp; Cal_Dept'!$C13)</f>
        <v>0</v>
      </c>
      <c r="R13" s="127">
        <f>SUMIFS('3)Target &amp; Cal_Sect'!R$4:R$60,'3)Target &amp; Cal_Sect'!$B$4:$B$60,'3)Target &amp; Cal_Dept'!$B13,'3)Target &amp; Cal_Sect'!$A$4:$A$60,'3)Target &amp; Cal_Dept'!$C13)</f>
        <v>0</v>
      </c>
      <c r="S13" s="127">
        <f>SUMIFS('3)Target &amp; Cal_Sect'!S$4:S$60,'3)Target &amp; Cal_Sect'!$B$4:$B$60,'3)Target &amp; Cal_Dept'!$B13,'3)Target &amp; Cal_Sect'!$A$4:$A$60,'3)Target &amp; Cal_Dept'!$C13)</f>
        <v>0</v>
      </c>
      <c r="T13" s="127">
        <f>SUMIFS('3)Target &amp; Cal_Sect'!T$4:T$60,'3)Target &amp; Cal_Sect'!$B$4:$B$60,'3)Target &amp; Cal_Dept'!$B13,'3)Target &amp; Cal_Sect'!$A$4:$A$60,'3)Target &amp; Cal_Dept'!$C13)</f>
        <v>0</v>
      </c>
      <c r="U13" s="127">
        <f>SUMIFS('3)Target &amp; Cal_Sect'!U$4:U$60,'3)Target &amp; Cal_Sect'!$B$4:$B$60,'3)Target &amp; Cal_Dept'!$B13,'3)Target &amp; Cal_Sect'!$A$4:$A$60,'3)Target &amp; Cal_Dept'!$C13)</f>
        <v>0</v>
      </c>
      <c r="V13" s="127">
        <f>SUMIFS('3)Target &amp; Cal_Sect'!V$4:V$60,'3)Target &amp; Cal_Sect'!$B$4:$B$60,'3)Target &amp; Cal_Dept'!$B13,'3)Target &amp; Cal_Sect'!$A$4:$A$60,'3)Target &amp; Cal_Dept'!$C13)</f>
        <v>0</v>
      </c>
      <c r="W13" s="127">
        <f>SUMIFS('3)Target &amp; Cal_Sect'!W$4:W$60,'3)Target &amp; Cal_Sect'!$B$4:$B$60,'3)Target &amp; Cal_Dept'!$B13,'3)Target &amp; Cal_Sect'!$A$4:$A$60,'3)Target &amp; Cal_Dept'!$C13)</f>
        <v>0</v>
      </c>
      <c r="X13" s="127">
        <f>SUMIFS('3)Target &amp; Cal_Sect'!X$4:X$60,'3)Target &amp; Cal_Sect'!$B$4:$B$60,'3)Target &amp; Cal_Dept'!$B13,'3)Target &amp; Cal_Sect'!$A$4:$A$60,'3)Target &amp; Cal_Dept'!$C13)</f>
        <v>0</v>
      </c>
      <c r="Y13" s="127">
        <f>SUMIFS('3)Target &amp; Cal_Sect'!Y$4:Y$60,'3)Target &amp; Cal_Sect'!$B$4:$B$60,'3)Target &amp; Cal_Dept'!$B13,'3)Target &amp; Cal_Sect'!$A$4:$A$60,'3)Target &amp; Cal_Dept'!$C13)</f>
        <v>0</v>
      </c>
      <c r="Z13" s="127">
        <f>SUMIFS('3)Target &amp; Cal_Sect'!Z$4:Z$60,'3)Target &amp; Cal_Sect'!$B$4:$B$60,'3)Target &amp; Cal_Dept'!$B13,'3)Target &amp; Cal_Sect'!$A$4:$A$60,'3)Target &amp; Cal_Dept'!$C13)</f>
        <v>0</v>
      </c>
      <c r="AA13" s="127">
        <f>SUMIFS('3)Target &amp; Cal_Sect'!AA$4:AA$60,'3)Target &amp; Cal_Sect'!$B$4:$B$60,'3)Target &amp; Cal_Dept'!$B13,'3)Target &amp; Cal_Sect'!$A$4:$A$60,'3)Target &amp; Cal_Dept'!$C13)</f>
        <v>0</v>
      </c>
      <c r="AB13" s="132">
        <f>IFERROR(IF(VLOOKUP($B13,Shortage!$A:$M,AB$2,FALSE)="Shortage",1,IFERROR(ROUND(P13/D13,4),0)),IFERROR(ROUND(P13/D13,4),0))</f>
        <v>1.2839</v>
      </c>
      <c r="AC13" s="132">
        <f>IFERROR(IF(VLOOKUP($B13,Shortage!$A:$M,AC$2,FALSE)="Shortage",1,IFERROR(ROUND(Q13/E13,4),0)),IFERROR(ROUND(Q13/E13,4),0))</f>
        <v>0</v>
      </c>
      <c r="AD13" s="132">
        <f>IFERROR(IF(VLOOKUP($B13,Shortage!$A:$M,AD$2,FALSE)="Shortage",1,IFERROR(ROUND(R13/F13,4),0)),IFERROR(ROUND(R13/F13,4),0))</f>
        <v>0</v>
      </c>
      <c r="AE13" s="132">
        <f>IFERROR(IF(VLOOKUP($B13,Shortage!$A:$M,AE$2,FALSE)="Shortage",1,IFERROR(ROUND(S13/G13,4),0)),IFERROR(ROUND(S13/G13,4),0))</f>
        <v>0</v>
      </c>
      <c r="AF13" s="132">
        <f>IFERROR(IF(VLOOKUP($B13,Shortage!$A:$M,AF$2,FALSE)="Shortage",1,IFERROR(ROUND(T13/H13,4),0)),IFERROR(ROUND(T13/H13,4),0))</f>
        <v>0</v>
      </c>
      <c r="AG13" s="132">
        <f>IFERROR(IF(VLOOKUP($B13,Shortage!$A:$M,AG$2,FALSE)="Shortage",1,IFERROR(ROUND(U13/I13,4),0)),IFERROR(ROUND(U13/I13,4),0))</f>
        <v>0</v>
      </c>
      <c r="AH13" s="132">
        <f>IFERROR(IF(VLOOKUP($B13,Shortage!$A:$M,AH$2,FALSE)="Shortage",1,IFERROR(ROUND(V13/J13,4),0)),IFERROR(ROUND(V13/J13,4),0))</f>
        <v>0</v>
      </c>
      <c r="AI13" s="132">
        <f>IFERROR(IF(VLOOKUP($B13,Shortage!$A:$M,AI$2,FALSE)="Shortage",1,IFERROR(ROUND(W13/K13,4),0)),IFERROR(ROUND(W13/K13,4),0))</f>
        <v>0</v>
      </c>
      <c r="AJ13" s="132">
        <f>IFERROR(IF(VLOOKUP($B13,Shortage!$A:$M,AJ$2,FALSE)="Shortage",1,IFERROR(ROUND(X13/L13,4),0)),IFERROR(ROUND(X13/L13,4),0))</f>
        <v>0</v>
      </c>
      <c r="AK13" s="132">
        <f>IFERROR(IF(VLOOKUP($B13,Shortage!$A:$M,AK$2,FALSE)="Shortage",1,IFERROR(ROUND(Y13/M13,4),0)),IFERROR(ROUND(Y13/M13,4),0))</f>
        <v>0</v>
      </c>
      <c r="AL13" s="132">
        <f>IFERROR(IF(VLOOKUP($B13,Shortage!$A:$M,AL$2,FALSE)="Shortage",1,IFERROR(ROUND(Z13/N13,4),0)),IFERROR(ROUND(Z13/N13,4),0))</f>
        <v>0</v>
      </c>
      <c r="AM13" s="132">
        <f>IFERROR(IF(VLOOKUP($B13,Shortage!$A:$M,AM$2,FALSE)="Shortage",1,IFERROR(ROUND(AA13/O13,4),0)),IFERROR(ROUND(AA13/O13,4),0))</f>
        <v>0</v>
      </c>
      <c r="AN13" s="186">
        <f>IFERROR(_xlfn.XLOOKUP(AB13,'2) หลักการคำนวน Table'!$C$3:$K$3,'2) หลักการคำนวน Table'!$C$3:$K$3,,1),INDEX('2) หลักการคำนวน Table'!$C$3:$K$3,1))</f>
        <v>20</v>
      </c>
      <c r="AO13" s="186">
        <f>IFERROR(
  _xlfn.XLOOKUP(AC13,'2) หลักการคำนวน Table'!$C$3:$K$3,'2) หลักการคำนวน Table'!$C$3:$K$3,,1),
  IF(AC13&lt;MIN('2) หลักการคำนวน Table'!$C$3:$K$3),
     MIN('2) หลักการคำนวน Table'!$C$3:$K$3),
     MAX('2) หลักการคำนวน Table'!$C$3:$K$3)
  )
)</f>
        <v>0.9</v>
      </c>
      <c r="AP13" s="186">
        <f>IFERROR(
  _xlfn.XLOOKUP(AD13,'2) หลักการคำนวน Table'!$C$3:$K$3,'2) หลักการคำนวน Table'!$C$3:$K$3,,1),
  IF(AD13&lt;MIN('2) หลักการคำนวน Table'!$C$3:$K$3),
     MIN('2) หลักการคำนวน Table'!$C$3:$K$3),
     MAX('2) หลักการคำนวน Table'!$C$3:$K$3)
  )
)</f>
        <v>0.9</v>
      </c>
      <c r="AQ13" s="186">
        <f>IFERROR(
  _xlfn.XLOOKUP(AE13,'2) หลักการคำนวน Table'!$C$3:$K$3,'2) หลักการคำนวน Table'!$C$3:$K$3,,1),
  IF(AE13&lt;MIN('2) หลักการคำนวน Table'!$C$3:$K$3),
     MIN('2) หลักการคำนวน Table'!$C$3:$K$3),
     MAX('2) หลักการคำนวน Table'!$C$3:$K$3)
  )
)</f>
        <v>0.9</v>
      </c>
      <c r="AR13" s="186">
        <f>IFERROR(
  _xlfn.XLOOKUP(AF13,'2) หลักการคำนวน Table'!$C$3:$K$3,'2) หลักการคำนวน Table'!$C$3:$K$3,,1),
  IF(AF13&lt;MIN('2) หลักการคำนวน Table'!$C$3:$K$3),
     MIN('2) หลักการคำนวน Table'!$C$3:$K$3),
     MAX('2) หลักการคำนวน Table'!$C$3:$K$3)
  )
)</f>
        <v>0.9</v>
      </c>
      <c r="AS13" s="186">
        <f>IFERROR(
  _xlfn.XLOOKUP(AG13,'2) หลักการคำนวน Table'!$C$3:$K$3,'2) หลักการคำนวน Table'!$C$3:$K$3,,1),
  IF(AG13&lt;MIN('2) หลักการคำนวน Table'!$C$3:$K$3),
     MIN('2) หลักการคำนวน Table'!$C$3:$K$3),
     MAX('2) หลักการคำนวน Table'!$C$3:$K$3)
  )
)</f>
        <v>0.9</v>
      </c>
      <c r="AT13" s="186">
        <f>IFERROR(
  _xlfn.XLOOKUP(AH13,'2) หลักการคำนวน Table'!$C$3:$K$3,'2) หลักการคำนวน Table'!$C$3:$K$3,,1),
  IF(AH13&lt;MIN('2) หลักการคำนวน Table'!$C$3:$K$3),
     MIN('2) หลักการคำนวน Table'!$C$3:$K$3),
     MAX('2) หลักการคำนวน Table'!$C$3:$K$3)
  )
)</f>
        <v>0.9</v>
      </c>
      <c r="AU13" s="186">
        <f>IFERROR(
  _xlfn.XLOOKUP(AI13,'2) หลักการคำนวน Table'!$C$3:$K$3,'2) หลักการคำนวน Table'!$C$3:$K$3,,1),
  IF(AI13&lt;MIN('2) หลักการคำนวน Table'!$C$3:$K$3),
     MIN('2) หลักการคำนวน Table'!$C$3:$K$3),
     MAX('2) หลักการคำนวน Table'!$C$3:$K$3)
  )
)</f>
        <v>0.9</v>
      </c>
      <c r="AV13" s="186">
        <f>IFERROR(
  _xlfn.XLOOKUP(AJ13,'2) หลักการคำนวน Table'!$C$3:$K$3,'2) หลักการคำนวน Table'!$C$3:$K$3,,1),
  IF(AJ13&lt;MIN('2) หลักการคำนวน Table'!$C$3:$K$3),
     MIN('2) หลักการคำนวน Table'!$C$3:$K$3),
     MAX('2) หลักการคำนวน Table'!$C$3:$K$3)
  )
)</f>
        <v>0.9</v>
      </c>
      <c r="AW13" s="186">
        <f>IFERROR(
  _xlfn.XLOOKUP(AK13,'2) หลักการคำนวน Table'!$C$3:$K$3,'2) หลักการคำนวน Table'!$C$3:$K$3,,1),
  IF(AK13&lt;MIN('2) หลักการคำนวน Table'!$C$3:$K$3),
     MIN('2) หลักการคำนวน Table'!$C$3:$K$3),
     MAX('2) หลักการคำนวน Table'!$C$3:$K$3)
  )
)</f>
        <v>0.9</v>
      </c>
      <c r="AX13" s="186">
        <f>IFERROR(
  _xlfn.XLOOKUP(AL13,'2) หลักการคำนวน Table'!$C$3:$K$3,'2) หลักการคำนวน Table'!$C$3:$K$3,,1),
  IF(AL13&lt;MIN('2) หลักการคำนวน Table'!$C$3:$K$3),
     MIN('2) หลักการคำนวน Table'!$C$3:$K$3),
     MAX('2) หลักการคำนวน Table'!$C$3:$K$3)
  )
)</f>
        <v>0.9</v>
      </c>
      <c r="AY13" s="186">
        <f>IFERROR(
  _xlfn.XLOOKUP(AM13,'2) หลักการคำนวน Table'!$C$3:$K$3,'2) หลักการคำนวน Table'!$C$3:$K$3,,1),
  IF(AM13&lt;MIN('2) หลักการคำนวน Table'!$C$3:$K$3),
     MIN('2) หลักการคำนวน Table'!$C$3:$K$3),
     MAX('2) หลักการคำนวน Table'!$C$3:$K$3)
  )
)</f>
        <v>0.9</v>
      </c>
      <c r="AZ13" s="135" t="e" cm="1">
        <f t="array" ref="AZ13">ROUND((_xlfn.XLOOKUP($C13,'2) หลักการคำนวน Table'!$A$4:$A$36,
_xlfn.XLOOKUP(AN13,'2)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A13" s="135" t="e" cm="1">
        <f t="array" ref="BA13">ROUND((_xlfn.XLOOKUP($C13,'2) หลักการคำนวน Table'!$A$4:$A$36,
_xlfn.XLOOKUP(AO13,'2)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B13" s="135" t="e" cm="1">
        <f t="array" ref="BB13">ROUND((_xlfn.XLOOKUP($C13,'2) หลักการคำนวน Table'!$A$4:$A$36,
_xlfn.XLOOKUP(AP13,'2)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C13" s="135" t="e" cm="1">
        <f t="array" ref="BC13">ROUND((_xlfn.XLOOKUP($C13,'2) หลักการคำนวน Table'!$A$4:$A$36,
_xlfn.XLOOKUP(AQ13,'2)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D13" s="135" t="e" cm="1">
        <f t="array" ref="BD13">ROUND((_xlfn.XLOOKUP($C13,'2) หลักการคำนวน Table'!$A$4:$A$36,
_xlfn.XLOOKUP(AR13,'2)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E13" s="135" t="e" cm="1">
        <f t="array" ref="BE13">ROUND((_xlfn.XLOOKUP($C13,'2) หลักการคำนวน Table'!$A$4:$A$36,
_xlfn.XLOOKUP(AS13,'2)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F13" s="135" t="e" cm="1">
        <f t="array" ref="BF13">ROUND((_xlfn.XLOOKUP($C13,'2) หลักการคำนวน Table'!$A$4:$A$36,
_xlfn.XLOOKUP(AT13,'2)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G13" s="135" t="e" cm="1">
        <f t="array" ref="BG13">ROUND((_xlfn.XLOOKUP($C13,'2) หลักการคำนวน Table'!$A$4:$A$36,
_xlfn.XLOOKUP(AU13,'2)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H13" s="135" t="e" cm="1">
        <f t="array" ref="BH13">ROUND((_xlfn.XLOOKUP($C13,'2) หลักการคำนวน Table'!$A$4:$A$36,
_xlfn.XLOOKUP(AV13,'2)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I13" s="135" t="e" cm="1">
        <f t="array" ref="BI13">ROUND((_xlfn.XLOOKUP($C13,'2) หลักการคำนวน Table'!$A$4:$A$36,
_xlfn.XLOOKUP(AW13,'2)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J13" s="135" t="e" cm="1">
        <f t="array" ref="BJ13">ROUND((_xlfn.XLOOKUP($C13,'2) หลักการคำนวน Table'!$A$4:$A$36,
_xlfn.XLOOKUP(AX13,'2)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K13" s="135" t="e" cm="1">
        <f t="array" ref="BK13">ROUND((_xlfn.XLOOKUP($C13,'2) หลักการคำนวน Table'!$A$4:$A$36,
_xlfn.XLOOKUP(AY13,'2)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L13" s="239"/>
      <c r="BM13" s="126">
        <v>222234</v>
      </c>
      <c r="BN13" s="245">
        <v>34</v>
      </c>
    </row>
    <row r="14" spans="1:66" ht="13.2" customHeight="1" x14ac:dyDescent="0.25">
      <c r="A14" s="128">
        <f>VLOOKUP(C14,ASTBase!F:S,12,FALSE)</f>
        <v>222222</v>
      </c>
      <c r="B14" s="126" t="s">
        <v>414</v>
      </c>
      <c r="C14" s="128">
        <v>222234</v>
      </c>
      <c r="D14" s="127">
        <f>SUMIFS('3)Target &amp; Cal_Sect'!D$4:D$60,'3)Target &amp; Cal_Sect'!$B$4:$B$60,'3)Target &amp; Cal_Dept'!$B14,'3)Target &amp; Cal_Sect'!$A$4:$A$60,'3)Target &amp; Cal_Dept'!$C14)</f>
        <v>36136.800000000003</v>
      </c>
      <c r="E14" s="127">
        <f>SUMIFS('3)Target &amp; Cal_Sect'!E$4:E$60,'3)Target &amp; Cal_Sect'!$B$4:$B$60,'3)Target &amp; Cal_Dept'!$B14,'3)Target &amp; Cal_Sect'!$A$4:$A$60,'3)Target &amp; Cal_Dept'!$C14)</f>
        <v>32821.599999999999</v>
      </c>
      <c r="F14" s="127">
        <f>SUMIFS('3)Target &amp; Cal_Sect'!F$4:F$60,'3)Target &amp; Cal_Sect'!$B$4:$B$60,'3)Target &amp; Cal_Dept'!$B14,'3)Target &amp; Cal_Sect'!$A$4:$A$60,'3)Target &amp; Cal_Dept'!$C14)</f>
        <v>34376</v>
      </c>
      <c r="G14" s="127">
        <f>SUMIFS('3)Target &amp; Cal_Sect'!G$4:G$60,'3)Target &amp; Cal_Sect'!$B$4:$B$60,'3)Target &amp; Cal_Dept'!$B14,'3)Target &amp; Cal_Sect'!$A$4:$A$60,'3)Target &amp; Cal_Dept'!$C14)</f>
        <v>33434.800000000003</v>
      </c>
      <c r="H14" s="127">
        <f>SUMIFS('3)Target &amp; Cal_Sect'!H$4:H$60,'3)Target &amp; Cal_Sect'!$B$4:$B$60,'3)Target &amp; Cal_Dept'!$B14,'3)Target &amp; Cal_Sect'!$A$4:$A$60,'3)Target &amp; Cal_Dept'!$C14)</f>
        <v>38238.699999999997</v>
      </c>
      <c r="I14" s="127">
        <f>SUMIFS('3)Target &amp; Cal_Sect'!I$4:I$60,'3)Target &amp; Cal_Sect'!$B$4:$B$60,'3)Target &amp; Cal_Dept'!$B14,'3)Target &amp; Cal_Sect'!$A$4:$A$60,'3)Target &amp; Cal_Dept'!$C14)</f>
        <v>41535.4</v>
      </c>
      <c r="J14" s="127">
        <f>SUMIFS('3)Target &amp; Cal_Sect'!J$4:J$60,'3)Target &amp; Cal_Sect'!$B$4:$B$60,'3)Target &amp; Cal_Dept'!$B14,'3)Target &amp; Cal_Sect'!$A$4:$A$60,'3)Target &amp; Cal_Dept'!$C14)</f>
        <v>34355.4</v>
      </c>
      <c r="K14" s="127">
        <f>SUMIFS('3)Target &amp; Cal_Sect'!K$4:K$60,'3)Target &amp; Cal_Sect'!$B$4:$B$60,'3)Target &amp; Cal_Dept'!$B14,'3)Target &amp; Cal_Sect'!$A$4:$A$60,'3)Target &amp; Cal_Dept'!$C14)</f>
        <v>40467.4</v>
      </c>
      <c r="L14" s="127">
        <f>SUMIFS('3)Target &amp; Cal_Sect'!L$4:L$60,'3)Target &amp; Cal_Sect'!$B$4:$B$60,'3)Target &amp; Cal_Dept'!$B14,'3)Target &amp; Cal_Sect'!$A$4:$A$60,'3)Target &amp; Cal_Dept'!$C14)</f>
        <v>37126.800000000003</v>
      </c>
      <c r="M14" s="127">
        <f>SUMIFS('3)Target &amp; Cal_Sect'!M$4:M$60,'3)Target &amp; Cal_Sect'!$B$4:$B$60,'3)Target &amp; Cal_Dept'!$B14,'3)Target &amp; Cal_Sect'!$A$4:$A$60,'3)Target &amp; Cal_Dept'!$C14)</f>
        <v>36901.800000000003</v>
      </c>
      <c r="N14" s="127">
        <f>SUMIFS('3)Target &amp; Cal_Sect'!N$4:N$60,'3)Target &amp; Cal_Sect'!$B$4:$B$60,'3)Target &amp; Cal_Dept'!$B14,'3)Target &amp; Cal_Sect'!$A$4:$A$60,'3)Target &amp; Cal_Dept'!$C14)</f>
        <v>37167.599999999999</v>
      </c>
      <c r="O14" s="127">
        <f>SUMIFS('3)Target &amp; Cal_Sect'!O$4:O$60,'3)Target &amp; Cal_Sect'!$B$4:$B$60,'3)Target &amp; Cal_Dept'!$B14,'3)Target &amp; Cal_Sect'!$A$4:$A$60,'3)Target &amp; Cal_Dept'!$C14)</f>
        <v>38120.800000000003</v>
      </c>
      <c r="P14" s="127">
        <f>SUMIFS('3)Target &amp; Cal_Sect'!P$4:P$60,'3)Target &amp; Cal_Sect'!$B$4:$B$60,'3)Target &amp; Cal_Dept'!$B14,'3)Target &amp; Cal_Sect'!$A$4:$A$60,'3)Target &amp; Cal_Dept'!$C14)</f>
        <v>36912</v>
      </c>
      <c r="Q14" s="127">
        <f>SUMIFS('3)Target &amp; Cal_Sect'!Q$4:Q$60,'3)Target &amp; Cal_Sect'!$B$4:$B$60,'3)Target &amp; Cal_Dept'!$B14,'3)Target &amp; Cal_Sect'!$A$4:$A$60,'3)Target &amp; Cal_Dept'!$C14)</f>
        <v>0</v>
      </c>
      <c r="R14" s="127">
        <f>SUMIFS('3)Target &amp; Cal_Sect'!R$4:R$60,'3)Target &amp; Cal_Sect'!$B$4:$B$60,'3)Target &amp; Cal_Dept'!$B14,'3)Target &amp; Cal_Sect'!$A$4:$A$60,'3)Target &amp; Cal_Dept'!$C14)</f>
        <v>0</v>
      </c>
      <c r="S14" s="127">
        <f>SUMIFS('3)Target &amp; Cal_Sect'!S$4:S$60,'3)Target &amp; Cal_Sect'!$B$4:$B$60,'3)Target &amp; Cal_Dept'!$B14,'3)Target &amp; Cal_Sect'!$A$4:$A$60,'3)Target &amp; Cal_Dept'!$C14)</f>
        <v>0</v>
      </c>
      <c r="T14" s="127">
        <f>SUMIFS('3)Target &amp; Cal_Sect'!T$4:T$60,'3)Target &amp; Cal_Sect'!$B$4:$B$60,'3)Target &amp; Cal_Dept'!$B14,'3)Target &amp; Cal_Sect'!$A$4:$A$60,'3)Target &amp; Cal_Dept'!$C14)</f>
        <v>0</v>
      </c>
      <c r="U14" s="127">
        <f>SUMIFS('3)Target &amp; Cal_Sect'!U$4:U$60,'3)Target &amp; Cal_Sect'!$B$4:$B$60,'3)Target &amp; Cal_Dept'!$B14,'3)Target &amp; Cal_Sect'!$A$4:$A$60,'3)Target &amp; Cal_Dept'!$C14)</f>
        <v>0</v>
      </c>
      <c r="V14" s="127">
        <f>SUMIFS('3)Target &amp; Cal_Sect'!V$4:V$60,'3)Target &amp; Cal_Sect'!$B$4:$B$60,'3)Target &amp; Cal_Dept'!$B14,'3)Target &amp; Cal_Sect'!$A$4:$A$60,'3)Target &amp; Cal_Dept'!$C14)</f>
        <v>0</v>
      </c>
      <c r="W14" s="127">
        <f>SUMIFS('3)Target &amp; Cal_Sect'!W$4:W$60,'3)Target &amp; Cal_Sect'!$B$4:$B$60,'3)Target &amp; Cal_Dept'!$B14,'3)Target &amp; Cal_Sect'!$A$4:$A$60,'3)Target &amp; Cal_Dept'!$C14)</f>
        <v>0</v>
      </c>
      <c r="X14" s="127">
        <f>SUMIFS('3)Target &amp; Cal_Sect'!X$4:X$60,'3)Target &amp; Cal_Sect'!$B$4:$B$60,'3)Target &amp; Cal_Dept'!$B14,'3)Target &amp; Cal_Sect'!$A$4:$A$60,'3)Target &amp; Cal_Dept'!$C14)</f>
        <v>0</v>
      </c>
      <c r="Y14" s="127">
        <f>SUMIFS('3)Target &amp; Cal_Sect'!Y$4:Y$60,'3)Target &amp; Cal_Sect'!$B$4:$B$60,'3)Target &amp; Cal_Dept'!$B14,'3)Target &amp; Cal_Sect'!$A$4:$A$60,'3)Target &amp; Cal_Dept'!$C14)</f>
        <v>0</v>
      </c>
      <c r="Z14" s="127">
        <f>SUMIFS('3)Target &amp; Cal_Sect'!Z$4:Z$60,'3)Target &amp; Cal_Sect'!$B$4:$B$60,'3)Target &amp; Cal_Dept'!$B14,'3)Target &amp; Cal_Sect'!$A$4:$A$60,'3)Target &amp; Cal_Dept'!$C14)</f>
        <v>0</v>
      </c>
      <c r="AA14" s="127">
        <f>SUMIFS('3)Target &amp; Cal_Sect'!AA$4:AA$60,'3)Target &amp; Cal_Sect'!$B$4:$B$60,'3)Target &amp; Cal_Dept'!$B14,'3)Target &amp; Cal_Sect'!$A$4:$A$60,'3)Target &amp; Cal_Dept'!$C14)</f>
        <v>0</v>
      </c>
      <c r="AB14" s="132">
        <f>IFERROR(IF(VLOOKUP($B14,Shortage!$A:$M,AB$2,FALSE)="Shortage",1,IFERROR(ROUND(P14/D14,4),0)),IFERROR(ROUND(P14/D14,4),0))</f>
        <v>1.0215000000000001</v>
      </c>
      <c r="AC14" s="132">
        <f>IFERROR(IF(VLOOKUP($B14,Shortage!$A:$M,AC$2,FALSE)="Shortage",1,IFERROR(ROUND(Q14/E14,4),0)),IFERROR(ROUND(Q14/E14,4),0))</f>
        <v>0</v>
      </c>
      <c r="AD14" s="132">
        <f>IFERROR(IF(VLOOKUP($B14,Shortage!$A:$M,AD$2,FALSE)="Shortage",1,IFERROR(ROUND(R14/F14,4),0)),IFERROR(ROUND(R14/F14,4),0))</f>
        <v>0</v>
      </c>
      <c r="AE14" s="132">
        <f>IFERROR(IF(VLOOKUP($B14,Shortage!$A:$M,AE$2,FALSE)="Shortage",1,IFERROR(ROUND(S14/G14,4),0)),IFERROR(ROUND(S14/G14,4),0))</f>
        <v>0</v>
      </c>
      <c r="AF14" s="132">
        <f>IFERROR(IF(VLOOKUP($B14,Shortage!$A:$M,AF$2,FALSE)="Shortage",1,IFERROR(ROUND(T14/H14,4),0)),IFERROR(ROUND(T14/H14,4),0))</f>
        <v>0</v>
      </c>
      <c r="AG14" s="132">
        <f>IFERROR(IF(VLOOKUP($B14,Shortage!$A:$M,AG$2,FALSE)="Shortage",1,IFERROR(ROUND(U14/I14,4),0)),IFERROR(ROUND(U14/I14,4),0))</f>
        <v>0</v>
      </c>
      <c r="AH14" s="132">
        <f>IFERROR(IF(VLOOKUP($B14,Shortage!$A:$M,AH$2,FALSE)="Shortage",1,IFERROR(ROUND(V14/J14,4),0)),IFERROR(ROUND(V14/J14,4),0))</f>
        <v>0</v>
      </c>
      <c r="AI14" s="132">
        <f>IFERROR(IF(VLOOKUP($B14,Shortage!$A:$M,AI$2,FALSE)="Shortage",1,IFERROR(ROUND(W14/K14,4),0)),IFERROR(ROUND(W14/K14,4),0))</f>
        <v>0</v>
      </c>
      <c r="AJ14" s="132">
        <f>IFERROR(IF(VLOOKUP($B14,Shortage!$A:$M,AJ$2,FALSE)="Shortage",1,IFERROR(ROUND(X14/L14,4),0)),IFERROR(ROUND(X14/L14,4),0))</f>
        <v>0</v>
      </c>
      <c r="AK14" s="132">
        <f>IFERROR(IF(VLOOKUP($B14,Shortage!$A:$M,AK$2,FALSE)="Shortage",1,IFERROR(ROUND(Y14/M14,4),0)),IFERROR(ROUND(Y14/M14,4),0))</f>
        <v>0</v>
      </c>
      <c r="AL14" s="132">
        <f>IFERROR(IF(VLOOKUP($B14,Shortage!$A:$M,AL$2,FALSE)="Shortage",1,IFERROR(ROUND(Z14/N14,4),0)),IFERROR(ROUND(Z14/N14,4),0))</f>
        <v>0</v>
      </c>
      <c r="AM14" s="132">
        <f>IFERROR(IF(VLOOKUP($B14,Shortage!$A:$M,AM$2,FALSE)="Shortage",1,IFERROR(ROUND(AA14/O14,4),0)),IFERROR(ROUND(AA14/O14,4),0))</f>
        <v>0</v>
      </c>
      <c r="AN14" s="186">
        <f>IFERROR(_xlfn.XLOOKUP(AB14,'2) หลักการคำนวน Table'!$C$3:$K$3,'2) หลักการคำนวน Table'!$C$3:$K$3,,1),INDEX('2) หลักการคำนวน Table'!$C$3:$K$3,1))</f>
        <v>1.03</v>
      </c>
      <c r="AO14" s="186">
        <f>IFERROR(
  _xlfn.XLOOKUP(AC14,'2) หลักการคำนวน Table'!$C$3:$K$3,'2) หลักการคำนวน Table'!$C$3:$K$3,,1),
  IF(AC14&lt;MIN('2) หลักการคำนวน Table'!$C$3:$K$3),
     MIN('2) หลักการคำนวน Table'!$C$3:$K$3),
     MAX('2) หลักการคำนวน Table'!$C$3:$K$3)
  )
)</f>
        <v>0.9</v>
      </c>
      <c r="AP14" s="186">
        <f>IFERROR(
  _xlfn.XLOOKUP(AD14,'2) หลักการคำนวน Table'!$C$3:$K$3,'2) หลักการคำนวน Table'!$C$3:$K$3,,1),
  IF(AD14&lt;MIN('2) หลักการคำนวน Table'!$C$3:$K$3),
     MIN('2) หลักการคำนวน Table'!$C$3:$K$3),
     MAX('2) หลักการคำนวน Table'!$C$3:$K$3)
  )
)</f>
        <v>0.9</v>
      </c>
      <c r="AQ14" s="186">
        <f>IFERROR(
  _xlfn.XLOOKUP(AE14,'2) หลักการคำนวน Table'!$C$3:$K$3,'2) หลักการคำนวน Table'!$C$3:$K$3,,1),
  IF(AE14&lt;MIN('2) หลักการคำนวน Table'!$C$3:$K$3),
     MIN('2) หลักการคำนวน Table'!$C$3:$K$3),
     MAX('2) หลักการคำนวน Table'!$C$3:$K$3)
  )
)</f>
        <v>0.9</v>
      </c>
      <c r="AR14" s="186">
        <f>IFERROR(
  _xlfn.XLOOKUP(AF14,'2) หลักการคำนวน Table'!$C$3:$K$3,'2) หลักการคำนวน Table'!$C$3:$K$3,,1),
  IF(AF14&lt;MIN('2) หลักการคำนวน Table'!$C$3:$K$3),
     MIN('2) หลักการคำนวน Table'!$C$3:$K$3),
     MAX('2) หลักการคำนวน Table'!$C$3:$K$3)
  )
)</f>
        <v>0.9</v>
      </c>
      <c r="AS14" s="186">
        <f>IFERROR(
  _xlfn.XLOOKUP(AG14,'2) หลักการคำนวน Table'!$C$3:$K$3,'2) หลักการคำนวน Table'!$C$3:$K$3,,1),
  IF(AG14&lt;MIN('2) หลักการคำนวน Table'!$C$3:$K$3),
     MIN('2) หลักการคำนวน Table'!$C$3:$K$3),
     MAX('2) หลักการคำนวน Table'!$C$3:$K$3)
  )
)</f>
        <v>0.9</v>
      </c>
      <c r="AT14" s="186">
        <f>IFERROR(
  _xlfn.XLOOKUP(AH14,'2) หลักการคำนวน Table'!$C$3:$K$3,'2) หลักการคำนวน Table'!$C$3:$K$3,,1),
  IF(AH14&lt;MIN('2) หลักการคำนวน Table'!$C$3:$K$3),
     MIN('2) หลักการคำนวน Table'!$C$3:$K$3),
     MAX('2) หลักการคำนวน Table'!$C$3:$K$3)
  )
)</f>
        <v>0.9</v>
      </c>
      <c r="AU14" s="186">
        <f>IFERROR(
  _xlfn.XLOOKUP(AI14,'2) หลักการคำนวน Table'!$C$3:$K$3,'2) หลักการคำนวน Table'!$C$3:$K$3,,1),
  IF(AI14&lt;MIN('2) หลักการคำนวน Table'!$C$3:$K$3),
     MIN('2) หลักการคำนวน Table'!$C$3:$K$3),
     MAX('2) หลักการคำนวน Table'!$C$3:$K$3)
  )
)</f>
        <v>0.9</v>
      </c>
      <c r="AV14" s="186">
        <f>IFERROR(
  _xlfn.XLOOKUP(AJ14,'2) หลักการคำนวน Table'!$C$3:$K$3,'2) หลักการคำนวน Table'!$C$3:$K$3,,1),
  IF(AJ14&lt;MIN('2) หลักการคำนวน Table'!$C$3:$K$3),
     MIN('2) หลักการคำนวน Table'!$C$3:$K$3),
     MAX('2) หลักการคำนวน Table'!$C$3:$K$3)
  )
)</f>
        <v>0.9</v>
      </c>
      <c r="AW14" s="186">
        <f>IFERROR(
  _xlfn.XLOOKUP(AK14,'2) หลักการคำนวน Table'!$C$3:$K$3,'2) หลักการคำนวน Table'!$C$3:$K$3,,1),
  IF(AK14&lt;MIN('2) หลักการคำนวน Table'!$C$3:$K$3),
     MIN('2) หลักการคำนวน Table'!$C$3:$K$3),
     MAX('2) หลักการคำนวน Table'!$C$3:$K$3)
  )
)</f>
        <v>0.9</v>
      </c>
      <c r="AX14" s="186">
        <f>IFERROR(
  _xlfn.XLOOKUP(AL14,'2) หลักการคำนวน Table'!$C$3:$K$3,'2) หลักการคำนวน Table'!$C$3:$K$3,,1),
  IF(AL14&lt;MIN('2) หลักการคำนวน Table'!$C$3:$K$3),
     MIN('2) หลักการคำนวน Table'!$C$3:$K$3),
     MAX('2) หลักการคำนวน Table'!$C$3:$K$3)
  )
)</f>
        <v>0.9</v>
      </c>
      <c r="AY14" s="186">
        <f>IFERROR(
  _xlfn.XLOOKUP(AM14,'2) หลักการคำนวน Table'!$C$3:$K$3,'2) หลักการคำนวน Table'!$C$3:$K$3,,1),
  IF(AM14&lt;MIN('2) หลักการคำนวน Table'!$C$3:$K$3),
     MIN('2) หลักการคำนวน Table'!$C$3:$K$3),
     MAX('2) หลักการคำนวน Table'!$C$3:$K$3)
  )
)</f>
        <v>0.9</v>
      </c>
      <c r="AZ14" s="135" t="e" cm="1">
        <f t="array" ref="AZ14">ROUND((_xlfn.XLOOKUP($C14,'2) หลักการคำนวน Table'!$A$4:$A$36,
_xlfn.XLOOKUP(AN14,'2)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A14" s="135" t="e" cm="1">
        <f t="array" ref="BA14">ROUND((_xlfn.XLOOKUP($C14,'2) หลักการคำนวน Table'!$A$4:$A$36,
_xlfn.XLOOKUP(AO14,'2)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B14" s="135" t="e" cm="1">
        <f t="array" ref="BB14">ROUND((_xlfn.XLOOKUP($C14,'2) หลักการคำนวน Table'!$A$4:$A$36,
_xlfn.XLOOKUP(AP14,'2)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C14" s="135" t="e" cm="1">
        <f t="array" ref="BC14">ROUND((_xlfn.XLOOKUP($C14,'2) หลักการคำนวน Table'!$A$4:$A$36,
_xlfn.XLOOKUP(AQ14,'2)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D14" s="135" t="e" cm="1">
        <f t="array" ref="BD14">ROUND((_xlfn.XLOOKUP($C14,'2) หลักการคำนวน Table'!$A$4:$A$36,
_xlfn.XLOOKUP(AR14,'2)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E14" s="135" t="e" cm="1">
        <f t="array" ref="BE14">ROUND((_xlfn.XLOOKUP($C14,'2) หลักการคำนวน Table'!$A$4:$A$36,
_xlfn.XLOOKUP(AS14,'2)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F14" s="135" t="e" cm="1">
        <f t="array" ref="BF14">ROUND((_xlfn.XLOOKUP($C14,'2) หลักการคำนวน Table'!$A$4:$A$36,
_xlfn.XLOOKUP(AT14,'2)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G14" s="135" t="e" cm="1">
        <f t="array" ref="BG14">ROUND((_xlfn.XLOOKUP($C14,'2) หลักการคำนวน Table'!$A$4:$A$36,
_xlfn.XLOOKUP(AU14,'2)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H14" s="135" t="e" cm="1">
        <f t="array" ref="BH14">ROUND((_xlfn.XLOOKUP($C14,'2) หลักการคำนวน Table'!$A$4:$A$36,
_xlfn.XLOOKUP(AV14,'2)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I14" s="135" t="e" cm="1">
        <f t="array" ref="BI14">ROUND((_xlfn.XLOOKUP($C14,'2) หลักการคำนวน Table'!$A$4:$A$36,
_xlfn.XLOOKUP(AW14,'2)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J14" s="135" t="e" cm="1">
        <f t="array" ref="BJ14">ROUND((_xlfn.XLOOKUP($C14,'2) หลักการคำนวน Table'!$A$4:$A$36,
_xlfn.XLOOKUP(AX14,'2)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K14" s="135" t="e" cm="1">
        <f t="array" ref="BK14">ROUND((_xlfn.XLOOKUP($C14,'2) หลักการคำนวน Table'!$A$4:$A$36,
_xlfn.XLOOKUP(AY14,'2)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L14" s="239"/>
      <c r="BM14" s="126">
        <v>222234</v>
      </c>
      <c r="BN14" s="292">
        <v>79</v>
      </c>
    </row>
    <row r="15" spans="1:66" ht="13.2" customHeight="1" x14ac:dyDescent="0.25">
      <c r="A15" s="128">
        <f>VLOOKUP(C15,ASTBase!F:S,12,FALSE)</f>
        <v>222222</v>
      </c>
      <c r="B15" s="126" t="s">
        <v>412</v>
      </c>
      <c r="C15" s="128">
        <v>222234</v>
      </c>
      <c r="D15" s="127">
        <f>SUMIFS('3)Target &amp; Cal_Sect'!D$4:D$60,'3)Target &amp; Cal_Sect'!$B$4:$B$60,'3)Target &amp; Cal_Dept'!$B15,'3)Target &amp; Cal_Sect'!$A$4:$A$60,'3)Target &amp; Cal_Dept'!$C15)</f>
        <v>507712.39999999863</v>
      </c>
      <c r="E15" s="127">
        <f>SUMIFS('3)Target &amp; Cal_Sect'!E$4:E$60,'3)Target &amp; Cal_Sect'!$B$4:$B$60,'3)Target &amp; Cal_Dept'!$B15,'3)Target &amp; Cal_Sect'!$A$4:$A$60,'3)Target &amp; Cal_Dept'!$C15)</f>
        <v>486543.04999965843</v>
      </c>
      <c r="F15" s="127">
        <f>SUMIFS('3)Target &amp; Cal_Sect'!F$4:F$60,'3)Target &amp; Cal_Sect'!$B$4:$B$60,'3)Target &amp; Cal_Dept'!$B15,'3)Target &amp; Cal_Sect'!$A$4:$A$60,'3)Target &amp; Cal_Dept'!$C15)</f>
        <v>495066.1499999818</v>
      </c>
      <c r="G15" s="127">
        <f>SUMIFS('3)Target &amp; Cal_Sect'!G$4:G$60,'3)Target &amp; Cal_Sect'!$B$4:$B$60,'3)Target &amp; Cal_Dept'!$B15,'3)Target &amp; Cal_Sect'!$A$4:$A$60,'3)Target &amp; Cal_Dept'!$C15)</f>
        <v>493974.9999999603</v>
      </c>
      <c r="H15" s="127">
        <f>SUMIFS('3)Target &amp; Cal_Sect'!H$4:H$60,'3)Target &amp; Cal_Sect'!$B$4:$B$60,'3)Target &amp; Cal_Dept'!$B15,'3)Target &amp; Cal_Sect'!$A$4:$A$60,'3)Target &amp; Cal_Dept'!$C15)</f>
        <v>511810.63888886955</v>
      </c>
      <c r="I15" s="127">
        <f>SUMIFS('3)Target &amp; Cal_Sect'!I$4:I$60,'3)Target &amp; Cal_Sect'!$B$4:$B$60,'3)Target &amp; Cal_Dept'!$B15,'3)Target &amp; Cal_Sect'!$A$4:$A$60,'3)Target &amp; Cal_Dept'!$C15)</f>
        <v>487012.33333261893</v>
      </c>
      <c r="J15" s="127">
        <f>SUMIFS('3)Target &amp; Cal_Sect'!J$4:J$60,'3)Target &amp; Cal_Sect'!$B$4:$B$60,'3)Target &amp; Cal_Dept'!$B15,'3)Target &amp; Cal_Sect'!$A$4:$A$60,'3)Target &amp; Cal_Dept'!$C15)</f>
        <v>501411.89444441546</v>
      </c>
      <c r="K15" s="127">
        <f>SUMIFS('3)Target &amp; Cal_Sect'!K$4:K$60,'3)Target &amp; Cal_Sect'!$B$4:$B$60,'3)Target &amp; Cal_Dept'!$B15,'3)Target &amp; Cal_Sect'!$A$4:$A$60,'3)Target &amp; Cal_Dept'!$C15)</f>
        <v>495094.63888887584</v>
      </c>
      <c r="L15" s="127">
        <f>SUMIFS('3)Target &amp; Cal_Sect'!L$4:L$60,'3)Target &amp; Cal_Sect'!$B$4:$B$60,'3)Target &amp; Cal_Dept'!$B15,'3)Target &amp; Cal_Sect'!$A$4:$A$60,'3)Target &amp; Cal_Dept'!$C15)</f>
        <v>498731.5444444053</v>
      </c>
      <c r="M15" s="127">
        <f>SUMIFS('3)Target &amp; Cal_Sect'!M$4:M$60,'3)Target &amp; Cal_Sect'!$B$4:$B$60,'3)Target &amp; Cal_Dept'!$B15,'3)Target &amp; Cal_Sect'!$A$4:$A$60,'3)Target &amp; Cal_Dept'!$C15)</f>
        <v>519410.17777777347</v>
      </c>
      <c r="N15" s="127">
        <f>SUMIFS('3)Target &amp; Cal_Sect'!N$4:N$60,'3)Target &amp; Cal_Sect'!$B$4:$B$60,'3)Target &amp; Cal_Dept'!$B15,'3)Target &amp; Cal_Sect'!$A$4:$A$60,'3)Target &amp; Cal_Dept'!$C15)</f>
        <v>490324.94999981526</v>
      </c>
      <c r="O15" s="127">
        <f>SUMIFS('3)Target &amp; Cal_Sect'!O$4:O$60,'3)Target &amp; Cal_Sect'!$B$4:$B$60,'3)Target &amp; Cal_Dept'!$B15,'3)Target &amp; Cal_Sect'!$A$4:$A$60,'3)Target &amp; Cal_Dept'!$C15)</f>
        <v>501137.4999999986</v>
      </c>
      <c r="P15" s="127">
        <f>SUMIFS('3)Target &amp; Cal_Sect'!P$4:P$60,'3)Target &amp; Cal_Sect'!$B$4:$B$60,'3)Target &amp; Cal_Dept'!$B15,'3)Target &amp; Cal_Sect'!$A$4:$A$60,'3)Target &amp; Cal_Dept'!$C15)</f>
        <v>405857.66665956675</v>
      </c>
      <c r="Q15" s="127">
        <f>SUMIFS('3)Target &amp; Cal_Sect'!Q$4:Q$60,'3)Target &amp; Cal_Sect'!$B$4:$B$60,'3)Target &amp; Cal_Dept'!$B15,'3)Target &amp; Cal_Sect'!$A$4:$A$60,'3)Target &amp; Cal_Dept'!$C15)</f>
        <v>0</v>
      </c>
      <c r="R15" s="127">
        <f>SUMIFS('3)Target &amp; Cal_Sect'!R$4:R$60,'3)Target &amp; Cal_Sect'!$B$4:$B$60,'3)Target &amp; Cal_Dept'!$B15,'3)Target &amp; Cal_Sect'!$A$4:$A$60,'3)Target &amp; Cal_Dept'!$C15)</f>
        <v>0</v>
      </c>
      <c r="S15" s="127">
        <f>SUMIFS('3)Target &amp; Cal_Sect'!S$4:S$60,'3)Target &amp; Cal_Sect'!$B$4:$B$60,'3)Target &amp; Cal_Dept'!$B15,'3)Target &amp; Cal_Sect'!$A$4:$A$60,'3)Target &amp; Cal_Dept'!$C15)</f>
        <v>0</v>
      </c>
      <c r="T15" s="127">
        <f>SUMIFS('3)Target &amp; Cal_Sect'!T$4:T$60,'3)Target &amp; Cal_Sect'!$B$4:$B$60,'3)Target &amp; Cal_Dept'!$B15,'3)Target &amp; Cal_Sect'!$A$4:$A$60,'3)Target &amp; Cal_Dept'!$C15)</f>
        <v>0</v>
      </c>
      <c r="U15" s="127">
        <f>SUMIFS('3)Target &amp; Cal_Sect'!U$4:U$60,'3)Target &amp; Cal_Sect'!$B$4:$B$60,'3)Target &amp; Cal_Dept'!$B15,'3)Target &amp; Cal_Sect'!$A$4:$A$60,'3)Target &amp; Cal_Dept'!$C15)</f>
        <v>0</v>
      </c>
      <c r="V15" s="127">
        <f>SUMIFS('3)Target &amp; Cal_Sect'!V$4:V$60,'3)Target &amp; Cal_Sect'!$B$4:$B$60,'3)Target &amp; Cal_Dept'!$B15,'3)Target &amp; Cal_Sect'!$A$4:$A$60,'3)Target &amp; Cal_Dept'!$C15)</f>
        <v>0</v>
      </c>
      <c r="W15" s="127">
        <f>SUMIFS('3)Target &amp; Cal_Sect'!W$4:W$60,'3)Target &amp; Cal_Sect'!$B$4:$B$60,'3)Target &amp; Cal_Dept'!$B15,'3)Target &amp; Cal_Sect'!$A$4:$A$60,'3)Target &amp; Cal_Dept'!$C15)</f>
        <v>0</v>
      </c>
      <c r="X15" s="127">
        <f>SUMIFS('3)Target &amp; Cal_Sect'!X$4:X$60,'3)Target &amp; Cal_Sect'!$B$4:$B$60,'3)Target &amp; Cal_Dept'!$B15,'3)Target &amp; Cal_Sect'!$A$4:$A$60,'3)Target &amp; Cal_Dept'!$C15)</f>
        <v>0</v>
      </c>
      <c r="Y15" s="127">
        <f>SUMIFS('3)Target &amp; Cal_Sect'!Y$4:Y$60,'3)Target &amp; Cal_Sect'!$B$4:$B$60,'3)Target &amp; Cal_Dept'!$B15,'3)Target &amp; Cal_Sect'!$A$4:$A$60,'3)Target &amp; Cal_Dept'!$C15)</f>
        <v>0</v>
      </c>
      <c r="Z15" s="127">
        <f>SUMIFS('3)Target &amp; Cal_Sect'!Z$4:Z$60,'3)Target &amp; Cal_Sect'!$B$4:$B$60,'3)Target &amp; Cal_Dept'!$B15,'3)Target &amp; Cal_Sect'!$A$4:$A$60,'3)Target &amp; Cal_Dept'!$C15)</f>
        <v>0</v>
      </c>
      <c r="AA15" s="127">
        <f>SUMIFS('3)Target &amp; Cal_Sect'!AA$4:AA$60,'3)Target &amp; Cal_Sect'!$B$4:$B$60,'3)Target &amp; Cal_Dept'!$B15,'3)Target &amp; Cal_Sect'!$A$4:$A$60,'3)Target &amp; Cal_Dept'!$C15)</f>
        <v>0</v>
      </c>
      <c r="AB15" s="132">
        <f>IFERROR(IF(VLOOKUP($B15,Shortage!$A:$M,AB$2,FALSE)="Shortage",1,IFERROR(ROUND(P15/D15,4),0)),IFERROR(ROUND(P15/D15,4),0))</f>
        <v>1</v>
      </c>
      <c r="AC15" s="132">
        <f>IFERROR(IF(VLOOKUP($B15,Shortage!$A:$M,AC$2,FALSE)="Shortage",1,IFERROR(ROUND(Q15/E15,4),0)),IFERROR(ROUND(Q15/E15,4),0))</f>
        <v>0</v>
      </c>
      <c r="AD15" s="132">
        <f>IFERROR(IF(VLOOKUP($B15,Shortage!$A:$M,AD$2,FALSE)="Shortage",1,IFERROR(ROUND(R15/F15,4),0)),IFERROR(ROUND(R15/F15,4),0))</f>
        <v>0</v>
      </c>
      <c r="AE15" s="132">
        <f>IFERROR(IF(VLOOKUP($B15,Shortage!$A:$M,AE$2,FALSE)="Shortage",1,IFERROR(ROUND(S15/G15,4),0)),IFERROR(ROUND(S15/G15,4),0))</f>
        <v>0</v>
      </c>
      <c r="AF15" s="132">
        <f>IFERROR(IF(VLOOKUP($B15,Shortage!$A:$M,AF$2,FALSE)="Shortage",1,IFERROR(ROUND(T15/H15,4),0)),IFERROR(ROUND(T15/H15,4),0))</f>
        <v>0</v>
      </c>
      <c r="AG15" s="132">
        <f>IFERROR(IF(VLOOKUP($B15,Shortage!$A:$M,AG$2,FALSE)="Shortage",1,IFERROR(ROUND(U15/I15,4),0)),IFERROR(ROUND(U15/I15,4),0))</f>
        <v>0</v>
      </c>
      <c r="AH15" s="132">
        <f>IFERROR(IF(VLOOKUP($B15,Shortage!$A:$M,AH$2,FALSE)="Shortage",1,IFERROR(ROUND(V15/J15,4),0)),IFERROR(ROUND(V15/J15,4),0))</f>
        <v>0</v>
      </c>
      <c r="AI15" s="132">
        <f>IFERROR(IF(VLOOKUP($B15,Shortage!$A:$M,AI$2,FALSE)="Shortage",1,IFERROR(ROUND(W15/K15,4),0)),IFERROR(ROUND(W15/K15,4),0))</f>
        <v>0</v>
      </c>
      <c r="AJ15" s="132">
        <f>IFERROR(IF(VLOOKUP($B15,Shortage!$A:$M,AJ$2,FALSE)="Shortage",1,IFERROR(ROUND(X15/L15,4),0)),IFERROR(ROUND(X15/L15,4),0))</f>
        <v>0</v>
      </c>
      <c r="AK15" s="132">
        <f>IFERROR(IF(VLOOKUP($B15,Shortage!$A:$M,AK$2,FALSE)="Shortage",1,IFERROR(ROUND(Y15/M15,4),0)),IFERROR(ROUND(Y15/M15,4),0))</f>
        <v>0</v>
      </c>
      <c r="AL15" s="132">
        <f>IFERROR(IF(VLOOKUP($B15,Shortage!$A:$M,AL$2,FALSE)="Shortage",1,IFERROR(ROUND(Z15/N15,4),0)),IFERROR(ROUND(Z15/N15,4),0))</f>
        <v>0</v>
      </c>
      <c r="AM15" s="132">
        <f>IFERROR(IF(VLOOKUP($B15,Shortage!$A:$M,AM$2,FALSE)="Shortage",1,IFERROR(ROUND(AA15/O15,4),0)),IFERROR(ROUND(AA15/O15,4),0))</f>
        <v>0</v>
      </c>
      <c r="AN15" s="186">
        <f>IFERROR(_xlfn.XLOOKUP(AB15,'2) หลักการคำนวน Table'!$C$3:$K$3,'2) หลักการคำนวน Table'!$C$3:$K$3,,1),INDEX('2) หลักการคำนวน Table'!$C$3:$K$3,1))</f>
        <v>1</v>
      </c>
      <c r="AO15" s="186">
        <f>IFERROR(
  _xlfn.XLOOKUP(AC15,'2) หลักการคำนวน Table'!$C$3:$K$3,'2) หลักการคำนวน Table'!$C$3:$K$3,,1),
  IF(AC15&lt;MIN('2) หลักการคำนวน Table'!$C$3:$K$3),
     MIN('2) หลักการคำนวน Table'!$C$3:$K$3),
     MAX('2) หลักการคำนวน Table'!$C$3:$K$3)
  )
)</f>
        <v>0.9</v>
      </c>
      <c r="AP15" s="186">
        <f>IFERROR(
  _xlfn.XLOOKUP(AD15,'2) หลักการคำนวน Table'!$C$3:$K$3,'2) หลักการคำนวน Table'!$C$3:$K$3,,1),
  IF(AD15&lt;MIN('2) หลักการคำนวน Table'!$C$3:$K$3),
     MIN('2) หลักการคำนวน Table'!$C$3:$K$3),
     MAX('2) หลักการคำนวน Table'!$C$3:$K$3)
  )
)</f>
        <v>0.9</v>
      </c>
      <c r="AQ15" s="186">
        <f>IFERROR(
  _xlfn.XLOOKUP(AE15,'2) หลักการคำนวน Table'!$C$3:$K$3,'2) หลักการคำนวน Table'!$C$3:$K$3,,1),
  IF(AE15&lt;MIN('2) หลักการคำนวน Table'!$C$3:$K$3),
     MIN('2) หลักการคำนวน Table'!$C$3:$K$3),
     MAX('2) หลักการคำนวน Table'!$C$3:$K$3)
  )
)</f>
        <v>0.9</v>
      </c>
      <c r="AR15" s="186">
        <f>IFERROR(
  _xlfn.XLOOKUP(AF15,'2) หลักการคำนวน Table'!$C$3:$K$3,'2) หลักการคำนวน Table'!$C$3:$K$3,,1),
  IF(AF15&lt;MIN('2) หลักการคำนวน Table'!$C$3:$K$3),
     MIN('2) หลักการคำนวน Table'!$C$3:$K$3),
     MAX('2) หลักการคำนวน Table'!$C$3:$K$3)
  )
)</f>
        <v>0.9</v>
      </c>
      <c r="AS15" s="186">
        <f>IFERROR(
  _xlfn.XLOOKUP(AG15,'2) หลักการคำนวน Table'!$C$3:$K$3,'2) หลักการคำนวน Table'!$C$3:$K$3,,1),
  IF(AG15&lt;MIN('2) หลักการคำนวน Table'!$C$3:$K$3),
     MIN('2) หลักการคำนวน Table'!$C$3:$K$3),
     MAX('2) หลักการคำนวน Table'!$C$3:$K$3)
  )
)</f>
        <v>0.9</v>
      </c>
      <c r="AT15" s="186">
        <f>IFERROR(
  _xlfn.XLOOKUP(AH15,'2) หลักการคำนวน Table'!$C$3:$K$3,'2) หลักการคำนวน Table'!$C$3:$K$3,,1),
  IF(AH15&lt;MIN('2) หลักการคำนวน Table'!$C$3:$K$3),
     MIN('2) หลักการคำนวน Table'!$C$3:$K$3),
     MAX('2) หลักการคำนวน Table'!$C$3:$K$3)
  )
)</f>
        <v>0.9</v>
      </c>
      <c r="AU15" s="186">
        <f>IFERROR(
  _xlfn.XLOOKUP(AI15,'2) หลักการคำนวน Table'!$C$3:$K$3,'2) หลักการคำนวน Table'!$C$3:$K$3,,1),
  IF(AI15&lt;MIN('2) หลักการคำนวน Table'!$C$3:$K$3),
     MIN('2) หลักการคำนวน Table'!$C$3:$K$3),
     MAX('2) หลักการคำนวน Table'!$C$3:$K$3)
  )
)</f>
        <v>0.9</v>
      </c>
      <c r="AV15" s="186">
        <f>IFERROR(
  _xlfn.XLOOKUP(AJ15,'2) หลักการคำนวน Table'!$C$3:$K$3,'2) หลักการคำนวน Table'!$C$3:$K$3,,1),
  IF(AJ15&lt;MIN('2) หลักการคำนวน Table'!$C$3:$K$3),
     MIN('2) หลักการคำนวน Table'!$C$3:$K$3),
     MAX('2) หลักการคำนวน Table'!$C$3:$K$3)
  )
)</f>
        <v>0.9</v>
      </c>
      <c r="AW15" s="186">
        <f>IFERROR(
  _xlfn.XLOOKUP(AK15,'2) หลักการคำนวน Table'!$C$3:$K$3,'2) หลักการคำนวน Table'!$C$3:$K$3,,1),
  IF(AK15&lt;MIN('2) หลักการคำนวน Table'!$C$3:$K$3),
     MIN('2) หลักการคำนวน Table'!$C$3:$K$3),
     MAX('2) หลักการคำนวน Table'!$C$3:$K$3)
  )
)</f>
        <v>0.9</v>
      </c>
      <c r="AX15" s="186">
        <f>IFERROR(
  _xlfn.XLOOKUP(AL15,'2) หลักการคำนวน Table'!$C$3:$K$3,'2) หลักการคำนวน Table'!$C$3:$K$3,,1),
  IF(AL15&lt;MIN('2) หลักการคำนวน Table'!$C$3:$K$3),
     MIN('2) หลักการคำนวน Table'!$C$3:$K$3),
     MAX('2) หลักการคำนวน Table'!$C$3:$K$3)
  )
)</f>
        <v>0.9</v>
      </c>
      <c r="AY15" s="186">
        <f>IFERROR(
  _xlfn.XLOOKUP(AM15,'2) หลักการคำนวน Table'!$C$3:$K$3,'2) หลักการคำนวน Table'!$C$3:$K$3,,1),
  IF(AM15&lt;MIN('2) หลักการคำนวน Table'!$C$3:$K$3),
     MIN('2) หลักการคำนวน Table'!$C$3:$K$3),
     MAX('2) หลักการคำนวน Table'!$C$3:$K$3)
  )
)</f>
        <v>0.9</v>
      </c>
      <c r="AZ15" s="135" t="e" cm="1">
        <f t="array" ref="AZ15">ROUND((_xlfn.XLOOKUP($C15,'2) หลักการคำนวน Table'!$A$4:$A$36,
_xlfn.XLOOKUP(AN15,'2)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A15" s="135" t="e" cm="1">
        <f t="array" ref="BA15">ROUND((_xlfn.XLOOKUP($C15,'2) หลักการคำนวน Table'!$A$4:$A$36,
_xlfn.XLOOKUP(AO15,'2)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B15" s="135" t="e" cm="1">
        <f t="array" ref="BB15">ROUND((_xlfn.XLOOKUP($C15,'2) หลักการคำนวน Table'!$A$4:$A$36,
_xlfn.XLOOKUP(AP15,'2)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C15" s="135" t="e" cm="1">
        <f t="array" ref="BC15">ROUND((_xlfn.XLOOKUP($C15,'2) หลักการคำนวน Table'!$A$4:$A$36,
_xlfn.XLOOKUP(AQ15,'2)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D15" s="135" t="e" cm="1">
        <f t="array" ref="BD15">ROUND((_xlfn.XLOOKUP($C15,'2) หลักการคำนวน Table'!$A$4:$A$36,
_xlfn.XLOOKUP(AR15,'2)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E15" s="135" t="e" cm="1">
        <f t="array" ref="BE15">ROUND((_xlfn.XLOOKUP($C15,'2) หลักการคำนวน Table'!$A$4:$A$36,
_xlfn.XLOOKUP(AS15,'2)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F15" s="135" t="e" cm="1">
        <f t="array" ref="BF15">ROUND((_xlfn.XLOOKUP($C15,'2) หลักการคำนวน Table'!$A$4:$A$36,
_xlfn.XLOOKUP(AT15,'2)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G15" s="135" t="e" cm="1">
        <f t="array" ref="BG15">ROUND((_xlfn.XLOOKUP($C15,'2) หลักการคำนวน Table'!$A$4:$A$36,
_xlfn.XLOOKUP(AU15,'2)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H15" s="135" t="e" cm="1">
        <f t="array" ref="BH15">ROUND((_xlfn.XLOOKUP($C15,'2) หลักการคำนวน Table'!$A$4:$A$36,
_xlfn.XLOOKUP(AV15,'2)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I15" s="135" t="e" cm="1">
        <f t="array" ref="BI15">ROUND((_xlfn.XLOOKUP($C15,'2) หลักการคำนวน Table'!$A$4:$A$36,
_xlfn.XLOOKUP(AW15,'2)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J15" s="135" t="e" cm="1">
        <f t="array" ref="BJ15">ROUND((_xlfn.XLOOKUP($C15,'2) หลักการคำนวน Table'!$A$4:$A$36,
_xlfn.XLOOKUP(AX15,'2)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K15" s="135" t="e" cm="1">
        <f t="array" ref="BK15">ROUND((_xlfn.XLOOKUP($C15,'2) หลักการคำนวน Table'!$A$4:$A$36,
_xlfn.XLOOKUP(AY15,'2)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L15" s="239"/>
      <c r="BM15" s="126">
        <v>222234</v>
      </c>
      <c r="BN15" s="245">
        <v>1205</v>
      </c>
    </row>
    <row r="16" spans="1:66" ht="13.2" customHeight="1" x14ac:dyDescent="0.25">
      <c r="A16" s="128">
        <f>VLOOKUP(C16,ASTBase!F:S,12,FALSE)</f>
        <v>222222</v>
      </c>
      <c r="B16" s="126" t="s">
        <v>411</v>
      </c>
      <c r="C16" s="128">
        <v>222234</v>
      </c>
      <c r="D16" s="127">
        <f>SUMIFS('3)Target &amp; Cal_Sect'!D$4:D$60,'3)Target &amp; Cal_Sect'!$B$4:$B$60,'3)Target &amp; Cal_Dept'!$B16,'3)Target &amp; Cal_Sect'!$A$4:$A$60,'3)Target &amp; Cal_Dept'!$C16)</f>
        <v>7338.4</v>
      </c>
      <c r="E16" s="127">
        <f>SUMIFS('3)Target &amp; Cal_Sect'!E$4:E$60,'3)Target &amp; Cal_Sect'!$B$4:$B$60,'3)Target &amp; Cal_Dept'!$B16,'3)Target &amp; Cal_Sect'!$A$4:$A$60,'3)Target &amp; Cal_Dept'!$C16)</f>
        <v>7188</v>
      </c>
      <c r="F16" s="127">
        <f>SUMIFS('3)Target &amp; Cal_Sect'!F$4:F$60,'3)Target &amp; Cal_Sect'!$B$4:$B$60,'3)Target &amp; Cal_Dept'!$B16,'3)Target &amp; Cal_Sect'!$A$4:$A$60,'3)Target &amp; Cal_Dept'!$C16)</f>
        <v>7990.4</v>
      </c>
      <c r="G16" s="127">
        <f>SUMIFS('3)Target &amp; Cal_Sect'!G$4:G$60,'3)Target &amp; Cal_Sect'!$B$4:$B$60,'3)Target &amp; Cal_Dept'!$B16,'3)Target &amp; Cal_Sect'!$A$4:$A$60,'3)Target &amp; Cal_Dept'!$C16)</f>
        <v>6278</v>
      </c>
      <c r="H16" s="127">
        <f>SUMIFS('3)Target &amp; Cal_Sect'!H$4:H$60,'3)Target &amp; Cal_Sect'!$B$4:$B$60,'3)Target &amp; Cal_Dept'!$B16,'3)Target &amp; Cal_Sect'!$A$4:$A$60,'3)Target &amp; Cal_Dept'!$C16)</f>
        <v>8255</v>
      </c>
      <c r="I16" s="127">
        <f>SUMIFS('3)Target &amp; Cal_Sect'!I$4:I$60,'3)Target &amp; Cal_Sect'!$B$4:$B$60,'3)Target &amp; Cal_Dept'!$B16,'3)Target &amp; Cal_Sect'!$A$4:$A$60,'3)Target &amp; Cal_Dept'!$C16)</f>
        <v>7318.8</v>
      </c>
      <c r="J16" s="127">
        <f>SUMIFS('3)Target &amp; Cal_Sect'!J$4:J$60,'3)Target &amp; Cal_Sect'!$B$4:$B$60,'3)Target &amp; Cal_Dept'!$B16,'3)Target &amp; Cal_Sect'!$A$4:$A$60,'3)Target &amp; Cal_Dept'!$C16)</f>
        <v>11280.916666666601</v>
      </c>
      <c r="K16" s="127">
        <f>SUMIFS('3)Target &amp; Cal_Sect'!K$4:K$60,'3)Target &amp; Cal_Sect'!$B$4:$B$60,'3)Target &amp; Cal_Dept'!$B16,'3)Target &amp; Cal_Sect'!$A$4:$A$60,'3)Target &amp; Cal_Dept'!$C16)</f>
        <v>6321.3166666666693</v>
      </c>
      <c r="L16" s="127">
        <f>SUMIFS('3)Target &amp; Cal_Sect'!L$4:L$60,'3)Target &amp; Cal_Sect'!$B$4:$B$60,'3)Target &amp; Cal_Dept'!$B16,'3)Target &amp; Cal_Sect'!$A$4:$A$60,'3)Target &amp; Cal_Dept'!$C16)</f>
        <v>6437.4</v>
      </c>
      <c r="M16" s="127">
        <f>SUMIFS('3)Target &amp; Cal_Sect'!M$4:M$60,'3)Target &amp; Cal_Sect'!$B$4:$B$60,'3)Target &amp; Cal_Dept'!$B16,'3)Target &amp; Cal_Sect'!$A$4:$A$60,'3)Target &amp; Cal_Dept'!$C16)</f>
        <v>12477.316666666598</v>
      </c>
      <c r="N16" s="127">
        <f>SUMIFS('3)Target &amp; Cal_Sect'!N$4:N$60,'3)Target &amp; Cal_Sect'!$B$4:$B$60,'3)Target &amp; Cal_Dept'!$B16,'3)Target &amp; Cal_Sect'!$A$4:$A$60,'3)Target &amp; Cal_Dept'!$C16)</f>
        <v>8504.7999999999993</v>
      </c>
      <c r="O16" s="127">
        <f>SUMIFS('3)Target &amp; Cal_Sect'!O$4:O$60,'3)Target &amp; Cal_Sect'!$B$4:$B$60,'3)Target &amp; Cal_Dept'!$B16,'3)Target &amp; Cal_Sect'!$A$4:$A$60,'3)Target &amp; Cal_Dept'!$C16)</f>
        <v>10317</v>
      </c>
      <c r="P16" s="127">
        <f>SUMIFS('3)Target &amp; Cal_Sect'!P$4:P$60,'3)Target &amp; Cal_Sect'!$B$4:$B$60,'3)Target &amp; Cal_Dept'!$B16,'3)Target &amp; Cal_Sect'!$A$4:$A$60,'3)Target &amp; Cal_Dept'!$C16)</f>
        <v>9202.8599999999988</v>
      </c>
      <c r="Q16" s="127">
        <f>SUMIFS('3)Target &amp; Cal_Sect'!Q$4:Q$60,'3)Target &amp; Cal_Sect'!$B$4:$B$60,'3)Target &amp; Cal_Dept'!$B16,'3)Target &amp; Cal_Sect'!$A$4:$A$60,'3)Target &amp; Cal_Dept'!$C16)</f>
        <v>0</v>
      </c>
      <c r="R16" s="127">
        <f>SUMIFS('3)Target &amp; Cal_Sect'!R$4:R$60,'3)Target &amp; Cal_Sect'!$B$4:$B$60,'3)Target &amp; Cal_Dept'!$B16,'3)Target &amp; Cal_Sect'!$A$4:$A$60,'3)Target &amp; Cal_Dept'!$C16)</f>
        <v>0</v>
      </c>
      <c r="S16" s="127">
        <f>SUMIFS('3)Target &amp; Cal_Sect'!S$4:S$60,'3)Target &amp; Cal_Sect'!$B$4:$B$60,'3)Target &amp; Cal_Dept'!$B16,'3)Target &amp; Cal_Sect'!$A$4:$A$60,'3)Target &amp; Cal_Dept'!$C16)</f>
        <v>0</v>
      </c>
      <c r="T16" s="127">
        <f>SUMIFS('3)Target &amp; Cal_Sect'!T$4:T$60,'3)Target &amp; Cal_Sect'!$B$4:$B$60,'3)Target &amp; Cal_Dept'!$B16,'3)Target &amp; Cal_Sect'!$A$4:$A$60,'3)Target &amp; Cal_Dept'!$C16)</f>
        <v>0</v>
      </c>
      <c r="U16" s="127">
        <f>SUMIFS('3)Target &amp; Cal_Sect'!U$4:U$60,'3)Target &amp; Cal_Sect'!$B$4:$B$60,'3)Target &amp; Cal_Dept'!$B16,'3)Target &amp; Cal_Sect'!$A$4:$A$60,'3)Target &amp; Cal_Dept'!$C16)</f>
        <v>0</v>
      </c>
      <c r="V16" s="127">
        <f>SUMIFS('3)Target &amp; Cal_Sect'!V$4:V$60,'3)Target &amp; Cal_Sect'!$B$4:$B$60,'3)Target &amp; Cal_Dept'!$B16,'3)Target &amp; Cal_Sect'!$A$4:$A$60,'3)Target &amp; Cal_Dept'!$C16)</f>
        <v>0</v>
      </c>
      <c r="W16" s="127">
        <f>SUMIFS('3)Target &amp; Cal_Sect'!W$4:W$60,'3)Target &amp; Cal_Sect'!$B$4:$B$60,'3)Target &amp; Cal_Dept'!$B16,'3)Target &amp; Cal_Sect'!$A$4:$A$60,'3)Target &amp; Cal_Dept'!$C16)</f>
        <v>0</v>
      </c>
      <c r="X16" s="127">
        <f>SUMIFS('3)Target &amp; Cal_Sect'!X$4:X$60,'3)Target &amp; Cal_Sect'!$B$4:$B$60,'3)Target &amp; Cal_Dept'!$B16,'3)Target &amp; Cal_Sect'!$A$4:$A$60,'3)Target &amp; Cal_Dept'!$C16)</f>
        <v>0</v>
      </c>
      <c r="Y16" s="127">
        <f>SUMIFS('3)Target &amp; Cal_Sect'!Y$4:Y$60,'3)Target &amp; Cal_Sect'!$B$4:$B$60,'3)Target &amp; Cal_Dept'!$B16,'3)Target &amp; Cal_Sect'!$A$4:$A$60,'3)Target &amp; Cal_Dept'!$C16)</f>
        <v>0</v>
      </c>
      <c r="Z16" s="127">
        <f>SUMIFS('3)Target &amp; Cal_Sect'!Z$4:Z$60,'3)Target &amp; Cal_Sect'!$B$4:$B$60,'3)Target &amp; Cal_Dept'!$B16,'3)Target &amp; Cal_Sect'!$A$4:$A$60,'3)Target &amp; Cal_Dept'!$C16)</f>
        <v>0</v>
      </c>
      <c r="AA16" s="127">
        <f>SUMIFS('3)Target &amp; Cal_Sect'!AA$4:AA$60,'3)Target &amp; Cal_Sect'!$B$4:$B$60,'3)Target &amp; Cal_Dept'!$B16,'3)Target &amp; Cal_Sect'!$A$4:$A$60,'3)Target &amp; Cal_Dept'!$C16)</f>
        <v>0</v>
      </c>
      <c r="AB16" s="132">
        <f>IFERROR(IF(VLOOKUP($B16,Shortage!$A:$M,AB$2,FALSE)="Shortage",1,IFERROR(ROUND(P16/D16,4),0)),IFERROR(ROUND(P16/D16,4),0))</f>
        <v>1.2541</v>
      </c>
      <c r="AC16" s="132">
        <f>IFERROR(IF(VLOOKUP($B16,Shortage!$A:$M,AC$2,FALSE)="Shortage",1,IFERROR(ROUND(Q16/E16,4),0)),IFERROR(ROUND(Q16/E16,4),0))</f>
        <v>0</v>
      </c>
      <c r="AD16" s="132">
        <f>IFERROR(IF(VLOOKUP($B16,Shortage!$A:$M,AD$2,FALSE)="Shortage",1,IFERROR(ROUND(R16/F16,4),0)),IFERROR(ROUND(R16/F16,4),0))</f>
        <v>0</v>
      </c>
      <c r="AE16" s="132">
        <f>IFERROR(IF(VLOOKUP($B16,Shortage!$A:$M,AE$2,FALSE)="Shortage",1,IFERROR(ROUND(S16/G16,4),0)),IFERROR(ROUND(S16/G16,4),0))</f>
        <v>0</v>
      </c>
      <c r="AF16" s="132">
        <f>IFERROR(IF(VLOOKUP($B16,Shortage!$A:$M,AF$2,FALSE)="Shortage",1,IFERROR(ROUND(T16/H16,4),0)),IFERROR(ROUND(T16/H16,4),0))</f>
        <v>0</v>
      </c>
      <c r="AG16" s="132">
        <f>IFERROR(IF(VLOOKUP($B16,Shortage!$A:$M,AG$2,FALSE)="Shortage",1,IFERROR(ROUND(U16/I16,4),0)),IFERROR(ROUND(U16/I16,4),0))</f>
        <v>0</v>
      </c>
      <c r="AH16" s="132">
        <f>IFERROR(IF(VLOOKUP($B16,Shortage!$A:$M,AH$2,FALSE)="Shortage",1,IFERROR(ROUND(V16/J16,4),0)),IFERROR(ROUND(V16/J16,4),0))</f>
        <v>0</v>
      </c>
      <c r="AI16" s="132">
        <f>IFERROR(IF(VLOOKUP($B16,Shortage!$A:$M,AI$2,FALSE)="Shortage",1,IFERROR(ROUND(W16/K16,4),0)),IFERROR(ROUND(W16/K16,4),0))</f>
        <v>0</v>
      </c>
      <c r="AJ16" s="132">
        <f>IFERROR(IF(VLOOKUP($B16,Shortage!$A:$M,AJ$2,FALSE)="Shortage",1,IFERROR(ROUND(X16/L16,4),0)),IFERROR(ROUND(X16/L16,4),0))</f>
        <v>0</v>
      </c>
      <c r="AK16" s="132">
        <f>IFERROR(IF(VLOOKUP($B16,Shortage!$A:$M,AK$2,FALSE)="Shortage",1,IFERROR(ROUND(Y16/M16,4),0)),IFERROR(ROUND(Y16/M16,4),0))</f>
        <v>0</v>
      </c>
      <c r="AL16" s="132">
        <f>IFERROR(IF(VLOOKUP($B16,Shortage!$A:$M,AL$2,FALSE)="Shortage",1,IFERROR(ROUND(Z16/N16,4),0)),IFERROR(ROUND(Z16/N16,4),0))</f>
        <v>0</v>
      </c>
      <c r="AM16" s="132">
        <f>IFERROR(IF(VLOOKUP($B16,Shortage!$A:$M,AM$2,FALSE)="Shortage",1,IFERROR(ROUND(AA16/O16,4),0)),IFERROR(ROUND(AA16/O16,4),0))</f>
        <v>0</v>
      </c>
      <c r="AN16" s="186">
        <f>IFERROR(_xlfn.XLOOKUP(AB16,'2) หลักการคำนวน Table'!$C$3:$K$3,'2) หลักการคำนวน Table'!$C$3:$K$3,,1),INDEX('2) หลักการคำนวน Table'!$C$3:$K$3,1))</f>
        <v>20</v>
      </c>
      <c r="AO16" s="186">
        <f>IFERROR(
  _xlfn.XLOOKUP(AC16,'2) หลักการคำนวน Table'!$C$3:$K$3,'2) หลักการคำนวน Table'!$C$3:$K$3,,1),
  IF(AC16&lt;MIN('2) หลักการคำนวน Table'!$C$3:$K$3),
     MIN('2) หลักการคำนวน Table'!$C$3:$K$3),
     MAX('2) หลักการคำนวน Table'!$C$3:$K$3)
  )
)</f>
        <v>0.9</v>
      </c>
      <c r="AP16" s="186">
        <f>IFERROR(
  _xlfn.XLOOKUP(AD16,'2) หลักการคำนวน Table'!$C$3:$K$3,'2) หลักการคำนวน Table'!$C$3:$K$3,,1),
  IF(AD16&lt;MIN('2) หลักการคำนวน Table'!$C$3:$K$3),
     MIN('2) หลักการคำนวน Table'!$C$3:$K$3),
     MAX('2) หลักการคำนวน Table'!$C$3:$K$3)
  )
)</f>
        <v>0.9</v>
      </c>
      <c r="AQ16" s="186">
        <f>IFERROR(
  _xlfn.XLOOKUP(AE16,'2) หลักการคำนวน Table'!$C$3:$K$3,'2) หลักการคำนวน Table'!$C$3:$K$3,,1),
  IF(AE16&lt;MIN('2) หลักการคำนวน Table'!$C$3:$K$3),
     MIN('2) หลักการคำนวน Table'!$C$3:$K$3),
     MAX('2) หลักการคำนวน Table'!$C$3:$K$3)
  )
)</f>
        <v>0.9</v>
      </c>
      <c r="AR16" s="186">
        <f>IFERROR(
  _xlfn.XLOOKUP(AF16,'2) หลักการคำนวน Table'!$C$3:$K$3,'2) หลักการคำนวน Table'!$C$3:$K$3,,1),
  IF(AF16&lt;MIN('2) หลักการคำนวน Table'!$C$3:$K$3),
     MIN('2) หลักการคำนวน Table'!$C$3:$K$3),
     MAX('2) หลักการคำนวน Table'!$C$3:$K$3)
  )
)</f>
        <v>0.9</v>
      </c>
      <c r="AS16" s="186">
        <f>IFERROR(
  _xlfn.XLOOKUP(AG16,'2) หลักการคำนวน Table'!$C$3:$K$3,'2) หลักการคำนวน Table'!$C$3:$K$3,,1),
  IF(AG16&lt;MIN('2) หลักการคำนวน Table'!$C$3:$K$3),
     MIN('2) หลักการคำนวน Table'!$C$3:$K$3),
     MAX('2) หลักการคำนวน Table'!$C$3:$K$3)
  )
)</f>
        <v>0.9</v>
      </c>
      <c r="AT16" s="186">
        <f>IFERROR(
  _xlfn.XLOOKUP(AH16,'2) หลักการคำนวน Table'!$C$3:$K$3,'2) หลักการคำนวน Table'!$C$3:$K$3,,1),
  IF(AH16&lt;MIN('2) หลักการคำนวน Table'!$C$3:$K$3),
     MIN('2) หลักการคำนวน Table'!$C$3:$K$3),
     MAX('2) หลักการคำนวน Table'!$C$3:$K$3)
  )
)</f>
        <v>0.9</v>
      </c>
      <c r="AU16" s="186">
        <f>IFERROR(
  _xlfn.XLOOKUP(AI16,'2) หลักการคำนวน Table'!$C$3:$K$3,'2) หลักการคำนวน Table'!$C$3:$K$3,,1),
  IF(AI16&lt;MIN('2) หลักการคำนวน Table'!$C$3:$K$3),
     MIN('2) หลักการคำนวน Table'!$C$3:$K$3),
     MAX('2) หลักการคำนวน Table'!$C$3:$K$3)
  )
)</f>
        <v>0.9</v>
      </c>
      <c r="AV16" s="186">
        <f>IFERROR(
  _xlfn.XLOOKUP(AJ16,'2) หลักการคำนวน Table'!$C$3:$K$3,'2) หลักการคำนวน Table'!$C$3:$K$3,,1),
  IF(AJ16&lt;MIN('2) หลักการคำนวน Table'!$C$3:$K$3),
     MIN('2) หลักการคำนวน Table'!$C$3:$K$3),
     MAX('2) หลักการคำนวน Table'!$C$3:$K$3)
  )
)</f>
        <v>0.9</v>
      </c>
      <c r="AW16" s="186">
        <f>IFERROR(
  _xlfn.XLOOKUP(AK16,'2) หลักการคำนวน Table'!$C$3:$K$3,'2) หลักการคำนวน Table'!$C$3:$K$3,,1),
  IF(AK16&lt;MIN('2) หลักการคำนวน Table'!$C$3:$K$3),
     MIN('2) หลักการคำนวน Table'!$C$3:$K$3),
     MAX('2) หลักการคำนวน Table'!$C$3:$K$3)
  )
)</f>
        <v>0.9</v>
      </c>
      <c r="AX16" s="186">
        <f>IFERROR(
  _xlfn.XLOOKUP(AL16,'2) หลักการคำนวน Table'!$C$3:$K$3,'2) หลักการคำนวน Table'!$C$3:$K$3,,1),
  IF(AL16&lt;MIN('2) หลักการคำนวน Table'!$C$3:$K$3),
     MIN('2) หลักการคำนวน Table'!$C$3:$K$3),
     MAX('2) หลักการคำนวน Table'!$C$3:$K$3)
  )
)</f>
        <v>0.9</v>
      </c>
      <c r="AY16" s="186">
        <f>IFERROR(
  _xlfn.XLOOKUP(AM16,'2) หลักการคำนวน Table'!$C$3:$K$3,'2) หลักการคำนวน Table'!$C$3:$K$3,,1),
  IF(AM16&lt;MIN('2) หลักการคำนวน Table'!$C$3:$K$3),
     MIN('2) หลักการคำนวน Table'!$C$3:$K$3),
     MAX('2) หลักการคำนวน Table'!$C$3:$K$3)
  )
)</f>
        <v>0.9</v>
      </c>
      <c r="AZ16" s="135" t="e" cm="1">
        <f t="array" ref="AZ16">ROUND((_xlfn.XLOOKUP($C16,'2) หลักการคำนวน Table'!$A$4:$A$36,
_xlfn.XLOOKUP(AN16,'2)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A16" s="135" t="e" cm="1">
        <f t="array" ref="BA16">ROUND((_xlfn.XLOOKUP($C16,'2) หลักการคำนวน Table'!$A$4:$A$36,
_xlfn.XLOOKUP(AO16,'2)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B16" s="135" t="e" cm="1">
        <f t="array" ref="BB16">ROUND((_xlfn.XLOOKUP($C16,'2) หลักการคำนวน Table'!$A$4:$A$36,
_xlfn.XLOOKUP(AP16,'2)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C16" s="135" t="e" cm="1">
        <f t="array" ref="BC16">ROUND((_xlfn.XLOOKUP($C16,'2) หลักการคำนวน Table'!$A$4:$A$36,
_xlfn.XLOOKUP(AQ16,'2)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D16" s="135" t="e" cm="1">
        <f t="array" ref="BD16">ROUND((_xlfn.XLOOKUP($C16,'2) หลักการคำนวน Table'!$A$4:$A$36,
_xlfn.XLOOKUP(AR16,'2)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E16" s="135" t="e" cm="1">
        <f t="array" ref="BE16">ROUND((_xlfn.XLOOKUP($C16,'2) หลักการคำนวน Table'!$A$4:$A$36,
_xlfn.XLOOKUP(AS16,'2)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F16" s="135" t="e" cm="1">
        <f t="array" ref="BF16">ROUND((_xlfn.XLOOKUP($C16,'2) หลักการคำนวน Table'!$A$4:$A$36,
_xlfn.XLOOKUP(AT16,'2)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G16" s="135" t="e" cm="1">
        <f t="array" ref="BG16">ROUND((_xlfn.XLOOKUP($C16,'2) หลักการคำนวน Table'!$A$4:$A$36,
_xlfn.XLOOKUP(AU16,'2)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H16" s="135" t="e" cm="1">
        <f t="array" ref="BH16">ROUND((_xlfn.XLOOKUP($C16,'2) หลักการคำนวน Table'!$A$4:$A$36,
_xlfn.XLOOKUP(AV16,'2)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I16" s="135" t="e" cm="1">
        <f t="array" ref="BI16">ROUND((_xlfn.XLOOKUP($C16,'2) หลักการคำนวน Table'!$A$4:$A$36,
_xlfn.XLOOKUP(AW16,'2)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J16" s="135" t="e" cm="1">
        <f t="array" ref="BJ16">ROUND((_xlfn.XLOOKUP($C16,'2) หลักการคำนวน Table'!$A$4:$A$36,
_xlfn.XLOOKUP(AX16,'2)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K16" s="135" t="e" cm="1">
        <f t="array" ref="BK16">ROUND((_xlfn.XLOOKUP($C16,'2) หลักการคำนวน Table'!$A$4:$A$36,
_xlfn.XLOOKUP(AY16,'2)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L16" s="239"/>
      <c r="BM16" s="126">
        <v>222234</v>
      </c>
      <c r="BN16" s="245">
        <v>24</v>
      </c>
    </row>
    <row r="17" spans="1:66" ht="13.2" customHeight="1" x14ac:dyDescent="0.25">
      <c r="A17" s="128">
        <f>VLOOKUP(C17,ASTBase!F:S,12,FALSE)</f>
        <v>222222</v>
      </c>
      <c r="B17" s="126" t="s">
        <v>417</v>
      </c>
      <c r="C17" s="128">
        <v>222234</v>
      </c>
      <c r="D17" s="127">
        <f>SUMIFS('3)Target &amp; Cal_Sect'!D$4:D$60,'3)Target &amp; Cal_Sect'!$B$4:$B$60,'3)Target &amp; Cal_Dept'!$B17,'3)Target &amp; Cal_Sect'!$A$4:$A$60,'3)Target &amp; Cal_Dept'!$C17)</f>
        <v>360</v>
      </c>
      <c r="E17" s="127">
        <f>SUMIFS('3)Target &amp; Cal_Sect'!E$4:E$60,'3)Target &amp; Cal_Sect'!$B$4:$B$60,'3)Target &amp; Cal_Dept'!$B17,'3)Target &amp; Cal_Sect'!$A$4:$A$60,'3)Target &amp; Cal_Dept'!$C17)</f>
        <v>68</v>
      </c>
      <c r="F17" s="127">
        <f>SUMIFS('3)Target &amp; Cal_Sect'!F$4:F$60,'3)Target &amp; Cal_Sect'!$B$4:$B$60,'3)Target &amp; Cal_Dept'!$B17,'3)Target &amp; Cal_Sect'!$A$4:$A$60,'3)Target &amp; Cal_Dept'!$C17)</f>
        <v>120</v>
      </c>
      <c r="G17" s="127">
        <f>SUMIFS('3)Target &amp; Cal_Sect'!G$4:G$60,'3)Target &amp; Cal_Sect'!$B$4:$B$60,'3)Target &amp; Cal_Dept'!$B17,'3)Target &amp; Cal_Sect'!$A$4:$A$60,'3)Target &amp; Cal_Dept'!$C17)</f>
        <v>118</v>
      </c>
      <c r="H17" s="127">
        <f>SUMIFS('3)Target &amp; Cal_Sect'!H$4:H$60,'3)Target &amp; Cal_Sect'!$B$4:$B$60,'3)Target &amp; Cal_Dept'!$B17,'3)Target &amp; Cal_Sect'!$A$4:$A$60,'3)Target &amp; Cal_Dept'!$C17)</f>
        <v>120</v>
      </c>
      <c r="I17" s="127">
        <f>SUMIFS('3)Target &amp; Cal_Sect'!I$4:I$60,'3)Target &amp; Cal_Sect'!$B$4:$B$60,'3)Target &amp; Cal_Dept'!$B17,'3)Target &amp; Cal_Sect'!$A$4:$A$60,'3)Target &amp; Cal_Dept'!$C17)</f>
        <v>125</v>
      </c>
      <c r="J17" s="127">
        <f>SUMIFS('3)Target &amp; Cal_Sect'!J$4:J$60,'3)Target &amp; Cal_Sect'!$B$4:$B$60,'3)Target &amp; Cal_Dept'!$B17,'3)Target &amp; Cal_Sect'!$A$4:$A$60,'3)Target &amp; Cal_Dept'!$C17)</f>
        <v>125</v>
      </c>
      <c r="K17" s="127">
        <f>SUMIFS('3)Target &amp; Cal_Sect'!K$4:K$60,'3)Target &amp; Cal_Sect'!$B$4:$B$60,'3)Target &amp; Cal_Dept'!$B17,'3)Target &amp; Cal_Sect'!$A$4:$A$60,'3)Target &amp; Cal_Dept'!$C17)</f>
        <v>118</v>
      </c>
      <c r="L17" s="127">
        <f>SUMIFS('3)Target &amp; Cal_Sect'!L$4:L$60,'3)Target &amp; Cal_Sect'!$B$4:$B$60,'3)Target &amp; Cal_Dept'!$B17,'3)Target &amp; Cal_Sect'!$A$4:$A$60,'3)Target &amp; Cal_Dept'!$C17)</f>
        <v>120</v>
      </c>
      <c r="M17" s="127">
        <f>SUMIFS('3)Target &amp; Cal_Sect'!M$4:M$60,'3)Target &amp; Cal_Sect'!$B$4:$B$60,'3)Target &amp; Cal_Dept'!$B17,'3)Target &amp; Cal_Sect'!$A$4:$A$60,'3)Target &amp; Cal_Dept'!$C17)</f>
        <v>120</v>
      </c>
      <c r="N17" s="127">
        <f>SUMIFS('3)Target &amp; Cal_Sect'!N$4:N$60,'3)Target &amp; Cal_Sect'!$B$4:$B$60,'3)Target &amp; Cal_Dept'!$B17,'3)Target &amp; Cal_Sect'!$A$4:$A$60,'3)Target &amp; Cal_Dept'!$C17)</f>
        <v>120</v>
      </c>
      <c r="O17" s="127">
        <f>SUMIFS('3)Target &amp; Cal_Sect'!O$4:O$60,'3)Target &amp; Cal_Sect'!$B$4:$B$60,'3)Target &amp; Cal_Dept'!$B17,'3)Target &amp; Cal_Sect'!$A$4:$A$60,'3)Target &amp; Cal_Dept'!$C17)</f>
        <v>125</v>
      </c>
      <c r="P17" s="127">
        <f>SUMIFS('3)Target &amp; Cal_Sect'!P$4:P$60,'3)Target &amp; Cal_Sect'!$B$4:$B$60,'3)Target &amp; Cal_Dept'!$B17,'3)Target &amp; Cal_Sect'!$A$4:$A$60,'3)Target &amp; Cal_Dept'!$C17)</f>
        <v>273.99999998402399</v>
      </c>
      <c r="Q17" s="127">
        <f>SUMIFS('3)Target &amp; Cal_Sect'!Q$4:Q$60,'3)Target &amp; Cal_Sect'!$B$4:$B$60,'3)Target &amp; Cal_Dept'!$B17,'3)Target &amp; Cal_Sect'!$A$4:$A$60,'3)Target &amp; Cal_Dept'!$C17)</f>
        <v>0</v>
      </c>
      <c r="R17" s="127">
        <f>SUMIFS('3)Target &amp; Cal_Sect'!R$4:R$60,'3)Target &amp; Cal_Sect'!$B$4:$B$60,'3)Target &amp; Cal_Dept'!$B17,'3)Target &amp; Cal_Sect'!$A$4:$A$60,'3)Target &amp; Cal_Dept'!$C17)</f>
        <v>0</v>
      </c>
      <c r="S17" s="127">
        <f>SUMIFS('3)Target &amp; Cal_Sect'!S$4:S$60,'3)Target &amp; Cal_Sect'!$B$4:$B$60,'3)Target &amp; Cal_Dept'!$B17,'3)Target &amp; Cal_Sect'!$A$4:$A$60,'3)Target &amp; Cal_Dept'!$C17)</f>
        <v>0</v>
      </c>
      <c r="T17" s="127">
        <f>SUMIFS('3)Target &amp; Cal_Sect'!T$4:T$60,'3)Target &amp; Cal_Sect'!$B$4:$B$60,'3)Target &amp; Cal_Dept'!$B17,'3)Target &amp; Cal_Sect'!$A$4:$A$60,'3)Target &amp; Cal_Dept'!$C17)</f>
        <v>0</v>
      </c>
      <c r="U17" s="127">
        <f>SUMIFS('3)Target &amp; Cal_Sect'!U$4:U$60,'3)Target &amp; Cal_Sect'!$B$4:$B$60,'3)Target &amp; Cal_Dept'!$B17,'3)Target &amp; Cal_Sect'!$A$4:$A$60,'3)Target &amp; Cal_Dept'!$C17)</f>
        <v>0</v>
      </c>
      <c r="V17" s="127">
        <f>SUMIFS('3)Target &amp; Cal_Sect'!V$4:V$60,'3)Target &amp; Cal_Sect'!$B$4:$B$60,'3)Target &amp; Cal_Dept'!$B17,'3)Target &amp; Cal_Sect'!$A$4:$A$60,'3)Target &amp; Cal_Dept'!$C17)</f>
        <v>0</v>
      </c>
      <c r="W17" s="127">
        <f>SUMIFS('3)Target &amp; Cal_Sect'!W$4:W$60,'3)Target &amp; Cal_Sect'!$B$4:$B$60,'3)Target &amp; Cal_Dept'!$B17,'3)Target &amp; Cal_Sect'!$A$4:$A$60,'3)Target &amp; Cal_Dept'!$C17)</f>
        <v>0</v>
      </c>
      <c r="X17" s="127">
        <f>SUMIFS('3)Target &amp; Cal_Sect'!X$4:X$60,'3)Target &amp; Cal_Sect'!$B$4:$B$60,'3)Target &amp; Cal_Dept'!$B17,'3)Target &amp; Cal_Sect'!$A$4:$A$60,'3)Target &amp; Cal_Dept'!$C17)</f>
        <v>0</v>
      </c>
      <c r="Y17" s="127">
        <f>SUMIFS('3)Target &amp; Cal_Sect'!Y$4:Y$60,'3)Target &amp; Cal_Sect'!$B$4:$B$60,'3)Target &amp; Cal_Dept'!$B17,'3)Target &amp; Cal_Sect'!$A$4:$A$60,'3)Target &amp; Cal_Dept'!$C17)</f>
        <v>0</v>
      </c>
      <c r="Z17" s="127">
        <f>SUMIFS('3)Target &amp; Cal_Sect'!Z$4:Z$60,'3)Target &amp; Cal_Sect'!$B$4:$B$60,'3)Target &amp; Cal_Dept'!$B17,'3)Target &amp; Cal_Sect'!$A$4:$A$60,'3)Target &amp; Cal_Dept'!$C17)</f>
        <v>0</v>
      </c>
      <c r="AA17" s="127">
        <f>SUMIFS('3)Target &amp; Cal_Sect'!AA$4:AA$60,'3)Target &amp; Cal_Sect'!$B$4:$B$60,'3)Target &amp; Cal_Dept'!$B17,'3)Target &amp; Cal_Sect'!$A$4:$A$60,'3)Target &amp; Cal_Dept'!$C17)</f>
        <v>0</v>
      </c>
      <c r="AB17" s="132">
        <f>IFERROR(IF(VLOOKUP($B17,Shortage!$A:$M,AB$2,FALSE)="Shortage",1,IFERROR(ROUND(P17/D17,4),0)),IFERROR(ROUND(P17/D17,4),0))</f>
        <v>0.7611</v>
      </c>
      <c r="AC17" s="132">
        <f>IFERROR(IF(VLOOKUP($B17,Shortage!$A:$M,AC$2,FALSE)="Shortage",1,IFERROR(ROUND(Q17/E17,4),0)),IFERROR(ROUND(Q17/E17,4),0))</f>
        <v>0</v>
      </c>
      <c r="AD17" s="132">
        <f>IFERROR(IF(VLOOKUP($B17,Shortage!$A:$M,AD$2,FALSE)="Shortage",1,IFERROR(ROUND(R17/F17,4),0)),IFERROR(ROUND(R17/F17,4),0))</f>
        <v>0</v>
      </c>
      <c r="AE17" s="132">
        <f>IFERROR(IF(VLOOKUP($B17,Shortage!$A:$M,AE$2,FALSE)="Shortage",1,IFERROR(ROUND(S17/G17,4),0)),IFERROR(ROUND(S17/G17,4),0))</f>
        <v>0</v>
      </c>
      <c r="AF17" s="132">
        <f>IFERROR(IF(VLOOKUP($B17,Shortage!$A:$M,AF$2,FALSE)="Shortage",1,IFERROR(ROUND(T17/H17,4),0)),IFERROR(ROUND(T17/H17,4),0))</f>
        <v>0</v>
      </c>
      <c r="AG17" s="132">
        <f>IFERROR(IF(VLOOKUP($B17,Shortage!$A:$M,AG$2,FALSE)="Shortage",1,IFERROR(ROUND(U17/I17,4),0)),IFERROR(ROUND(U17/I17,4),0))</f>
        <v>0</v>
      </c>
      <c r="AH17" s="132">
        <f>IFERROR(IF(VLOOKUP($B17,Shortage!$A:$M,AH$2,FALSE)="Shortage",1,IFERROR(ROUND(V17/J17,4),0)),IFERROR(ROUND(V17/J17,4),0))</f>
        <v>0</v>
      </c>
      <c r="AI17" s="132">
        <f>IFERROR(IF(VLOOKUP($B17,Shortage!$A:$M,AI$2,FALSE)="Shortage",1,IFERROR(ROUND(W17/K17,4),0)),IFERROR(ROUND(W17/K17,4),0))</f>
        <v>0</v>
      </c>
      <c r="AJ17" s="132">
        <f>IFERROR(IF(VLOOKUP($B17,Shortage!$A:$M,AJ$2,FALSE)="Shortage",1,IFERROR(ROUND(X17/L17,4),0)),IFERROR(ROUND(X17/L17,4),0))</f>
        <v>0</v>
      </c>
      <c r="AK17" s="132">
        <f>IFERROR(IF(VLOOKUP($B17,Shortage!$A:$M,AK$2,FALSE)="Shortage",1,IFERROR(ROUND(Y17/M17,4),0)),IFERROR(ROUND(Y17/M17,4),0))</f>
        <v>0</v>
      </c>
      <c r="AL17" s="132">
        <f>IFERROR(IF(VLOOKUP($B17,Shortage!$A:$M,AL$2,FALSE)="Shortage",1,IFERROR(ROUND(Z17/N17,4),0)),IFERROR(ROUND(Z17/N17,4),0))</f>
        <v>0</v>
      </c>
      <c r="AM17" s="132">
        <f>IFERROR(IF(VLOOKUP($B17,Shortage!$A:$M,AM$2,FALSE)="Shortage",1,IFERROR(ROUND(AA17/O17,4),0)),IFERROR(ROUND(AA17/O17,4),0))</f>
        <v>0</v>
      </c>
      <c r="AN17" s="186">
        <f>IFERROR(_xlfn.XLOOKUP(AB17,'2) หลักการคำนวน Table'!$C$3:$K$3,'2) หลักการคำนวน Table'!$C$3:$K$3,,1),INDEX('2) หลักการคำนวน Table'!$C$3:$K$3,1))</f>
        <v>0.9</v>
      </c>
      <c r="AO17" s="186">
        <f>IFERROR(
  _xlfn.XLOOKUP(AC17,'2) หลักการคำนวน Table'!$C$3:$K$3,'2) หลักการคำนวน Table'!$C$3:$K$3,,1),
  IF(AC17&lt;MIN('2) หลักการคำนวน Table'!$C$3:$K$3),
     MIN('2) หลักการคำนวน Table'!$C$3:$K$3),
     MAX('2) หลักการคำนวน Table'!$C$3:$K$3)
  )
)</f>
        <v>0.9</v>
      </c>
      <c r="AP17" s="186">
        <f>IFERROR(
  _xlfn.XLOOKUP(AD17,'2) หลักการคำนวน Table'!$C$3:$K$3,'2) หลักการคำนวน Table'!$C$3:$K$3,,1),
  IF(AD17&lt;MIN('2) หลักการคำนวน Table'!$C$3:$K$3),
     MIN('2) หลักการคำนวน Table'!$C$3:$K$3),
     MAX('2) หลักการคำนวน Table'!$C$3:$K$3)
  )
)</f>
        <v>0.9</v>
      </c>
      <c r="AQ17" s="186">
        <f>IFERROR(
  _xlfn.XLOOKUP(AE17,'2) หลักการคำนวน Table'!$C$3:$K$3,'2) หลักการคำนวน Table'!$C$3:$K$3,,1),
  IF(AE17&lt;MIN('2) หลักการคำนวน Table'!$C$3:$K$3),
     MIN('2) หลักการคำนวน Table'!$C$3:$K$3),
     MAX('2) หลักการคำนวน Table'!$C$3:$K$3)
  )
)</f>
        <v>0.9</v>
      </c>
      <c r="AR17" s="186">
        <f>IFERROR(
  _xlfn.XLOOKUP(AF17,'2) หลักการคำนวน Table'!$C$3:$K$3,'2) หลักการคำนวน Table'!$C$3:$K$3,,1),
  IF(AF17&lt;MIN('2) หลักการคำนวน Table'!$C$3:$K$3),
     MIN('2) หลักการคำนวน Table'!$C$3:$K$3),
     MAX('2) หลักการคำนวน Table'!$C$3:$K$3)
  )
)</f>
        <v>0.9</v>
      </c>
      <c r="AS17" s="186">
        <f>IFERROR(
  _xlfn.XLOOKUP(AG17,'2) หลักการคำนวน Table'!$C$3:$K$3,'2) หลักการคำนวน Table'!$C$3:$K$3,,1),
  IF(AG17&lt;MIN('2) หลักการคำนวน Table'!$C$3:$K$3),
     MIN('2) หลักการคำนวน Table'!$C$3:$K$3),
     MAX('2) หลักการคำนวน Table'!$C$3:$K$3)
  )
)</f>
        <v>0.9</v>
      </c>
      <c r="AT17" s="186">
        <f>IFERROR(
  _xlfn.XLOOKUP(AH17,'2) หลักการคำนวน Table'!$C$3:$K$3,'2) หลักการคำนวน Table'!$C$3:$K$3,,1),
  IF(AH17&lt;MIN('2) หลักการคำนวน Table'!$C$3:$K$3),
     MIN('2) หลักการคำนวน Table'!$C$3:$K$3),
     MAX('2) หลักการคำนวน Table'!$C$3:$K$3)
  )
)</f>
        <v>0.9</v>
      </c>
      <c r="AU17" s="186">
        <f>IFERROR(
  _xlfn.XLOOKUP(AI17,'2) หลักการคำนวน Table'!$C$3:$K$3,'2) หลักการคำนวน Table'!$C$3:$K$3,,1),
  IF(AI17&lt;MIN('2) หลักการคำนวน Table'!$C$3:$K$3),
     MIN('2) หลักการคำนวน Table'!$C$3:$K$3),
     MAX('2) หลักการคำนวน Table'!$C$3:$K$3)
  )
)</f>
        <v>0.9</v>
      </c>
      <c r="AV17" s="186">
        <f>IFERROR(
  _xlfn.XLOOKUP(AJ17,'2) หลักการคำนวน Table'!$C$3:$K$3,'2) หลักการคำนวน Table'!$C$3:$K$3,,1),
  IF(AJ17&lt;MIN('2) หลักการคำนวน Table'!$C$3:$K$3),
     MIN('2) หลักการคำนวน Table'!$C$3:$K$3),
     MAX('2) หลักการคำนวน Table'!$C$3:$K$3)
  )
)</f>
        <v>0.9</v>
      </c>
      <c r="AW17" s="186">
        <f>IFERROR(
  _xlfn.XLOOKUP(AK17,'2) หลักการคำนวน Table'!$C$3:$K$3,'2) หลักการคำนวน Table'!$C$3:$K$3,,1),
  IF(AK17&lt;MIN('2) หลักการคำนวน Table'!$C$3:$K$3),
     MIN('2) หลักการคำนวน Table'!$C$3:$K$3),
     MAX('2) หลักการคำนวน Table'!$C$3:$K$3)
  )
)</f>
        <v>0.9</v>
      </c>
      <c r="AX17" s="186">
        <f>IFERROR(
  _xlfn.XLOOKUP(AL17,'2) หลักการคำนวน Table'!$C$3:$K$3,'2) หลักการคำนวน Table'!$C$3:$K$3,,1),
  IF(AL17&lt;MIN('2) หลักการคำนวน Table'!$C$3:$K$3),
     MIN('2) หลักการคำนวน Table'!$C$3:$K$3),
     MAX('2) หลักการคำนวน Table'!$C$3:$K$3)
  )
)</f>
        <v>0.9</v>
      </c>
      <c r="AY17" s="186">
        <f>IFERROR(
  _xlfn.XLOOKUP(AM17,'2) หลักการคำนวน Table'!$C$3:$K$3,'2) หลักการคำนวน Table'!$C$3:$K$3,,1),
  IF(AM17&lt;MIN('2) หลักการคำนวน Table'!$C$3:$K$3),
     MIN('2) หลักการคำนวน Table'!$C$3:$K$3),
     MAX('2) หลักการคำนวน Table'!$C$3:$K$3)
  )
)</f>
        <v>0.9</v>
      </c>
      <c r="AZ17" s="135" t="e" cm="1">
        <f t="array" ref="AZ17">ROUND((_xlfn.XLOOKUP($C17,'2) หลักการคำนวน Table'!$A$4:$A$36,
_xlfn.XLOOKUP(AN17,'2)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A17" s="135" t="e" cm="1">
        <f t="array" ref="BA17">ROUND((_xlfn.XLOOKUP($C17,'2) หลักการคำนวน Table'!$A$4:$A$36,
_xlfn.XLOOKUP(AO17,'2)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B17" s="135" t="e" cm="1">
        <f t="array" ref="BB17">ROUND((_xlfn.XLOOKUP($C17,'2) หลักการคำนวน Table'!$A$4:$A$36,
_xlfn.XLOOKUP(AP17,'2)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C17" s="135" t="e" cm="1">
        <f t="array" ref="BC17">ROUND((_xlfn.XLOOKUP($C17,'2) หลักการคำนวน Table'!$A$4:$A$36,
_xlfn.XLOOKUP(AQ17,'2)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D17" s="135" t="e" cm="1">
        <f t="array" ref="BD17">ROUND((_xlfn.XLOOKUP($C17,'2) หลักการคำนวน Table'!$A$4:$A$36,
_xlfn.XLOOKUP(AR17,'2)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E17" s="135" t="e" cm="1">
        <f t="array" ref="BE17">ROUND((_xlfn.XLOOKUP($C17,'2) หลักการคำนวน Table'!$A$4:$A$36,
_xlfn.XLOOKUP(AS17,'2)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F17" s="135" t="e" cm="1">
        <f t="array" ref="BF17">ROUND((_xlfn.XLOOKUP($C17,'2) หลักการคำนวน Table'!$A$4:$A$36,
_xlfn.XLOOKUP(AT17,'2)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G17" s="135" t="e" cm="1">
        <f t="array" ref="BG17">ROUND((_xlfn.XLOOKUP($C17,'2) หลักการคำนวน Table'!$A$4:$A$36,
_xlfn.XLOOKUP(AU17,'2)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H17" s="135" t="e" cm="1">
        <f t="array" ref="BH17">ROUND((_xlfn.XLOOKUP($C17,'2) หลักการคำนวน Table'!$A$4:$A$36,
_xlfn.XLOOKUP(AV17,'2)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I17" s="135" t="e" cm="1">
        <f t="array" ref="BI17">ROUND((_xlfn.XLOOKUP($C17,'2) หลักการคำนวน Table'!$A$4:$A$36,
_xlfn.XLOOKUP(AW17,'2)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J17" s="135" t="e" cm="1">
        <f t="array" ref="BJ17">ROUND((_xlfn.XLOOKUP($C17,'2) หลักการคำนวน Table'!$A$4:$A$36,
_xlfn.XLOOKUP(AX17,'2)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K17" s="135" t="e" cm="1">
        <f t="array" ref="BK17">ROUND((_xlfn.XLOOKUP($C17,'2) หลักการคำนวน Table'!$A$4:$A$36,
_xlfn.XLOOKUP(AY17,'2)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L17" s="239"/>
      <c r="BM17" s="126">
        <v>222234</v>
      </c>
      <c r="BN17" s="245">
        <v>1</v>
      </c>
    </row>
    <row r="18" spans="1:66" ht="13.2" customHeight="1" x14ac:dyDescent="0.25">
      <c r="A18" s="128">
        <f>VLOOKUP(C18,ASTBase!F:S,12,FALSE)</f>
        <v>222222</v>
      </c>
      <c r="B18" s="126" t="s">
        <v>419</v>
      </c>
      <c r="C18" s="128">
        <v>222234</v>
      </c>
      <c r="D18" s="127">
        <f>SUMIFS('3)Target &amp; Cal_Sect'!D$4:D$60,'3)Target &amp; Cal_Sect'!$B$4:$B$60,'3)Target &amp; Cal_Dept'!$B18,'3)Target &amp; Cal_Sect'!$A$4:$A$60,'3)Target &amp; Cal_Dept'!$C18)</f>
        <v>56</v>
      </c>
      <c r="E18" s="127">
        <f>SUMIFS('3)Target &amp; Cal_Sect'!E$4:E$60,'3)Target &amp; Cal_Sect'!$B$4:$B$60,'3)Target &amp; Cal_Dept'!$B18,'3)Target &amp; Cal_Sect'!$A$4:$A$60,'3)Target &amp; Cal_Dept'!$C18)</f>
        <v>89</v>
      </c>
      <c r="F18" s="127">
        <f>SUMIFS('3)Target &amp; Cal_Sect'!F$4:F$60,'3)Target &amp; Cal_Sect'!$B$4:$B$60,'3)Target &amp; Cal_Dept'!$B18,'3)Target &amp; Cal_Sect'!$A$4:$A$60,'3)Target &amp; Cal_Dept'!$C18)</f>
        <v>42</v>
      </c>
      <c r="G18" s="127">
        <f>SUMIFS('3)Target &amp; Cal_Sect'!G$4:G$60,'3)Target &amp; Cal_Sect'!$B$4:$B$60,'3)Target &amp; Cal_Dept'!$B18,'3)Target &amp; Cal_Sect'!$A$4:$A$60,'3)Target &amp; Cal_Dept'!$C18)</f>
        <v>93</v>
      </c>
      <c r="H18" s="127">
        <f>SUMIFS('3)Target &amp; Cal_Sect'!H$4:H$60,'3)Target &amp; Cal_Sect'!$B$4:$B$60,'3)Target &amp; Cal_Dept'!$B18,'3)Target &amp; Cal_Sect'!$A$4:$A$60,'3)Target &amp; Cal_Dept'!$C18)</f>
        <v>101</v>
      </c>
      <c r="I18" s="127">
        <f>SUMIFS('3)Target &amp; Cal_Sect'!I$4:I$60,'3)Target &amp; Cal_Sect'!$B$4:$B$60,'3)Target &amp; Cal_Dept'!$B18,'3)Target &amp; Cal_Sect'!$A$4:$A$60,'3)Target &amp; Cal_Dept'!$C18)</f>
        <v>71</v>
      </c>
      <c r="J18" s="127">
        <f>SUMIFS('3)Target &amp; Cal_Sect'!J$4:J$60,'3)Target &amp; Cal_Sect'!$B$4:$B$60,'3)Target &amp; Cal_Dept'!$B18,'3)Target &amp; Cal_Sect'!$A$4:$A$60,'3)Target &amp; Cal_Dept'!$C18)</f>
        <v>52</v>
      </c>
      <c r="K18" s="127">
        <f>SUMIFS('3)Target &amp; Cal_Sect'!K$4:K$60,'3)Target &amp; Cal_Sect'!$B$4:$B$60,'3)Target &amp; Cal_Dept'!$B18,'3)Target &amp; Cal_Sect'!$A$4:$A$60,'3)Target &amp; Cal_Dept'!$C18)</f>
        <v>99</v>
      </c>
      <c r="L18" s="127">
        <v>2083.5839999999989</v>
      </c>
      <c r="M18" s="127">
        <v>2383</v>
      </c>
      <c r="N18" s="127">
        <v>1000</v>
      </c>
      <c r="O18" s="127">
        <v>2500</v>
      </c>
      <c r="P18" s="127">
        <f>SUMIFS('3)Target &amp; Cal_Sect'!P$4:P$60,'3)Target &amp; Cal_Sect'!$B$4:$B$60,'3)Target &amp; Cal_Dept'!$B18,'3)Target &amp; Cal_Sect'!$A$4:$A$60,'3)Target &amp; Cal_Dept'!$C18)</f>
        <v>26</v>
      </c>
      <c r="Q18" s="127">
        <f>SUMIFS('3)Target &amp; Cal_Sect'!Q$4:Q$60,'3)Target &amp; Cal_Sect'!$B$4:$B$60,'3)Target &amp; Cal_Dept'!$B18,'3)Target &amp; Cal_Sect'!$A$4:$A$60,'3)Target &amp; Cal_Dept'!$C18)</f>
        <v>0</v>
      </c>
      <c r="R18" s="127">
        <f>SUMIFS('3)Target &amp; Cal_Sect'!R$4:R$60,'3)Target &amp; Cal_Sect'!$B$4:$B$60,'3)Target &amp; Cal_Dept'!$B18,'3)Target &amp; Cal_Sect'!$A$4:$A$60,'3)Target &amp; Cal_Dept'!$C18)</f>
        <v>0</v>
      </c>
      <c r="S18" s="127">
        <f>SUMIFS('3)Target &amp; Cal_Sect'!S$4:S$60,'3)Target &amp; Cal_Sect'!$B$4:$B$60,'3)Target &amp; Cal_Dept'!$B18,'3)Target &amp; Cal_Sect'!$A$4:$A$60,'3)Target &amp; Cal_Dept'!$C18)</f>
        <v>0</v>
      </c>
      <c r="T18" s="127">
        <f>SUMIFS('3)Target &amp; Cal_Sect'!T$4:T$60,'3)Target &amp; Cal_Sect'!$B$4:$B$60,'3)Target &amp; Cal_Dept'!$B18,'3)Target &amp; Cal_Sect'!$A$4:$A$60,'3)Target &amp; Cal_Dept'!$C18)</f>
        <v>0</v>
      </c>
      <c r="U18" s="127">
        <f>SUMIFS('3)Target &amp; Cal_Sect'!U$4:U$60,'3)Target &amp; Cal_Sect'!$B$4:$B$60,'3)Target &amp; Cal_Dept'!$B18,'3)Target &amp; Cal_Sect'!$A$4:$A$60,'3)Target &amp; Cal_Dept'!$C18)</f>
        <v>0</v>
      </c>
      <c r="V18" s="127">
        <f>SUMIFS('3)Target &amp; Cal_Sect'!V$4:V$60,'3)Target &amp; Cal_Sect'!$B$4:$B$60,'3)Target &amp; Cal_Dept'!$B18,'3)Target &amp; Cal_Sect'!$A$4:$A$60,'3)Target &amp; Cal_Dept'!$C18)</f>
        <v>0</v>
      </c>
      <c r="W18" s="127">
        <f>SUMIFS('3)Target &amp; Cal_Sect'!W$4:W$60,'3)Target &amp; Cal_Sect'!$B$4:$B$60,'3)Target &amp; Cal_Dept'!$B18,'3)Target &amp; Cal_Sect'!$A$4:$A$60,'3)Target &amp; Cal_Dept'!$C18)</f>
        <v>0</v>
      </c>
      <c r="X18" s="127">
        <f>SUMIFS('3)Target &amp; Cal_Sect'!X$4:X$60,'3)Target &amp; Cal_Sect'!$B$4:$B$60,'3)Target &amp; Cal_Dept'!$B18,'3)Target &amp; Cal_Sect'!$A$4:$A$60,'3)Target &amp; Cal_Dept'!$C18)</f>
        <v>0</v>
      </c>
      <c r="Y18" s="127">
        <f>SUMIFS('3)Target &amp; Cal_Sect'!Y$4:Y$60,'3)Target &amp; Cal_Sect'!$B$4:$B$60,'3)Target &amp; Cal_Dept'!$B18,'3)Target &amp; Cal_Sect'!$A$4:$A$60,'3)Target &amp; Cal_Dept'!$C18)</f>
        <v>0</v>
      </c>
      <c r="Z18" s="127">
        <f>SUMIFS('3)Target &amp; Cal_Sect'!Z$4:Z$60,'3)Target &amp; Cal_Sect'!$B$4:$B$60,'3)Target &amp; Cal_Dept'!$B18,'3)Target &amp; Cal_Sect'!$A$4:$A$60,'3)Target &amp; Cal_Dept'!$C18)</f>
        <v>0</v>
      </c>
      <c r="AA18" s="127">
        <f>SUMIFS('3)Target &amp; Cal_Sect'!AA$4:AA$60,'3)Target &amp; Cal_Sect'!$B$4:$B$60,'3)Target &amp; Cal_Dept'!$B18,'3)Target &amp; Cal_Sect'!$A$4:$A$60,'3)Target &amp; Cal_Dept'!$C18)</f>
        <v>0</v>
      </c>
      <c r="AB18" s="132">
        <f>IFERROR(IF(VLOOKUP($B18,Shortage!$A:$M,AB$2,FALSE)="Shortage",1,IFERROR(ROUND(P18/D18,4),0)),IFERROR(ROUND(P18/D18,4),0))</f>
        <v>0.46429999999999999</v>
      </c>
      <c r="AC18" s="132">
        <f>IFERROR(IF(VLOOKUP($B18,Shortage!$A:$M,AC$2,FALSE)="Shortage",1,IFERROR(ROUND(Q18/E18,4),0)),IFERROR(ROUND(Q18/E18,4),0))</f>
        <v>0</v>
      </c>
      <c r="AD18" s="132">
        <f>IFERROR(IF(VLOOKUP($B18,Shortage!$A:$M,AD$2,FALSE)="Shortage",1,IFERROR(ROUND(R18/F18,4),0)),IFERROR(ROUND(R18/F18,4),0))</f>
        <v>0</v>
      </c>
      <c r="AE18" s="132">
        <f>IFERROR(IF(VLOOKUP($B18,Shortage!$A:$M,AE$2,FALSE)="Shortage",1,IFERROR(ROUND(S18/G18,4),0)),IFERROR(ROUND(S18/G18,4),0))</f>
        <v>0</v>
      </c>
      <c r="AF18" s="132">
        <f>IFERROR(IF(VLOOKUP($B18,Shortage!$A:$M,AF$2,FALSE)="Shortage",1,IFERROR(ROUND(T18/H18,4),0)),IFERROR(ROUND(T18/H18,4),0))</f>
        <v>0</v>
      </c>
      <c r="AG18" s="132">
        <f>IFERROR(IF(VLOOKUP($B18,Shortage!$A:$M,AG$2,FALSE)="Shortage",1,IFERROR(ROUND(U18/I18,4),0)),IFERROR(ROUND(U18/I18,4),0))</f>
        <v>0</v>
      </c>
      <c r="AH18" s="132">
        <f>IFERROR(IF(VLOOKUP($B18,Shortage!$A:$M,AH$2,FALSE)="Shortage",1,IFERROR(ROUND(V18/J18,4),0)),IFERROR(ROUND(V18/J18,4),0))</f>
        <v>0</v>
      </c>
      <c r="AI18" s="132">
        <f>IFERROR(IF(VLOOKUP($B18,Shortage!$A:$M,AI$2,FALSE)="Shortage",1,IFERROR(ROUND(W18/K18,4),0)),IFERROR(ROUND(W18/K18,4),0))</f>
        <v>0</v>
      </c>
      <c r="AJ18" s="132">
        <f>IFERROR(IF(VLOOKUP($B18,Shortage!$A:$M,AJ$2,FALSE)="Shortage",1,IFERROR(ROUND(X18/L18,4),0)),IFERROR(ROUND(X18/L18,4),0))</f>
        <v>0</v>
      </c>
      <c r="AK18" s="132">
        <f>IFERROR(IF(VLOOKUP($B18,Shortage!$A:$M,AK$2,FALSE)="Shortage",1,IFERROR(ROUND(Y18/M18,4),0)),IFERROR(ROUND(Y18/M18,4),0))</f>
        <v>0</v>
      </c>
      <c r="AL18" s="132">
        <f>IFERROR(IF(VLOOKUP($B18,Shortage!$A:$M,AL$2,FALSE)="Shortage",1,IFERROR(ROUND(Z18/N18,4),0)),IFERROR(ROUND(Z18/N18,4),0))</f>
        <v>0</v>
      </c>
      <c r="AM18" s="132">
        <f>IFERROR(IF(VLOOKUP($B18,Shortage!$A:$M,AM$2,FALSE)="Shortage",1,IFERROR(ROUND(AA18/O18,4),0)),IFERROR(ROUND(AA18/O18,4),0))</f>
        <v>0</v>
      </c>
      <c r="AN18" s="186">
        <f>IFERROR(_xlfn.XLOOKUP(AB18,'2) หลักการคำนวน Table'!$C$3:$K$3,'2) หลักการคำนวน Table'!$C$3:$K$3,,1),INDEX('2) หลักการคำนวน Table'!$C$3:$K$3,1))</f>
        <v>0.9</v>
      </c>
      <c r="AO18" s="186">
        <f>IFERROR(
  _xlfn.XLOOKUP(AC18,'2) หลักการคำนวน Table'!$C$3:$K$3,'2) หลักการคำนวน Table'!$C$3:$K$3,,1),
  IF(AC18&lt;MIN('2) หลักการคำนวน Table'!$C$3:$K$3),
     MIN('2) หลักการคำนวน Table'!$C$3:$K$3),
     MAX('2) หลักการคำนวน Table'!$C$3:$K$3)
  )
)</f>
        <v>0.9</v>
      </c>
      <c r="AP18" s="186">
        <f>IFERROR(
  _xlfn.XLOOKUP(AD18,'2) หลักการคำนวน Table'!$C$3:$K$3,'2) หลักการคำนวน Table'!$C$3:$K$3,,1),
  IF(AD18&lt;MIN('2) หลักการคำนวน Table'!$C$3:$K$3),
     MIN('2) หลักการคำนวน Table'!$C$3:$K$3),
     MAX('2) หลักการคำนวน Table'!$C$3:$K$3)
  )
)</f>
        <v>0.9</v>
      </c>
      <c r="AQ18" s="186">
        <f>IFERROR(
  _xlfn.XLOOKUP(AE18,'2) หลักการคำนวน Table'!$C$3:$K$3,'2) หลักการคำนวน Table'!$C$3:$K$3,,1),
  IF(AE18&lt;MIN('2) หลักการคำนวน Table'!$C$3:$K$3),
     MIN('2) หลักการคำนวน Table'!$C$3:$K$3),
     MAX('2) หลักการคำนวน Table'!$C$3:$K$3)
  )
)</f>
        <v>0.9</v>
      </c>
      <c r="AR18" s="186">
        <f>IFERROR(
  _xlfn.XLOOKUP(AF18,'2) หลักการคำนวน Table'!$C$3:$K$3,'2) หลักการคำนวน Table'!$C$3:$K$3,,1),
  IF(AF18&lt;MIN('2) หลักการคำนวน Table'!$C$3:$K$3),
     MIN('2) หลักการคำนวน Table'!$C$3:$K$3),
     MAX('2) หลักการคำนวน Table'!$C$3:$K$3)
  )
)</f>
        <v>0.9</v>
      </c>
      <c r="AS18" s="186">
        <f>IFERROR(
  _xlfn.XLOOKUP(AG18,'2) หลักการคำนวน Table'!$C$3:$K$3,'2) หลักการคำนวน Table'!$C$3:$K$3,,1),
  IF(AG18&lt;MIN('2) หลักการคำนวน Table'!$C$3:$K$3),
     MIN('2) หลักการคำนวน Table'!$C$3:$K$3),
     MAX('2) หลักการคำนวน Table'!$C$3:$K$3)
  )
)</f>
        <v>0.9</v>
      </c>
      <c r="AT18" s="186">
        <f>IFERROR(
  _xlfn.XLOOKUP(AH18,'2) หลักการคำนวน Table'!$C$3:$K$3,'2) หลักการคำนวน Table'!$C$3:$K$3,,1),
  IF(AH18&lt;MIN('2) หลักการคำนวน Table'!$C$3:$K$3),
     MIN('2) หลักการคำนวน Table'!$C$3:$K$3),
     MAX('2) หลักการคำนวน Table'!$C$3:$K$3)
  )
)</f>
        <v>0.9</v>
      </c>
      <c r="AU18" s="186">
        <f>IFERROR(
  _xlfn.XLOOKUP(AI18,'2) หลักการคำนวน Table'!$C$3:$K$3,'2) หลักการคำนวน Table'!$C$3:$K$3,,1),
  IF(AI18&lt;MIN('2) หลักการคำนวน Table'!$C$3:$K$3),
     MIN('2) หลักการคำนวน Table'!$C$3:$K$3),
     MAX('2) หลักการคำนวน Table'!$C$3:$K$3)
  )
)</f>
        <v>0.9</v>
      </c>
      <c r="AV18" s="186">
        <f>IFERROR(
  _xlfn.XLOOKUP(AJ18,'2) หลักการคำนวน Table'!$C$3:$K$3,'2) หลักการคำนวน Table'!$C$3:$K$3,,1),
  IF(AJ18&lt;MIN('2) หลักการคำนวน Table'!$C$3:$K$3),
     MIN('2) หลักการคำนวน Table'!$C$3:$K$3),
     MAX('2) หลักการคำนวน Table'!$C$3:$K$3)
  )
)</f>
        <v>0.9</v>
      </c>
      <c r="AW18" s="186">
        <f>IFERROR(
  _xlfn.XLOOKUP(AK18,'2) หลักการคำนวน Table'!$C$3:$K$3,'2) หลักการคำนวน Table'!$C$3:$K$3,,1),
  IF(AK18&lt;MIN('2) หลักการคำนวน Table'!$C$3:$K$3),
     MIN('2) หลักการคำนวน Table'!$C$3:$K$3),
     MAX('2) หลักการคำนวน Table'!$C$3:$K$3)
  )
)</f>
        <v>0.9</v>
      </c>
      <c r="AX18" s="186">
        <f>IFERROR(
  _xlfn.XLOOKUP(AL18,'2) หลักการคำนวน Table'!$C$3:$K$3,'2) หลักการคำนวน Table'!$C$3:$K$3,,1),
  IF(AL18&lt;MIN('2) หลักการคำนวน Table'!$C$3:$K$3),
     MIN('2) หลักการคำนวน Table'!$C$3:$K$3),
     MAX('2) หลักการคำนวน Table'!$C$3:$K$3)
  )
)</f>
        <v>0.9</v>
      </c>
      <c r="AY18" s="186">
        <f>IFERROR(
  _xlfn.XLOOKUP(AM18,'2) หลักการคำนวน Table'!$C$3:$K$3,'2) หลักการคำนวน Table'!$C$3:$K$3,,1),
  IF(AM18&lt;MIN('2) หลักการคำนวน Table'!$C$3:$K$3),
     MIN('2) หลักการคำนวน Table'!$C$3:$K$3),
     MAX('2) หลักการคำนวน Table'!$C$3:$K$3)
  )
)</f>
        <v>0.9</v>
      </c>
      <c r="AZ18" s="135" t="e" cm="1">
        <f t="array" ref="AZ18">ROUND((_xlfn.XLOOKUP($C18,'2) หลักการคำนวน Table'!$A$4:$A$36,
_xlfn.XLOOKUP(AN18,'2)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A18" s="135" t="e" cm="1">
        <f t="array" ref="BA18">ROUND((_xlfn.XLOOKUP($C18,'2) หลักการคำนวน Table'!$A$4:$A$36,
_xlfn.XLOOKUP(AO18,'2)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B18" s="135" t="e" cm="1">
        <f t="array" ref="BB18">ROUND((_xlfn.XLOOKUP($C18,'2) หลักการคำนวน Table'!$A$4:$A$36,
_xlfn.XLOOKUP(AP18,'2)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C18" s="135" t="e" cm="1">
        <f t="array" ref="BC18">ROUND((_xlfn.XLOOKUP($C18,'2) หลักการคำนวน Table'!$A$4:$A$36,
_xlfn.XLOOKUP(AQ18,'2)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D18" s="135" t="e" cm="1">
        <f t="array" ref="BD18">ROUND((_xlfn.XLOOKUP($C18,'2) หลักการคำนวน Table'!$A$4:$A$36,
_xlfn.XLOOKUP(AR18,'2)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E18" s="135" t="e" cm="1">
        <f t="array" ref="BE18">ROUND((_xlfn.XLOOKUP($C18,'2) หลักการคำนวน Table'!$A$4:$A$36,
_xlfn.XLOOKUP(AS18,'2)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F18" s="135" t="e" cm="1">
        <f t="array" ref="BF18">ROUND((_xlfn.XLOOKUP($C18,'2) หลักการคำนวน Table'!$A$4:$A$36,
_xlfn.XLOOKUP(AT18,'2)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G18" s="135" t="e" cm="1">
        <f t="array" ref="BG18">ROUND((_xlfn.XLOOKUP($C18,'2) หลักการคำนวน Table'!$A$4:$A$36,
_xlfn.XLOOKUP(AU18,'2)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H18" s="135" t="e" cm="1">
        <f t="array" ref="BH18">ROUND((_xlfn.XLOOKUP($C18,'2) หลักการคำนวน Table'!$A$4:$A$36,
_xlfn.XLOOKUP(AV18,'2)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I18" s="135" t="e" cm="1">
        <f t="array" ref="BI18">ROUND((_xlfn.XLOOKUP($C18,'2) หลักการคำนวน Table'!$A$4:$A$36,
_xlfn.XLOOKUP(AW18,'2)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J18" s="135" t="e" cm="1">
        <f t="array" ref="BJ18">ROUND((_xlfn.XLOOKUP($C18,'2) หลักการคำนวน Table'!$A$4:$A$36,
_xlfn.XLOOKUP(AX18,'2)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K18" s="135" t="e" cm="1">
        <f t="array" ref="BK18">ROUND((_xlfn.XLOOKUP($C18,'2) หลักการคำนวน Table'!$A$4:$A$36,
_xlfn.XLOOKUP(AY18,'2)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L18" s="239"/>
      <c r="BM18" s="126">
        <v>222234</v>
      </c>
      <c r="BN18" s="245">
        <v>1</v>
      </c>
    </row>
    <row r="19" spans="1:66" ht="13.2" customHeight="1" x14ac:dyDescent="0.25">
      <c r="A19" s="128">
        <f>VLOOKUP(C19,ASTBase!F:S,12,FALSE)</f>
        <v>222222</v>
      </c>
      <c r="B19" s="126" t="s">
        <v>405</v>
      </c>
      <c r="C19" s="128">
        <v>222223</v>
      </c>
      <c r="D19" s="127">
        <f>SUMIFS('3)Target &amp; Cal_Sect'!D$4:D$60,'3)Target &amp; Cal_Sect'!$B$4:$B$60,'3)Target &amp; Cal_Dept'!$B19,'3)Target &amp; Cal_Sect'!$A$4:$A$60,'3)Target &amp; Cal_Dept'!$C19)</f>
        <v>1937476.2849999999</v>
      </c>
      <c r="E19" s="127">
        <f>SUMIFS('3)Target &amp; Cal_Sect'!E$4:E$60,'3)Target &amp; Cal_Sect'!$B$4:$B$60,'3)Target &amp; Cal_Dept'!$B19,'3)Target &amp; Cal_Sect'!$A$4:$A$60,'3)Target &amp; Cal_Dept'!$C19)</f>
        <v>1763409.162</v>
      </c>
      <c r="F19" s="127">
        <f>SUMIFS('3)Target &amp; Cal_Sect'!F$4:F$60,'3)Target &amp; Cal_Sect'!$B$4:$B$60,'3)Target &amp; Cal_Dept'!$B19,'3)Target &amp; Cal_Sect'!$A$4:$A$60,'3)Target &amp; Cal_Dept'!$C19)</f>
        <v>2054000</v>
      </c>
      <c r="G19" s="127">
        <f>SUMIFS('3)Target &amp; Cal_Sect'!G$4:G$60,'3)Target &amp; Cal_Sect'!$B$4:$B$60,'3)Target &amp; Cal_Dept'!$B19,'3)Target &amp; Cal_Sect'!$A$4:$A$60,'3)Target &amp; Cal_Dept'!$C19)</f>
        <v>1876423.622</v>
      </c>
      <c r="H19" s="127">
        <f>SUMIFS('3)Target &amp; Cal_Sect'!H$4:H$60,'3)Target &amp; Cal_Sect'!$B$4:$B$60,'3)Target &amp; Cal_Dept'!$B19,'3)Target &amp; Cal_Sect'!$A$4:$A$60,'3)Target &amp; Cal_Dept'!$C19)</f>
        <v>1766267.55</v>
      </c>
      <c r="I19" s="127">
        <f>SUMIFS('3)Target &amp; Cal_Sect'!I$4:I$60,'3)Target &amp; Cal_Sect'!$B$4:$B$60,'3)Target &amp; Cal_Dept'!$B19,'3)Target &amp; Cal_Sect'!$A$4:$A$60,'3)Target &amp; Cal_Dept'!$C19)</f>
        <v>1963788.7420000001</v>
      </c>
      <c r="J19" s="127">
        <f>SUMIFS('3)Target &amp; Cal_Sect'!J$4:J$60,'3)Target &amp; Cal_Sect'!$B$4:$B$60,'3)Target &amp; Cal_Dept'!$B19,'3)Target &amp; Cal_Sect'!$A$4:$A$60,'3)Target &amp; Cal_Dept'!$C19)</f>
        <v>1897204.66</v>
      </c>
      <c r="K19" s="127">
        <f>SUMIFS('3)Target &amp; Cal_Sect'!K$4:K$60,'3)Target &amp; Cal_Sect'!$B$4:$B$60,'3)Target &amp; Cal_Dept'!$B19,'3)Target &amp; Cal_Sect'!$A$4:$A$60,'3)Target &amp; Cal_Dept'!$C19)</f>
        <v>1805871.3250000002</v>
      </c>
      <c r="L19" s="127">
        <v>1877490</v>
      </c>
      <c r="M19" s="127">
        <v>1870449</v>
      </c>
      <c r="N19" s="127">
        <v>914212.8</v>
      </c>
      <c r="O19" s="127">
        <v>1504874.8</v>
      </c>
      <c r="P19" s="127">
        <f>SUMIFS('3)Target &amp; Cal_Sect'!P$4:P$60,'3)Target &amp; Cal_Sect'!$B$4:$B$60,'3)Target &amp; Cal_Dept'!$B19,'3)Target &amp; Cal_Sect'!$A$4:$A$60,'3)Target &amp; Cal_Dept'!$C19)</f>
        <v>1466312.7000000007</v>
      </c>
      <c r="Q19" s="127">
        <f>SUMIFS('3)Target &amp; Cal_Sect'!Q$4:Q$60,'3)Target &amp; Cal_Sect'!$B$4:$B$60,'3)Target &amp; Cal_Dept'!$B19,'3)Target &amp; Cal_Sect'!$A$4:$A$60,'3)Target &amp; Cal_Dept'!$C19)</f>
        <v>0</v>
      </c>
      <c r="R19" s="127">
        <f>SUMIFS('3)Target &amp; Cal_Sect'!R$4:R$60,'3)Target &amp; Cal_Sect'!$B$4:$B$60,'3)Target &amp; Cal_Dept'!$B19,'3)Target &amp; Cal_Sect'!$A$4:$A$60,'3)Target &amp; Cal_Dept'!$C19)</f>
        <v>0</v>
      </c>
      <c r="S19" s="127">
        <f>SUMIFS('3)Target &amp; Cal_Sect'!S$4:S$60,'3)Target &amp; Cal_Sect'!$B$4:$B$60,'3)Target &amp; Cal_Dept'!$B19,'3)Target &amp; Cal_Sect'!$A$4:$A$60,'3)Target &amp; Cal_Dept'!$C19)</f>
        <v>0</v>
      </c>
      <c r="T19" s="127">
        <f>SUMIFS('3)Target &amp; Cal_Sect'!T$4:T$60,'3)Target &amp; Cal_Sect'!$B$4:$B$60,'3)Target &amp; Cal_Dept'!$B19,'3)Target &amp; Cal_Sect'!$A$4:$A$60,'3)Target &amp; Cal_Dept'!$C19)</f>
        <v>0</v>
      </c>
      <c r="U19" s="127">
        <f>SUMIFS('3)Target &amp; Cal_Sect'!U$4:U$60,'3)Target &amp; Cal_Sect'!$B$4:$B$60,'3)Target &amp; Cal_Dept'!$B19,'3)Target &amp; Cal_Sect'!$A$4:$A$60,'3)Target &amp; Cal_Dept'!$C19)</f>
        <v>0</v>
      </c>
      <c r="V19" s="127">
        <f>SUMIFS('3)Target &amp; Cal_Sect'!V$4:V$60,'3)Target &amp; Cal_Sect'!$B$4:$B$60,'3)Target &amp; Cal_Dept'!$B19,'3)Target &amp; Cal_Sect'!$A$4:$A$60,'3)Target &amp; Cal_Dept'!$C19)</f>
        <v>0</v>
      </c>
      <c r="W19" s="127">
        <f>SUMIFS('3)Target &amp; Cal_Sect'!W$4:W$60,'3)Target &amp; Cal_Sect'!$B$4:$B$60,'3)Target &amp; Cal_Dept'!$B19,'3)Target &amp; Cal_Sect'!$A$4:$A$60,'3)Target &amp; Cal_Dept'!$C19)</f>
        <v>0</v>
      </c>
      <c r="X19" s="127">
        <f>SUMIFS('3)Target &amp; Cal_Sect'!X$4:X$60,'3)Target &amp; Cal_Sect'!$B$4:$B$60,'3)Target &amp; Cal_Dept'!$B19,'3)Target &amp; Cal_Sect'!$A$4:$A$60,'3)Target &amp; Cal_Dept'!$C19)</f>
        <v>0</v>
      </c>
      <c r="Y19" s="127">
        <f>SUMIFS('3)Target &amp; Cal_Sect'!Y$4:Y$60,'3)Target &amp; Cal_Sect'!$B$4:$B$60,'3)Target &amp; Cal_Dept'!$B19,'3)Target &amp; Cal_Sect'!$A$4:$A$60,'3)Target &amp; Cal_Dept'!$C19)</f>
        <v>0</v>
      </c>
      <c r="Z19" s="127">
        <f>SUMIFS('3)Target &amp; Cal_Sect'!Z$4:Z$60,'3)Target &amp; Cal_Sect'!$B$4:$B$60,'3)Target &amp; Cal_Dept'!$B19,'3)Target &amp; Cal_Sect'!$A$4:$A$60,'3)Target &amp; Cal_Dept'!$C19)</f>
        <v>0</v>
      </c>
      <c r="AA19" s="127">
        <f>SUMIFS('3)Target &amp; Cal_Sect'!AA$4:AA$60,'3)Target &amp; Cal_Sect'!$B$4:$B$60,'3)Target &amp; Cal_Dept'!$B19,'3)Target &amp; Cal_Sect'!$A$4:$A$60,'3)Target &amp; Cal_Dept'!$C19)</f>
        <v>0</v>
      </c>
      <c r="AB19" s="132">
        <f>IFERROR(IF(VLOOKUP($B19,Shortage!$A:$M,AB$2,FALSE)="Shortage",1,IFERROR(ROUND(P19/D19,4),0)),IFERROR(ROUND(P19/D19,4),0))</f>
        <v>1</v>
      </c>
      <c r="AC19" s="132">
        <f>IFERROR(IF(VLOOKUP($B19,Shortage!$A:$M,AC$2,FALSE)="Shortage",1,IFERROR(ROUND(Q19/E19,4),0)),IFERROR(ROUND(Q19/E19,4),0))</f>
        <v>0</v>
      </c>
      <c r="AD19" s="132">
        <f>IFERROR(IF(VLOOKUP($B19,Shortage!$A:$M,AD$2,FALSE)="Shortage",1,IFERROR(ROUND(R19/F19,4),0)),IFERROR(ROUND(R19/F19,4),0))</f>
        <v>0</v>
      </c>
      <c r="AE19" s="132">
        <f>IFERROR(IF(VLOOKUP($B19,Shortage!$A:$M,AE$2,FALSE)="Shortage",1,IFERROR(ROUND(S19/G19,4),0)),IFERROR(ROUND(S19/G19,4),0))</f>
        <v>0</v>
      </c>
      <c r="AF19" s="132">
        <f>IFERROR(IF(VLOOKUP($B19,Shortage!$A:$M,AF$2,FALSE)="Shortage",1,IFERROR(ROUND(T19/H19,4),0)),IFERROR(ROUND(T19/H19,4),0))</f>
        <v>0</v>
      </c>
      <c r="AG19" s="132">
        <f>IFERROR(IF(VLOOKUP($B19,Shortage!$A:$M,AG$2,FALSE)="Shortage",1,IFERROR(ROUND(U19/I19,4),0)),IFERROR(ROUND(U19/I19,4),0))</f>
        <v>0</v>
      </c>
      <c r="AH19" s="132">
        <f>IFERROR(IF(VLOOKUP($B19,Shortage!$A:$M,AH$2,FALSE)="Shortage",1,IFERROR(ROUND(V19/J19,4),0)),IFERROR(ROUND(V19/J19,4),0))</f>
        <v>0</v>
      </c>
      <c r="AI19" s="132">
        <f>IFERROR(IF(VLOOKUP($B19,Shortage!$A:$M,AI$2,FALSE)="Shortage",1,IFERROR(ROUND(W19/K19,4),0)),IFERROR(ROUND(W19/K19,4),0))</f>
        <v>0</v>
      </c>
      <c r="AJ19" s="132">
        <f>IFERROR(IF(VLOOKUP($B19,Shortage!$A:$M,AJ$2,FALSE)="Shortage",1,IFERROR(ROUND(X19/L19,4),0)),IFERROR(ROUND(X19/L19,4),0))</f>
        <v>0</v>
      </c>
      <c r="AK19" s="132">
        <f>IFERROR(IF(VLOOKUP($B19,Shortage!$A:$M,AK$2,FALSE)="Shortage",1,IFERROR(ROUND(Y19/M19,4),0)),IFERROR(ROUND(Y19/M19,4),0))</f>
        <v>0</v>
      </c>
      <c r="AL19" s="132">
        <f>IFERROR(IF(VLOOKUP($B19,Shortage!$A:$M,AL$2,FALSE)="Shortage",1,IFERROR(ROUND(Z19/N19,4),0)),IFERROR(ROUND(Z19/N19,4),0))</f>
        <v>0</v>
      </c>
      <c r="AM19" s="132">
        <f>IFERROR(IF(VLOOKUP($B19,Shortage!$A:$M,AM$2,FALSE)="Shortage",1,IFERROR(ROUND(AA19/O19,4),0)),IFERROR(ROUND(AA19/O19,4),0))</f>
        <v>0</v>
      </c>
      <c r="AN19" s="186">
        <f>IFERROR(_xlfn.XLOOKUP(AB19,'2) หลักการคำนวน Table'!$C$3:$K$3,'2) หลักการคำนวน Table'!$C$3:$K$3,,1),INDEX('2) หลักการคำนวน Table'!$C$3:$K$3,1))</f>
        <v>1</v>
      </c>
      <c r="AO19" s="186">
        <f>IFERROR(
  _xlfn.XLOOKUP(AC19,'2) หลักการคำนวน Table'!$C$3:$K$3,'2) หลักการคำนวน Table'!$C$3:$K$3,,1),
  IF(AC19&lt;MIN('2) หลักการคำนวน Table'!$C$3:$K$3),
     MIN('2) หลักการคำนวน Table'!$C$3:$K$3),
     MAX('2) หลักการคำนวน Table'!$C$3:$K$3)
  )
)</f>
        <v>0.9</v>
      </c>
      <c r="AP19" s="186">
        <f>IFERROR(
  _xlfn.XLOOKUP(AD19,'2) หลักการคำนวน Table'!$C$3:$K$3,'2) หลักการคำนวน Table'!$C$3:$K$3,,1),
  IF(AD19&lt;MIN('2) หลักการคำนวน Table'!$C$3:$K$3),
     MIN('2) หลักการคำนวน Table'!$C$3:$K$3),
     MAX('2) หลักการคำนวน Table'!$C$3:$K$3)
  )
)</f>
        <v>0.9</v>
      </c>
      <c r="AQ19" s="186">
        <f>IFERROR(
  _xlfn.XLOOKUP(AE19,'2) หลักการคำนวน Table'!$C$3:$K$3,'2) หลักการคำนวน Table'!$C$3:$K$3,,1),
  IF(AE19&lt;MIN('2) หลักการคำนวน Table'!$C$3:$K$3),
     MIN('2) หลักการคำนวน Table'!$C$3:$K$3),
     MAX('2) หลักการคำนวน Table'!$C$3:$K$3)
  )
)</f>
        <v>0.9</v>
      </c>
      <c r="AR19" s="186">
        <f>IFERROR(
  _xlfn.XLOOKUP(AF19,'2) หลักการคำนวน Table'!$C$3:$K$3,'2) หลักการคำนวน Table'!$C$3:$K$3,,1),
  IF(AF19&lt;MIN('2) หลักการคำนวน Table'!$C$3:$K$3),
     MIN('2) หลักการคำนวน Table'!$C$3:$K$3),
     MAX('2) หลักการคำนวน Table'!$C$3:$K$3)
  )
)</f>
        <v>0.9</v>
      </c>
      <c r="AS19" s="186">
        <f>IFERROR(
  _xlfn.XLOOKUP(AG19,'2) หลักการคำนวน Table'!$C$3:$K$3,'2) หลักการคำนวน Table'!$C$3:$K$3,,1),
  IF(AG19&lt;MIN('2) หลักการคำนวน Table'!$C$3:$K$3),
     MIN('2) หลักการคำนวน Table'!$C$3:$K$3),
     MAX('2) หลักการคำนวน Table'!$C$3:$K$3)
  )
)</f>
        <v>0.9</v>
      </c>
      <c r="AT19" s="186">
        <f>IFERROR(
  _xlfn.XLOOKUP(AH19,'2) หลักการคำนวน Table'!$C$3:$K$3,'2) หลักการคำนวน Table'!$C$3:$K$3,,1),
  IF(AH19&lt;MIN('2) หลักการคำนวน Table'!$C$3:$K$3),
     MIN('2) หลักการคำนวน Table'!$C$3:$K$3),
     MAX('2) หลักการคำนวน Table'!$C$3:$K$3)
  )
)</f>
        <v>0.9</v>
      </c>
      <c r="AU19" s="186">
        <f>IFERROR(
  _xlfn.XLOOKUP(AI19,'2) หลักการคำนวน Table'!$C$3:$K$3,'2) หลักการคำนวน Table'!$C$3:$K$3,,1),
  IF(AI19&lt;MIN('2) หลักการคำนวน Table'!$C$3:$K$3),
     MIN('2) หลักการคำนวน Table'!$C$3:$K$3),
     MAX('2) หลักการคำนวน Table'!$C$3:$K$3)
  )
)</f>
        <v>0.9</v>
      </c>
      <c r="AV19" s="186">
        <f>IFERROR(
  _xlfn.XLOOKUP(AJ19,'2) หลักการคำนวน Table'!$C$3:$K$3,'2) หลักการคำนวน Table'!$C$3:$K$3,,1),
  IF(AJ19&lt;MIN('2) หลักการคำนวน Table'!$C$3:$K$3),
     MIN('2) หลักการคำนวน Table'!$C$3:$K$3),
     MAX('2) หลักการคำนวน Table'!$C$3:$K$3)
  )
)</f>
        <v>0.9</v>
      </c>
      <c r="AW19" s="186">
        <f>IFERROR(
  _xlfn.XLOOKUP(AK19,'2) หลักการคำนวน Table'!$C$3:$K$3,'2) หลักการคำนวน Table'!$C$3:$K$3,,1),
  IF(AK19&lt;MIN('2) หลักการคำนวน Table'!$C$3:$K$3),
     MIN('2) หลักการคำนวน Table'!$C$3:$K$3),
     MAX('2) หลักการคำนวน Table'!$C$3:$K$3)
  )
)</f>
        <v>0.9</v>
      </c>
      <c r="AX19" s="186">
        <f>IFERROR(
  _xlfn.XLOOKUP(AL19,'2) หลักการคำนวน Table'!$C$3:$K$3,'2) หลักการคำนวน Table'!$C$3:$K$3,,1),
  IF(AL19&lt;MIN('2) หลักการคำนวน Table'!$C$3:$K$3),
     MIN('2) หลักการคำนวน Table'!$C$3:$K$3),
     MAX('2) หลักการคำนวน Table'!$C$3:$K$3)
  )
)</f>
        <v>0.9</v>
      </c>
      <c r="AY19" s="186">
        <f>IFERROR(
  _xlfn.XLOOKUP(AM19,'2) หลักการคำนวน Table'!$C$3:$K$3,'2) หลักการคำนวน Table'!$C$3:$K$3,,1),
  IF(AM19&lt;MIN('2) หลักการคำนวน Table'!$C$3:$K$3),
     MIN('2) หลักการคำนวน Table'!$C$3:$K$3),
     MAX('2) หลักการคำนวน Table'!$C$3:$K$3)
  )
)</f>
        <v>0.9</v>
      </c>
      <c r="AZ19" s="135" t="e" cm="1">
        <f t="array" ref="AZ19">ROUND((_xlfn.XLOOKUP($C19,'2) หลักการคำนวน Table'!$A$4:$A$36,
_xlfn.XLOOKUP(AN19,'2)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A19" s="135" t="e" cm="1">
        <f t="array" ref="BA19">ROUND((_xlfn.XLOOKUP($C19,'2) หลักการคำนวน Table'!$A$4:$A$36,
_xlfn.XLOOKUP(AO19,'2)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B19" s="135" t="e" cm="1">
        <f t="array" ref="BB19">ROUND((_xlfn.XLOOKUP($C19,'2) หลักการคำนวน Table'!$A$4:$A$36,
_xlfn.XLOOKUP(AP19,'2)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C19" s="135" t="e" cm="1">
        <f t="array" ref="BC19">ROUND((_xlfn.XLOOKUP($C19,'2) หลักการคำนวน Table'!$A$4:$A$36,
_xlfn.XLOOKUP(AQ19,'2)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D19" s="135" t="e" cm="1">
        <f t="array" ref="BD19">ROUND((_xlfn.XLOOKUP($C19,'2) หลักการคำนวน Table'!$A$4:$A$36,
_xlfn.XLOOKUP(AR19,'2)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E19" s="135" t="e" cm="1">
        <f t="array" ref="BE19">ROUND((_xlfn.XLOOKUP($C19,'2) หลักการคำนวน Table'!$A$4:$A$36,
_xlfn.XLOOKUP(AS19,'2)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F19" s="135" t="e" cm="1">
        <f t="array" ref="BF19">ROUND((_xlfn.XLOOKUP($C19,'2) หลักการคำนวน Table'!$A$4:$A$36,
_xlfn.XLOOKUP(AT19,'2)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G19" s="135" t="e" cm="1">
        <f t="array" ref="BG19">ROUND((_xlfn.XLOOKUP($C19,'2) หลักการคำนวน Table'!$A$4:$A$36,
_xlfn.XLOOKUP(AU19,'2)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H19" s="135" t="e" cm="1">
        <f t="array" ref="BH19">ROUND((_xlfn.XLOOKUP($C19,'2) หลักการคำนวน Table'!$A$4:$A$36,
_xlfn.XLOOKUP(AV19,'2)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I19" s="135" t="e" cm="1">
        <f t="array" ref="BI19">ROUND((_xlfn.XLOOKUP($C19,'2) หลักการคำนวน Table'!$A$4:$A$36,
_xlfn.XLOOKUP(AW19,'2)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J19" s="135" t="e" cm="1">
        <f t="array" ref="BJ19">ROUND((_xlfn.XLOOKUP($C19,'2) หลักการคำนวน Table'!$A$4:$A$36,
_xlfn.XLOOKUP(AX19,'2)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K19" s="135" t="e" cm="1">
        <f t="array" ref="BK19">ROUND((_xlfn.XLOOKUP($C19,'2) หลักการคำนวน Table'!$A$4:$A$36,
_xlfn.XLOOKUP(AY19,'2) หลักการคำนวน Table'!$C$3:$K$3,'2) หลักการคำนวน Table'!$C$4:$K$36,,-1)))*(_xlfn.XLOOKUP($C19,'2) หลักการคำนวน Table'!$A$4:$A$36, _xlfn.XLOOKUP($B19,'2) หลักการคำนวน Table'!$L$3:$Z$3,'2) หลักการคำนวน Table'!$L$4:$Z$36))),0)</f>
        <v>#N/A</v>
      </c>
      <c r="BL19" s="239"/>
      <c r="BM19" s="126">
        <v>222223</v>
      </c>
      <c r="BN19" s="245">
        <v>1267</v>
      </c>
    </row>
    <row r="20" spans="1:66" ht="13.2" customHeight="1" x14ac:dyDescent="0.25">
      <c r="A20" s="128">
        <f>VLOOKUP(C20,ASTBase!F:S,12,FALSE)</f>
        <v>222222</v>
      </c>
      <c r="B20" s="126" t="s">
        <v>408</v>
      </c>
      <c r="C20" s="128">
        <v>222223</v>
      </c>
      <c r="D20" s="127">
        <f>SUMIFS('3)Target &amp; Cal_Sect'!D$4:D$60,'3)Target &amp; Cal_Sect'!$B$4:$B$60,'3)Target &amp; Cal_Dept'!$B20,'3)Target &amp; Cal_Sect'!$A$4:$A$60,'3)Target &amp; Cal_Dept'!$C20)</f>
        <v>143625</v>
      </c>
      <c r="E20" s="127">
        <f>SUMIFS('3)Target &amp; Cal_Sect'!E$4:E$60,'3)Target &amp; Cal_Sect'!$B$4:$B$60,'3)Target &amp; Cal_Dept'!$B20,'3)Target &amp; Cal_Sect'!$A$4:$A$60,'3)Target &amp; Cal_Dept'!$C20)</f>
        <v>141600</v>
      </c>
      <c r="F20" s="127">
        <f>SUMIFS('3)Target &amp; Cal_Sect'!F$4:F$60,'3)Target &amp; Cal_Sect'!$B$4:$B$60,'3)Target &amp; Cal_Dept'!$B20,'3)Target &amp; Cal_Sect'!$A$4:$A$60,'3)Target &amp; Cal_Dept'!$C20)</f>
        <v>172900</v>
      </c>
      <c r="G20" s="127">
        <f>SUMIFS('3)Target &amp; Cal_Sect'!G$4:G$60,'3)Target &amp; Cal_Sect'!$B$4:$B$60,'3)Target &amp; Cal_Dept'!$B20,'3)Target &amp; Cal_Sect'!$A$4:$A$60,'3)Target &amp; Cal_Dept'!$C20)</f>
        <v>153200</v>
      </c>
      <c r="H20" s="127">
        <f>SUMIFS('3)Target &amp; Cal_Sect'!H$4:H$60,'3)Target &amp; Cal_Sect'!$B$4:$B$60,'3)Target &amp; Cal_Dept'!$B20,'3)Target &amp; Cal_Sect'!$A$4:$A$60,'3)Target &amp; Cal_Dept'!$C20)</f>
        <v>138800</v>
      </c>
      <c r="I20" s="127">
        <f>SUMIFS('3)Target &amp; Cal_Sect'!I$4:I$60,'3)Target &amp; Cal_Sect'!$B$4:$B$60,'3)Target &amp; Cal_Dept'!$B20,'3)Target &amp; Cal_Sect'!$A$4:$A$60,'3)Target &amp; Cal_Dept'!$C20)</f>
        <v>140900</v>
      </c>
      <c r="J20" s="127">
        <f>SUMIFS('3)Target &amp; Cal_Sect'!J$4:J$60,'3)Target &amp; Cal_Sect'!$B$4:$B$60,'3)Target &amp; Cal_Dept'!$B20,'3)Target &amp; Cal_Sect'!$A$4:$A$60,'3)Target &amp; Cal_Dept'!$C20)</f>
        <v>147091.66666666669</v>
      </c>
      <c r="K20" s="127">
        <f>SUMIFS('3)Target &amp; Cal_Sect'!K$4:K$60,'3)Target &amp; Cal_Sect'!$B$4:$B$60,'3)Target &amp; Cal_Dept'!$B20,'3)Target &amp; Cal_Sect'!$A$4:$A$60,'3)Target &amp; Cal_Dept'!$C20)</f>
        <v>150091.66666666669</v>
      </c>
      <c r="L20" s="127">
        <v>2272861</v>
      </c>
      <c r="M20" s="127">
        <v>2025345</v>
      </c>
      <c r="N20" s="127">
        <v>1222847.7</v>
      </c>
      <c r="O20" s="127">
        <v>1540188.7</v>
      </c>
      <c r="P20" s="127">
        <f>SUMIFS('3)Target &amp; Cal_Sect'!P$4:P$60,'3)Target &amp; Cal_Sect'!$B$4:$B$60,'3)Target &amp; Cal_Dept'!$B20,'3)Target &amp; Cal_Sect'!$A$4:$A$60,'3)Target &amp; Cal_Dept'!$C20)</f>
        <v>170550.00000000026</v>
      </c>
      <c r="Q20" s="127">
        <f>SUMIFS('3)Target &amp; Cal_Sect'!Q$4:Q$60,'3)Target &amp; Cal_Sect'!$B$4:$B$60,'3)Target &amp; Cal_Dept'!$B20,'3)Target &amp; Cal_Sect'!$A$4:$A$60,'3)Target &amp; Cal_Dept'!$C20)</f>
        <v>0</v>
      </c>
      <c r="R20" s="127">
        <f>SUMIFS('3)Target &amp; Cal_Sect'!R$4:R$60,'3)Target &amp; Cal_Sect'!$B$4:$B$60,'3)Target &amp; Cal_Dept'!$B20,'3)Target &amp; Cal_Sect'!$A$4:$A$60,'3)Target &amp; Cal_Dept'!$C20)</f>
        <v>0</v>
      </c>
      <c r="S20" s="127">
        <f>SUMIFS('3)Target &amp; Cal_Sect'!S$4:S$60,'3)Target &amp; Cal_Sect'!$B$4:$B$60,'3)Target &amp; Cal_Dept'!$B20,'3)Target &amp; Cal_Sect'!$A$4:$A$60,'3)Target &amp; Cal_Dept'!$C20)</f>
        <v>0</v>
      </c>
      <c r="T20" s="127">
        <f>SUMIFS('3)Target &amp; Cal_Sect'!T$4:T$60,'3)Target &amp; Cal_Sect'!$B$4:$B$60,'3)Target &amp; Cal_Dept'!$B20,'3)Target &amp; Cal_Sect'!$A$4:$A$60,'3)Target &amp; Cal_Dept'!$C20)</f>
        <v>0</v>
      </c>
      <c r="U20" s="127">
        <f>SUMIFS('3)Target &amp; Cal_Sect'!U$4:U$60,'3)Target &amp; Cal_Sect'!$B$4:$B$60,'3)Target &amp; Cal_Dept'!$B20,'3)Target &amp; Cal_Sect'!$A$4:$A$60,'3)Target &amp; Cal_Dept'!$C20)</f>
        <v>0</v>
      </c>
      <c r="V20" s="127">
        <f>SUMIFS('3)Target &amp; Cal_Sect'!V$4:V$60,'3)Target &amp; Cal_Sect'!$B$4:$B$60,'3)Target &amp; Cal_Dept'!$B20,'3)Target &amp; Cal_Sect'!$A$4:$A$60,'3)Target &amp; Cal_Dept'!$C20)</f>
        <v>0</v>
      </c>
      <c r="W20" s="127">
        <f>SUMIFS('3)Target &amp; Cal_Sect'!W$4:W$60,'3)Target &amp; Cal_Sect'!$B$4:$B$60,'3)Target &amp; Cal_Dept'!$B20,'3)Target &amp; Cal_Sect'!$A$4:$A$60,'3)Target &amp; Cal_Dept'!$C20)</f>
        <v>0</v>
      </c>
      <c r="X20" s="127">
        <f>SUMIFS('3)Target &amp; Cal_Sect'!X$4:X$60,'3)Target &amp; Cal_Sect'!$B$4:$B$60,'3)Target &amp; Cal_Dept'!$B20,'3)Target &amp; Cal_Sect'!$A$4:$A$60,'3)Target &amp; Cal_Dept'!$C20)</f>
        <v>0</v>
      </c>
      <c r="Y20" s="127">
        <f>SUMIFS('3)Target &amp; Cal_Sect'!Y$4:Y$60,'3)Target &amp; Cal_Sect'!$B$4:$B$60,'3)Target &amp; Cal_Dept'!$B20,'3)Target &amp; Cal_Sect'!$A$4:$A$60,'3)Target &amp; Cal_Dept'!$C20)</f>
        <v>0</v>
      </c>
      <c r="Z20" s="127">
        <f>SUMIFS('3)Target &amp; Cal_Sect'!Z$4:Z$60,'3)Target &amp; Cal_Sect'!$B$4:$B$60,'3)Target &amp; Cal_Dept'!$B20,'3)Target &amp; Cal_Sect'!$A$4:$A$60,'3)Target &amp; Cal_Dept'!$C20)</f>
        <v>0</v>
      </c>
      <c r="AA20" s="127">
        <f>SUMIFS('3)Target &amp; Cal_Sect'!AA$4:AA$60,'3)Target &amp; Cal_Sect'!$B$4:$B$60,'3)Target &amp; Cal_Dept'!$B20,'3)Target &amp; Cal_Sect'!$A$4:$A$60,'3)Target &amp; Cal_Dept'!$C20)</f>
        <v>0</v>
      </c>
      <c r="AB20" s="132">
        <f>IFERROR(IF(VLOOKUP($B20,Shortage!$A:$M,AB$2,FALSE)="Shortage",1,IFERROR(ROUND(P20/D20,4),0)),IFERROR(ROUND(P20/D20,4),0))</f>
        <v>1.1875</v>
      </c>
      <c r="AC20" s="132">
        <f>IFERROR(IF(VLOOKUP($B20,Shortage!$A:$M,AC$2,FALSE)="Shortage",1,IFERROR(ROUND(Q20/E20,4),0)),IFERROR(ROUND(Q20/E20,4),0))</f>
        <v>0</v>
      </c>
      <c r="AD20" s="132">
        <f>IFERROR(IF(VLOOKUP($B20,Shortage!$A:$M,AD$2,FALSE)="Shortage",1,IFERROR(ROUND(R20/F20,4),0)),IFERROR(ROUND(R20/F20,4),0))</f>
        <v>0</v>
      </c>
      <c r="AE20" s="132">
        <f>IFERROR(IF(VLOOKUP($B20,Shortage!$A:$M,AE$2,FALSE)="Shortage",1,IFERROR(ROUND(S20/G20,4),0)),IFERROR(ROUND(S20/G20,4),0))</f>
        <v>0</v>
      </c>
      <c r="AF20" s="132">
        <f>IFERROR(IF(VLOOKUP($B20,Shortage!$A:$M,AF$2,FALSE)="Shortage",1,IFERROR(ROUND(T20/H20,4),0)),IFERROR(ROUND(T20/H20,4),0))</f>
        <v>0</v>
      </c>
      <c r="AG20" s="132">
        <f>IFERROR(IF(VLOOKUP($B20,Shortage!$A:$M,AG$2,FALSE)="Shortage",1,IFERROR(ROUND(U20/I20,4),0)),IFERROR(ROUND(U20/I20,4),0))</f>
        <v>0</v>
      </c>
      <c r="AH20" s="132">
        <f>IFERROR(IF(VLOOKUP($B20,Shortage!$A:$M,AH$2,FALSE)="Shortage",1,IFERROR(ROUND(V20/J20,4),0)),IFERROR(ROUND(V20/J20,4),0))</f>
        <v>0</v>
      </c>
      <c r="AI20" s="132">
        <f>IFERROR(IF(VLOOKUP($B20,Shortage!$A:$M,AI$2,FALSE)="Shortage",1,IFERROR(ROUND(W20/K20,4),0)),IFERROR(ROUND(W20/K20,4),0))</f>
        <v>0</v>
      </c>
      <c r="AJ20" s="132">
        <f>IFERROR(IF(VLOOKUP($B20,Shortage!$A:$M,AJ$2,FALSE)="Shortage",1,IFERROR(ROUND(X20/L20,4),0)),IFERROR(ROUND(X20/L20,4),0))</f>
        <v>0</v>
      </c>
      <c r="AK20" s="132">
        <f>IFERROR(IF(VLOOKUP($B20,Shortage!$A:$M,AK$2,FALSE)="Shortage",1,IFERROR(ROUND(Y20/M20,4),0)),IFERROR(ROUND(Y20/M20,4),0))</f>
        <v>0</v>
      </c>
      <c r="AL20" s="132">
        <f>IFERROR(IF(VLOOKUP($B20,Shortage!$A:$M,AL$2,FALSE)="Shortage",1,IFERROR(ROUND(Z20/N20,4),0)),IFERROR(ROUND(Z20/N20,4),0))</f>
        <v>0</v>
      </c>
      <c r="AM20" s="132">
        <f>IFERROR(IF(VLOOKUP($B20,Shortage!$A:$M,AM$2,FALSE)="Shortage",1,IFERROR(ROUND(AA20/O20,4),0)),IFERROR(ROUND(AA20/O20,4),0))</f>
        <v>0</v>
      </c>
      <c r="AN20" s="186">
        <f>IFERROR(_xlfn.XLOOKUP(AB20,'2) หลักการคำนวน Table'!$C$3:$K$3,'2) หลักการคำนวน Table'!$C$3:$K$3,,1),INDEX('2) หลักการคำนวน Table'!$C$3:$K$3,1))</f>
        <v>1.2</v>
      </c>
      <c r="AO20" s="186">
        <f>IFERROR(
  _xlfn.XLOOKUP(AC20,'2) หลักการคำนวน Table'!$C$3:$K$3,'2) หลักการคำนวน Table'!$C$3:$K$3,,1),
  IF(AC20&lt;MIN('2) หลักการคำนวน Table'!$C$3:$K$3),
     MIN('2) หลักการคำนวน Table'!$C$3:$K$3),
     MAX('2) หลักการคำนวน Table'!$C$3:$K$3)
  )
)</f>
        <v>0.9</v>
      </c>
      <c r="AP20" s="186">
        <f>IFERROR(
  _xlfn.XLOOKUP(AD20,'2) หลักการคำนวน Table'!$C$3:$K$3,'2) หลักการคำนวน Table'!$C$3:$K$3,,1),
  IF(AD20&lt;MIN('2) หลักการคำนวน Table'!$C$3:$K$3),
     MIN('2) หลักการคำนวน Table'!$C$3:$K$3),
     MAX('2) หลักการคำนวน Table'!$C$3:$K$3)
  )
)</f>
        <v>0.9</v>
      </c>
      <c r="AQ20" s="186">
        <f>IFERROR(
  _xlfn.XLOOKUP(AE20,'2) หลักการคำนวน Table'!$C$3:$K$3,'2) หลักการคำนวน Table'!$C$3:$K$3,,1),
  IF(AE20&lt;MIN('2) หลักการคำนวน Table'!$C$3:$K$3),
     MIN('2) หลักการคำนวน Table'!$C$3:$K$3),
     MAX('2) หลักการคำนวน Table'!$C$3:$K$3)
  )
)</f>
        <v>0.9</v>
      </c>
      <c r="AR20" s="186">
        <f>IFERROR(
  _xlfn.XLOOKUP(AF20,'2) หลักการคำนวน Table'!$C$3:$K$3,'2) หลักการคำนวน Table'!$C$3:$K$3,,1),
  IF(AF20&lt;MIN('2) หลักการคำนวน Table'!$C$3:$K$3),
     MIN('2) หลักการคำนวน Table'!$C$3:$K$3),
     MAX('2) หลักการคำนวน Table'!$C$3:$K$3)
  )
)</f>
        <v>0.9</v>
      </c>
      <c r="AS20" s="186">
        <f>IFERROR(
  _xlfn.XLOOKUP(AG20,'2) หลักการคำนวน Table'!$C$3:$K$3,'2) หลักการคำนวน Table'!$C$3:$K$3,,1),
  IF(AG20&lt;MIN('2) หลักการคำนวน Table'!$C$3:$K$3),
     MIN('2) หลักการคำนวน Table'!$C$3:$K$3),
     MAX('2) หลักการคำนวน Table'!$C$3:$K$3)
  )
)</f>
        <v>0.9</v>
      </c>
      <c r="AT20" s="186">
        <f>IFERROR(
  _xlfn.XLOOKUP(AH20,'2) หลักการคำนวน Table'!$C$3:$K$3,'2) หลักการคำนวน Table'!$C$3:$K$3,,1),
  IF(AH20&lt;MIN('2) หลักการคำนวน Table'!$C$3:$K$3),
     MIN('2) หลักการคำนวน Table'!$C$3:$K$3),
     MAX('2) หลักการคำนวน Table'!$C$3:$K$3)
  )
)</f>
        <v>0.9</v>
      </c>
      <c r="AU20" s="186">
        <f>IFERROR(
  _xlfn.XLOOKUP(AI20,'2) หลักการคำนวน Table'!$C$3:$K$3,'2) หลักการคำนวน Table'!$C$3:$K$3,,1),
  IF(AI20&lt;MIN('2) หลักการคำนวน Table'!$C$3:$K$3),
     MIN('2) หลักการคำนวน Table'!$C$3:$K$3),
     MAX('2) หลักการคำนวน Table'!$C$3:$K$3)
  )
)</f>
        <v>0.9</v>
      </c>
      <c r="AV20" s="186">
        <f>IFERROR(
  _xlfn.XLOOKUP(AJ20,'2) หลักการคำนวน Table'!$C$3:$K$3,'2) หลักการคำนวน Table'!$C$3:$K$3,,1),
  IF(AJ20&lt;MIN('2) หลักการคำนวน Table'!$C$3:$K$3),
     MIN('2) หลักการคำนวน Table'!$C$3:$K$3),
     MAX('2) หลักการคำนวน Table'!$C$3:$K$3)
  )
)</f>
        <v>0.9</v>
      </c>
      <c r="AW20" s="186">
        <f>IFERROR(
  _xlfn.XLOOKUP(AK20,'2) หลักการคำนวน Table'!$C$3:$K$3,'2) หลักการคำนวน Table'!$C$3:$K$3,,1),
  IF(AK20&lt;MIN('2) หลักการคำนวน Table'!$C$3:$K$3),
     MIN('2) หลักการคำนวน Table'!$C$3:$K$3),
     MAX('2) หลักการคำนวน Table'!$C$3:$K$3)
  )
)</f>
        <v>0.9</v>
      </c>
      <c r="AX20" s="186">
        <f>IFERROR(
  _xlfn.XLOOKUP(AL20,'2) หลักการคำนวน Table'!$C$3:$K$3,'2) หลักการคำนวน Table'!$C$3:$K$3,,1),
  IF(AL20&lt;MIN('2) หลักการคำนวน Table'!$C$3:$K$3),
     MIN('2) หลักการคำนวน Table'!$C$3:$K$3),
     MAX('2) หลักการคำนวน Table'!$C$3:$K$3)
  )
)</f>
        <v>0.9</v>
      </c>
      <c r="AY20" s="186">
        <f>IFERROR(
  _xlfn.XLOOKUP(AM20,'2) หลักการคำนวน Table'!$C$3:$K$3,'2) หลักการคำนวน Table'!$C$3:$K$3,,1),
  IF(AM20&lt;MIN('2) หลักการคำนวน Table'!$C$3:$K$3),
     MIN('2) หลักการคำนวน Table'!$C$3:$K$3),
     MAX('2) หลักการคำนวน Table'!$C$3:$K$3)
  )
)</f>
        <v>0.9</v>
      </c>
      <c r="AZ20" s="135" t="e" cm="1">
        <f t="array" ref="AZ20">ROUND((_xlfn.XLOOKUP($C20,'2) หลักการคำนวน Table'!$A$4:$A$36,
_xlfn.XLOOKUP(AN20,'2)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A20" s="135" t="e" cm="1">
        <f t="array" ref="BA20">ROUND((_xlfn.XLOOKUP($C20,'2) หลักการคำนวน Table'!$A$4:$A$36,
_xlfn.XLOOKUP(AO20,'2)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B20" s="135" t="e" cm="1">
        <f t="array" ref="BB20">ROUND((_xlfn.XLOOKUP($C20,'2) หลักการคำนวน Table'!$A$4:$A$36,
_xlfn.XLOOKUP(AP20,'2)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C20" s="135" t="e" cm="1">
        <f t="array" ref="BC20">ROUND((_xlfn.XLOOKUP($C20,'2) หลักการคำนวน Table'!$A$4:$A$36,
_xlfn.XLOOKUP(AQ20,'2)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D20" s="135" t="e" cm="1">
        <f t="array" ref="BD20">ROUND((_xlfn.XLOOKUP($C20,'2) หลักการคำนวน Table'!$A$4:$A$36,
_xlfn.XLOOKUP(AR20,'2)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E20" s="135" t="e" cm="1">
        <f t="array" ref="BE20">ROUND((_xlfn.XLOOKUP($C20,'2) หลักการคำนวน Table'!$A$4:$A$36,
_xlfn.XLOOKUP(AS20,'2)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F20" s="135" t="e" cm="1">
        <f t="array" ref="BF20">ROUND((_xlfn.XLOOKUP($C20,'2) หลักการคำนวน Table'!$A$4:$A$36,
_xlfn.XLOOKUP(AT20,'2)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G20" s="135" t="e" cm="1">
        <f t="array" ref="BG20">ROUND((_xlfn.XLOOKUP($C20,'2) หลักการคำนวน Table'!$A$4:$A$36,
_xlfn.XLOOKUP(AU20,'2)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H20" s="135" t="e" cm="1">
        <f t="array" ref="BH20">ROUND((_xlfn.XLOOKUP($C20,'2) หลักการคำนวน Table'!$A$4:$A$36,
_xlfn.XLOOKUP(AV20,'2)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I20" s="135" t="e" cm="1">
        <f t="array" ref="BI20">ROUND((_xlfn.XLOOKUP($C20,'2) หลักการคำนวน Table'!$A$4:$A$36,
_xlfn.XLOOKUP(AW20,'2)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J20" s="135" t="e" cm="1">
        <f t="array" ref="BJ20">ROUND((_xlfn.XLOOKUP($C20,'2) หลักการคำนวน Table'!$A$4:$A$36,
_xlfn.XLOOKUP(AX20,'2)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K20" s="135" t="e" cm="1">
        <f t="array" ref="BK20">ROUND((_xlfn.XLOOKUP($C20,'2) หลักการคำนวน Table'!$A$4:$A$36,
_xlfn.XLOOKUP(AY20,'2) หลักการคำนวน Table'!$C$3:$K$3,'2) หลักการคำนวน Table'!$C$4:$K$36,,-1)))*(_xlfn.XLOOKUP($C20,'2) หลักการคำนวน Table'!$A$4:$A$36, _xlfn.XLOOKUP($B20,'2) หลักการคำนวน Table'!$L$3:$Z$3,'2) หลักการคำนวน Table'!$L$4:$Z$36))),0)</f>
        <v>#N/A</v>
      </c>
      <c r="BL20" s="239"/>
      <c r="BM20" s="126">
        <v>222223</v>
      </c>
      <c r="BN20" s="245">
        <v>156</v>
      </c>
    </row>
    <row r="21" spans="1:66" ht="13.2" customHeight="1" x14ac:dyDescent="0.25">
      <c r="A21" s="128">
        <f>VLOOKUP(C21,ASTBase!F:S,12,FALSE)</f>
        <v>222222</v>
      </c>
      <c r="B21" s="126" t="s">
        <v>416</v>
      </c>
      <c r="C21" s="128">
        <v>222223</v>
      </c>
      <c r="D21" s="323">
        <f>SUMIFS('3)Target &amp; Cal_Sect'!D$4:D$60,'3)Target &amp; Cal_Sect'!$B$4:$B$60,'3)Target &amp; Cal_Dept'!$B21,'3)Target &amp; Cal_Sect'!$A$4:$A$60,'3)Target &amp; Cal_Dept'!$C21)</f>
        <v>15</v>
      </c>
      <c r="E21" s="127">
        <f>SUMIFS('3)Target &amp; Cal_Sect'!E$4:E$60,'3)Target &amp; Cal_Sect'!$B$4:$B$60,'3)Target &amp; Cal_Dept'!$B21,'3)Target &amp; Cal_Sect'!$A$4:$A$60,'3)Target &amp; Cal_Dept'!$C21)</f>
        <v>22</v>
      </c>
      <c r="F21" s="127">
        <f>SUMIFS('3)Target &amp; Cal_Sect'!F$4:F$60,'3)Target &amp; Cal_Sect'!$B$4:$B$60,'3)Target &amp; Cal_Dept'!$B21,'3)Target &amp; Cal_Sect'!$A$4:$A$60,'3)Target &amp; Cal_Dept'!$C21)</f>
        <v>39</v>
      </c>
      <c r="G21" s="127">
        <f>SUMIFS('3)Target &amp; Cal_Sect'!G$4:G$60,'3)Target &amp; Cal_Sect'!$B$4:$B$60,'3)Target &amp; Cal_Dept'!$B21,'3)Target &amp; Cal_Sect'!$A$4:$A$60,'3)Target &amp; Cal_Dept'!$C21)</f>
        <v>23</v>
      </c>
      <c r="H21" s="127">
        <f>SUMIFS('3)Target &amp; Cal_Sect'!H$4:H$60,'3)Target &amp; Cal_Sect'!$B$4:$B$60,'3)Target &amp; Cal_Dept'!$B21,'3)Target &amp; Cal_Sect'!$A$4:$A$60,'3)Target &amp; Cal_Dept'!$C21)</f>
        <v>21</v>
      </c>
      <c r="I21" s="127">
        <f>SUMIFS('3)Target &amp; Cal_Sect'!I$4:I$60,'3)Target &amp; Cal_Sect'!$B$4:$B$60,'3)Target &amp; Cal_Dept'!$B21,'3)Target &amp; Cal_Sect'!$A$4:$A$60,'3)Target &amp; Cal_Dept'!$C21)</f>
        <v>23</v>
      </c>
      <c r="J21" s="127">
        <f>SUMIFS('3)Target &amp; Cal_Sect'!J$4:J$60,'3)Target &amp; Cal_Sect'!$B$4:$B$60,'3)Target &amp; Cal_Dept'!$B21,'3)Target &amp; Cal_Sect'!$A$4:$A$60,'3)Target &amp; Cal_Dept'!$C21)</f>
        <v>24</v>
      </c>
      <c r="K21" s="127">
        <f>SUMIFS('3)Target &amp; Cal_Sect'!K$4:K$60,'3)Target &amp; Cal_Sect'!$B$4:$B$60,'3)Target &amp; Cal_Dept'!$B21,'3)Target &amp; Cal_Sect'!$A$4:$A$60,'3)Target &amp; Cal_Dept'!$C21)</f>
        <v>22</v>
      </c>
      <c r="L21" s="127">
        <v>431679.99999999895</v>
      </c>
      <c r="M21" s="127">
        <v>466776</v>
      </c>
      <c r="N21" s="127">
        <v>215366.99999999898</v>
      </c>
      <c r="O21" s="127">
        <v>357681.07637530332</v>
      </c>
      <c r="P21" s="127">
        <f>SUMIFS('3)Target &amp; Cal_Sect'!P$4:P$60,'3)Target &amp; Cal_Sect'!$B$4:$B$60,'3)Target &amp; Cal_Dept'!$B21,'3)Target &amp; Cal_Sect'!$A$4:$A$60,'3)Target &amp; Cal_Dept'!$C21)</f>
        <v>16.999999999728001</v>
      </c>
      <c r="Q21" s="127">
        <f>SUMIFS('3)Target &amp; Cal_Sect'!Q$4:Q$60,'3)Target &amp; Cal_Sect'!$B$4:$B$60,'3)Target &amp; Cal_Dept'!$B21,'3)Target &amp; Cal_Sect'!$A$4:$A$60,'3)Target &amp; Cal_Dept'!$C21)</f>
        <v>0</v>
      </c>
      <c r="R21" s="127">
        <f>SUMIFS('3)Target &amp; Cal_Sect'!R$4:R$60,'3)Target &amp; Cal_Sect'!$B$4:$B$60,'3)Target &amp; Cal_Dept'!$B21,'3)Target &amp; Cal_Sect'!$A$4:$A$60,'3)Target &amp; Cal_Dept'!$C21)</f>
        <v>0</v>
      </c>
      <c r="S21" s="127">
        <f>SUMIFS('3)Target &amp; Cal_Sect'!S$4:S$60,'3)Target &amp; Cal_Sect'!$B$4:$B$60,'3)Target &amp; Cal_Dept'!$B21,'3)Target &amp; Cal_Sect'!$A$4:$A$60,'3)Target &amp; Cal_Dept'!$C21)</f>
        <v>0</v>
      </c>
      <c r="T21" s="127">
        <f>SUMIFS('3)Target &amp; Cal_Sect'!T$4:T$60,'3)Target &amp; Cal_Sect'!$B$4:$B$60,'3)Target &amp; Cal_Dept'!$B21,'3)Target &amp; Cal_Sect'!$A$4:$A$60,'3)Target &amp; Cal_Dept'!$C21)</f>
        <v>0</v>
      </c>
      <c r="U21" s="127">
        <f>SUMIFS('3)Target &amp; Cal_Sect'!U$4:U$60,'3)Target &amp; Cal_Sect'!$B$4:$B$60,'3)Target &amp; Cal_Dept'!$B21,'3)Target &amp; Cal_Sect'!$A$4:$A$60,'3)Target &amp; Cal_Dept'!$C21)</f>
        <v>0</v>
      </c>
      <c r="V21" s="127">
        <f>SUMIFS('3)Target &amp; Cal_Sect'!V$4:V$60,'3)Target &amp; Cal_Sect'!$B$4:$B$60,'3)Target &amp; Cal_Dept'!$B21,'3)Target &amp; Cal_Sect'!$A$4:$A$60,'3)Target &amp; Cal_Dept'!$C21)</f>
        <v>0</v>
      </c>
      <c r="W21" s="127">
        <f>SUMIFS('3)Target &amp; Cal_Sect'!W$4:W$60,'3)Target &amp; Cal_Sect'!$B$4:$B$60,'3)Target &amp; Cal_Dept'!$B21,'3)Target &amp; Cal_Sect'!$A$4:$A$60,'3)Target &amp; Cal_Dept'!$C21)</f>
        <v>0</v>
      </c>
      <c r="X21" s="127">
        <f>SUMIFS('3)Target &amp; Cal_Sect'!X$4:X$60,'3)Target &amp; Cal_Sect'!$B$4:$B$60,'3)Target &amp; Cal_Dept'!$B21,'3)Target &amp; Cal_Sect'!$A$4:$A$60,'3)Target &amp; Cal_Dept'!$C21)</f>
        <v>0</v>
      </c>
      <c r="Y21" s="127">
        <f>SUMIFS('3)Target &amp; Cal_Sect'!Y$4:Y$60,'3)Target &amp; Cal_Sect'!$B$4:$B$60,'3)Target &amp; Cal_Dept'!$B21,'3)Target &amp; Cal_Sect'!$A$4:$A$60,'3)Target &amp; Cal_Dept'!$C21)</f>
        <v>0</v>
      </c>
      <c r="Z21" s="127">
        <f>SUMIFS('3)Target &amp; Cal_Sect'!Z$4:Z$60,'3)Target &amp; Cal_Sect'!$B$4:$B$60,'3)Target &amp; Cal_Dept'!$B21,'3)Target &amp; Cal_Sect'!$A$4:$A$60,'3)Target &amp; Cal_Dept'!$C21)</f>
        <v>0</v>
      </c>
      <c r="AA21" s="127">
        <f>SUMIFS('3)Target &amp; Cal_Sect'!AA$4:AA$60,'3)Target &amp; Cal_Sect'!$B$4:$B$60,'3)Target &amp; Cal_Dept'!$B21,'3)Target &amp; Cal_Sect'!$A$4:$A$60,'3)Target &amp; Cal_Dept'!$C21)</f>
        <v>0</v>
      </c>
      <c r="AB21" s="132">
        <f>IFERROR(IF(VLOOKUP($B21,Shortage!$A:$M,AB$2,FALSE)="Shortage",1,IFERROR(ROUND(P21/D21,4),0)),IFERROR(ROUND(P21/D21,4),0))</f>
        <v>1.1333</v>
      </c>
      <c r="AC21" s="132">
        <f>IFERROR(IF(VLOOKUP($B21,Shortage!$A:$M,AC$2,FALSE)="Shortage",1,IFERROR(ROUND(Q21/E21,4),0)),IFERROR(ROUND(Q21/E21,4),0))</f>
        <v>0</v>
      </c>
      <c r="AD21" s="132">
        <f>IFERROR(IF(VLOOKUP($B21,Shortage!$A:$M,AD$2,FALSE)="Shortage",1,IFERROR(ROUND(R21/F21,4),0)),IFERROR(ROUND(R21/F21,4),0))</f>
        <v>0</v>
      </c>
      <c r="AE21" s="132">
        <f>IFERROR(IF(VLOOKUP($B21,Shortage!$A:$M,AE$2,FALSE)="Shortage",1,IFERROR(ROUND(S21/G21,4),0)),IFERROR(ROUND(S21/G21,4),0))</f>
        <v>0</v>
      </c>
      <c r="AF21" s="132">
        <f>IFERROR(IF(VLOOKUP($B21,Shortage!$A:$M,AF$2,FALSE)="Shortage",1,IFERROR(ROUND(T21/H21,4),0)),IFERROR(ROUND(T21/H21,4),0))</f>
        <v>0</v>
      </c>
      <c r="AG21" s="132">
        <f>IFERROR(IF(VLOOKUP($B21,Shortage!$A:$M,AG$2,FALSE)="Shortage",1,IFERROR(ROUND(U21/I21,4),0)),IFERROR(ROUND(U21/I21,4),0))</f>
        <v>0</v>
      </c>
      <c r="AH21" s="132">
        <f>IFERROR(IF(VLOOKUP($B21,Shortage!$A:$M,AH$2,FALSE)="Shortage",1,IFERROR(ROUND(V21/J21,4),0)),IFERROR(ROUND(V21/J21,4),0))</f>
        <v>0</v>
      </c>
      <c r="AI21" s="132">
        <f>IFERROR(IF(VLOOKUP($B21,Shortage!$A:$M,AI$2,FALSE)="Shortage",1,IFERROR(ROUND(W21/K21,4),0)),IFERROR(ROUND(W21/K21,4),0))</f>
        <v>0</v>
      </c>
      <c r="AJ21" s="132">
        <f>IFERROR(IF(VLOOKUP($B21,Shortage!$A:$M,AJ$2,FALSE)="Shortage",1,IFERROR(ROUND(X21/L21,4),0)),IFERROR(ROUND(X21/L21,4),0))</f>
        <v>0</v>
      </c>
      <c r="AK21" s="132">
        <f>IFERROR(IF(VLOOKUP($B21,Shortage!$A:$M,AK$2,FALSE)="Shortage",1,IFERROR(ROUND(Y21/M21,4),0)),IFERROR(ROUND(Y21/M21,4),0))</f>
        <v>0</v>
      </c>
      <c r="AL21" s="132">
        <f>IFERROR(IF(VLOOKUP($B21,Shortage!$A:$M,AL$2,FALSE)="Shortage",1,IFERROR(ROUND(Z21/N21,4),0)),IFERROR(ROUND(Z21/N21,4),0))</f>
        <v>0</v>
      </c>
      <c r="AM21" s="132">
        <f>IFERROR(IF(VLOOKUP($B21,Shortage!$A:$M,AM$2,FALSE)="Shortage",1,IFERROR(ROUND(AA21/O21,4),0)),IFERROR(ROUND(AA21/O21,4),0))</f>
        <v>0</v>
      </c>
      <c r="AN21" s="186">
        <f>IFERROR(_xlfn.XLOOKUP(AB21,'2) หลักการคำนวน Table'!$C$3:$K$3,'2) หลักการคำนวน Table'!$C$3:$K$3,,1),INDEX('2) หลักการคำนวน Table'!$C$3:$K$3,1))</f>
        <v>1.1499999999999999</v>
      </c>
      <c r="AO21" s="186">
        <f>IFERROR(
  _xlfn.XLOOKUP(AC21,'2) หลักการคำนวน Table'!$C$3:$K$3,'2) หลักการคำนวน Table'!$C$3:$K$3,,1),
  IF(AC21&lt;MIN('2) หลักการคำนวน Table'!$C$3:$K$3),
     MIN('2) หลักการคำนวน Table'!$C$3:$K$3),
     MAX('2) หลักการคำนวน Table'!$C$3:$K$3)
  )
)</f>
        <v>0.9</v>
      </c>
      <c r="AP21" s="186">
        <f>IFERROR(
  _xlfn.XLOOKUP(AD21,'2) หลักการคำนวน Table'!$C$3:$K$3,'2) หลักการคำนวน Table'!$C$3:$K$3,,1),
  IF(AD21&lt;MIN('2) หลักการคำนวน Table'!$C$3:$K$3),
     MIN('2) หลักการคำนวน Table'!$C$3:$K$3),
     MAX('2) หลักการคำนวน Table'!$C$3:$K$3)
  )
)</f>
        <v>0.9</v>
      </c>
      <c r="AQ21" s="186">
        <f>IFERROR(
  _xlfn.XLOOKUP(AE21,'2) หลักการคำนวน Table'!$C$3:$K$3,'2) หลักการคำนวน Table'!$C$3:$K$3,,1),
  IF(AE21&lt;MIN('2) หลักการคำนวน Table'!$C$3:$K$3),
     MIN('2) หลักการคำนวน Table'!$C$3:$K$3),
     MAX('2) หลักการคำนวน Table'!$C$3:$K$3)
  )
)</f>
        <v>0.9</v>
      </c>
      <c r="AR21" s="186">
        <f>IFERROR(
  _xlfn.XLOOKUP(AF21,'2) หลักการคำนวน Table'!$C$3:$K$3,'2) หลักการคำนวน Table'!$C$3:$K$3,,1),
  IF(AF21&lt;MIN('2) หลักการคำนวน Table'!$C$3:$K$3),
     MIN('2) หลักการคำนวน Table'!$C$3:$K$3),
     MAX('2) หลักการคำนวน Table'!$C$3:$K$3)
  )
)</f>
        <v>0.9</v>
      </c>
      <c r="AS21" s="186">
        <f>IFERROR(
  _xlfn.XLOOKUP(AG21,'2) หลักการคำนวน Table'!$C$3:$K$3,'2) หลักการคำนวน Table'!$C$3:$K$3,,1),
  IF(AG21&lt;MIN('2) หลักการคำนวน Table'!$C$3:$K$3),
     MIN('2) หลักการคำนวน Table'!$C$3:$K$3),
     MAX('2) หลักการคำนวน Table'!$C$3:$K$3)
  )
)</f>
        <v>0.9</v>
      </c>
      <c r="AT21" s="186">
        <f>IFERROR(
  _xlfn.XLOOKUP(AH21,'2) หลักการคำนวน Table'!$C$3:$K$3,'2) หลักการคำนวน Table'!$C$3:$K$3,,1),
  IF(AH21&lt;MIN('2) หลักการคำนวน Table'!$C$3:$K$3),
     MIN('2) หลักการคำนวน Table'!$C$3:$K$3),
     MAX('2) หลักการคำนวน Table'!$C$3:$K$3)
  )
)</f>
        <v>0.9</v>
      </c>
      <c r="AU21" s="186">
        <f>IFERROR(
  _xlfn.XLOOKUP(AI21,'2) หลักการคำนวน Table'!$C$3:$K$3,'2) หลักการคำนวน Table'!$C$3:$K$3,,1),
  IF(AI21&lt;MIN('2) หลักการคำนวน Table'!$C$3:$K$3),
     MIN('2) หลักการคำนวน Table'!$C$3:$K$3),
     MAX('2) หลักการคำนวน Table'!$C$3:$K$3)
  )
)</f>
        <v>0.9</v>
      </c>
      <c r="AV21" s="186">
        <f>IFERROR(
  _xlfn.XLOOKUP(AJ21,'2) หลักการคำนวน Table'!$C$3:$K$3,'2) หลักการคำนวน Table'!$C$3:$K$3,,1),
  IF(AJ21&lt;MIN('2) หลักการคำนวน Table'!$C$3:$K$3),
     MIN('2) หลักการคำนวน Table'!$C$3:$K$3),
     MAX('2) หลักการคำนวน Table'!$C$3:$K$3)
  )
)</f>
        <v>0.9</v>
      </c>
      <c r="AW21" s="186">
        <f>IFERROR(
  _xlfn.XLOOKUP(AK21,'2) หลักการคำนวน Table'!$C$3:$K$3,'2) หลักการคำนวน Table'!$C$3:$K$3,,1),
  IF(AK21&lt;MIN('2) หลักการคำนวน Table'!$C$3:$K$3),
     MIN('2) หลักการคำนวน Table'!$C$3:$K$3),
     MAX('2) หลักการคำนวน Table'!$C$3:$K$3)
  )
)</f>
        <v>0.9</v>
      </c>
      <c r="AX21" s="186">
        <f>IFERROR(
  _xlfn.XLOOKUP(AL21,'2) หลักการคำนวน Table'!$C$3:$K$3,'2) หลักการคำนวน Table'!$C$3:$K$3,,1),
  IF(AL21&lt;MIN('2) หลักการคำนวน Table'!$C$3:$K$3),
     MIN('2) หลักการคำนวน Table'!$C$3:$K$3),
     MAX('2) หลักการคำนวน Table'!$C$3:$K$3)
  )
)</f>
        <v>0.9</v>
      </c>
      <c r="AY21" s="186">
        <f>IFERROR(
  _xlfn.XLOOKUP(AM21,'2) หลักการคำนวน Table'!$C$3:$K$3,'2) หลักการคำนวน Table'!$C$3:$K$3,,1),
  IF(AM21&lt;MIN('2) หลักการคำนวน Table'!$C$3:$K$3),
     MIN('2) หลักการคำนวน Table'!$C$3:$K$3),
     MAX('2) หลักการคำนวน Table'!$C$3:$K$3)
  )
)</f>
        <v>0.9</v>
      </c>
      <c r="AZ21" s="135" t="e" cm="1">
        <f t="array" ref="AZ21">ROUND((_xlfn.XLOOKUP($C21,'2) หลักการคำนวน Table'!$A$4:$A$36,
_xlfn.XLOOKUP(AN21,'2)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A21" s="135" t="e" cm="1">
        <f t="array" ref="BA21">ROUND((_xlfn.XLOOKUP($C21,'2) หลักการคำนวน Table'!$A$4:$A$36,
_xlfn.XLOOKUP(AO21,'2)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B21" s="135" t="e" cm="1">
        <f t="array" ref="BB21">ROUND((_xlfn.XLOOKUP($C21,'2) หลักการคำนวน Table'!$A$4:$A$36,
_xlfn.XLOOKUP(AP21,'2)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C21" s="135" t="e" cm="1">
        <f t="array" ref="BC21">ROUND((_xlfn.XLOOKUP($C21,'2) หลักการคำนวน Table'!$A$4:$A$36,
_xlfn.XLOOKUP(AQ21,'2)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D21" s="135" t="e" cm="1">
        <f t="array" ref="BD21">ROUND((_xlfn.XLOOKUP($C21,'2) หลักการคำนวน Table'!$A$4:$A$36,
_xlfn.XLOOKUP(AR21,'2)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E21" s="135" t="e" cm="1">
        <f t="array" ref="BE21">ROUND((_xlfn.XLOOKUP($C21,'2) หลักการคำนวน Table'!$A$4:$A$36,
_xlfn.XLOOKUP(AS21,'2)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F21" s="135" t="e" cm="1">
        <f t="array" ref="BF21">ROUND((_xlfn.XLOOKUP($C21,'2) หลักการคำนวน Table'!$A$4:$A$36,
_xlfn.XLOOKUP(AT21,'2)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G21" s="135" t="e" cm="1">
        <f t="array" ref="BG21">ROUND((_xlfn.XLOOKUP($C21,'2) หลักการคำนวน Table'!$A$4:$A$36,
_xlfn.XLOOKUP(AU21,'2)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H21" s="135" t="e" cm="1">
        <f t="array" ref="BH21">ROUND((_xlfn.XLOOKUP($C21,'2) หลักการคำนวน Table'!$A$4:$A$36,
_xlfn.XLOOKUP(AV21,'2)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I21" s="135" t="e" cm="1">
        <f t="array" ref="BI21">ROUND((_xlfn.XLOOKUP($C21,'2) หลักการคำนวน Table'!$A$4:$A$36,
_xlfn.XLOOKUP(AW21,'2)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J21" s="135" t="e" cm="1">
        <f t="array" ref="BJ21">ROUND((_xlfn.XLOOKUP($C21,'2) หลักการคำนวน Table'!$A$4:$A$36,
_xlfn.XLOOKUP(AX21,'2)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K21" s="135" t="e" cm="1">
        <f t="array" ref="BK21">ROUND((_xlfn.XLOOKUP($C21,'2) หลักการคำนวน Table'!$A$4:$A$36,
_xlfn.XLOOKUP(AY21,'2) หลักการคำนวน Table'!$C$3:$K$3,'2) หลักการคำนวน Table'!$C$4:$K$36,,-1)))*(_xlfn.XLOOKUP($C21,'2) หลักการคำนวน Table'!$A$4:$A$36, _xlfn.XLOOKUP($B21,'2) หลักการคำนวน Table'!$L$3:$Z$3,'2) หลักการคำนวน Table'!$L$4:$Z$36))),0)</f>
        <v>#N/A</v>
      </c>
      <c r="BL21" s="239"/>
      <c r="BM21" s="126">
        <v>222223</v>
      </c>
      <c r="BN21" s="245">
        <v>1</v>
      </c>
    </row>
    <row r="22" spans="1:66" ht="13.2" customHeight="1" x14ac:dyDescent="0.25">
      <c r="A22" s="128">
        <f>VLOOKUP(C22,ASTBase!F:S,12,FALSE)</f>
        <v>222222</v>
      </c>
      <c r="B22" s="126" t="s">
        <v>407</v>
      </c>
      <c r="C22" s="128">
        <v>222223</v>
      </c>
      <c r="D22" s="127">
        <f>SUMIFS('3)Target &amp; Cal_Sect'!D$4:D$60,'3)Target &amp; Cal_Sect'!$B$4:$B$60,'3)Target &amp; Cal_Dept'!$B22,'3)Target &amp; Cal_Sect'!$A$4:$A$60,'3)Target &amp; Cal_Dept'!$C22)</f>
        <v>497000</v>
      </c>
      <c r="E22" s="127">
        <f>SUMIFS('3)Target &amp; Cal_Sect'!E$4:E$60,'3)Target &amp; Cal_Sect'!$B$4:$B$60,'3)Target &amp; Cal_Dept'!$B22,'3)Target &amp; Cal_Sect'!$A$4:$A$60,'3)Target &amp; Cal_Dept'!$C22)</f>
        <v>450000</v>
      </c>
      <c r="F22" s="127">
        <f>SUMIFS('3)Target &amp; Cal_Sect'!F$4:F$60,'3)Target &amp; Cal_Sect'!$B$4:$B$60,'3)Target &amp; Cal_Dept'!$B22,'3)Target &amp; Cal_Sect'!$A$4:$A$60,'3)Target &amp; Cal_Dept'!$C22)</f>
        <v>545000</v>
      </c>
      <c r="G22" s="127">
        <f>SUMIFS('3)Target &amp; Cal_Sect'!G$4:G$60,'3)Target &amp; Cal_Sect'!$B$4:$B$60,'3)Target &amp; Cal_Dept'!$B22,'3)Target &amp; Cal_Sect'!$A$4:$A$60,'3)Target &amp; Cal_Dept'!$C22)</f>
        <v>481000</v>
      </c>
      <c r="H22" s="127">
        <f>SUMIFS('3)Target &amp; Cal_Sect'!H$4:H$60,'3)Target &amp; Cal_Sect'!$B$4:$B$60,'3)Target &amp; Cal_Dept'!$B22,'3)Target &amp; Cal_Sect'!$A$4:$A$60,'3)Target &amp; Cal_Dept'!$C22)</f>
        <v>494000</v>
      </c>
      <c r="I22" s="127">
        <f>SUMIFS('3)Target &amp; Cal_Sect'!I$4:I$60,'3)Target &amp; Cal_Sect'!$B$4:$B$60,'3)Target &amp; Cal_Dept'!$B22,'3)Target &amp; Cal_Sect'!$A$4:$A$60,'3)Target &amp; Cal_Dept'!$C22)</f>
        <v>567000</v>
      </c>
      <c r="J22" s="127">
        <f>SUMIFS('3)Target &amp; Cal_Sect'!J$4:J$60,'3)Target &amp; Cal_Sect'!$B$4:$B$60,'3)Target &amp; Cal_Dept'!$B22,'3)Target &amp; Cal_Sect'!$A$4:$A$60,'3)Target &amp; Cal_Dept'!$C22)</f>
        <v>473000</v>
      </c>
      <c r="K22" s="127">
        <f>SUMIFS('3)Target &amp; Cal_Sect'!K$4:K$60,'3)Target &amp; Cal_Sect'!$B$4:$B$60,'3)Target &amp; Cal_Dept'!$B22,'3)Target &amp; Cal_Sect'!$A$4:$A$60,'3)Target &amp; Cal_Dept'!$C22)</f>
        <v>571000</v>
      </c>
      <c r="L22" s="127">
        <v>161500</v>
      </c>
      <c r="M22" s="127">
        <v>201116</v>
      </c>
      <c r="N22" s="127">
        <v>84748</v>
      </c>
      <c r="O22" s="127">
        <v>146000</v>
      </c>
      <c r="P22" s="127">
        <f>SUMIFS('3)Target &amp; Cal_Sect'!P$4:P$60,'3)Target &amp; Cal_Sect'!$B$4:$B$60,'3)Target &amp; Cal_Dept'!$B22,'3)Target &amp; Cal_Sect'!$A$4:$A$60,'3)Target &amp; Cal_Dept'!$C22)</f>
        <v>430853.99999573478</v>
      </c>
      <c r="Q22" s="127">
        <f>SUMIFS('3)Target &amp; Cal_Sect'!Q$4:Q$60,'3)Target &amp; Cal_Sect'!$B$4:$B$60,'3)Target &amp; Cal_Dept'!$B22,'3)Target &amp; Cal_Sect'!$A$4:$A$60,'3)Target &amp; Cal_Dept'!$C22)</f>
        <v>0</v>
      </c>
      <c r="R22" s="127">
        <f>SUMIFS('3)Target &amp; Cal_Sect'!R$4:R$60,'3)Target &amp; Cal_Sect'!$B$4:$B$60,'3)Target &amp; Cal_Dept'!$B22,'3)Target &amp; Cal_Sect'!$A$4:$A$60,'3)Target &amp; Cal_Dept'!$C22)</f>
        <v>0</v>
      </c>
      <c r="S22" s="127">
        <f>SUMIFS('3)Target &amp; Cal_Sect'!S$4:S$60,'3)Target &amp; Cal_Sect'!$B$4:$B$60,'3)Target &amp; Cal_Dept'!$B22,'3)Target &amp; Cal_Sect'!$A$4:$A$60,'3)Target &amp; Cal_Dept'!$C22)</f>
        <v>0</v>
      </c>
      <c r="T22" s="127">
        <f>SUMIFS('3)Target &amp; Cal_Sect'!T$4:T$60,'3)Target &amp; Cal_Sect'!$B$4:$B$60,'3)Target &amp; Cal_Dept'!$B22,'3)Target &amp; Cal_Sect'!$A$4:$A$60,'3)Target &amp; Cal_Dept'!$C22)</f>
        <v>0</v>
      </c>
      <c r="U22" s="127">
        <f>SUMIFS('3)Target &amp; Cal_Sect'!U$4:U$60,'3)Target &amp; Cal_Sect'!$B$4:$B$60,'3)Target &amp; Cal_Dept'!$B22,'3)Target &amp; Cal_Sect'!$A$4:$A$60,'3)Target &amp; Cal_Dept'!$C22)</f>
        <v>0</v>
      </c>
      <c r="V22" s="127">
        <f>SUMIFS('3)Target &amp; Cal_Sect'!V$4:V$60,'3)Target &amp; Cal_Sect'!$B$4:$B$60,'3)Target &amp; Cal_Dept'!$B22,'3)Target &amp; Cal_Sect'!$A$4:$A$60,'3)Target &amp; Cal_Dept'!$C22)</f>
        <v>0</v>
      </c>
      <c r="W22" s="127">
        <f>SUMIFS('3)Target &amp; Cal_Sect'!W$4:W$60,'3)Target &amp; Cal_Sect'!$B$4:$B$60,'3)Target &amp; Cal_Dept'!$B22,'3)Target &amp; Cal_Sect'!$A$4:$A$60,'3)Target &amp; Cal_Dept'!$C22)</f>
        <v>0</v>
      </c>
      <c r="X22" s="127">
        <f>SUMIFS('3)Target &amp; Cal_Sect'!X$4:X$60,'3)Target &amp; Cal_Sect'!$B$4:$B$60,'3)Target &amp; Cal_Dept'!$B22,'3)Target &amp; Cal_Sect'!$A$4:$A$60,'3)Target &amp; Cal_Dept'!$C22)</f>
        <v>0</v>
      </c>
      <c r="Y22" s="127">
        <f>SUMIFS('3)Target &amp; Cal_Sect'!Y$4:Y$60,'3)Target &amp; Cal_Sect'!$B$4:$B$60,'3)Target &amp; Cal_Dept'!$B22,'3)Target &amp; Cal_Sect'!$A$4:$A$60,'3)Target &amp; Cal_Dept'!$C22)</f>
        <v>0</v>
      </c>
      <c r="Z22" s="127">
        <f>SUMIFS('3)Target &amp; Cal_Sect'!Z$4:Z$60,'3)Target &amp; Cal_Sect'!$B$4:$B$60,'3)Target &amp; Cal_Dept'!$B22,'3)Target &amp; Cal_Sect'!$A$4:$A$60,'3)Target &amp; Cal_Dept'!$C22)</f>
        <v>0</v>
      </c>
      <c r="AA22" s="127">
        <f>SUMIFS('3)Target &amp; Cal_Sect'!AA$4:AA$60,'3)Target &amp; Cal_Sect'!$B$4:$B$60,'3)Target &amp; Cal_Dept'!$B22,'3)Target &amp; Cal_Sect'!$A$4:$A$60,'3)Target &amp; Cal_Dept'!$C22)</f>
        <v>0</v>
      </c>
      <c r="AB22" s="132">
        <f>IFERROR(IF(VLOOKUP($B22,Shortage!$A:$M,AB$2,FALSE)="Shortage",1,IFERROR(ROUND(P22/D22,4),0)),IFERROR(ROUND(P22/D22,4),0))</f>
        <v>0.8669</v>
      </c>
      <c r="AC22" s="132">
        <f>IFERROR(IF(VLOOKUP($B22,Shortage!$A:$M,AC$2,FALSE)="Shortage",1,IFERROR(ROUND(Q22/E22,4),0)),IFERROR(ROUND(Q22/E22,4),0))</f>
        <v>0</v>
      </c>
      <c r="AD22" s="132">
        <f>IFERROR(IF(VLOOKUP($B22,Shortage!$A:$M,AD$2,FALSE)="Shortage",1,IFERROR(ROUND(R22/F22,4),0)),IFERROR(ROUND(R22/F22,4),0))</f>
        <v>0</v>
      </c>
      <c r="AE22" s="132">
        <f>IFERROR(IF(VLOOKUP($B22,Shortage!$A:$M,AE$2,FALSE)="Shortage",1,IFERROR(ROUND(S22/G22,4),0)),IFERROR(ROUND(S22/G22,4),0))</f>
        <v>0</v>
      </c>
      <c r="AF22" s="132">
        <f>IFERROR(IF(VLOOKUP($B22,Shortage!$A:$M,AF$2,FALSE)="Shortage",1,IFERROR(ROUND(T22/H22,4),0)),IFERROR(ROUND(T22/H22,4),0))</f>
        <v>0</v>
      </c>
      <c r="AG22" s="132">
        <f>IFERROR(IF(VLOOKUP($B22,Shortage!$A:$M,AG$2,FALSE)="Shortage",1,IFERROR(ROUND(U22/I22,4),0)),IFERROR(ROUND(U22/I22,4),0))</f>
        <v>0</v>
      </c>
      <c r="AH22" s="132">
        <f>IFERROR(IF(VLOOKUP($B22,Shortage!$A:$M,AH$2,FALSE)="Shortage",1,IFERROR(ROUND(V22/J22,4),0)),IFERROR(ROUND(V22/J22,4),0))</f>
        <v>0</v>
      </c>
      <c r="AI22" s="132">
        <f>IFERROR(IF(VLOOKUP($B22,Shortage!$A:$M,AI$2,FALSE)="Shortage",1,IFERROR(ROUND(W22/K22,4),0)),IFERROR(ROUND(W22/K22,4),0))</f>
        <v>0</v>
      </c>
      <c r="AJ22" s="132">
        <f>IFERROR(IF(VLOOKUP($B22,Shortage!$A:$M,AJ$2,FALSE)="Shortage",1,IFERROR(ROUND(X22/L22,4),0)),IFERROR(ROUND(X22/L22,4),0))</f>
        <v>0</v>
      </c>
      <c r="AK22" s="132">
        <f>IFERROR(IF(VLOOKUP($B22,Shortage!$A:$M,AK$2,FALSE)="Shortage",1,IFERROR(ROUND(Y22/M22,4),0)),IFERROR(ROUND(Y22/M22,4),0))</f>
        <v>0</v>
      </c>
      <c r="AL22" s="132">
        <f>IFERROR(IF(VLOOKUP($B22,Shortage!$A:$M,AL$2,FALSE)="Shortage",1,IFERROR(ROUND(Z22/N22,4),0)),IFERROR(ROUND(Z22/N22,4),0))</f>
        <v>0</v>
      </c>
      <c r="AM22" s="132">
        <f>IFERROR(IF(VLOOKUP($B22,Shortage!$A:$M,AM$2,FALSE)="Shortage",1,IFERROR(ROUND(AA22/O22,4),0)),IFERROR(ROUND(AA22/O22,4),0))</f>
        <v>0</v>
      </c>
      <c r="AN22" s="186">
        <f>IFERROR(_xlfn.XLOOKUP(AB22,'2) หลักการคำนวน Table'!$C$3:$K$3,'2) หลักการคำนวน Table'!$C$3:$K$3,,1),INDEX('2) หลักการคำนวน Table'!$C$3:$K$3,1))</f>
        <v>0.9</v>
      </c>
      <c r="AO22" s="186">
        <f>IFERROR(
  _xlfn.XLOOKUP(AC22,'2) หลักการคำนวน Table'!$C$3:$K$3,'2) หลักการคำนวน Table'!$C$3:$K$3,,1),
  IF(AC22&lt;MIN('2) หลักการคำนวน Table'!$C$3:$K$3),
     MIN('2) หลักการคำนวน Table'!$C$3:$K$3),
     MAX('2) หลักการคำนวน Table'!$C$3:$K$3)
  )
)</f>
        <v>0.9</v>
      </c>
      <c r="AP22" s="186">
        <f>IFERROR(
  _xlfn.XLOOKUP(AD22,'2) หลักการคำนวน Table'!$C$3:$K$3,'2) หลักการคำนวน Table'!$C$3:$K$3,,1),
  IF(AD22&lt;MIN('2) หลักการคำนวน Table'!$C$3:$K$3),
     MIN('2) หลักการคำนวน Table'!$C$3:$K$3),
     MAX('2) หลักการคำนวน Table'!$C$3:$K$3)
  )
)</f>
        <v>0.9</v>
      </c>
      <c r="AQ22" s="186">
        <f>IFERROR(
  _xlfn.XLOOKUP(AE22,'2) หลักการคำนวน Table'!$C$3:$K$3,'2) หลักการคำนวน Table'!$C$3:$K$3,,1),
  IF(AE22&lt;MIN('2) หลักการคำนวน Table'!$C$3:$K$3),
     MIN('2) หลักการคำนวน Table'!$C$3:$K$3),
     MAX('2) หลักการคำนวน Table'!$C$3:$K$3)
  )
)</f>
        <v>0.9</v>
      </c>
      <c r="AR22" s="186">
        <f>IFERROR(
  _xlfn.XLOOKUP(AF22,'2) หลักการคำนวน Table'!$C$3:$K$3,'2) หลักการคำนวน Table'!$C$3:$K$3,,1),
  IF(AF22&lt;MIN('2) หลักการคำนวน Table'!$C$3:$K$3),
     MIN('2) หลักการคำนวน Table'!$C$3:$K$3),
     MAX('2) หลักการคำนวน Table'!$C$3:$K$3)
  )
)</f>
        <v>0.9</v>
      </c>
      <c r="AS22" s="186">
        <f>IFERROR(
  _xlfn.XLOOKUP(AG22,'2) หลักการคำนวน Table'!$C$3:$K$3,'2) หลักการคำนวน Table'!$C$3:$K$3,,1),
  IF(AG22&lt;MIN('2) หลักการคำนวน Table'!$C$3:$K$3),
     MIN('2) หลักการคำนวน Table'!$C$3:$K$3),
     MAX('2) หลักการคำนวน Table'!$C$3:$K$3)
  )
)</f>
        <v>0.9</v>
      </c>
      <c r="AT22" s="186">
        <f>IFERROR(
  _xlfn.XLOOKUP(AH22,'2) หลักการคำนวน Table'!$C$3:$K$3,'2) หลักการคำนวน Table'!$C$3:$K$3,,1),
  IF(AH22&lt;MIN('2) หลักการคำนวน Table'!$C$3:$K$3),
     MIN('2) หลักการคำนวน Table'!$C$3:$K$3),
     MAX('2) หลักการคำนวน Table'!$C$3:$K$3)
  )
)</f>
        <v>0.9</v>
      </c>
      <c r="AU22" s="186">
        <f>IFERROR(
  _xlfn.XLOOKUP(AI22,'2) หลักการคำนวน Table'!$C$3:$K$3,'2) หลักการคำนวน Table'!$C$3:$K$3,,1),
  IF(AI22&lt;MIN('2) หลักการคำนวน Table'!$C$3:$K$3),
     MIN('2) หลักการคำนวน Table'!$C$3:$K$3),
     MAX('2) หลักการคำนวน Table'!$C$3:$K$3)
  )
)</f>
        <v>0.9</v>
      </c>
      <c r="AV22" s="186">
        <f>IFERROR(
  _xlfn.XLOOKUP(AJ22,'2) หลักการคำนวน Table'!$C$3:$K$3,'2) หลักการคำนวน Table'!$C$3:$K$3,,1),
  IF(AJ22&lt;MIN('2) หลักการคำนวน Table'!$C$3:$K$3),
     MIN('2) หลักการคำนวน Table'!$C$3:$K$3),
     MAX('2) หลักการคำนวน Table'!$C$3:$K$3)
  )
)</f>
        <v>0.9</v>
      </c>
      <c r="AW22" s="186">
        <f>IFERROR(
  _xlfn.XLOOKUP(AK22,'2) หลักการคำนวน Table'!$C$3:$K$3,'2) หลักการคำนวน Table'!$C$3:$K$3,,1),
  IF(AK22&lt;MIN('2) หลักการคำนวน Table'!$C$3:$K$3),
     MIN('2) หลักการคำนวน Table'!$C$3:$K$3),
     MAX('2) หลักการคำนวน Table'!$C$3:$K$3)
  )
)</f>
        <v>0.9</v>
      </c>
      <c r="AX22" s="186">
        <f>IFERROR(
  _xlfn.XLOOKUP(AL22,'2) หลักการคำนวน Table'!$C$3:$K$3,'2) หลักการคำนวน Table'!$C$3:$K$3,,1),
  IF(AL22&lt;MIN('2) หลักการคำนวน Table'!$C$3:$K$3),
     MIN('2) หลักการคำนวน Table'!$C$3:$K$3),
     MAX('2) หลักการคำนวน Table'!$C$3:$K$3)
  )
)</f>
        <v>0.9</v>
      </c>
      <c r="AY22" s="186">
        <f>IFERROR(
  _xlfn.XLOOKUP(AM22,'2) หลักการคำนวน Table'!$C$3:$K$3,'2) หลักการคำนวน Table'!$C$3:$K$3,,1),
  IF(AM22&lt;MIN('2) หลักการคำนวน Table'!$C$3:$K$3),
     MIN('2) หลักการคำนวน Table'!$C$3:$K$3),
     MAX('2) หลักการคำนวน Table'!$C$3:$K$3)
  )
)</f>
        <v>0.9</v>
      </c>
      <c r="AZ22" s="135" t="e" cm="1">
        <f t="array" ref="AZ22">ROUND((_xlfn.XLOOKUP($C22,'2) หลักการคำนวน Table'!$A$4:$A$36,
_xlfn.XLOOKUP(AN22,'2)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A22" s="135" t="e" cm="1">
        <f t="array" ref="BA22">ROUND((_xlfn.XLOOKUP($C22,'2) หลักการคำนวน Table'!$A$4:$A$36,
_xlfn.XLOOKUP(AO22,'2)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B22" s="135" t="e" cm="1">
        <f t="array" ref="BB22">ROUND((_xlfn.XLOOKUP($C22,'2) หลักการคำนวน Table'!$A$4:$A$36,
_xlfn.XLOOKUP(AP22,'2)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C22" s="135" t="e" cm="1">
        <f t="array" ref="BC22">ROUND((_xlfn.XLOOKUP($C22,'2) หลักการคำนวน Table'!$A$4:$A$36,
_xlfn.XLOOKUP(AQ22,'2)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D22" s="135" t="e" cm="1">
        <f t="array" ref="BD22">ROUND((_xlfn.XLOOKUP($C22,'2) หลักการคำนวน Table'!$A$4:$A$36,
_xlfn.XLOOKUP(AR22,'2)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E22" s="135" t="e" cm="1">
        <f t="array" ref="BE22">ROUND((_xlfn.XLOOKUP($C22,'2) หลักการคำนวน Table'!$A$4:$A$36,
_xlfn.XLOOKUP(AS22,'2)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F22" s="135" t="e" cm="1">
        <f t="array" ref="BF22">ROUND((_xlfn.XLOOKUP($C22,'2) หลักการคำนวน Table'!$A$4:$A$36,
_xlfn.XLOOKUP(AT22,'2)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G22" s="135" t="e" cm="1">
        <f t="array" ref="BG22">ROUND((_xlfn.XLOOKUP($C22,'2) หลักการคำนวน Table'!$A$4:$A$36,
_xlfn.XLOOKUP(AU22,'2)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H22" s="135" t="e" cm="1">
        <f t="array" ref="BH22">ROUND((_xlfn.XLOOKUP($C22,'2) หลักการคำนวน Table'!$A$4:$A$36,
_xlfn.XLOOKUP(AV22,'2)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I22" s="135" t="e" cm="1">
        <f t="array" ref="BI22">ROUND((_xlfn.XLOOKUP($C22,'2) หลักการคำนวน Table'!$A$4:$A$36,
_xlfn.XLOOKUP(AW22,'2)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J22" s="135" t="e" cm="1">
        <f t="array" ref="BJ22">ROUND((_xlfn.XLOOKUP($C22,'2) หลักการคำนวน Table'!$A$4:$A$36,
_xlfn.XLOOKUP(AX22,'2)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K22" s="135" t="e" cm="1">
        <f t="array" ref="BK22">ROUND((_xlfn.XLOOKUP($C22,'2) หลักการคำนวน Table'!$A$4:$A$36,
_xlfn.XLOOKUP(AY22,'2) หลักการคำนวน Table'!$C$3:$K$3,'2) หลักการคำนวน Table'!$C$4:$K$36,,-1)))*(_xlfn.XLOOKUP($C22,'2) หลักการคำนวน Table'!$A$4:$A$36, _xlfn.XLOOKUP($B22,'2) หลักการคำนวน Table'!$L$3:$Z$3,'2) หลักการคำนวน Table'!$L$4:$Z$36))),0)</f>
        <v>#N/A</v>
      </c>
      <c r="BL22" s="239"/>
      <c r="BM22" s="126">
        <v>222223</v>
      </c>
      <c r="BN22" s="245">
        <v>1114</v>
      </c>
    </row>
    <row r="23" spans="1:66" ht="13.2" customHeight="1" x14ac:dyDescent="0.25">
      <c r="A23" s="128">
        <f>VLOOKUP(C23,ASTBase!F:S,12,FALSE)</f>
        <v>222222</v>
      </c>
      <c r="B23" s="126" t="s">
        <v>418</v>
      </c>
      <c r="C23" s="128">
        <v>222223</v>
      </c>
      <c r="D23" s="127">
        <f>SUMIFS('3)Target &amp; Cal_Sect'!D$4:D$60,'3)Target &amp; Cal_Sect'!$B$4:$B$60,'3)Target &amp; Cal_Dept'!$B23,'3)Target &amp; Cal_Sect'!$A$4:$A$60,'3)Target &amp; Cal_Dept'!$C23)</f>
        <v>1500</v>
      </c>
      <c r="E23" s="127">
        <f>SUMIFS('3)Target &amp; Cal_Sect'!E$4:E$60,'3)Target &amp; Cal_Sect'!$B$4:$B$60,'3)Target &amp; Cal_Dept'!$B23,'3)Target &amp; Cal_Sect'!$A$4:$A$60,'3)Target &amp; Cal_Dept'!$C23)</f>
        <v>1850</v>
      </c>
      <c r="F23" s="127">
        <f>SUMIFS('3)Target &amp; Cal_Sect'!F$4:F$60,'3)Target &amp; Cal_Sect'!$B$4:$B$60,'3)Target &amp; Cal_Dept'!$B23,'3)Target &amp; Cal_Sect'!$A$4:$A$60,'3)Target &amp; Cal_Dept'!$C23)</f>
        <v>2100</v>
      </c>
      <c r="G23" s="127">
        <f>SUMIFS('3)Target &amp; Cal_Sect'!G$4:G$60,'3)Target &amp; Cal_Sect'!$B$4:$B$60,'3)Target &amp; Cal_Dept'!$B23,'3)Target &amp; Cal_Sect'!$A$4:$A$60,'3)Target &amp; Cal_Dept'!$C23)</f>
        <v>1650</v>
      </c>
      <c r="H23" s="127">
        <f>SUMIFS('3)Target &amp; Cal_Sect'!H$4:H$60,'3)Target &amp; Cal_Sect'!$B$4:$B$60,'3)Target &amp; Cal_Dept'!$B23,'3)Target &amp; Cal_Sect'!$A$4:$A$60,'3)Target &amp; Cal_Dept'!$C23)</f>
        <v>1825</v>
      </c>
      <c r="I23" s="127">
        <f>SUMIFS('3)Target &amp; Cal_Sect'!I$4:I$60,'3)Target &amp; Cal_Sect'!$B$4:$B$60,'3)Target &amp; Cal_Dept'!$B23,'3)Target &amp; Cal_Sect'!$A$4:$A$60,'3)Target &amp; Cal_Dept'!$C23)</f>
        <v>1775</v>
      </c>
      <c r="J23" s="127">
        <f>SUMIFS('3)Target &amp; Cal_Sect'!J$4:J$60,'3)Target &amp; Cal_Sect'!$B$4:$B$60,'3)Target &amp; Cal_Dept'!$B23,'3)Target &amp; Cal_Sect'!$A$4:$A$60,'3)Target &amp; Cal_Dept'!$C23)</f>
        <v>2035</v>
      </c>
      <c r="K23" s="127">
        <f>SUMIFS('3)Target &amp; Cal_Sect'!K$4:K$60,'3)Target &amp; Cal_Sect'!$B$4:$B$60,'3)Target &amp; Cal_Dept'!$B23,'3)Target &amp; Cal_Sect'!$A$4:$A$60,'3)Target &amp; Cal_Dept'!$C23)</f>
        <v>1985</v>
      </c>
      <c r="L23" s="127">
        <v>52300</v>
      </c>
      <c r="M23" s="127">
        <v>53784</v>
      </c>
      <c r="N23" s="127">
        <v>32473.360000000001</v>
      </c>
      <c r="O23" s="127">
        <v>46606.000000000007</v>
      </c>
      <c r="P23" s="127">
        <f>SUMIFS('3)Target &amp; Cal_Sect'!P$4:P$60,'3)Target &amp; Cal_Sect'!$B$4:$B$60,'3)Target &amp; Cal_Dept'!$B23,'3)Target &amp; Cal_Sect'!$A$4:$A$60,'3)Target &amp; Cal_Dept'!$C23)</f>
        <v>1809.8279999999993</v>
      </c>
      <c r="Q23" s="127">
        <f>SUMIFS('3)Target &amp; Cal_Sect'!Q$4:Q$60,'3)Target &amp; Cal_Sect'!$B$4:$B$60,'3)Target &amp; Cal_Dept'!$B23,'3)Target &amp; Cal_Sect'!$A$4:$A$60,'3)Target &amp; Cal_Dept'!$C23)</f>
        <v>0</v>
      </c>
      <c r="R23" s="127">
        <f>SUMIFS('3)Target &amp; Cal_Sect'!R$4:R$60,'3)Target &amp; Cal_Sect'!$B$4:$B$60,'3)Target &amp; Cal_Dept'!$B23,'3)Target &amp; Cal_Sect'!$A$4:$A$60,'3)Target &amp; Cal_Dept'!$C23)</f>
        <v>0</v>
      </c>
      <c r="S23" s="127">
        <f>SUMIFS('3)Target &amp; Cal_Sect'!S$4:S$60,'3)Target &amp; Cal_Sect'!$B$4:$B$60,'3)Target &amp; Cal_Dept'!$B23,'3)Target &amp; Cal_Sect'!$A$4:$A$60,'3)Target &amp; Cal_Dept'!$C23)</f>
        <v>0</v>
      </c>
      <c r="T23" s="127">
        <f>SUMIFS('3)Target &amp; Cal_Sect'!T$4:T$60,'3)Target &amp; Cal_Sect'!$B$4:$B$60,'3)Target &amp; Cal_Dept'!$B23,'3)Target &amp; Cal_Sect'!$A$4:$A$60,'3)Target &amp; Cal_Dept'!$C23)</f>
        <v>0</v>
      </c>
      <c r="U23" s="127">
        <f>SUMIFS('3)Target &amp; Cal_Sect'!U$4:U$60,'3)Target &amp; Cal_Sect'!$B$4:$B$60,'3)Target &amp; Cal_Dept'!$B23,'3)Target &amp; Cal_Sect'!$A$4:$A$60,'3)Target &amp; Cal_Dept'!$C23)</f>
        <v>0</v>
      </c>
      <c r="V23" s="127">
        <f>SUMIFS('3)Target &amp; Cal_Sect'!V$4:V$60,'3)Target &amp; Cal_Sect'!$B$4:$B$60,'3)Target &amp; Cal_Dept'!$B23,'3)Target &amp; Cal_Sect'!$A$4:$A$60,'3)Target &amp; Cal_Dept'!$C23)</f>
        <v>0</v>
      </c>
      <c r="W23" s="127">
        <f>SUMIFS('3)Target &amp; Cal_Sect'!W$4:W$60,'3)Target &amp; Cal_Sect'!$B$4:$B$60,'3)Target &amp; Cal_Dept'!$B23,'3)Target &amp; Cal_Sect'!$A$4:$A$60,'3)Target &amp; Cal_Dept'!$C23)</f>
        <v>0</v>
      </c>
      <c r="X23" s="127">
        <f>SUMIFS('3)Target &amp; Cal_Sect'!X$4:X$60,'3)Target &amp; Cal_Sect'!$B$4:$B$60,'3)Target &amp; Cal_Dept'!$B23,'3)Target &amp; Cal_Sect'!$A$4:$A$60,'3)Target &amp; Cal_Dept'!$C23)</f>
        <v>0</v>
      </c>
      <c r="Y23" s="127">
        <f>SUMIFS('3)Target &amp; Cal_Sect'!Y$4:Y$60,'3)Target &amp; Cal_Sect'!$B$4:$B$60,'3)Target &amp; Cal_Dept'!$B23,'3)Target &amp; Cal_Sect'!$A$4:$A$60,'3)Target &amp; Cal_Dept'!$C23)</f>
        <v>0</v>
      </c>
      <c r="Z23" s="127">
        <f>SUMIFS('3)Target &amp; Cal_Sect'!Z$4:Z$60,'3)Target &amp; Cal_Sect'!$B$4:$B$60,'3)Target &amp; Cal_Dept'!$B23,'3)Target &amp; Cal_Sect'!$A$4:$A$60,'3)Target &amp; Cal_Dept'!$C23)</f>
        <v>0</v>
      </c>
      <c r="AA23" s="127">
        <f>SUMIFS('3)Target &amp; Cal_Sect'!AA$4:AA$60,'3)Target &amp; Cal_Sect'!$B$4:$B$60,'3)Target &amp; Cal_Dept'!$B23,'3)Target &amp; Cal_Sect'!$A$4:$A$60,'3)Target &amp; Cal_Dept'!$C23)</f>
        <v>0</v>
      </c>
      <c r="AB23" s="132">
        <f>IFERROR(IF(VLOOKUP($B23,Shortage!$A:$M,AB$2,FALSE)="Shortage",1,IFERROR(ROUND(P23/D23,4),0)),IFERROR(ROUND(P23/D23,4),0))</f>
        <v>1.2065999999999999</v>
      </c>
      <c r="AC23" s="132">
        <f>IFERROR(IF(VLOOKUP($B23,Shortage!$A:$M,AC$2,FALSE)="Shortage",1,IFERROR(ROUND(Q23/E23,4),0)),IFERROR(ROUND(Q23/E23,4),0))</f>
        <v>0</v>
      </c>
      <c r="AD23" s="132">
        <f>IFERROR(IF(VLOOKUP($B23,Shortage!$A:$M,AD$2,FALSE)="Shortage",1,IFERROR(ROUND(R23/F23,4),0)),IFERROR(ROUND(R23/F23,4),0))</f>
        <v>0</v>
      </c>
      <c r="AE23" s="132">
        <f>IFERROR(IF(VLOOKUP($B23,Shortage!$A:$M,AE$2,FALSE)="Shortage",1,IFERROR(ROUND(S23/G23,4),0)),IFERROR(ROUND(S23/G23,4),0))</f>
        <v>0</v>
      </c>
      <c r="AF23" s="132">
        <f>IFERROR(IF(VLOOKUP($B23,Shortage!$A:$M,AF$2,FALSE)="Shortage",1,IFERROR(ROUND(T23/H23,4),0)),IFERROR(ROUND(T23/H23,4),0))</f>
        <v>0</v>
      </c>
      <c r="AG23" s="132">
        <f>IFERROR(IF(VLOOKUP($B23,Shortage!$A:$M,AG$2,FALSE)="Shortage",1,IFERROR(ROUND(U23/I23,4),0)),IFERROR(ROUND(U23/I23,4),0))</f>
        <v>0</v>
      </c>
      <c r="AH23" s="132">
        <f>IFERROR(IF(VLOOKUP($B23,Shortage!$A:$M,AH$2,FALSE)="Shortage",1,IFERROR(ROUND(V23/J23,4),0)),IFERROR(ROUND(V23/J23,4),0))</f>
        <v>0</v>
      </c>
      <c r="AI23" s="132">
        <f>IFERROR(IF(VLOOKUP($B23,Shortage!$A:$M,AI$2,FALSE)="Shortage",1,IFERROR(ROUND(W23/K23,4),0)),IFERROR(ROUND(W23/K23,4),0))</f>
        <v>0</v>
      </c>
      <c r="AJ23" s="132">
        <f>IFERROR(IF(VLOOKUP($B23,Shortage!$A:$M,AJ$2,FALSE)="Shortage",1,IFERROR(ROUND(X23/L23,4),0)),IFERROR(ROUND(X23/L23,4),0))</f>
        <v>0</v>
      </c>
      <c r="AK23" s="132">
        <f>IFERROR(IF(VLOOKUP($B23,Shortage!$A:$M,AK$2,FALSE)="Shortage",1,IFERROR(ROUND(Y23/M23,4),0)),IFERROR(ROUND(Y23/M23,4),0))</f>
        <v>0</v>
      </c>
      <c r="AL23" s="132">
        <f>IFERROR(IF(VLOOKUP($B23,Shortage!$A:$M,AL$2,FALSE)="Shortage",1,IFERROR(ROUND(Z23/N23,4),0)),IFERROR(ROUND(Z23/N23,4),0))</f>
        <v>0</v>
      </c>
      <c r="AM23" s="132">
        <f>IFERROR(IF(VLOOKUP($B23,Shortage!$A:$M,AM$2,FALSE)="Shortage",1,IFERROR(ROUND(AA23/O23,4),0)),IFERROR(ROUND(AA23/O23,4),0))</f>
        <v>0</v>
      </c>
      <c r="AN23" s="186">
        <f>IFERROR(_xlfn.XLOOKUP(AB23,'2) หลักการคำนวน Table'!$C$3:$K$3,'2) หลักการคำนวน Table'!$C$3:$K$3,,1),INDEX('2) หลักการคำนวน Table'!$C$3:$K$3,1))</f>
        <v>20</v>
      </c>
      <c r="AO23" s="186">
        <f>IFERROR(
  _xlfn.XLOOKUP(AC23,'2) หลักการคำนวน Table'!$C$3:$K$3,'2) หลักการคำนวน Table'!$C$3:$K$3,,1),
  IF(AC23&lt;MIN('2) หลักการคำนวน Table'!$C$3:$K$3),
     MIN('2) หลักการคำนวน Table'!$C$3:$K$3),
     MAX('2) หลักการคำนวน Table'!$C$3:$K$3)
  )
)</f>
        <v>0.9</v>
      </c>
      <c r="AP23" s="186">
        <f>IFERROR(
  _xlfn.XLOOKUP(AD23,'2) หลักการคำนวน Table'!$C$3:$K$3,'2) หลักการคำนวน Table'!$C$3:$K$3,,1),
  IF(AD23&lt;MIN('2) หลักการคำนวน Table'!$C$3:$K$3),
     MIN('2) หลักการคำนวน Table'!$C$3:$K$3),
     MAX('2) หลักการคำนวน Table'!$C$3:$K$3)
  )
)</f>
        <v>0.9</v>
      </c>
      <c r="AQ23" s="186">
        <f>IFERROR(
  _xlfn.XLOOKUP(AE23,'2) หลักการคำนวน Table'!$C$3:$K$3,'2) หลักการคำนวน Table'!$C$3:$K$3,,1),
  IF(AE23&lt;MIN('2) หลักการคำนวน Table'!$C$3:$K$3),
     MIN('2) หลักการคำนวน Table'!$C$3:$K$3),
     MAX('2) หลักการคำนวน Table'!$C$3:$K$3)
  )
)</f>
        <v>0.9</v>
      </c>
      <c r="AR23" s="186">
        <f>IFERROR(
  _xlfn.XLOOKUP(AF23,'2) หลักการคำนวน Table'!$C$3:$K$3,'2) หลักการคำนวน Table'!$C$3:$K$3,,1),
  IF(AF23&lt;MIN('2) หลักการคำนวน Table'!$C$3:$K$3),
     MIN('2) หลักการคำนวน Table'!$C$3:$K$3),
     MAX('2) หลักการคำนวน Table'!$C$3:$K$3)
  )
)</f>
        <v>0.9</v>
      </c>
      <c r="AS23" s="186">
        <f>IFERROR(
  _xlfn.XLOOKUP(AG23,'2) หลักการคำนวน Table'!$C$3:$K$3,'2) หลักการคำนวน Table'!$C$3:$K$3,,1),
  IF(AG23&lt;MIN('2) หลักการคำนวน Table'!$C$3:$K$3),
     MIN('2) หลักการคำนวน Table'!$C$3:$K$3),
     MAX('2) หลักการคำนวน Table'!$C$3:$K$3)
  )
)</f>
        <v>0.9</v>
      </c>
      <c r="AT23" s="186">
        <f>IFERROR(
  _xlfn.XLOOKUP(AH23,'2) หลักการคำนวน Table'!$C$3:$K$3,'2) หลักการคำนวน Table'!$C$3:$K$3,,1),
  IF(AH23&lt;MIN('2) หลักการคำนวน Table'!$C$3:$K$3),
     MIN('2) หลักการคำนวน Table'!$C$3:$K$3),
     MAX('2) หลักการคำนวน Table'!$C$3:$K$3)
  )
)</f>
        <v>0.9</v>
      </c>
      <c r="AU23" s="186">
        <f>IFERROR(
  _xlfn.XLOOKUP(AI23,'2) หลักการคำนวน Table'!$C$3:$K$3,'2) หลักการคำนวน Table'!$C$3:$K$3,,1),
  IF(AI23&lt;MIN('2) หลักการคำนวน Table'!$C$3:$K$3),
     MIN('2) หลักการคำนวน Table'!$C$3:$K$3),
     MAX('2) หลักการคำนวน Table'!$C$3:$K$3)
  )
)</f>
        <v>0.9</v>
      </c>
      <c r="AV23" s="186">
        <f>IFERROR(
  _xlfn.XLOOKUP(AJ23,'2) หลักการคำนวน Table'!$C$3:$K$3,'2) หลักการคำนวน Table'!$C$3:$K$3,,1),
  IF(AJ23&lt;MIN('2) หลักการคำนวน Table'!$C$3:$K$3),
     MIN('2) หลักการคำนวน Table'!$C$3:$K$3),
     MAX('2) หลักการคำนวน Table'!$C$3:$K$3)
  )
)</f>
        <v>0.9</v>
      </c>
      <c r="AW23" s="186">
        <f>IFERROR(
  _xlfn.XLOOKUP(AK23,'2) หลักการคำนวน Table'!$C$3:$K$3,'2) หลักการคำนวน Table'!$C$3:$K$3,,1),
  IF(AK23&lt;MIN('2) หลักการคำนวน Table'!$C$3:$K$3),
     MIN('2) หลักการคำนวน Table'!$C$3:$K$3),
     MAX('2) หลักการคำนวน Table'!$C$3:$K$3)
  )
)</f>
        <v>0.9</v>
      </c>
      <c r="AX23" s="186">
        <f>IFERROR(
  _xlfn.XLOOKUP(AL23,'2) หลักการคำนวน Table'!$C$3:$K$3,'2) หลักการคำนวน Table'!$C$3:$K$3,,1),
  IF(AL23&lt;MIN('2) หลักการคำนวน Table'!$C$3:$K$3),
     MIN('2) หลักการคำนวน Table'!$C$3:$K$3),
     MAX('2) หลักการคำนวน Table'!$C$3:$K$3)
  )
)</f>
        <v>0.9</v>
      </c>
      <c r="AY23" s="186">
        <f>IFERROR(
  _xlfn.XLOOKUP(AM23,'2) หลักการคำนวน Table'!$C$3:$K$3,'2) หลักการคำนวน Table'!$C$3:$K$3,,1),
  IF(AM23&lt;MIN('2) หลักการคำนวน Table'!$C$3:$K$3),
     MIN('2) หลักการคำนวน Table'!$C$3:$K$3),
     MAX('2) หลักการคำนวน Table'!$C$3:$K$3)
  )
)</f>
        <v>0.9</v>
      </c>
      <c r="AZ23" s="135" t="e" cm="1">
        <f t="array" ref="AZ23">ROUND((_xlfn.XLOOKUP($C23,'2) หลักการคำนวน Table'!$A$4:$A$36,
_xlfn.XLOOKUP(AN23,'2)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A23" s="135" t="e" cm="1">
        <f t="array" ref="BA23">ROUND((_xlfn.XLOOKUP($C23,'2) หลักการคำนวน Table'!$A$4:$A$36,
_xlfn.XLOOKUP(AO23,'2)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B23" s="135" t="e" cm="1">
        <f t="array" ref="BB23">ROUND((_xlfn.XLOOKUP($C23,'2) หลักการคำนวน Table'!$A$4:$A$36,
_xlfn.XLOOKUP(AP23,'2)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C23" s="135" t="e" cm="1">
        <f t="array" ref="BC23">ROUND((_xlfn.XLOOKUP($C23,'2) หลักการคำนวน Table'!$A$4:$A$36,
_xlfn.XLOOKUP(AQ23,'2)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D23" s="135" t="e" cm="1">
        <f t="array" ref="BD23">ROUND((_xlfn.XLOOKUP($C23,'2) หลักการคำนวน Table'!$A$4:$A$36,
_xlfn.XLOOKUP(AR23,'2)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E23" s="135" t="e" cm="1">
        <f t="array" ref="BE23">ROUND((_xlfn.XLOOKUP($C23,'2) หลักการคำนวน Table'!$A$4:$A$36,
_xlfn.XLOOKUP(AS23,'2)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F23" s="135" t="e" cm="1">
        <f t="array" ref="BF23">ROUND((_xlfn.XLOOKUP($C23,'2) หลักการคำนวน Table'!$A$4:$A$36,
_xlfn.XLOOKUP(AT23,'2)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G23" s="135" t="e" cm="1">
        <f t="array" ref="BG23">ROUND((_xlfn.XLOOKUP($C23,'2) หลักการคำนวน Table'!$A$4:$A$36,
_xlfn.XLOOKUP(AU23,'2)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H23" s="135" t="e" cm="1">
        <f t="array" ref="BH23">ROUND((_xlfn.XLOOKUP($C23,'2) หลักการคำนวน Table'!$A$4:$A$36,
_xlfn.XLOOKUP(AV23,'2)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I23" s="135" t="e" cm="1">
        <f t="array" ref="BI23">ROUND((_xlfn.XLOOKUP($C23,'2) หลักการคำนวน Table'!$A$4:$A$36,
_xlfn.XLOOKUP(AW23,'2)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J23" s="135" t="e" cm="1">
        <f t="array" ref="BJ23">ROUND((_xlfn.XLOOKUP($C23,'2) หลักการคำนวน Table'!$A$4:$A$36,
_xlfn.XLOOKUP(AX23,'2)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K23" s="135" t="e" cm="1">
        <f t="array" ref="BK23">ROUND((_xlfn.XLOOKUP($C23,'2) หลักการคำนวน Table'!$A$4:$A$36,
_xlfn.XLOOKUP(AY23,'2) หลักการคำนวน Table'!$C$3:$K$3,'2) หลักการคำนวน Table'!$C$4:$K$36,,-1)))*(_xlfn.XLOOKUP($C23,'2) หลักการคำนวน Table'!$A$4:$A$36, _xlfn.XLOOKUP($B23,'2) หลักการคำนวน Table'!$L$3:$Z$3,'2) หลักการคำนวน Table'!$L$4:$Z$36))),0)</f>
        <v>#N/A</v>
      </c>
      <c r="BL23" s="239"/>
      <c r="BM23" s="126">
        <v>222223</v>
      </c>
      <c r="BN23" s="245">
        <v>3</v>
      </c>
    </row>
    <row r="24" spans="1:66" ht="13.2" customHeight="1" x14ac:dyDescent="0.25">
      <c r="A24" s="128">
        <f>VLOOKUP(C24,ASTBase!F:S,12,FALSE)</f>
        <v>222222</v>
      </c>
      <c r="B24" s="126" t="s">
        <v>413</v>
      </c>
      <c r="C24" s="128">
        <v>222223</v>
      </c>
      <c r="D24" s="127">
        <f>SUMIFS('3)Target &amp; Cal_Sect'!D$4:D$60,'3)Target &amp; Cal_Sect'!$B$4:$B$60,'3)Target &amp; Cal_Dept'!$B24,'3)Target &amp; Cal_Sect'!$A$4:$A$60,'3)Target &amp; Cal_Dept'!$C24)</f>
        <v>326850</v>
      </c>
      <c r="E24" s="127">
        <f>SUMIFS('3)Target &amp; Cal_Sect'!E$4:E$60,'3)Target &amp; Cal_Sect'!$B$4:$B$60,'3)Target &amp; Cal_Dept'!$B24,'3)Target &amp; Cal_Sect'!$A$4:$A$60,'3)Target &amp; Cal_Dept'!$C24)</f>
        <v>282850</v>
      </c>
      <c r="F24" s="127">
        <f>SUMIFS('3)Target &amp; Cal_Sect'!F$4:F$60,'3)Target &amp; Cal_Sect'!$B$4:$B$60,'3)Target &amp; Cal_Dept'!$B24,'3)Target &amp; Cal_Sect'!$A$4:$A$60,'3)Target &amp; Cal_Dept'!$C24)</f>
        <v>477700</v>
      </c>
      <c r="G24" s="127">
        <f>SUMIFS('3)Target &amp; Cal_Sect'!G$4:G$60,'3)Target &amp; Cal_Sect'!$B$4:$B$60,'3)Target &amp; Cal_Dept'!$B24,'3)Target &amp; Cal_Sect'!$A$4:$A$60,'3)Target &amp; Cal_Dept'!$C24)</f>
        <v>543350</v>
      </c>
      <c r="H24" s="127">
        <f>SUMIFS('3)Target &amp; Cal_Sect'!H$4:H$60,'3)Target &amp; Cal_Sect'!$B$4:$B$60,'3)Target &amp; Cal_Dept'!$B24,'3)Target &amp; Cal_Sect'!$A$4:$A$60,'3)Target &amp; Cal_Dept'!$C24)</f>
        <v>323750</v>
      </c>
      <c r="I24" s="127">
        <f>SUMIFS('3)Target &amp; Cal_Sect'!I$4:I$60,'3)Target &amp; Cal_Sect'!$B$4:$B$60,'3)Target &amp; Cal_Dept'!$B24,'3)Target &amp; Cal_Sect'!$A$4:$A$60,'3)Target &amp; Cal_Dept'!$C24)</f>
        <v>241350</v>
      </c>
      <c r="J24" s="127">
        <f>SUMIFS('3)Target &amp; Cal_Sect'!J$4:J$60,'3)Target &amp; Cal_Sect'!$B$4:$B$60,'3)Target &amp; Cal_Dept'!$B24,'3)Target &amp; Cal_Sect'!$A$4:$A$60,'3)Target &amp; Cal_Dept'!$C24)</f>
        <v>355200</v>
      </c>
      <c r="K24" s="127">
        <f>SUMIFS('3)Target &amp; Cal_Sect'!K$4:K$60,'3)Target &amp; Cal_Sect'!$B$4:$B$60,'3)Target &amp; Cal_Dept'!$B24,'3)Target &amp; Cal_Sect'!$A$4:$A$60,'3)Target &amp; Cal_Dept'!$C24)</f>
        <v>622350</v>
      </c>
      <c r="L24" s="127">
        <v>128977.38826379298</v>
      </c>
      <c r="M24" s="127">
        <v>112550</v>
      </c>
      <c r="N24" s="127">
        <v>59750</v>
      </c>
      <c r="O24" s="127">
        <v>76369.65282249036</v>
      </c>
      <c r="P24" s="127">
        <f>SUMIFS('3)Target &amp; Cal_Sect'!P$4:P$60,'3)Target &amp; Cal_Sect'!$B$4:$B$60,'3)Target &amp; Cal_Dept'!$B24,'3)Target &amp; Cal_Sect'!$A$4:$A$60,'3)Target &amp; Cal_Dept'!$C24)</f>
        <v>294696.20939999924</v>
      </c>
      <c r="Q24" s="127">
        <f>SUMIFS('3)Target &amp; Cal_Sect'!Q$4:Q$60,'3)Target &amp; Cal_Sect'!$B$4:$B$60,'3)Target &amp; Cal_Dept'!$B24,'3)Target &amp; Cal_Sect'!$A$4:$A$60,'3)Target &amp; Cal_Dept'!$C24)</f>
        <v>0</v>
      </c>
      <c r="R24" s="127">
        <f>SUMIFS('3)Target &amp; Cal_Sect'!R$4:R$60,'3)Target &amp; Cal_Sect'!$B$4:$B$60,'3)Target &amp; Cal_Dept'!$B24,'3)Target &amp; Cal_Sect'!$A$4:$A$60,'3)Target &amp; Cal_Dept'!$C24)</f>
        <v>0</v>
      </c>
      <c r="S24" s="127">
        <f>SUMIFS('3)Target &amp; Cal_Sect'!S$4:S$60,'3)Target &amp; Cal_Sect'!$B$4:$B$60,'3)Target &amp; Cal_Dept'!$B24,'3)Target &amp; Cal_Sect'!$A$4:$A$60,'3)Target &amp; Cal_Dept'!$C24)</f>
        <v>0</v>
      </c>
      <c r="T24" s="127">
        <f>SUMIFS('3)Target &amp; Cal_Sect'!T$4:T$60,'3)Target &amp; Cal_Sect'!$B$4:$B$60,'3)Target &amp; Cal_Dept'!$B24,'3)Target &amp; Cal_Sect'!$A$4:$A$60,'3)Target &amp; Cal_Dept'!$C24)</f>
        <v>0</v>
      </c>
      <c r="U24" s="127">
        <f>SUMIFS('3)Target &amp; Cal_Sect'!U$4:U$60,'3)Target &amp; Cal_Sect'!$B$4:$B$60,'3)Target &amp; Cal_Dept'!$B24,'3)Target &amp; Cal_Sect'!$A$4:$A$60,'3)Target &amp; Cal_Dept'!$C24)</f>
        <v>0</v>
      </c>
      <c r="V24" s="127">
        <f>SUMIFS('3)Target &amp; Cal_Sect'!V$4:V$60,'3)Target &amp; Cal_Sect'!$B$4:$B$60,'3)Target &amp; Cal_Dept'!$B24,'3)Target &amp; Cal_Sect'!$A$4:$A$60,'3)Target &amp; Cal_Dept'!$C24)</f>
        <v>0</v>
      </c>
      <c r="W24" s="127">
        <f>SUMIFS('3)Target &amp; Cal_Sect'!W$4:W$60,'3)Target &amp; Cal_Sect'!$B$4:$B$60,'3)Target &amp; Cal_Dept'!$B24,'3)Target &amp; Cal_Sect'!$A$4:$A$60,'3)Target &amp; Cal_Dept'!$C24)</f>
        <v>0</v>
      </c>
      <c r="X24" s="127">
        <f>SUMIFS('3)Target &amp; Cal_Sect'!X$4:X$60,'3)Target &amp; Cal_Sect'!$B$4:$B$60,'3)Target &amp; Cal_Dept'!$B24,'3)Target &amp; Cal_Sect'!$A$4:$A$60,'3)Target &amp; Cal_Dept'!$C24)</f>
        <v>0</v>
      </c>
      <c r="Y24" s="127">
        <f>SUMIFS('3)Target &amp; Cal_Sect'!Y$4:Y$60,'3)Target &amp; Cal_Sect'!$B$4:$B$60,'3)Target &amp; Cal_Dept'!$B24,'3)Target &amp; Cal_Sect'!$A$4:$A$60,'3)Target &amp; Cal_Dept'!$C24)</f>
        <v>0</v>
      </c>
      <c r="Z24" s="127">
        <f>SUMIFS('3)Target &amp; Cal_Sect'!Z$4:Z$60,'3)Target &amp; Cal_Sect'!$B$4:$B$60,'3)Target &amp; Cal_Dept'!$B24,'3)Target &amp; Cal_Sect'!$A$4:$A$60,'3)Target &amp; Cal_Dept'!$C24)</f>
        <v>0</v>
      </c>
      <c r="AA24" s="127">
        <f>SUMIFS('3)Target &amp; Cal_Sect'!AA$4:AA$60,'3)Target &amp; Cal_Sect'!$B$4:$B$60,'3)Target &amp; Cal_Dept'!$B24,'3)Target &amp; Cal_Sect'!$A$4:$A$60,'3)Target &amp; Cal_Dept'!$C24)</f>
        <v>0</v>
      </c>
      <c r="AB24" s="132">
        <f>IFERROR(IF(VLOOKUP($B24,Shortage!$A:$M,AB$2,FALSE)="Shortage",1,IFERROR(ROUND(P24/D24,4),0)),IFERROR(ROUND(P24/D24,4),0))</f>
        <v>0.90159999999999996</v>
      </c>
      <c r="AC24" s="132">
        <f>IFERROR(IF(VLOOKUP($B24,Shortage!$A:$M,AC$2,FALSE)="Shortage",1,IFERROR(ROUND(Q24/E24,4),0)),IFERROR(ROUND(Q24/E24,4),0))</f>
        <v>0</v>
      </c>
      <c r="AD24" s="132">
        <f>IFERROR(IF(VLOOKUP($B24,Shortage!$A:$M,AD$2,FALSE)="Shortage",1,IFERROR(ROUND(R24/F24,4),0)),IFERROR(ROUND(R24/F24,4),0))</f>
        <v>0</v>
      </c>
      <c r="AE24" s="132">
        <f>IFERROR(IF(VLOOKUP($B24,Shortage!$A:$M,AE$2,FALSE)="Shortage",1,IFERROR(ROUND(S24/G24,4),0)),IFERROR(ROUND(S24/G24,4),0))</f>
        <v>0</v>
      </c>
      <c r="AF24" s="132">
        <f>IFERROR(IF(VLOOKUP($B24,Shortage!$A:$M,AF$2,FALSE)="Shortage",1,IFERROR(ROUND(T24/H24,4),0)),IFERROR(ROUND(T24/H24,4),0))</f>
        <v>0</v>
      </c>
      <c r="AG24" s="132">
        <f>IFERROR(IF(VLOOKUP($B24,Shortage!$A:$M,AG$2,FALSE)="Shortage",1,IFERROR(ROUND(U24/I24,4),0)),IFERROR(ROUND(U24/I24,4),0))</f>
        <v>0</v>
      </c>
      <c r="AH24" s="132">
        <f>IFERROR(IF(VLOOKUP($B24,Shortage!$A:$M,AH$2,FALSE)="Shortage",1,IFERROR(ROUND(V24/J24,4),0)),IFERROR(ROUND(V24/J24,4),0))</f>
        <v>0</v>
      </c>
      <c r="AI24" s="132">
        <f>IFERROR(IF(VLOOKUP($B24,Shortage!$A:$M,AI$2,FALSE)="Shortage",1,IFERROR(ROUND(W24/K24,4),0)),IFERROR(ROUND(W24/K24,4),0))</f>
        <v>0</v>
      </c>
      <c r="AJ24" s="132">
        <f>IFERROR(IF(VLOOKUP($B24,Shortage!$A:$M,AJ$2,FALSE)="Shortage",1,IFERROR(ROUND(X24/L24,4),0)),IFERROR(ROUND(X24/L24,4),0))</f>
        <v>0</v>
      </c>
      <c r="AK24" s="132">
        <f>IFERROR(IF(VLOOKUP($B24,Shortage!$A:$M,AK$2,FALSE)="Shortage",1,IFERROR(ROUND(Y24/M24,4),0)),IFERROR(ROUND(Y24/M24,4),0))</f>
        <v>0</v>
      </c>
      <c r="AL24" s="132">
        <f>IFERROR(IF(VLOOKUP($B24,Shortage!$A:$M,AL$2,FALSE)="Shortage",1,IFERROR(ROUND(Z24/N24,4),0)),IFERROR(ROUND(Z24/N24,4),0))</f>
        <v>0</v>
      </c>
      <c r="AM24" s="132">
        <f>IFERROR(IF(VLOOKUP($B24,Shortage!$A:$M,AM$2,FALSE)="Shortage",1,IFERROR(ROUND(AA24/O24,4),0)),IFERROR(ROUND(AA24/O24,4),0))</f>
        <v>0</v>
      </c>
      <c r="AN24" s="186">
        <f>IFERROR(_xlfn.XLOOKUP(AB24,'2) หลักการคำนวน Table'!$C$3:$K$3,'2) หลักการคำนวน Table'!$C$3:$K$3,,1),INDEX('2) หลักการคำนวน Table'!$C$3:$K$3,1))</f>
        <v>0.95</v>
      </c>
      <c r="AO24" s="186">
        <f>IFERROR(
  _xlfn.XLOOKUP(AC24,'2) หลักการคำนวน Table'!$C$3:$K$3,'2) หลักการคำนวน Table'!$C$3:$K$3,,1),
  IF(AC24&lt;MIN('2) หลักการคำนวน Table'!$C$3:$K$3),
     MIN('2) หลักการคำนวน Table'!$C$3:$K$3),
     MAX('2) หลักการคำนวน Table'!$C$3:$K$3)
  )
)</f>
        <v>0.9</v>
      </c>
      <c r="AP24" s="186">
        <f>IFERROR(
  _xlfn.XLOOKUP(AD24,'2) หลักการคำนวน Table'!$C$3:$K$3,'2) หลักการคำนวน Table'!$C$3:$K$3,,1),
  IF(AD24&lt;MIN('2) หลักการคำนวน Table'!$C$3:$K$3),
     MIN('2) หลักการคำนวน Table'!$C$3:$K$3),
     MAX('2) หลักการคำนวน Table'!$C$3:$K$3)
  )
)</f>
        <v>0.9</v>
      </c>
      <c r="AQ24" s="186">
        <f>IFERROR(
  _xlfn.XLOOKUP(AE24,'2) หลักการคำนวน Table'!$C$3:$K$3,'2) หลักการคำนวน Table'!$C$3:$K$3,,1),
  IF(AE24&lt;MIN('2) หลักการคำนวน Table'!$C$3:$K$3),
     MIN('2) หลักการคำนวน Table'!$C$3:$K$3),
     MAX('2) หลักการคำนวน Table'!$C$3:$K$3)
  )
)</f>
        <v>0.9</v>
      </c>
      <c r="AR24" s="186">
        <f>IFERROR(
  _xlfn.XLOOKUP(AF24,'2) หลักการคำนวน Table'!$C$3:$K$3,'2) หลักการคำนวน Table'!$C$3:$K$3,,1),
  IF(AF24&lt;MIN('2) หลักการคำนวน Table'!$C$3:$K$3),
     MIN('2) หลักการคำนวน Table'!$C$3:$K$3),
     MAX('2) หลักการคำนวน Table'!$C$3:$K$3)
  )
)</f>
        <v>0.9</v>
      </c>
      <c r="AS24" s="186">
        <f>IFERROR(
  _xlfn.XLOOKUP(AG24,'2) หลักการคำนวน Table'!$C$3:$K$3,'2) หลักการคำนวน Table'!$C$3:$K$3,,1),
  IF(AG24&lt;MIN('2) หลักการคำนวน Table'!$C$3:$K$3),
     MIN('2) หลักการคำนวน Table'!$C$3:$K$3),
     MAX('2) หลักการคำนวน Table'!$C$3:$K$3)
  )
)</f>
        <v>0.9</v>
      </c>
      <c r="AT24" s="186">
        <f>IFERROR(
  _xlfn.XLOOKUP(AH24,'2) หลักการคำนวน Table'!$C$3:$K$3,'2) หลักการคำนวน Table'!$C$3:$K$3,,1),
  IF(AH24&lt;MIN('2) หลักการคำนวน Table'!$C$3:$K$3),
     MIN('2) หลักการคำนวน Table'!$C$3:$K$3),
     MAX('2) หลักการคำนวน Table'!$C$3:$K$3)
  )
)</f>
        <v>0.9</v>
      </c>
      <c r="AU24" s="186">
        <f>IFERROR(
  _xlfn.XLOOKUP(AI24,'2) หลักการคำนวน Table'!$C$3:$K$3,'2) หลักการคำนวน Table'!$C$3:$K$3,,1),
  IF(AI24&lt;MIN('2) หลักการคำนวน Table'!$C$3:$K$3),
     MIN('2) หลักการคำนวน Table'!$C$3:$K$3),
     MAX('2) หลักการคำนวน Table'!$C$3:$K$3)
  )
)</f>
        <v>0.9</v>
      </c>
      <c r="AV24" s="186">
        <f>IFERROR(
  _xlfn.XLOOKUP(AJ24,'2) หลักการคำนวน Table'!$C$3:$K$3,'2) หลักการคำนวน Table'!$C$3:$K$3,,1),
  IF(AJ24&lt;MIN('2) หลักการคำนวน Table'!$C$3:$K$3),
     MIN('2) หลักการคำนวน Table'!$C$3:$K$3),
     MAX('2) หลักการคำนวน Table'!$C$3:$K$3)
  )
)</f>
        <v>0.9</v>
      </c>
      <c r="AW24" s="186">
        <f>IFERROR(
  _xlfn.XLOOKUP(AK24,'2) หลักการคำนวน Table'!$C$3:$K$3,'2) หลักการคำนวน Table'!$C$3:$K$3,,1),
  IF(AK24&lt;MIN('2) หลักการคำนวน Table'!$C$3:$K$3),
     MIN('2) หลักการคำนวน Table'!$C$3:$K$3),
     MAX('2) หลักการคำนวน Table'!$C$3:$K$3)
  )
)</f>
        <v>0.9</v>
      </c>
      <c r="AX24" s="186">
        <f>IFERROR(
  _xlfn.XLOOKUP(AL24,'2) หลักการคำนวน Table'!$C$3:$K$3,'2) หลักการคำนวน Table'!$C$3:$K$3,,1),
  IF(AL24&lt;MIN('2) หลักการคำนวน Table'!$C$3:$K$3),
     MIN('2) หลักการคำนวน Table'!$C$3:$K$3),
     MAX('2) หลักการคำนวน Table'!$C$3:$K$3)
  )
)</f>
        <v>0.9</v>
      </c>
      <c r="AY24" s="186">
        <f>IFERROR(
  _xlfn.XLOOKUP(AM24,'2) หลักการคำนวน Table'!$C$3:$K$3,'2) หลักการคำนวน Table'!$C$3:$K$3,,1),
  IF(AM24&lt;MIN('2) หลักการคำนวน Table'!$C$3:$K$3),
     MIN('2) หลักการคำนวน Table'!$C$3:$K$3),
     MAX('2) หลักการคำนวน Table'!$C$3:$K$3)
  )
)</f>
        <v>0.9</v>
      </c>
      <c r="AZ24" s="135" t="e" cm="1">
        <f t="array" ref="AZ24">ROUND((_xlfn.XLOOKUP($C24,'2) หลักการคำนวน Table'!$A$4:$A$36,
_xlfn.XLOOKUP(AN24,'2)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A24" s="135" t="e" cm="1">
        <f t="array" ref="BA24">ROUND((_xlfn.XLOOKUP($C24,'2) หลักการคำนวน Table'!$A$4:$A$36,
_xlfn.XLOOKUP(AO24,'2)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B24" s="135" t="e" cm="1">
        <f t="array" ref="BB24">ROUND((_xlfn.XLOOKUP($C24,'2) หลักการคำนวน Table'!$A$4:$A$36,
_xlfn.XLOOKUP(AP24,'2)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C24" s="135" t="e" cm="1">
        <f t="array" ref="BC24">ROUND((_xlfn.XLOOKUP($C24,'2) หลักการคำนวน Table'!$A$4:$A$36,
_xlfn.XLOOKUP(AQ24,'2)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D24" s="135" t="e" cm="1">
        <f t="array" ref="BD24">ROUND((_xlfn.XLOOKUP($C24,'2) หลักการคำนวน Table'!$A$4:$A$36,
_xlfn.XLOOKUP(AR24,'2)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E24" s="135" t="e" cm="1">
        <f t="array" ref="BE24">ROUND((_xlfn.XLOOKUP($C24,'2) หลักการคำนวน Table'!$A$4:$A$36,
_xlfn.XLOOKUP(AS24,'2)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F24" s="135" t="e" cm="1">
        <f t="array" ref="BF24">ROUND((_xlfn.XLOOKUP($C24,'2) หลักการคำนวน Table'!$A$4:$A$36,
_xlfn.XLOOKUP(AT24,'2)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G24" s="135" t="e" cm="1">
        <f t="array" ref="BG24">ROUND((_xlfn.XLOOKUP($C24,'2) หลักการคำนวน Table'!$A$4:$A$36,
_xlfn.XLOOKUP(AU24,'2)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H24" s="135" t="e" cm="1">
        <f t="array" ref="BH24">ROUND((_xlfn.XLOOKUP($C24,'2) หลักการคำนวน Table'!$A$4:$A$36,
_xlfn.XLOOKUP(AV24,'2)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I24" s="135" t="e" cm="1">
        <f t="array" ref="BI24">ROUND((_xlfn.XLOOKUP($C24,'2) หลักการคำนวน Table'!$A$4:$A$36,
_xlfn.XLOOKUP(AW24,'2)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J24" s="135" t="e" cm="1">
        <f t="array" ref="BJ24">ROUND((_xlfn.XLOOKUP($C24,'2) หลักการคำนวน Table'!$A$4:$A$36,
_xlfn.XLOOKUP(AX24,'2)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K24" s="135" t="e" cm="1">
        <f t="array" ref="BK24">ROUND((_xlfn.XLOOKUP($C24,'2) หลักการคำนวน Table'!$A$4:$A$36,
_xlfn.XLOOKUP(AY24,'2) หลักการคำนวน Table'!$C$3:$K$3,'2) หลักการคำนวน Table'!$C$4:$K$36,,-1)))*(_xlfn.XLOOKUP($C24,'2) หลักการคำนวน Table'!$A$4:$A$36, _xlfn.XLOOKUP($B24,'2) หลักการคำนวน Table'!$L$3:$Z$3,'2) หลักการคำนวน Table'!$L$4:$Z$36))),0)</f>
        <v>#N/A</v>
      </c>
      <c r="BL24" s="239"/>
      <c r="BM24" s="126">
        <v>222223</v>
      </c>
      <c r="BN24" s="292">
        <v>454</v>
      </c>
    </row>
    <row r="25" spans="1:66" ht="13.2" customHeight="1" x14ac:dyDescent="0.25">
      <c r="A25" s="128">
        <f>VLOOKUP(C25,ASTBase!F:S,12,FALSE)</f>
        <v>222222</v>
      </c>
      <c r="B25" s="126" t="s">
        <v>406</v>
      </c>
      <c r="C25" s="128">
        <v>222223</v>
      </c>
      <c r="D25" s="127">
        <f>SUMIFS('3)Target &amp; Cal_Sect'!D$4:D$60,'3)Target &amp; Cal_Sect'!$B$4:$B$60,'3)Target &amp; Cal_Dept'!$B25,'3)Target &amp; Cal_Sect'!$A$4:$A$60,'3)Target &amp; Cal_Dept'!$C25)</f>
        <v>2056000</v>
      </c>
      <c r="E25" s="127">
        <f>SUMIFS('3)Target &amp; Cal_Sect'!E$4:E$60,'3)Target &amp; Cal_Sect'!$B$4:$B$60,'3)Target &amp; Cal_Dept'!$B25,'3)Target &amp; Cal_Sect'!$A$4:$A$60,'3)Target &amp; Cal_Dept'!$C25)</f>
        <v>2413000</v>
      </c>
      <c r="F25" s="127">
        <f>SUMIFS('3)Target &amp; Cal_Sect'!F$4:F$60,'3)Target &amp; Cal_Sect'!$B$4:$B$60,'3)Target &amp; Cal_Dept'!$B25,'3)Target &amp; Cal_Sect'!$A$4:$A$60,'3)Target &amp; Cal_Dept'!$C25)</f>
        <v>2490000</v>
      </c>
      <c r="G25" s="127">
        <f>SUMIFS('3)Target &amp; Cal_Sect'!G$4:G$60,'3)Target &amp; Cal_Sect'!$B$4:$B$60,'3)Target &amp; Cal_Dept'!$B25,'3)Target &amp; Cal_Sect'!$A$4:$A$60,'3)Target &amp; Cal_Dept'!$C25)</f>
        <v>2383000</v>
      </c>
      <c r="H25" s="127">
        <f>SUMIFS('3)Target &amp; Cal_Sect'!H$4:H$60,'3)Target &amp; Cal_Sect'!$B$4:$B$60,'3)Target &amp; Cal_Dept'!$B25,'3)Target &amp; Cal_Sect'!$A$4:$A$60,'3)Target &amp; Cal_Dept'!$C25)</f>
        <v>1994000</v>
      </c>
      <c r="I25" s="127">
        <f>SUMIFS('3)Target &amp; Cal_Sect'!I$4:I$60,'3)Target &amp; Cal_Sect'!$B$4:$B$60,'3)Target &amp; Cal_Dept'!$B25,'3)Target &amp; Cal_Sect'!$A$4:$A$60,'3)Target &amp; Cal_Dept'!$C25)</f>
        <v>2201000</v>
      </c>
      <c r="J25" s="127">
        <f>SUMIFS('3)Target &amp; Cal_Sect'!J$4:J$60,'3)Target &amp; Cal_Sect'!$B$4:$B$60,'3)Target &amp; Cal_Dept'!$B25,'3)Target &amp; Cal_Sect'!$A$4:$A$60,'3)Target &amp; Cal_Dept'!$C25)</f>
        <v>1459000</v>
      </c>
      <c r="K25" s="127">
        <f>SUMIFS('3)Target &amp; Cal_Sect'!K$4:K$60,'3)Target &amp; Cal_Sect'!$B$4:$B$60,'3)Target &amp; Cal_Dept'!$B25,'3)Target &amp; Cal_Sect'!$A$4:$A$60,'3)Target &amp; Cal_Dept'!$C25)</f>
        <v>2658000</v>
      </c>
      <c r="L25" s="127">
        <v>67482.200000000012</v>
      </c>
      <c r="M25" s="127">
        <v>60377</v>
      </c>
      <c r="N25" s="127">
        <v>26208</v>
      </c>
      <c r="O25" s="127">
        <v>41511</v>
      </c>
      <c r="P25" s="127">
        <f>SUMIFS('3)Target &amp; Cal_Sect'!P$4:P$60,'3)Target &amp; Cal_Sect'!$B$4:$B$60,'3)Target &amp; Cal_Dept'!$B25,'3)Target &amp; Cal_Sect'!$A$4:$A$60,'3)Target &amp; Cal_Dept'!$C25)</f>
        <v>2169266.5600000094</v>
      </c>
      <c r="Q25" s="127">
        <f>SUMIFS('3)Target &amp; Cal_Sect'!Q$4:Q$60,'3)Target &amp; Cal_Sect'!$B$4:$B$60,'3)Target &amp; Cal_Dept'!$B25,'3)Target &amp; Cal_Sect'!$A$4:$A$60,'3)Target &amp; Cal_Dept'!$C25)</f>
        <v>0</v>
      </c>
      <c r="R25" s="127">
        <f>SUMIFS('3)Target &amp; Cal_Sect'!R$4:R$60,'3)Target &amp; Cal_Sect'!$B$4:$B$60,'3)Target &amp; Cal_Dept'!$B25,'3)Target &amp; Cal_Sect'!$A$4:$A$60,'3)Target &amp; Cal_Dept'!$C25)</f>
        <v>0</v>
      </c>
      <c r="S25" s="127">
        <f>SUMIFS('3)Target &amp; Cal_Sect'!S$4:S$60,'3)Target &amp; Cal_Sect'!$B$4:$B$60,'3)Target &amp; Cal_Dept'!$B25,'3)Target &amp; Cal_Sect'!$A$4:$A$60,'3)Target &amp; Cal_Dept'!$C25)</f>
        <v>0</v>
      </c>
      <c r="T25" s="127">
        <f>SUMIFS('3)Target &amp; Cal_Sect'!T$4:T$60,'3)Target &amp; Cal_Sect'!$B$4:$B$60,'3)Target &amp; Cal_Dept'!$B25,'3)Target &amp; Cal_Sect'!$A$4:$A$60,'3)Target &amp; Cal_Dept'!$C25)</f>
        <v>0</v>
      </c>
      <c r="U25" s="127">
        <f>SUMIFS('3)Target &amp; Cal_Sect'!U$4:U$60,'3)Target &amp; Cal_Sect'!$B$4:$B$60,'3)Target &amp; Cal_Dept'!$B25,'3)Target &amp; Cal_Sect'!$A$4:$A$60,'3)Target &amp; Cal_Dept'!$C25)</f>
        <v>0</v>
      </c>
      <c r="V25" s="127">
        <f>SUMIFS('3)Target &amp; Cal_Sect'!V$4:V$60,'3)Target &amp; Cal_Sect'!$B$4:$B$60,'3)Target &amp; Cal_Dept'!$B25,'3)Target &amp; Cal_Sect'!$A$4:$A$60,'3)Target &amp; Cal_Dept'!$C25)</f>
        <v>0</v>
      </c>
      <c r="W25" s="127">
        <f>SUMIFS('3)Target &amp; Cal_Sect'!W$4:W$60,'3)Target &amp; Cal_Sect'!$B$4:$B$60,'3)Target &amp; Cal_Dept'!$B25,'3)Target &amp; Cal_Sect'!$A$4:$A$60,'3)Target &amp; Cal_Dept'!$C25)</f>
        <v>0</v>
      </c>
      <c r="X25" s="127">
        <f>SUMIFS('3)Target &amp; Cal_Sect'!X$4:X$60,'3)Target &amp; Cal_Sect'!$B$4:$B$60,'3)Target &amp; Cal_Dept'!$B25,'3)Target &amp; Cal_Sect'!$A$4:$A$60,'3)Target &amp; Cal_Dept'!$C25)</f>
        <v>0</v>
      </c>
      <c r="Y25" s="127">
        <f>SUMIFS('3)Target &amp; Cal_Sect'!Y$4:Y$60,'3)Target &amp; Cal_Sect'!$B$4:$B$60,'3)Target &amp; Cal_Dept'!$B25,'3)Target &amp; Cal_Sect'!$A$4:$A$60,'3)Target &amp; Cal_Dept'!$C25)</f>
        <v>0</v>
      </c>
      <c r="Z25" s="127">
        <f>SUMIFS('3)Target &amp; Cal_Sect'!Z$4:Z$60,'3)Target &amp; Cal_Sect'!$B$4:$B$60,'3)Target &amp; Cal_Dept'!$B25,'3)Target &amp; Cal_Sect'!$A$4:$A$60,'3)Target &amp; Cal_Dept'!$C25)</f>
        <v>0</v>
      </c>
      <c r="AA25" s="127">
        <f>SUMIFS('3)Target &amp; Cal_Sect'!AA$4:AA$60,'3)Target &amp; Cal_Sect'!$B$4:$B$60,'3)Target &amp; Cal_Dept'!$B25,'3)Target &amp; Cal_Sect'!$A$4:$A$60,'3)Target &amp; Cal_Dept'!$C25)</f>
        <v>0</v>
      </c>
      <c r="AB25" s="132">
        <f>IFERROR(IF(VLOOKUP($B25,Shortage!$A:$M,AB$2,FALSE)="Shortage",1,IFERROR(ROUND(P25/D25,4),0)),IFERROR(ROUND(P25/D25,4),0))</f>
        <v>1</v>
      </c>
      <c r="AC25" s="132">
        <f>IFERROR(IF(VLOOKUP($B25,Shortage!$A:$M,AC$2,FALSE)="Shortage",1,IFERROR(ROUND(Q25/E25,4),0)),IFERROR(ROUND(Q25/E25,4),0))</f>
        <v>0</v>
      </c>
      <c r="AD25" s="132">
        <f>IFERROR(IF(VLOOKUP($B25,Shortage!$A:$M,AD$2,FALSE)="Shortage",1,IFERROR(ROUND(R25/F25,4),0)),IFERROR(ROUND(R25/F25,4),0))</f>
        <v>0</v>
      </c>
      <c r="AE25" s="132">
        <f>IFERROR(IF(VLOOKUP($B25,Shortage!$A:$M,AE$2,FALSE)="Shortage",1,IFERROR(ROUND(S25/G25,4),0)),IFERROR(ROUND(S25/G25,4),0))</f>
        <v>0</v>
      </c>
      <c r="AF25" s="132">
        <f>IFERROR(IF(VLOOKUP($B25,Shortage!$A:$M,AF$2,FALSE)="Shortage",1,IFERROR(ROUND(T25/H25,4),0)),IFERROR(ROUND(T25/H25,4),0))</f>
        <v>0</v>
      </c>
      <c r="AG25" s="132">
        <f>IFERROR(IF(VLOOKUP($B25,Shortage!$A:$M,AG$2,FALSE)="Shortage",1,IFERROR(ROUND(U25/I25,4),0)),IFERROR(ROUND(U25/I25,4),0))</f>
        <v>0</v>
      </c>
      <c r="AH25" s="132">
        <f>IFERROR(IF(VLOOKUP($B25,Shortage!$A:$M,AH$2,FALSE)="Shortage",1,IFERROR(ROUND(V25/J25,4),0)),IFERROR(ROUND(V25/J25,4),0))</f>
        <v>0</v>
      </c>
      <c r="AI25" s="132">
        <f>IFERROR(IF(VLOOKUP($B25,Shortage!$A:$M,AI$2,FALSE)="Shortage",1,IFERROR(ROUND(W25/K25,4),0)),IFERROR(ROUND(W25/K25,4),0))</f>
        <v>0</v>
      </c>
      <c r="AJ25" s="132">
        <f>IFERROR(IF(VLOOKUP($B25,Shortage!$A:$M,AJ$2,FALSE)="Shortage",1,IFERROR(ROUND(X25/L25,4),0)),IFERROR(ROUND(X25/L25,4),0))</f>
        <v>0</v>
      </c>
      <c r="AK25" s="132">
        <f>IFERROR(IF(VLOOKUP($B25,Shortage!$A:$M,AK$2,FALSE)="Shortage",1,IFERROR(ROUND(Y25/M25,4),0)),IFERROR(ROUND(Y25/M25,4),0))</f>
        <v>0</v>
      </c>
      <c r="AL25" s="132">
        <f>IFERROR(IF(VLOOKUP($B25,Shortage!$A:$M,AL$2,FALSE)="Shortage",1,IFERROR(ROUND(Z25/N25,4),0)),IFERROR(ROUND(Z25/N25,4),0))</f>
        <v>0</v>
      </c>
      <c r="AM25" s="132">
        <f>IFERROR(IF(VLOOKUP($B25,Shortage!$A:$M,AM$2,FALSE)="Shortage",1,IFERROR(ROUND(AA25/O25,4),0)),IFERROR(ROUND(AA25/O25,4),0))</f>
        <v>0</v>
      </c>
      <c r="AN25" s="186">
        <f>IFERROR(_xlfn.XLOOKUP(AB25,'2) หลักการคำนวน Table'!$C$3:$K$3,'2) หลักการคำนวน Table'!$C$3:$K$3,,1),INDEX('2) หลักการคำนวน Table'!$C$3:$K$3,1))</f>
        <v>1</v>
      </c>
      <c r="AO25" s="186">
        <f>IFERROR(
  _xlfn.XLOOKUP(AC25,'2) หลักการคำนวน Table'!$C$3:$K$3,'2) หลักการคำนวน Table'!$C$3:$K$3,,1),
  IF(AC25&lt;MIN('2) หลักการคำนวน Table'!$C$3:$K$3),
     MIN('2) หลักการคำนวน Table'!$C$3:$K$3),
     MAX('2) หลักการคำนวน Table'!$C$3:$K$3)
  )
)</f>
        <v>0.9</v>
      </c>
      <c r="AP25" s="186">
        <f>IFERROR(
  _xlfn.XLOOKUP(AD25,'2) หลักการคำนวน Table'!$C$3:$K$3,'2) หลักการคำนวน Table'!$C$3:$K$3,,1),
  IF(AD25&lt;MIN('2) หลักการคำนวน Table'!$C$3:$K$3),
     MIN('2) หลักการคำนวน Table'!$C$3:$K$3),
     MAX('2) หลักการคำนวน Table'!$C$3:$K$3)
  )
)</f>
        <v>0.9</v>
      </c>
      <c r="AQ25" s="186">
        <f>IFERROR(
  _xlfn.XLOOKUP(AE25,'2) หลักการคำนวน Table'!$C$3:$K$3,'2) หลักการคำนวน Table'!$C$3:$K$3,,1),
  IF(AE25&lt;MIN('2) หลักการคำนวน Table'!$C$3:$K$3),
     MIN('2) หลักการคำนวน Table'!$C$3:$K$3),
     MAX('2) หลักการคำนวน Table'!$C$3:$K$3)
  )
)</f>
        <v>0.9</v>
      </c>
      <c r="AR25" s="186">
        <f>IFERROR(
  _xlfn.XLOOKUP(AF25,'2) หลักการคำนวน Table'!$C$3:$K$3,'2) หลักการคำนวน Table'!$C$3:$K$3,,1),
  IF(AF25&lt;MIN('2) หลักการคำนวน Table'!$C$3:$K$3),
     MIN('2) หลักการคำนวน Table'!$C$3:$K$3),
     MAX('2) หลักการคำนวน Table'!$C$3:$K$3)
  )
)</f>
        <v>0.9</v>
      </c>
      <c r="AS25" s="186">
        <f>IFERROR(
  _xlfn.XLOOKUP(AG25,'2) หลักการคำนวน Table'!$C$3:$K$3,'2) หลักการคำนวน Table'!$C$3:$K$3,,1),
  IF(AG25&lt;MIN('2) หลักการคำนวน Table'!$C$3:$K$3),
     MIN('2) หลักการคำนวน Table'!$C$3:$K$3),
     MAX('2) หลักการคำนวน Table'!$C$3:$K$3)
  )
)</f>
        <v>0.9</v>
      </c>
      <c r="AT25" s="186">
        <f>IFERROR(
  _xlfn.XLOOKUP(AH25,'2) หลักการคำนวน Table'!$C$3:$K$3,'2) หลักการคำนวน Table'!$C$3:$K$3,,1),
  IF(AH25&lt;MIN('2) หลักการคำนวน Table'!$C$3:$K$3),
     MIN('2) หลักการคำนวน Table'!$C$3:$K$3),
     MAX('2) หลักการคำนวน Table'!$C$3:$K$3)
  )
)</f>
        <v>0.9</v>
      </c>
      <c r="AU25" s="186">
        <f>IFERROR(
  _xlfn.XLOOKUP(AI25,'2) หลักการคำนวน Table'!$C$3:$K$3,'2) หลักการคำนวน Table'!$C$3:$K$3,,1),
  IF(AI25&lt;MIN('2) หลักการคำนวน Table'!$C$3:$K$3),
     MIN('2) หลักการคำนวน Table'!$C$3:$K$3),
     MAX('2) หลักการคำนวน Table'!$C$3:$K$3)
  )
)</f>
        <v>0.9</v>
      </c>
      <c r="AV25" s="186">
        <f>IFERROR(
  _xlfn.XLOOKUP(AJ25,'2) หลักการคำนวน Table'!$C$3:$K$3,'2) หลักการคำนวน Table'!$C$3:$K$3,,1),
  IF(AJ25&lt;MIN('2) หลักการคำนวน Table'!$C$3:$K$3),
     MIN('2) หลักการคำนวน Table'!$C$3:$K$3),
     MAX('2) หลักการคำนวน Table'!$C$3:$K$3)
  )
)</f>
        <v>0.9</v>
      </c>
      <c r="AW25" s="186">
        <f>IFERROR(
  _xlfn.XLOOKUP(AK25,'2) หลักการคำนวน Table'!$C$3:$K$3,'2) หลักการคำนวน Table'!$C$3:$K$3,,1),
  IF(AK25&lt;MIN('2) หลักการคำนวน Table'!$C$3:$K$3),
     MIN('2) หลักการคำนวน Table'!$C$3:$K$3),
     MAX('2) หลักการคำนวน Table'!$C$3:$K$3)
  )
)</f>
        <v>0.9</v>
      </c>
      <c r="AX25" s="186">
        <f>IFERROR(
  _xlfn.XLOOKUP(AL25,'2) หลักการคำนวน Table'!$C$3:$K$3,'2) หลักการคำนวน Table'!$C$3:$K$3,,1),
  IF(AL25&lt;MIN('2) หลักการคำนวน Table'!$C$3:$K$3),
     MIN('2) หลักการคำนวน Table'!$C$3:$K$3),
     MAX('2) หลักการคำนวน Table'!$C$3:$K$3)
  )
)</f>
        <v>0.9</v>
      </c>
      <c r="AY25" s="186">
        <f>IFERROR(
  _xlfn.XLOOKUP(AM25,'2) หลักการคำนวน Table'!$C$3:$K$3,'2) หลักการคำนวน Table'!$C$3:$K$3,,1),
  IF(AM25&lt;MIN('2) หลักการคำนวน Table'!$C$3:$K$3),
     MIN('2) หลักการคำนวน Table'!$C$3:$K$3),
     MAX('2) หลักการคำนวน Table'!$C$3:$K$3)
  )
)</f>
        <v>0.9</v>
      </c>
      <c r="AZ25" s="135" t="e" cm="1">
        <f t="array" ref="AZ25">ROUND((_xlfn.XLOOKUP($C25,'2) หลักการคำนวน Table'!$A$4:$A$36,
_xlfn.XLOOKUP(AN25,'2)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A25" s="135" t="e" cm="1">
        <f t="array" ref="BA25">ROUND((_xlfn.XLOOKUP($C25,'2) หลักการคำนวน Table'!$A$4:$A$36,
_xlfn.XLOOKUP(AO25,'2)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B25" s="135" t="e" cm="1">
        <f t="array" ref="BB25">ROUND((_xlfn.XLOOKUP($C25,'2) หลักการคำนวน Table'!$A$4:$A$36,
_xlfn.XLOOKUP(AP25,'2)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C25" s="135" t="e" cm="1">
        <f t="array" ref="BC25">ROUND((_xlfn.XLOOKUP($C25,'2) หลักการคำนวน Table'!$A$4:$A$36,
_xlfn.XLOOKUP(AQ25,'2)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D25" s="135" t="e" cm="1">
        <f t="array" ref="BD25">ROUND((_xlfn.XLOOKUP($C25,'2) หลักการคำนวน Table'!$A$4:$A$36,
_xlfn.XLOOKUP(AR25,'2)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E25" s="135" t="e" cm="1">
        <f t="array" ref="BE25">ROUND((_xlfn.XLOOKUP($C25,'2) หลักการคำนวน Table'!$A$4:$A$36,
_xlfn.XLOOKUP(AS25,'2)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F25" s="135" t="e" cm="1">
        <f t="array" ref="BF25">ROUND((_xlfn.XLOOKUP($C25,'2) หลักการคำนวน Table'!$A$4:$A$36,
_xlfn.XLOOKUP(AT25,'2)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G25" s="135" t="e" cm="1">
        <f t="array" ref="BG25">ROUND((_xlfn.XLOOKUP($C25,'2) หลักการคำนวน Table'!$A$4:$A$36,
_xlfn.XLOOKUP(AU25,'2)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H25" s="135" t="e" cm="1">
        <f t="array" ref="BH25">ROUND((_xlfn.XLOOKUP($C25,'2) หลักการคำนวน Table'!$A$4:$A$36,
_xlfn.XLOOKUP(AV25,'2)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I25" s="135" t="e" cm="1">
        <f t="array" ref="BI25">ROUND((_xlfn.XLOOKUP($C25,'2) หลักการคำนวน Table'!$A$4:$A$36,
_xlfn.XLOOKUP(AW25,'2)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J25" s="135" t="e" cm="1">
        <f t="array" ref="BJ25">ROUND((_xlfn.XLOOKUP($C25,'2) หลักการคำนวน Table'!$A$4:$A$36,
_xlfn.XLOOKUP(AX25,'2)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K25" s="135" t="e" cm="1">
        <f t="array" ref="BK25">ROUND((_xlfn.XLOOKUP($C25,'2) หลักการคำนวน Table'!$A$4:$A$36,
_xlfn.XLOOKUP(AY25,'2) หลักการคำนวน Table'!$C$3:$K$3,'2) หลักการคำนวน Table'!$C$4:$K$36,,-1)))*(_xlfn.XLOOKUP($C25,'2) หลักการคำนวน Table'!$A$4:$A$36, _xlfn.XLOOKUP($B25,'2) หลักการคำนวน Table'!$L$3:$Z$3,'2) หลักการคำนวน Table'!$L$4:$Z$36))),0)</f>
        <v>#N/A</v>
      </c>
      <c r="BL25" s="239"/>
      <c r="BM25" s="126">
        <v>222223</v>
      </c>
      <c r="BN25" s="245">
        <v>1722</v>
      </c>
    </row>
    <row r="26" spans="1:66" ht="13.2" customHeight="1" x14ac:dyDescent="0.25">
      <c r="A26" s="128">
        <f>VLOOKUP(C26,ASTBase!F:S,12,FALSE)</f>
        <v>222222</v>
      </c>
      <c r="B26" s="126" t="s">
        <v>409</v>
      </c>
      <c r="C26" s="128">
        <v>222223</v>
      </c>
      <c r="D26" s="127">
        <f>SUMIFS('3)Target &amp; Cal_Sect'!D$4:D$60,'3)Target &amp; Cal_Sect'!$B$4:$B$60,'3)Target &amp; Cal_Dept'!$B26,'3)Target &amp; Cal_Sect'!$A$4:$A$60,'3)Target &amp; Cal_Dept'!$C26)</f>
        <v>40400</v>
      </c>
      <c r="E26" s="127">
        <f>SUMIFS('3)Target &amp; Cal_Sect'!E$4:E$60,'3)Target &amp; Cal_Sect'!$B$4:$B$60,'3)Target &amp; Cal_Dept'!$B26,'3)Target &amp; Cal_Sect'!$A$4:$A$60,'3)Target &amp; Cal_Dept'!$C26)</f>
        <v>40900</v>
      </c>
      <c r="F26" s="127">
        <f>SUMIFS('3)Target &amp; Cal_Sect'!F$4:F$60,'3)Target &amp; Cal_Sect'!$B$4:$B$60,'3)Target &amp; Cal_Dept'!$B26,'3)Target &amp; Cal_Sect'!$A$4:$A$60,'3)Target &amp; Cal_Dept'!$C26)</f>
        <v>89600</v>
      </c>
      <c r="G26" s="127">
        <f>SUMIFS('3)Target &amp; Cal_Sect'!G$4:G$60,'3)Target &amp; Cal_Sect'!$B$4:$B$60,'3)Target &amp; Cal_Dept'!$B26,'3)Target &amp; Cal_Sect'!$A$4:$A$60,'3)Target &amp; Cal_Dept'!$C26)</f>
        <v>40400</v>
      </c>
      <c r="H26" s="127">
        <f>SUMIFS('3)Target &amp; Cal_Sect'!H$4:H$60,'3)Target &amp; Cal_Sect'!$B$4:$B$60,'3)Target &amp; Cal_Dept'!$B26,'3)Target &amp; Cal_Sect'!$A$4:$A$60,'3)Target &amp; Cal_Dept'!$C26)</f>
        <v>37400</v>
      </c>
      <c r="I26" s="127">
        <f>SUMIFS('3)Target &amp; Cal_Sect'!I$4:I$60,'3)Target &amp; Cal_Sect'!$B$4:$B$60,'3)Target &amp; Cal_Dept'!$B26,'3)Target &amp; Cal_Sect'!$A$4:$A$60,'3)Target &amp; Cal_Dept'!$C26)</f>
        <v>46600</v>
      </c>
      <c r="J26" s="127">
        <f>SUMIFS('3)Target &amp; Cal_Sect'!J$4:J$60,'3)Target &amp; Cal_Sect'!$B$4:$B$60,'3)Target &amp; Cal_Dept'!$B26,'3)Target &amp; Cal_Sect'!$A$4:$A$60,'3)Target &amp; Cal_Dept'!$C26)</f>
        <v>42900</v>
      </c>
      <c r="K26" s="127">
        <f>SUMIFS('3)Target &amp; Cal_Sect'!K$4:K$60,'3)Target &amp; Cal_Sect'!$B$4:$B$60,'3)Target &amp; Cal_Dept'!$B26,'3)Target &amp; Cal_Sect'!$A$4:$A$60,'3)Target &amp; Cal_Dept'!$C26)</f>
        <v>37900</v>
      </c>
      <c r="L26" s="127">
        <v>1098679.999999163</v>
      </c>
      <c r="M26" s="127">
        <v>1143790</v>
      </c>
      <c r="N26" s="127">
        <v>602380</v>
      </c>
      <c r="O26" s="127">
        <v>690022.99999871082</v>
      </c>
      <c r="P26" s="127">
        <f>SUMIFS('3)Target &amp; Cal_Sect'!P$4:P$60,'3)Target &amp; Cal_Sect'!$B$4:$B$60,'3)Target &amp; Cal_Dept'!$B26,'3)Target &amp; Cal_Sect'!$A$4:$A$60,'3)Target &amp; Cal_Dept'!$C26)</f>
        <v>46162.656000000112</v>
      </c>
      <c r="Q26" s="127">
        <f>SUMIFS('3)Target &amp; Cal_Sect'!Q$4:Q$60,'3)Target &amp; Cal_Sect'!$B$4:$B$60,'3)Target &amp; Cal_Dept'!$B26,'3)Target &amp; Cal_Sect'!$A$4:$A$60,'3)Target &amp; Cal_Dept'!$C26)</f>
        <v>0</v>
      </c>
      <c r="R26" s="127">
        <f>SUMIFS('3)Target &amp; Cal_Sect'!R$4:R$60,'3)Target &amp; Cal_Sect'!$B$4:$B$60,'3)Target &amp; Cal_Dept'!$B26,'3)Target &amp; Cal_Sect'!$A$4:$A$60,'3)Target &amp; Cal_Dept'!$C26)</f>
        <v>0</v>
      </c>
      <c r="S26" s="127">
        <f>SUMIFS('3)Target &amp; Cal_Sect'!S$4:S$60,'3)Target &amp; Cal_Sect'!$B$4:$B$60,'3)Target &amp; Cal_Dept'!$B26,'3)Target &amp; Cal_Sect'!$A$4:$A$60,'3)Target &amp; Cal_Dept'!$C26)</f>
        <v>0</v>
      </c>
      <c r="T26" s="127">
        <f>SUMIFS('3)Target &amp; Cal_Sect'!T$4:T$60,'3)Target &amp; Cal_Sect'!$B$4:$B$60,'3)Target &amp; Cal_Dept'!$B26,'3)Target &amp; Cal_Sect'!$A$4:$A$60,'3)Target &amp; Cal_Dept'!$C26)</f>
        <v>0</v>
      </c>
      <c r="U26" s="127">
        <f>SUMIFS('3)Target &amp; Cal_Sect'!U$4:U$60,'3)Target &amp; Cal_Sect'!$B$4:$B$60,'3)Target &amp; Cal_Dept'!$B26,'3)Target &amp; Cal_Sect'!$A$4:$A$60,'3)Target &amp; Cal_Dept'!$C26)</f>
        <v>0</v>
      </c>
      <c r="V26" s="127">
        <f>SUMIFS('3)Target &amp; Cal_Sect'!V$4:V$60,'3)Target &amp; Cal_Sect'!$B$4:$B$60,'3)Target &amp; Cal_Dept'!$B26,'3)Target &amp; Cal_Sect'!$A$4:$A$60,'3)Target &amp; Cal_Dept'!$C26)</f>
        <v>0</v>
      </c>
      <c r="W26" s="127">
        <f>SUMIFS('3)Target &amp; Cal_Sect'!W$4:W$60,'3)Target &amp; Cal_Sect'!$B$4:$B$60,'3)Target &amp; Cal_Dept'!$B26,'3)Target &amp; Cal_Sect'!$A$4:$A$60,'3)Target &amp; Cal_Dept'!$C26)</f>
        <v>0</v>
      </c>
      <c r="X26" s="127">
        <f>SUMIFS('3)Target &amp; Cal_Sect'!X$4:X$60,'3)Target &amp; Cal_Sect'!$B$4:$B$60,'3)Target &amp; Cal_Dept'!$B26,'3)Target &amp; Cal_Sect'!$A$4:$A$60,'3)Target &amp; Cal_Dept'!$C26)</f>
        <v>0</v>
      </c>
      <c r="Y26" s="127">
        <f>SUMIFS('3)Target &amp; Cal_Sect'!Y$4:Y$60,'3)Target &amp; Cal_Sect'!$B$4:$B$60,'3)Target &amp; Cal_Dept'!$B26,'3)Target &amp; Cal_Sect'!$A$4:$A$60,'3)Target &amp; Cal_Dept'!$C26)</f>
        <v>0</v>
      </c>
      <c r="Z26" s="127">
        <f>SUMIFS('3)Target &amp; Cal_Sect'!Z$4:Z$60,'3)Target &amp; Cal_Sect'!$B$4:$B$60,'3)Target &amp; Cal_Dept'!$B26,'3)Target &amp; Cal_Sect'!$A$4:$A$60,'3)Target &amp; Cal_Dept'!$C26)</f>
        <v>0</v>
      </c>
      <c r="AA26" s="127">
        <f>SUMIFS('3)Target &amp; Cal_Sect'!AA$4:AA$60,'3)Target &amp; Cal_Sect'!$B$4:$B$60,'3)Target &amp; Cal_Dept'!$B26,'3)Target &amp; Cal_Sect'!$A$4:$A$60,'3)Target &amp; Cal_Dept'!$C26)</f>
        <v>0</v>
      </c>
      <c r="AB26" s="132">
        <f>IFERROR(IF(VLOOKUP($B26,Shortage!$A:$M,AB$2,FALSE)="Shortage",1,IFERROR(ROUND(P26/D26,4),0)),IFERROR(ROUND(P26/D26,4),0))</f>
        <v>1.1426000000000001</v>
      </c>
      <c r="AC26" s="132">
        <f>IFERROR(IF(VLOOKUP($B26,Shortage!$A:$M,AC$2,FALSE)="Shortage",1,IFERROR(ROUND(Q26/E26,4),0)),IFERROR(ROUND(Q26/E26,4),0))</f>
        <v>0</v>
      </c>
      <c r="AD26" s="132">
        <f>IFERROR(IF(VLOOKUP($B26,Shortage!$A:$M,AD$2,FALSE)="Shortage",1,IFERROR(ROUND(R26/F26,4),0)),IFERROR(ROUND(R26/F26,4),0))</f>
        <v>0</v>
      </c>
      <c r="AE26" s="132">
        <f>IFERROR(IF(VLOOKUP($B26,Shortage!$A:$M,AE$2,FALSE)="Shortage",1,IFERROR(ROUND(S26/G26,4),0)),IFERROR(ROUND(S26/G26,4),0))</f>
        <v>0</v>
      </c>
      <c r="AF26" s="132">
        <f>IFERROR(IF(VLOOKUP($B26,Shortage!$A:$M,AF$2,FALSE)="Shortage",1,IFERROR(ROUND(T26/H26,4),0)),IFERROR(ROUND(T26/H26,4),0))</f>
        <v>0</v>
      </c>
      <c r="AG26" s="132">
        <f>IFERROR(IF(VLOOKUP($B26,Shortage!$A:$M,AG$2,FALSE)="Shortage",1,IFERROR(ROUND(U26/I26,4),0)),IFERROR(ROUND(U26/I26,4),0))</f>
        <v>0</v>
      </c>
      <c r="AH26" s="132">
        <f>IFERROR(IF(VLOOKUP($B26,Shortage!$A:$M,AH$2,FALSE)="Shortage",1,IFERROR(ROUND(V26/J26,4),0)),IFERROR(ROUND(V26/J26,4),0))</f>
        <v>0</v>
      </c>
      <c r="AI26" s="132">
        <f>IFERROR(IF(VLOOKUP($B26,Shortage!$A:$M,AI$2,FALSE)="Shortage",1,IFERROR(ROUND(W26/K26,4),0)),IFERROR(ROUND(W26/K26,4),0))</f>
        <v>0</v>
      </c>
      <c r="AJ26" s="132">
        <f>IFERROR(IF(VLOOKUP($B26,Shortage!$A:$M,AJ$2,FALSE)="Shortage",1,IFERROR(ROUND(X26/L26,4),0)),IFERROR(ROUND(X26/L26,4),0))</f>
        <v>0</v>
      </c>
      <c r="AK26" s="132">
        <f>IFERROR(IF(VLOOKUP($B26,Shortage!$A:$M,AK$2,FALSE)="Shortage",1,IFERROR(ROUND(Y26/M26,4),0)),IFERROR(ROUND(Y26/M26,4),0))</f>
        <v>0</v>
      </c>
      <c r="AL26" s="132">
        <f>IFERROR(IF(VLOOKUP($B26,Shortage!$A:$M,AL$2,FALSE)="Shortage",1,IFERROR(ROUND(Z26/N26,4),0)),IFERROR(ROUND(Z26/N26,4),0))</f>
        <v>0</v>
      </c>
      <c r="AM26" s="132">
        <f>IFERROR(IF(VLOOKUP($B26,Shortage!$A:$M,AM$2,FALSE)="Shortage",1,IFERROR(ROUND(AA26/O26,4),0)),IFERROR(ROUND(AA26/O26,4),0))</f>
        <v>0</v>
      </c>
      <c r="AN26" s="186">
        <f>IFERROR(_xlfn.XLOOKUP(AB26,'2) หลักการคำนวน Table'!$C$3:$K$3,'2) หลักการคำนวน Table'!$C$3:$K$3,,1),INDEX('2) หลักการคำนวน Table'!$C$3:$K$3,1))</f>
        <v>1.1499999999999999</v>
      </c>
      <c r="AO26" s="186">
        <f>IFERROR(
  _xlfn.XLOOKUP(AC26,'2) หลักการคำนวน Table'!$C$3:$K$3,'2) หลักการคำนวน Table'!$C$3:$K$3,,1),
  IF(AC26&lt;MIN('2) หลักการคำนวน Table'!$C$3:$K$3),
     MIN('2) หลักการคำนวน Table'!$C$3:$K$3),
     MAX('2) หลักการคำนวน Table'!$C$3:$K$3)
  )
)</f>
        <v>0.9</v>
      </c>
      <c r="AP26" s="186">
        <f>IFERROR(
  _xlfn.XLOOKUP(AD26,'2) หลักการคำนวน Table'!$C$3:$K$3,'2) หลักการคำนวน Table'!$C$3:$K$3,,1),
  IF(AD26&lt;MIN('2) หลักการคำนวน Table'!$C$3:$K$3),
     MIN('2) หลักการคำนวน Table'!$C$3:$K$3),
     MAX('2) หลักการคำนวน Table'!$C$3:$K$3)
  )
)</f>
        <v>0.9</v>
      </c>
      <c r="AQ26" s="186">
        <f>IFERROR(
  _xlfn.XLOOKUP(AE26,'2) หลักการคำนวน Table'!$C$3:$K$3,'2) หลักการคำนวน Table'!$C$3:$K$3,,1),
  IF(AE26&lt;MIN('2) หลักการคำนวน Table'!$C$3:$K$3),
     MIN('2) หลักการคำนวน Table'!$C$3:$K$3),
     MAX('2) หลักการคำนวน Table'!$C$3:$K$3)
  )
)</f>
        <v>0.9</v>
      </c>
      <c r="AR26" s="186">
        <f>IFERROR(
  _xlfn.XLOOKUP(AF26,'2) หลักการคำนวน Table'!$C$3:$K$3,'2) หลักการคำนวน Table'!$C$3:$K$3,,1),
  IF(AF26&lt;MIN('2) หลักการคำนวน Table'!$C$3:$K$3),
     MIN('2) หลักการคำนวน Table'!$C$3:$K$3),
     MAX('2) หลักการคำนวน Table'!$C$3:$K$3)
  )
)</f>
        <v>0.9</v>
      </c>
      <c r="AS26" s="186">
        <f>IFERROR(
  _xlfn.XLOOKUP(AG26,'2) หลักการคำนวน Table'!$C$3:$K$3,'2) หลักการคำนวน Table'!$C$3:$K$3,,1),
  IF(AG26&lt;MIN('2) หลักการคำนวน Table'!$C$3:$K$3),
     MIN('2) หลักการคำนวน Table'!$C$3:$K$3),
     MAX('2) หลักการคำนวน Table'!$C$3:$K$3)
  )
)</f>
        <v>0.9</v>
      </c>
      <c r="AT26" s="186">
        <f>IFERROR(
  _xlfn.XLOOKUP(AH26,'2) หลักการคำนวน Table'!$C$3:$K$3,'2) หลักการคำนวน Table'!$C$3:$K$3,,1),
  IF(AH26&lt;MIN('2) หลักการคำนวน Table'!$C$3:$K$3),
     MIN('2) หลักการคำนวน Table'!$C$3:$K$3),
     MAX('2) หลักการคำนวน Table'!$C$3:$K$3)
  )
)</f>
        <v>0.9</v>
      </c>
      <c r="AU26" s="186">
        <f>IFERROR(
  _xlfn.XLOOKUP(AI26,'2) หลักการคำนวน Table'!$C$3:$K$3,'2) หลักการคำนวน Table'!$C$3:$K$3,,1),
  IF(AI26&lt;MIN('2) หลักการคำนวน Table'!$C$3:$K$3),
     MIN('2) หลักการคำนวน Table'!$C$3:$K$3),
     MAX('2) หลักการคำนวน Table'!$C$3:$K$3)
  )
)</f>
        <v>0.9</v>
      </c>
      <c r="AV26" s="186">
        <f>IFERROR(
  _xlfn.XLOOKUP(AJ26,'2) หลักการคำนวน Table'!$C$3:$K$3,'2) หลักการคำนวน Table'!$C$3:$K$3,,1),
  IF(AJ26&lt;MIN('2) หลักการคำนวน Table'!$C$3:$K$3),
     MIN('2) หลักการคำนวน Table'!$C$3:$K$3),
     MAX('2) หลักการคำนวน Table'!$C$3:$K$3)
  )
)</f>
        <v>0.9</v>
      </c>
      <c r="AW26" s="186">
        <f>IFERROR(
  _xlfn.XLOOKUP(AK26,'2) หลักการคำนวน Table'!$C$3:$K$3,'2) หลักการคำนวน Table'!$C$3:$K$3,,1),
  IF(AK26&lt;MIN('2) หลักการคำนวน Table'!$C$3:$K$3),
     MIN('2) หลักการคำนวน Table'!$C$3:$K$3),
     MAX('2) หลักการคำนวน Table'!$C$3:$K$3)
  )
)</f>
        <v>0.9</v>
      </c>
      <c r="AX26" s="186">
        <f>IFERROR(
  _xlfn.XLOOKUP(AL26,'2) หลักการคำนวน Table'!$C$3:$K$3,'2) หลักการคำนวน Table'!$C$3:$K$3,,1),
  IF(AL26&lt;MIN('2) หลักการคำนวน Table'!$C$3:$K$3),
     MIN('2) หลักการคำนวน Table'!$C$3:$K$3),
     MAX('2) หลักการคำนวน Table'!$C$3:$K$3)
  )
)</f>
        <v>0.9</v>
      </c>
      <c r="AY26" s="186">
        <f>IFERROR(
  _xlfn.XLOOKUP(AM26,'2) หลักการคำนวน Table'!$C$3:$K$3,'2) หลักการคำนวน Table'!$C$3:$K$3,,1),
  IF(AM26&lt;MIN('2) หลักการคำนวน Table'!$C$3:$K$3),
     MIN('2) หลักการคำนวน Table'!$C$3:$K$3),
     MAX('2) หลักการคำนวน Table'!$C$3:$K$3)
  )
)</f>
        <v>0.9</v>
      </c>
      <c r="AZ26" s="135" t="e" cm="1">
        <f t="array" ref="AZ26">ROUND((_xlfn.XLOOKUP($C26,'2) หลักการคำนวน Table'!$A$4:$A$36,
_xlfn.XLOOKUP(AN26,'2)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A26" s="135" t="e" cm="1">
        <f t="array" ref="BA26">ROUND((_xlfn.XLOOKUP($C26,'2) หลักการคำนวน Table'!$A$4:$A$36,
_xlfn.XLOOKUP(AO26,'2)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B26" s="135" t="e" cm="1">
        <f t="array" ref="BB26">ROUND((_xlfn.XLOOKUP($C26,'2) หลักการคำนวน Table'!$A$4:$A$36,
_xlfn.XLOOKUP(AP26,'2)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C26" s="135" t="e" cm="1">
        <f t="array" ref="BC26">ROUND((_xlfn.XLOOKUP($C26,'2) หลักการคำนวน Table'!$A$4:$A$36,
_xlfn.XLOOKUP(AQ26,'2)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D26" s="135" t="e" cm="1">
        <f t="array" ref="BD26">ROUND((_xlfn.XLOOKUP($C26,'2) หลักการคำนวน Table'!$A$4:$A$36,
_xlfn.XLOOKUP(AR26,'2)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E26" s="135" t="e" cm="1">
        <f t="array" ref="BE26">ROUND((_xlfn.XLOOKUP($C26,'2) หลักการคำนวน Table'!$A$4:$A$36,
_xlfn.XLOOKUP(AS26,'2)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F26" s="135" t="e" cm="1">
        <f t="array" ref="BF26">ROUND((_xlfn.XLOOKUP($C26,'2) หลักการคำนวน Table'!$A$4:$A$36,
_xlfn.XLOOKUP(AT26,'2)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G26" s="135" t="e" cm="1">
        <f t="array" ref="BG26">ROUND((_xlfn.XLOOKUP($C26,'2) หลักการคำนวน Table'!$A$4:$A$36,
_xlfn.XLOOKUP(AU26,'2)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H26" s="135" t="e" cm="1">
        <f t="array" ref="BH26">ROUND((_xlfn.XLOOKUP($C26,'2) หลักการคำนวน Table'!$A$4:$A$36,
_xlfn.XLOOKUP(AV26,'2)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I26" s="135" t="e" cm="1">
        <f t="array" ref="BI26">ROUND((_xlfn.XLOOKUP($C26,'2) หลักการคำนวน Table'!$A$4:$A$36,
_xlfn.XLOOKUP(AW26,'2)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J26" s="135" t="e" cm="1">
        <f t="array" ref="BJ26">ROUND((_xlfn.XLOOKUP($C26,'2) หลักการคำนวน Table'!$A$4:$A$36,
_xlfn.XLOOKUP(AX26,'2)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K26" s="135" t="e" cm="1">
        <f t="array" ref="BK26">ROUND((_xlfn.XLOOKUP($C26,'2) หลักการคำนวน Table'!$A$4:$A$36,
_xlfn.XLOOKUP(AY26,'2) หลักการคำนวน Table'!$C$3:$K$3,'2) หลักการคำนวน Table'!$C$4:$K$36,,-1)))*(_xlfn.XLOOKUP($C26,'2) หลักการคำนวน Table'!$A$4:$A$36, _xlfn.XLOOKUP($B26,'2) หลักการคำนวน Table'!$L$3:$Z$3,'2) หลักการคำนวน Table'!$L$4:$Z$36))),0)</f>
        <v>#N/A</v>
      </c>
      <c r="BL26" s="239"/>
      <c r="BM26" s="126">
        <v>222223</v>
      </c>
      <c r="BN26" s="245">
        <v>62</v>
      </c>
    </row>
    <row r="27" spans="1:66" ht="13.2" customHeight="1" x14ac:dyDescent="0.25">
      <c r="A27" s="128">
        <f>VLOOKUP(C27,ASTBase!F:S,12,FALSE)</f>
        <v>222222</v>
      </c>
      <c r="B27" s="126" t="s">
        <v>410</v>
      </c>
      <c r="C27" s="128">
        <v>222223</v>
      </c>
      <c r="D27" s="127">
        <f>SUMIFS('3)Target &amp; Cal_Sect'!D$4:D$60,'3)Target &amp; Cal_Sect'!$B$4:$B$60,'3)Target &amp; Cal_Dept'!$B27,'3)Target &amp; Cal_Sect'!$A$4:$A$60,'3)Target &amp; Cal_Dept'!$C27)</f>
        <v>143900</v>
      </c>
      <c r="E27" s="127">
        <f>SUMIFS('3)Target &amp; Cal_Sect'!E$4:E$60,'3)Target &amp; Cal_Sect'!$B$4:$B$60,'3)Target &amp; Cal_Dept'!$B27,'3)Target &amp; Cal_Sect'!$A$4:$A$60,'3)Target &amp; Cal_Dept'!$C27)</f>
        <v>62300</v>
      </c>
      <c r="F27" s="127">
        <f>SUMIFS('3)Target &amp; Cal_Sect'!F$4:F$60,'3)Target &amp; Cal_Sect'!$B$4:$B$60,'3)Target &amp; Cal_Dept'!$B27,'3)Target &amp; Cal_Sect'!$A$4:$A$60,'3)Target &amp; Cal_Dept'!$C27)</f>
        <v>161500</v>
      </c>
      <c r="G27" s="127">
        <f>SUMIFS('3)Target &amp; Cal_Sect'!G$4:G$60,'3)Target &amp; Cal_Sect'!$B$4:$B$60,'3)Target &amp; Cal_Dept'!$B27,'3)Target &amp; Cal_Sect'!$A$4:$A$60,'3)Target &amp; Cal_Dept'!$C27)</f>
        <v>150000</v>
      </c>
      <c r="H27" s="127">
        <f>SUMIFS('3)Target &amp; Cal_Sect'!H$4:H$60,'3)Target &amp; Cal_Sect'!$B$4:$B$60,'3)Target &amp; Cal_Dept'!$B27,'3)Target &amp; Cal_Sect'!$A$4:$A$60,'3)Target &amp; Cal_Dept'!$C27)</f>
        <v>62500</v>
      </c>
      <c r="I27" s="127">
        <f>SUMIFS('3)Target &amp; Cal_Sect'!I$4:I$60,'3)Target &amp; Cal_Sect'!$B$4:$B$60,'3)Target &amp; Cal_Dept'!$B27,'3)Target &amp; Cal_Sect'!$A$4:$A$60,'3)Target &amp; Cal_Dept'!$C27)</f>
        <v>66600</v>
      </c>
      <c r="J27" s="127">
        <f>SUMIFS('3)Target &amp; Cal_Sect'!J$4:J$60,'3)Target &amp; Cal_Sect'!$B$4:$B$60,'3)Target &amp; Cal_Dept'!$B27,'3)Target &amp; Cal_Sect'!$A$4:$A$60,'3)Target &amp; Cal_Dept'!$C27)</f>
        <v>64800</v>
      </c>
      <c r="K27" s="127">
        <f>SUMIFS('3)Target &amp; Cal_Sect'!K$4:K$60,'3)Target &amp; Cal_Sect'!$B$4:$B$60,'3)Target &amp; Cal_Dept'!$B27,'3)Target &amp; Cal_Sect'!$A$4:$A$60,'3)Target &amp; Cal_Dept'!$C27)</f>
        <v>158700</v>
      </c>
      <c r="L27" s="127">
        <v>444690</v>
      </c>
      <c r="M27" s="127">
        <v>653410</v>
      </c>
      <c r="N27" s="127">
        <v>204082</v>
      </c>
      <c r="O27" s="127">
        <v>293630.27760000003</v>
      </c>
      <c r="P27" s="127">
        <f>SUMIFS('3)Target &amp; Cal_Sect'!P$4:P$60,'3)Target &amp; Cal_Sect'!$B$4:$B$60,'3)Target &amp; Cal_Dept'!$B27,'3)Target &amp; Cal_Sect'!$A$4:$A$60,'3)Target &amp; Cal_Dept'!$C27)</f>
        <v>214722.24999999948</v>
      </c>
      <c r="Q27" s="127">
        <f>SUMIFS('3)Target &amp; Cal_Sect'!Q$4:Q$60,'3)Target &amp; Cal_Sect'!$B$4:$B$60,'3)Target &amp; Cal_Dept'!$B27,'3)Target &amp; Cal_Sect'!$A$4:$A$60,'3)Target &amp; Cal_Dept'!$C27)</f>
        <v>0</v>
      </c>
      <c r="R27" s="127">
        <f>SUMIFS('3)Target &amp; Cal_Sect'!R$4:R$60,'3)Target &amp; Cal_Sect'!$B$4:$B$60,'3)Target &amp; Cal_Dept'!$B27,'3)Target &amp; Cal_Sect'!$A$4:$A$60,'3)Target &amp; Cal_Dept'!$C27)</f>
        <v>0</v>
      </c>
      <c r="S27" s="127">
        <f>SUMIFS('3)Target &amp; Cal_Sect'!S$4:S$60,'3)Target &amp; Cal_Sect'!$B$4:$B$60,'3)Target &amp; Cal_Dept'!$B27,'3)Target &amp; Cal_Sect'!$A$4:$A$60,'3)Target &amp; Cal_Dept'!$C27)</f>
        <v>0</v>
      </c>
      <c r="T27" s="127">
        <f>SUMIFS('3)Target &amp; Cal_Sect'!T$4:T$60,'3)Target &amp; Cal_Sect'!$B$4:$B$60,'3)Target &amp; Cal_Dept'!$B27,'3)Target &amp; Cal_Sect'!$A$4:$A$60,'3)Target &amp; Cal_Dept'!$C27)</f>
        <v>0</v>
      </c>
      <c r="U27" s="127">
        <f>SUMIFS('3)Target &amp; Cal_Sect'!U$4:U$60,'3)Target &amp; Cal_Sect'!$B$4:$B$60,'3)Target &amp; Cal_Dept'!$B27,'3)Target &amp; Cal_Sect'!$A$4:$A$60,'3)Target &amp; Cal_Dept'!$C27)</f>
        <v>0</v>
      </c>
      <c r="V27" s="127">
        <f>SUMIFS('3)Target &amp; Cal_Sect'!V$4:V$60,'3)Target &amp; Cal_Sect'!$B$4:$B$60,'3)Target &amp; Cal_Dept'!$B27,'3)Target &amp; Cal_Sect'!$A$4:$A$60,'3)Target &amp; Cal_Dept'!$C27)</f>
        <v>0</v>
      </c>
      <c r="W27" s="127">
        <f>SUMIFS('3)Target &amp; Cal_Sect'!W$4:W$60,'3)Target &amp; Cal_Sect'!$B$4:$B$60,'3)Target &amp; Cal_Dept'!$B27,'3)Target &amp; Cal_Sect'!$A$4:$A$60,'3)Target &amp; Cal_Dept'!$C27)</f>
        <v>0</v>
      </c>
      <c r="X27" s="127">
        <f>SUMIFS('3)Target &amp; Cal_Sect'!X$4:X$60,'3)Target &amp; Cal_Sect'!$B$4:$B$60,'3)Target &amp; Cal_Dept'!$B27,'3)Target &amp; Cal_Sect'!$A$4:$A$60,'3)Target &amp; Cal_Dept'!$C27)</f>
        <v>0</v>
      </c>
      <c r="Y27" s="127">
        <f>SUMIFS('3)Target &amp; Cal_Sect'!Y$4:Y$60,'3)Target &amp; Cal_Sect'!$B$4:$B$60,'3)Target &amp; Cal_Dept'!$B27,'3)Target &amp; Cal_Sect'!$A$4:$A$60,'3)Target &amp; Cal_Dept'!$C27)</f>
        <v>0</v>
      </c>
      <c r="Z27" s="127">
        <f>SUMIFS('3)Target &amp; Cal_Sect'!Z$4:Z$60,'3)Target &amp; Cal_Sect'!$B$4:$B$60,'3)Target &amp; Cal_Dept'!$B27,'3)Target &amp; Cal_Sect'!$A$4:$A$60,'3)Target &amp; Cal_Dept'!$C27)</f>
        <v>0</v>
      </c>
      <c r="AA27" s="127">
        <f>SUMIFS('3)Target &amp; Cal_Sect'!AA$4:AA$60,'3)Target &amp; Cal_Sect'!$B$4:$B$60,'3)Target &amp; Cal_Dept'!$B27,'3)Target &amp; Cal_Sect'!$A$4:$A$60,'3)Target &amp; Cal_Dept'!$C27)</f>
        <v>0</v>
      </c>
      <c r="AB27" s="132">
        <f>IFERROR(IF(VLOOKUP($B27,Shortage!$A:$M,AB$2,FALSE)="Shortage",1,IFERROR(ROUND(P27/D27,4),0)),IFERROR(ROUND(P27/D27,4),0))</f>
        <v>1.4922</v>
      </c>
      <c r="AC27" s="132">
        <f>IFERROR(IF(VLOOKUP($B27,Shortage!$A:$M,AC$2,FALSE)="Shortage",1,IFERROR(ROUND(Q27/E27,4),0)),IFERROR(ROUND(Q27/E27,4),0))</f>
        <v>0</v>
      </c>
      <c r="AD27" s="132">
        <f>IFERROR(IF(VLOOKUP($B27,Shortage!$A:$M,AD$2,FALSE)="Shortage",1,IFERROR(ROUND(R27/F27,4),0)),IFERROR(ROUND(R27/F27,4),0))</f>
        <v>0</v>
      </c>
      <c r="AE27" s="132">
        <f>IFERROR(IF(VLOOKUP($B27,Shortage!$A:$M,AE$2,FALSE)="Shortage",1,IFERROR(ROUND(S27/G27,4),0)),IFERROR(ROUND(S27/G27,4),0))</f>
        <v>0</v>
      </c>
      <c r="AF27" s="132">
        <f>IFERROR(IF(VLOOKUP($B27,Shortage!$A:$M,AF$2,FALSE)="Shortage",1,IFERROR(ROUND(T27/H27,4),0)),IFERROR(ROUND(T27/H27,4),0))</f>
        <v>0</v>
      </c>
      <c r="AG27" s="132">
        <f>IFERROR(IF(VLOOKUP($B27,Shortage!$A:$M,AG$2,FALSE)="Shortage",1,IFERROR(ROUND(U27/I27,4),0)),IFERROR(ROUND(U27/I27,4),0))</f>
        <v>0</v>
      </c>
      <c r="AH27" s="132">
        <f>IFERROR(IF(VLOOKUP($B27,Shortage!$A:$M,AH$2,FALSE)="Shortage",1,IFERROR(ROUND(V27/J27,4),0)),IFERROR(ROUND(V27/J27,4),0))</f>
        <v>0</v>
      </c>
      <c r="AI27" s="132">
        <f>IFERROR(IF(VLOOKUP($B27,Shortage!$A:$M,AI$2,FALSE)="Shortage",1,IFERROR(ROUND(W27/K27,4),0)),IFERROR(ROUND(W27/K27,4),0))</f>
        <v>0</v>
      </c>
      <c r="AJ27" s="132">
        <f>IFERROR(IF(VLOOKUP($B27,Shortage!$A:$M,AJ$2,FALSE)="Shortage",1,IFERROR(ROUND(X27/L27,4),0)),IFERROR(ROUND(X27/L27,4),0))</f>
        <v>0</v>
      </c>
      <c r="AK27" s="132">
        <f>IFERROR(IF(VLOOKUP($B27,Shortage!$A:$M,AK$2,FALSE)="Shortage",1,IFERROR(ROUND(Y27/M27,4),0)),IFERROR(ROUND(Y27/M27,4),0))</f>
        <v>0</v>
      </c>
      <c r="AL27" s="132">
        <f>IFERROR(IF(VLOOKUP($B27,Shortage!$A:$M,AL$2,FALSE)="Shortage",1,IFERROR(ROUND(Z27/N27,4),0)),IFERROR(ROUND(Z27/N27,4),0))</f>
        <v>0</v>
      </c>
      <c r="AM27" s="132">
        <f>IFERROR(IF(VLOOKUP($B27,Shortage!$A:$M,AM$2,FALSE)="Shortage",1,IFERROR(ROUND(AA27/O27,4),0)),IFERROR(ROUND(AA27/O27,4),0))</f>
        <v>0</v>
      </c>
      <c r="AN27" s="186">
        <f>IFERROR(_xlfn.XLOOKUP(AB27,'2) หลักการคำนวน Table'!$C$3:$K$3,'2) หลักการคำนวน Table'!$C$3:$K$3,,1),INDEX('2) หลักการคำนวน Table'!$C$3:$K$3,1))</f>
        <v>20</v>
      </c>
      <c r="AO27" s="186">
        <f>IFERROR(
  _xlfn.XLOOKUP(AC27,'2) หลักการคำนวน Table'!$C$3:$K$3,'2) หลักการคำนวน Table'!$C$3:$K$3,,1),
  IF(AC27&lt;MIN('2) หลักการคำนวน Table'!$C$3:$K$3),
     MIN('2) หลักการคำนวน Table'!$C$3:$K$3),
     MAX('2) หลักการคำนวน Table'!$C$3:$K$3)
  )
)</f>
        <v>0.9</v>
      </c>
      <c r="AP27" s="186">
        <f>IFERROR(
  _xlfn.XLOOKUP(AD27,'2) หลักการคำนวน Table'!$C$3:$K$3,'2) หลักการคำนวน Table'!$C$3:$K$3,,1),
  IF(AD27&lt;MIN('2) หลักการคำนวน Table'!$C$3:$K$3),
     MIN('2) หลักการคำนวน Table'!$C$3:$K$3),
     MAX('2) หลักการคำนวน Table'!$C$3:$K$3)
  )
)</f>
        <v>0.9</v>
      </c>
      <c r="AQ27" s="186">
        <f>IFERROR(
  _xlfn.XLOOKUP(AE27,'2) หลักการคำนวน Table'!$C$3:$K$3,'2) หลักการคำนวน Table'!$C$3:$K$3,,1),
  IF(AE27&lt;MIN('2) หลักการคำนวน Table'!$C$3:$K$3),
     MIN('2) หลักการคำนวน Table'!$C$3:$K$3),
     MAX('2) หลักการคำนวน Table'!$C$3:$K$3)
  )
)</f>
        <v>0.9</v>
      </c>
      <c r="AR27" s="186">
        <f>IFERROR(
  _xlfn.XLOOKUP(AF27,'2) หลักการคำนวน Table'!$C$3:$K$3,'2) หลักการคำนวน Table'!$C$3:$K$3,,1),
  IF(AF27&lt;MIN('2) หลักการคำนวน Table'!$C$3:$K$3),
     MIN('2) หลักการคำนวน Table'!$C$3:$K$3),
     MAX('2) หลักการคำนวน Table'!$C$3:$K$3)
  )
)</f>
        <v>0.9</v>
      </c>
      <c r="AS27" s="186">
        <f>IFERROR(
  _xlfn.XLOOKUP(AG27,'2) หลักการคำนวน Table'!$C$3:$K$3,'2) หลักการคำนวน Table'!$C$3:$K$3,,1),
  IF(AG27&lt;MIN('2) หลักการคำนวน Table'!$C$3:$K$3),
     MIN('2) หลักการคำนวน Table'!$C$3:$K$3),
     MAX('2) หลักการคำนวน Table'!$C$3:$K$3)
  )
)</f>
        <v>0.9</v>
      </c>
      <c r="AT27" s="186">
        <f>IFERROR(
  _xlfn.XLOOKUP(AH27,'2) หลักการคำนวน Table'!$C$3:$K$3,'2) หลักการคำนวน Table'!$C$3:$K$3,,1),
  IF(AH27&lt;MIN('2) หลักการคำนวน Table'!$C$3:$K$3),
     MIN('2) หลักการคำนวน Table'!$C$3:$K$3),
     MAX('2) หลักการคำนวน Table'!$C$3:$K$3)
  )
)</f>
        <v>0.9</v>
      </c>
      <c r="AU27" s="186">
        <f>IFERROR(
  _xlfn.XLOOKUP(AI27,'2) หลักการคำนวน Table'!$C$3:$K$3,'2) หลักการคำนวน Table'!$C$3:$K$3,,1),
  IF(AI27&lt;MIN('2) หลักการคำนวน Table'!$C$3:$K$3),
     MIN('2) หลักการคำนวน Table'!$C$3:$K$3),
     MAX('2) หลักการคำนวน Table'!$C$3:$K$3)
  )
)</f>
        <v>0.9</v>
      </c>
      <c r="AV27" s="186">
        <f>IFERROR(
  _xlfn.XLOOKUP(AJ27,'2) หลักการคำนวน Table'!$C$3:$K$3,'2) หลักการคำนวน Table'!$C$3:$K$3,,1),
  IF(AJ27&lt;MIN('2) หลักการคำนวน Table'!$C$3:$K$3),
     MIN('2) หลักการคำนวน Table'!$C$3:$K$3),
     MAX('2) หลักการคำนวน Table'!$C$3:$K$3)
  )
)</f>
        <v>0.9</v>
      </c>
      <c r="AW27" s="186">
        <f>IFERROR(
  _xlfn.XLOOKUP(AK27,'2) หลักการคำนวน Table'!$C$3:$K$3,'2) หลักการคำนวน Table'!$C$3:$K$3,,1),
  IF(AK27&lt;MIN('2) หลักการคำนวน Table'!$C$3:$K$3),
     MIN('2) หลักการคำนวน Table'!$C$3:$K$3),
     MAX('2) หลักการคำนวน Table'!$C$3:$K$3)
  )
)</f>
        <v>0.9</v>
      </c>
      <c r="AX27" s="186">
        <f>IFERROR(
  _xlfn.XLOOKUP(AL27,'2) หลักการคำนวน Table'!$C$3:$K$3,'2) หลักการคำนวน Table'!$C$3:$K$3,,1),
  IF(AL27&lt;MIN('2) หลักการคำนวน Table'!$C$3:$K$3),
     MIN('2) หลักการคำนวน Table'!$C$3:$K$3),
     MAX('2) หลักการคำนวน Table'!$C$3:$K$3)
  )
)</f>
        <v>0.9</v>
      </c>
      <c r="AY27" s="186">
        <f>IFERROR(
  _xlfn.XLOOKUP(AM27,'2) หลักการคำนวน Table'!$C$3:$K$3,'2) หลักการคำนวน Table'!$C$3:$K$3,,1),
  IF(AM27&lt;MIN('2) หลักการคำนวน Table'!$C$3:$K$3),
     MIN('2) หลักการคำนวน Table'!$C$3:$K$3),
     MAX('2) หลักการคำนวน Table'!$C$3:$K$3)
  )
)</f>
        <v>0.9</v>
      </c>
      <c r="AZ27" s="135" t="e" cm="1">
        <f t="array" ref="AZ27">ROUND((_xlfn.XLOOKUP($C27,'2) หลักการคำนวน Table'!$A$4:$A$36,
_xlfn.XLOOKUP(AN27,'2)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A27" s="135" t="e" cm="1">
        <f t="array" ref="BA27">ROUND((_xlfn.XLOOKUP($C27,'2) หลักการคำนวน Table'!$A$4:$A$36,
_xlfn.XLOOKUP(AO27,'2)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B27" s="135" t="e" cm="1">
        <f t="array" ref="BB27">ROUND((_xlfn.XLOOKUP($C27,'2) หลักการคำนวน Table'!$A$4:$A$36,
_xlfn.XLOOKUP(AP27,'2)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C27" s="135" t="e" cm="1">
        <f t="array" ref="BC27">ROUND((_xlfn.XLOOKUP($C27,'2) หลักการคำนวน Table'!$A$4:$A$36,
_xlfn.XLOOKUP(AQ27,'2)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D27" s="135" t="e" cm="1">
        <f t="array" ref="BD27">ROUND((_xlfn.XLOOKUP($C27,'2) หลักการคำนวน Table'!$A$4:$A$36,
_xlfn.XLOOKUP(AR27,'2)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E27" s="135" t="e" cm="1">
        <f t="array" ref="BE27">ROUND((_xlfn.XLOOKUP($C27,'2) หลักการคำนวน Table'!$A$4:$A$36,
_xlfn.XLOOKUP(AS27,'2)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F27" s="135" t="e" cm="1">
        <f t="array" ref="BF27">ROUND((_xlfn.XLOOKUP($C27,'2) หลักการคำนวน Table'!$A$4:$A$36,
_xlfn.XLOOKUP(AT27,'2)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G27" s="135" t="e" cm="1">
        <f t="array" ref="BG27">ROUND((_xlfn.XLOOKUP($C27,'2) หลักการคำนวน Table'!$A$4:$A$36,
_xlfn.XLOOKUP(AU27,'2)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H27" s="135" t="e" cm="1">
        <f t="array" ref="BH27">ROUND((_xlfn.XLOOKUP($C27,'2) หลักการคำนวน Table'!$A$4:$A$36,
_xlfn.XLOOKUP(AV27,'2)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I27" s="135" t="e" cm="1">
        <f t="array" ref="BI27">ROUND((_xlfn.XLOOKUP($C27,'2) หลักการคำนวน Table'!$A$4:$A$36,
_xlfn.XLOOKUP(AW27,'2)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J27" s="135" t="e" cm="1">
        <f t="array" ref="BJ27">ROUND((_xlfn.XLOOKUP($C27,'2) หลักการคำนวน Table'!$A$4:$A$36,
_xlfn.XLOOKUP(AX27,'2)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K27" s="135" t="e" cm="1">
        <f t="array" ref="BK27">ROUND((_xlfn.XLOOKUP($C27,'2) หลักการคำนวน Table'!$A$4:$A$36,
_xlfn.XLOOKUP(AY27,'2) หลักการคำนวน Table'!$C$3:$K$3,'2) หลักการคำนวน Table'!$C$4:$K$36,,-1)))*(_xlfn.XLOOKUP($C27,'2) หลักการคำนวน Table'!$A$4:$A$36, _xlfn.XLOOKUP($B27,'2) หลักการคำนวน Table'!$L$3:$Z$3,'2) หลักการคำนวน Table'!$L$4:$Z$36))),0)</f>
        <v>#N/A</v>
      </c>
      <c r="BL27" s="239"/>
      <c r="BM27" s="126">
        <v>222223</v>
      </c>
      <c r="BN27" s="245">
        <v>211</v>
      </c>
    </row>
    <row r="28" spans="1:66" ht="13.2" customHeight="1" x14ac:dyDescent="0.25">
      <c r="A28" s="128">
        <f>VLOOKUP(C28,ASTBase!F:S,12,FALSE)</f>
        <v>222222</v>
      </c>
      <c r="B28" s="126" t="s">
        <v>415</v>
      </c>
      <c r="C28" s="128">
        <v>222223</v>
      </c>
      <c r="D28" s="127">
        <f>SUMIFS('3)Target &amp; Cal_Sect'!D$4:D$60,'3)Target &amp; Cal_Sect'!$B$4:$B$60,'3)Target &amp; Cal_Dept'!$B28,'3)Target &amp; Cal_Sect'!$A$4:$A$60,'3)Target &amp; Cal_Dept'!$C28)</f>
        <v>38500</v>
      </c>
      <c r="E28" s="127">
        <f>SUMIFS('3)Target &amp; Cal_Sect'!E$4:E$60,'3)Target &amp; Cal_Sect'!$B$4:$B$60,'3)Target &amp; Cal_Dept'!$B28,'3)Target &amp; Cal_Sect'!$A$4:$A$60,'3)Target &amp; Cal_Dept'!$C28)</f>
        <v>26500</v>
      </c>
      <c r="F28" s="127">
        <f>SUMIFS('3)Target &amp; Cal_Sect'!F$4:F$60,'3)Target &amp; Cal_Sect'!$B$4:$B$60,'3)Target &amp; Cal_Dept'!$B28,'3)Target &amp; Cal_Sect'!$A$4:$A$60,'3)Target &amp; Cal_Dept'!$C28)</f>
        <v>76300</v>
      </c>
      <c r="G28" s="127">
        <f>SUMIFS('3)Target &amp; Cal_Sect'!G$4:G$60,'3)Target &amp; Cal_Sect'!$B$4:$B$60,'3)Target &amp; Cal_Dept'!$B28,'3)Target &amp; Cal_Sect'!$A$4:$A$60,'3)Target &amp; Cal_Dept'!$C28)</f>
        <v>37600</v>
      </c>
      <c r="H28" s="127">
        <f>SUMIFS('3)Target &amp; Cal_Sect'!H$4:H$60,'3)Target &amp; Cal_Sect'!$B$4:$B$60,'3)Target &amp; Cal_Dept'!$B28,'3)Target &amp; Cal_Sect'!$A$4:$A$60,'3)Target &amp; Cal_Dept'!$C28)</f>
        <v>29000</v>
      </c>
      <c r="I28" s="127">
        <f>SUMIFS('3)Target &amp; Cal_Sect'!I$4:I$60,'3)Target &amp; Cal_Sect'!$B$4:$B$60,'3)Target &amp; Cal_Dept'!$B28,'3)Target &amp; Cal_Sect'!$A$4:$A$60,'3)Target &amp; Cal_Dept'!$C28)</f>
        <v>38000</v>
      </c>
      <c r="J28" s="127">
        <f>SUMIFS('3)Target &amp; Cal_Sect'!J$4:J$60,'3)Target &amp; Cal_Sect'!$B$4:$B$60,'3)Target &amp; Cal_Dept'!$B28,'3)Target &amp; Cal_Sect'!$A$4:$A$60,'3)Target &amp; Cal_Dept'!$C28)</f>
        <v>35300</v>
      </c>
      <c r="K28" s="127">
        <f>SUMIFS('3)Target &amp; Cal_Sect'!K$4:K$60,'3)Target &amp; Cal_Sect'!$B$4:$B$60,'3)Target &amp; Cal_Dept'!$B28,'3)Target &amp; Cal_Sect'!$A$4:$A$60,'3)Target &amp; Cal_Dept'!$C28)</f>
        <v>34900</v>
      </c>
      <c r="L28" s="127">
        <v>123211.07645362921</v>
      </c>
      <c r="M28" s="127">
        <v>95630</v>
      </c>
      <c r="N28" s="127">
        <v>30120</v>
      </c>
      <c r="O28" s="127">
        <v>79486.653981142998</v>
      </c>
      <c r="P28" s="127">
        <f>SUMIFS('3)Target &amp; Cal_Sect'!P$4:P$60,'3)Target &amp; Cal_Sect'!$B$4:$B$60,'3)Target &amp; Cal_Dept'!$B28,'3)Target &amp; Cal_Sect'!$A$4:$A$60,'3)Target &amp; Cal_Dept'!$C28)</f>
        <v>40987.799999999683</v>
      </c>
      <c r="Q28" s="127">
        <f>SUMIFS('3)Target &amp; Cal_Sect'!Q$4:Q$60,'3)Target &amp; Cal_Sect'!$B$4:$B$60,'3)Target &amp; Cal_Dept'!$B28,'3)Target &amp; Cal_Sect'!$A$4:$A$60,'3)Target &amp; Cal_Dept'!$C28)</f>
        <v>0</v>
      </c>
      <c r="R28" s="127">
        <f>SUMIFS('3)Target &amp; Cal_Sect'!R$4:R$60,'3)Target &amp; Cal_Sect'!$B$4:$B$60,'3)Target &amp; Cal_Dept'!$B28,'3)Target &amp; Cal_Sect'!$A$4:$A$60,'3)Target &amp; Cal_Dept'!$C28)</f>
        <v>0</v>
      </c>
      <c r="S28" s="127">
        <f>SUMIFS('3)Target &amp; Cal_Sect'!S$4:S$60,'3)Target &amp; Cal_Sect'!$B$4:$B$60,'3)Target &amp; Cal_Dept'!$B28,'3)Target &amp; Cal_Sect'!$A$4:$A$60,'3)Target &amp; Cal_Dept'!$C28)</f>
        <v>0</v>
      </c>
      <c r="T28" s="127">
        <f>SUMIFS('3)Target &amp; Cal_Sect'!T$4:T$60,'3)Target &amp; Cal_Sect'!$B$4:$B$60,'3)Target &amp; Cal_Dept'!$B28,'3)Target &amp; Cal_Sect'!$A$4:$A$60,'3)Target &amp; Cal_Dept'!$C28)</f>
        <v>0</v>
      </c>
      <c r="U28" s="127">
        <f>SUMIFS('3)Target &amp; Cal_Sect'!U$4:U$60,'3)Target &amp; Cal_Sect'!$B$4:$B$60,'3)Target &amp; Cal_Dept'!$B28,'3)Target &amp; Cal_Sect'!$A$4:$A$60,'3)Target &amp; Cal_Dept'!$C28)</f>
        <v>0</v>
      </c>
      <c r="V28" s="127">
        <f>SUMIFS('3)Target &amp; Cal_Sect'!V$4:V$60,'3)Target &amp; Cal_Sect'!$B$4:$B$60,'3)Target &amp; Cal_Dept'!$B28,'3)Target &amp; Cal_Sect'!$A$4:$A$60,'3)Target &amp; Cal_Dept'!$C28)</f>
        <v>0</v>
      </c>
      <c r="W28" s="127">
        <f>SUMIFS('3)Target &amp; Cal_Sect'!W$4:W$60,'3)Target &amp; Cal_Sect'!$B$4:$B$60,'3)Target &amp; Cal_Dept'!$B28,'3)Target &amp; Cal_Sect'!$A$4:$A$60,'3)Target &amp; Cal_Dept'!$C28)</f>
        <v>0</v>
      </c>
      <c r="X28" s="127">
        <f>SUMIFS('3)Target &amp; Cal_Sect'!X$4:X$60,'3)Target &amp; Cal_Sect'!$B$4:$B$60,'3)Target &amp; Cal_Dept'!$B28,'3)Target &amp; Cal_Sect'!$A$4:$A$60,'3)Target &amp; Cal_Dept'!$C28)</f>
        <v>0</v>
      </c>
      <c r="Y28" s="127">
        <f>SUMIFS('3)Target &amp; Cal_Sect'!Y$4:Y$60,'3)Target &amp; Cal_Sect'!$B$4:$B$60,'3)Target &amp; Cal_Dept'!$B28,'3)Target &amp; Cal_Sect'!$A$4:$A$60,'3)Target &amp; Cal_Dept'!$C28)</f>
        <v>0</v>
      </c>
      <c r="Z28" s="127">
        <f>SUMIFS('3)Target &amp; Cal_Sect'!Z$4:Z$60,'3)Target &amp; Cal_Sect'!$B$4:$B$60,'3)Target &amp; Cal_Dept'!$B28,'3)Target &amp; Cal_Sect'!$A$4:$A$60,'3)Target &amp; Cal_Dept'!$C28)</f>
        <v>0</v>
      </c>
      <c r="AA28" s="127">
        <f>SUMIFS('3)Target &amp; Cal_Sect'!AA$4:AA$60,'3)Target &amp; Cal_Sect'!$B$4:$B$60,'3)Target &amp; Cal_Dept'!$B28,'3)Target &amp; Cal_Sect'!$A$4:$A$60,'3)Target &amp; Cal_Dept'!$C28)</f>
        <v>0</v>
      </c>
      <c r="AB28" s="132">
        <f>IFERROR(IF(VLOOKUP($B28,Shortage!$A:$M,AB$2,FALSE)="Shortage",1,IFERROR(ROUND(P28/D28,4),0)),IFERROR(ROUND(P28/D28,4),0))</f>
        <v>1.0646</v>
      </c>
      <c r="AC28" s="132">
        <f>IFERROR(IF(VLOOKUP($B28,Shortage!$A:$M,AC$2,FALSE)="Shortage",1,IFERROR(ROUND(Q28/E28,4),0)),IFERROR(ROUND(Q28/E28,4),0))</f>
        <v>0</v>
      </c>
      <c r="AD28" s="132">
        <f>IFERROR(IF(VLOOKUP($B28,Shortage!$A:$M,AD$2,FALSE)="Shortage",1,IFERROR(ROUND(R28/F28,4),0)),IFERROR(ROUND(R28/F28,4),0))</f>
        <v>0</v>
      </c>
      <c r="AE28" s="132">
        <f>IFERROR(IF(VLOOKUP($B28,Shortage!$A:$M,AE$2,FALSE)="Shortage",1,IFERROR(ROUND(S28/G28,4),0)),IFERROR(ROUND(S28/G28,4),0))</f>
        <v>0</v>
      </c>
      <c r="AF28" s="132">
        <f>IFERROR(IF(VLOOKUP($B28,Shortage!$A:$M,AF$2,FALSE)="Shortage",1,IFERROR(ROUND(T28/H28,4),0)),IFERROR(ROUND(T28/H28,4),0))</f>
        <v>0</v>
      </c>
      <c r="AG28" s="132">
        <f>IFERROR(IF(VLOOKUP($B28,Shortage!$A:$M,AG$2,FALSE)="Shortage",1,IFERROR(ROUND(U28/I28,4),0)),IFERROR(ROUND(U28/I28,4),0))</f>
        <v>0</v>
      </c>
      <c r="AH28" s="132">
        <f>IFERROR(IF(VLOOKUP($B28,Shortage!$A:$M,AH$2,FALSE)="Shortage",1,IFERROR(ROUND(V28/J28,4),0)),IFERROR(ROUND(V28/J28,4),0))</f>
        <v>0</v>
      </c>
      <c r="AI28" s="132">
        <f>IFERROR(IF(VLOOKUP($B28,Shortage!$A:$M,AI$2,FALSE)="Shortage",1,IFERROR(ROUND(W28/K28,4),0)),IFERROR(ROUND(W28/K28,4),0))</f>
        <v>0</v>
      </c>
      <c r="AJ28" s="132">
        <f>IFERROR(IF(VLOOKUP($B28,Shortage!$A:$M,AJ$2,FALSE)="Shortage",1,IFERROR(ROUND(X28/L28,4),0)),IFERROR(ROUND(X28/L28,4),0))</f>
        <v>0</v>
      </c>
      <c r="AK28" s="132">
        <f>IFERROR(IF(VLOOKUP($B28,Shortage!$A:$M,AK$2,FALSE)="Shortage",1,IFERROR(ROUND(Y28/M28,4),0)),IFERROR(ROUND(Y28/M28,4),0))</f>
        <v>0</v>
      </c>
      <c r="AL28" s="132">
        <f>IFERROR(IF(VLOOKUP($B28,Shortage!$A:$M,AL$2,FALSE)="Shortage",1,IFERROR(ROUND(Z28/N28,4),0)),IFERROR(ROUND(Z28/N28,4),0))</f>
        <v>0</v>
      </c>
      <c r="AM28" s="132">
        <f>IFERROR(IF(VLOOKUP($B28,Shortage!$A:$M,AM$2,FALSE)="Shortage",1,IFERROR(ROUND(AA28/O28,4),0)),IFERROR(ROUND(AA28/O28,4),0))</f>
        <v>0</v>
      </c>
      <c r="AN28" s="186">
        <f>IFERROR(_xlfn.XLOOKUP(AB28,'2) หลักการคำนวน Table'!$C$3:$K$3,'2) หลักการคำนวน Table'!$C$3:$K$3,,1),INDEX('2) หลักการคำนวน Table'!$C$3:$K$3,1))</f>
        <v>1.1000000000000001</v>
      </c>
      <c r="AO28" s="186">
        <f>IFERROR(
  _xlfn.XLOOKUP(AC28,'2) หลักการคำนวน Table'!$C$3:$K$3,'2) หลักการคำนวน Table'!$C$3:$K$3,,1),
  IF(AC28&lt;MIN('2) หลักการคำนวน Table'!$C$3:$K$3),
     MIN('2) หลักการคำนวน Table'!$C$3:$K$3),
     MAX('2) หลักการคำนวน Table'!$C$3:$K$3)
  )
)</f>
        <v>0.9</v>
      </c>
      <c r="AP28" s="186">
        <f>IFERROR(
  _xlfn.XLOOKUP(AD28,'2) หลักการคำนวน Table'!$C$3:$K$3,'2) หลักการคำนวน Table'!$C$3:$K$3,,1),
  IF(AD28&lt;MIN('2) หลักการคำนวน Table'!$C$3:$K$3),
     MIN('2) หลักการคำนวน Table'!$C$3:$K$3),
     MAX('2) หลักการคำนวน Table'!$C$3:$K$3)
  )
)</f>
        <v>0.9</v>
      </c>
      <c r="AQ28" s="186">
        <f>IFERROR(
  _xlfn.XLOOKUP(AE28,'2) หลักการคำนวน Table'!$C$3:$K$3,'2) หลักการคำนวน Table'!$C$3:$K$3,,1),
  IF(AE28&lt;MIN('2) หลักการคำนวน Table'!$C$3:$K$3),
     MIN('2) หลักการคำนวน Table'!$C$3:$K$3),
     MAX('2) หลักการคำนวน Table'!$C$3:$K$3)
  )
)</f>
        <v>0.9</v>
      </c>
      <c r="AR28" s="186">
        <f>IFERROR(
  _xlfn.XLOOKUP(AF28,'2) หลักการคำนวน Table'!$C$3:$K$3,'2) หลักการคำนวน Table'!$C$3:$K$3,,1),
  IF(AF28&lt;MIN('2) หลักการคำนวน Table'!$C$3:$K$3),
     MIN('2) หลักการคำนวน Table'!$C$3:$K$3),
     MAX('2) หลักการคำนวน Table'!$C$3:$K$3)
  )
)</f>
        <v>0.9</v>
      </c>
      <c r="AS28" s="186">
        <f>IFERROR(
  _xlfn.XLOOKUP(AG28,'2) หลักการคำนวน Table'!$C$3:$K$3,'2) หลักการคำนวน Table'!$C$3:$K$3,,1),
  IF(AG28&lt;MIN('2) หลักการคำนวน Table'!$C$3:$K$3),
     MIN('2) หลักการคำนวน Table'!$C$3:$K$3),
     MAX('2) หลักการคำนวน Table'!$C$3:$K$3)
  )
)</f>
        <v>0.9</v>
      </c>
      <c r="AT28" s="186">
        <f>IFERROR(
  _xlfn.XLOOKUP(AH28,'2) หลักการคำนวน Table'!$C$3:$K$3,'2) หลักการคำนวน Table'!$C$3:$K$3,,1),
  IF(AH28&lt;MIN('2) หลักการคำนวน Table'!$C$3:$K$3),
     MIN('2) หลักการคำนวน Table'!$C$3:$K$3),
     MAX('2) หลักการคำนวน Table'!$C$3:$K$3)
  )
)</f>
        <v>0.9</v>
      </c>
      <c r="AU28" s="186">
        <f>IFERROR(
  _xlfn.XLOOKUP(AI28,'2) หลักการคำนวน Table'!$C$3:$K$3,'2) หลักการคำนวน Table'!$C$3:$K$3,,1),
  IF(AI28&lt;MIN('2) หลักการคำนวน Table'!$C$3:$K$3),
     MIN('2) หลักการคำนวน Table'!$C$3:$K$3),
     MAX('2) หลักการคำนวน Table'!$C$3:$K$3)
  )
)</f>
        <v>0.9</v>
      </c>
      <c r="AV28" s="186">
        <f>IFERROR(
  _xlfn.XLOOKUP(AJ28,'2) หลักการคำนวน Table'!$C$3:$K$3,'2) หลักการคำนวน Table'!$C$3:$K$3,,1),
  IF(AJ28&lt;MIN('2) หลักการคำนวน Table'!$C$3:$K$3),
     MIN('2) หลักการคำนวน Table'!$C$3:$K$3),
     MAX('2) หลักการคำนวน Table'!$C$3:$K$3)
  )
)</f>
        <v>0.9</v>
      </c>
      <c r="AW28" s="186">
        <f>IFERROR(
  _xlfn.XLOOKUP(AK28,'2) หลักการคำนวน Table'!$C$3:$K$3,'2) หลักการคำนวน Table'!$C$3:$K$3,,1),
  IF(AK28&lt;MIN('2) หลักการคำนวน Table'!$C$3:$K$3),
     MIN('2) หลักการคำนวน Table'!$C$3:$K$3),
     MAX('2) หลักการคำนวน Table'!$C$3:$K$3)
  )
)</f>
        <v>0.9</v>
      </c>
      <c r="AX28" s="186">
        <f>IFERROR(
  _xlfn.XLOOKUP(AL28,'2) หลักการคำนวน Table'!$C$3:$K$3,'2) หลักการคำนวน Table'!$C$3:$K$3,,1),
  IF(AL28&lt;MIN('2) หลักการคำนวน Table'!$C$3:$K$3),
     MIN('2) หลักการคำนวน Table'!$C$3:$K$3),
     MAX('2) หลักการคำนวน Table'!$C$3:$K$3)
  )
)</f>
        <v>0.9</v>
      </c>
      <c r="AY28" s="186">
        <f>IFERROR(
  _xlfn.XLOOKUP(AM28,'2) หลักการคำนวน Table'!$C$3:$K$3,'2) หลักการคำนวน Table'!$C$3:$K$3,,1),
  IF(AM28&lt;MIN('2) หลักการคำนวน Table'!$C$3:$K$3),
     MIN('2) หลักการคำนวน Table'!$C$3:$K$3),
     MAX('2) หลักการคำนวน Table'!$C$3:$K$3)
  )
)</f>
        <v>0.9</v>
      </c>
      <c r="AZ28" s="135" t="e" cm="1">
        <f t="array" ref="AZ28">ROUND((_xlfn.XLOOKUP($C28,'2) หลักการคำนวน Table'!$A$4:$A$36,
_xlfn.XLOOKUP(AN28,'2)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A28" s="135" t="e" cm="1">
        <f t="array" ref="BA28">ROUND((_xlfn.XLOOKUP($C28,'2) หลักการคำนวน Table'!$A$4:$A$36,
_xlfn.XLOOKUP(AO28,'2)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B28" s="135" t="e" cm="1">
        <f t="array" ref="BB28">ROUND((_xlfn.XLOOKUP($C28,'2) หลักการคำนวน Table'!$A$4:$A$36,
_xlfn.XLOOKUP(AP28,'2)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C28" s="135" t="e" cm="1">
        <f t="array" ref="BC28">ROUND((_xlfn.XLOOKUP($C28,'2) หลักการคำนวน Table'!$A$4:$A$36,
_xlfn.XLOOKUP(AQ28,'2)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D28" s="135" t="e" cm="1">
        <f t="array" ref="BD28">ROUND((_xlfn.XLOOKUP($C28,'2) หลักการคำนวน Table'!$A$4:$A$36,
_xlfn.XLOOKUP(AR28,'2)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E28" s="135" t="e" cm="1">
        <f t="array" ref="BE28">ROUND((_xlfn.XLOOKUP($C28,'2) หลักการคำนวน Table'!$A$4:$A$36,
_xlfn.XLOOKUP(AS28,'2)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F28" s="135" t="e" cm="1">
        <f t="array" ref="BF28">ROUND((_xlfn.XLOOKUP($C28,'2) หลักการคำนวน Table'!$A$4:$A$36,
_xlfn.XLOOKUP(AT28,'2)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G28" s="135" t="e" cm="1">
        <f t="array" ref="BG28">ROUND((_xlfn.XLOOKUP($C28,'2) หลักการคำนวน Table'!$A$4:$A$36,
_xlfn.XLOOKUP(AU28,'2)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H28" s="135" t="e" cm="1">
        <f t="array" ref="BH28">ROUND((_xlfn.XLOOKUP($C28,'2) หลักการคำนวน Table'!$A$4:$A$36,
_xlfn.XLOOKUP(AV28,'2)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I28" s="135" t="e" cm="1">
        <f t="array" ref="BI28">ROUND((_xlfn.XLOOKUP($C28,'2) หลักการคำนวน Table'!$A$4:$A$36,
_xlfn.XLOOKUP(AW28,'2)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J28" s="135" t="e" cm="1">
        <f t="array" ref="BJ28">ROUND((_xlfn.XLOOKUP($C28,'2) หลักการคำนวน Table'!$A$4:$A$36,
_xlfn.XLOOKUP(AX28,'2)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K28" s="135" t="e" cm="1">
        <f t="array" ref="BK28">ROUND((_xlfn.XLOOKUP($C28,'2) หลักการคำนวน Table'!$A$4:$A$36,
_xlfn.XLOOKUP(AY28,'2) หลักการคำนวน Table'!$C$3:$K$3,'2) หลักการคำนวน Table'!$C$4:$K$36,,-1)))*(_xlfn.XLOOKUP($C28,'2) หลักการคำนวน Table'!$A$4:$A$36, _xlfn.XLOOKUP($B28,'2) หลักการคำนวน Table'!$L$3:$Z$3,'2) หลักการคำนวน Table'!$L$4:$Z$36))),0)</f>
        <v>#N/A</v>
      </c>
      <c r="BL28" s="239"/>
      <c r="BM28" s="126">
        <v>222223</v>
      </c>
      <c r="BN28" s="245">
        <v>27</v>
      </c>
    </row>
    <row r="29" spans="1:66" ht="13.2" customHeight="1" x14ac:dyDescent="0.25">
      <c r="A29" s="128">
        <f>VLOOKUP(C29,ASTBase!F:S,12,FALSE)</f>
        <v>222222</v>
      </c>
      <c r="B29" s="126" t="s">
        <v>414</v>
      </c>
      <c r="C29" s="128">
        <v>222223</v>
      </c>
      <c r="D29" s="127">
        <f>SUMIFS('3)Target &amp; Cal_Sect'!D$4:D$60,'3)Target &amp; Cal_Sect'!$B$4:$B$60,'3)Target &amp; Cal_Dept'!$B29,'3)Target &amp; Cal_Sect'!$A$4:$A$60,'3)Target &amp; Cal_Dept'!$C29)</f>
        <v>123050</v>
      </c>
      <c r="E29" s="127">
        <f>SUMIFS('3)Target &amp; Cal_Sect'!E$4:E$60,'3)Target &amp; Cal_Sect'!$B$4:$B$60,'3)Target &amp; Cal_Dept'!$B29,'3)Target &amp; Cal_Sect'!$A$4:$A$60,'3)Target &amp; Cal_Dept'!$C29)</f>
        <v>120950</v>
      </c>
      <c r="F29" s="127">
        <f>SUMIFS('3)Target &amp; Cal_Sect'!F$4:F$60,'3)Target &amp; Cal_Sect'!$B$4:$B$60,'3)Target &amp; Cal_Dept'!$B29,'3)Target &amp; Cal_Sect'!$A$4:$A$60,'3)Target &amp; Cal_Dept'!$C29)</f>
        <v>197900</v>
      </c>
      <c r="G29" s="127">
        <f>SUMIFS('3)Target &amp; Cal_Sect'!G$4:G$60,'3)Target &amp; Cal_Sect'!$B$4:$B$60,'3)Target &amp; Cal_Dept'!$B29,'3)Target &amp; Cal_Sect'!$A$4:$A$60,'3)Target &amp; Cal_Dept'!$C29)</f>
        <v>137500</v>
      </c>
      <c r="H29" s="127">
        <f>SUMIFS('3)Target &amp; Cal_Sect'!H$4:H$60,'3)Target &amp; Cal_Sect'!$B$4:$B$60,'3)Target &amp; Cal_Dept'!$B29,'3)Target &amp; Cal_Sect'!$A$4:$A$60,'3)Target &amp; Cal_Dept'!$C29)</f>
        <v>144600</v>
      </c>
      <c r="I29" s="127">
        <f>SUMIFS('3)Target &amp; Cal_Sect'!I$4:I$60,'3)Target &amp; Cal_Sect'!$B$4:$B$60,'3)Target &amp; Cal_Dept'!$B29,'3)Target &amp; Cal_Sect'!$A$4:$A$60,'3)Target &amp; Cal_Dept'!$C29)</f>
        <v>124600</v>
      </c>
      <c r="J29" s="127">
        <f>SUMIFS('3)Target &amp; Cal_Sect'!J$4:J$60,'3)Target &amp; Cal_Sect'!$B$4:$B$60,'3)Target &amp; Cal_Dept'!$B29,'3)Target &amp; Cal_Sect'!$A$4:$A$60,'3)Target &amp; Cal_Dept'!$C29)</f>
        <v>130700</v>
      </c>
      <c r="K29" s="127">
        <f>SUMIFS('3)Target &amp; Cal_Sect'!K$4:K$60,'3)Target &amp; Cal_Sect'!$B$4:$B$60,'3)Target &amp; Cal_Dept'!$B29,'3)Target &amp; Cal_Sect'!$A$4:$A$60,'3)Target &amp; Cal_Dept'!$C29)</f>
        <v>136800</v>
      </c>
      <c r="L29" s="127">
        <v>38777</v>
      </c>
      <c r="M29" s="127">
        <v>35058.199999999997</v>
      </c>
      <c r="N29" s="127">
        <v>18398.2</v>
      </c>
      <c r="O29" s="127">
        <v>32000</v>
      </c>
      <c r="P29" s="127">
        <f>SUMIFS('3)Target &amp; Cal_Sect'!P$4:P$60,'3)Target &amp; Cal_Sect'!$B$4:$B$60,'3)Target &amp; Cal_Dept'!$B29,'3)Target &amp; Cal_Sect'!$A$4:$A$60,'3)Target &amp; Cal_Dept'!$C29)</f>
        <v>139551.59999999983</v>
      </c>
      <c r="Q29" s="127">
        <f>SUMIFS('3)Target &amp; Cal_Sect'!Q$4:Q$60,'3)Target &amp; Cal_Sect'!$B$4:$B$60,'3)Target &amp; Cal_Dept'!$B29,'3)Target &amp; Cal_Sect'!$A$4:$A$60,'3)Target &amp; Cal_Dept'!$C29)</f>
        <v>0</v>
      </c>
      <c r="R29" s="127">
        <f>SUMIFS('3)Target &amp; Cal_Sect'!R$4:R$60,'3)Target &amp; Cal_Sect'!$B$4:$B$60,'3)Target &amp; Cal_Dept'!$B29,'3)Target &amp; Cal_Sect'!$A$4:$A$60,'3)Target &amp; Cal_Dept'!$C29)</f>
        <v>0</v>
      </c>
      <c r="S29" s="127">
        <f>SUMIFS('3)Target &amp; Cal_Sect'!S$4:S$60,'3)Target &amp; Cal_Sect'!$B$4:$B$60,'3)Target &amp; Cal_Dept'!$B29,'3)Target &amp; Cal_Sect'!$A$4:$A$60,'3)Target &amp; Cal_Dept'!$C29)</f>
        <v>0</v>
      </c>
      <c r="T29" s="127">
        <f>SUMIFS('3)Target &amp; Cal_Sect'!T$4:T$60,'3)Target &amp; Cal_Sect'!$B$4:$B$60,'3)Target &amp; Cal_Dept'!$B29,'3)Target &amp; Cal_Sect'!$A$4:$A$60,'3)Target &amp; Cal_Dept'!$C29)</f>
        <v>0</v>
      </c>
      <c r="U29" s="127">
        <f>SUMIFS('3)Target &amp; Cal_Sect'!U$4:U$60,'3)Target &amp; Cal_Sect'!$B$4:$B$60,'3)Target &amp; Cal_Dept'!$B29,'3)Target &amp; Cal_Sect'!$A$4:$A$60,'3)Target &amp; Cal_Dept'!$C29)</f>
        <v>0</v>
      </c>
      <c r="V29" s="127">
        <f>SUMIFS('3)Target &amp; Cal_Sect'!V$4:V$60,'3)Target &amp; Cal_Sect'!$B$4:$B$60,'3)Target &amp; Cal_Dept'!$B29,'3)Target &amp; Cal_Sect'!$A$4:$A$60,'3)Target &amp; Cal_Dept'!$C29)</f>
        <v>0</v>
      </c>
      <c r="W29" s="127">
        <f>SUMIFS('3)Target &amp; Cal_Sect'!W$4:W$60,'3)Target &amp; Cal_Sect'!$B$4:$B$60,'3)Target &amp; Cal_Dept'!$B29,'3)Target &amp; Cal_Sect'!$A$4:$A$60,'3)Target &amp; Cal_Dept'!$C29)</f>
        <v>0</v>
      </c>
      <c r="X29" s="127">
        <f>SUMIFS('3)Target &amp; Cal_Sect'!X$4:X$60,'3)Target &amp; Cal_Sect'!$B$4:$B$60,'3)Target &amp; Cal_Dept'!$B29,'3)Target &amp; Cal_Sect'!$A$4:$A$60,'3)Target &amp; Cal_Dept'!$C29)</f>
        <v>0</v>
      </c>
      <c r="Y29" s="127">
        <f>SUMIFS('3)Target &amp; Cal_Sect'!Y$4:Y$60,'3)Target &amp; Cal_Sect'!$B$4:$B$60,'3)Target &amp; Cal_Dept'!$B29,'3)Target &amp; Cal_Sect'!$A$4:$A$60,'3)Target &amp; Cal_Dept'!$C29)</f>
        <v>0</v>
      </c>
      <c r="Z29" s="127">
        <f>SUMIFS('3)Target &amp; Cal_Sect'!Z$4:Z$60,'3)Target &amp; Cal_Sect'!$B$4:$B$60,'3)Target &amp; Cal_Dept'!$B29,'3)Target &amp; Cal_Sect'!$A$4:$A$60,'3)Target &amp; Cal_Dept'!$C29)</f>
        <v>0</v>
      </c>
      <c r="AA29" s="127">
        <f>SUMIFS('3)Target &amp; Cal_Sect'!AA$4:AA$60,'3)Target &amp; Cal_Sect'!$B$4:$B$60,'3)Target &amp; Cal_Dept'!$B29,'3)Target &amp; Cal_Sect'!$A$4:$A$60,'3)Target &amp; Cal_Dept'!$C29)</f>
        <v>0</v>
      </c>
      <c r="AB29" s="132">
        <f>IFERROR(IF(VLOOKUP($B29,Shortage!$A:$M,AB$2,FALSE)="Shortage",1,IFERROR(ROUND(P29/D29,4),0)),IFERROR(ROUND(P29/D29,4),0))</f>
        <v>1.1341000000000001</v>
      </c>
      <c r="AC29" s="132">
        <f>IFERROR(IF(VLOOKUP($B29,Shortage!$A:$M,AC$2,FALSE)="Shortage",1,IFERROR(ROUND(Q29/E29,4),0)),IFERROR(ROUND(Q29/E29,4),0))</f>
        <v>0</v>
      </c>
      <c r="AD29" s="132">
        <f>IFERROR(IF(VLOOKUP($B29,Shortage!$A:$M,AD$2,FALSE)="Shortage",1,IFERROR(ROUND(R29/F29,4),0)),IFERROR(ROUND(R29/F29,4),0))</f>
        <v>0</v>
      </c>
      <c r="AE29" s="132">
        <f>IFERROR(IF(VLOOKUP($B29,Shortage!$A:$M,AE$2,FALSE)="Shortage",1,IFERROR(ROUND(S29/G29,4),0)),IFERROR(ROUND(S29/G29,4),0))</f>
        <v>0</v>
      </c>
      <c r="AF29" s="132">
        <f>IFERROR(IF(VLOOKUP($B29,Shortage!$A:$M,AF$2,FALSE)="Shortage",1,IFERROR(ROUND(T29/H29,4),0)),IFERROR(ROUND(T29/H29,4),0))</f>
        <v>0</v>
      </c>
      <c r="AG29" s="132">
        <f>IFERROR(IF(VLOOKUP($B29,Shortage!$A:$M,AG$2,FALSE)="Shortage",1,IFERROR(ROUND(U29/I29,4),0)),IFERROR(ROUND(U29/I29,4),0))</f>
        <v>0</v>
      </c>
      <c r="AH29" s="132">
        <f>IFERROR(IF(VLOOKUP($B29,Shortage!$A:$M,AH$2,FALSE)="Shortage",1,IFERROR(ROUND(V29/J29,4),0)),IFERROR(ROUND(V29/J29,4),0))</f>
        <v>0</v>
      </c>
      <c r="AI29" s="132">
        <f>IFERROR(IF(VLOOKUP($B29,Shortage!$A:$M,AI$2,FALSE)="Shortage",1,IFERROR(ROUND(W29/K29,4),0)),IFERROR(ROUND(W29/K29,4),0))</f>
        <v>0</v>
      </c>
      <c r="AJ29" s="132">
        <f>IFERROR(IF(VLOOKUP($B29,Shortage!$A:$M,AJ$2,FALSE)="Shortage",1,IFERROR(ROUND(X29/L29,4),0)),IFERROR(ROUND(X29/L29,4),0))</f>
        <v>0</v>
      </c>
      <c r="AK29" s="132">
        <f>IFERROR(IF(VLOOKUP($B29,Shortage!$A:$M,AK$2,FALSE)="Shortage",1,IFERROR(ROUND(Y29/M29,4),0)),IFERROR(ROUND(Y29/M29,4),0))</f>
        <v>0</v>
      </c>
      <c r="AL29" s="132">
        <f>IFERROR(IF(VLOOKUP($B29,Shortage!$A:$M,AL$2,FALSE)="Shortage",1,IFERROR(ROUND(Z29/N29,4),0)),IFERROR(ROUND(Z29/N29,4),0))</f>
        <v>0</v>
      </c>
      <c r="AM29" s="132">
        <f>IFERROR(IF(VLOOKUP($B29,Shortage!$A:$M,AM$2,FALSE)="Shortage",1,IFERROR(ROUND(AA29/O29,4),0)),IFERROR(ROUND(AA29/O29,4),0))</f>
        <v>0</v>
      </c>
      <c r="AN29" s="186">
        <f>IFERROR(_xlfn.XLOOKUP(AB29,'2) หลักการคำนวน Table'!$C$3:$K$3,'2) หลักการคำนวน Table'!$C$3:$K$3,,1),INDEX('2) หลักการคำนวน Table'!$C$3:$K$3,1))</f>
        <v>1.1499999999999999</v>
      </c>
      <c r="AO29" s="186">
        <f>IFERROR(
  _xlfn.XLOOKUP(AC29,'2) หลักการคำนวน Table'!$C$3:$K$3,'2) หลักการคำนวน Table'!$C$3:$K$3,,1),
  IF(AC29&lt;MIN('2) หลักการคำนวน Table'!$C$3:$K$3),
     MIN('2) หลักการคำนวน Table'!$C$3:$K$3),
     MAX('2) หลักการคำนวน Table'!$C$3:$K$3)
  )
)</f>
        <v>0.9</v>
      </c>
      <c r="AP29" s="186">
        <f>IFERROR(
  _xlfn.XLOOKUP(AD29,'2) หลักการคำนวน Table'!$C$3:$K$3,'2) หลักการคำนวน Table'!$C$3:$K$3,,1),
  IF(AD29&lt;MIN('2) หลักการคำนวน Table'!$C$3:$K$3),
     MIN('2) หลักการคำนวน Table'!$C$3:$K$3),
     MAX('2) หลักการคำนวน Table'!$C$3:$K$3)
  )
)</f>
        <v>0.9</v>
      </c>
      <c r="AQ29" s="186">
        <f>IFERROR(
  _xlfn.XLOOKUP(AE29,'2) หลักการคำนวน Table'!$C$3:$K$3,'2) หลักการคำนวน Table'!$C$3:$K$3,,1),
  IF(AE29&lt;MIN('2) หลักการคำนวน Table'!$C$3:$K$3),
     MIN('2) หลักการคำนวน Table'!$C$3:$K$3),
     MAX('2) หลักการคำนวน Table'!$C$3:$K$3)
  )
)</f>
        <v>0.9</v>
      </c>
      <c r="AR29" s="186">
        <f>IFERROR(
  _xlfn.XLOOKUP(AF29,'2) หลักการคำนวน Table'!$C$3:$K$3,'2) หลักการคำนวน Table'!$C$3:$K$3,,1),
  IF(AF29&lt;MIN('2) หลักการคำนวน Table'!$C$3:$K$3),
     MIN('2) หลักการคำนวน Table'!$C$3:$K$3),
     MAX('2) หลักการคำนวน Table'!$C$3:$K$3)
  )
)</f>
        <v>0.9</v>
      </c>
      <c r="AS29" s="186">
        <f>IFERROR(
  _xlfn.XLOOKUP(AG29,'2) หลักการคำนวน Table'!$C$3:$K$3,'2) หลักการคำนวน Table'!$C$3:$K$3,,1),
  IF(AG29&lt;MIN('2) หลักการคำนวน Table'!$C$3:$K$3),
     MIN('2) หลักการคำนวน Table'!$C$3:$K$3),
     MAX('2) หลักการคำนวน Table'!$C$3:$K$3)
  )
)</f>
        <v>0.9</v>
      </c>
      <c r="AT29" s="186">
        <f>IFERROR(
  _xlfn.XLOOKUP(AH29,'2) หลักการคำนวน Table'!$C$3:$K$3,'2) หลักการคำนวน Table'!$C$3:$K$3,,1),
  IF(AH29&lt;MIN('2) หลักการคำนวน Table'!$C$3:$K$3),
     MIN('2) หลักการคำนวน Table'!$C$3:$K$3),
     MAX('2) หลักการคำนวน Table'!$C$3:$K$3)
  )
)</f>
        <v>0.9</v>
      </c>
      <c r="AU29" s="186">
        <f>IFERROR(
  _xlfn.XLOOKUP(AI29,'2) หลักการคำนวน Table'!$C$3:$K$3,'2) หลักการคำนวน Table'!$C$3:$K$3,,1),
  IF(AI29&lt;MIN('2) หลักการคำนวน Table'!$C$3:$K$3),
     MIN('2) หลักการคำนวน Table'!$C$3:$K$3),
     MAX('2) หลักการคำนวน Table'!$C$3:$K$3)
  )
)</f>
        <v>0.9</v>
      </c>
      <c r="AV29" s="186">
        <f>IFERROR(
  _xlfn.XLOOKUP(AJ29,'2) หลักการคำนวน Table'!$C$3:$K$3,'2) หลักการคำนวน Table'!$C$3:$K$3,,1),
  IF(AJ29&lt;MIN('2) หลักการคำนวน Table'!$C$3:$K$3),
     MIN('2) หลักการคำนวน Table'!$C$3:$K$3),
     MAX('2) หลักการคำนวน Table'!$C$3:$K$3)
  )
)</f>
        <v>0.9</v>
      </c>
      <c r="AW29" s="186">
        <f>IFERROR(
  _xlfn.XLOOKUP(AK29,'2) หลักการคำนวน Table'!$C$3:$K$3,'2) หลักการคำนวน Table'!$C$3:$K$3,,1),
  IF(AK29&lt;MIN('2) หลักการคำนวน Table'!$C$3:$K$3),
     MIN('2) หลักการคำนวน Table'!$C$3:$K$3),
     MAX('2) หลักการคำนวน Table'!$C$3:$K$3)
  )
)</f>
        <v>0.9</v>
      </c>
      <c r="AX29" s="186">
        <f>IFERROR(
  _xlfn.XLOOKUP(AL29,'2) หลักการคำนวน Table'!$C$3:$K$3,'2) หลักการคำนวน Table'!$C$3:$K$3,,1),
  IF(AL29&lt;MIN('2) หลักการคำนวน Table'!$C$3:$K$3),
     MIN('2) หลักการคำนวน Table'!$C$3:$K$3),
     MAX('2) หลักการคำนวน Table'!$C$3:$K$3)
  )
)</f>
        <v>0.9</v>
      </c>
      <c r="AY29" s="186">
        <f>IFERROR(
  _xlfn.XLOOKUP(AM29,'2) หลักการคำนวน Table'!$C$3:$K$3,'2) หลักการคำนวน Table'!$C$3:$K$3,,1),
  IF(AM29&lt;MIN('2) หลักการคำนวน Table'!$C$3:$K$3),
     MIN('2) หลักการคำนวน Table'!$C$3:$K$3),
     MAX('2) หลักการคำนวน Table'!$C$3:$K$3)
  )
)</f>
        <v>0.9</v>
      </c>
      <c r="AZ29" s="135" t="e" cm="1">
        <f t="array" ref="AZ29">ROUND((_xlfn.XLOOKUP($C29,'2) หลักการคำนวน Table'!$A$4:$A$36,
_xlfn.XLOOKUP(AN29,'2)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A29" s="135" t="e" cm="1">
        <f t="array" ref="BA29">ROUND((_xlfn.XLOOKUP($C29,'2) หลักการคำนวน Table'!$A$4:$A$36,
_xlfn.XLOOKUP(AO29,'2)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B29" s="135" t="e" cm="1">
        <f t="array" ref="BB29">ROUND((_xlfn.XLOOKUP($C29,'2) หลักการคำนวน Table'!$A$4:$A$36,
_xlfn.XLOOKUP(AP29,'2)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C29" s="135" t="e" cm="1">
        <f t="array" ref="BC29">ROUND((_xlfn.XLOOKUP($C29,'2) หลักการคำนวน Table'!$A$4:$A$36,
_xlfn.XLOOKUP(AQ29,'2)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D29" s="135" t="e" cm="1">
        <f t="array" ref="BD29">ROUND((_xlfn.XLOOKUP($C29,'2) หลักการคำนวน Table'!$A$4:$A$36,
_xlfn.XLOOKUP(AR29,'2)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E29" s="135" t="e" cm="1">
        <f t="array" ref="BE29">ROUND((_xlfn.XLOOKUP($C29,'2) หลักการคำนวน Table'!$A$4:$A$36,
_xlfn.XLOOKUP(AS29,'2)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F29" s="135" t="e" cm="1">
        <f t="array" ref="BF29">ROUND((_xlfn.XLOOKUP($C29,'2) หลักการคำนวน Table'!$A$4:$A$36,
_xlfn.XLOOKUP(AT29,'2)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G29" s="135" t="e" cm="1">
        <f t="array" ref="BG29">ROUND((_xlfn.XLOOKUP($C29,'2) หลักการคำนวน Table'!$A$4:$A$36,
_xlfn.XLOOKUP(AU29,'2)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H29" s="135" t="e" cm="1">
        <f t="array" ref="BH29">ROUND((_xlfn.XLOOKUP($C29,'2) หลักการคำนวน Table'!$A$4:$A$36,
_xlfn.XLOOKUP(AV29,'2)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I29" s="135" t="e" cm="1">
        <f t="array" ref="BI29">ROUND((_xlfn.XLOOKUP($C29,'2) หลักการคำนวน Table'!$A$4:$A$36,
_xlfn.XLOOKUP(AW29,'2)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J29" s="135" t="e" cm="1">
        <f t="array" ref="BJ29">ROUND((_xlfn.XLOOKUP($C29,'2) หลักการคำนวน Table'!$A$4:$A$36,
_xlfn.XLOOKUP(AX29,'2)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K29" s="135" t="e" cm="1">
        <f t="array" ref="BK29">ROUND((_xlfn.XLOOKUP($C29,'2) หลักการคำนวน Table'!$A$4:$A$36,
_xlfn.XLOOKUP(AY29,'2) หลักการคำนวน Table'!$C$3:$K$3,'2) หลักการคำนวน Table'!$C$4:$K$36,,-1)))*(_xlfn.XLOOKUP($C29,'2) หลักการคำนวน Table'!$A$4:$A$36, _xlfn.XLOOKUP($B29,'2) หลักการคำนวน Table'!$L$3:$Z$3,'2) หลักการคำนวน Table'!$L$4:$Z$36))),0)</f>
        <v>#N/A</v>
      </c>
      <c r="BL29" s="239"/>
      <c r="BM29" s="126">
        <v>222223</v>
      </c>
      <c r="BN29" s="245">
        <v>100</v>
      </c>
    </row>
    <row r="30" spans="1:66" ht="13.2" customHeight="1" x14ac:dyDescent="0.25">
      <c r="A30" s="128">
        <f>VLOOKUP(C30,ASTBase!F:S,12,FALSE)</f>
        <v>222222</v>
      </c>
      <c r="B30" s="126" t="s">
        <v>412</v>
      </c>
      <c r="C30" s="128">
        <v>222223</v>
      </c>
      <c r="D30" s="127">
        <f>SUMIFS('3)Target &amp; Cal_Sect'!D$4:D$60,'3)Target &amp; Cal_Sect'!$B$4:$B$60,'3)Target &amp; Cal_Dept'!$B30,'3)Target &amp; Cal_Sect'!$A$4:$A$60,'3)Target &amp; Cal_Dept'!$C30)</f>
        <v>791800</v>
      </c>
      <c r="E30" s="127">
        <f>SUMIFS('3)Target &amp; Cal_Sect'!E$4:E$60,'3)Target &amp; Cal_Sect'!$B$4:$B$60,'3)Target &amp; Cal_Dept'!$B30,'3)Target &amp; Cal_Sect'!$A$4:$A$60,'3)Target &amp; Cal_Dept'!$C30)</f>
        <v>655000</v>
      </c>
      <c r="F30" s="127">
        <f>SUMIFS('3)Target &amp; Cal_Sect'!F$4:F$60,'3)Target &amp; Cal_Sect'!$B$4:$B$60,'3)Target &amp; Cal_Dept'!$B30,'3)Target &amp; Cal_Sect'!$A$4:$A$60,'3)Target &amp; Cal_Dept'!$C30)</f>
        <v>951800</v>
      </c>
      <c r="G30" s="127">
        <f>SUMIFS('3)Target &amp; Cal_Sect'!G$4:G$60,'3)Target &amp; Cal_Sect'!$B$4:$B$60,'3)Target &amp; Cal_Dept'!$B30,'3)Target &amp; Cal_Sect'!$A$4:$A$60,'3)Target &amp; Cal_Dept'!$C30)</f>
        <v>720000</v>
      </c>
      <c r="H30" s="127">
        <f>SUMIFS('3)Target &amp; Cal_Sect'!H$4:H$60,'3)Target &amp; Cal_Sect'!$B$4:$B$60,'3)Target &amp; Cal_Dept'!$B30,'3)Target &amp; Cal_Sect'!$A$4:$A$60,'3)Target &amp; Cal_Dept'!$C30)</f>
        <v>770100</v>
      </c>
      <c r="I30" s="127">
        <f>SUMIFS('3)Target &amp; Cal_Sect'!I$4:I$60,'3)Target &amp; Cal_Sect'!$B$4:$B$60,'3)Target &amp; Cal_Dept'!$B30,'3)Target &amp; Cal_Sect'!$A$4:$A$60,'3)Target &amp; Cal_Dept'!$C30)</f>
        <v>751500</v>
      </c>
      <c r="J30" s="127">
        <f>SUMIFS('3)Target &amp; Cal_Sect'!J$4:J$60,'3)Target &amp; Cal_Sect'!$B$4:$B$60,'3)Target &amp; Cal_Dept'!$B30,'3)Target &amp; Cal_Sect'!$A$4:$A$60,'3)Target &amp; Cal_Dept'!$C30)</f>
        <v>694000</v>
      </c>
      <c r="K30" s="127">
        <f>SUMIFS('3)Target &amp; Cal_Sect'!K$4:K$60,'3)Target &amp; Cal_Sect'!$B$4:$B$60,'3)Target &amp; Cal_Dept'!$B30,'3)Target &amp; Cal_Sect'!$A$4:$A$60,'3)Target &amp; Cal_Dept'!$C30)</f>
        <v>779000</v>
      </c>
      <c r="L30" s="127">
        <v>4</v>
      </c>
      <c r="M30" s="127">
        <v>11</v>
      </c>
      <c r="N30" s="127">
        <v>5</v>
      </c>
      <c r="O30" s="127">
        <v>3</v>
      </c>
      <c r="P30" s="127">
        <f>SUMIFS('3)Target &amp; Cal_Sect'!P$4:P$60,'3)Target &amp; Cal_Sect'!$B$4:$B$60,'3)Target &amp; Cal_Dept'!$B30,'3)Target &amp; Cal_Sect'!$A$4:$A$60,'3)Target &amp; Cal_Dept'!$C30)</f>
        <v>660400.99998998595</v>
      </c>
      <c r="Q30" s="127">
        <f>SUMIFS('3)Target &amp; Cal_Sect'!Q$4:Q$60,'3)Target &amp; Cal_Sect'!$B$4:$B$60,'3)Target &amp; Cal_Dept'!$B30,'3)Target &amp; Cal_Sect'!$A$4:$A$60,'3)Target &amp; Cal_Dept'!$C30)</f>
        <v>0</v>
      </c>
      <c r="R30" s="127">
        <f>SUMIFS('3)Target &amp; Cal_Sect'!R$4:R$60,'3)Target &amp; Cal_Sect'!$B$4:$B$60,'3)Target &amp; Cal_Dept'!$B30,'3)Target &amp; Cal_Sect'!$A$4:$A$60,'3)Target &amp; Cal_Dept'!$C30)</f>
        <v>0</v>
      </c>
      <c r="S30" s="127">
        <f>SUMIFS('3)Target &amp; Cal_Sect'!S$4:S$60,'3)Target &amp; Cal_Sect'!$B$4:$B$60,'3)Target &amp; Cal_Dept'!$B30,'3)Target &amp; Cal_Sect'!$A$4:$A$60,'3)Target &amp; Cal_Dept'!$C30)</f>
        <v>0</v>
      </c>
      <c r="T30" s="127">
        <f>SUMIFS('3)Target &amp; Cal_Sect'!T$4:T$60,'3)Target &amp; Cal_Sect'!$B$4:$B$60,'3)Target &amp; Cal_Dept'!$B30,'3)Target &amp; Cal_Sect'!$A$4:$A$60,'3)Target &amp; Cal_Dept'!$C30)</f>
        <v>0</v>
      </c>
      <c r="U30" s="127">
        <f>SUMIFS('3)Target &amp; Cal_Sect'!U$4:U$60,'3)Target &amp; Cal_Sect'!$B$4:$B$60,'3)Target &amp; Cal_Dept'!$B30,'3)Target &amp; Cal_Sect'!$A$4:$A$60,'3)Target &amp; Cal_Dept'!$C30)</f>
        <v>0</v>
      </c>
      <c r="V30" s="127">
        <f>SUMIFS('3)Target &amp; Cal_Sect'!V$4:V$60,'3)Target &amp; Cal_Sect'!$B$4:$B$60,'3)Target &amp; Cal_Dept'!$B30,'3)Target &amp; Cal_Sect'!$A$4:$A$60,'3)Target &amp; Cal_Dept'!$C30)</f>
        <v>0</v>
      </c>
      <c r="W30" s="127">
        <f>SUMIFS('3)Target &amp; Cal_Sect'!W$4:W$60,'3)Target &amp; Cal_Sect'!$B$4:$B$60,'3)Target &amp; Cal_Dept'!$B30,'3)Target &amp; Cal_Sect'!$A$4:$A$60,'3)Target &amp; Cal_Dept'!$C30)</f>
        <v>0</v>
      </c>
      <c r="X30" s="127">
        <f>SUMIFS('3)Target &amp; Cal_Sect'!X$4:X$60,'3)Target &amp; Cal_Sect'!$B$4:$B$60,'3)Target &amp; Cal_Dept'!$B30,'3)Target &amp; Cal_Sect'!$A$4:$A$60,'3)Target &amp; Cal_Dept'!$C30)</f>
        <v>0</v>
      </c>
      <c r="Y30" s="127">
        <f>SUMIFS('3)Target &amp; Cal_Sect'!Y$4:Y$60,'3)Target &amp; Cal_Sect'!$B$4:$B$60,'3)Target &amp; Cal_Dept'!$B30,'3)Target &amp; Cal_Sect'!$A$4:$A$60,'3)Target &amp; Cal_Dept'!$C30)</f>
        <v>0</v>
      </c>
      <c r="Z30" s="127">
        <f>SUMIFS('3)Target &amp; Cal_Sect'!Z$4:Z$60,'3)Target &amp; Cal_Sect'!$B$4:$B$60,'3)Target &amp; Cal_Dept'!$B30,'3)Target &amp; Cal_Sect'!$A$4:$A$60,'3)Target &amp; Cal_Dept'!$C30)</f>
        <v>0</v>
      </c>
      <c r="AA30" s="127">
        <f>SUMIFS('3)Target &amp; Cal_Sect'!AA$4:AA$60,'3)Target &amp; Cal_Sect'!$B$4:$B$60,'3)Target &amp; Cal_Dept'!$B30,'3)Target &amp; Cal_Sect'!$A$4:$A$60,'3)Target &amp; Cal_Dept'!$C30)</f>
        <v>0</v>
      </c>
      <c r="AB30" s="132">
        <f>IFERROR(IF(VLOOKUP($B30,Shortage!$A:$M,AB$2,FALSE)="Shortage",1,IFERROR(ROUND(P30/D30,4),0)),IFERROR(ROUND(P30/D30,4),0))</f>
        <v>1</v>
      </c>
      <c r="AC30" s="132">
        <f>IFERROR(IF(VLOOKUP($B30,Shortage!$A:$M,AC$2,FALSE)="Shortage",1,IFERROR(ROUND(Q30/E30,4),0)),IFERROR(ROUND(Q30/E30,4),0))</f>
        <v>0</v>
      </c>
      <c r="AD30" s="132">
        <f>IFERROR(IF(VLOOKUP($B30,Shortage!$A:$M,AD$2,FALSE)="Shortage",1,IFERROR(ROUND(R30/F30,4),0)),IFERROR(ROUND(R30/F30,4),0))</f>
        <v>0</v>
      </c>
      <c r="AE30" s="132">
        <f>IFERROR(IF(VLOOKUP($B30,Shortage!$A:$M,AE$2,FALSE)="Shortage",1,IFERROR(ROUND(S30/G30,4),0)),IFERROR(ROUND(S30/G30,4),0))</f>
        <v>0</v>
      </c>
      <c r="AF30" s="132">
        <f>IFERROR(IF(VLOOKUP($B30,Shortage!$A:$M,AF$2,FALSE)="Shortage",1,IFERROR(ROUND(T30/H30,4),0)),IFERROR(ROUND(T30/H30,4),0))</f>
        <v>0</v>
      </c>
      <c r="AG30" s="132">
        <f>IFERROR(IF(VLOOKUP($B30,Shortage!$A:$M,AG$2,FALSE)="Shortage",1,IFERROR(ROUND(U30/I30,4),0)),IFERROR(ROUND(U30/I30,4),0))</f>
        <v>0</v>
      </c>
      <c r="AH30" s="132">
        <f>IFERROR(IF(VLOOKUP($B30,Shortage!$A:$M,AH$2,FALSE)="Shortage",1,IFERROR(ROUND(V30/J30,4),0)),IFERROR(ROUND(V30/J30,4),0))</f>
        <v>0</v>
      </c>
      <c r="AI30" s="132">
        <f>IFERROR(IF(VLOOKUP($B30,Shortage!$A:$M,AI$2,FALSE)="Shortage",1,IFERROR(ROUND(W30/K30,4),0)),IFERROR(ROUND(W30/K30,4),0))</f>
        <v>0</v>
      </c>
      <c r="AJ30" s="132">
        <f>IFERROR(IF(VLOOKUP($B30,Shortage!$A:$M,AJ$2,FALSE)="Shortage",1,IFERROR(ROUND(X30/L30,4),0)),IFERROR(ROUND(X30/L30,4),0))</f>
        <v>0</v>
      </c>
      <c r="AK30" s="132">
        <f>IFERROR(IF(VLOOKUP($B30,Shortage!$A:$M,AK$2,FALSE)="Shortage",1,IFERROR(ROUND(Y30/M30,4),0)),IFERROR(ROUND(Y30/M30,4),0))</f>
        <v>0</v>
      </c>
      <c r="AL30" s="132">
        <f>IFERROR(IF(VLOOKUP($B30,Shortage!$A:$M,AL$2,FALSE)="Shortage",1,IFERROR(ROUND(Z30/N30,4),0)),IFERROR(ROUND(Z30/N30,4),0))</f>
        <v>0</v>
      </c>
      <c r="AM30" s="132">
        <f>IFERROR(IF(VLOOKUP($B30,Shortage!$A:$M,AM$2,FALSE)="Shortage",1,IFERROR(ROUND(AA30/O30,4),0)),IFERROR(ROUND(AA30/O30,4),0))</f>
        <v>0</v>
      </c>
      <c r="AN30" s="186">
        <f>IFERROR(_xlfn.XLOOKUP(AB30,'2) หลักการคำนวน Table'!$C$3:$K$3,'2) หลักการคำนวน Table'!$C$3:$K$3,,1),INDEX('2) หลักการคำนวน Table'!$C$3:$K$3,1))</f>
        <v>1</v>
      </c>
      <c r="AO30" s="186">
        <f>IFERROR(
  _xlfn.XLOOKUP(AC30,'2) หลักการคำนวน Table'!$C$3:$K$3,'2) หลักการคำนวน Table'!$C$3:$K$3,,1),
  IF(AC30&lt;MIN('2) หลักการคำนวน Table'!$C$3:$K$3),
     MIN('2) หลักการคำนวน Table'!$C$3:$K$3),
     MAX('2) หลักการคำนวน Table'!$C$3:$K$3)
  )
)</f>
        <v>0.9</v>
      </c>
      <c r="AP30" s="186">
        <f>IFERROR(
  _xlfn.XLOOKUP(AD30,'2) หลักการคำนวน Table'!$C$3:$K$3,'2) หลักการคำนวน Table'!$C$3:$K$3,,1),
  IF(AD30&lt;MIN('2) หลักการคำนวน Table'!$C$3:$K$3),
     MIN('2) หลักการคำนวน Table'!$C$3:$K$3),
     MAX('2) หลักการคำนวน Table'!$C$3:$K$3)
  )
)</f>
        <v>0.9</v>
      </c>
      <c r="AQ30" s="186">
        <f>IFERROR(
  _xlfn.XLOOKUP(AE30,'2) หลักการคำนวน Table'!$C$3:$K$3,'2) หลักการคำนวน Table'!$C$3:$K$3,,1),
  IF(AE30&lt;MIN('2) หลักการคำนวน Table'!$C$3:$K$3),
     MIN('2) หลักการคำนวน Table'!$C$3:$K$3),
     MAX('2) หลักการคำนวน Table'!$C$3:$K$3)
  )
)</f>
        <v>0.9</v>
      </c>
      <c r="AR30" s="186">
        <f>IFERROR(
  _xlfn.XLOOKUP(AF30,'2) หลักการคำนวน Table'!$C$3:$K$3,'2) หลักการคำนวน Table'!$C$3:$K$3,,1),
  IF(AF30&lt;MIN('2) หลักการคำนวน Table'!$C$3:$K$3),
     MIN('2) หลักการคำนวน Table'!$C$3:$K$3),
     MAX('2) หลักการคำนวน Table'!$C$3:$K$3)
  )
)</f>
        <v>0.9</v>
      </c>
      <c r="AS30" s="186">
        <f>IFERROR(
  _xlfn.XLOOKUP(AG30,'2) หลักการคำนวน Table'!$C$3:$K$3,'2) หลักการคำนวน Table'!$C$3:$K$3,,1),
  IF(AG30&lt;MIN('2) หลักการคำนวน Table'!$C$3:$K$3),
     MIN('2) หลักการคำนวน Table'!$C$3:$K$3),
     MAX('2) หลักการคำนวน Table'!$C$3:$K$3)
  )
)</f>
        <v>0.9</v>
      </c>
      <c r="AT30" s="186">
        <f>IFERROR(
  _xlfn.XLOOKUP(AH30,'2) หลักการคำนวน Table'!$C$3:$K$3,'2) หลักการคำนวน Table'!$C$3:$K$3,,1),
  IF(AH30&lt;MIN('2) หลักการคำนวน Table'!$C$3:$K$3),
     MIN('2) หลักการคำนวน Table'!$C$3:$K$3),
     MAX('2) หลักการคำนวน Table'!$C$3:$K$3)
  )
)</f>
        <v>0.9</v>
      </c>
      <c r="AU30" s="186">
        <f>IFERROR(
  _xlfn.XLOOKUP(AI30,'2) หลักการคำนวน Table'!$C$3:$K$3,'2) หลักการคำนวน Table'!$C$3:$K$3,,1),
  IF(AI30&lt;MIN('2) หลักการคำนวน Table'!$C$3:$K$3),
     MIN('2) หลักการคำนวน Table'!$C$3:$K$3),
     MAX('2) หลักการคำนวน Table'!$C$3:$K$3)
  )
)</f>
        <v>0.9</v>
      </c>
      <c r="AV30" s="186">
        <f>IFERROR(
  _xlfn.XLOOKUP(AJ30,'2) หลักการคำนวน Table'!$C$3:$K$3,'2) หลักการคำนวน Table'!$C$3:$K$3,,1),
  IF(AJ30&lt;MIN('2) หลักการคำนวน Table'!$C$3:$K$3),
     MIN('2) หลักการคำนวน Table'!$C$3:$K$3),
     MAX('2) หลักการคำนวน Table'!$C$3:$K$3)
  )
)</f>
        <v>0.9</v>
      </c>
      <c r="AW30" s="186">
        <f>IFERROR(
  _xlfn.XLOOKUP(AK30,'2) หลักการคำนวน Table'!$C$3:$K$3,'2) หลักการคำนวน Table'!$C$3:$K$3,,1),
  IF(AK30&lt;MIN('2) หลักการคำนวน Table'!$C$3:$K$3),
     MIN('2) หลักการคำนวน Table'!$C$3:$K$3),
     MAX('2) หลักการคำนวน Table'!$C$3:$K$3)
  )
)</f>
        <v>0.9</v>
      </c>
      <c r="AX30" s="186">
        <f>IFERROR(
  _xlfn.XLOOKUP(AL30,'2) หลักการคำนวน Table'!$C$3:$K$3,'2) หลักการคำนวน Table'!$C$3:$K$3,,1),
  IF(AL30&lt;MIN('2) หลักการคำนวน Table'!$C$3:$K$3),
     MIN('2) หลักการคำนวน Table'!$C$3:$K$3),
     MAX('2) หลักการคำนวน Table'!$C$3:$K$3)
  )
)</f>
        <v>0.9</v>
      </c>
      <c r="AY30" s="186">
        <f>IFERROR(
  _xlfn.XLOOKUP(AM30,'2) หลักการคำนวน Table'!$C$3:$K$3,'2) หลักการคำนวน Table'!$C$3:$K$3,,1),
  IF(AM30&lt;MIN('2) หลักการคำนวน Table'!$C$3:$K$3),
     MIN('2) หลักการคำนวน Table'!$C$3:$K$3),
     MAX('2) หลักการคำนวน Table'!$C$3:$K$3)
  )
)</f>
        <v>0.9</v>
      </c>
      <c r="AZ30" s="135" t="e" cm="1">
        <f t="array" ref="AZ30">ROUND((_xlfn.XLOOKUP($C30,'2) หลักการคำนวน Table'!$A$4:$A$36,
_xlfn.XLOOKUP(AN30,'2)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A30" s="135" t="e" cm="1">
        <f t="array" ref="BA30">ROUND((_xlfn.XLOOKUP($C30,'2) หลักการคำนวน Table'!$A$4:$A$36,
_xlfn.XLOOKUP(AO30,'2)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B30" s="135" t="e" cm="1">
        <f t="array" ref="BB30">ROUND((_xlfn.XLOOKUP($C30,'2) หลักการคำนวน Table'!$A$4:$A$36,
_xlfn.XLOOKUP(AP30,'2)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C30" s="135" t="e" cm="1">
        <f t="array" ref="BC30">ROUND((_xlfn.XLOOKUP($C30,'2) หลักการคำนวน Table'!$A$4:$A$36,
_xlfn.XLOOKUP(AQ30,'2)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D30" s="135" t="e" cm="1">
        <f t="array" ref="BD30">ROUND((_xlfn.XLOOKUP($C30,'2) หลักการคำนวน Table'!$A$4:$A$36,
_xlfn.XLOOKUP(AR30,'2)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E30" s="135" t="e" cm="1">
        <f t="array" ref="BE30">ROUND((_xlfn.XLOOKUP($C30,'2) หลักการคำนวน Table'!$A$4:$A$36,
_xlfn.XLOOKUP(AS30,'2)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F30" s="135" t="e" cm="1">
        <f t="array" ref="BF30">ROUND((_xlfn.XLOOKUP($C30,'2) หลักการคำนวน Table'!$A$4:$A$36,
_xlfn.XLOOKUP(AT30,'2)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G30" s="135" t="e" cm="1">
        <f t="array" ref="BG30">ROUND((_xlfn.XLOOKUP($C30,'2) หลักการคำนวน Table'!$A$4:$A$36,
_xlfn.XLOOKUP(AU30,'2)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H30" s="135" t="e" cm="1">
        <f t="array" ref="BH30">ROUND((_xlfn.XLOOKUP($C30,'2) หลักการคำนวน Table'!$A$4:$A$36,
_xlfn.XLOOKUP(AV30,'2)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I30" s="135" t="e" cm="1">
        <f t="array" ref="BI30">ROUND((_xlfn.XLOOKUP($C30,'2) หลักการคำนวน Table'!$A$4:$A$36,
_xlfn.XLOOKUP(AW30,'2)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J30" s="135" t="e" cm="1">
        <f t="array" ref="BJ30">ROUND((_xlfn.XLOOKUP($C30,'2) หลักการคำนวน Table'!$A$4:$A$36,
_xlfn.XLOOKUP(AX30,'2)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K30" s="135" t="e" cm="1">
        <f t="array" ref="BK30">ROUND((_xlfn.XLOOKUP($C30,'2) หลักการคำนวน Table'!$A$4:$A$36,
_xlfn.XLOOKUP(AY30,'2) หลักการคำนวน Table'!$C$3:$K$3,'2) หลักการคำนวน Table'!$C$4:$K$36,,-1)))*(_xlfn.XLOOKUP($C30,'2) หลักการคำนวน Table'!$A$4:$A$36, _xlfn.XLOOKUP($B30,'2) หลักการคำนวน Table'!$L$3:$Z$3,'2) หลักการคำนวน Table'!$L$4:$Z$36))),0)</f>
        <v>#N/A</v>
      </c>
      <c r="BL30" s="239"/>
      <c r="BM30" s="126">
        <v>222223</v>
      </c>
      <c r="BN30" s="245">
        <v>811</v>
      </c>
    </row>
    <row r="31" spans="1:66" ht="13.2" customHeight="1" x14ac:dyDescent="0.25">
      <c r="A31" s="128">
        <f>VLOOKUP(C31,ASTBase!F:S,12,FALSE)</f>
        <v>222222</v>
      </c>
      <c r="B31" s="126" t="s">
        <v>411</v>
      </c>
      <c r="C31" s="128">
        <v>222223</v>
      </c>
      <c r="D31" s="127">
        <f>SUMIFS('3)Target &amp; Cal_Sect'!D$4:D$60,'3)Target &amp; Cal_Sect'!$B$4:$B$60,'3)Target &amp; Cal_Dept'!$B31,'3)Target &amp; Cal_Sect'!$A$4:$A$60,'3)Target &amp; Cal_Dept'!$C31)</f>
        <v>7000</v>
      </c>
      <c r="E31" s="127">
        <f>SUMIFS('3)Target &amp; Cal_Sect'!E$4:E$60,'3)Target &amp; Cal_Sect'!$B$4:$B$60,'3)Target &amp; Cal_Dept'!$B31,'3)Target &amp; Cal_Sect'!$A$4:$A$60,'3)Target &amp; Cal_Dept'!$C31)</f>
        <v>6300</v>
      </c>
      <c r="F31" s="127">
        <f>SUMIFS('3)Target &amp; Cal_Sect'!F$4:F$60,'3)Target &amp; Cal_Sect'!$B$4:$B$60,'3)Target &amp; Cal_Dept'!$B31,'3)Target &amp; Cal_Sect'!$A$4:$A$60,'3)Target &amp; Cal_Dept'!$C31)</f>
        <v>34000</v>
      </c>
      <c r="G31" s="127">
        <f>SUMIFS('3)Target &amp; Cal_Sect'!G$4:G$60,'3)Target &amp; Cal_Sect'!$B$4:$B$60,'3)Target &amp; Cal_Dept'!$B31,'3)Target &amp; Cal_Sect'!$A$4:$A$60,'3)Target &amp; Cal_Dept'!$C31)</f>
        <v>5800</v>
      </c>
      <c r="H31" s="127">
        <f>SUMIFS('3)Target &amp; Cal_Sect'!H$4:H$60,'3)Target &amp; Cal_Sect'!$B$4:$B$60,'3)Target &amp; Cal_Dept'!$B31,'3)Target &amp; Cal_Sect'!$A$4:$A$60,'3)Target &amp; Cal_Dept'!$C31)</f>
        <v>6000</v>
      </c>
      <c r="I31" s="127">
        <f>SUMIFS('3)Target &amp; Cal_Sect'!I$4:I$60,'3)Target &amp; Cal_Sect'!$B$4:$B$60,'3)Target &amp; Cal_Dept'!$B31,'3)Target &amp; Cal_Sect'!$A$4:$A$60,'3)Target &amp; Cal_Dept'!$C31)</f>
        <v>5600</v>
      </c>
      <c r="J31" s="127">
        <f>SUMIFS('3)Target &amp; Cal_Sect'!J$4:J$60,'3)Target &amp; Cal_Sect'!$B$4:$B$60,'3)Target &amp; Cal_Dept'!$B31,'3)Target &amp; Cal_Sect'!$A$4:$A$60,'3)Target &amp; Cal_Dept'!$C31)</f>
        <v>5800</v>
      </c>
      <c r="K31" s="127">
        <f>SUMIFS('3)Target &amp; Cal_Sect'!K$4:K$60,'3)Target &amp; Cal_Sect'!$B$4:$B$60,'3)Target &amp; Cal_Dept'!$B31,'3)Target &amp; Cal_Sect'!$A$4:$A$60,'3)Target &amp; Cal_Dept'!$C31)</f>
        <v>6000</v>
      </c>
      <c r="L31" s="127">
        <v>5</v>
      </c>
      <c r="M31" s="127">
        <v>5</v>
      </c>
      <c r="N31" s="127">
        <v>5</v>
      </c>
      <c r="O31" s="127">
        <v>5</v>
      </c>
      <c r="P31" s="127">
        <f>SUMIFS('3)Target &amp; Cal_Sect'!P$4:P$60,'3)Target &amp; Cal_Sect'!$B$4:$B$60,'3)Target &amp; Cal_Dept'!$B31,'3)Target &amp; Cal_Sect'!$A$4:$A$60,'3)Target &amp; Cal_Dept'!$C31)</f>
        <v>15448.760000000002</v>
      </c>
      <c r="Q31" s="127">
        <f>SUMIFS('3)Target &amp; Cal_Sect'!Q$4:Q$60,'3)Target &amp; Cal_Sect'!$B$4:$B$60,'3)Target &amp; Cal_Dept'!$B31,'3)Target &amp; Cal_Sect'!$A$4:$A$60,'3)Target &amp; Cal_Dept'!$C31)</f>
        <v>0</v>
      </c>
      <c r="R31" s="127">
        <f>SUMIFS('3)Target &amp; Cal_Sect'!R$4:R$60,'3)Target &amp; Cal_Sect'!$B$4:$B$60,'3)Target &amp; Cal_Dept'!$B31,'3)Target &amp; Cal_Sect'!$A$4:$A$60,'3)Target &amp; Cal_Dept'!$C31)</f>
        <v>0</v>
      </c>
      <c r="S31" s="127">
        <f>SUMIFS('3)Target &amp; Cal_Sect'!S$4:S$60,'3)Target &amp; Cal_Sect'!$B$4:$B$60,'3)Target &amp; Cal_Dept'!$B31,'3)Target &amp; Cal_Sect'!$A$4:$A$60,'3)Target &amp; Cal_Dept'!$C31)</f>
        <v>0</v>
      </c>
      <c r="T31" s="127">
        <f>SUMIFS('3)Target &amp; Cal_Sect'!T$4:T$60,'3)Target &amp; Cal_Sect'!$B$4:$B$60,'3)Target &amp; Cal_Dept'!$B31,'3)Target &amp; Cal_Sect'!$A$4:$A$60,'3)Target &amp; Cal_Dept'!$C31)</f>
        <v>0</v>
      </c>
      <c r="U31" s="127">
        <f>SUMIFS('3)Target &amp; Cal_Sect'!U$4:U$60,'3)Target &amp; Cal_Sect'!$B$4:$B$60,'3)Target &amp; Cal_Dept'!$B31,'3)Target &amp; Cal_Sect'!$A$4:$A$60,'3)Target &amp; Cal_Dept'!$C31)</f>
        <v>0</v>
      </c>
      <c r="V31" s="127">
        <f>SUMIFS('3)Target &amp; Cal_Sect'!V$4:V$60,'3)Target &amp; Cal_Sect'!$B$4:$B$60,'3)Target &amp; Cal_Dept'!$B31,'3)Target &amp; Cal_Sect'!$A$4:$A$60,'3)Target &amp; Cal_Dept'!$C31)</f>
        <v>0</v>
      </c>
      <c r="W31" s="127">
        <f>SUMIFS('3)Target &amp; Cal_Sect'!W$4:W$60,'3)Target &amp; Cal_Sect'!$B$4:$B$60,'3)Target &amp; Cal_Dept'!$B31,'3)Target &amp; Cal_Sect'!$A$4:$A$60,'3)Target &amp; Cal_Dept'!$C31)</f>
        <v>0</v>
      </c>
      <c r="X31" s="127">
        <f>SUMIFS('3)Target &amp; Cal_Sect'!X$4:X$60,'3)Target &amp; Cal_Sect'!$B$4:$B$60,'3)Target &amp; Cal_Dept'!$B31,'3)Target &amp; Cal_Sect'!$A$4:$A$60,'3)Target &amp; Cal_Dept'!$C31)</f>
        <v>0</v>
      </c>
      <c r="Y31" s="127">
        <f>SUMIFS('3)Target &amp; Cal_Sect'!Y$4:Y$60,'3)Target &amp; Cal_Sect'!$B$4:$B$60,'3)Target &amp; Cal_Dept'!$B31,'3)Target &amp; Cal_Sect'!$A$4:$A$60,'3)Target &amp; Cal_Dept'!$C31)</f>
        <v>0</v>
      </c>
      <c r="Z31" s="127">
        <f>SUMIFS('3)Target &amp; Cal_Sect'!Z$4:Z$60,'3)Target &amp; Cal_Sect'!$B$4:$B$60,'3)Target &amp; Cal_Dept'!$B31,'3)Target &amp; Cal_Sect'!$A$4:$A$60,'3)Target &amp; Cal_Dept'!$C31)</f>
        <v>0</v>
      </c>
      <c r="AA31" s="127">
        <f>SUMIFS('3)Target &amp; Cal_Sect'!AA$4:AA$60,'3)Target &amp; Cal_Sect'!$B$4:$B$60,'3)Target &amp; Cal_Dept'!$B31,'3)Target &amp; Cal_Sect'!$A$4:$A$60,'3)Target &amp; Cal_Dept'!$C31)</f>
        <v>0</v>
      </c>
      <c r="AB31" s="132">
        <f>IFERROR(IF(VLOOKUP($B31,Shortage!$A:$M,AB$2,FALSE)="Shortage",1,IFERROR(ROUND(P31/D31,4),0)),IFERROR(ROUND(P31/D31,4),0))</f>
        <v>2.2069999999999999</v>
      </c>
      <c r="AC31" s="132">
        <f>IFERROR(IF(VLOOKUP($B31,Shortage!$A:$M,AC$2,FALSE)="Shortage",1,IFERROR(ROUND(Q31/E31,4),0)),IFERROR(ROUND(Q31/E31,4),0))</f>
        <v>0</v>
      </c>
      <c r="AD31" s="132">
        <f>IFERROR(IF(VLOOKUP($B31,Shortage!$A:$M,AD$2,FALSE)="Shortage",1,IFERROR(ROUND(R31/F31,4),0)),IFERROR(ROUND(R31/F31,4),0))</f>
        <v>0</v>
      </c>
      <c r="AE31" s="132">
        <f>IFERROR(IF(VLOOKUP($B31,Shortage!$A:$M,AE$2,FALSE)="Shortage",1,IFERROR(ROUND(S31/G31,4),0)),IFERROR(ROUND(S31/G31,4),0))</f>
        <v>0</v>
      </c>
      <c r="AF31" s="132">
        <f>IFERROR(IF(VLOOKUP($B31,Shortage!$A:$M,AF$2,FALSE)="Shortage",1,IFERROR(ROUND(T31/H31,4),0)),IFERROR(ROUND(T31/H31,4),0))</f>
        <v>0</v>
      </c>
      <c r="AG31" s="132">
        <f>IFERROR(IF(VLOOKUP($B31,Shortage!$A:$M,AG$2,FALSE)="Shortage",1,IFERROR(ROUND(U31/I31,4),0)),IFERROR(ROUND(U31/I31,4),0))</f>
        <v>0</v>
      </c>
      <c r="AH31" s="132">
        <f>IFERROR(IF(VLOOKUP($B31,Shortage!$A:$M,AH$2,FALSE)="Shortage",1,IFERROR(ROUND(V31/J31,4),0)),IFERROR(ROUND(V31/J31,4),0))</f>
        <v>0</v>
      </c>
      <c r="AI31" s="132">
        <f>IFERROR(IF(VLOOKUP($B31,Shortage!$A:$M,AI$2,FALSE)="Shortage",1,IFERROR(ROUND(W31/K31,4),0)),IFERROR(ROUND(W31/K31,4),0))</f>
        <v>0</v>
      </c>
      <c r="AJ31" s="132">
        <f>IFERROR(IF(VLOOKUP($B31,Shortage!$A:$M,AJ$2,FALSE)="Shortage",1,IFERROR(ROUND(X31/L31,4),0)),IFERROR(ROUND(X31/L31,4),0))</f>
        <v>0</v>
      </c>
      <c r="AK31" s="132">
        <f>IFERROR(IF(VLOOKUP($B31,Shortage!$A:$M,AK$2,FALSE)="Shortage",1,IFERROR(ROUND(Y31/M31,4),0)),IFERROR(ROUND(Y31/M31,4),0))</f>
        <v>0</v>
      </c>
      <c r="AL31" s="132">
        <f>IFERROR(IF(VLOOKUP($B31,Shortage!$A:$M,AL$2,FALSE)="Shortage",1,IFERROR(ROUND(Z31/N31,4),0)),IFERROR(ROUND(Z31/N31,4),0))</f>
        <v>0</v>
      </c>
      <c r="AM31" s="132">
        <f>IFERROR(IF(VLOOKUP($B31,Shortage!$A:$M,AM$2,FALSE)="Shortage",1,IFERROR(ROUND(AA31/O31,4),0)),IFERROR(ROUND(AA31/O31,4),0))</f>
        <v>0</v>
      </c>
      <c r="AN31" s="186">
        <f>IFERROR(_xlfn.XLOOKUP(AB31,'2) หลักการคำนวน Table'!$C$3:$K$3,'2) หลักการคำนวน Table'!$C$3:$K$3,,1),INDEX('2) หลักการคำนวน Table'!$C$3:$K$3,1))</f>
        <v>20</v>
      </c>
      <c r="AO31" s="186">
        <f>IFERROR(
  _xlfn.XLOOKUP(AC31,'2) หลักการคำนวน Table'!$C$3:$K$3,'2) หลักการคำนวน Table'!$C$3:$K$3,,1),
  IF(AC31&lt;MIN('2) หลักการคำนวน Table'!$C$3:$K$3),
     MIN('2) หลักการคำนวน Table'!$C$3:$K$3),
     MAX('2) หลักการคำนวน Table'!$C$3:$K$3)
  )
)</f>
        <v>0.9</v>
      </c>
      <c r="AP31" s="186">
        <f>IFERROR(
  _xlfn.XLOOKUP(AD31,'2) หลักการคำนวน Table'!$C$3:$K$3,'2) หลักการคำนวน Table'!$C$3:$K$3,,1),
  IF(AD31&lt;MIN('2) หลักการคำนวน Table'!$C$3:$K$3),
     MIN('2) หลักการคำนวน Table'!$C$3:$K$3),
     MAX('2) หลักการคำนวน Table'!$C$3:$K$3)
  )
)</f>
        <v>0.9</v>
      </c>
      <c r="AQ31" s="186">
        <f>IFERROR(
  _xlfn.XLOOKUP(AE31,'2) หลักการคำนวน Table'!$C$3:$K$3,'2) หลักการคำนวน Table'!$C$3:$K$3,,1),
  IF(AE31&lt;MIN('2) หลักการคำนวน Table'!$C$3:$K$3),
     MIN('2) หลักการคำนวน Table'!$C$3:$K$3),
     MAX('2) หลักการคำนวน Table'!$C$3:$K$3)
  )
)</f>
        <v>0.9</v>
      </c>
      <c r="AR31" s="186">
        <f>IFERROR(
  _xlfn.XLOOKUP(AF31,'2) หลักการคำนวน Table'!$C$3:$K$3,'2) หลักการคำนวน Table'!$C$3:$K$3,,1),
  IF(AF31&lt;MIN('2) หลักการคำนวน Table'!$C$3:$K$3),
     MIN('2) หลักการคำนวน Table'!$C$3:$K$3),
     MAX('2) หลักการคำนวน Table'!$C$3:$K$3)
  )
)</f>
        <v>0.9</v>
      </c>
      <c r="AS31" s="186">
        <f>IFERROR(
  _xlfn.XLOOKUP(AG31,'2) หลักการคำนวน Table'!$C$3:$K$3,'2) หลักการคำนวน Table'!$C$3:$K$3,,1),
  IF(AG31&lt;MIN('2) หลักการคำนวน Table'!$C$3:$K$3),
     MIN('2) หลักการคำนวน Table'!$C$3:$K$3),
     MAX('2) หลักการคำนวน Table'!$C$3:$K$3)
  )
)</f>
        <v>0.9</v>
      </c>
      <c r="AT31" s="186">
        <f>IFERROR(
  _xlfn.XLOOKUP(AH31,'2) หลักการคำนวน Table'!$C$3:$K$3,'2) หลักการคำนวน Table'!$C$3:$K$3,,1),
  IF(AH31&lt;MIN('2) หลักการคำนวน Table'!$C$3:$K$3),
     MIN('2) หลักการคำนวน Table'!$C$3:$K$3),
     MAX('2) หลักการคำนวน Table'!$C$3:$K$3)
  )
)</f>
        <v>0.9</v>
      </c>
      <c r="AU31" s="186">
        <f>IFERROR(
  _xlfn.XLOOKUP(AI31,'2) หลักการคำนวน Table'!$C$3:$K$3,'2) หลักการคำนวน Table'!$C$3:$K$3,,1),
  IF(AI31&lt;MIN('2) หลักการคำนวน Table'!$C$3:$K$3),
     MIN('2) หลักการคำนวน Table'!$C$3:$K$3),
     MAX('2) หลักการคำนวน Table'!$C$3:$K$3)
  )
)</f>
        <v>0.9</v>
      </c>
      <c r="AV31" s="186">
        <f>IFERROR(
  _xlfn.XLOOKUP(AJ31,'2) หลักการคำนวน Table'!$C$3:$K$3,'2) หลักการคำนวน Table'!$C$3:$K$3,,1),
  IF(AJ31&lt;MIN('2) หลักการคำนวน Table'!$C$3:$K$3),
     MIN('2) หลักการคำนวน Table'!$C$3:$K$3),
     MAX('2) หลักการคำนวน Table'!$C$3:$K$3)
  )
)</f>
        <v>0.9</v>
      </c>
      <c r="AW31" s="186">
        <f>IFERROR(
  _xlfn.XLOOKUP(AK31,'2) หลักการคำนวน Table'!$C$3:$K$3,'2) หลักการคำนวน Table'!$C$3:$K$3,,1),
  IF(AK31&lt;MIN('2) หลักการคำนวน Table'!$C$3:$K$3),
     MIN('2) หลักการคำนวน Table'!$C$3:$K$3),
     MAX('2) หลักการคำนวน Table'!$C$3:$K$3)
  )
)</f>
        <v>0.9</v>
      </c>
      <c r="AX31" s="186">
        <f>IFERROR(
  _xlfn.XLOOKUP(AL31,'2) หลักการคำนวน Table'!$C$3:$K$3,'2) หลักการคำนวน Table'!$C$3:$K$3,,1),
  IF(AL31&lt;MIN('2) หลักการคำนวน Table'!$C$3:$K$3),
     MIN('2) หลักการคำนวน Table'!$C$3:$K$3),
     MAX('2) หลักการคำนวน Table'!$C$3:$K$3)
  )
)</f>
        <v>0.9</v>
      </c>
      <c r="AY31" s="186">
        <f>IFERROR(
  _xlfn.XLOOKUP(AM31,'2) หลักการคำนวน Table'!$C$3:$K$3,'2) หลักการคำนวน Table'!$C$3:$K$3,,1),
  IF(AM31&lt;MIN('2) หลักการคำนวน Table'!$C$3:$K$3),
     MIN('2) หลักการคำนวน Table'!$C$3:$K$3),
     MAX('2) หลักการคำนวน Table'!$C$3:$K$3)
  )
)</f>
        <v>0.9</v>
      </c>
      <c r="AZ31" s="135" t="e" cm="1">
        <f t="array" ref="AZ31">ROUND((_xlfn.XLOOKUP($C31,'2) หลักการคำนวน Table'!$A$4:$A$36,
_xlfn.XLOOKUP(AN31,'2)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A31" s="135" t="e" cm="1">
        <f t="array" ref="BA31">ROUND((_xlfn.XLOOKUP($C31,'2) หลักการคำนวน Table'!$A$4:$A$36,
_xlfn.XLOOKUP(AO31,'2)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B31" s="135" t="e" cm="1">
        <f t="array" ref="BB31">ROUND((_xlfn.XLOOKUP($C31,'2) หลักการคำนวน Table'!$A$4:$A$36,
_xlfn.XLOOKUP(AP31,'2)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C31" s="135" t="e" cm="1">
        <f t="array" ref="BC31">ROUND((_xlfn.XLOOKUP($C31,'2) หลักการคำนวน Table'!$A$4:$A$36,
_xlfn.XLOOKUP(AQ31,'2)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D31" s="135" t="e" cm="1">
        <f t="array" ref="BD31">ROUND((_xlfn.XLOOKUP($C31,'2) หลักการคำนวน Table'!$A$4:$A$36,
_xlfn.XLOOKUP(AR31,'2)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E31" s="135" t="e" cm="1">
        <f t="array" ref="BE31">ROUND((_xlfn.XLOOKUP($C31,'2) หลักการคำนวน Table'!$A$4:$A$36,
_xlfn.XLOOKUP(AS31,'2)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F31" s="135" t="e" cm="1">
        <f t="array" ref="BF31">ROUND((_xlfn.XLOOKUP($C31,'2) หลักการคำนวน Table'!$A$4:$A$36,
_xlfn.XLOOKUP(AT31,'2)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G31" s="135" t="e" cm="1">
        <f t="array" ref="BG31">ROUND((_xlfn.XLOOKUP($C31,'2) หลักการคำนวน Table'!$A$4:$A$36,
_xlfn.XLOOKUP(AU31,'2)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H31" s="135" t="e" cm="1">
        <f t="array" ref="BH31">ROUND((_xlfn.XLOOKUP($C31,'2) หลักการคำนวน Table'!$A$4:$A$36,
_xlfn.XLOOKUP(AV31,'2)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I31" s="135" t="e" cm="1">
        <f t="array" ref="BI31">ROUND((_xlfn.XLOOKUP($C31,'2) หลักการคำนวน Table'!$A$4:$A$36,
_xlfn.XLOOKUP(AW31,'2)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J31" s="135" t="e" cm="1">
        <f t="array" ref="BJ31">ROUND((_xlfn.XLOOKUP($C31,'2) หลักการคำนวน Table'!$A$4:$A$36,
_xlfn.XLOOKUP(AX31,'2)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K31" s="135" t="e" cm="1">
        <f t="array" ref="BK31">ROUND((_xlfn.XLOOKUP($C31,'2) หลักการคำนวน Table'!$A$4:$A$36,
_xlfn.XLOOKUP(AY31,'2) หลักการคำนวน Table'!$C$3:$K$3,'2) หลักการคำนวน Table'!$C$4:$K$36,,-1)))*(_xlfn.XLOOKUP($C31,'2) หลักการคำนวน Table'!$A$4:$A$36, _xlfn.XLOOKUP($B31,'2) หลักการคำนวน Table'!$L$3:$Z$3,'2) หลักการคำนวน Table'!$L$4:$Z$36))),0)</f>
        <v>#N/A</v>
      </c>
      <c r="BL31" s="239"/>
      <c r="BM31" s="126">
        <v>222223</v>
      </c>
      <c r="BN31" s="245">
        <v>30</v>
      </c>
    </row>
    <row r="32" spans="1:66" ht="13.2" customHeight="1" x14ac:dyDescent="0.25">
      <c r="A32" s="128">
        <f>VLOOKUP(C32,ASTBase!F:S,12,FALSE)</f>
        <v>222222</v>
      </c>
      <c r="B32" s="126" t="s">
        <v>417</v>
      </c>
      <c r="C32" s="128">
        <v>222223</v>
      </c>
      <c r="D32" s="127">
        <f>SUMIFS('3)Target &amp; Cal_Sect'!D$4:D$60,'3)Target &amp; Cal_Sect'!$B$4:$B$60,'3)Target &amp; Cal_Dept'!$B32,'3)Target &amp; Cal_Sect'!$A$4:$A$60,'3)Target &amp; Cal_Dept'!$C32)</f>
        <v>0</v>
      </c>
      <c r="E32" s="127">
        <f>SUMIFS('3)Target &amp; Cal_Sect'!E$4:E$60,'3)Target &amp; Cal_Sect'!$B$4:$B$60,'3)Target &amp; Cal_Dept'!$B32,'3)Target &amp; Cal_Sect'!$A$4:$A$60,'3)Target &amp; Cal_Dept'!$C32)</f>
        <v>60</v>
      </c>
      <c r="F32" s="127">
        <f>SUMIFS('3)Target &amp; Cal_Sect'!F$4:F$60,'3)Target &amp; Cal_Sect'!$B$4:$B$60,'3)Target &amp; Cal_Dept'!$B32,'3)Target &amp; Cal_Sect'!$A$4:$A$60,'3)Target &amp; Cal_Dept'!$C32)</f>
        <v>10</v>
      </c>
      <c r="G32" s="127">
        <f>SUMIFS('3)Target &amp; Cal_Sect'!G$4:G$60,'3)Target &amp; Cal_Sect'!$B$4:$B$60,'3)Target &amp; Cal_Dept'!$B32,'3)Target &amp; Cal_Sect'!$A$4:$A$60,'3)Target &amp; Cal_Dept'!$C32)</f>
        <v>10</v>
      </c>
      <c r="H32" s="127">
        <f>SUMIFS('3)Target &amp; Cal_Sect'!H$4:H$60,'3)Target &amp; Cal_Sect'!$B$4:$B$60,'3)Target &amp; Cal_Dept'!$B32,'3)Target &amp; Cal_Sect'!$A$4:$A$60,'3)Target &amp; Cal_Dept'!$C32)</f>
        <v>10</v>
      </c>
      <c r="I32" s="127">
        <f>SUMIFS('3)Target &amp; Cal_Sect'!I$4:I$60,'3)Target &amp; Cal_Sect'!$B$4:$B$60,'3)Target &amp; Cal_Dept'!$B32,'3)Target &amp; Cal_Sect'!$A$4:$A$60,'3)Target &amp; Cal_Dept'!$C32)</f>
        <v>10</v>
      </c>
      <c r="J32" s="127">
        <f>SUMIFS('3)Target &amp; Cal_Sect'!J$4:J$60,'3)Target &amp; Cal_Sect'!$B$4:$B$60,'3)Target &amp; Cal_Dept'!$B32,'3)Target &amp; Cal_Sect'!$A$4:$A$60,'3)Target &amp; Cal_Dept'!$C32)</f>
        <v>10</v>
      </c>
      <c r="K32" s="127">
        <f>SUMIFS('3)Target &amp; Cal_Sect'!K$4:K$60,'3)Target &amp; Cal_Sect'!$B$4:$B$60,'3)Target &amp; Cal_Dept'!$B32,'3)Target &amp; Cal_Sect'!$A$4:$A$60,'3)Target &amp; Cal_Dept'!$C32)</f>
        <v>10</v>
      </c>
      <c r="L32" s="127">
        <v>2083.5839999999989</v>
      </c>
      <c r="M32" s="127">
        <v>2383</v>
      </c>
      <c r="N32" s="127">
        <v>1000</v>
      </c>
      <c r="O32" s="127">
        <v>2500</v>
      </c>
      <c r="P32" s="127">
        <f>SUMIFS('3)Target &amp; Cal_Sect'!P$4:P$60,'3)Target &amp; Cal_Sect'!$B$4:$B$60,'3)Target &amp; Cal_Dept'!$B32,'3)Target &amp; Cal_Sect'!$A$4:$A$60,'3)Target &amp; Cal_Dept'!$C32)</f>
        <v>0</v>
      </c>
      <c r="Q32" s="127">
        <f>SUMIFS('3)Target &amp; Cal_Sect'!Q$4:Q$60,'3)Target &amp; Cal_Sect'!$B$4:$B$60,'3)Target &amp; Cal_Dept'!$B32,'3)Target &amp; Cal_Sect'!$A$4:$A$60,'3)Target &amp; Cal_Dept'!$C32)</f>
        <v>0</v>
      </c>
      <c r="R32" s="127">
        <f>SUMIFS('3)Target &amp; Cal_Sect'!R$4:R$60,'3)Target &amp; Cal_Sect'!$B$4:$B$60,'3)Target &amp; Cal_Dept'!$B32,'3)Target &amp; Cal_Sect'!$A$4:$A$60,'3)Target &amp; Cal_Dept'!$C32)</f>
        <v>0</v>
      </c>
      <c r="S32" s="127">
        <f>SUMIFS('3)Target &amp; Cal_Sect'!S$4:S$60,'3)Target &amp; Cal_Sect'!$B$4:$B$60,'3)Target &amp; Cal_Dept'!$B32,'3)Target &amp; Cal_Sect'!$A$4:$A$60,'3)Target &amp; Cal_Dept'!$C32)</f>
        <v>0</v>
      </c>
      <c r="T32" s="127">
        <f>SUMIFS('3)Target &amp; Cal_Sect'!T$4:T$60,'3)Target &amp; Cal_Sect'!$B$4:$B$60,'3)Target &amp; Cal_Dept'!$B32,'3)Target &amp; Cal_Sect'!$A$4:$A$60,'3)Target &amp; Cal_Dept'!$C32)</f>
        <v>0</v>
      </c>
      <c r="U32" s="127">
        <f>SUMIFS('3)Target &amp; Cal_Sect'!U$4:U$60,'3)Target &amp; Cal_Sect'!$B$4:$B$60,'3)Target &amp; Cal_Dept'!$B32,'3)Target &amp; Cal_Sect'!$A$4:$A$60,'3)Target &amp; Cal_Dept'!$C32)</f>
        <v>0</v>
      </c>
      <c r="V32" s="127">
        <f>SUMIFS('3)Target &amp; Cal_Sect'!V$4:V$60,'3)Target &amp; Cal_Sect'!$B$4:$B$60,'3)Target &amp; Cal_Dept'!$B32,'3)Target &amp; Cal_Sect'!$A$4:$A$60,'3)Target &amp; Cal_Dept'!$C32)</f>
        <v>0</v>
      </c>
      <c r="W32" s="127">
        <f>SUMIFS('3)Target &amp; Cal_Sect'!W$4:W$60,'3)Target &amp; Cal_Sect'!$B$4:$B$60,'3)Target &amp; Cal_Dept'!$B32,'3)Target &amp; Cal_Sect'!$A$4:$A$60,'3)Target &amp; Cal_Dept'!$C32)</f>
        <v>0</v>
      </c>
      <c r="X32" s="127">
        <f>SUMIFS('3)Target &amp; Cal_Sect'!X$4:X$60,'3)Target &amp; Cal_Sect'!$B$4:$B$60,'3)Target &amp; Cal_Dept'!$B32,'3)Target &amp; Cal_Sect'!$A$4:$A$60,'3)Target &amp; Cal_Dept'!$C32)</f>
        <v>0</v>
      </c>
      <c r="Y32" s="127">
        <f>SUMIFS('3)Target &amp; Cal_Sect'!Y$4:Y$60,'3)Target &amp; Cal_Sect'!$B$4:$B$60,'3)Target &amp; Cal_Dept'!$B32,'3)Target &amp; Cal_Sect'!$A$4:$A$60,'3)Target &amp; Cal_Dept'!$C32)</f>
        <v>0</v>
      </c>
      <c r="Z32" s="127">
        <f>SUMIFS('3)Target &amp; Cal_Sect'!Z$4:Z$60,'3)Target &amp; Cal_Sect'!$B$4:$B$60,'3)Target &amp; Cal_Dept'!$B32,'3)Target &amp; Cal_Sect'!$A$4:$A$60,'3)Target &amp; Cal_Dept'!$C32)</f>
        <v>0</v>
      </c>
      <c r="AA32" s="127">
        <f>SUMIFS('3)Target &amp; Cal_Sect'!AA$4:AA$60,'3)Target &amp; Cal_Sect'!$B$4:$B$60,'3)Target &amp; Cal_Dept'!$B32,'3)Target &amp; Cal_Sect'!$A$4:$A$60,'3)Target &amp; Cal_Dept'!$C32)</f>
        <v>0</v>
      </c>
      <c r="AB32" s="132">
        <f>IFERROR(IF(VLOOKUP($B32,Shortage!$A:$M,AB$2,FALSE)="Shortage",1,IFERROR(ROUND(P32/D32,4),0)),IFERROR(ROUND(P32/D32,4),0))</f>
        <v>0</v>
      </c>
      <c r="AC32" s="132">
        <f>IFERROR(IF(VLOOKUP($B32,Shortage!$A:$M,AC$2,FALSE)="Shortage",1,IFERROR(ROUND(Q32/E32,4),0)),IFERROR(ROUND(Q32/E32,4),0))</f>
        <v>0</v>
      </c>
      <c r="AD32" s="132">
        <f>IFERROR(IF(VLOOKUP($B32,Shortage!$A:$M,AD$2,FALSE)="Shortage",1,IFERROR(ROUND(R32/F32,4),0)),IFERROR(ROUND(R32/F32,4),0))</f>
        <v>0</v>
      </c>
      <c r="AE32" s="132">
        <f>IFERROR(IF(VLOOKUP($B32,Shortage!$A:$M,AE$2,FALSE)="Shortage",1,IFERROR(ROUND(S32/G32,4),0)),IFERROR(ROUND(S32/G32,4),0))</f>
        <v>0</v>
      </c>
      <c r="AF32" s="132">
        <f>IFERROR(IF(VLOOKUP($B32,Shortage!$A:$M,AF$2,FALSE)="Shortage",1,IFERROR(ROUND(T32/H32,4),0)),IFERROR(ROUND(T32/H32,4),0))</f>
        <v>0</v>
      </c>
      <c r="AG32" s="132">
        <f>IFERROR(IF(VLOOKUP($B32,Shortage!$A:$M,AG$2,FALSE)="Shortage",1,IFERROR(ROUND(U32/I32,4),0)),IFERROR(ROUND(U32/I32,4),0))</f>
        <v>0</v>
      </c>
      <c r="AH32" s="132">
        <f>IFERROR(IF(VLOOKUP($B32,Shortage!$A:$M,AH$2,FALSE)="Shortage",1,IFERROR(ROUND(V32/J32,4),0)),IFERROR(ROUND(V32/J32,4),0))</f>
        <v>0</v>
      </c>
      <c r="AI32" s="132">
        <f>IFERROR(IF(VLOOKUP($B32,Shortage!$A:$M,AI$2,FALSE)="Shortage",1,IFERROR(ROUND(W32/K32,4),0)),IFERROR(ROUND(W32/K32,4),0))</f>
        <v>0</v>
      </c>
      <c r="AJ32" s="132">
        <f>IFERROR(IF(VLOOKUP($B32,Shortage!$A:$M,AJ$2,FALSE)="Shortage",1,IFERROR(ROUND(X32/L32,4),0)),IFERROR(ROUND(X32/L32,4),0))</f>
        <v>0</v>
      </c>
      <c r="AK32" s="132">
        <f>IFERROR(IF(VLOOKUP($B32,Shortage!$A:$M,AK$2,FALSE)="Shortage",1,IFERROR(ROUND(Y32/M32,4),0)),IFERROR(ROUND(Y32/M32,4),0))</f>
        <v>0</v>
      </c>
      <c r="AL32" s="132">
        <f>IFERROR(IF(VLOOKUP($B32,Shortage!$A:$M,AL$2,FALSE)="Shortage",1,IFERROR(ROUND(Z32/N32,4),0)),IFERROR(ROUND(Z32/N32,4),0))</f>
        <v>0</v>
      </c>
      <c r="AM32" s="132">
        <f>IFERROR(IF(VLOOKUP($B32,Shortage!$A:$M,AM$2,FALSE)="Shortage",1,IFERROR(ROUND(AA32/O32,4),0)),IFERROR(ROUND(AA32/O32,4),0))</f>
        <v>0</v>
      </c>
      <c r="AN32" s="186">
        <f>IFERROR(_xlfn.XLOOKUP(AB32,'2) หลักการคำนวน Table'!$C$3:$K$3,'2) หลักการคำนวน Table'!$C$3:$K$3,,1),INDEX('2) หลักการคำนวน Table'!$C$3:$K$3,1))</f>
        <v>0.9</v>
      </c>
      <c r="AO32" s="186">
        <f>IFERROR(
  _xlfn.XLOOKUP(AC32,'2) หลักการคำนวน Table'!$C$3:$K$3,'2) หลักการคำนวน Table'!$C$3:$K$3,,1),
  IF(AC32&lt;MIN('2) หลักการคำนวน Table'!$C$3:$K$3),
     MIN('2) หลักการคำนวน Table'!$C$3:$K$3),
     MAX('2) หลักการคำนวน Table'!$C$3:$K$3)
  )
)</f>
        <v>0.9</v>
      </c>
      <c r="AP32" s="186">
        <f>IFERROR(
  _xlfn.XLOOKUP(AD32,'2) หลักการคำนวน Table'!$C$3:$K$3,'2) หลักการคำนวน Table'!$C$3:$K$3,,1),
  IF(AD32&lt;MIN('2) หลักการคำนวน Table'!$C$3:$K$3),
     MIN('2) หลักการคำนวน Table'!$C$3:$K$3),
     MAX('2) หลักการคำนวน Table'!$C$3:$K$3)
  )
)</f>
        <v>0.9</v>
      </c>
      <c r="AQ32" s="186">
        <f>IFERROR(
  _xlfn.XLOOKUP(AE32,'2) หลักการคำนวน Table'!$C$3:$K$3,'2) หลักการคำนวน Table'!$C$3:$K$3,,1),
  IF(AE32&lt;MIN('2) หลักการคำนวน Table'!$C$3:$K$3),
     MIN('2) หลักการคำนวน Table'!$C$3:$K$3),
     MAX('2) หลักการคำนวน Table'!$C$3:$K$3)
  )
)</f>
        <v>0.9</v>
      </c>
      <c r="AR32" s="186">
        <f>IFERROR(
  _xlfn.XLOOKUP(AF32,'2) หลักการคำนวน Table'!$C$3:$K$3,'2) หลักการคำนวน Table'!$C$3:$K$3,,1),
  IF(AF32&lt;MIN('2) หลักการคำนวน Table'!$C$3:$K$3),
     MIN('2) หลักการคำนวน Table'!$C$3:$K$3),
     MAX('2) หลักการคำนวน Table'!$C$3:$K$3)
  )
)</f>
        <v>0.9</v>
      </c>
      <c r="AS32" s="186">
        <f>IFERROR(
  _xlfn.XLOOKUP(AG32,'2) หลักการคำนวน Table'!$C$3:$K$3,'2) หลักการคำนวน Table'!$C$3:$K$3,,1),
  IF(AG32&lt;MIN('2) หลักการคำนวน Table'!$C$3:$K$3),
     MIN('2) หลักการคำนวน Table'!$C$3:$K$3),
     MAX('2) หลักการคำนวน Table'!$C$3:$K$3)
  )
)</f>
        <v>0.9</v>
      </c>
      <c r="AT32" s="186">
        <f>IFERROR(
  _xlfn.XLOOKUP(AH32,'2) หลักการคำนวน Table'!$C$3:$K$3,'2) หลักการคำนวน Table'!$C$3:$K$3,,1),
  IF(AH32&lt;MIN('2) หลักการคำนวน Table'!$C$3:$K$3),
     MIN('2) หลักการคำนวน Table'!$C$3:$K$3),
     MAX('2) หลักการคำนวน Table'!$C$3:$K$3)
  )
)</f>
        <v>0.9</v>
      </c>
      <c r="AU32" s="186">
        <f>IFERROR(
  _xlfn.XLOOKUP(AI32,'2) หลักการคำนวน Table'!$C$3:$K$3,'2) หลักการคำนวน Table'!$C$3:$K$3,,1),
  IF(AI32&lt;MIN('2) หลักการคำนวน Table'!$C$3:$K$3),
     MIN('2) หลักการคำนวน Table'!$C$3:$K$3),
     MAX('2) หลักการคำนวน Table'!$C$3:$K$3)
  )
)</f>
        <v>0.9</v>
      </c>
      <c r="AV32" s="186">
        <f>IFERROR(
  _xlfn.XLOOKUP(AJ32,'2) หลักการคำนวน Table'!$C$3:$K$3,'2) หลักการคำนวน Table'!$C$3:$K$3,,1),
  IF(AJ32&lt;MIN('2) หลักการคำนวน Table'!$C$3:$K$3),
     MIN('2) หลักการคำนวน Table'!$C$3:$K$3),
     MAX('2) หลักการคำนวน Table'!$C$3:$K$3)
  )
)</f>
        <v>0.9</v>
      </c>
      <c r="AW32" s="186">
        <f>IFERROR(
  _xlfn.XLOOKUP(AK32,'2) หลักการคำนวน Table'!$C$3:$K$3,'2) หลักการคำนวน Table'!$C$3:$K$3,,1),
  IF(AK32&lt;MIN('2) หลักการคำนวน Table'!$C$3:$K$3),
     MIN('2) หลักการคำนวน Table'!$C$3:$K$3),
     MAX('2) หลักการคำนวน Table'!$C$3:$K$3)
  )
)</f>
        <v>0.9</v>
      </c>
      <c r="AX32" s="186">
        <f>IFERROR(
  _xlfn.XLOOKUP(AL32,'2) หลักการคำนวน Table'!$C$3:$K$3,'2) หลักการคำนวน Table'!$C$3:$K$3,,1),
  IF(AL32&lt;MIN('2) หลักการคำนวน Table'!$C$3:$K$3),
     MIN('2) หลักการคำนวน Table'!$C$3:$K$3),
     MAX('2) หลักการคำนวน Table'!$C$3:$K$3)
  )
)</f>
        <v>0.9</v>
      </c>
      <c r="AY32" s="186">
        <f>IFERROR(
  _xlfn.XLOOKUP(AM32,'2) หลักการคำนวน Table'!$C$3:$K$3,'2) หลักการคำนวน Table'!$C$3:$K$3,,1),
  IF(AM32&lt;MIN('2) หลักการคำนวน Table'!$C$3:$K$3),
     MIN('2) หลักการคำนวน Table'!$C$3:$K$3),
     MAX('2) หลักการคำนวน Table'!$C$3:$K$3)
  )
)</f>
        <v>0.9</v>
      </c>
      <c r="AZ32" s="135" t="e" cm="1">
        <f t="array" ref="AZ32">ROUND((_xlfn.XLOOKUP($C32,'2) หลักการคำนวน Table'!$A$4:$A$36,
_xlfn.XLOOKUP(AN32,'2)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A32" s="135" t="e" cm="1">
        <f t="array" ref="BA32">ROUND((_xlfn.XLOOKUP($C32,'2) หลักการคำนวน Table'!$A$4:$A$36,
_xlfn.XLOOKUP(AO32,'2)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B32" s="135" t="e" cm="1">
        <f t="array" ref="BB32">ROUND((_xlfn.XLOOKUP($C32,'2) หลักการคำนวน Table'!$A$4:$A$36,
_xlfn.XLOOKUP(AP32,'2)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C32" s="135" t="e" cm="1">
        <f t="array" ref="BC32">ROUND((_xlfn.XLOOKUP($C32,'2) หลักการคำนวน Table'!$A$4:$A$36,
_xlfn.XLOOKUP(AQ32,'2)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D32" s="135" t="e" cm="1">
        <f t="array" ref="BD32">ROUND((_xlfn.XLOOKUP($C32,'2) หลักการคำนวน Table'!$A$4:$A$36,
_xlfn.XLOOKUP(AR32,'2)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E32" s="135" t="e" cm="1">
        <f t="array" ref="BE32">ROUND((_xlfn.XLOOKUP($C32,'2) หลักการคำนวน Table'!$A$4:$A$36,
_xlfn.XLOOKUP(AS32,'2)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F32" s="135" t="e" cm="1">
        <f t="array" ref="BF32">ROUND((_xlfn.XLOOKUP($C32,'2) หลักการคำนวน Table'!$A$4:$A$36,
_xlfn.XLOOKUP(AT32,'2)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G32" s="135" t="e" cm="1">
        <f t="array" ref="BG32">ROUND((_xlfn.XLOOKUP($C32,'2) หลักการคำนวน Table'!$A$4:$A$36,
_xlfn.XLOOKUP(AU32,'2)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H32" s="135" t="e" cm="1">
        <f t="array" ref="BH32">ROUND((_xlfn.XLOOKUP($C32,'2) หลักการคำนวน Table'!$A$4:$A$36,
_xlfn.XLOOKUP(AV32,'2)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I32" s="135" t="e" cm="1">
        <f t="array" ref="BI32">ROUND((_xlfn.XLOOKUP($C32,'2) หลักการคำนวน Table'!$A$4:$A$36,
_xlfn.XLOOKUP(AW32,'2)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J32" s="135" t="e" cm="1">
        <f t="array" ref="BJ32">ROUND((_xlfn.XLOOKUP($C32,'2) หลักการคำนวน Table'!$A$4:$A$36,
_xlfn.XLOOKUP(AX32,'2)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K32" s="135" t="e" cm="1">
        <f t="array" ref="BK32">ROUND((_xlfn.XLOOKUP($C32,'2) หลักการคำนวน Table'!$A$4:$A$36,
_xlfn.XLOOKUP(AY32,'2) หลักการคำนวน Table'!$C$3:$K$3,'2) หลักการคำนวน Table'!$C$4:$K$36,,-1)))*(_xlfn.XLOOKUP($C32,'2) หลักการคำนวน Table'!$A$4:$A$36, _xlfn.XLOOKUP($B32,'2) หลักการคำนวน Table'!$L$3:$Z$3,'2) หลักการคำนวน Table'!$L$4:$Z$36))),0)</f>
        <v>#N/A</v>
      </c>
      <c r="BL32" s="239"/>
      <c r="BM32" s="126">
        <v>222223</v>
      </c>
      <c r="BN32" s="245">
        <v>0</v>
      </c>
    </row>
    <row r="33" spans="1:66" ht="13.2" customHeight="1" x14ac:dyDescent="0.25">
      <c r="A33" s="128">
        <f>VLOOKUP(C33,ASTBase!F:S,12,FALSE)</f>
        <v>222222</v>
      </c>
      <c r="B33" s="126" t="s">
        <v>419</v>
      </c>
      <c r="C33" s="128">
        <v>222223</v>
      </c>
      <c r="D33" s="127">
        <f>SUMIFS('3)Target &amp; Cal_Sect'!D$4:D$60,'3)Target &amp; Cal_Sect'!$B$4:$B$60,'3)Target &amp; Cal_Dept'!$B33,'3)Target &amp; Cal_Sect'!$A$4:$A$60,'3)Target &amp; Cal_Dept'!$C33)</f>
        <v>250</v>
      </c>
      <c r="E33" s="127">
        <f>SUMIFS('3)Target &amp; Cal_Sect'!E$4:E$60,'3)Target &amp; Cal_Sect'!$B$4:$B$60,'3)Target &amp; Cal_Dept'!$B33,'3)Target &amp; Cal_Sect'!$A$4:$A$60,'3)Target &amp; Cal_Dept'!$C33)</f>
        <v>250</v>
      </c>
      <c r="F33" s="127">
        <f>SUMIFS('3)Target &amp; Cal_Sect'!F$4:F$60,'3)Target &amp; Cal_Sect'!$B$4:$B$60,'3)Target &amp; Cal_Dept'!$B33,'3)Target &amp; Cal_Sect'!$A$4:$A$60,'3)Target &amp; Cal_Dept'!$C33)</f>
        <v>250</v>
      </c>
      <c r="G33" s="127">
        <f>SUMIFS('3)Target &amp; Cal_Sect'!G$4:G$60,'3)Target &amp; Cal_Sect'!$B$4:$B$60,'3)Target &amp; Cal_Dept'!$B33,'3)Target &amp; Cal_Sect'!$A$4:$A$60,'3)Target &amp; Cal_Dept'!$C33)</f>
        <v>300</v>
      </c>
      <c r="H33" s="127">
        <f>SUMIFS('3)Target &amp; Cal_Sect'!H$4:H$60,'3)Target &amp; Cal_Sect'!$B$4:$B$60,'3)Target &amp; Cal_Dept'!$B33,'3)Target &amp; Cal_Sect'!$A$4:$A$60,'3)Target &amp; Cal_Dept'!$C33)</f>
        <v>300</v>
      </c>
      <c r="I33" s="127">
        <f>SUMIFS('3)Target &amp; Cal_Sect'!I$4:I$60,'3)Target &amp; Cal_Sect'!$B$4:$B$60,'3)Target &amp; Cal_Dept'!$B33,'3)Target &amp; Cal_Sect'!$A$4:$A$60,'3)Target &amp; Cal_Dept'!$C33)</f>
        <v>300</v>
      </c>
      <c r="J33" s="127">
        <f>SUMIFS('3)Target &amp; Cal_Sect'!J$4:J$60,'3)Target &amp; Cal_Sect'!$B$4:$B$60,'3)Target &amp; Cal_Dept'!$B33,'3)Target &amp; Cal_Sect'!$A$4:$A$60,'3)Target &amp; Cal_Dept'!$C33)</f>
        <v>300</v>
      </c>
      <c r="K33" s="127">
        <f>SUMIFS('3)Target &amp; Cal_Sect'!K$4:K$60,'3)Target &amp; Cal_Sect'!$B$4:$B$60,'3)Target &amp; Cal_Dept'!$B33,'3)Target &amp; Cal_Sect'!$A$4:$A$60,'3)Target &amp; Cal_Dept'!$C33)</f>
        <v>300</v>
      </c>
      <c r="L33" s="127">
        <v>2083.5839999999989</v>
      </c>
      <c r="M33" s="127">
        <v>2383</v>
      </c>
      <c r="N33" s="127">
        <v>1000</v>
      </c>
      <c r="O33" s="127">
        <v>2500</v>
      </c>
      <c r="P33" s="127">
        <f>SUMIFS('3)Target &amp; Cal_Sect'!P$4:P$60,'3)Target &amp; Cal_Sect'!$B$4:$B$60,'3)Target &amp; Cal_Dept'!$B33,'3)Target &amp; Cal_Sect'!$A$4:$A$60,'3)Target &amp; Cal_Dept'!$C33)</f>
        <v>133</v>
      </c>
      <c r="Q33" s="127">
        <f>SUMIFS('3)Target &amp; Cal_Sect'!Q$4:Q$60,'3)Target &amp; Cal_Sect'!$B$4:$B$60,'3)Target &amp; Cal_Dept'!$B33,'3)Target &amp; Cal_Sect'!$A$4:$A$60,'3)Target &amp; Cal_Dept'!$C33)</f>
        <v>0</v>
      </c>
      <c r="R33" s="127">
        <f>SUMIFS('3)Target &amp; Cal_Sect'!R$4:R$60,'3)Target &amp; Cal_Sect'!$B$4:$B$60,'3)Target &amp; Cal_Dept'!$B33,'3)Target &amp; Cal_Sect'!$A$4:$A$60,'3)Target &amp; Cal_Dept'!$C33)</f>
        <v>0</v>
      </c>
      <c r="S33" s="127">
        <f>SUMIFS('3)Target &amp; Cal_Sect'!S$4:S$60,'3)Target &amp; Cal_Sect'!$B$4:$B$60,'3)Target &amp; Cal_Dept'!$B33,'3)Target &amp; Cal_Sect'!$A$4:$A$60,'3)Target &amp; Cal_Dept'!$C33)</f>
        <v>0</v>
      </c>
      <c r="T33" s="127">
        <f>SUMIFS('3)Target &amp; Cal_Sect'!T$4:T$60,'3)Target &amp; Cal_Sect'!$B$4:$B$60,'3)Target &amp; Cal_Dept'!$B33,'3)Target &amp; Cal_Sect'!$A$4:$A$60,'3)Target &amp; Cal_Dept'!$C33)</f>
        <v>0</v>
      </c>
      <c r="U33" s="127">
        <f>SUMIFS('3)Target &amp; Cal_Sect'!U$4:U$60,'3)Target &amp; Cal_Sect'!$B$4:$B$60,'3)Target &amp; Cal_Dept'!$B33,'3)Target &amp; Cal_Sect'!$A$4:$A$60,'3)Target &amp; Cal_Dept'!$C33)</f>
        <v>0</v>
      </c>
      <c r="V33" s="127">
        <f>SUMIFS('3)Target &amp; Cal_Sect'!V$4:V$60,'3)Target &amp; Cal_Sect'!$B$4:$B$60,'3)Target &amp; Cal_Dept'!$B33,'3)Target &amp; Cal_Sect'!$A$4:$A$60,'3)Target &amp; Cal_Dept'!$C33)</f>
        <v>0</v>
      </c>
      <c r="W33" s="127">
        <f>SUMIFS('3)Target &amp; Cal_Sect'!W$4:W$60,'3)Target &amp; Cal_Sect'!$B$4:$B$60,'3)Target &amp; Cal_Dept'!$B33,'3)Target &amp; Cal_Sect'!$A$4:$A$60,'3)Target &amp; Cal_Dept'!$C33)</f>
        <v>0</v>
      </c>
      <c r="X33" s="127">
        <f>SUMIFS('3)Target &amp; Cal_Sect'!X$4:X$60,'3)Target &amp; Cal_Sect'!$B$4:$B$60,'3)Target &amp; Cal_Dept'!$B33,'3)Target &amp; Cal_Sect'!$A$4:$A$60,'3)Target &amp; Cal_Dept'!$C33)</f>
        <v>0</v>
      </c>
      <c r="Y33" s="127">
        <f>SUMIFS('3)Target &amp; Cal_Sect'!Y$4:Y$60,'3)Target &amp; Cal_Sect'!$B$4:$B$60,'3)Target &amp; Cal_Dept'!$B33,'3)Target &amp; Cal_Sect'!$A$4:$A$60,'3)Target &amp; Cal_Dept'!$C33)</f>
        <v>0</v>
      </c>
      <c r="Z33" s="127">
        <f>SUMIFS('3)Target &amp; Cal_Sect'!Z$4:Z$60,'3)Target &amp; Cal_Sect'!$B$4:$B$60,'3)Target &amp; Cal_Dept'!$B33,'3)Target &amp; Cal_Sect'!$A$4:$A$60,'3)Target &amp; Cal_Dept'!$C33)</f>
        <v>0</v>
      </c>
      <c r="AA33" s="127">
        <f>SUMIFS('3)Target &amp; Cal_Sect'!AA$4:AA$60,'3)Target &amp; Cal_Sect'!$B$4:$B$60,'3)Target &amp; Cal_Dept'!$B33,'3)Target &amp; Cal_Sect'!$A$4:$A$60,'3)Target &amp; Cal_Dept'!$C33)</f>
        <v>0</v>
      </c>
      <c r="AB33" s="132">
        <f>IFERROR(IF(VLOOKUP($B33,Shortage!$A:$M,AB$2,FALSE)="Shortage",1,IFERROR(ROUND(P33/D33,4),0)),IFERROR(ROUND(P33/D33,4),0))</f>
        <v>0.53200000000000003</v>
      </c>
      <c r="AC33" s="132">
        <f>IFERROR(IF(VLOOKUP($B33,Shortage!$A:$M,AC$2,FALSE)="Shortage",1,IFERROR(ROUND(Q33/E33,4),0)),IFERROR(ROUND(Q33/E33,4),0))</f>
        <v>0</v>
      </c>
      <c r="AD33" s="132">
        <f>IFERROR(IF(VLOOKUP($B33,Shortage!$A:$M,AD$2,FALSE)="Shortage",1,IFERROR(ROUND(R33/F33,4),0)),IFERROR(ROUND(R33/F33,4),0))</f>
        <v>0</v>
      </c>
      <c r="AE33" s="132">
        <f>IFERROR(IF(VLOOKUP($B33,Shortage!$A:$M,AE$2,FALSE)="Shortage",1,IFERROR(ROUND(S33/G33,4),0)),IFERROR(ROUND(S33/G33,4),0))</f>
        <v>0</v>
      </c>
      <c r="AF33" s="132">
        <f>IFERROR(IF(VLOOKUP($B33,Shortage!$A:$M,AF$2,FALSE)="Shortage",1,IFERROR(ROUND(T33/H33,4),0)),IFERROR(ROUND(T33/H33,4),0))</f>
        <v>0</v>
      </c>
      <c r="AG33" s="132">
        <f>IFERROR(IF(VLOOKUP($B33,Shortage!$A:$M,AG$2,FALSE)="Shortage",1,IFERROR(ROUND(U33/I33,4),0)),IFERROR(ROUND(U33/I33,4),0))</f>
        <v>0</v>
      </c>
      <c r="AH33" s="132">
        <f>IFERROR(IF(VLOOKUP($B33,Shortage!$A:$M,AH$2,FALSE)="Shortage",1,IFERROR(ROUND(V33/J33,4),0)),IFERROR(ROUND(V33/J33,4),0))</f>
        <v>0</v>
      </c>
      <c r="AI33" s="132">
        <f>IFERROR(IF(VLOOKUP($B33,Shortage!$A:$M,AI$2,FALSE)="Shortage",1,IFERROR(ROUND(W33/K33,4),0)),IFERROR(ROUND(W33/K33,4),0))</f>
        <v>0</v>
      </c>
      <c r="AJ33" s="132">
        <f>IFERROR(IF(VLOOKUP($B33,Shortage!$A:$M,AJ$2,FALSE)="Shortage",1,IFERROR(ROUND(X33/L33,4),0)),IFERROR(ROUND(X33/L33,4),0))</f>
        <v>0</v>
      </c>
      <c r="AK33" s="132">
        <f>IFERROR(IF(VLOOKUP($B33,Shortage!$A:$M,AK$2,FALSE)="Shortage",1,IFERROR(ROUND(Y33/M33,4),0)),IFERROR(ROUND(Y33/M33,4),0))</f>
        <v>0</v>
      </c>
      <c r="AL33" s="132">
        <f>IFERROR(IF(VLOOKUP($B33,Shortage!$A:$M,AL$2,FALSE)="Shortage",1,IFERROR(ROUND(Z33/N33,4),0)),IFERROR(ROUND(Z33/N33,4),0))</f>
        <v>0</v>
      </c>
      <c r="AM33" s="132">
        <f>IFERROR(IF(VLOOKUP($B33,Shortage!$A:$M,AM$2,FALSE)="Shortage",1,IFERROR(ROUND(AA33/O33,4),0)),IFERROR(ROUND(AA33/O33,4),0))</f>
        <v>0</v>
      </c>
      <c r="AN33" s="186">
        <f>IFERROR(_xlfn.XLOOKUP(AB33,'2) หลักการคำนวน Table'!$C$3:$K$3,'2) หลักการคำนวน Table'!$C$3:$K$3,,1),INDEX('2) หลักการคำนวน Table'!$C$3:$K$3,1))</f>
        <v>0.9</v>
      </c>
      <c r="AO33" s="186">
        <f>IFERROR(
  _xlfn.XLOOKUP(AC33,'2) หลักการคำนวน Table'!$C$3:$K$3,'2) หลักการคำนวน Table'!$C$3:$K$3,,1),
  IF(AC33&lt;MIN('2) หลักการคำนวน Table'!$C$3:$K$3),
     MIN('2) หลักการคำนวน Table'!$C$3:$K$3),
     MAX('2) หลักการคำนวน Table'!$C$3:$K$3)
  )
)</f>
        <v>0.9</v>
      </c>
      <c r="AP33" s="186">
        <f>IFERROR(
  _xlfn.XLOOKUP(AD33,'2) หลักการคำนวน Table'!$C$3:$K$3,'2) หลักการคำนวน Table'!$C$3:$K$3,,1),
  IF(AD33&lt;MIN('2) หลักการคำนวน Table'!$C$3:$K$3),
     MIN('2) หลักการคำนวน Table'!$C$3:$K$3),
     MAX('2) หลักการคำนวน Table'!$C$3:$K$3)
  )
)</f>
        <v>0.9</v>
      </c>
      <c r="AQ33" s="186">
        <f>IFERROR(
  _xlfn.XLOOKUP(AE33,'2) หลักการคำนวน Table'!$C$3:$K$3,'2) หลักการคำนวน Table'!$C$3:$K$3,,1),
  IF(AE33&lt;MIN('2) หลักการคำนวน Table'!$C$3:$K$3),
     MIN('2) หลักการคำนวน Table'!$C$3:$K$3),
     MAX('2) หลักการคำนวน Table'!$C$3:$K$3)
  )
)</f>
        <v>0.9</v>
      </c>
      <c r="AR33" s="186">
        <f>IFERROR(
  _xlfn.XLOOKUP(AF33,'2) หลักการคำนวน Table'!$C$3:$K$3,'2) หลักการคำนวน Table'!$C$3:$K$3,,1),
  IF(AF33&lt;MIN('2) หลักการคำนวน Table'!$C$3:$K$3),
     MIN('2) หลักการคำนวน Table'!$C$3:$K$3),
     MAX('2) หลักการคำนวน Table'!$C$3:$K$3)
  )
)</f>
        <v>0.9</v>
      </c>
      <c r="AS33" s="186">
        <f>IFERROR(
  _xlfn.XLOOKUP(AG33,'2) หลักการคำนวน Table'!$C$3:$K$3,'2) หลักการคำนวน Table'!$C$3:$K$3,,1),
  IF(AG33&lt;MIN('2) หลักการคำนวน Table'!$C$3:$K$3),
     MIN('2) หลักการคำนวน Table'!$C$3:$K$3),
     MAX('2) หลักการคำนวน Table'!$C$3:$K$3)
  )
)</f>
        <v>0.9</v>
      </c>
      <c r="AT33" s="186">
        <f>IFERROR(
  _xlfn.XLOOKUP(AH33,'2) หลักการคำนวน Table'!$C$3:$K$3,'2) หลักการคำนวน Table'!$C$3:$K$3,,1),
  IF(AH33&lt;MIN('2) หลักการคำนวน Table'!$C$3:$K$3),
     MIN('2) หลักการคำนวน Table'!$C$3:$K$3),
     MAX('2) หลักการคำนวน Table'!$C$3:$K$3)
  )
)</f>
        <v>0.9</v>
      </c>
      <c r="AU33" s="186">
        <f>IFERROR(
  _xlfn.XLOOKUP(AI33,'2) หลักการคำนวน Table'!$C$3:$K$3,'2) หลักการคำนวน Table'!$C$3:$K$3,,1),
  IF(AI33&lt;MIN('2) หลักการคำนวน Table'!$C$3:$K$3),
     MIN('2) หลักการคำนวน Table'!$C$3:$K$3),
     MAX('2) หลักการคำนวน Table'!$C$3:$K$3)
  )
)</f>
        <v>0.9</v>
      </c>
      <c r="AV33" s="186">
        <f>IFERROR(
  _xlfn.XLOOKUP(AJ33,'2) หลักการคำนวน Table'!$C$3:$K$3,'2) หลักการคำนวน Table'!$C$3:$K$3,,1),
  IF(AJ33&lt;MIN('2) หลักการคำนวน Table'!$C$3:$K$3),
     MIN('2) หลักการคำนวน Table'!$C$3:$K$3),
     MAX('2) หลักการคำนวน Table'!$C$3:$K$3)
  )
)</f>
        <v>0.9</v>
      </c>
      <c r="AW33" s="186">
        <f>IFERROR(
  _xlfn.XLOOKUP(AK33,'2) หลักการคำนวน Table'!$C$3:$K$3,'2) หลักการคำนวน Table'!$C$3:$K$3,,1),
  IF(AK33&lt;MIN('2) หลักการคำนวน Table'!$C$3:$K$3),
     MIN('2) หลักการคำนวน Table'!$C$3:$K$3),
     MAX('2) หลักการคำนวน Table'!$C$3:$K$3)
  )
)</f>
        <v>0.9</v>
      </c>
      <c r="AX33" s="186">
        <f>IFERROR(
  _xlfn.XLOOKUP(AL33,'2) หลักการคำนวน Table'!$C$3:$K$3,'2) หลักการคำนวน Table'!$C$3:$K$3,,1),
  IF(AL33&lt;MIN('2) หลักการคำนวน Table'!$C$3:$K$3),
     MIN('2) หลักการคำนวน Table'!$C$3:$K$3),
     MAX('2) หลักการคำนวน Table'!$C$3:$K$3)
  )
)</f>
        <v>0.9</v>
      </c>
      <c r="AY33" s="186">
        <f>IFERROR(
  _xlfn.XLOOKUP(AM33,'2) หลักการคำนวน Table'!$C$3:$K$3,'2) หลักการคำนวน Table'!$C$3:$K$3,,1),
  IF(AM33&lt;MIN('2) หลักการคำนวน Table'!$C$3:$K$3),
     MIN('2) หลักการคำนวน Table'!$C$3:$K$3),
     MAX('2) หลักการคำนวน Table'!$C$3:$K$3)
  )
)</f>
        <v>0.9</v>
      </c>
      <c r="AZ33" s="135" t="e" cm="1">
        <f t="array" ref="AZ33">ROUND((_xlfn.XLOOKUP($C33,'2) หลักการคำนวน Table'!$A$4:$A$36,
_xlfn.XLOOKUP(AN33,'2)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A33" s="135" t="e" cm="1">
        <f t="array" ref="BA33">ROUND((_xlfn.XLOOKUP($C33,'2) หลักการคำนวน Table'!$A$4:$A$36,
_xlfn.XLOOKUP(AO33,'2)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B33" s="135" t="e" cm="1">
        <f t="array" ref="BB33">ROUND((_xlfn.XLOOKUP($C33,'2) หลักการคำนวน Table'!$A$4:$A$36,
_xlfn.XLOOKUP(AP33,'2)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C33" s="135" t="e" cm="1">
        <f t="array" ref="BC33">ROUND((_xlfn.XLOOKUP($C33,'2) หลักการคำนวน Table'!$A$4:$A$36,
_xlfn.XLOOKUP(AQ33,'2)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D33" s="135" t="e" cm="1">
        <f t="array" ref="BD33">ROUND((_xlfn.XLOOKUP($C33,'2) หลักการคำนวน Table'!$A$4:$A$36,
_xlfn.XLOOKUP(AR33,'2)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E33" s="135" t="e" cm="1">
        <f t="array" ref="BE33">ROUND((_xlfn.XLOOKUP($C33,'2) หลักการคำนวน Table'!$A$4:$A$36,
_xlfn.XLOOKUP(AS33,'2)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F33" s="135" t="e" cm="1">
        <f t="array" ref="BF33">ROUND((_xlfn.XLOOKUP($C33,'2) หลักการคำนวน Table'!$A$4:$A$36,
_xlfn.XLOOKUP(AT33,'2)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G33" s="135" t="e" cm="1">
        <f t="array" ref="BG33">ROUND((_xlfn.XLOOKUP($C33,'2) หลักการคำนวน Table'!$A$4:$A$36,
_xlfn.XLOOKUP(AU33,'2)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H33" s="135" t="e" cm="1">
        <f t="array" ref="BH33">ROUND((_xlfn.XLOOKUP($C33,'2) หลักการคำนวน Table'!$A$4:$A$36,
_xlfn.XLOOKUP(AV33,'2)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I33" s="135" t="e" cm="1">
        <f t="array" ref="BI33">ROUND((_xlfn.XLOOKUP($C33,'2) หลักการคำนวน Table'!$A$4:$A$36,
_xlfn.XLOOKUP(AW33,'2)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J33" s="135" t="e" cm="1">
        <f t="array" ref="BJ33">ROUND((_xlfn.XLOOKUP($C33,'2) หลักการคำนวน Table'!$A$4:$A$36,
_xlfn.XLOOKUP(AX33,'2)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K33" s="135" t="e" cm="1">
        <f t="array" ref="BK33">ROUND((_xlfn.XLOOKUP($C33,'2) หลักการคำนวน Table'!$A$4:$A$36,
_xlfn.XLOOKUP(AY33,'2) หลักการคำนวน Table'!$C$3:$K$3,'2) หลักการคำนวน Table'!$C$4:$K$36,,-1)))*(_xlfn.XLOOKUP($C33,'2) หลักการคำนวน Table'!$A$4:$A$36, _xlfn.XLOOKUP($B33,'2) หลักการคำนวน Table'!$L$3:$Z$3,'2) หลักการคำนวน Table'!$L$4:$Z$36))),0)</f>
        <v>#N/A</v>
      </c>
      <c r="BL33" s="239"/>
      <c r="BM33" s="126">
        <v>222223</v>
      </c>
      <c r="BN33" s="245">
        <v>1</v>
      </c>
    </row>
    <row r="34" spans="1:66" ht="13.2" customHeight="1" x14ac:dyDescent="0.25"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</row>
    <row r="35" spans="1:66" ht="13.2" customHeight="1" x14ac:dyDescent="0.25"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</row>
    <row r="36" spans="1:66" ht="13.2" customHeight="1" x14ac:dyDescent="0.25"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</row>
    <row r="37" spans="1:66" ht="13.2" customHeight="1" x14ac:dyDescent="0.25"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</row>
    <row r="38" spans="1:66" ht="13.2" customHeight="1" x14ac:dyDescent="0.25"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</row>
    <row r="39" spans="1:66" ht="13.2" customHeight="1" x14ac:dyDescent="0.25"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</row>
    <row r="40" spans="1:66" ht="13.2" customHeight="1" x14ac:dyDescent="0.25"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</row>
    <row r="41" spans="1:66" ht="13.2" customHeight="1" x14ac:dyDescent="0.25"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</row>
    <row r="42" spans="1:66" ht="13.2" customHeight="1" x14ac:dyDescent="0.25"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</row>
    <row r="43" spans="1:66" ht="13.2" customHeight="1" x14ac:dyDescent="0.25"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</row>
    <row r="44" spans="1:66" ht="13.2" customHeight="1" x14ac:dyDescent="0.25"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</row>
    <row r="45" spans="1:66" ht="13.2" customHeight="1" x14ac:dyDescent="0.25"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</row>
    <row r="46" spans="1:66" ht="13.2" customHeight="1" x14ac:dyDescent="0.25"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86"/>
      <c r="AO46" s="186"/>
      <c r="AP46" s="186"/>
      <c r="AQ46" s="186"/>
      <c r="AR46" s="186"/>
      <c r="AS46" s="186"/>
      <c r="AT46" s="186"/>
      <c r="AU46" s="186"/>
      <c r="AV46" s="186"/>
      <c r="AW46" s="186"/>
      <c r="AX46" s="186"/>
      <c r="AY46" s="186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</row>
    <row r="47" spans="1:66" ht="13.2" customHeight="1" x14ac:dyDescent="0.25"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86"/>
      <c r="AO47" s="186"/>
      <c r="AP47" s="186"/>
      <c r="AQ47" s="186"/>
      <c r="AR47" s="186"/>
      <c r="AS47" s="186"/>
      <c r="AT47" s="186"/>
      <c r="AU47" s="186"/>
      <c r="AV47" s="186"/>
      <c r="AW47" s="186"/>
      <c r="AX47" s="186"/>
      <c r="AY47" s="186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</row>
    <row r="48" spans="1:66" ht="13.2" customHeight="1" x14ac:dyDescent="0.25"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  <c r="AY48" s="186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135"/>
    </row>
    <row r="49" spans="16:63" ht="13.2" customHeight="1" x14ac:dyDescent="0.25"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86"/>
      <c r="AO49" s="186"/>
      <c r="AP49" s="186"/>
      <c r="AQ49" s="186"/>
      <c r="AR49" s="186"/>
      <c r="AS49" s="186"/>
      <c r="AT49" s="186"/>
      <c r="AU49" s="186"/>
      <c r="AV49" s="186"/>
      <c r="AW49" s="186"/>
      <c r="AX49" s="186"/>
      <c r="AY49" s="186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</row>
    <row r="50" spans="16:63" ht="13.2" customHeight="1" x14ac:dyDescent="0.25"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86"/>
      <c r="AO50" s="186"/>
      <c r="AP50" s="186"/>
      <c r="AQ50" s="186"/>
      <c r="AR50" s="186"/>
      <c r="AS50" s="186"/>
      <c r="AT50" s="186"/>
      <c r="AU50" s="186"/>
      <c r="AV50" s="186"/>
      <c r="AW50" s="186"/>
      <c r="AX50" s="186"/>
      <c r="AY50" s="186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</row>
    <row r="51" spans="16:63" ht="13.2" customHeight="1" x14ac:dyDescent="0.25"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  <c r="AY51" s="186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</row>
    <row r="52" spans="16:63" ht="13.2" customHeight="1" x14ac:dyDescent="0.25"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  <c r="AY52" s="186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135"/>
    </row>
    <row r="53" spans="16:63" ht="13.2" customHeight="1" x14ac:dyDescent="0.25"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  <c r="AY53" s="186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</row>
    <row r="54" spans="16:63" ht="13.2" customHeight="1" x14ac:dyDescent="0.25"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</row>
    <row r="55" spans="16:63" ht="13.2" customHeight="1" x14ac:dyDescent="0.25"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</row>
  </sheetData>
  <autoFilter ref="A3:BN33" xr:uid="{B086E6D0-1625-4716-A007-098E182651AD}"/>
  <mergeCells count="5">
    <mergeCell ref="D1:O1"/>
    <mergeCell ref="P1:AA1"/>
    <mergeCell ref="AB1:AM1"/>
    <mergeCell ref="AN1:AY1"/>
    <mergeCell ref="AZ1:BK1"/>
  </mergeCells>
  <phoneticPr fontId="1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0A51-65D1-4A03-9CA3-74D599480BC2}">
  <sheetPr>
    <tabColor rgb="FF00B050"/>
  </sheetPr>
  <dimension ref="A1:BN37"/>
  <sheetViews>
    <sheetView zoomScaleNormal="100" workbookViewId="0">
      <pane xSplit="3" ySplit="3" topLeftCell="D4" activePane="bottomRight" state="frozen"/>
      <selection pane="topRight" activeCell="AH12" sqref="AH12"/>
      <selection pane="bottomLeft" activeCell="AH12" sqref="AH12"/>
      <selection pane="bottomRight" activeCell="BR59" sqref="BR59"/>
    </sheetView>
  </sheetViews>
  <sheetFormatPr defaultColWidth="6.8984375" defaultRowHeight="13.2" customHeight="1" x14ac:dyDescent="0.25"/>
  <cols>
    <col min="1" max="1" width="13.5" style="128" bestFit="1" customWidth="1"/>
    <col min="2" max="2" width="17.3984375" style="126" customWidth="1"/>
    <col min="3" max="3" width="13.3984375" style="128" customWidth="1"/>
    <col min="4" max="4" width="9.3984375" style="127" customWidth="1"/>
    <col min="5" max="5" width="9.59765625" style="127" hidden="1" customWidth="1"/>
    <col min="6" max="6" width="9.5" style="127" hidden="1" customWidth="1"/>
    <col min="7" max="7" width="9.09765625" style="127" hidden="1" customWidth="1"/>
    <col min="8" max="9" width="9.59765625" style="127" hidden="1" customWidth="1"/>
    <col min="10" max="10" width="9.3984375" style="127" hidden="1" customWidth="1"/>
    <col min="11" max="11" width="9.59765625" style="127" hidden="1" customWidth="1"/>
    <col min="12" max="12" width="10.3984375" style="127" hidden="1" customWidth="1"/>
    <col min="13" max="13" width="10.19921875" style="127" hidden="1" customWidth="1"/>
    <col min="14" max="15" width="10.3984375" style="127" hidden="1" customWidth="1"/>
    <col min="16" max="16" width="10.09765625" style="126" bestFit="1" customWidth="1"/>
    <col min="17" max="17" width="10.59765625" style="126" hidden="1" customWidth="1"/>
    <col min="18" max="18" width="10.09765625" style="126" hidden="1" customWidth="1"/>
    <col min="19" max="19" width="9.5" style="126" hidden="1" customWidth="1"/>
    <col min="20" max="21" width="10.19921875" style="126" hidden="1" customWidth="1"/>
    <col min="22" max="22" width="10.09765625" style="126" hidden="1" customWidth="1"/>
    <col min="23" max="23" width="10.3984375" style="126" hidden="1" customWidth="1"/>
    <col min="24" max="24" width="10.19921875" style="126" hidden="1" customWidth="1"/>
    <col min="25" max="25" width="10.09765625" style="126" hidden="1" customWidth="1"/>
    <col min="26" max="27" width="6.8984375" style="126" hidden="1" customWidth="1"/>
    <col min="28" max="28" width="9.69921875" style="126" customWidth="1"/>
    <col min="29" max="35" width="6.8984375" style="126" hidden="1" customWidth="1"/>
    <col min="36" max="37" width="0" style="126" hidden="1" customWidth="1"/>
    <col min="38" max="47" width="6.8984375" style="126" hidden="1" customWidth="1"/>
    <col min="48" max="51" width="6.8984375" style="126" customWidth="1"/>
    <col min="52" max="59" width="6.8984375" style="126" hidden="1" customWidth="1"/>
    <col min="60" max="16384" width="6.8984375" style="126"/>
  </cols>
  <sheetData>
    <row r="1" spans="1:66" ht="13.2" customHeight="1" x14ac:dyDescent="0.25">
      <c r="A1" s="143" t="s">
        <v>145</v>
      </c>
      <c r="D1" s="362" t="s">
        <v>146</v>
      </c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3" t="s">
        <v>91</v>
      </c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4" t="s">
        <v>147</v>
      </c>
      <c r="AC1" s="364"/>
      <c r="AD1" s="364"/>
      <c r="AE1" s="364"/>
      <c r="AF1" s="364"/>
      <c r="AG1" s="364"/>
      <c r="AH1" s="364"/>
      <c r="AI1" s="364"/>
      <c r="AJ1" s="364"/>
      <c r="AK1" s="364"/>
      <c r="AL1" s="364"/>
      <c r="AM1" s="364"/>
      <c r="AN1" s="366" t="s">
        <v>148</v>
      </c>
      <c r="AO1" s="366"/>
      <c r="AP1" s="366"/>
      <c r="AQ1" s="366"/>
      <c r="AR1" s="366"/>
      <c r="AS1" s="366"/>
      <c r="AT1" s="366"/>
      <c r="AU1" s="366"/>
      <c r="AV1" s="366"/>
      <c r="AW1" s="366"/>
      <c r="AX1" s="366"/>
      <c r="AY1" s="366"/>
      <c r="AZ1" s="365" t="s">
        <v>39</v>
      </c>
      <c r="BA1" s="365"/>
      <c r="BB1" s="365"/>
      <c r="BC1" s="365"/>
      <c r="BD1" s="365"/>
      <c r="BE1" s="365"/>
      <c r="BF1" s="365"/>
      <c r="BG1" s="365"/>
      <c r="BH1" s="365"/>
      <c r="BI1" s="365"/>
      <c r="BJ1" s="365"/>
      <c r="BK1" s="365"/>
      <c r="BL1" s="239"/>
      <c r="BM1" s="241"/>
      <c r="BN1" s="241"/>
    </row>
    <row r="2" spans="1:66" ht="13.2" customHeight="1" x14ac:dyDescent="0.25">
      <c r="A2" s="143"/>
      <c r="D2" s="199">
        <v>2</v>
      </c>
      <c r="E2" s="199">
        <v>3</v>
      </c>
      <c r="F2" s="199">
        <v>4</v>
      </c>
      <c r="G2" s="199">
        <v>5</v>
      </c>
      <c r="H2" s="199">
        <v>6</v>
      </c>
      <c r="I2" s="199">
        <v>7</v>
      </c>
      <c r="J2" s="199">
        <v>8</v>
      </c>
      <c r="K2" s="199">
        <v>9</v>
      </c>
      <c r="L2" s="199">
        <v>10</v>
      </c>
      <c r="M2" s="199">
        <v>11</v>
      </c>
      <c r="N2" s="199">
        <v>12</v>
      </c>
      <c r="O2" s="199">
        <v>13</v>
      </c>
      <c r="P2" s="203">
        <v>2</v>
      </c>
      <c r="Q2" s="203">
        <v>3</v>
      </c>
      <c r="R2" s="203">
        <v>4</v>
      </c>
      <c r="S2" s="203">
        <v>5</v>
      </c>
      <c r="T2" s="203">
        <v>6</v>
      </c>
      <c r="U2" s="203">
        <v>7</v>
      </c>
      <c r="V2" s="203">
        <v>8</v>
      </c>
      <c r="W2" s="203">
        <v>9</v>
      </c>
      <c r="X2" s="203">
        <v>10</v>
      </c>
      <c r="Y2" s="203">
        <v>11</v>
      </c>
      <c r="Z2" s="203">
        <v>12</v>
      </c>
      <c r="AA2" s="203">
        <v>13</v>
      </c>
      <c r="AB2" s="202">
        <v>2</v>
      </c>
      <c r="AC2" s="202">
        <v>3</v>
      </c>
      <c r="AD2" s="202">
        <v>4</v>
      </c>
      <c r="AE2" s="202">
        <v>5</v>
      </c>
      <c r="AF2" s="202">
        <v>6</v>
      </c>
      <c r="AG2" s="202">
        <v>7</v>
      </c>
      <c r="AH2" s="202">
        <v>8</v>
      </c>
      <c r="AI2" s="202">
        <v>9</v>
      </c>
      <c r="AJ2" s="202">
        <v>10</v>
      </c>
      <c r="AK2" s="202">
        <v>11</v>
      </c>
      <c r="AL2" s="202">
        <v>12</v>
      </c>
      <c r="AM2" s="202">
        <v>13</v>
      </c>
      <c r="AN2" s="201">
        <v>2</v>
      </c>
      <c r="AO2" s="201">
        <v>3</v>
      </c>
      <c r="AP2" s="201">
        <v>4</v>
      </c>
      <c r="AQ2" s="201">
        <v>5</v>
      </c>
      <c r="AR2" s="201">
        <v>6</v>
      </c>
      <c r="AS2" s="201">
        <v>7</v>
      </c>
      <c r="AT2" s="201">
        <v>8</v>
      </c>
      <c r="AU2" s="201">
        <v>9</v>
      </c>
      <c r="AV2" s="201">
        <v>10</v>
      </c>
      <c r="AW2" s="201">
        <v>11</v>
      </c>
      <c r="AX2" s="201">
        <v>12</v>
      </c>
      <c r="AY2" s="201">
        <v>13</v>
      </c>
      <c r="AZ2" s="200">
        <v>2</v>
      </c>
      <c r="BA2" s="200">
        <v>3</v>
      </c>
      <c r="BB2" s="200">
        <v>4</v>
      </c>
      <c r="BC2" s="200">
        <v>5</v>
      </c>
      <c r="BD2" s="200">
        <v>6</v>
      </c>
      <c r="BE2" s="200">
        <v>7</v>
      </c>
      <c r="BF2" s="200">
        <v>8</v>
      </c>
      <c r="BG2" s="200">
        <v>9</v>
      </c>
      <c r="BH2" s="200">
        <v>10</v>
      </c>
      <c r="BI2" s="200">
        <v>11</v>
      </c>
      <c r="BJ2" s="200">
        <v>12</v>
      </c>
      <c r="BK2" s="200">
        <v>13</v>
      </c>
      <c r="BL2" s="239"/>
      <c r="BM2" s="241"/>
      <c r="BN2" s="241"/>
    </row>
    <row r="3" spans="1:66" s="128" customFormat="1" ht="13.2" customHeight="1" x14ac:dyDescent="0.25">
      <c r="A3" s="329" t="s">
        <v>137</v>
      </c>
      <c r="B3" s="329" t="s">
        <v>116</v>
      </c>
      <c r="C3" s="329" t="s">
        <v>144</v>
      </c>
      <c r="D3" s="129" t="s">
        <v>149</v>
      </c>
      <c r="E3" s="129" t="s">
        <v>150</v>
      </c>
      <c r="F3" s="129" t="s">
        <v>151</v>
      </c>
      <c r="G3" s="129" t="s">
        <v>152</v>
      </c>
      <c r="H3" s="129" t="s">
        <v>153</v>
      </c>
      <c r="I3" s="129" t="s">
        <v>154</v>
      </c>
      <c r="J3" s="129" t="s">
        <v>155</v>
      </c>
      <c r="K3" s="129" t="s">
        <v>156</v>
      </c>
      <c r="L3" s="129" t="s">
        <v>157</v>
      </c>
      <c r="M3" s="129" t="s">
        <v>158</v>
      </c>
      <c r="N3" s="129" t="s">
        <v>159</v>
      </c>
      <c r="O3" s="129" t="s">
        <v>160</v>
      </c>
      <c r="P3" s="130" t="s">
        <v>161</v>
      </c>
      <c r="Q3" s="130" t="s">
        <v>162</v>
      </c>
      <c r="R3" s="130" t="s">
        <v>163</v>
      </c>
      <c r="S3" s="130" t="s">
        <v>164</v>
      </c>
      <c r="T3" s="130" t="s">
        <v>165</v>
      </c>
      <c r="U3" s="130" t="s">
        <v>166</v>
      </c>
      <c r="V3" s="130" t="s">
        <v>167</v>
      </c>
      <c r="W3" s="130" t="s">
        <v>168</v>
      </c>
      <c r="X3" s="130" t="s">
        <v>169</v>
      </c>
      <c r="Y3" s="130" t="s">
        <v>170</v>
      </c>
      <c r="Z3" s="130" t="s">
        <v>171</v>
      </c>
      <c r="AA3" s="130" t="s">
        <v>172</v>
      </c>
      <c r="AB3" s="131" t="s">
        <v>173</v>
      </c>
      <c r="AC3" s="131" t="s">
        <v>174</v>
      </c>
      <c r="AD3" s="131" t="s">
        <v>175</v>
      </c>
      <c r="AE3" s="131" t="s">
        <v>176</v>
      </c>
      <c r="AF3" s="131" t="s">
        <v>177</v>
      </c>
      <c r="AG3" s="131" t="s">
        <v>178</v>
      </c>
      <c r="AH3" s="131" t="s">
        <v>179</v>
      </c>
      <c r="AI3" s="131" t="s">
        <v>180</v>
      </c>
      <c r="AJ3" s="131" t="s">
        <v>181</v>
      </c>
      <c r="AK3" s="131" t="s">
        <v>182</v>
      </c>
      <c r="AL3" s="131" t="s">
        <v>183</v>
      </c>
      <c r="AM3" s="131" t="s">
        <v>184</v>
      </c>
      <c r="AN3" s="185" t="s">
        <v>185</v>
      </c>
      <c r="AO3" s="185" t="s">
        <v>186</v>
      </c>
      <c r="AP3" s="185" t="s">
        <v>187</v>
      </c>
      <c r="AQ3" s="185" t="s">
        <v>188</v>
      </c>
      <c r="AR3" s="185" t="s">
        <v>189</v>
      </c>
      <c r="AS3" s="185" t="s">
        <v>190</v>
      </c>
      <c r="AT3" s="185" t="s">
        <v>191</v>
      </c>
      <c r="AU3" s="185" t="s">
        <v>192</v>
      </c>
      <c r="AV3" s="185" t="s">
        <v>193</v>
      </c>
      <c r="AW3" s="185" t="s">
        <v>194</v>
      </c>
      <c r="AX3" s="185" t="s">
        <v>195</v>
      </c>
      <c r="AY3" s="185" t="s">
        <v>196</v>
      </c>
      <c r="AZ3" s="134" t="s">
        <v>185</v>
      </c>
      <c r="BA3" s="134" t="s">
        <v>186</v>
      </c>
      <c r="BB3" s="134" t="s">
        <v>187</v>
      </c>
      <c r="BC3" s="134" t="s">
        <v>188</v>
      </c>
      <c r="BD3" s="134" t="s">
        <v>189</v>
      </c>
      <c r="BE3" s="134" t="s">
        <v>190</v>
      </c>
      <c r="BF3" s="134" t="s">
        <v>191</v>
      </c>
      <c r="BG3" s="134" t="s">
        <v>192</v>
      </c>
      <c r="BH3" s="134" t="s">
        <v>193</v>
      </c>
      <c r="BI3" s="134" t="s">
        <v>194</v>
      </c>
      <c r="BJ3" s="134" t="s">
        <v>195</v>
      </c>
      <c r="BK3" s="134" t="s">
        <v>196</v>
      </c>
      <c r="BL3" s="240"/>
      <c r="BM3" s="242" t="s">
        <v>197</v>
      </c>
      <c r="BN3" s="243" t="s">
        <v>39</v>
      </c>
    </row>
    <row r="4" spans="1:66" ht="13.2" customHeight="1" x14ac:dyDescent="0.25">
      <c r="A4" s="128" t="e">
        <f>VLOOKUP(C4,ASTBase!F:S,12,FALSE)</f>
        <v>#N/A</v>
      </c>
      <c r="B4" s="126" t="s">
        <v>405</v>
      </c>
      <c r="C4" s="128">
        <v>222222</v>
      </c>
      <c r="D4" s="127">
        <f>SUMIFS('3)Target &amp; Cal_Dept'!D$4:D$31,'3)Target &amp; Cal_Dept'!$B$4:$B$31,'3)Target &amp; Cal_AD'!$B4,'3)Target &amp; Cal_Dept'!$A$4:$A$31,'3)Target &amp; Cal_AD'!$C4)</f>
        <v>2390234.2850000001</v>
      </c>
      <c r="E4" s="127">
        <f>SUMIFS('3)Target &amp; Cal_Dept'!E$4:E$31,'3)Target &amp; Cal_Dept'!$B$4:$B$31,'3)Target &amp; Cal_AD'!$B4,'3)Target &amp; Cal_Dept'!$A$4:$A$31,'3)Target &amp; Cal_AD'!$C4)</f>
        <v>2209369.162</v>
      </c>
      <c r="F4" s="127">
        <f>SUMIFS('3)Target &amp; Cal_Dept'!F$4:F$31,'3)Target &amp; Cal_Dept'!$B$4:$B$31,'3)Target &amp; Cal_AD'!$B4,'3)Target &amp; Cal_Dept'!$A$4:$A$31,'3)Target &amp; Cal_AD'!$C4)</f>
        <v>2504794</v>
      </c>
      <c r="G4" s="127">
        <f>SUMIFS('3)Target &amp; Cal_Dept'!G$4:G$31,'3)Target &amp; Cal_Dept'!$B$4:$B$31,'3)Target &amp; Cal_AD'!$B4,'3)Target &amp; Cal_Dept'!$A$4:$A$31,'3)Target &amp; Cal_AD'!$C4)</f>
        <v>2315113.622</v>
      </c>
      <c r="H4" s="127">
        <f>SUMIFS('3)Target &amp; Cal_Dept'!H$4:H$31,'3)Target &amp; Cal_Dept'!$B$4:$B$31,'3)Target &amp; Cal_AD'!$B4,'3)Target &amp; Cal_Dept'!$A$4:$A$31,'3)Target &amp; Cal_AD'!$C4)</f>
        <v>2236611.04</v>
      </c>
      <c r="I4" s="127">
        <f>SUMIFS('3)Target &amp; Cal_Dept'!I$4:I$31,'3)Target &amp; Cal_Dept'!$B$4:$B$31,'3)Target &amp; Cal_AD'!$B4,'3)Target &amp; Cal_Dept'!$A$4:$A$31,'3)Target &amp; Cal_AD'!$C4)</f>
        <v>2435730.2420000001</v>
      </c>
      <c r="J4" s="127">
        <f>SUMIFS('3)Target &amp; Cal_Dept'!J$4:J$31,'3)Target &amp; Cal_Dept'!$B$4:$B$31,'3)Target &amp; Cal_AD'!$B4,'3)Target &amp; Cal_Dept'!$A$4:$A$31,'3)Target &amp; Cal_AD'!$C4)</f>
        <v>2371483.16</v>
      </c>
      <c r="K4" s="127">
        <f>SUMIFS('3)Target &amp; Cal_Dept'!K$4:K$31,'3)Target &amp; Cal_Dept'!$B$4:$B$31,'3)Target &amp; Cal_AD'!$B4,'3)Target &amp; Cal_Dept'!$A$4:$A$31,'3)Target &amp; Cal_AD'!$C4)</f>
        <v>2225207.4916666672</v>
      </c>
      <c r="L4" s="127">
        <v>2649662</v>
      </c>
      <c r="M4" s="127">
        <v>2615879</v>
      </c>
      <c r="N4" s="127">
        <v>1660657.8</v>
      </c>
      <c r="O4" s="127">
        <v>2284950.4</v>
      </c>
      <c r="P4" s="127">
        <f>SUMIFS('3)Target &amp; Cal_Dept'!P$4:P$32,'3)Target &amp; Cal_Dept'!$B$4:$B$32,'3)Target &amp; Cal_AD'!$B4,'3)Target &amp; Cal_Dept'!$A$4:$A$32,'3)Target &amp; Cal_AD'!$C4)</f>
        <v>1905767.4600000009</v>
      </c>
      <c r="Q4" s="127">
        <f>SUMIFS('3)Target &amp; Cal_Dept'!Q$4:Q$32,'3)Target &amp; Cal_Dept'!$B$4:$B$32,'3)Target &amp; Cal_AD'!$B4,'3)Target &amp; Cal_Dept'!$A$4:$A$32,'3)Target &amp; Cal_AD'!$C4)</f>
        <v>0</v>
      </c>
      <c r="R4" s="127">
        <f>SUMIFS('3)Target &amp; Cal_Dept'!R$4:R$32,'3)Target &amp; Cal_Dept'!$B$4:$B$32,'3)Target &amp; Cal_AD'!$B4,'3)Target &amp; Cal_Dept'!$A$4:$A$32,'3)Target &amp; Cal_AD'!$C4)</f>
        <v>0</v>
      </c>
      <c r="S4" s="127">
        <f>SUMIFS('3)Target &amp; Cal_Dept'!S$4:S$32,'3)Target &amp; Cal_Dept'!$B$4:$B$32,'3)Target &amp; Cal_AD'!$B4,'3)Target &amp; Cal_Dept'!$A$4:$A$32,'3)Target &amp; Cal_AD'!$C4)</f>
        <v>0</v>
      </c>
      <c r="T4" s="127">
        <f>SUMIFS('3)Target &amp; Cal_Dept'!T$4:T$32,'3)Target &amp; Cal_Dept'!$B$4:$B$32,'3)Target &amp; Cal_AD'!$B4,'3)Target &amp; Cal_Dept'!$A$4:$A$32,'3)Target &amp; Cal_AD'!$C4)</f>
        <v>0</v>
      </c>
      <c r="U4" s="127">
        <f>SUMIFS('3)Target &amp; Cal_Dept'!U$4:U$32,'3)Target &amp; Cal_Dept'!$B$4:$B$32,'3)Target &amp; Cal_AD'!$B4,'3)Target &amp; Cal_Dept'!$A$4:$A$32,'3)Target &amp; Cal_AD'!$C4)</f>
        <v>0</v>
      </c>
      <c r="V4" s="127">
        <f>SUMIFS('3)Target &amp; Cal_Dept'!V$4:V$32,'3)Target &amp; Cal_Dept'!$B$4:$B$32,'3)Target &amp; Cal_AD'!$B4,'3)Target &amp; Cal_Dept'!$A$4:$A$32,'3)Target &amp; Cal_AD'!$C4)</f>
        <v>0</v>
      </c>
      <c r="W4" s="127">
        <f>SUMIFS('3)Target &amp; Cal_Dept'!W$4:W$32,'3)Target &amp; Cal_Dept'!$B$4:$B$32,'3)Target &amp; Cal_AD'!$B4,'3)Target &amp; Cal_Dept'!$A$4:$A$32,'3)Target &amp; Cal_AD'!$C4)</f>
        <v>0</v>
      </c>
      <c r="X4" s="127">
        <f>SUMIFS('3)Target &amp; Cal_Dept'!X$4:X$32,'3)Target &amp; Cal_Dept'!$B$4:$B$32,'3)Target &amp; Cal_AD'!$B4,'3)Target &amp; Cal_Dept'!$A$4:$A$32,'3)Target &amp; Cal_AD'!$C4)</f>
        <v>0</v>
      </c>
      <c r="Y4" s="127">
        <f>SUMIFS('3)Target &amp; Cal_Dept'!Y$4:Y$32,'3)Target &amp; Cal_Dept'!$B$4:$B$32,'3)Target &amp; Cal_AD'!$B4,'3)Target &amp; Cal_Dept'!$A$4:$A$32,'3)Target &amp; Cal_AD'!$C4)</f>
        <v>0</v>
      </c>
      <c r="Z4" s="127">
        <f>SUMIFS('3)Target &amp; Cal_Dept'!Z$4:Z$32,'3)Target &amp; Cal_Dept'!$B$4:$B$32,'3)Target &amp; Cal_AD'!$B4,'3)Target &amp; Cal_Dept'!$A$4:$A$32,'3)Target &amp; Cal_AD'!$C4)</f>
        <v>0</v>
      </c>
      <c r="AA4" s="127">
        <f>SUMIFS('3)Target &amp; Cal_Dept'!AA$4:AA$32,'3)Target &amp; Cal_Dept'!$B$4:$B$32,'3)Target &amp; Cal_AD'!$B4,'3)Target &amp; Cal_Dept'!$A$4:$A$32,'3)Target &amp; Cal_AD'!$C4)</f>
        <v>0</v>
      </c>
      <c r="AB4" s="132">
        <f>IFERROR(IF(VLOOKUP($B4,Shortage!$A:$M,AB$2,FALSE)="Shortage",1,IFERROR(ROUND(P4/D4,4),0)),IFERROR(ROUND(P4/D4,4),0))</f>
        <v>1</v>
      </c>
      <c r="AC4" s="132">
        <f>IFERROR(IF(VLOOKUP($B4,Shortage!$A:$M,AC$2,FALSE)="Shortage",1,IFERROR(ROUND(Q4/E4,4),0)),IFERROR(ROUND(Q4/E4,4),0))</f>
        <v>0</v>
      </c>
      <c r="AD4" s="132">
        <f>IFERROR(IF(VLOOKUP($B4,Shortage!$A:$M,AD$2,FALSE)="Shortage",1,IFERROR(ROUND(R4/F4,4),0)),IFERROR(ROUND(R4/F4,4),0))</f>
        <v>0</v>
      </c>
      <c r="AE4" s="132">
        <f>IFERROR(IF(VLOOKUP($B4,Shortage!$A:$M,AE$2,FALSE)="Shortage",1,IFERROR(ROUND(S4/G4,4),0)),IFERROR(ROUND(S4/G4,4),0))</f>
        <v>0</v>
      </c>
      <c r="AF4" s="132">
        <f>IFERROR(IF(VLOOKUP($B4,Shortage!$A:$M,AF$2,FALSE)="Shortage",1,IFERROR(ROUND(T4/H4,4),0)),IFERROR(ROUND(T4/H4,4),0))</f>
        <v>0</v>
      </c>
      <c r="AG4" s="132">
        <f>IFERROR(IF(VLOOKUP($B4,Shortage!$A:$M,AG$2,FALSE)="Shortage",1,IFERROR(ROUND(U4/I4,4),0)),IFERROR(ROUND(U4/I4,4),0))</f>
        <v>0</v>
      </c>
      <c r="AH4" s="132">
        <f>IFERROR(IF(VLOOKUP($B4,Shortage!$A:$M,AH$2,FALSE)="Shortage",1,IFERROR(ROUND(V4/J4,4),0)),IFERROR(ROUND(V4/J4,4),0))</f>
        <v>0</v>
      </c>
      <c r="AI4" s="132">
        <f>IFERROR(IF(VLOOKUP($B4,Shortage!$A:$M,AI$2,FALSE)="Shortage",1,IFERROR(ROUND(W4/K4,4),0)),IFERROR(ROUND(W4/K4,4),0))</f>
        <v>0</v>
      </c>
      <c r="AJ4" s="132">
        <f>IFERROR(IF(VLOOKUP($B4,Shortage!$A:$M,AJ$2,FALSE)="Shortage",1,IFERROR(ROUND(X4/L4,4),0)),IFERROR(ROUND(X4/L4,4),0))</f>
        <v>0</v>
      </c>
      <c r="AK4" s="132">
        <f>IFERROR(IF(VLOOKUP($B4,Shortage!$A:$M,AK$2,FALSE)="Shortage",1,IFERROR(ROUND(Y4/M4,4),0)),IFERROR(ROUND(Y4/M4,4),0))</f>
        <v>0</v>
      </c>
      <c r="AL4" s="132">
        <f>IFERROR(IF(VLOOKUP($B4,Shortage!$A:$M,AL$2,FALSE)="Shortage",1,IFERROR(ROUND(Z4/N4,4),0)),IFERROR(ROUND(Z4/N4,4),0))</f>
        <v>0</v>
      </c>
      <c r="AM4" s="132">
        <f>IFERROR(IF(VLOOKUP($B4,Shortage!$A:$M,AM$2,FALSE)="Shortage",1,IFERROR(ROUND(AA4/O4,4),0)),IFERROR(ROUND(AA4/O4,4),0))</f>
        <v>0</v>
      </c>
      <c r="AN4" s="186">
        <f>IFERROR(_xlfn.XLOOKUP(AB4,'2) หลักการคำนวน Table'!$C$3:$K$3,'2) หลักการคำนวน Table'!$C$3:$K$3,,1),INDEX('2) หลักการคำนวน Table'!$C$3:$K$3,1))</f>
        <v>1</v>
      </c>
      <c r="AO4" s="186">
        <f>IFERROR(
  _xlfn.XLOOKUP(AC4,'2) หลักการคำนวน Table'!$C$3:$K$3,'2) หลักการคำนวน Table'!$C$3:$K$3,,1),
  IF(AC4&lt;MIN('2) หลักการคำนวน Table'!$C$3:$K$3),
     MIN('2) หลักการคำนวน Table'!$C$3:$K$3),
     MAX('2) หลักการคำนวน Table'!$C$3:$K$3)
  )
)</f>
        <v>0.9</v>
      </c>
      <c r="AP4" s="186">
        <f>IFERROR(
  _xlfn.XLOOKUP(AD4,'2) หลักการคำนวน Table'!$C$3:$K$3,'2) หลักการคำนวน Table'!$C$3:$K$3,,1),
  IF(AD4&lt;MIN('2) หลักการคำนวน Table'!$C$3:$K$3),
     MIN('2) หลักการคำนวน Table'!$C$3:$K$3),
     MAX('2) หลักการคำนวน Table'!$C$3:$K$3)
  )
)</f>
        <v>0.9</v>
      </c>
      <c r="AQ4" s="186">
        <f>IFERROR(
  _xlfn.XLOOKUP(AE4,'2) หลักการคำนวน Table'!$C$3:$K$3,'2) หลักการคำนวน Table'!$C$3:$K$3,,1),
  IF(AE4&lt;MIN('2) หลักการคำนวน Table'!$C$3:$K$3),
     MIN('2) หลักการคำนวน Table'!$C$3:$K$3),
     MAX('2) หลักการคำนวน Table'!$C$3:$K$3)
  )
)</f>
        <v>0.9</v>
      </c>
      <c r="AR4" s="186">
        <f>IFERROR(
  _xlfn.XLOOKUP(AF4,'2) หลักการคำนวน Table'!$C$3:$K$3,'2) หลักการคำนวน Table'!$C$3:$K$3,,1),
  IF(AF4&lt;MIN('2) หลักการคำนวน Table'!$C$3:$K$3),
     MIN('2) หลักการคำนวน Table'!$C$3:$K$3),
     MAX('2) หลักการคำนวน Table'!$C$3:$K$3)
  )
)</f>
        <v>0.9</v>
      </c>
      <c r="AS4" s="186">
        <f>IFERROR(
  _xlfn.XLOOKUP(AG4,'2) หลักการคำนวน Table'!$C$3:$K$3,'2) หลักการคำนวน Table'!$C$3:$K$3,,1),
  IF(AG4&lt;MIN('2) หลักการคำนวน Table'!$C$3:$K$3),
     MIN('2) หลักการคำนวน Table'!$C$3:$K$3),
     MAX('2) หลักการคำนวน Table'!$C$3:$K$3)
  )
)</f>
        <v>0.9</v>
      </c>
      <c r="AT4" s="186">
        <f>IFERROR(
  _xlfn.XLOOKUP(AH4,'2) หลักการคำนวน Table'!$C$3:$K$3,'2) หลักการคำนวน Table'!$C$3:$K$3,,1),
  IF(AH4&lt;MIN('2) หลักการคำนวน Table'!$C$3:$K$3),
     MIN('2) หลักการคำนวน Table'!$C$3:$K$3),
     MAX('2) หลักการคำนวน Table'!$C$3:$K$3)
  )
)</f>
        <v>0.9</v>
      </c>
      <c r="AU4" s="186">
        <f>IFERROR(
  _xlfn.XLOOKUP(AI4,'2) หลักการคำนวน Table'!$C$3:$K$3,'2) หลักการคำนวน Table'!$C$3:$K$3,,1),
  IF(AI4&lt;MIN('2) หลักการคำนวน Table'!$C$3:$K$3),
     MIN('2) หลักการคำนวน Table'!$C$3:$K$3),
     MAX('2) หลักการคำนวน Table'!$C$3:$K$3)
  )
)</f>
        <v>0.9</v>
      </c>
      <c r="AV4" s="186">
        <f>IFERROR(
  _xlfn.XLOOKUP(AJ4,'2) หลักการคำนวน Table'!$C$3:$K$3,'2) หลักการคำนวน Table'!$C$3:$K$3,,1),
  IF(AJ4&lt;MIN('2) หลักการคำนวน Table'!$C$3:$K$3),
     MIN('2) หลักการคำนวน Table'!$C$3:$K$3),
     MAX('2) หลักการคำนวน Table'!$C$3:$K$3)
  )
)</f>
        <v>0.9</v>
      </c>
      <c r="AW4" s="186">
        <f>IFERROR(
  _xlfn.XLOOKUP(AK4,'2) หลักการคำนวน Table'!$C$3:$K$3,'2) หลักการคำนวน Table'!$C$3:$K$3,,1),
  IF(AK4&lt;MIN('2) หลักการคำนวน Table'!$C$3:$K$3),
     MIN('2) หลักการคำนวน Table'!$C$3:$K$3),
     MAX('2) หลักการคำนวน Table'!$C$3:$K$3)
  )
)</f>
        <v>0.9</v>
      </c>
      <c r="AX4" s="186">
        <f>IFERROR(
  _xlfn.XLOOKUP(AL4,'2) หลักการคำนวน Table'!$C$3:$K$3,'2) หลักการคำนวน Table'!$C$3:$K$3,,1),
  IF(AL4&lt;MIN('2) หลักการคำนวน Table'!$C$3:$K$3),
     MIN('2) หลักการคำนวน Table'!$C$3:$K$3),
     MAX('2) หลักการคำนวน Table'!$C$3:$K$3)
  )
)</f>
        <v>0.9</v>
      </c>
      <c r="AY4" s="186">
        <f>IFERROR(
  _xlfn.XLOOKUP(AM4,'2) หลักการคำนวน Table'!$C$3:$K$3,'2) หลักการคำนวน Table'!$C$3:$K$3,,1),
  IF(AM4&lt;MIN('2) หลักการคำนวน Table'!$C$3:$K$3),
     MIN('2) หลักการคำนวน Table'!$C$3:$K$3),
     MAX('2) หลักการคำนวน Table'!$C$3:$K$3)
  )
)</f>
        <v>0.9</v>
      </c>
      <c r="AZ4" s="135" t="e" cm="1">
        <f t="array" ref="AZ4">(_xlfn.XLOOKUP($C4,'2) หลักการคำนวน Table'!$A$4:$A$36,
_xlfn.XLOOKUP(AN4,'2)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A4" s="135" t="e" cm="1">
        <f t="array" ref="BA4">(_xlfn.XLOOKUP($C4,'2) หลักการคำนวน Table'!$A$4:$A$36,
_xlfn.XLOOKUP(AO4,'2)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B4" s="135" t="e" cm="1">
        <f t="array" ref="BB4">(_xlfn.XLOOKUP($C4,'2) หลักการคำนวน Table'!$A$4:$A$36,
_xlfn.XLOOKUP(AP4,'2)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C4" s="135" t="e" cm="1">
        <f t="array" ref="BC4">(_xlfn.XLOOKUP($C4,'2) หลักการคำนวน Table'!$A$4:$A$36,
_xlfn.XLOOKUP(AQ4,'2)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D4" s="135" t="e" cm="1">
        <f t="array" ref="BD4">(_xlfn.XLOOKUP($C4,'2) หลักการคำนวน Table'!$A$4:$A$36,
_xlfn.XLOOKUP(AR4,'2)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E4" s="135" t="e" cm="1">
        <f t="array" ref="BE4">(_xlfn.XLOOKUP($C4,'2) หลักการคำนวน Table'!$A$4:$A$36,
_xlfn.XLOOKUP(AS4,'2)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F4" s="135" t="e" cm="1">
        <f t="array" ref="BF4">(_xlfn.XLOOKUP($C4,'2) หลักการคำนวน Table'!$A$4:$A$36,
_xlfn.XLOOKUP(AT4,'2)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G4" s="135" t="e" cm="1">
        <f t="array" ref="BG4">(_xlfn.XLOOKUP($C4,'2) หลักการคำนวน Table'!$A$4:$A$36,
_xlfn.XLOOKUP(AU4,'2)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</f>
        <v>#N/A</v>
      </c>
      <c r="BH4" s="135" t="e" cm="1">
        <f t="array" ref="BH4">ROUND((_xlfn.XLOOKUP($C4,'2) หลักการคำนวน Table'!$A$4:$A$36,
_xlfn.XLOOKUP(AV4,'2)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I4" s="135" t="e" cm="1">
        <f t="array" ref="BI4">ROUND((_xlfn.XLOOKUP($C4,'2) หลักการคำนวน Table'!$A$4:$A$36,
_xlfn.XLOOKUP(AW4,'2)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J4" s="135" t="e" cm="1">
        <f t="array" ref="BJ4">ROUND((_xlfn.XLOOKUP($C4,'2) หลักการคำนวน Table'!$A$4:$A$36,
_xlfn.XLOOKUP(AX4,'2)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K4" s="135" t="e" cm="1">
        <f t="array" ref="BK4">ROUND((_xlfn.XLOOKUP($C4,'2) หลักการคำนวน Table'!$A$4:$A$36,
_xlfn.XLOOKUP(AY4,'2) หลักการคำนวน Table'!$C$3:$K$3,'2) หลักการคำนวน Table'!$C$4:$K$36,,-1)))*(_xlfn.XLOOKUP($C4,'2) หลักการคำนวน Table'!$A$4:$A$36, _xlfn.XLOOKUP($B4,'2) หลักการคำนวน Table'!$L$3:$Z$3,'2) หลักการคำนวน Table'!$L$4:$Z$36))),0)</f>
        <v>#N/A</v>
      </c>
      <c r="BL4" s="239"/>
      <c r="BM4" s="126">
        <v>222222</v>
      </c>
      <c r="BN4" s="245">
        <v>180</v>
      </c>
    </row>
    <row r="5" spans="1:66" ht="13.2" customHeight="1" x14ac:dyDescent="0.25">
      <c r="A5" s="128" t="e">
        <f>VLOOKUP(C5,ASTBase!F:S,12,FALSE)</f>
        <v>#N/A</v>
      </c>
      <c r="B5" s="126" t="s">
        <v>408</v>
      </c>
      <c r="C5" s="128">
        <v>222222</v>
      </c>
      <c r="D5" s="127">
        <f>SUMIFS('3)Target &amp; Cal_Dept'!D$4:D$31,'3)Target &amp; Cal_Dept'!$B$4:$B$31,'3)Target &amp; Cal_AD'!$B5,'3)Target &amp; Cal_Dept'!$A$4:$A$31,'3)Target &amp; Cal_AD'!$C5)</f>
        <v>194023</v>
      </c>
      <c r="E5" s="127">
        <f>SUMIFS('3)Target &amp; Cal_Dept'!E$4:E$31,'3)Target &amp; Cal_Dept'!$B$4:$B$31,'3)Target &amp; Cal_AD'!$B5,'3)Target &amp; Cal_Dept'!$A$4:$A$31,'3)Target &amp; Cal_AD'!$C5)</f>
        <v>189910</v>
      </c>
      <c r="F5" s="127">
        <f>SUMIFS('3)Target &amp; Cal_Dept'!F$4:F$31,'3)Target &amp; Cal_Dept'!$B$4:$B$31,'3)Target &amp; Cal_AD'!$B5,'3)Target &amp; Cal_Dept'!$A$4:$A$31,'3)Target &amp; Cal_AD'!$C5)</f>
        <v>221260</v>
      </c>
      <c r="G5" s="127">
        <f>SUMIFS('3)Target &amp; Cal_Dept'!G$4:G$31,'3)Target &amp; Cal_Dept'!$B$4:$B$31,'3)Target &amp; Cal_AD'!$B5,'3)Target &amp; Cal_Dept'!$A$4:$A$31,'3)Target &amp; Cal_AD'!$C5)</f>
        <v>202500</v>
      </c>
      <c r="H5" s="127">
        <f>SUMIFS('3)Target &amp; Cal_Dept'!H$4:H$31,'3)Target &amp; Cal_Dept'!$B$4:$B$31,'3)Target &amp; Cal_AD'!$B5,'3)Target &amp; Cal_Dept'!$A$4:$A$31,'3)Target &amp; Cal_AD'!$C5)</f>
        <v>192568</v>
      </c>
      <c r="I5" s="127">
        <f>SUMIFS('3)Target &amp; Cal_Dept'!I$4:I$31,'3)Target &amp; Cal_Dept'!$B$4:$B$31,'3)Target &amp; Cal_AD'!$B5,'3)Target &amp; Cal_Dept'!$A$4:$A$31,'3)Target &amp; Cal_AD'!$C5)</f>
        <v>190931</v>
      </c>
      <c r="J5" s="127">
        <f>SUMIFS('3)Target &amp; Cal_Dept'!J$4:J$31,'3)Target &amp; Cal_Dept'!$B$4:$B$31,'3)Target &amp; Cal_AD'!$B5,'3)Target &amp; Cal_Dept'!$A$4:$A$31,'3)Target &amp; Cal_AD'!$C5)</f>
        <v>199848.66666666669</v>
      </c>
      <c r="K5" s="127">
        <f>SUMIFS('3)Target &amp; Cal_Dept'!K$4:K$31,'3)Target &amp; Cal_Dept'!$B$4:$B$31,'3)Target &amp; Cal_AD'!$B5,'3)Target &amp; Cal_Dept'!$A$4:$A$31,'3)Target &amp; Cal_AD'!$C5)</f>
        <v>200739.66666666669</v>
      </c>
      <c r="L5" s="127">
        <v>2767581</v>
      </c>
      <c r="M5" s="127">
        <v>2454500</v>
      </c>
      <c r="N5" s="127">
        <v>1611797.7</v>
      </c>
      <c r="O5" s="127">
        <v>1968993.7</v>
      </c>
      <c r="P5" s="127">
        <f>SUMIFS('3)Target &amp; Cal_Dept'!P$4:P$32,'3)Target &amp; Cal_Dept'!$B$4:$B$32,'3)Target &amp; Cal_AD'!$B5,'3)Target &amp; Cal_Dept'!$A$4:$A$32,'3)Target &amp; Cal_AD'!$C5)</f>
        <v>225825.66000000024</v>
      </c>
      <c r="Q5" s="127">
        <f>SUMIFS('3)Target &amp; Cal_Dept'!Q$4:Q$32,'3)Target &amp; Cal_Dept'!$B$4:$B$32,'3)Target &amp; Cal_AD'!$B5,'3)Target &amp; Cal_Dept'!$A$4:$A$32,'3)Target &amp; Cal_AD'!$C5)</f>
        <v>0</v>
      </c>
      <c r="R5" s="127">
        <f>SUMIFS('3)Target &amp; Cal_Dept'!R$4:R$32,'3)Target &amp; Cal_Dept'!$B$4:$B$32,'3)Target &amp; Cal_AD'!$B5,'3)Target &amp; Cal_Dept'!$A$4:$A$32,'3)Target &amp; Cal_AD'!$C5)</f>
        <v>0</v>
      </c>
      <c r="S5" s="127">
        <f>SUMIFS('3)Target &amp; Cal_Dept'!S$4:S$32,'3)Target &amp; Cal_Dept'!$B$4:$B$32,'3)Target &amp; Cal_AD'!$B5,'3)Target &amp; Cal_Dept'!$A$4:$A$32,'3)Target &amp; Cal_AD'!$C5)</f>
        <v>0</v>
      </c>
      <c r="T5" s="127">
        <f>SUMIFS('3)Target &amp; Cal_Dept'!T$4:T$32,'3)Target &amp; Cal_Dept'!$B$4:$B$32,'3)Target &amp; Cal_AD'!$B5,'3)Target &amp; Cal_Dept'!$A$4:$A$32,'3)Target &amp; Cal_AD'!$C5)</f>
        <v>0</v>
      </c>
      <c r="U5" s="127">
        <f>SUMIFS('3)Target &amp; Cal_Dept'!U$4:U$32,'3)Target &amp; Cal_Dept'!$B$4:$B$32,'3)Target &amp; Cal_AD'!$B5,'3)Target &amp; Cal_Dept'!$A$4:$A$32,'3)Target &amp; Cal_AD'!$C5)</f>
        <v>0</v>
      </c>
      <c r="V5" s="127">
        <f>SUMIFS('3)Target &amp; Cal_Dept'!V$4:V$32,'3)Target &amp; Cal_Dept'!$B$4:$B$32,'3)Target &amp; Cal_AD'!$B5,'3)Target &amp; Cal_Dept'!$A$4:$A$32,'3)Target &amp; Cal_AD'!$C5)</f>
        <v>0</v>
      </c>
      <c r="W5" s="127">
        <f>SUMIFS('3)Target &amp; Cal_Dept'!W$4:W$32,'3)Target &amp; Cal_Dept'!$B$4:$B$32,'3)Target &amp; Cal_AD'!$B5,'3)Target &amp; Cal_Dept'!$A$4:$A$32,'3)Target &amp; Cal_AD'!$C5)</f>
        <v>0</v>
      </c>
      <c r="X5" s="127">
        <f>SUMIFS('3)Target &amp; Cal_Dept'!X$4:X$32,'3)Target &amp; Cal_Dept'!$B$4:$B$32,'3)Target &amp; Cal_AD'!$B5,'3)Target &amp; Cal_Dept'!$A$4:$A$32,'3)Target &amp; Cal_AD'!$C5)</f>
        <v>0</v>
      </c>
      <c r="Y5" s="127">
        <f>SUMIFS('3)Target &amp; Cal_Dept'!Y$4:Y$32,'3)Target &amp; Cal_Dept'!$B$4:$B$32,'3)Target &amp; Cal_AD'!$B5,'3)Target &amp; Cal_Dept'!$A$4:$A$32,'3)Target &amp; Cal_AD'!$C5)</f>
        <v>0</v>
      </c>
      <c r="Z5" s="127">
        <f>SUMIFS('3)Target &amp; Cal_Dept'!Z$4:Z$32,'3)Target &amp; Cal_Dept'!$B$4:$B$32,'3)Target &amp; Cal_AD'!$B5,'3)Target &amp; Cal_Dept'!$A$4:$A$32,'3)Target &amp; Cal_AD'!$C5)</f>
        <v>0</v>
      </c>
      <c r="AA5" s="127">
        <f>SUMIFS('3)Target &amp; Cal_Dept'!AA$4:AA$32,'3)Target &amp; Cal_Dept'!$B$4:$B$32,'3)Target &amp; Cal_AD'!$B5,'3)Target &amp; Cal_Dept'!$A$4:$A$32,'3)Target &amp; Cal_AD'!$C5)</f>
        <v>0</v>
      </c>
      <c r="AB5" s="132">
        <f>IFERROR(IF(VLOOKUP($B5,Shortage!$A:$M,AB$2,FALSE)="Shortage",1,IFERROR(ROUND(P5/D5,4),0)),IFERROR(ROUND(P5/D5,4),0))</f>
        <v>1.1638999999999999</v>
      </c>
      <c r="AC5" s="132">
        <f>IFERROR(IF(VLOOKUP($B5,Shortage!$A:$M,AC$2,FALSE)="Shortage",1,IFERROR(ROUND(Q5/E5,4),0)),IFERROR(ROUND(Q5/E5,4),0))</f>
        <v>0</v>
      </c>
      <c r="AD5" s="132">
        <f>IFERROR(IF(VLOOKUP($B5,Shortage!$A:$M,AD$2,FALSE)="Shortage",1,IFERROR(ROUND(R5/F5,4),0)),IFERROR(ROUND(R5/F5,4),0))</f>
        <v>0</v>
      </c>
      <c r="AE5" s="132">
        <f>IFERROR(IF(VLOOKUP($B5,Shortage!$A:$M,AE$2,FALSE)="Shortage",1,IFERROR(ROUND(S5/G5,4),0)),IFERROR(ROUND(S5/G5,4),0))</f>
        <v>0</v>
      </c>
      <c r="AF5" s="132">
        <f>IFERROR(IF(VLOOKUP($B5,Shortage!$A:$M,AF$2,FALSE)="Shortage",1,IFERROR(ROUND(T5/H5,4),0)),IFERROR(ROUND(T5/H5,4),0))</f>
        <v>0</v>
      </c>
      <c r="AG5" s="132">
        <f>IFERROR(IF(VLOOKUP($B5,Shortage!$A:$M,AG$2,FALSE)="Shortage",1,IFERROR(ROUND(U5/I5,4),0)),IFERROR(ROUND(U5/I5,4),0))</f>
        <v>0</v>
      </c>
      <c r="AH5" s="132">
        <f>IFERROR(IF(VLOOKUP($B5,Shortage!$A:$M,AH$2,FALSE)="Shortage",1,IFERROR(ROUND(V5/J5,4),0)),IFERROR(ROUND(V5/J5,4),0))</f>
        <v>0</v>
      </c>
      <c r="AI5" s="132">
        <f>IFERROR(IF(VLOOKUP($B5,Shortage!$A:$M,AI$2,FALSE)="Shortage",1,IFERROR(ROUND(W5/K5,4),0)),IFERROR(ROUND(W5/K5,4),0))</f>
        <v>0</v>
      </c>
      <c r="AJ5" s="132">
        <f>IFERROR(IF(VLOOKUP($B5,Shortage!$A:$M,AJ$2,FALSE)="Shortage",1,IFERROR(ROUND(X5/L5,4),0)),IFERROR(ROUND(X5/L5,4),0))</f>
        <v>0</v>
      </c>
      <c r="AK5" s="132">
        <f>IFERROR(IF(VLOOKUP($B5,Shortage!$A:$M,AK$2,FALSE)="Shortage",1,IFERROR(ROUND(Y5/M5,4),0)),IFERROR(ROUND(Y5/M5,4),0))</f>
        <v>0</v>
      </c>
      <c r="AL5" s="132">
        <f>IFERROR(IF(VLOOKUP($B5,Shortage!$A:$M,AL$2,FALSE)="Shortage",1,IFERROR(ROUND(Z5/N5,4),0)),IFERROR(ROUND(Z5/N5,4),0))</f>
        <v>0</v>
      </c>
      <c r="AM5" s="132">
        <f>IFERROR(IF(VLOOKUP($B5,Shortage!$A:$M,AM$2,FALSE)="Shortage",1,IFERROR(ROUND(AA5/O5,4),0)),IFERROR(ROUND(AA5/O5,4),0))</f>
        <v>0</v>
      </c>
      <c r="AN5" s="186">
        <f>IFERROR(_xlfn.XLOOKUP(AB5,'2) หลักการคำนวน Table'!$C$3:$K$3,'2) หลักการคำนวน Table'!$C$3:$K$3,,1),INDEX('2) หลักการคำนวน Table'!$C$3:$K$3,1))</f>
        <v>1.2</v>
      </c>
      <c r="AO5" s="186">
        <f>IFERROR(
  _xlfn.XLOOKUP(AC5,'2) หลักการคำนวน Table'!$C$3:$K$3,'2) หลักการคำนวน Table'!$C$3:$K$3,,1),
  IF(AC5&lt;MIN('2) หลักการคำนวน Table'!$C$3:$K$3),
     MIN('2) หลักการคำนวน Table'!$C$3:$K$3),
     MAX('2) หลักการคำนวน Table'!$C$3:$K$3)
  )
)</f>
        <v>0.9</v>
      </c>
      <c r="AP5" s="186">
        <f>IFERROR(
  _xlfn.XLOOKUP(AD5,'2) หลักการคำนวน Table'!$C$3:$K$3,'2) หลักการคำนวน Table'!$C$3:$K$3,,1),
  IF(AD5&lt;MIN('2) หลักการคำนวน Table'!$C$3:$K$3),
     MIN('2) หลักการคำนวน Table'!$C$3:$K$3),
     MAX('2) หลักการคำนวน Table'!$C$3:$K$3)
  )
)</f>
        <v>0.9</v>
      </c>
      <c r="AQ5" s="186">
        <f>IFERROR(
  _xlfn.XLOOKUP(AE5,'2) หลักการคำนวน Table'!$C$3:$K$3,'2) หลักการคำนวน Table'!$C$3:$K$3,,1),
  IF(AE5&lt;MIN('2) หลักการคำนวน Table'!$C$3:$K$3),
     MIN('2) หลักการคำนวน Table'!$C$3:$K$3),
     MAX('2) หลักการคำนวน Table'!$C$3:$K$3)
  )
)</f>
        <v>0.9</v>
      </c>
      <c r="AR5" s="186">
        <f>IFERROR(
  _xlfn.XLOOKUP(AF5,'2) หลักการคำนวน Table'!$C$3:$K$3,'2) หลักการคำนวน Table'!$C$3:$K$3,,1),
  IF(AF5&lt;MIN('2) หลักการคำนวน Table'!$C$3:$K$3),
     MIN('2) หลักการคำนวน Table'!$C$3:$K$3),
     MAX('2) หลักการคำนวน Table'!$C$3:$K$3)
  )
)</f>
        <v>0.9</v>
      </c>
      <c r="AS5" s="186">
        <f>IFERROR(
  _xlfn.XLOOKUP(AG5,'2) หลักการคำนวน Table'!$C$3:$K$3,'2) หลักการคำนวน Table'!$C$3:$K$3,,1),
  IF(AG5&lt;MIN('2) หลักการคำนวน Table'!$C$3:$K$3),
     MIN('2) หลักการคำนวน Table'!$C$3:$K$3),
     MAX('2) หลักการคำนวน Table'!$C$3:$K$3)
  )
)</f>
        <v>0.9</v>
      </c>
      <c r="AT5" s="186">
        <f>IFERROR(
  _xlfn.XLOOKUP(AH5,'2) หลักการคำนวน Table'!$C$3:$K$3,'2) หลักการคำนวน Table'!$C$3:$K$3,,1),
  IF(AH5&lt;MIN('2) หลักการคำนวน Table'!$C$3:$K$3),
     MIN('2) หลักการคำนวน Table'!$C$3:$K$3),
     MAX('2) หลักการคำนวน Table'!$C$3:$K$3)
  )
)</f>
        <v>0.9</v>
      </c>
      <c r="AU5" s="186">
        <f>IFERROR(
  _xlfn.XLOOKUP(AI5,'2) หลักการคำนวน Table'!$C$3:$K$3,'2) หลักการคำนวน Table'!$C$3:$K$3,,1),
  IF(AI5&lt;MIN('2) หลักการคำนวน Table'!$C$3:$K$3),
     MIN('2) หลักการคำนวน Table'!$C$3:$K$3),
     MAX('2) หลักการคำนวน Table'!$C$3:$K$3)
  )
)</f>
        <v>0.9</v>
      </c>
      <c r="AV5" s="186">
        <f>IFERROR(
  _xlfn.XLOOKUP(AJ5,'2) หลักการคำนวน Table'!$C$3:$K$3,'2) หลักการคำนวน Table'!$C$3:$K$3,,1),
  IF(AJ5&lt;MIN('2) หลักการคำนวน Table'!$C$3:$K$3),
     MIN('2) หลักการคำนวน Table'!$C$3:$K$3),
     MAX('2) หลักการคำนวน Table'!$C$3:$K$3)
  )
)</f>
        <v>0.9</v>
      </c>
      <c r="AW5" s="186">
        <f>IFERROR(
  _xlfn.XLOOKUP(AK5,'2) หลักการคำนวน Table'!$C$3:$K$3,'2) หลักการคำนวน Table'!$C$3:$K$3,,1),
  IF(AK5&lt;MIN('2) หลักการคำนวน Table'!$C$3:$K$3),
     MIN('2) หลักการคำนวน Table'!$C$3:$K$3),
     MAX('2) หลักการคำนวน Table'!$C$3:$K$3)
  )
)</f>
        <v>0.9</v>
      </c>
      <c r="AX5" s="186">
        <f>IFERROR(
  _xlfn.XLOOKUP(AL5,'2) หลักการคำนวน Table'!$C$3:$K$3,'2) หลักการคำนวน Table'!$C$3:$K$3,,1),
  IF(AL5&lt;MIN('2) หลักการคำนวน Table'!$C$3:$K$3),
     MIN('2) หลักการคำนวน Table'!$C$3:$K$3),
     MAX('2) หลักการคำนวน Table'!$C$3:$K$3)
  )
)</f>
        <v>0.9</v>
      </c>
      <c r="AY5" s="186">
        <f>IFERROR(
  _xlfn.XLOOKUP(AM5,'2) หลักการคำนวน Table'!$C$3:$K$3,'2) หลักการคำนวน Table'!$C$3:$K$3,,1),
  IF(AM5&lt;MIN('2) หลักการคำนวน Table'!$C$3:$K$3),
     MIN('2) หลักการคำนวน Table'!$C$3:$K$3),
     MAX('2) หลักการคำนวน Table'!$C$3:$K$3)
  )
)</f>
        <v>0.9</v>
      </c>
      <c r="AZ5" s="135" t="e" cm="1">
        <f t="array" ref="AZ5">(_xlfn.XLOOKUP($C5,'2) หลักการคำนวน Table'!$A$4:$A$36,
_xlfn.XLOOKUP(AN5,'2)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A5" s="135" t="e" cm="1">
        <f t="array" ref="BA5">(_xlfn.XLOOKUP($C5,'2) หลักการคำนวน Table'!$A$4:$A$36,
_xlfn.XLOOKUP(AO5,'2)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B5" s="135" t="e" cm="1">
        <f t="array" ref="BB5">(_xlfn.XLOOKUP($C5,'2) หลักการคำนวน Table'!$A$4:$A$36,
_xlfn.XLOOKUP(AP5,'2)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C5" s="135" t="e" cm="1">
        <f t="array" ref="BC5">(_xlfn.XLOOKUP($C5,'2) หลักการคำนวน Table'!$A$4:$A$36,
_xlfn.XLOOKUP(AQ5,'2)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D5" s="135" t="e" cm="1">
        <f t="array" ref="BD5">(_xlfn.XLOOKUP($C5,'2) หลักการคำนวน Table'!$A$4:$A$36,
_xlfn.XLOOKUP(AR5,'2)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E5" s="135" t="e" cm="1">
        <f t="array" ref="BE5">(_xlfn.XLOOKUP($C5,'2) หลักการคำนวน Table'!$A$4:$A$36,
_xlfn.XLOOKUP(AS5,'2)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F5" s="135" t="e" cm="1">
        <f t="array" ref="BF5">(_xlfn.XLOOKUP($C5,'2) หลักการคำนวน Table'!$A$4:$A$36,
_xlfn.XLOOKUP(AT5,'2)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G5" s="135" t="e" cm="1">
        <f t="array" ref="BG5">(_xlfn.XLOOKUP($C5,'2) หลักการคำนวน Table'!$A$4:$A$36,
_xlfn.XLOOKUP(AU5,'2)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</f>
        <v>#N/A</v>
      </c>
      <c r="BH5" s="135" t="e" cm="1">
        <f t="array" ref="BH5">ROUND((_xlfn.XLOOKUP($C5,'2) หลักการคำนวน Table'!$A$4:$A$36,
_xlfn.XLOOKUP(AV5,'2)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I5" s="135" t="e" cm="1">
        <f t="array" ref="BI5">ROUND((_xlfn.XLOOKUP($C5,'2) หลักการคำนวน Table'!$A$4:$A$36,
_xlfn.XLOOKUP(AW5,'2)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J5" s="135" t="e" cm="1">
        <f t="array" ref="BJ5">ROUND((_xlfn.XLOOKUP($C5,'2) หลักการคำนวน Table'!$A$4:$A$36,
_xlfn.XLOOKUP(AX5,'2)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K5" s="135" t="e" cm="1">
        <f t="array" ref="BK5">ROUND((_xlfn.XLOOKUP($C5,'2) หลักการคำนวน Table'!$A$4:$A$36,
_xlfn.XLOOKUP(AY5,'2) หลักการคำนวน Table'!$C$3:$K$3,'2) หลักการคำนวน Table'!$C$4:$K$36,,-1)))*(_xlfn.XLOOKUP($C5,'2) หลักการคำนวน Table'!$A$4:$A$36, _xlfn.XLOOKUP($B5,'2) หลักการคำนวน Table'!$L$3:$Z$3,'2) หลักการคำนวน Table'!$L$4:$Z$36))),0)</f>
        <v>#N/A</v>
      </c>
      <c r="BL5" s="239"/>
      <c r="BM5" s="126">
        <v>222222</v>
      </c>
      <c r="BN5" s="245">
        <v>390</v>
      </c>
    </row>
    <row r="6" spans="1:66" ht="13.2" customHeight="1" x14ac:dyDescent="0.25">
      <c r="A6" s="128" t="e">
        <f>VLOOKUP(C6,ASTBase!F:S,12,FALSE)</f>
        <v>#N/A</v>
      </c>
      <c r="B6" s="278" t="s">
        <v>416</v>
      </c>
      <c r="C6" s="128">
        <v>222222</v>
      </c>
      <c r="D6" s="127">
        <f>SUMIFS('3)Target &amp; Cal_Dept'!D$4:D$31,'3)Target &amp; Cal_Dept'!$B$4:$B$31,'3)Target &amp; Cal_AD'!$B6,'3)Target &amp; Cal_Dept'!$A$4:$A$31,'3)Target &amp; Cal_AD'!$C6)</f>
        <v>1176.2</v>
      </c>
      <c r="E6" s="127">
        <f>SUMIFS('3)Target &amp; Cal_Dept'!E$4:E$31,'3)Target &amp; Cal_Dept'!$B$4:$B$31,'3)Target &amp; Cal_AD'!$B6,'3)Target &amp; Cal_Dept'!$A$4:$A$31,'3)Target &amp; Cal_AD'!$C6)</f>
        <v>1353.6</v>
      </c>
      <c r="F6" s="127">
        <f>SUMIFS('3)Target &amp; Cal_Dept'!F$4:F$31,'3)Target &amp; Cal_Dept'!$B$4:$B$31,'3)Target &amp; Cal_AD'!$B6,'3)Target &amp; Cal_Dept'!$A$4:$A$31,'3)Target &amp; Cal_AD'!$C6)</f>
        <v>1514.6</v>
      </c>
      <c r="G6" s="127">
        <f>SUMIFS('3)Target &amp; Cal_Dept'!G$4:G$31,'3)Target &amp; Cal_Dept'!$B$4:$B$31,'3)Target &amp; Cal_AD'!$B6,'3)Target &amp; Cal_Dept'!$A$4:$A$31,'3)Target &amp; Cal_AD'!$C6)</f>
        <v>2491.8000000000002</v>
      </c>
      <c r="H6" s="127">
        <f>SUMIFS('3)Target &amp; Cal_Dept'!H$4:H$31,'3)Target &amp; Cal_Dept'!$B$4:$B$31,'3)Target &amp; Cal_AD'!$B6,'3)Target &amp; Cal_Dept'!$A$4:$A$31,'3)Target &amp; Cal_AD'!$C6)</f>
        <v>2613</v>
      </c>
      <c r="I6" s="127">
        <f>SUMIFS('3)Target &amp; Cal_Dept'!I$4:I$31,'3)Target &amp; Cal_Dept'!$B$4:$B$31,'3)Target &amp; Cal_AD'!$B6,'3)Target &amp; Cal_Dept'!$A$4:$A$31,'3)Target &amp; Cal_AD'!$C6)</f>
        <v>2242.25</v>
      </c>
      <c r="J6" s="127">
        <f>SUMIFS('3)Target &amp; Cal_Dept'!J$4:J$31,'3)Target &amp; Cal_Dept'!$B$4:$B$31,'3)Target &amp; Cal_AD'!$B6,'3)Target &amp; Cal_Dept'!$A$4:$A$31,'3)Target &amp; Cal_AD'!$C6)</f>
        <v>4056.7</v>
      </c>
      <c r="K6" s="127">
        <f>SUMIFS('3)Target &amp; Cal_Dept'!K$4:K$31,'3)Target &amp; Cal_Dept'!$B$4:$B$31,'3)Target &amp; Cal_AD'!$B6,'3)Target &amp; Cal_Dept'!$A$4:$A$31,'3)Target &amp; Cal_AD'!$C6)</f>
        <v>4221.45</v>
      </c>
      <c r="L6" s="127">
        <v>981558.99999999895</v>
      </c>
      <c r="M6" s="127">
        <v>859284</v>
      </c>
      <c r="N6" s="127">
        <v>709230.99999999895</v>
      </c>
      <c r="O6" s="127">
        <v>868575.07637530332</v>
      </c>
      <c r="P6" s="310">
        <f>SUMIFS('3)Target &amp; Cal_Dept'!P$4:P$32,'3)Target &amp; Cal_Dept'!$B$4:$B$32,'3)Target &amp; Cal_AD'!$B6,'3)Target &amp; Cal_Dept'!$A$4:$A$32,'3)Target &amp; Cal_AD'!$C6)</f>
        <v>1800.9999999622105</v>
      </c>
      <c r="Q6" s="127">
        <f>SUMIFS('3)Target &amp; Cal_Dept'!Q$4:Q$32,'3)Target &amp; Cal_Dept'!$B$4:$B$32,'3)Target &amp; Cal_AD'!$B6,'3)Target &amp; Cal_Dept'!$A$4:$A$32,'3)Target &amp; Cal_AD'!$C6)</f>
        <v>0</v>
      </c>
      <c r="R6" s="127">
        <f>SUMIFS('3)Target &amp; Cal_Dept'!R$4:R$32,'3)Target &amp; Cal_Dept'!$B$4:$B$32,'3)Target &amp; Cal_AD'!$B6,'3)Target &amp; Cal_Dept'!$A$4:$A$32,'3)Target &amp; Cal_AD'!$C6)</f>
        <v>0</v>
      </c>
      <c r="S6" s="127">
        <f>SUMIFS('3)Target &amp; Cal_Dept'!S$4:S$32,'3)Target &amp; Cal_Dept'!$B$4:$B$32,'3)Target &amp; Cal_AD'!$B6,'3)Target &amp; Cal_Dept'!$A$4:$A$32,'3)Target &amp; Cal_AD'!$C6)</f>
        <v>0</v>
      </c>
      <c r="T6" s="127">
        <f>SUMIFS('3)Target &amp; Cal_Dept'!T$4:T$32,'3)Target &amp; Cal_Dept'!$B$4:$B$32,'3)Target &amp; Cal_AD'!$B6,'3)Target &amp; Cal_Dept'!$A$4:$A$32,'3)Target &amp; Cal_AD'!$C6)</f>
        <v>0</v>
      </c>
      <c r="U6" s="127">
        <f>SUMIFS('3)Target &amp; Cal_Dept'!U$4:U$32,'3)Target &amp; Cal_Dept'!$B$4:$B$32,'3)Target &amp; Cal_AD'!$B6,'3)Target &amp; Cal_Dept'!$A$4:$A$32,'3)Target &amp; Cal_AD'!$C6)</f>
        <v>0</v>
      </c>
      <c r="V6" s="127">
        <f>SUMIFS('3)Target &amp; Cal_Dept'!V$4:V$32,'3)Target &amp; Cal_Dept'!$B$4:$B$32,'3)Target &amp; Cal_AD'!$B6,'3)Target &amp; Cal_Dept'!$A$4:$A$32,'3)Target &amp; Cal_AD'!$C6)</f>
        <v>0</v>
      </c>
      <c r="W6" s="127">
        <f>SUMIFS('3)Target &amp; Cal_Dept'!W$4:W$32,'3)Target &amp; Cal_Dept'!$B$4:$B$32,'3)Target &amp; Cal_AD'!$B6,'3)Target &amp; Cal_Dept'!$A$4:$A$32,'3)Target &amp; Cal_AD'!$C6)</f>
        <v>0</v>
      </c>
      <c r="X6" s="127">
        <f>SUMIFS('3)Target &amp; Cal_Dept'!X$4:X$32,'3)Target &amp; Cal_Dept'!$B$4:$B$32,'3)Target &amp; Cal_AD'!$B6,'3)Target &amp; Cal_Dept'!$A$4:$A$32,'3)Target &amp; Cal_AD'!$C6)</f>
        <v>0</v>
      </c>
      <c r="Y6" s="127">
        <f>SUMIFS('3)Target &amp; Cal_Dept'!Y$4:Y$32,'3)Target &amp; Cal_Dept'!$B$4:$B$32,'3)Target &amp; Cal_AD'!$B6,'3)Target &amp; Cal_Dept'!$A$4:$A$32,'3)Target &amp; Cal_AD'!$C6)</f>
        <v>0</v>
      </c>
      <c r="Z6" s="127">
        <f>SUMIFS('3)Target &amp; Cal_Dept'!Z$4:Z$32,'3)Target &amp; Cal_Dept'!$B$4:$B$32,'3)Target &amp; Cal_AD'!$B6,'3)Target &amp; Cal_Dept'!$A$4:$A$32,'3)Target &amp; Cal_AD'!$C6)</f>
        <v>0</v>
      </c>
      <c r="AA6" s="127">
        <f>SUMIFS('3)Target &amp; Cal_Dept'!AA$4:AA$32,'3)Target &amp; Cal_Dept'!$B$4:$B$32,'3)Target &amp; Cal_AD'!$B6,'3)Target &amp; Cal_Dept'!$A$4:$A$32,'3)Target &amp; Cal_AD'!$C6)</f>
        <v>0</v>
      </c>
      <c r="AB6" s="132">
        <f>IFERROR(IF(VLOOKUP($B6,Shortage!$A:$M,AB$2,FALSE)="Shortage",1,IFERROR(ROUND(P6/D6,4),0)),IFERROR(ROUND(P6/D6,4),0))</f>
        <v>1.5311999999999999</v>
      </c>
      <c r="AC6" s="132">
        <f>IFERROR(IF(VLOOKUP($B6,Shortage!$A:$M,AC$2,FALSE)="Shortage",1,IFERROR(ROUND(Q6/E6,4),0)),IFERROR(ROUND(Q6/E6,4),0))</f>
        <v>0</v>
      </c>
      <c r="AD6" s="132">
        <f>IFERROR(IF(VLOOKUP($B6,Shortage!$A:$M,AD$2,FALSE)="Shortage",1,IFERROR(ROUND(R6/F6,4),0)),IFERROR(ROUND(R6/F6,4),0))</f>
        <v>0</v>
      </c>
      <c r="AE6" s="132">
        <f>IFERROR(IF(VLOOKUP($B6,Shortage!$A:$M,AE$2,FALSE)="Shortage",1,IFERROR(ROUND(S6/G6,4),0)),IFERROR(ROUND(S6/G6,4),0))</f>
        <v>0</v>
      </c>
      <c r="AF6" s="132">
        <f>IFERROR(IF(VLOOKUP($B6,Shortage!$A:$M,AF$2,FALSE)="Shortage",1,IFERROR(ROUND(T6/H6,4),0)),IFERROR(ROUND(T6/H6,4),0))</f>
        <v>0</v>
      </c>
      <c r="AG6" s="132">
        <f>IFERROR(IF(VLOOKUP($B6,Shortage!$A:$M,AG$2,FALSE)="Shortage",1,IFERROR(ROUND(U6/I6,4),0)),IFERROR(ROUND(U6/I6,4),0))</f>
        <v>0</v>
      </c>
      <c r="AH6" s="132">
        <f>IFERROR(IF(VLOOKUP($B6,Shortage!$A:$M,AH$2,FALSE)="Shortage",1,IFERROR(ROUND(V6/J6,4),0)),IFERROR(ROUND(V6/J6,4),0))</f>
        <v>0</v>
      </c>
      <c r="AI6" s="132">
        <f>IFERROR(IF(VLOOKUP($B6,Shortage!$A:$M,AI$2,FALSE)="Shortage",1,IFERROR(ROUND(W6/K6,4),0)),IFERROR(ROUND(W6/K6,4),0))</f>
        <v>0</v>
      </c>
      <c r="AJ6" s="132">
        <f>IFERROR(IF(VLOOKUP($B6,Shortage!$A:$M,AJ$2,FALSE)="Shortage",1,IFERROR(ROUND(X6/L6,4),0)),IFERROR(ROUND(X6/L6,4),0))</f>
        <v>0</v>
      </c>
      <c r="AK6" s="132">
        <f>IFERROR(IF(VLOOKUP($B6,Shortage!$A:$M,AK$2,FALSE)="Shortage",1,IFERROR(ROUND(Y6/M6,4),0)),IFERROR(ROUND(Y6/M6,4),0))</f>
        <v>0</v>
      </c>
      <c r="AL6" s="132">
        <f>IFERROR(IF(VLOOKUP($B6,Shortage!$A:$M,AL$2,FALSE)="Shortage",1,IFERROR(ROUND(Z6/N6,4),0)),IFERROR(ROUND(Z6/N6,4),0))</f>
        <v>0</v>
      </c>
      <c r="AM6" s="132">
        <f>IFERROR(IF(VLOOKUP($B6,Shortage!$A:$M,AM$2,FALSE)="Shortage",1,IFERROR(ROUND(AA6/O6,4),0)),IFERROR(ROUND(AA6/O6,4),0))</f>
        <v>0</v>
      </c>
      <c r="AN6" s="186">
        <f>IFERROR(_xlfn.XLOOKUP(AB6,'2) หลักการคำนวน Table'!$C$3:$K$3,'2) หลักการคำนวน Table'!$C$3:$K$3,,1),INDEX('2) หลักการคำนวน Table'!$C$3:$K$3,1))</f>
        <v>20</v>
      </c>
      <c r="AO6" s="186">
        <f>IFERROR(
  _xlfn.XLOOKUP(AC6,'2) หลักการคำนวน Table'!$C$3:$K$3,'2) หลักการคำนวน Table'!$C$3:$K$3,,1),
  IF(AC6&lt;MIN('2) หลักการคำนวน Table'!$C$3:$K$3),
     MIN('2) หลักการคำนวน Table'!$C$3:$K$3),
     MAX('2) หลักการคำนวน Table'!$C$3:$K$3)
  )
)</f>
        <v>0.9</v>
      </c>
      <c r="AP6" s="186">
        <f>IFERROR(
  _xlfn.XLOOKUP(AD6,'2) หลักการคำนวน Table'!$C$3:$K$3,'2) หลักการคำนวน Table'!$C$3:$K$3,,1),
  IF(AD6&lt;MIN('2) หลักการคำนวน Table'!$C$3:$K$3),
     MIN('2) หลักการคำนวน Table'!$C$3:$K$3),
     MAX('2) หลักการคำนวน Table'!$C$3:$K$3)
  )
)</f>
        <v>0.9</v>
      </c>
      <c r="AQ6" s="186">
        <f>IFERROR(
  _xlfn.XLOOKUP(AE6,'2) หลักการคำนวน Table'!$C$3:$K$3,'2) หลักการคำนวน Table'!$C$3:$K$3,,1),
  IF(AE6&lt;MIN('2) หลักการคำนวน Table'!$C$3:$K$3),
     MIN('2) หลักการคำนวน Table'!$C$3:$K$3),
     MAX('2) หลักการคำนวน Table'!$C$3:$K$3)
  )
)</f>
        <v>0.9</v>
      </c>
      <c r="AR6" s="186">
        <f>IFERROR(
  _xlfn.XLOOKUP(AF6,'2) หลักการคำนวน Table'!$C$3:$K$3,'2) หลักการคำนวน Table'!$C$3:$K$3,,1),
  IF(AF6&lt;MIN('2) หลักการคำนวน Table'!$C$3:$K$3),
     MIN('2) หลักการคำนวน Table'!$C$3:$K$3),
     MAX('2) หลักการคำนวน Table'!$C$3:$K$3)
  )
)</f>
        <v>0.9</v>
      </c>
      <c r="AS6" s="186">
        <f>IFERROR(
  _xlfn.XLOOKUP(AG6,'2) หลักการคำนวน Table'!$C$3:$K$3,'2) หลักการคำนวน Table'!$C$3:$K$3,,1),
  IF(AG6&lt;MIN('2) หลักการคำนวน Table'!$C$3:$K$3),
     MIN('2) หลักการคำนวน Table'!$C$3:$K$3),
     MAX('2) หลักการคำนวน Table'!$C$3:$K$3)
  )
)</f>
        <v>0.9</v>
      </c>
      <c r="AT6" s="186">
        <f>IFERROR(
  _xlfn.XLOOKUP(AH6,'2) หลักการคำนวน Table'!$C$3:$K$3,'2) หลักการคำนวน Table'!$C$3:$K$3,,1),
  IF(AH6&lt;MIN('2) หลักการคำนวน Table'!$C$3:$K$3),
     MIN('2) หลักการคำนวน Table'!$C$3:$K$3),
     MAX('2) หลักการคำนวน Table'!$C$3:$K$3)
  )
)</f>
        <v>0.9</v>
      </c>
      <c r="AU6" s="186">
        <f>IFERROR(
  _xlfn.XLOOKUP(AI6,'2) หลักการคำนวน Table'!$C$3:$K$3,'2) หลักการคำนวน Table'!$C$3:$K$3,,1),
  IF(AI6&lt;MIN('2) หลักการคำนวน Table'!$C$3:$K$3),
     MIN('2) หลักการคำนวน Table'!$C$3:$K$3),
     MAX('2) หลักการคำนวน Table'!$C$3:$K$3)
  )
)</f>
        <v>0.9</v>
      </c>
      <c r="AV6" s="186">
        <f>IFERROR(
  _xlfn.XLOOKUP(AJ6,'2) หลักการคำนวน Table'!$C$3:$K$3,'2) หลักการคำนวน Table'!$C$3:$K$3,,1),
  IF(AJ6&lt;MIN('2) หลักการคำนวน Table'!$C$3:$K$3),
     MIN('2) หลักการคำนวน Table'!$C$3:$K$3),
     MAX('2) หลักการคำนวน Table'!$C$3:$K$3)
  )
)</f>
        <v>0.9</v>
      </c>
      <c r="AW6" s="186">
        <f>IFERROR(
  _xlfn.XLOOKUP(AK6,'2) หลักการคำนวน Table'!$C$3:$K$3,'2) หลักการคำนวน Table'!$C$3:$K$3,,1),
  IF(AK6&lt;MIN('2) หลักการคำนวน Table'!$C$3:$K$3),
     MIN('2) หลักการคำนวน Table'!$C$3:$K$3),
     MAX('2) หลักการคำนวน Table'!$C$3:$K$3)
  )
)</f>
        <v>0.9</v>
      </c>
      <c r="AX6" s="186">
        <f>IFERROR(
  _xlfn.XLOOKUP(AL6,'2) หลักการคำนวน Table'!$C$3:$K$3,'2) หลักการคำนวน Table'!$C$3:$K$3,,1),
  IF(AL6&lt;MIN('2) หลักการคำนวน Table'!$C$3:$K$3),
     MIN('2) หลักการคำนวน Table'!$C$3:$K$3),
     MAX('2) หลักการคำนวน Table'!$C$3:$K$3)
  )
)</f>
        <v>0.9</v>
      </c>
      <c r="AY6" s="186">
        <f>IFERROR(
  _xlfn.XLOOKUP(AM6,'2) หลักการคำนวน Table'!$C$3:$K$3,'2) หลักการคำนวน Table'!$C$3:$K$3,,1),
  IF(AM6&lt;MIN('2) หลักการคำนวน Table'!$C$3:$K$3),
     MIN('2) หลักการคำนวน Table'!$C$3:$K$3),
     MAX('2) หลักการคำนวน Table'!$C$3:$K$3)
  )
)</f>
        <v>0.9</v>
      </c>
      <c r="AZ6" s="135" t="e" cm="1">
        <f t="array" ref="AZ6">(_xlfn.XLOOKUP($C6,'2) หลักการคำนวน Table'!$A$4:$A$36,
_xlfn.XLOOKUP(AN6,'2)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A6" s="135" t="e" cm="1">
        <f t="array" ref="BA6">(_xlfn.XLOOKUP($C6,'2) หลักการคำนวน Table'!$A$4:$A$36,
_xlfn.XLOOKUP(AO6,'2)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B6" s="135" t="e" cm="1">
        <f t="array" ref="BB6">(_xlfn.XLOOKUP($C6,'2) หลักการคำนวน Table'!$A$4:$A$36,
_xlfn.XLOOKUP(AP6,'2)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C6" s="135" t="e" cm="1">
        <f t="array" ref="BC6">(_xlfn.XLOOKUP($C6,'2) หลักการคำนวน Table'!$A$4:$A$36,
_xlfn.XLOOKUP(AQ6,'2)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D6" s="135" t="e" cm="1">
        <f t="array" ref="BD6">(_xlfn.XLOOKUP($C6,'2) หลักการคำนวน Table'!$A$4:$A$36,
_xlfn.XLOOKUP(AR6,'2)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E6" s="135" t="e" cm="1">
        <f t="array" ref="BE6">(_xlfn.XLOOKUP($C6,'2) หลักการคำนวน Table'!$A$4:$A$36,
_xlfn.XLOOKUP(AS6,'2)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F6" s="135" t="e" cm="1">
        <f t="array" ref="BF6">(_xlfn.XLOOKUP($C6,'2) หลักการคำนวน Table'!$A$4:$A$36,
_xlfn.XLOOKUP(AT6,'2)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G6" s="135" t="e" cm="1">
        <f t="array" ref="BG6">(_xlfn.XLOOKUP($C6,'2) หลักการคำนวน Table'!$A$4:$A$36,
_xlfn.XLOOKUP(AU6,'2)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</f>
        <v>#N/A</v>
      </c>
      <c r="BH6" s="135" t="e" cm="1">
        <f t="array" ref="BH6">ROUND((_xlfn.XLOOKUP($C6,'2) หลักการคำนวน Table'!$A$4:$A$36,
_xlfn.XLOOKUP(AV6,'2)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I6" s="135" t="e" cm="1">
        <f t="array" ref="BI6">ROUND((_xlfn.XLOOKUP($C6,'2) หลักการคำนวน Table'!$A$4:$A$36,
_xlfn.XLOOKUP(AW6,'2)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J6" s="135" t="e" cm="1">
        <f t="array" ref="BJ6">ROUND((_xlfn.XLOOKUP($C6,'2) หลักการคำนวน Table'!$A$4:$A$36,
_xlfn.XLOOKUP(AX6,'2)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K6" s="135" t="e" cm="1">
        <f t="array" ref="BK6">ROUND((_xlfn.XLOOKUP($C6,'2) หลักการคำนวน Table'!$A$4:$A$36,
_xlfn.XLOOKUP(AY6,'2) หลักการคำนวน Table'!$C$3:$K$3,'2) หลักการคำนวน Table'!$C$4:$K$36,,-1)))*(_xlfn.XLOOKUP($C6,'2) หลักการคำนวน Table'!$A$4:$A$36, _xlfn.XLOOKUP($B6,'2) หลักการคำนวน Table'!$L$3:$Z$3,'2) หลักการคำนวน Table'!$L$4:$Z$36))),0)</f>
        <v>#N/A</v>
      </c>
      <c r="BL6" s="239"/>
      <c r="BM6" s="126">
        <v>222222</v>
      </c>
      <c r="BN6" s="245">
        <v>702</v>
      </c>
    </row>
    <row r="7" spans="1:66" ht="13.2" customHeight="1" x14ac:dyDescent="0.25">
      <c r="A7" s="128" t="e">
        <f>VLOOKUP(C7,ASTBase!F:S,12,FALSE)</f>
        <v>#N/A</v>
      </c>
      <c r="B7" s="278" t="s">
        <v>407</v>
      </c>
      <c r="C7" s="128">
        <v>222222</v>
      </c>
      <c r="D7" s="310">
        <f>SUMIFS('3)Target &amp; Cal_Dept'!D$4:D$31,'3)Target &amp; Cal_Dept'!$B$4:$B$31,'3)Target &amp; Cal_AD'!$B7,'3)Target &amp; Cal_Dept'!$A$4:$A$31,'3)Target &amp; Cal_AD'!$C7)</f>
        <v>988846.99999999837</v>
      </c>
      <c r="E7" s="127">
        <f>SUMIFS('3)Target &amp; Cal_Dept'!E$4:E$31,'3)Target &amp; Cal_Dept'!$B$4:$B$31,'3)Target &amp; Cal_AD'!$B7,'3)Target &amp; Cal_Dept'!$A$4:$A$31,'3)Target &amp; Cal_AD'!$C7)</f>
        <v>901429.99999999837</v>
      </c>
      <c r="F7" s="127">
        <f>SUMIFS('3)Target &amp; Cal_Dept'!F$4:F$31,'3)Target &amp; Cal_Dept'!$B$4:$B$31,'3)Target &amp; Cal_AD'!$B7,'3)Target &amp; Cal_Dept'!$A$4:$A$31,'3)Target &amp; Cal_AD'!$C7)</f>
        <v>994610</v>
      </c>
      <c r="G7" s="127">
        <f>SUMIFS('3)Target &amp; Cal_Dept'!G$4:G$31,'3)Target &amp; Cal_Dept'!$B$4:$B$31,'3)Target &amp; Cal_AD'!$B7,'3)Target &amp; Cal_Dept'!$A$4:$A$31,'3)Target &amp; Cal_AD'!$C7)</f>
        <v>945677.9999999986</v>
      </c>
      <c r="H7" s="127">
        <f>SUMIFS('3)Target &amp; Cal_Dept'!H$4:H$31,'3)Target &amp; Cal_Dept'!$B$4:$B$31,'3)Target &amp; Cal_AD'!$B7,'3)Target &amp; Cal_Dept'!$A$4:$A$31,'3)Target &amp; Cal_AD'!$C7)</f>
        <v>1014162.9999999789</v>
      </c>
      <c r="I7" s="127">
        <f>SUMIFS('3)Target &amp; Cal_Dept'!I$4:I$31,'3)Target &amp; Cal_Dept'!$B$4:$B$31,'3)Target &amp; Cal_AD'!$B7,'3)Target &amp; Cal_Dept'!$A$4:$A$31,'3)Target &amp; Cal_AD'!$C7)</f>
        <v>990544.99999999476</v>
      </c>
      <c r="J7" s="127">
        <f>SUMIFS('3)Target &amp; Cal_Dept'!J$4:J$31,'3)Target &amp; Cal_Dept'!$B$4:$B$31,'3)Target &amp; Cal_AD'!$B7,'3)Target &amp; Cal_Dept'!$A$4:$A$31,'3)Target &amp; Cal_AD'!$C7)</f>
        <v>950951.99999999837</v>
      </c>
      <c r="K7" s="127">
        <f>SUMIFS('3)Target &amp; Cal_Dept'!K$4:K$31,'3)Target &amp; Cal_Dept'!$B$4:$B$31,'3)Target &amp; Cal_AD'!$B7,'3)Target &amp; Cal_Dept'!$A$4:$A$31,'3)Target &amp; Cal_AD'!$C7)</f>
        <v>1049961.9999999942</v>
      </c>
      <c r="L7" s="127">
        <v>249395</v>
      </c>
      <c r="M7" s="127">
        <v>287811</v>
      </c>
      <c r="N7" s="127">
        <v>158938</v>
      </c>
      <c r="O7" s="127">
        <v>233335</v>
      </c>
      <c r="P7" s="310">
        <f>SUMIFS('3)Target &amp; Cal_Dept'!P$4:P$32,'3)Target &amp; Cal_Dept'!$B$4:$B$32,'3)Target &amp; Cal_AD'!$B7,'3)Target &amp; Cal_Dept'!$A$4:$A$32,'3)Target &amp; Cal_AD'!$C7)</f>
        <v>883887.99999143463</v>
      </c>
      <c r="Q7" s="127">
        <f>SUMIFS('3)Target &amp; Cal_Dept'!Q$4:Q$32,'3)Target &amp; Cal_Dept'!$B$4:$B$32,'3)Target &amp; Cal_AD'!$B7,'3)Target &amp; Cal_Dept'!$A$4:$A$32,'3)Target &amp; Cal_AD'!$C7)</f>
        <v>0</v>
      </c>
      <c r="R7" s="127">
        <f>SUMIFS('3)Target &amp; Cal_Dept'!R$4:R$32,'3)Target &amp; Cal_Dept'!$B$4:$B$32,'3)Target &amp; Cal_AD'!$B7,'3)Target &amp; Cal_Dept'!$A$4:$A$32,'3)Target &amp; Cal_AD'!$C7)</f>
        <v>0</v>
      </c>
      <c r="S7" s="127">
        <f>SUMIFS('3)Target &amp; Cal_Dept'!S$4:S$32,'3)Target &amp; Cal_Dept'!$B$4:$B$32,'3)Target &amp; Cal_AD'!$B7,'3)Target &amp; Cal_Dept'!$A$4:$A$32,'3)Target &amp; Cal_AD'!$C7)</f>
        <v>0</v>
      </c>
      <c r="T7" s="127">
        <f>SUMIFS('3)Target &amp; Cal_Dept'!T$4:T$32,'3)Target &amp; Cal_Dept'!$B$4:$B$32,'3)Target &amp; Cal_AD'!$B7,'3)Target &amp; Cal_Dept'!$A$4:$A$32,'3)Target &amp; Cal_AD'!$C7)</f>
        <v>0</v>
      </c>
      <c r="U7" s="127">
        <f>SUMIFS('3)Target &amp; Cal_Dept'!U$4:U$32,'3)Target &amp; Cal_Dept'!$B$4:$B$32,'3)Target &amp; Cal_AD'!$B7,'3)Target &amp; Cal_Dept'!$A$4:$A$32,'3)Target &amp; Cal_AD'!$C7)</f>
        <v>0</v>
      </c>
      <c r="V7" s="127">
        <f>SUMIFS('3)Target &amp; Cal_Dept'!V$4:V$32,'3)Target &amp; Cal_Dept'!$B$4:$B$32,'3)Target &amp; Cal_AD'!$B7,'3)Target &amp; Cal_Dept'!$A$4:$A$32,'3)Target &amp; Cal_AD'!$C7)</f>
        <v>0</v>
      </c>
      <c r="W7" s="127">
        <f>SUMIFS('3)Target &amp; Cal_Dept'!W$4:W$32,'3)Target &amp; Cal_Dept'!$B$4:$B$32,'3)Target &amp; Cal_AD'!$B7,'3)Target &amp; Cal_Dept'!$A$4:$A$32,'3)Target &amp; Cal_AD'!$C7)</f>
        <v>0</v>
      </c>
      <c r="X7" s="127">
        <f>SUMIFS('3)Target &amp; Cal_Dept'!X$4:X$32,'3)Target &amp; Cal_Dept'!$B$4:$B$32,'3)Target &amp; Cal_AD'!$B7,'3)Target &amp; Cal_Dept'!$A$4:$A$32,'3)Target &amp; Cal_AD'!$C7)</f>
        <v>0</v>
      </c>
      <c r="Y7" s="127">
        <f>SUMIFS('3)Target &amp; Cal_Dept'!Y$4:Y$32,'3)Target &amp; Cal_Dept'!$B$4:$B$32,'3)Target &amp; Cal_AD'!$B7,'3)Target &amp; Cal_Dept'!$A$4:$A$32,'3)Target &amp; Cal_AD'!$C7)</f>
        <v>0</v>
      </c>
      <c r="Z7" s="127">
        <f>SUMIFS('3)Target &amp; Cal_Dept'!Z$4:Z$32,'3)Target &amp; Cal_Dept'!$B$4:$B$32,'3)Target &amp; Cal_AD'!$B7,'3)Target &amp; Cal_Dept'!$A$4:$A$32,'3)Target &amp; Cal_AD'!$C7)</f>
        <v>0</v>
      </c>
      <c r="AA7" s="127">
        <f>SUMIFS('3)Target &amp; Cal_Dept'!AA$4:AA$32,'3)Target &amp; Cal_Dept'!$B$4:$B$32,'3)Target &amp; Cal_AD'!$B7,'3)Target &amp; Cal_Dept'!$A$4:$A$32,'3)Target &amp; Cal_AD'!$C7)</f>
        <v>0</v>
      </c>
      <c r="AB7" s="132">
        <f>IFERROR(IF(VLOOKUP($B7,Shortage!$A:$M,AB$2,FALSE)="Shortage",1,IFERROR(ROUND(P7/D7,4),0)),IFERROR(ROUND(P7/D7,4),0))</f>
        <v>0.89390000000000003</v>
      </c>
      <c r="AC7" s="132">
        <f>IFERROR(IF(VLOOKUP($B7,Shortage!$A:$M,AC$2,FALSE)="Shortage",1,IFERROR(ROUND(Q7/E7,4),0)),IFERROR(ROUND(Q7/E7,4),0))</f>
        <v>0</v>
      </c>
      <c r="AD7" s="132">
        <f>IFERROR(IF(VLOOKUP($B7,Shortage!$A:$M,AD$2,FALSE)="Shortage",1,IFERROR(ROUND(R7/F7,4),0)),IFERROR(ROUND(R7/F7,4),0))</f>
        <v>0</v>
      </c>
      <c r="AE7" s="132">
        <f>IFERROR(IF(VLOOKUP($B7,Shortage!$A:$M,AE$2,FALSE)="Shortage",1,IFERROR(ROUND(S7/G7,4),0)),IFERROR(ROUND(S7/G7,4),0))</f>
        <v>0</v>
      </c>
      <c r="AF7" s="132">
        <f>IFERROR(IF(VLOOKUP($B7,Shortage!$A:$M,AF$2,FALSE)="Shortage",1,IFERROR(ROUND(T7/H7,4),0)),IFERROR(ROUND(T7/H7,4),0))</f>
        <v>0</v>
      </c>
      <c r="AG7" s="132">
        <f>IFERROR(IF(VLOOKUP($B7,Shortage!$A:$M,AG$2,FALSE)="Shortage",1,IFERROR(ROUND(U7/I7,4),0)),IFERROR(ROUND(U7/I7,4),0))</f>
        <v>0</v>
      </c>
      <c r="AH7" s="132">
        <f>IFERROR(IF(VLOOKUP($B7,Shortage!$A:$M,AH$2,FALSE)="Shortage",1,IFERROR(ROUND(V7/J7,4),0)),IFERROR(ROUND(V7/J7,4),0))</f>
        <v>0</v>
      </c>
      <c r="AI7" s="132">
        <f>IFERROR(IF(VLOOKUP($B7,Shortage!$A:$M,AI$2,FALSE)="Shortage",1,IFERROR(ROUND(W7/K7,4),0)),IFERROR(ROUND(W7/K7,4),0))</f>
        <v>0</v>
      </c>
      <c r="AJ7" s="132">
        <f>IFERROR(IF(VLOOKUP($B7,Shortage!$A:$M,AJ$2,FALSE)="Shortage",1,IFERROR(ROUND(X7/L7,4),0)),IFERROR(ROUND(X7/L7,4),0))</f>
        <v>0</v>
      </c>
      <c r="AK7" s="132">
        <f>IFERROR(IF(VLOOKUP($B7,Shortage!$A:$M,AK$2,FALSE)="Shortage",1,IFERROR(ROUND(Y7/M7,4),0)),IFERROR(ROUND(Y7/M7,4),0))</f>
        <v>0</v>
      </c>
      <c r="AL7" s="132">
        <f>IFERROR(IF(VLOOKUP($B7,Shortage!$A:$M,AL$2,FALSE)="Shortage",1,IFERROR(ROUND(Z7/N7,4),0)),IFERROR(ROUND(Z7/N7,4),0))</f>
        <v>0</v>
      </c>
      <c r="AM7" s="132">
        <f>IFERROR(IF(VLOOKUP($B7,Shortage!$A:$M,AM$2,FALSE)="Shortage",1,IFERROR(ROUND(AA7/O7,4),0)),IFERROR(ROUND(AA7/O7,4),0))</f>
        <v>0</v>
      </c>
      <c r="AN7" s="186">
        <f>IFERROR(_xlfn.XLOOKUP(AB7,'2) หลักการคำนวน Table'!$C$3:$K$3,'2) หลักการคำนวน Table'!$C$3:$K$3,,1),INDEX('2) หลักการคำนวน Table'!$C$3:$K$3,1))</f>
        <v>0.9</v>
      </c>
      <c r="AO7" s="186">
        <f>IFERROR(
  _xlfn.XLOOKUP(AC7,'2) หลักการคำนวน Table'!$C$3:$K$3,'2) หลักการคำนวน Table'!$C$3:$K$3,,1),
  IF(AC7&lt;MIN('2) หลักการคำนวน Table'!$C$3:$K$3),
     MIN('2) หลักการคำนวน Table'!$C$3:$K$3),
     MAX('2) หลักการคำนวน Table'!$C$3:$K$3)
  )
)</f>
        <v>0.9</v>
      </c>
      <c r="AP7" s="186">
        <f>IFERROR(
  _xlfn.XLOOKUP(AD7,'2) หลักการคำนวน Table'!$C$3:$K$3,'2) หลักการคำนวน Table'!$C$3:$K$3,,1),
  IF(AD7&lt;MIN('2) หลักการคำนวน Table'!$C$3:$K$3),
     MIN('2) หลักการคำนวน Table'!$C$3:$K$3),
     MAX('2) หลักการคำนวน Table'!$C$3:$K$3)
  )
)</f>
        <v>0.9</v>
      </c>
      <c r="AQ7" s="186">
        <f>IFERROR(
  _xlfn.XLOOKUP(AE7,'2) หลักการคำนวน Table'!$C$3:$K$3,'2) หลักการคำนวน Table'!$C$3:$K$3,,1),
  IF(AE7&lt;MIN('2) หลักการคำนวน Table'!$C$3:$K$3),
     MIN('2) หลักการคำนวน Table'!$C$3:$K$3),
     MAX('2) หลักการคำนวน Table'!$C$3:$K$3)
  )
)</f>
        <v>0.9</v>
      </c>
      <c r="AR7" s="186">
        <f>IFERROR(
  _xlfn.XLOOKUP(AF7,'2) หลักการคำนวน Table'!$C$3:$K$3,'2) หลักการคำนวน Table'!$C$3:$K$3,,1),
  IF(AF7&lt;MIN('2) หลักการคำนวน Table'!$C$3:$K$3),
     MIN('2) หลักการคำนวน Table'!$C$3:$K$3),
     MAX('2) หลักการคำนวน Table'!$C$3:$K$3)
  )
)</f>
        <v>0.9</v>
      </c>
      <c r="AS7" s="186">
        <f>IFERROR(
  _xlfn.XLOOKUP(AG7,'2) หลักการคำนวน Table'!$C$3:$K$3,'2) หลักการคำนวน Table'!$C$3:$K$3,,1),
  IF(AG7&lt;MIN('2) หลักการคำนวน Table'!$C$3:$K$3),
     MIN('2) หลักการคำนวน Table'!$C$3:$K$3),
     MAX('2) หลักการคำนวน Table'!$C$3:$K$3)
  )
)</f>
        <v>0.9</v>
      </c>
      <c r="AT7" s="186">
        <f>IFERROR(
  _xlfn.XLOOKUP(AH7,'2) หลักการคำนวน Table'!$C$3:$K$3,'2) หลักการคำนวน Table'!$C$3:$K$3,,1),
  IF(AH7&lt;MIN('2) หลักการคำนวน Table'!$C$3:$K$3),
     MIN('2) หลักการคำนวน Table'!$C$3:$K$3),
     MAX('2) หลักการคำนวน Table'!$C$3:$K$3)
  )
)</f>
        <v>0.9</v>
      </c>
      <c r="AU7" s="186">
        <f>IFERROR(
  _xlfn.XLOOKUP(AI7,'2) หลักการคำนวน Table'!$C$3:$K$3,'2) หลักการคำนวน Table'!$C$3:$K$3,,1),
  IF(AI7&lt;MIN('2) หลักการคำนวน Table'!$C$3:$K$3),
     MIN('2) หลักการคำนวน Table'!$C$3:$K$3),
     MAX('2) หลักการคำนวน Table'!$C$3:$K$3)
  )
)</f>
        <v>0.9</v>
      </c>
      <c r="AV7" s="186">
        <f>IFERROR(
  _xlfn.XLOOKUP(AJ7,'2) หลักการคำนวน Table'!$C$3:$K$3,'2) หลักการคำนวน Table'!$C$3:$K$3,,1),
  IF(AJ7&lt;MIN('2) หลักการคำนวน Table'!$C$3:$K$3),
     MIN('2) หลักการคำนวน Table'!$C$3:$K$3),
     MAX('2) หลักการคำนวน Table'!$C$3:$K$3)
  )
)</f>
        <v>0.9</v>
      </c>
      <c r="AW7" s="186">
        <f>IFERROR(
  _xlfn.XLOOKUP(AK7,'2) หลักการคำนวน Table'!$C$3:$K$3,'2) หลักการคำนวน Table'!$C$3:$K$3,,1),
  IF(AK7&lt;MIN('2) หลักการคำนวน Table'!$C$3:$K$3),
     MIN('2) หลักการคำนวน Table'!$C$3:$K$3),
     MAX('2) หลักการคำนวน Table'!$C$3:$K$3)
  )
)</f>
        <v>0.9</v>
      </c>
      <c r="AX7" s="186">
        <f>IFERROR(
  _xlfn.XLOOKUP(AL7,'2) หลักการคำนวน Table'!$C$3:$K$3,'2) หลักการคำนวน Table'!$C$3:$K$3,,1),
  IF(AL7&lt;MIN('2) หลักการคำนวน Table'!$C$3:$K$3),
     MIN('2) หลักการคำนวน Table'!$C$3:$K$3),
     MAX('2) หลักการคำนวน Table'!$C$3:$K$3)
  )
)</f>
        <v>0.9</v>
      </c>
      <c r="AY7" s="186">
        <f>IFERROR(
  _xlfn.XLOOKUP(AM7,'2) หลักการคำนวน Table'!$C$3:$K$3,'2) หลักการคำนวน Table'!$C$3:$K$3,,1),
  IF(AM7&lt;MIN('2) หลักการคำนวน Table'!$C$3:$K$3),
     MIN('2) หลักการคำนวน Table'!$C$3:$K$3),
     MAX('2) หลักการคำนวน Table'!$C$3:$K$3)
  )
)</f>
        <v>0.9</v>
      </c>
      <c r="AZ7" s="135" t="e" cm="1">
        <f t="array" ref="AZ7">(_xlfn.XLOOKUP($C7,'2) หลักการคำนวน Table'!$A$4:$A$36,
_xlfn.XLOOKUP(AN7,'2)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A7" s="135" t="e" cm="1">
        <f t="array" ref="BA7">(_xlfn.XLOOKUP($C7,'2) หลักการคำนวน Table'!$A$4:$A$36,
_xlfn.XLOOKUP(AO7,'2)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B7" s="135" t="e" cm="1">
        <f t="array" ref="BB7">(_xlfn.XLOOKUP($C7,'2) หลักการคำนวน Table'!$A$4:$A$36,
_xlfn.XLOOKUP(AP7,'2)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C7" s="135" t="e" cm="1">
        <f t="array" ref="BC7">(_xlfn.XLOOKUP($C7,'2) หลักการคำนวน Table'!$A$4:$A$36,
_xlfn.XLOOKUP(AQ7,'2)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D7" s="135" t="e" cm="1">
        <f t="array" ref="BD7">(_xlfn.XLOOKUP($C7,'2) หลักการคำนวน Table'!$A$4:$A$36,
_xlfn.XLOOKUP(AR7,'2)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E7" s="135" t="e" cm="1">
        <f t="array" ref="BE7">(_xlfn.XLOOKUP($C7,'2) หลักการคำนวน Table'!$A$4:$A$36,
_xlfn.XLOOKUP(AS7,'2)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F7" s="135" t="e" cm="1">
        <f t="array" ref="BF7">(_xlfn.XLOOKUP($C7,'2) หลักการคำนวน Table'!$A$4:$A$36,
_xlfn.XLOOKUP(AT7,'2)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G7" s="135" t="e" cm="1">
        <f t="array" ref="BG7">(_xlfn.XLOOKUP($C7,'2) หลักการคำนวน Table'!$A$4:$A$36,
_xlfn.XLOOKUP(AU7,'2)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</f>
        <v>#N/A</v>
      </c>
      <c r="BH7" s="135" t="e" cm="1">
        <f t="array" ref="BH7">ROUND((_xlfn.XLOOKUP($C7,'2) หลักการคำนวน Table'!$A$4:$A$36,
_xlfn.XLOOKUP(AV7,'2)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I7" s="135" t="e" cm="1">
        <f t="array" ref="BI7">ROUND((_xlfn.XLOOKUP($C7,'2) หลักการคำนวน Table'!$A$4:$A$36,
_xlfn.XLOOKUP(AW7,'2)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J7" s="135" t="e" cm="1">
        <f t="array" ref="BJ7">ROUND((_xlfn.XLOOKUP($C7,'2) หลักการคำนวน Table'!$A$4:$A$36,
_xlfn.XLOOKUP(AX7,'2)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K7" s="135" t="e" cm="1">
        <f t="array" ref="BK7">ROUND((_xlfn.XLOOKUP($C7,'2) หลักการคำนวน Table'!$A$4:$A$36,
_xlfn.XLOOKUP(AY7,'2) หลักการคำนวน Table'!$C$3:$K$3,'2) หลักการคำนวน Table'!$C$4:$K$36,,-1)))*(_xlfn.XLOOKUP($C7,'2) หลักการคำนวน Table'!$A$4:$A$36, _xlfn.XLOOKUP($B7,'2) หลักการคำนวน Table'!$L$3:$Z$3,'2) หลักการคำนวน Table'!$L$4:$Z$36))),0)</f>
        <v>#N/A</v>
      </c>
      <c r="BL7" s="239"/>
      <c r="BM7" s="126">
        <v>222222</v>
      </c>
      <c r="BN7" s="245">
        <v>570</v>
      </c>
    </row>
    <row r="8" spans="1:66" ht="13.2" customHeight="1" x14ac:dyDescent="0.25">
      <c r="A8" s="128" t="e">
        <f>VLOOKUP(C8,ASTBase!F:S,12,FALSE)</f>
        <v>#N/A</v>
      </c>
      <c r="B8" s="126" t="s">
        <v>418</v>
      </c>
      <c r="C8" s="128">
        <v>222222</v>
      </c>
      <c r="D8" s="127">
        <f>SUMIFS('3)Target &amp; Cal_Dept'!D$4:D$31,'3)Target &amp; Cal_Dept'!$B$4:$B$31,'3)Target &amp; Cal_AD'!$B8,'3)Target &amp; Cal_Dept'!$A$4:$A$31,'3)Target &amp; Cal_AD'!$C8)</f>
        <v>2231.16</v>
      </c>
      <c r="E8" s="127">
        <f>SUMIFS('3)Target &amp; Cal_Dept'!E$4:E$31,'3)Target &amp; Cal_Dept'!$B$4:$B$31,'3)Target &amp; Cal_AD'!$B8,'3)Target &amp; Cal_Dept'!$A$4:$A$31,'3)Target &amp; Cal_AD'!$C8)</f>
        <v>2497.48</v>
      </c>
      <c r="F8" s="127">
        <f>SUMIFS('3)Target &amp; Cal_Dept'!F$4:F$31,'3)Target &amp; Cal_Dept'!$B$4:$B$31,'3)Target &amp; Cal_AD'!$B8,'3)Target &amp; Cal_Dept'!$A$4:$A$31,'3)Target &amp; Cal_AD'!$C8)</f>
        <v>2570.192</v>
      </c>
      <c r="G8" s="127">
        <f>SUMIFS('3)Target &amp; Cal_Dept'!G$4:G$31,'3)Target &amp; Cal_Dept'!$B$4:$B$31,'3)Target &amp; Cal_AD'!$B8,'3)Target &amp; Cal_Dept'!$A$4:$A$31,'3)Target &amp; Cal_AD'!$C8)</f>
        <v>1925.136</v>
      </c>
      <c r="H8" s="127">
        <f>SUMIFS('3)Target &amp; Cal_Dept'!H$4:H$31,'3)Target &amp; Cal_Dept'!$B$4:$B$31,'3)Target &amp; Cal_AD'!$B8,'3)Target &amp; Cal_Dept'!$A$4:$A$31,'3)Target &amp; Cal_AD'!$C8)</f>
        <v>2258.136</v>
      </c>
      <c r="I8" s="127">
        <f>SUMIFS('3)Target &amp; Cal_Dept'!I$4:I$31,'3)Target &amp; Cal_Dept'!$B$4:$B$31,'3)Target &amp; Cal_AD'!$B8,'3)Target &amp; Cal_Dept'!$A$4:$A$31,'3)Target &amp; Cal_AD'!$C8)</f>
        <v>2138.84</v>
      </c>
      <c r="J8" s="127">
        <f>SUMIFS('3)Target &amp; Cal_Dept'!J$4:J$31,'3)Target &amp; Cal_Dept'!$B$4:$B$31,'3)Target &amp; Cal_AD'!$B8,'3)Target &amp; Cal_Dept'!$A$4:$A$31,'3)Target &amp; Cal_AD'!$C8)</f>
        <v>2377.136</v>
      </c>
      <c r="K8" s="127">
        <f>SUMIFS('3)Target &amp; Cal_Dept'!K$4:K$31,'3)Target &amp; Cal_Dept'!$B$4:$B$31,'3)Target &amp; Cal_AD'!$B8,'3)Target &amp; Cal_Dept'!$A$4:$A$31,'3)Target &amp; Cal_AD'!$C8)</f>
        <v>2268.5680000000002</v>
      </c>
      <c r="L8" s="127">
        <v>103882</v>
      </c>
      <c r="M8" s="127">
        <v>96710</v>
      </c>
      <c r="N8" s="127">
        <v>70258.36</v>
      </c>
      <c r="O8" s="127">
        <v>88389</v>
      </c>
      <c r="P8" s="127">
        <f>SUMIFS('3)Target &amp; Cal_Dept'!P$4:P$32,'3)Target &amp; Cal_Dept'!$B$4:$B$32,'3)Target &amp; Cal_AD'!$B8,'3)Target &amp; Cal_Dept'!$A$4:$A$32,'3)Target &amp; Cal_AD'!$C8)</f>
        <v>2509.7879999999991</v>
      </c>
      <c r="Q8" s="127">
        <f>SUMIFS('3)Target &amp; Cal_Dept'!Q$4:Q$32,'3)Target &amp; Cal_Dept'!$B$4:$B$32,'3)Target &amp; Cal_AD'!$B8,'3)Target &amp; Cal_Dept'!$A$4:$A$32,'3)Target &amp; Cal_AD'!$C8)</f>
        <v>0</v>
      </c>
      <c r="R8" s="127">
        <f>SUMIFS('3)Target &amp; Cal_Dept'!R$4:R$32,'3)Target &amp; Cal_Dept'!$B$4:$B$32,'3)Target &amp; Cal_AD'!$B8,'3)Target &amp; Cal_Dept'!$A$4:$A$32,'3)Target &amp; Cal_AD'!$C8)</f>
        <v>0</v>
      </c>
      <c r="S8" s="127">
        <f>SUMIFS('3)Target &amp; Cal_Dept'!S$4:S$32,'3)Target &amp; Cal_Dept'!$B$4:$B$32,'3)Target &amp; Cal_AD'!$B8,'3)Target &amp; Cal_Dept'!$A$4:$A$32,'3)Target &amp; Cal_AD'!$C8)</f>
        <v>0</v>
      </c>
      <c r="T8" s="127">
        <f>SUMIFS('3)Target &amp; Cal_Dept'!T$4:T$32,'3)Target &amp; Cal_Dept'!$B$4:$B$32,'3)Target &amp; Cal_AD'!$B8,'3)Target &amp; Cal_Dept'!$A$4:$A$32,'3)Target &amp; Cal_AD'!$C8)</f>
        <v>0</v>
      </c>
      <c r="U8" s="127">
        <f>SUMIFS('3)Target &amp; Cal_Dept'!U$4:U$32,'3)Target &amp; Cal_Dept'!$B$4:$B$32,'3)Target &amp; Cal_AD'!$B8,'3)Target &amp; Cal_Dept'!$A$4:$A$32,'3)Target &amp; Cal_AD'!$C8)</f>
        <v>0</v>
      </c>
      <c r="V8" s="127">
        <f>SUMIFS('3)Target &amp; Cal_Dept'!V$4:V$32,'3)Target &amp; Cal_Dept'!$B$4:$B$32,'3)Target &amp; Cal_AD'!$B8,'3)Target &amp; Cal_Dept'!$A$4:$A$32,'3)Target &amp; Cal_AD'!$C8)</f>
        <v>0</v>
      </c>
      <c r="W8" s="127">
        <f>SUMIFS('3)Target &amp; Cal_Dept'!W$4:W$32,'3)Target &amp; Cal_Dept'!$B$4:$B$32,'3)Target &amp; Cal_AD'!$B8,'3)Target &amp; Cal_Dept'!$A$4:$A$32,'3)Target &amp; Cal_AD'!$C8)</f>
        <v>0</v>
      </c>
      <c r="X8" s="127">
        <f>SUMIFS('3)Target &amp; Cal_Dept'!X$4:X$32,'3)Target &amp; Cal_Dept'!$B$4:$B$32,'3)Target &amp; Cal_AD'!$B8,'3)Target &amp; Cal_Dept'!$A$4:$A$32,'3)Target &amp; Cal_AD'!$C8)</f>
        <v>0</v>
      </c>
      <c r="Y8" s="127">
        <f>SUMIFS('3)Target &amp; Cal_Dept'!Y$4:Y$32,'3)Target &amp; Cal_Dept'!$B$4:$B$32,'3)Target &amp; Cal_AD'!$B8,'3)Target &amp; Cal_Dept'!$A$4:$A$32,'3)Target &amp; Cal_AD'!$C8)</f>
        <v>0</v>
      </c>
      <c r="Z8" s="127">
        <f>SUMIFS('3)Target &amp; Cal_Dept'!Z$4:Z$32,'3)Target &amp; Cal_Dept'!$B$4:$B$32,'3)Target &amp; Cal_AD'!$B8,'3)Target &amp; Cal_Dept'!$A$4:$A$32,'3)Target &amp; Cal_AD'!$C8)</f>
        <v>0</v>
      </c>
      <c r="AA8" s="127">
        <f>SUMIFS('3)Target &amp; Cal_Dept'!AA$4:AA$32,'3)Target &amp; Cal_Dept'!$B$4:$B$32,'3)Target &amp; Cal_AD'!$B8,'3)Target &amp; Cal_Dept'!$A$4:$A$32,'3)Target &amp; Cal_AD'!$C8)</f>
        <v>0</v>
      </c>
      <c r="AB8" s="132">
        <f>IFERROR(IF(VLOOKUP($B8,Shortage!$A:$M,AB$2,FALSE)="Shortage",1,IFERROR(ROUND(P8/D8,4),0)),IFERROR(ROUND(P8/D8,4),0))</f>
        <v>1.1249</v>
      </c>
      <c r="AC8" s="132">
        <f>IFERROR(IF(VLOOKUP($B8,Shortage!$A:$M,AC$2,FALSE)="Shortage",1,IFERROR(ROUND(Q8/E8,4),0)),IFERROR(ROUND(Q8/E8,4),0))</f>
        <v>0</v>
      </c>
      <c r="AD8" s="132">
        <f>IFERROR(IF(VLOOKUP($B8,Shortage!$A:$M,AD$2,FALSE)="Shortage",1,IFERROR(ROUND(R8/F8,4),0)),IFERROR(ROUND(R8/F8,4),0))</f>
        <v>0</v>
      </c>
      <c r="AE8" s="132">
        <f>IFERROR(IF(VLOOKUP($B8,Shortage!$A:$M,AE$2,FALSE)="Shortage",1,IFERROR(ROUND(S8/G8,4),0)),IFERROR(ROUND(S8/G8,4),0))</f>
        <v>0</v>
      </c>
      <c r="AF8" s="132">
        <f>IFERROR(IF(VLOOKUP($B8,Shortage!$A:$M,AF$2,FALSE)="Shortage",1,IFERROR(ROUND(T8/H8,4),0)),IFERROR(ROUND(T8/H8,4),0))</f>
        <v>0</v>
      </c>
      <c r="AG8" s="132">
        <f>IFERROR(IF(VLOOKUP($B8,Shortage!$A:$M,AG$2,FALSE)="Shortage",1,IFERROR(ROUND(U8/I8,4),0)),IFERROR(ROUND(U8/I8,4),0))</f>
        <v>0</v>
      </c>
      <c r="AH8" s="132">
        <f>IFERROR(IF(VLOOKUP($B8,Shortage!$A:$M,AH$2,FALSE)="Shortage",1,IFERROR(ROUND(V8/J8,4),0)),IFERROR(ROUND(V8/J8,4),0))</f>
        <v>0</v>
      </c>
      <c r="AI8" s="132">
        <f>IFERROR(IF(VLOOKUP($B8,Shortage!$A:$M,AI$2,FALSE)="Shortage",1,IFERROR(ROUND(W8/K8,4),0)),IFERROR(ROUND(W8/K8,4),0))</f>
        <v>0</v>
      </c>
      <c r="AJ8" s="132">
        <f>IFERROR(IF(VLOOKUP($B8,Shortage!$A:$M,AJ$2,FALSE)="Shortage",1,IFERROR(ROUND(X8/L8,4),0)),IFERROR(ROUND(X8/L8,4),0))</f>
        <v>0</v>
      </c>
      <c r="AK8" s="132">
        <f>IFERROR(IF(VLOOKUP($B8,Shortage!$A:$M,AK$2,FALSE)="Shortage",1,IFERROR(ROUND(Y8/M8,4),0)),IFERROR(ROUND(Y8/M8,4),0))</f>
        <v>0</v>
      </c>
      <c r="AL8" s="132">
        <f>IFERROR(IF(VLOOKUP($B8,Shortage!$A:$M,AL$2,FALSE)="Shortage",1,IFERROR(ROUND(Z8/N8,4),0)),IFERROR(ROUND(Z8/N8,4),0))</f>
        <v>0</v>
      </c>
      <c r="AM8" s="132">
        <f>IFERROR(IF(VLOOKUP($B8,Shortage!$A:$M,AM$2,FALSE)="Shortage",1,IFERROR(ROUND(AA8/O8,4),0)),IFERROR(ROUND(AA8/O8,4),0))</f>
        <v>0</v>
      </c>
      <c r="AN8" s="186">
        <f>IFERROR(_xlfn.XLOOKUP(AB8,'2) หลักการคำนวน Table'!$C$3:$K$3,'2) หลักการคำนวน Table'!$C$3:$K$3,,1),INDEX('2) หลักการคำนวน Table'!$C$3:$K$3,1))</f>
        <v>1.1499999999999999</v>
      </c>
      <c r="AO8" s="186">
        <f>IFERROR(
  _xlfn.XLOOKUP(AC8,'2) หลักการคำนวน Table'!$C$3:$K$3,'2) หลักการคำนวน Table'!$C$3:$K$3,,1),
  IF(AC8&lt;MIN('2) หลักการคำนวน Table'!$C$3:$K$3),
     MIN('2) หลักการคำนวน Table'!$C$3:$K$3),
     MAX('2) หลักการคำนวน Table'!$C$3:$K$3)
  )
)</f>
        <v>0.9</v>
      </c>
      <c r="AP8" s="186">
        <f>IFERROR(
  _xlfn.XLOOKUP(AD8,'2) หลักการคำนวน Table'!$C$3:$K$3,'2) หลักการคำนวน Table'!$C$3:$K$3,,1),
  IF(AD8&lt;MIN('2) หลักการคำนวน Table'!$C$3:$K$3),
     MIN('2) หลักการคำนวน Table'!$C$3:$K$3),
     MAX('2) หลักการคำนวน Table'!$C$3:$K$3)
  )
)</f>
        <v>0.9</v>
      </c>
      <c r="AQ8" s="186">
        <f>IFERROR(
  _xlfn.XLOOKUP(AE8,'2) หลักการคำนวน Table'!$C$3:$K$3,'2) หลักการคำนวน Table'!$C$3:$K$3,,1),
  IF(AE8&lt;MIN('2) หลักการคำนวน Table'!$C$3:$K$3),
     MIN('2) หลักการคำนวน Table'!$C$3:$K$3),
     MAX('2) หลักการคำนวน Table'!$C$3:$K$3)
  )
)</f>
        <v>0.9</v>
      </c>
      <c r="AR8" s="186">
        <f>IFERROR(
  _xlfn.XLOOKUP(AF8,'2) หลักการคำนวน Table'!$C$3:$K$3,'2) หลักการคำนวน Table'!$C$3:$K$3,,1),
  IF(AF8&lt;MIN('2) หลักการคำนวน Table'!$C$3:$K$3),
     MIN('2) หลักการคำนวน Table'!$C$3:$K$3),
     MAX('2) หลักการคำนวน Table'!$C$3:$K$3)
  )
)</f>
        <v>0.9</v>
      </c>
      <c r="AS8" s="186">
        <f>IFERROR(
  _xlfn.XLOOKUP(AG8,'2) หลักการคำนวน Table'!$C$3:$K$3,'2) หลักการคำนวน Table'!$C$3:$K$3,,1),
  IF(AG8&lt;MIN('2) หลักการคำนวน Table'!$C$3:$K$3),
     MIN('2) หลักการคำนวน Table'!$C$3:$K$3),
     MAX('2) หลักการคำนวน Table'!$C$3:$K$3)
  )
)</f>
        <v>0.9</v>
      </c>
      <c r="AT8" s="186">
        <f>IFERROR(
  _xlfn.XLOOKUP(AH8,'2) หลักการคำนวน Table'!$C$3:$K$3,'2) หลักการคำนวน Table'!$C$3:$K$3,,1),
  IF(AH8&lt;MIN('2) หลักการคำนวน Table'!$C$3:$K$3),
     MIN('2) หลักการคำนวน Table'!$C$3:$K$3),
     MAX('2) หลักการคำนวน Table'!$C$3:$K$3)
  )
)</f>
        <v>0.9</v>
      </c>
      <c r="AU8" s="186">
        <f>IFERROR(
  _xlfn.XLOOKUP(AI8,'2) หลักการคำนวน Table'!$C$3:$K$3,'2) หลักการคำนวน Table'!$C$3:$K$3,,1),
  IF(AI8&lt;MIN('2) หลักการคำนวน Table'!$C$3:$K$3),
     MIN('2) หลักการคำนวน Table'!$C$3:$K$3),
     MAX('2) หลักการคำนวน Table'!$C$3:$K$3)
  )
)</f>
        <v>0.9</v>
      </c>
      <c r="AV8" s="186">
        <f>IFERROR(
  _xlfn.XLOOKUP(AJ8,'2) หลักการคำนวน Table'!$C$3:$K$3,'2) หลักการคำนวน Table'!$C$3:$K$3,,1),
  IF(AJ8&lt;MIN('2) หลักการคำนวน Table'!$C$3:$K$3),
     MIN('2) หลักการคำนวน Table'!$C$3:$K$3),
     MAX('2) หลักการคำนวน Table'!$C$3:$K$3)
  )
)</f>
        <v>0.9</v>
      </c>
      <c r="AW8" s="186">
        <f>IFERROR(
  _xlfn.XLOOKUP(AK8,'2) หลักการคำนวน Table'!$C$3:$K$3,'2) หลักการคำนวน Table'!$C$3:$K$3,,1),
  IF(AK8&lt;MIN('2) หลักการคำนวน Table'!$C$3:$K$3),
     MIN('2) หลักการคำนวน Table'!$C$3:$K$3),
     MAX('2) หลักการคำนวน Table'!$C$3:$K$3)
  )
)</f>
        <v>0.9</v>
      </c>
      <c r="AX8" s="186">
        <f>IFERROR(
  _xlfn.XLOOKUP(AL8,'2) หลักการคำนวน Table'!$C$3:$K$3,'2) หลักการคำนวน Table'!$C$3:$K$3,,1),
  IF(AL8&lt;MIN('2) หลักการคำนวน Table'!$C$3:$K$3),
     MIN('2) หลักการคำนวน Table'!$C$3:$K$3),
     MAX('2) หลักการคำนวน Table'!$C$3:$K$3)
  )
)</f>
        <v>0.9</v>
      </c>
      <c r="AY8" s="186">
        <f>IFERROR(
  _xlfn.XLOOKUP(AM8,'2) หลักการคำนวน Table'!$C$3:$K$3,'2) หลักการคำนวน Table'!$C$3:$K$3,,1),
  IF(AM8&lt;MIN('2) หลักการคำนวน Table'!$C$3:$K$3),
     MIN('2) หลักการคำนวน Table'!$C$3:$K$3),
     MAX('2) หลักการคำนวน Table'!$C$3:$K$3)
  )
)</f>
        <v>0.9</v>
      </c>
      <c r="AZ8" s="135" t="e" cm="1">
        <f t="array" ref="AZ8">(_xlfn.XLOOKUP($C8,'2) หลักการคำนวน Table'!$A$4:$A$36,
_xlfn.XLOOKUP(AN8,'2)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A8" s="135" t="e" cm="1">
        <f t="array" ref="BA8">(_xlfn.XLOOKUP($C8,'2) หลักการคำนวน Table'!$A$4:$A$36,
_xlfn.XLOOKUP(AO8,'2)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B8" s="135" t="e" cm="1">
        <f t="array" ref="BB8">(_xlfn.XLOOKUP($C8,'2) หลักการคำนวน Table'!$A$4:$A$36,
_xlfn.XLOOKUP(AP8,'2)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C8" s="135" t="e" cm="1">
        <f t="array" ref="BC8">(_xlfn.XLOOKUP($C8,'2) หลักการคำนวน Table'!$A$4:$A$36,
_xlfn.XLOOKUP(AQ8,'2)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D8" s="135" t="e" cm="1">
        <f t="array" ref="BD8">(_xlfn.XLOOKUP($C8,'2) หลักการคำนวน Table'!$A$4:$A$36,
_xlfn.XLOOKUP(AR8,'2)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E8" s="135" t="e" cm="1">
        <f t="array" ref="BE8">(_xlfn.XLOOKUP($C8,'2) หลักการคำนวน Table'!$A$4:$A$36,
_xlfn.XLOOKUP(AS8,'2)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F8" s="135" t="e" cm="1">
        <f t="array" ref="BF8">(_xlfn.XLOOKUP($C8,'2) หลักการคำนวน Table'!$A$4:$A$36,
_xlfn.XLOOKUP(AT8,'2)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G8" s="135" t="e" cm="1">
        <f t="array" ref="BG8">(_xlfn.XLOOKUP($C8,'2) หลักการคำนวน Table'!$A$4:$A$36,
_xlfn.XLOOKUP(AU8,'2)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</f>
        <v>#N/A</v>
      </c>
      <c r="BH8" s="135" t="e" cm="1">
        <f t="array" ref="BH8">ROUND((_xlfn.XLOOKUP($C8,'2) หลักการคำนวน Table'!$A$4:$A$36,
_xlfn.XLOOKUP(AV8,'2)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I8" s="135" t="e" cm="1">
        <f t="array" ref="BI8">ROUND((_xlfn.XLOOKUP($C8,'2) หลักการคำนวน Table'!$A$4:$A$36,
_xlfn.XLOOKUP(AW8,'2)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J8" s="135" t="e" cm="1">
        <f t="array" ref="BJ8">ROUND((_xlfn.XLOOKUP($C8,'2) หลักการคำนวน Table'!$A$4:$A$36,
_xlfn.XLOOKUP(AX8,'2)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K8" s="135" t="e" cm="1">
        <f t="array" ref="BK8">ROUND((_xlfn.XLOOKUP($C8,'2) หลักการคำนวน Table'!$A$4:$A$36,
_xlfn.XLOOKUP(AY8,'2) หลักการคำนวน Table'!$C$3:$K$3,'2) หลักการคำนวน Table'!$C$4:$K$36,,-1)))*(_xlfn.XLOOKUP($C8,'2) หลักการคำนวน Table'!$A$4:$A$36, _xlfn.XLOOKUP($B8,'2) หลักการคำนวน Table'!$L$3:$Z$3,'2) หลักการคำนวน Table'!$L$4:$Z$36))),0)</f>
        <v>#N/A</v>
      </c>
      <c r="BL8" s="239"/>
      <c r="BM8" s="126">
        <v>222222</v>
      </c>
      <c r="BN8" s="245">
        <v>780</v>
      </c>
    </row>
    <row r="9" spans="1:66" ht="13.2" customHeight="1" x14ac:dyDescent="0.25">
      <c r="A9" s="128" t="e">
        <f>VLOOKUP(C9,ASTBase!F:S,12,FALSE)</f>
        <v>#N/A</v>
      </c>
      <c r="B9" s="126" t="s">
        <v>413</v>
      </c>
      <c r="C9" s="128">
        <v>222222</v>
      </c>
      <c r="D9" s="127">
        <f>SUMIFS('3)Target &amp; Cal_Dept'!D$4:D$31,'3)Target &amp; Cal_Dept'!$B$4:$B$31,'3)Target &amp; Cal_AD'!$B9,'3)Target &amp; Cal_Dept'!$A$4:$A$31,'3)Target &amp; Cal_AD'!$C9)</f>
        <v>407178.55239999999</v>
      </c>
      <c r="E9" s="127">
        <f>SUMIFS('3)Target &amp; Cal_Dept'!E$4:E$31,'3)Target &amp; Cal_Dept'!$B$4:$B$31,'3)Target &amp; Cal_AD'!$B9,'3)Target &amp; Cal_Dept'!$A$4:$A$31,'3)Target &amp; Cal_AD'!$C9)</f>
        <v>393897</v>
      </c>
      <c r="F9" s="127">
        <f>SUMIFS('3)Target &amp; Cal_Dept'!F$4:F$31,'3)Target &amp; Cal_Dept'!$B$4:$B$31,'3)Target &amp; Cal_AD'!$B9,'3)Target &amp; Cal_Dept'!$A$4:$A$31,'3)Target &amp; Cal_AD'!$C9)</f>
        <v>561519.94339999999</v>
      </c>
      <c r="G9" s="127">
        <f>SUMIFS('3)Target &amp; Cal_Dept'!G$4:G$31,'3)Target &amp; Cal_Dept'!$B$4:$B$31,'3)Target &amp; Cal_AD'!$B9,'3)Target &amp; Cal_Dept'!$A$4:$A$31,'3)Target &amp; Cal_AD'!$C9)</f>
        <v>660369.20360000001</v>
      </c>
      <c r="H9" s="127">
        <f>SUMIFS('3)Target &amp; Cal_Dept'!H$4:H$31,'3)Target &amp; Cal_Dept'!$B$4:$B$31,'3)Target &amp; Cal_AD'!$B9,'3)Target &amp; Cal_Dept'!$A$4:$A$31,'3)Target &amp; Cal_AD'!$C9)</f>
        <v>400647.42810000002</v>
      </c>
      <c r="I9" s="127">
        <f>SUMIFS('3)Target &amp; Cal_Dept'!I$4:I$31,'3)Target &amp; Cal_Dept'!$B$4:$B$31,'3)Target &amp; Cal_AD'!$B9,'3)Target &amp; Cal_Dept'!$A$4:$A$31,'3)Target &amp; Cal_AD'!$C9)</f>
        <v>352693.24530000001</v>
      </c>
      <c r="J9" s="127">
        <f>SUMIFS('3)Target &amp; Cal_Dept'!J$4:J$31,'3)Target &amp; Cal_Dept'!$B$4:$B$31,'3)Target &amp; Cal_AD'!$B9,'3)Target &amp; Cal_Dept'!$A$4:$A$31,'3)Target &amp; Cal_AD'!$C9)</f>
        <v>448708.08689999999</v>
      </c>
      <c r="K9" s="127">
        <f>SUMIFS('3)Target &amp; Cal_Dept'!K$4:K$31,'3)Target &amp; Cal_Dept'!$B$4:$B$31,'3)Target &amp; Cal_AD'!$B9,'3)Target &amp; Cal_Dept'!$A$4:$A$31,'3)Target &amp; Cal_AD'!$C9)</f>
        <v>738325.56140000001</v>
      </c>
      <c r="L9" s="127">
        <v>185411.38826379296</v>
      </c>
      <c r="M9" s="127">
        <v>165209</v>
      </c>
      <c r="N9" s="127">
        <v>110505</v>
      </c>
      <c r="O9" s="127">
        <v>132221.65282249037</v>
      </c>
      <c r="P9" s="127">
        <f>SUMIFS('3)Target &amp; Cal_Dept'!P$4:P$32,'3)Target &amp; Cal_Dept'!$B$4:$B$32,'3)Target &amp; Cal_AD'!$B9,'3)Target &amp; Cal_Dept'!$A$4:$A$32,'3)Target &amp; Cal_AD'!$C9)</f>
        <v>358839.33089999936</v>
      </c>
      <c r="Q9" s="127">
        <f>SUMIFS('3)Target &amp; Cal_Dept'!Q$4:Q$32,'3)Target &amp; Cal_Dept'!$B$4:$B$32,'3)Target &amp; Cal_AD'!$B9,'3)Target &amp; Cal_Dept'!$A$4:$A$32,'3)Target &amp; Cal_AD'!$C9)</f>
        <v>0</v>
      </c>
      <c r="R9" s="127">
        <f>SUMIFS('3)Target &amp; Cal_Dept'!R$4:R$32,'3)Target &amp; Cal_Dept'!$B$4:$B$32,'3)Target &amp; Cal_AD'!$B9,'3)Target &amp; Cal_Dept'!$A$4:$A$32,'3)Target &amp; Cal_AD'!$C9)</f>
        <v>0</v>
      </c>
      <c r="S9" s="127">
        <f>SUMIFS('3)Target &amp; Cal_Dept'!S$4:S$32,'3)Target &amp; Cal_Dept'!$B$4:$B$32,'3)Target &amp; Cal_AD'!$B9,'3)Target &amp; Cal_Dept'!$A$4:$A$32,'3)Target &amp; Cal_AD'!$C9)</f>
        <v>0</v>
      </c>
      <c r="T9" s="127">
        <f>SUMIFS('3)Target &amp; Cal_Dept'!T$4:T$32,'3)Target &amp; Cal_Dept'!$B$4:$B$32,'3)Target &amp; Cal_AD'!$B9,'3)Target &amp; Cal_Dept'!$A$4:$A$32,'3)Target &amp; Cal_AD'!$C9)</f>
        <v>0</v>
      </c>
      <c r="U9" s="127">
        <f>SUMIFS('3)Target &amp; Cal_Dept'!U$4:U$32,'3)Target &amp; Cal_Dept'!$B$4:$B$32,'3)Target &amp; Cal_AD'!$B9,'3)Target &amp; Cal_Dept'!$A$4:$A$32,'3)Target &amp; Cal_AD'!$C9)</f>
        <v>0</v>
      </c>
      <c r="V9" s="127">
        <f>SUMIFS('3)Target &amp; Cal_Dept'!V$4:V$32,'3)Target &amp; Cal_Dept'!$B$4:$B$32,'3)Target &amp; Cal_AD'!$B9,'3)Target &amp; Cal_Dept'!$A$4:$A$32,'3)Target &amp; Cal_AD'!$C9)</f>
        <v>0</v>
      </c>
      <c r="W9" s="127">
        <f>SUMIFS('3)Target &amp; Cal_Dept'!W$4:W$32,'3)Target &amp; Cal_Dept'!$B$4:$B$32,'3)Target &amp; Cal_AD'!$B9,'3)Target &amp; Cal_Dept'!$A$4:$A$32,'3)Target &amp; Cal_AD'!$C9)</f>
        <v>0</v>
      </c>
      <c r="X9" s="127">
        <f>SUMIFS('3)Target &amp; Cal_Dept'!X$4:X$32,'3)Target &amp; Cal_Dept'!$B$4:$B$32,'3)Target &amp; Cal_AD'!$B9,'3)Target &amp; Cal_Dept'!$A$4:$A$32,'3)Target &amp; Cal_AD'!$C9)</f>
        <v>0</v>
      </c>
      <c r="Y9" s="127">
        <f>SUMIFS('3)Target &amp; Cal_Dept'!Y$4:Y$32,'3)Target &amp; Cal_Dept'!$B$4:$B$32,'3)Target &amp; Cal_AD'!$B9,'3)Target &amp; Cal_Dept'!$A$4:$A$32,'3)Target &amp; Cal_AD'!$C9)</f>
        <v>0</v>
      </c>
      <c r="Z9" s="127">
        <f>SUMIFS('3)Target &amp; Cal_Dept'!Z$4:Z$32,'3)Target &amp; Cal_Dept'!$B$4:$B$32,'3)Target &amp; Cal_AD'!$B9,'3)Target &amp; Cal_Dept'!$A$4:$A$32,'3)Target &amp; Cal_AD'!$C9)</f>
        <v>0</v>
      </c>
      <c r="AA9" s="127">
        <f>SUMIFS('3)Target &amp; Cal_Dept'!AA$4:AA$32,'3)Target &amp; Cal_Dept'!$B$4:$B$32,'3)Target &amp; Cal_AD'!$B9,'3)Target &amp; Cal_Dept'!$A$4:$A$32,'3)Target &amp; Cal_AD'!$C9)</f>
        <v>0</v>
      </c>
      <c r="AB9" s="132">
        <f>IFERROR(IF(VLOOKUP($B9,Shortage!$A:$M,AB$2,FALSE)="Shortage",1,IFERROR(ROUND(P9/D9,4),0)),IFERROR(ROUND(P9/D9,4),0))</f>
        <v>0.88129999999999997</v>
      </c>
      <c r="AC9" s="132">
        <f>IFERROR(IF(VLOOKUP($B9,Shortage!$A:$M,AC$2,FALSE)="Shortage",1,IFERROR(ROUND(Q9/E9,4),0)),IFERROR(ROUND(Q9/E9,4),0))</f>
        <v>0</v>
      </c>
      <c r="AD9" s="132">
        <f>IFERROR(IF(VLOOKUP($B9,Shortage!$A:$M,AD$2,FALSE)="Shortage",1,IFERROR(ROUND(R9/F9,4),0)),IFERROR(ROUND(R9/F9,4),0))</f>
        <v>0</v>
      </c>
      <c r="AE9" s="132">
        <f>IFERROR(IF(VLOOKUP($B9,Shortage!$A:$M,AE$2,FALSE)="Shortage",1,IFERROR(ROUND(S9/G9,4),0)),IFERROR(ROUND(S9/G9,4),0))</f>
        <v>0</v>
      </c>
      <c r="AF9" s="132">
        <f>IFERROR(IF(VLOOKUP($B9,Shortage!$A:$M,AF$2,FALSE)="Shortage",1,IFERROR(ROUND(T9/H9,4),0)),IFERROR(ROUND(T9/H9,4),0))</f>
        <v>0</v>
      </c>
      <c r="AG9" s="132">
        <f>IFERROR(IF(VLOOKUP($B9,Shortage!$A:$M,AG$2,FALSE)="Shortage",1,IFERROR(ROUND(U9/I9,4),0)),IFERROR(ROUND(U9/I9,4),0))</f>
        <v>0</v>
      </c>
      <c r="AH9" s="132">
        <f>IFERROR(IF(VLOOKUP($B9,Shortage!$A:$M,AH$2,FALSE)="Shortage",1,IFERROR(ROUND(V9/J9,4),0)),IFERROR(ROUND(V9/J9,4),0))</f>
        <v>0</v>
      </c>
      <c r="AI9" s="132">
        <f>IFERROR(IF(VLOOKUP($B9,Shortage!$A:$M,AI$2,FALSE)="Shortage",1,IFERROR(ROUND(W9/K9,4),0)),IFERROR(ROUND(W9/K9,4),0))</f>
        <v>0</v>
      </c>
      <c r="AJ9" s="132">
        <f>IFERROR(IF(VLOOKUP($B9,Shortage!$A:$M,AJ$2,FALSE)="Shortage",1,IFERROR(ROUND(X9/L9,4),0)),IFERROR(ROUND(X9/L9,4),0))</f>
        <v>0</v>
      </c>
      <c r="AK9" s="132">
        <f>IFERROR(IF(VLOOKUP($B9,Shortage!$A:$M,AK$2,FALSE)="Shortage",1,IFERROR(ROUND(Y9/M9,4),0)),IFERROR(ROUND(Y9/M9,4),0))</f>
        <v>0</v>
      </c>
      <c r="AL9" s="132">
        <f>IFERROR(IF(VLOOKUP($B9,Shortage!$A:$M,AL$2,FALSE)="Shortage",1,IFERROR(ROUND(Z9/N9,4),0)),IFERROR(ROUND(Z9/N9,4),0))</f>
        <v>0</v>
      </c>
      <c r="AM9" s="132">
        <f>IFERROR(IF(VLOOKUP($B9,Shortage!$A:$M,AM$2,FALSE)="Shortage",1,IFERROR(ROUND(AA9/O9,4),0)),IFERROR(ROUND(AA9/O9,4),0))</f>
        <v>0</v>
      </c>
      <c r="AN9" s="186">
        <f>IFERROR(_xlfn.XLOOKUP(AB9,'2) หลักการคำนวน Table'!$C$3:$K$3,'2) หลักการคำนวน Table'!$C$3:$K$3,,1),INDEX('2) หลักการคำนวน Table'!$C$3:$K$3,1))</f>
        <v>0.9</v>
      </c>
      <c r="AO9" s="186">
        <f>IFERROR(
  _xlfn.XLOOKUP(AC9,'2) หลักการคำนวน Table'!$C$3:$K$3,'2) หลักการคำนวน Table'!$C$3:$K$3,,1),
  IF(AC9&lt;MIN('2) หลักการคำนวน Table'!$C$3:$K$3),
     MIN('2) หลักการคำนวน Table'!$C$3:$K$3),
     MAX('2) หลักการคำนวน Table'!$C$3:$K$3)
  )
)</f>
        <v>0.9</v>
      </c>
      <c r="AP9" s="186">
        <f>IFERROR(
  _xlfn.XLOOKUP(AD9,'2) หลักการคำนวน Table'!$C$3:$K$3,'2) หลักการคำนวน Table'!$C$3:$K$3,,1),
  IF(AD9&lt;MIN('2) หลักการคำนวน Table'!$C$3:$K$3),
     MIN('2) หลักการคำนวน Table'!$C$3:$K$3),
     MAX('2) หลักการคำนวน Table'!$C$3:$K$3)
  )
)</f>
        <v>0.9</v>
      </c>
      <c r="AQ9" s="186">
        <f>IFERROR(
  _xlfn.XLOOKUP(AE9,'2) หลักการคำนวน Table'!$C$3:$K$3,'2) หลักการคำนวน Table'!$C$3:$K$3,,1),
  IF(AE9&lt;MIN('2) หลักการคำนวน Table'!$C$3:$K$3),
     MIN('2) หลักการคำนวน Table'!$C$3:$K$3),
     MAX('2) หลักการคำนวน Table'!$C$3:$K$3)
  )
)</f>
        <v>0.9</v>
      </c>
      <c r="AR9" s="186">
        <f>IFERROR(
  _xlfn.XLOOKUP(AF9,'2) หลักการคำนวน Table'!$C$3:$K$3,'2) หลักการคำนวน Table'!$C$3:$K$3,,1),
  IF(AF9&lt;MIN('2) หลักการคำนวน Table'!$C$3:$K$3),
     MIN('2) หลักการคำนวน Table'!$C$3:$K$3),
     MAX('2) หลักการคำนวน Table'!$C$3:$K$3)
  )
)</f>
        <v>0.9</v>
      </c>
      <c r="AS9" s="186">
        <f>IFERROR(
  _xlfn.XLOOKUP(AG9,'2) หลักการคำนวน Table'!$C$3:$K$3,'2) หลักการคำนวน Table'!$C$3:$K$3,,1),
  IF(AG9&lt;MIN('2) หลักการคำนวน Table'!$C$3:$K$3),
     MIN('2) หลักการคำนวน Table'!$C$3:$K$3),
     MAX('2) หลักการคำนวน Table'!$C$3:$K$3)
  )
)</f>
        <v>0.9</v>
      </c>
      <c r="AT9" s="186">
        <f>IFERROR(
  _xlfn.XLOOKUP(AH9,'2) หลักการคำนวน Table'!$C$3:$K$3,'2) หลักการคำนวน Table'!$C$3:$K$3,,1),
  IF(AH9&lt;MIN('2) หลักการคำนวน Table'!$C$3:$K$3),
     MIN('2) หลักการคำนวน Table'!$C$3:$K$3),
     MAX('2) หลักการคำนวน Table'!$C$3:$K$3)
  )
)</f>
        <v>0.9</v>
      </c>
      <c r="AU9" s="186">
        <f>IFERROR(
  _xlfn.XLOOKUP(AI9,'2) หลักการคำนวน Table'!$C$3:$K$3,'2) หลักการคำนวน Table'!$C$3:$K$3,,1),
  IF(AI9&lt;MIN('2) หลักการคำนวน Table'!$C$3:$K$3),
     MIN('2) หลักการคำนวน Table'!$C$3:$K$3),
     MAX('2) หลักการคำนวน Table'!$C$3:$K$3)
  )
)</f>
        <v>0.9</v>
      </c>
      <c r="AV9" s="186">
        <f>IFERROR(
  _xlfn.XLOOKUP(AJ9,'2) หลักการคำนวน Table'!$C$3:$K$3,'2) หลักการคำนวน Table'!$C$3:$K$3,,1),
  IF(AJ9&lt;MIN('2) หลักการคำนวน Table'!$C$3:$K$3),
     MIN('2) หลักการคำนวน Table'!$C$3:$K$3),
     MAX('2) หลักการคำนวน Table'!$C$3:$K$3)
  )
)</f>
        <v>0.9</v>
      </c>
      <c r="AW9" s="186">
        <f>IFERROR(
  _xlfn.XLOOKUP(AK9,'2) หลักการคำนวน Table'!$C$3:$K$3,'2) หลักการคำนวน Table'!$C$3:$K$3,,1),
  IF(AK9&lt;MIN('2) หลักการคำนวน Table'!$C$3:$K$3),
     MIN('2) หลักการคำนวน Table'!$C$3:$K$3),
     MAX('2) หลักการคำนวน Table'!$C$3:$K$3)
  )
)</f>
        <v>0.9</v>
      </c>
      <c r="AX9" s="186">
        <f>IFERROR(
  _xlfn.XLOOKUP(AL9,'2) หลักการคำนวน Table'!$C$3:$K$3,'2) หลักการคำนวน Table'!$C$3:$K$3,,1),
  IF(AL9&lt;MIN('2) หลักการคำนวน Table'!$C$3:$K$3),
     MIN('2) หลักการคำนวน Table'!$C$3:$K$3),
     MAX('2) หลักการคำนวน Table'!$C$3:$K$3)
  )
)</f>
        <v>0.9</v>
      </c>
      <c r="AY9" s="186">
        <f>IFERROR(
  _xlfn.XLOOKUP(AM9,'2) หลักการคำนวน Table'!$C$3:$K$3,'2) หลักการคำนวน Table'!$C$3:$K$3,,1),
  IF(AM9&lt;MIN('2) หลักการคำนวน Table'!$C$3:$K$3),
     MIN('2) หลักการคำนวน Table'!$C$3:$K$3),
     MAX('2) หลักการคำนวน Table'!$C$3:$K$3)
  )
)</f>
        <v>0.9</v>
      </c>
      <c r="AZ9" s="135" t="e" cm="1">
        <f t="array" ref="AZ9">(_xlfn.XLOOKUP($C9,'2) หลักการคำนวน Table'!$A$4:$A$36,
_xlfn.XLOOKUP(AN9,'2)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A9" s="135" t="e" cm="1">
        <f t="array" ref="BA9">(_xlfn.XLOOKUP($C9,'2) หลักการคำนวน Table'!$A$4:$A$36,
_xlfn.XLOOKUP(AO9,'2)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B9" s="135" t="e" cm="1">
        <f t="array" ref="BB9">(_xlfn.XLOOKUP($C9,'2) หลักการคำนวน Table'!$A$4:$A$36,
_xlfn.XLOOKUP(AP9,'2)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C9" s="135" t="e" cm="1">
        <f t="array" ref="BC9">(_xlfn.XLOOKUP($C9,'2) หลักการคำนวน Table'!$A$4:$A$36,
_xlfn.XLOOKUP(AQ9,'2)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D9" s="135" t="e" cm="1">
        <f t="array" ref="BD9">(_xlfn.XLOOKUP($C9,'2) หลักการคำนวน Table'!$A$4:$A$36,
_xlfn.XLOOKUP(AR9,'2)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E9" s="135" t="e" cm="1">
        <f t="array" ref="BE9">(_xlfn.XLOOKUP($C9,'2) หลักการคำนวน Table'!$A$4:$A$36,
_xlfn.XLOOKUP(AS9,'2)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F9" s="135" t="e" cm="1">
        <f t="array" ref="BF9">(_xlfn.XLOOKUP($C9,'2) หลักการคำนวน Table'!$A$4:$A$36,
_xlfn.XLOOKUP(AT9,'2)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G9" s="135" t="e" cm="1">
        <f t="array" ref="BG9">(_xlfn.XLOOKUP($C9,'2) หลักการคำนวน Table'!$A$4:$A$36,
_xlfn.XLOOKUP(AU9,'2)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</f>
        <v>#N/A</v>
      </c>
      <c r="BH9" s="135" t="e" cm="1">
        <f t="array" ref="BH9">ROUND((_xlfn.XLOOKUP($C9,'2) หลักการคำนวน Table'!$A$4:$A$36,
_xlfn.XLOOKUP(AV9,'2)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I9" s="135" t="e" cm="1">
        <f t="array" ref="BI9">ROUND((_xlfn.XLOOKUP($C9,'2) หลักการคำนวน Table'!$A$4:$A$36,
_xlfn.XLOOKUP(AW9,'2)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J9" s="135" t="e" cm="1">
        <f t="array" ref="BJ9">ROUND((_xlfn.XLOOKUP($C9,'2) หลักการคำนวน Table'!$A$4:$A$36,
_xlfn.XLOOKUP(AX9,'2)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K9" s="135" t="e" cm="1">
        <f t="array" ref="BK9">ROUND((_xlfn.XLOOKUP($C9,'2) หลักการคำนวน Table'!$A$4:$A$36,
_xlfn.XLOOKUP(AY9,'2) หลักการคำนวน Table'!$C$3:$K$3,'2) หลักการคำนวน Table'!$C$4:$K$36,,-1)))*(_xlfn.XLOOKUP($C9,'2) หลักการคำนวน Table'!$A$4:$A$36, _xlfn.XLOOKUP($B9,'2) หลักการคำนวน Table'!$L$3:$Z$3,'2) หลักการคำนวน Table'!$L$4:$Z$36))),0)</f>
        <v>#N/A</v>
      </c>
      <c r="BL9" s="239"/>
      <c r="BM9" s="126">
        <v>222222</v>
      </c>
      <c r="BN9" s="245">
        <v>399.00000000000006</v>
      </c>
    </row>
    <row r="10" spans="1:66" ht="13.2" customHeight="1" x14ac:dyDescent="0.25">
      <c r="A10" s="128" t="e">
        <f>VLOOKUP(C10,ASTBase!F:S,12,FALSE)</f>
        <v>#N/A</v>
      </c>
      <c r="B10" s="126" t="s">
        <v>406</v>
      </c>
      <c r="C10" s="128">
        <v>222222</v>
      </c>
      <c r="D10" s="127">
        <f>SUMIFS('3)Target &amp; Cal_Dept'!D$4:D$31,'3)Target &amp; Cal_Dept'!$B$4:$B$31,'3)Target &amp; Cal_AD'!$B10,'3)Target &amp; Cal_Dept'!$A$4:$A$31,'3)Target &amp; Cal_AD'!$C10)</f>
        <v>2267386.2000000002</v>
      </c>
      <c r="E10" s="127">
        <f>SUMIFS('3)Target &amp; Cal_Dept'!E$4:E$31,'3)Target &amp; Cal_Dept'!$B$4:$B$31,'3)Target &amp; Cal_AD'!$B10,'3)Target &amp; Cal_Dept'!$A$4:$A$31,'3)Target &amp; Cal_AD'!$C10)</f>
        <v>2618726.4300000002</v>
      </c>
      <c r="F10" s="127">
        <f>SUMIFS('3)Target &amp; Cal_Dept'!F$4:F$31,'3)Target &amp; Cal_Dept'!$B$4:$B$31,'3)Target &amp; Cal_AD'!$B10,'3)Target &amp; Cal_Dept'!$A$4:$A$31,'3)Target &amp; Cal_AD'!$C10)</f>
        <v>2695039.92</v>
      </c>
      <c r="G10" s="127">
        <f>SUMIFS('3)Target &amp; Cal_Dept'!G$4:G$31,'3)Target &amp; Cal_Dept'!$B$4:$B$31,'3)Target &amp; Cal_AD'!$B10,'3)Target &amp; Cal_Dept'!$A$4:$A$31,'3)Target &amp; Cal_AD'!$C10)</f>
        <v>2584961.92</v>
      </c>
      <c r="H10" s="127">
        <f>SUMIFS('3)Target &amp; Cal_Dept'!H$4:H$31,'3)Target &amp; Cal_Dept'!$B$4:$B$31,'3)Target &amp; Cal_AD'!$B10,'3)Target &amp; Cal_Dept'!$A$4:$A$31,'3)Target &amp; Cal_AD'!$C10)</f>
        <v>2200318.34</v>
      </c>
      <c r="I10" s="127">
        <f>SUMIFS('3)Target &amp; Cal_Dept'!I$4:I$31,'3)Target &amp; Cal_Dept'!$B$4:$B$31,'3)Target &amp; Cal_AD'!$B10,'3)Target &amp; Cal_Dept'!$A$4:$A$31,'3)Target &amp; Cal_AD'!$C10)</f>
        <v>2423353.87</v>
      </c>
      <c r="J10" s="127">
        <f>SUMIFS('3)Target &amp; Cal_Dept'!J$4:J$31,'3)Target &amp; Cal_Dept'!$B$4:$B$31,'3)Target &amp; Cal_AD'!$B10,'3)Target &amp; Cal_Dept'!$A$4:$A$31,'3)Target &amp; Cal_AD'!$C10)</f>
        <v>1675403.32</v>
      </c>
      <c r="K10" s="127">
        <f>SUMIFS('3)Target &amp; Cal_Dept'!K$4:K$31,'3)Target &amp; Cal_Dept'!$B$4:$B$31,'3)Target &amp; Cal_AD'!$B10,'3)Target &amp; Cal_Dept'!$A$4:$A$31,'3)Target &amp; Cal_AD'!$C10)</f>
        <v>2867484.18</v>
      </c>
      <c r="L10" s="127">
        <v>84592.200000000012</v>
      </c>
      <c r="M10" s="127">
        <v>77575</v>
      </c>
      <c r="N10" s="127">
        <v>42077</v>
      </c>
      <c r="O10" s="127">
        <v>59058</v>
      </c>
      <c r="P10" s="127">
        <f>SUMIFS('3)Target &amp; Cal_Dept'!P$4:P$32,'3)Target &amp; Cal_Dept'!$B$4:$B$32,'3)Target &amp; Cal_AD'!$B10,'3)Target &amp; Cal_Dept'!$A$4:$A$32,'3)Target &amp; Cal_AD'!$C10)</f>
        <v>2378660.3000000091</v>
      </c>
      <c r="Q10" s="127">
        <f>SUMIFS('3)Target &amp; Cal_Dept'!Q$4:Q$32,'3)Target &amp; Cal_Dept'!$B$4:$B$32,'3)Target &amp; Cal_AD'!$B10,'3)Target &amp; Cal_Dept'!$A$4:$A$32,'3)Target &amp; Cal_AD'!$C10)</f>
        <v>0</v>
      </c>
      <c r="R10" s="127">
        <f>SUMIFS('3)Target &amp; Cal_Dept'!R$4:R$32,'3)Target &amp; Cal_Dept'!$B$4:$B$32,'3)Target &amp; Cal_AD'!$B10,'3)Target &amp; Cal_Dept'!$A$4:$A$32,'3)Target &amp; Cal_AD'!$C10)</f>
        <v>0</v>
      </c>
      <c r="S10" s="127">
        <f>SUMIFS('3)Target &amp; Cal_Dept'!S$4:S$32,'3)Target &amp; Cal_Dept'!$B$4:$B$32,'3)Target &amp; Cal_AD'!$B10,'3)Target &amp; Cal_Dept'!$A$4:$A$32,'3)Target &amp; Cal_AD'!$C10)</f>
        <v>0</v>
      </c>
      <c r="T10" s="127">
        <f>SUMIFS('3)Target &amp; Cal_Dept'!T$4:T$32,'3)Target &amp; Cal_Dept'!$B$4:$B$32,'3)Target &amp; Cal_AD'!$B10,'3)Target &amp; Cal_Dept'!$A$4:$A$32,'3)Target &amp; Cal_AD'!$C10)</f>
        <v>0</v>
      </c>
      <c r="U10" s="127">
        <f>SUMIFS('3)Target &amp; Cal_Dept'!U$4:U$32,'3)Target &amp; Cal_Dept'!$B$4:$B$32,'3)Target &amp; Cal_AD'!$B10,'3)Target &amp; Cal_Dept'!$A$4:$A$32,'3)Target &amp; Cal_AD'!$C10)</f>
        <v>0</v>
      </c>
      <c r="V10" s="127">
        <f>SUMIFS('3)Target &amp; Cal_Dept'!V$4:V$32,'3)Target &amp; Cal_Dept'!$B$4:$B$32,'3)Target &amp; Cal_AD'!$B10,'3)Target &amp; Cal_Dept'!$A$4:$A$32,'3)Target &amp; Cal_AD'!$C10)</f>
        <v>0</v>
      </c>
      <c r="W10" s="127">
        <f>SUMIFS('3)Target &amp; Cal_Dept'!W$4:W$32,'3)Target &amp; Cal_Dept'!$B$4:$B$32,'3)Target &amp; Cal_AD'!$B10,'3)Target &amp; Cal_Dept'!$A$4:$A$32,'3)Target &amp; Cal_AD'!$C10)</f>
        <v>0</v>
      </c>
      <c r="X10" s="127">
        <f>SUMIFS('3)Target &amp; Cal_Dept'!X$4:X$32,'3)Target &amp; Cal_Dept'!$B$4:$B$32,'3)Target &amp; Cal_AD'!$B10,'3)Target &amp; Cal_Dept'!$A$4:$A$32,'3)Target &amp; Cal_AD'!$C10)</f>
        <v>0</v>
      </c>
      <c r="Y10" s="127">
        <f>SUMIFS('3)Target &amp; Cal_Dept'!Y$4:Y$32,'3)Target &amp; Cal_Dept'!$B$4:$B$32,'3)Target &amp; Cal_AD'!$B10,'3)Target &amp; Cal_Dept'!$A$4:$A$32,'3)Target &amp; Cal_AD'!$C10)</f>
        <v>0</v>
      </c>
      <c r="Z10" s="127">
        <f>SUMIFS('3)Target &amp; Cal_Dept'!Z$4:Z$32,'3)Target &amp; Cal_Dept'!$B$4:$B$32,'3)Target &amp; Cal_AD'!$B10,'3)Target &amp; Cal_Dept'!$A$4:$A$32,'3)Target &amp; Cal_AD'!$C10)</f>
        <v>0</v>
      </c>
      <c r="AA10" s="127">
        <f>SUMIFS('3)Target &amp; Cal_Dept'!AA$4:AA$32,'3)Target &amp; Cal_Dept'!$B$4:$B$32,'3)Target &amp; Cal_AD'!$B10,'3)Target &amp; Cal_Dept'!$A$4:$A$32,'3)Target &amp; Cal_AD'!$C10)</f>
        <v>0</v>
      </c>
      <c r="AB10" s="132">
        <f>IFERROR(IF(VLOOKUP($B10,Shortage!$A:$M,AB$2,FALSE)="Shortage",1,IFERROR(ROUND(P10/D10,4),0)),IFERROR(ROUND(P10/D10,4),0))</f>
        <v>1</v>
      </c>
      <c r="AC10" s="132">
        <f>IFERROR(IF(VLOOKUP($B10,Shortage!$A:$M,AC$2,FALSE)="Shortage",1,IFERROR(ROUND(Q10/E10,4),0)),IFERROR(ROUND(Q10/E10,4),0))</f>
        <v>0</v>
      </c>
      <c r="AD10" s="132">
        <f>IFERROR(IF(VLOOKUP($B10,Shortage!$A:$M,AD$2,FALSE)="Shortage",1,IFERROR(ROUND(R10/F10,4),0)),IFERROR(ROUND(R10/F10,4),0))</f>
        <v>0</v>
      </c>
      <c r="AE10" s="132">
        <f>IFERROR(IF(VLOOKUP($B10,Shortage!$A:$M,AE$2,FALSE)="Shortage",1,IFERROR(ROUND(S10/G10,4),0)),IFERROR(ROUND(S10/G10,4),0))</f>
        <v>0</v>
      </c>
      <c r="AF10" s="132">
        <f>IFERROR(IF(VLOOKUP($B10,Shortage!$A:$M,AF$2,FALSE)="Shortage",1,IFERROR(ROUND(T10/H10,4),0)),IFERROR(ROUND(T10/H10,4),0))</f>
        <v>0</v>
      </c>
      <c r="AG10" s="132">
        <f>IFERROR(IF(VLOOKUP($B10,Shortage!$A:$M,AG$2,FALSE)="Shortage",1,IFERROR(ROUND(U10/I10,4),0)),IFERROR(ROUND(U10/I10,4),0))</f>
        <v>0</v>
      </c>
      <c r="AH10" s="132">
        <f>IFERROR(IF(VLOOKUP($B10,Shortage!$A:$M,AH$2,FALSE)="Shortage",1,IFERROR(ROUND(V10/J10,4),0)),IFERROR(ROUND(V10/J10,4),0))</f>
        <v>0</v>
      </c>
      <c r="AI10" s="132">
        <f>IFERROR(IF(VLOOKUP($B10,Shortage!$A:$M,AI$2,FALSE)="Shortage",1,IFERROR(ROUND(W10/K10,4),0)),IFERROR(ROUND(W10/K10,4),0))</f>
        <v>0</v>
      </c>
      <c r="AJ10" s="132">
        <f>IFERROR(IF(VLOOKUP($B10,Shortage!$A:$M,AJ$2,FALSE)="Shortage",1,IFERROR(ROUND(X10/L10,4),0)),IFERROR(ROUND(X10/L10,4),0))</f>
        <v>0</v>
      </c>
      <c r="AK10" s="132">
        <f>IFERROR(IF(VLOOKUP($B10,Shortage!$A:$M,AK$2,FALSE)="Shortage",1,IFERROR(ROUND(Y10/M10,4),0)),IFERROR(ROUND(Y10/M10,4),0))</f>
        <v>0</v>
      </c>
      <c r="AL10" s="132">
        <f>IFERROR(IF(VLOOKUP($B10,Shortage!$A:$M,AL$2,FALSE)="Shortage",1,IFERROR(ROUND(Z10/N10,4),0)),IFERROR(ROUND(Z10/N10,4),0))</f>
        <v>0</v>
      </c>
      <c r="AM10" s="132">
        <f>IFERROR(IF(VLOOKUP($B10,Shortage!$A:$M,AM$2,FALSE)="Shortage",1,IFERROR(ROUND(AA10/O10,4),0)),IFERROR(ROUND(AA10/O10,4),0))</f>
        <v>0</v>
      </c>
      <c r="AN10" s="186">
        <f>IFERROR(_xlfn.XLOOKUP(AB10,'2) หลักการคำนวน Table'!$C$3:$K$3,'2) หลักการคำนวน Table'!$C$3:$K$3,,1),INDEX('2) หลักการคำนวน Table'!$C$3:$K$3,1))</f>
        <v>1</v>
      </c>
      <c r="AO10" s="186">
        <f>IFERROR(
  _xlfn.XLOOKUP(AC10,'2) หลักการคำนวน Table'!$C$3:$K$3,'2) หลักการคำนวน Table'!$C$3:$K$3,,1),
  IF(AC10&lt;MIN('2) หลักการคำนวน Table'!$C$3:$K$3),
     MIN('2) หลักการคำนวน Table'!$C$3:$K$3),
     MAX('2) หลักการคำนวน Table'!$C$3:$K$3)
  )
)</f>
        <v>0.9</v>
      </c>
      <c r="AP10" s="186">
        <f>IFERROR(
  _xlfn.XLOOKUP(AD10,'2) หลักการคำนวน Table'!$C$3:$K$3,'2) หลักการคำนวน Table'!$C$3:$K$3,,1),
  IF(AD10&lt;MIN('2) หลักการคำนวน Table'!$C$3:$K$3),
     MIN('2) หลักการคำนวน Table'!$C$3:$K$3),
     MAX('2) หลักการคำนวน Table'!$C$3:$K$3)
  )
)</f>
        <v>0.9</v>
      </c>
      <c r="AQ10" s="186">
        <f>IFERROR(
  _xlfn.XLOOKUP(AE10,'2) หลักการคำนวน Table'!$C$3:$K$3,'2) หลักการคำนวน Table'!$C$3:$K$3,,1),
  IF(AE10&lt;MIN('2) หลักการคำนวน Table'!$C$3:$K$3),
     MIN('2) หลักการคำนวน Table'!$C$3:$K$3),
     MAX('2) หลักการคำนวน Table'!$C$3:$K$3)
  )
)</f>
        <v>0.9</v>
      </c>
      <c r="AR10" s="186">
        <f>IFERROR(
  _xlfn.XLOOKUP(AF10,'2) หลักการคำนวน Table'!$C$3:$K$3,'2) หลักการคำนวน Table'!$C$3:$K$3,,1),
  IF(AF10&lt;MIN('2) หลักการคำนวน Table'!$C$3:$K$3),
     MIN('2) หลักการคำนวน Table'!$C$3:$K$3),
     MAX('2) หลักการคำนวน Table'!$C$3:$K$3)
  )
)</f>
        <v>0.9</v>
      </c>
      <c r="AS10" s="186">
        <f>IFERROR(
  _xlfn.XLOOKUP(AG10,'2) หลักการคำนวน Table'!$C$3:$K$3,'2) หลักการคำนวน Table'!$C$3:$K$3,,1),
  IF(AG10&lt;MIN('2) หลักการคำนวน Table'!$C$3:$K$3),
     MIN('2) หลักการคำนวน Table'!$C$3:$K$3),
     MAX('2) หลักการคำนวน Table'!$C$3:$K$3)
  )
)</f>
        <v>0.9</v>
      </c>
      <c r="AT10" s="186">
        <f>IFERROR(
  _xlfn.XLOOKUP(AH10,'2) หลักการคำนวน Table'!$C$3:$K$3,'2) หลักการคำนวน Table'!$C$3:$K$3,,1),
  IF(AH10&lt;MIN('2) หลักการคำนวน Table'!$C$3:$K$3),
     MIN('2) หลักการคำนวน Table'!$C$3:$K$3),
     MAX('2) หลักการคำนวน Table'!$C$3:$K$3)
  )
)</f>
        <v>0.9</v>
      </c>
      <c r="AU10" s="186">
        <f>IFERROR(
  _xlfn.XLOOKUP(AI10,'2) หลักการคำนวน Table'!$C$3:$K$3,'2) หลักการคำนวน Table'!$C$3:$K$3,,1),
  IF(AI10&lt;MIN('2) หลักการคำนวน Table'!$C$3:$K$3),
     MIN('2) หลักการคำนวน Table'!$C$3:$K$3),
     MAX('2) หลักการคำนวน Table'!$C$3:$K$3)
  )
)</f>
        <v>0.9</v>
      </c>
      <c r="AV10" s="186">
        <f>IFERROR(
  _xlfn.XLOOKUP(AJ10,'2) หลักการคำนวน Table'!$C$3:$K$3,'2) หลักการคำนวน Table'!$C$3:$K$3,,1),
  IF(AJ10&lt;MIN('2) หลักการคำนวน Table'!$C$3:$K$3),
     MIN('2) หลักการคำนวน Table'!$C$3:$K$3),
     MAX('2) หลักการคำนวน Table'!$C$3:$K$3)
  )
)</f>
        <v>0.9</v>
      </c>
      <c r="AW10" s="186">
        <f>IFERROR(
  _xlfn.XLOOKUP(AK10,'2) หลักการคำนวน Table'!$C$3:$K$3,'2) หลักการคำนวน Table'!$C$3:$K$3,,1),
  IF(AK10&lt;MIN('2) หลักการคำนวน Table'!$C$3:$K$3),
     MIN('2) หลักการคำนวน Table'!$C$3:$K$3),
     MAX('2) หลักการคำนวน Table'!$C$3:$K$3)
  )
)</f>
        <v>0.9</v>
      </c>
      <c r="AX10" s="186">
        <f>IFERROR(
  _xlfn.XLOOKUP(AL10,'2) หลักการคำนวน Table'!$C$3:$K$3,'2) หลักการคำนวน Table'!$C$3:$K$3,,1),
  IF(AL10&lt;MIN('2) หลักการคำนวน Table'!$C$3:$K$3),
     MIN('2) หลักการคำนวน Table'!$C$3:$K$3),
     MAX('2) หลักการคำนวน Table'!$C$3:$K$3)
  )
)</f>
        <v>0.9</v>
      </c>
      <c r="AY10" s="186">
        <f>IFERROR(
  _xlfn.XLOOKUP(AM10,'2) หลักการคำนวน Table'!$C$3:$K$3,'2) หลักการคำนวน Table'!$C$3:$K$3,,1),
  IF(AM10&lt;MIN('2) หลักการคำนวน Table'!$C$3:$K$3),
     MIN('2) หลักการคำนวน Table'!$C$3:$K$3),
     MAX('2) หลักการคำนวน Table'!$C$3:$K$3)
  )
)</f>
        <v>0.9</v>
      </c>
      <c r="AZ10" s="135" t="e" cm="1">
        <f t="array" ref="AZ10">(_xlfn.XLOOKUP($C10,'2) หลักการคำนวน Table'!$A$4:$A$36,
_xlfn.XLOOKUP(AN10,'2)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A10" s="135" t="e" cm="1">
        <f t="array" ref="BA10">(_xlfn.XLOOKUP($C10,'2) หลักการคำนวน Table'!$A$4:$A$36,
_xlfn.XLOOKUP(AO10,'2)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B10" s="135" t="e" cm="1">
        <f t="array" ref="BB10">(_xlfn.XLOOKUP($C10,'2) หลักการคำนวน Table'!$A$4:$A$36,
_xlfn.XLOOKUP(AP10,'2)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C10" s="135" t="e" cm="1">
        <f t="array" ref="BC10">(_xlfn.XLOOKUP($C10,'2) หลักการคำนวน Table'!$A$4:$A$36,
_xlfn.XLOOKUP(AQ10,'2)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D10" s="135" t="e" cm="1">
        <f t="array" ref="BD10">(_xlfn.XLOOKUP($C10,'2) หลักการคำนวน Table'!$A$4:$A$36,
_xlfn.XLOOKUP(AR10,'2)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E10" s="135" t="e" cm="1">
        <f t="array" ref="BE10">(_xlfn.XLOOKUP($C10,'2) หลักการคำนวน Table'!$A$4:$A$36,
_xlfn.XLOOKUP(AS10,'2)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F10" s="135" t="e" cm="1">
        <f t="array" ref="BF10">(_xlfn.XLOOKUP($C10,'2) หลักการคำนวน Table'!$A$4:$A$36,
_xlfn.XLOOKUP(AT10,'2)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G10" s="135" t="e" cm="1">
        <f t="array" ref="BG10">(_xlfn.XLOOKUP($C10,'2) หลักการคำนวน Table'!$A$4:$A$36,
_xlfn.XLOOKUP(AU10,'2)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</f>
        <v>#N/A</v>
      </c>
      <c r="BH10" s="135" t="e" cm="1">
        <f t="array" ref="BH10">ROUND((_xlfn.XLOOKUP($C10,'2) หลักการคำนวน Table'!$A$4:$A$36,
_xlfn.XLOOKUP(AV10,'2)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I10" s="135" t="e" cm="1">
        <f t="array" ref="BI10">ROUND((_xlfn.XLOOKUP($C10,'2) หลักการคำนวน Table'!$A$4:$A$36,
_xlfn.XLOOKUP(AW10,'2)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J10" s="135" t="e" cm="1">
        <f t="array" ref="BJ10">ROUND((_xlfn.XLOOKUP($C10,'2) หลักการคำนวน Table'!$A$4:$A$36,
_xlfn.XLOOKUP(AX10,'2)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K10" s="135" t="e" cm="1">
        <f t="array" ref="BK10">ROUND((_xlfn.XLOOKUP($C10,'2) หลักการคำนวน Table'!$A$4:$A$36,
_xlfn.XLOOKUP(AY10,'2) หลักการคำนวน Table'!$C$3:$K$3,'2) หลักการคำนวน Table'!$C$4:$K$36,,-1)))*(_xlfn.XLOOKUP($C10,'2) หลักการคำนวน Table'!$A$4:$A$36, _xlfn.XLOOKUP($B10,'2) หลักการคำนวน Table'!$L$3:$Z$3,'2) หลักการคำนวน Table'!$L$4:$Z$36))),0)</f>
        <v>#N/A</v>
      </c>
      <c r="BL10" s="239"/>
      <c r="BM10" s="126">
        <v>222222</v>
      </c>
      <c r="BN10" s="245">
        <v>180</v>
      </c>
    </row>
    <row r="11" spans="1:66" ht="13.2" customHeight="1" x14ac:dyDescent="0.25">
      <c r="A11" s="128" t="e">
        <f>VLOOKUP(C11,ASTBase!F:S,12,FALSE)</f>
        <v>#N/A</v>
      </c>
      <c r="B11" s="126" t="s">
        <v>409</v>
      </c>
      <c r="C11" s="128">
        <v>222222</v>
      </c>
      <c r="D11" s="127">
        <f>SUMIFS('3)Target &amp; Cal_Dept'!D$4:D$31,'3)Target &amp; Cal_Dept'!$B$4:$B$31,'3)Target &amp; Cal_AD'!$B11,'3)Target &amp; Cal_Dept'!$A$4:$A$31,'3)Target &amp; Cal_AD'!$C11)</f>
        <v>60802.240000000005</v>
      </c>
      <c r="E11" s="127">
        <f>SUMIFS('3)Target &amp; Cal_Dept'!E$4:E$31,'3)Target &amp; Cal_Dept'!$B$4:$B$31,'3)Target &amp; Cal_AD'!$B11,'3)Target &amp; Cal_Dept'!$A$4:$A$31,'3)Target &amp; Cal_AD'!$C11)</f>
        <v>59267.479999999996</v>
      </c>
      <c r="F11" s="127">
        <f>SUMIFS('3)Target &amp; Cal_Dept'!F$4:F$31,'3)Target &amp; Cal_Dept'!$B$4:$B$31,'3)Target &amp; Cal_AD'!$B11,'3)Target &amp; Cal_Dept'!$A$4:$A$31,'3)Target &amp; Cal_AD'!$C11)</f>
        <v>107854.76</v>
      </c>
      <c r="G11" s="127">
        <f>SUMIFS('3)Target &amp; Cal_Dept'!G$4:G$31,'3)Target &amp; Cal_Dept'!$B$4:$B$31,'3)Target &amp; Cal_AD'!$B11,'3)Target &amp; Cal_Dept'!$A$4:$A$31,'3)Target &amp; Cal_AD'!$C11)</f>
        <v>55068.520000000004</v>
      </c>
      <c r="H11" s="127">
        <f>SUMIFS('3)Target &amp; Cal_Dept'!H$4:H$31,'3)Target &amp; Cal_Dept'!$B$4:$B$31,'3)Target &amp; Cal_AD'!$B11,'3)Target &amp; Cal_Dept'!$A$4:$A$31,'3)Target &amp; Cal_AD'!$C11)</f>
        <v>57168.4</v>
      </c>
      <c r="I11" s="127">
        <f>SUMIFS('3)Target &amp; Cal_Dept'!I$4:I$31,'3)Target &amp; Cal_Dept'!$B$4:$B$31,'3)Target &amp; Cal_AD'!$B11,'3)Target &amp; Cal_Dept'!$A$4:$A$31,'3)Target &amp; Cal_AD'!$C11)</f>
        <v>66169.040000000008</v>
      </c>
      <c r="J11" s="127">
        <f>SUMIFS('3)Target &amp; Cal_Dept'!J$4:J$31,'3)Target &amp; Cal_Dept'!$B$4:$B$31,'3)Target &amp; Cal_AD'!$B11,'3)Target &amp; Cal_Dept'!$A$4:$A$31,'3)Target &amp; Cal_AD'!$C11)</f>
        <v>70927.28</v>
      </c>
      <c r="K11" s="127">
        <f>SUMIFS('3)Target &amp; Cal_Dept'!K$4:K$31,'3)Target &amp; Cal_Dept'!$B$4:$B$31,'3)Target &amp; Cal_AD'!$B11,'3)Target &amp; Cal_Dept'!$A$4:$A$31,'3)Target &amp; Cal_AD'!$C11)</f>
        <v>66352.639999999999</v>
      </c>
      <c r="L11" s="127">
        <v>1809395.999999163</v>
      </c>
      <c r="M11" s="127">
        <v>1848576</v>
      </c>
      <c r="N11" s="127">
        <v>1302436</v>
      </c>
      <c r="O11" s="127">
        <v>1414439.9999987108</v>
      </c>
      <c r="P11" s="127">
        <f>SUMIFS('3)Target &amp; Cal_Dept'!P$4:P$32,'3)Target &amp; Cal_Dept'!$B$4:$B$32,'3)Target &amp; Cal_AD'!$B11,'3)Target &amp; Cal_Dept'!$A$4:$A$32,'3)Target &amp; Cal_AD'!$C11)</f>
        <v>62881.352000000174</v>
      </c>
      <c r="Q11" s="127">
        <f>SUMIFS('3)Target &amp; Cal_Dept'!Q$4:Q$32,'3)Target &amp; Cal_Dept'!$B$4:$B$32,'3)Target &amp; Cal_AD'!$B11,'3)Target &amp; Cal_Dept'!$A$4:$A$32,'3)Target &amp; Cal_AD'!$C11)</f>
        <v>0</v>
      </c>
      <c r="R11" s="127">
        <f>SUMIFS('3)Target &amp; Cal_Dept'!R$4:R$32,'3)Target &amp; Cal_Dept'!$B$4:$B$32,'3)Target &amp; Cal_AD'!$B11,'3)Target &amp; Cal_Dept'!$A$4:$A$32,'3)Target &amp; Cal_AD'!$C11)</f>
        <v>0</v>
      </c>
      <c r="S11" s="127">
        <f>SUMIFS('3)Target &amp; Cal_Dept'!S$4:S$32,'3)Target &amp; Cal_Dept'!$B$4:$B$32,'3)Target &amp; Cal_AD'!$B11,'3)Target &amp; Cal_Dept'!$A$4:$A$32,'3)Target &amp; Cal_AD'!$C11)</f>
        <v>0</v>
      </c>
      <c r="T11" s="127">
        <f>SUMIFS('3)Target &amp; Cal_Dept'!T$4:T$32,'3)Target &amp; Cal_Dept'!$B$4:$B$32,'3)Target &amp; Cal_AD'!$B11,'3)Target &amp; Cal_Dept'!$A$4:$A$32,'3)Target &amp; Cal_AD'!$C11)</f>
        <v>0</v>
      </c>
      <c r="U11" s="127">
        <f>SUMIFS('3)Target &amp; Cal_Dept'!U$4:U$32,'3)Target &amp; Cal_Dept'!$B$4:$B$32,'3)Target &amp; Cal_AD'!$B11,'3)Target &amp; Cal_Dept'!$A$4:$A$32,'3)Target &amp; Cal_AD'!$C11)</f>
        <v>0</v>
      </c>
      <c r="V11" s="127">
        <f>SUMIFS('3)Target &amp; Cal_Dept'!V$4:V$32,'3)Target &amp; Cal_Dept'!$B$4:$B$32,'3)Target &amp; Cal_AD'!$B11,'3)Target &amp; Cal_Dept'!$A$4:$A$32,'3)Target &amp; Cal_AD'!$C11)</f>
        <v>0</v>
      </c>
      <c r="W11" s="127">
        <f>SUMIFS('3)Target &amp; Cal_Dept'!W$4:W$32,'3)Target &amp; Cal_Dept'!$B$4:$B$32,'3)Target &amp; Cal_AD'!$B11,'3)Target &amp; Cal_Dept'!$A$4:$A$32,'3)Target &amp; Cal_AD'!$C11)</f>
        <v>0</v>
      </c>
      <c r="X11" s="127">
        <f>SUMIFS('3)Target &amp; Cal_Dept'!X$4:X$32,'3)Target &amp; Cal_Dept'!$B$4:$B$32,'3)Target &amp; Cal_AD'!$B11,'3)Target &amp; Cal_Dept'!$A$4:$A$32,'3)Target &amp; Cal_AD'!$C11)</f>
        <v>0</v>
      </c>
      <c r="Y11" s="127">
        <f>SUMIFS('3)Target &amp; Cal_Dept'!Y$4:Y$32,'3)Target &amp; Cal_Dept'!$B$4:$B$32,'3)Target &amp; Cal_AD'!$B11,'3)Target &amp; Cal_Dept'!$A$4:$A$32,'3)Target &amp; Cal_AD'!$C11)</f>
        <v>0</v>
      </c>
      <c r="Z11" s="127">
        <f>SUMIFS('3)Target &amp; Cal_Dept'!Z$4:Z$32,'3)Target &amp; Cal_Dept'!$B$4:$B$32,'3)Target &amp; Cal_AD'!$B11,'3)Target &amp; Cal_Dept'!$A$4:$A$32,'3)Target &amp; Cal_AD'!$C11)</f>
        <v>0</v>
      </c>
      <c r="AA11" s="127">
        <f>SUMIFS('3)Target &amp; Cal_Dept'!AA$4:AA$32,'3)Target &amp; Cal_Dept'!$B$4:$B$32,'3)Target &amp; Cal_AD'!$B11,'3)Target &amp; Cal_Dept'!$A$4:$A$32,'3)Target &amp; Cal_AD'!$C11)</f>
        <v>0</v>
      </c>
      <c r="AB11" s="132">
        <f>IFERROR(IF(VLOOKUP($B11,Shortage!$A:$M,AB$2,FALSE)="Shortage",1,IFERROR(ROUND(P11/D11,4),0)),IFERROR(ROUND(P11/D11,4),0))</f>
        <v>1.0342</v>
      </c>
      <c r="AC11" s="132">
        <f>IFERROR(IF(VLOOKUP($B11,Shortage!$A:$M,AC$2,FALSE)="Shortage",1,IFERROR(ROUND(Q11/E11,4),0)),IFERROR(ROUND(Q11/E11,4),0))</f>
        <v>0</v>
      </c>
      <c r="AD11" s="132">
        <f>IFERROR(IF(VLOOKUP($B11,Shortage!$A:$M,AD$2,FALSE)="Shortage",1,IFERROR(ROUND(R11/F11,4),0)),IFERROR(ROUND(R11/F11,4),0))</f>
        <v>0</v>
      </c>
      <c r="AE11" s="132">
        <f>IFERROR(IF(VLOOKUP($B11,Shortage!$A:$M,AE$2,FALSE)="Shortage",1,IFERROR(ROUND(S11/G11,4),0)),IFERROR(ROUND(S11/G11,4),0))</f>
        <v>0</v>
      </c>
      <c r="AF11" s="132">
        <f>IFERROR(IF(VLOOKUP($B11,Shortage!$A:$M,AF$2,FALSE)="Shortage",1,IFERROR(ROUND(T11/H11,4),0)),IFERROR(ROUND(T11/H11,4),0))</f>
        <v>0</v>
      </c>
      <c r="AG11" s="132">
        <f>IFERROR(IF(VLOOKUP($B11,Shortage!$A:$M,AG$2,FALSE)="Shortage",1,IFERROR(ROUND(U11/I11,4),0)),IFERROR(ROUND(U11/I11,4),0))</f>
        <v>0</v>
      </c>
      <c r="AH11" s="132">
        <f>IFERROR(IF(VLOOKUP($B11,Shortage!$A:$M,AH$2,FALSE)="Shortage",1,IFERROR(ROUND(V11/J11,4),0)),IFERROR(ROUND(V11/J11,4),0))</f>
        <v>0</v>
      </c>
      <c r="AI11" s="132">
        <f>IFERROR(IF(VLOOKUP($B11,Shortage!$A:$M,AI$2,FALSE)="Shortage",1,IFERROR(ROUND(W11/K11,4),0)),IFERROR(ROUND(W11/K11,4),0))</f>
        <v>0</v>
      </c>
      <c r="AJ11" s="132">
        <f>IFERROR(IF(VLOOKUP($B11,Shortage!$A:$M,AJ$2,FALSE)="Shortage",1,IFERROR(ROUND(X11/L11,4),0)),IFERROR(ROUND(X11/L11,4),0))</f>
        <v>0</v>
      </c>
      <c r="AK11" s="132">
        <f>IFERROR(IF(VLOOKUP($B11,Shortage!$A:$M,AK$2,FALSE)="Shortage",1,IFERROR(ROUND(Y11/M11,4),0)),IFERROR(ROUND(Y11/M11,4),0))</f>
        <v>0</v>
      </c>
      <c r="AL11" s="132">
        <f>IFERROR(IF(VLOOKUP($B11,Shortage!$A:$M,AL$2,FALSE)="Shortage",1,IFERROR(ROUND(Z11/N11,4),0)),IFERROR(ROUND(Z11/N11,4),0))</f>
        <v>0</v>
      </c>
      <c r="AM11" s="132">
        <f>IFERROR(IF(VLOOKUP($B11,Shortage!$A:$M,AM$2,FALSE)="Shortage",1,IFERROR(ROUND(AA11/O11,4),0)),IFERROR(ROUND(AA11/O11,4),0))</f>
        <v>0</v>
      </c>
      <c r="AN11" s="186">
        <f>IFERROR(_xlfn.XLOOKUP(AB11,'2) หลักการคำนวน Table'!$C$3:$K$3,'2) หลักการคำนวน Table'!$C$3:$K$3,,1),INDEX('2) หลักการคำนวน Table'!$C$3:$K$3,1))</f>
        <v>1.06</v>
      </c>
      <c r="AO11" s="186">
        <f>IFERROR(
  _xlfn.XLOOKUP(AC11,'2) หลักการคำนวน Table'!$C$3:$K$3,'2) หลักการคำนวน Table'!$C$3:$K$3,,1),
  IF(AC11&lt;MIN('2) หลักการคำนวน Table'!$C$3:$K$3),
     MIN('2) หลักการคำนวน Table'!$C$3:$K$3),
     MAX('2) หลักการคำนวน Table'!$C$3:$K$3)
  )
)</f>
        <v>0.9</v>
      </c>
      <c r="AP11" s="186">
        <f>IFERROR(
  _xlfn.XLOOKUP(AD11,'2) หลักการคำนวน Table'!$C$3:$K$3,'2) หลักการคำนวน Table'!$C$3:$K$3,,1),
  IF(AD11&lt;MIN('2) หลักการคำนวน Table'!$C$3:$K$3),
     MIN('2) หลักการคำนวน Table'!$C$3:$K$3),
     MAX('2) หลักการคำนวน Table'!$C$3:$K$3)
  )
)</f>
        <v>0.9</v>
      </c>
      <c r="AQ11" s="186">
        <f>IFERROR(
  _xlfn.XLOOKUP(AE11,'2) หลักการคำนวน Table'!$C$3:$K$3,'2) หลักการคำนวน Table'!$C$3:$K$3,,1),
  IF(AE11&lt;MIN('2) หลักการคำนวน Table'!$C$3:$K$3),
     MIN('2) หลักการคำนวน Table'!$C$3:$K$3),
     MAX('2) หลักการคำนวน Table'!$C$3:$K$3)
  )
)</f>
        <v>0.9</v>
      </c>
      <c r="AR11" s="186">
        <f>IFERROR(
  _xlfn.XLOOKUP(AF11,'2) หลักการคำนวน Table'!$C$3:$K$3,'2) หลักการคำนวน Table'!$C$3:$K$3,,1),
  IF(AF11&lt;MIN('2) หลักการคำนวน Table'!$C$3:$K$3),
     MIN('2) หลักการคำนวน Table'!$C$3:$K$3),
     MAX('2) หลักการคำนวน Table'!$C$3:$K$3)
  )
)</f>
        <v>0.9</v>
      </c>
      <c r="AS11" s="186">
        <f>IFERROR(
  _xlfn.XLOOKUP(AG11,'2) หลักการคำนวน Table'!$C$3:$K$3,'2) หลักการคำนวน Table'!$C$3:$K$3,,1),
  IF(AG11&lt;MIN('2) หลักการคำนวน Table'!$C$3:$K$3),
     MIN('2) หลักการคำนวน Table'!$C$3:$K$3),
     MAX('2) หลักการคำนวน Table'!$C$3:$K$3)
  )
)</f>
        <v>0.9</v>
      </c>
      <c r="AT11" s="186">
        <f>IFERROR(
  _xlfn.XLOOKUP(AH11,'2) หลักการคำนวน Table'!$C$3:$K$3,'2) หลักการคำนวน Table'!$C$3:$K$3,,1),
  IF(AH11&lt;MIN('2) หลักการคำนวน Table'!$C$3:$K$3),
     MIN('2) หลักการคำนวน Table'!$C$3:$K$3),
     MAX('2) หลักการคำนวน Table'!$C$3:$K$3)
  )
)</f>
        <v>0.9</v>
      </c>
      <c r="AU11" s="186">
        <f>IFERROR(
  _xlfn.XLOOKUP(AI11,'2) หลักการคำนวน Table'!$C$3:$K$3,'2) หลักการคำนวน Table'!$C$3:$K$3,,1),
  IF(AI11&lt;MIN('2) หลักการคำนวน Table'!$C$3:$K$3),
     MIN('2) หลักการคำนวน Table'!$C$3:$K$3),
     MAX('2) หลักการคำนวน Table'!$C$3:$K$3)
  )
)</f>
        <v>0.9</v>
      </c>
      <c r="AV11" s="186">
        <f>IFERROR(
  _xlfn.XLOOKUP(AJ11,'2) หลักการคำนวน Table'!$C$3:$K$3,'2) หลักการคำนวน Table'!$C$3:$K$3,,1),
  IF(AJ11&lt;MIN('2) หลักการคำนวน Table'!$C$3:$K$3),
     MIN('2) หลักการคำนวน Table'!$C$3:$K$3),
     MAX('2) หลักการคำนวน Table'!$C$3:$K$3)
  )
)</f>
        <v>0.9</v>
      </c>
      <c r="AW11" s="186">
        <f>IFERROR(
  _xlfn.XLOOKUP(AK11,'2) หลักการคำนวน Table'!$C$3:$K$3,'2) หลักการคำนวน Table'!$C$3:$K$3,,1),
  IF(AK11&lt;MIN('2) หลักการคำนวน Table'!$C$3:$K$3),
     MIN('2) หลักการคำนวน Table'!$C$3:$K$3),
     MAX('2) หลักการคำนวน Table'!$C$3:$K$3)
  )
)</f>
        <v>0.9</v>
      </c>
      <c r="AX11" s="186">
        <f>IFERROR(
  _xlfn.XLOOKUP(AL11,'2) หลักการคำนวน Table'!$C$3:$K$3,'2) หลักการคำนวน Table'!$C$3:$K$3,,1),
  IF(AL11&lt;MIN('2) หลักการคำนวน Table'!$C$3:$K$3),
     MIN('2) หลักการคำนวน Table'!$C$3:$K$3),
     MAX('2) หลักการคำนวน Table'!$C$3:$K$3)
  )
)</f>
        <v>0.9</v>
      </c>
      <c r="AY11" s="186">
        <f>IFERROR(
  _xlfn.XLOOKUP(AM11,'2) หลักการคำนวน Table'!$C$3:$K$3,'2) หลักการคำนวน Table'!$C$3:$K$3,,1),
  IF(AM11&lt;MIN('2) หลักการคำนวน Table'!$C$3:$K$3),
     MIN('2) หลักการคำนวน Table'!$C$3:$K$3),
     MAX('2) หลักการคำนวน Table'!$C$3:$K$3)
  )
)</f>
        <v>0.9</v>
      </c>
      <c r="AZ11" s="135" t="e" cm="1">
        <f t="array" ref="AZ11">(_xlfn.XLOOKUP($C11,'2) หลักการคำนวน Table'!$A$4:$A$36,
_xlfn.XLOOKUP(AN11,'2)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A11" s="135" t="e" cm="1">
        <f t="array" ref="BA11">(_xlfn.XLOOKUP($C11,'2) หลักการคำนวน Table'!$A$4:$A$36,
_xlfn.XLOOKUP(AO11,'2)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B11" s="135" t="e" cm="1">
        <f t="array" ref="BB11">(_xlfn.XLOOKUP($C11,'2) หลักการคำนวน Table'!$A$4:$A$36,
_xlfn.XLOOKUP(AP11,'2)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C11" s="135" t="e" cm="1">
        <f t="array" ref="BC11">(_xlfn.XLOOKUP($C11,'2) หลักการคำนวน Table'!$A$4:$A$36,
_xlfn.XLOOKUP(AQ11,'2)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D11" s="135" t="e" cm="1">
        <f t="array" ref="BD11">(_xlfn.XLOOKUP($C11,'2) หลักการคำนวน Table'!$A$4:$A$36,
_xlfn.XLOOKUP(AR11,'2)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E11" s="135" t="e" cm="1">
        <f t="array" ref="BE11">(_xlfn.XLOOKUP($C11,'2) หลักการคำนวน Table'!$A$4:$A$36,
_xlfn.XLOOKUP(AS11,'2)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F11" s="135" t="e" cm="1">
        <f t="array" ref="BF11">(_xlfn.XLOOKUP($C11,'2) หลักการคำนวน Table'!$A$4:$A$36,
_xlfn.XLOOKUP(AT11,'2)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G11" s="135" t="e" cm="1">
        <f t="array" ref="BG11">(_xlfn.XLOOKUP($C11,'2) หลักการคำนวน Table'!$A$4:$A$36,
_xlfn.XLOOKUP(AU11,'2)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</f>
        <v>#N/A</v>
      </c>
      <c r="BH11" s="135" t="e" cm="1">
        <f t="array" ref="BH11">ROUND((_xlfn.XLOOKUP($C11,'2) หลักการคำนวน Table'!$A$4:$A$36,
_xlfn.XLOOKUP(AV11,'2)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I11" s="135" t="e" cm="1">
        <f t="array" ref="BI11">ROUND((_xlfn.XLOOKUP($C11,'2) หลักการคำนวน Table'!$A$4:$A$36,
_xlfn.XLOOKUP(AW11,'2)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J11" s="135" t="e" cm="1">
        <f t="array" ref="BJ11">ROUND((_xlfn.XLOOKUP($C11,'2) หลักการคำนวน Table'!$A$4:$A$36,
_xlfn.XLOOKUP(AX11,'2)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K11" s="135" t="e" cm="1">
        <f t="array" ref="BK11">ROUND((_xlfn.XLOOKUP($C11,'2) หลักการคำนวน Table'!$A$4:$A$36,
_xlfn.XLOOKUP(AY11,'2) หลักการคำนวน Table'!$C$3:$K$3,'2) หลักการคำนวน Table'!$C$4:$K$36,,-1)))*(_xlfn.XLOOKUP($C11,'2) หลักการคำนวน Table'!$A$4:$A$36, _xlfn.XLOOKUP($B11,'2) หลักการคำนวน Table'!$L$3:$Z$3,'2) หลักการคำนวน Table'!$L$4:$Z$36))),0)</f>
        <v>#N/A</v>
      </c>
      <c r="BL11" s="239"/>
      <c r="BM11" s="126">
        <v>222222</v>
      </c>
      <c r="BN11" s="245">
        <v>600</v>
      </c>
    </row>
    <row r="12" spans="1:66" ht="13.2" customHeight="1" x14ac:dyDescent="0.25">
      <c r="A12" s="128" t="e">
        <f>VLOOKUP(C12,ASTBase!F:S,12,FALSE)</f>
        <v>#N/A</v>
      </c>
      <c r="B12" s="126" t="s">
        <v>410</v>
      </c>
      <c r="C12" s="128">
        <v>222222</v>
      </c>
      <c r="D12" s="127">
        <f>SUMIFS('3)Target &amp; Cal_Dept'!D$4:D$31,'3)Target &amp; Cal_Dept'!$B$4:$B$31,'3)Target &amp; Cal_AD'!$B12,'3)Target &amp; Cal_Dept'!$A$4:$A$31,'3)Target &amp; Cal_AD'!$C12)</f>
        <v>168887.9</v>
      </c>
      <c r="E12" s="127">
        <f>SUMIFS('3)Target &amp; Cal_Dept'!E$4:E$31,'3)Target &amp; Cal_Dept'!$B$4:$B$31,'3)Target &amp; Cal_AD'!$B12,'3)Target &amp; Cal_Dept'!$A$4:$A$31,'3)Target &amp; Cal_AD'!$C12)</f>
        <v>113158.51999999999</v>
      </c>
      <c r="F12" s="127">
        <f>SUMIFS('3)Target &amp; Cal_Dept'!F$4:F$31,'3)Target &amp; Cal_Dept'!$B$4:$B$31,'3)Target &amp; Cal_AD'!$B12,'3)Target &amp; Cal_Dept'!$A$4:$A$31,'3)Target &amp; Cal_AD'!$C12)</f>
        <v>184907.91</v>
      </c>
      <c r="G12" s="127">
        <f>SUMIFS('3)Target &amp; Cal_Dept'!G$4:G$31,'3)Target &amp; Cal_Dept'!$B$4:$B$31,'3)Target &amp; Cal_AD'!$B12,'3)Target &amp; Cal_Dept'!$A$4:$A$31,'3)Target &amp; Cal_AD'!$C12)</f>
        <v>175259.7</v>
      </c>
      <c r="H12" s="127">
        <f>SUMIFS('3)Target &amp; Cal_Dept'!H$4:H$31,'3)Target &amp; Cal_Dept'!$B$4:$B$31,'3)Target &amp; Cal_AD'!$B12,'3)Target &amp; Cal_Dept'!$A$4:$A$31,'3)Target &amp; Cal_AD'!$C12)</f>
        <v>93282.790000000008</v>
      </c>
      <c r="I12" s="127">
        <f>SUMIFS('3)Target &amp; Cal_Dept'!I$4:I$31,'3)Target &amp; Cal_Dept'!$B$4:$B$31,'3)Target &amp; Cal_AD'!$B12,'3)Target &amp; Cal_Dept'!$A$4:$A$31,'3)Target &amp; Cal_AD'!$C12)</f>
        <v>93906.84</v>
      </c>
      <c r="J12" s="127">
        <f>SUMIFS('3)Target &amp; Cal_Dept'!J$4:J$31,'3)Target &amp; Cal_Dept'!$B$4:$B$31,'3)Target &amp; Cal_AD'!$B12,'3)Target &amp; Cal_Dept'!$A$4:$A$31,'3)Target &amp; Cal_AD'!$C12)</f>
        <v>91097.34</v>
      </c>
      <c r="K12" s="127">
        <f>SUMIFS('3)Target &amp; Cal_Dept'!K$4:K$31,'3)Target &amp; Cal_Dept'!$B$4:$B$31,'3)Target &amp; Cal_AD'!$B12,'3)Target &amp; Cal_Dept'!$A$4:$A$31,'3)Target &amp; Cal_AD'!$C12)</f>
        <v>184176.5</v>
      </c>
      <c r="L12" s="127">
        <v>628221</v>
      </c>
      <c r="M12" s="127">
        <v>770230</v>
      </c>
      <c r="N12" s="127">
        <v>323405</v>
      </c>
      <c r="O12" s="127">
        <v>448054.27760000003</v>
      </c>
      <c r="P12" s="127">
        <f>SUMIFS('3)Target &amp; Cal_Dept'!P$4:P$32,'3)Target &amp; Cal_Dept'!$B$4:$B$32,'3)Target &amp; Cal_AD'!$B12,'3)Target &amp; Cal_Dept'!$A$4:$A$32,'3)Target &amp; Cal_AD'!$C12)</f>
        <v>239861.17999999947</v>
      </c>
      <c r="Q12" s="127">
        <f>SUMIFS('3)Target &amp; Cal_Dept'!Q$4:Q$32,'3)Target &amp; Cal_Dept'!$B$4:$B$32,'3)Target &amp; Cal_AD'!$B12,'3)Target &amp; Cal_Dept'!$A$4:$A$32,'3)Target &amp; Cal_AD'!$C12)</f>
        <v>0</v>
      </c>
      <c r="R12" s="127">
        <f>SUMIFS('3)Target &amp; Cal_Dept'!R$4:R$32,'3)Target &amp; Cal_Dept'!$B$4:$B$32,'3)Target &amp; Cal_AD'!$B12,'3)Target &amp; Cal_Dept'!$A$4:$A$32,'3)Target &amp; Cal_AD'!$C12)</f>
        <v>0</v>
      </c>
      <c r="S12" s="127">
        <f>SUMIFS('3)Target &amp; Cal_Dept'!S$4:S$32,'3)Target &amp; Cal_Dept'!$B$4:$B$32,'3)Target &amp; Cal_AD'!$B12,'3)Target &amp; Cal_Dept'!$A$4:$A$32,'3)Target &amp; Cal_AD'!$C12)</f>
        <v>0</v>
      </c>
      <c r="T12" s="127">
        <f>SUMIFS('3)Target &amp; Cal_Dept'!T$4:T$32,'3)Target &amp; Cal_Dept'!$B$4:$B$32,'3)Target &amp; Cal_AD'!$B12,'3)Target &amp; Cal_Dept'!$A$4:$A$32,'3)Target &amp; Cal_AD'!$C12)</f>
        <v>0</v>
      </c>
      <c r="U12" s="127">
        <f>SUMIFS('3)Target &amp; Cal_Dept'!U$4:U$32,'3)Target &amp; Cal_Dept'!$B$4:$B$32,'3)Target &amp; Cal_AD'!$B12,'3)Target &amp; Cal_Dept'!$A$4:$A$32,'3)Target &amp; Cal_AD'!$C12)</f>
        <v>0</v>
      </c>
      <c r="V12" s="127">
        <f>SUMIFS('3)Target &amp; Cal_Dept'!V$4:V$32,'3)Target &amp; Cal_Dept'!$B$4:$B$32,'3)Target &amp; Cal_AD'!$B12,'3)Target &amp; Cal_Dept'!$A$4:$A$32,'3)Target &amp; Cal_AD'!$C12)</f>
        <v>0</v>
      </c>
      <c r="W12" s="127">
        <f>SUMIFS('3)Target &amp; Cal_Dept'!W$4:W$32,'3)Target &amp; Cal_Dept'!$B$4:$B$32,'3)Target &amp; Cal_AD'!$B12,'3)Target &amp; Cal_Dept'!$A$4:$A$32,'3)Target &amp; Cal_AD'!$C12)</f>
        <v>0</v>
      </c>
      <c r="X12" s="127">
        <f>SUMIFS('3)Target &amp; Cal_Dept'!X$4:X$32,'3)Target &amp; Cal_Dept'!$B$4:$B$32,'3)Target &amp; Cal_AD'!$B12,'3)Target &amp; Cal_Dept'!$A$4:$A$32,'3)Target &amp; Cal_AD'!$C12)</f>
        <v>0</v>
      </c>
      <c r="Y12" s="127">
        <f>SUMIFS('3)Target &amp; Cal_Dept'!Y$4:Y$32,'3)Target &amp; Cal_Dept'!$B$4:$B$32,'3)Target &amp; Cal_AD'!$B12,'3)Target &amp; Cal_Dept'!$A$4:$A$32,'3)Target &amp; Cal_AD'!$C12)</f>
        <v>0</v>
      </c>
      <c r="Z12" s="127">
        <f>SUMIFS('3)Target &amp; Cal_Dept'!Z$4:Z$32,'3)Target &amp; Cal_Dept'!$B$4:$B$32,'3)Target &amp; Cal_AD'!$B12,'3)Target &amp; Cal_Dept'!$A$4:$A$32,'3)Target &amp; Cal_AD'!$C12)</f>
        <v>0</v>
      </c>
      <c r="AA12" s="127">
        <f>SUMIFS('3)Target &amp; Cal_Dept'!AA$4:AA$32,'3)Target &amp; Cal_Dept'!$B$4:$B$32,'3)Target &amp; Cal_AD'!$B12,'3)Target &amp; Cal_Dept'!$A$4:$A$32,'3)Target &amp; Cal_AD'!$C12)</f>
        <v>0</v>
      </c>
      <c r="AB12" s="132">
        <f>IFERROR(IF(VLOOKUP($B12,Shortage!$A:$M,AB$2,FALSE)="Shortage",1,IFERROR(ROUND(P12/D12,4),0)),IFERROR(ROUND(P12/D12,4),0))</f>
        <v>1.4201999999999999</v>
      </c>
      <c r="AC12" s="132">
        <f>IFERROR(IF(VLOOKUP($B12,Shortage!$A:$M,AC$2,FALSE)="Shortage",1,IFERROR(ROUND(Q12/E12,4),0)),IFERROR(ROUND(Q12/E12,4),0))</f>
        <v>0</v>
      </c>
      <c r="AD12" s="132">
        <f>IFERROR(IF(VLOOKUP($B12,Shortage!$A:$M,AD$2,FALSE)="Shortage",1,IFERROR(ROUND(R12/F12,4),0)),IFERROR(ROUND(R12/F12,4),0))</f>
        <v>0</v>
      </c>
      <c r="AE12" s="132">
        <f>IFERROR(IF(VLOOKUP($B12,Shortage!$A:$M,AE$2,FALSE)="Shortage",1,IFERROR(ROUND(S12/G12,4),0)),IFERROR(ROUND(S12/G12,4),0))</f>
        <v>0</v>
      </c>
      <c r="AF12" s="132">
        <f>IFERROR(IF(VLOOKUP($B12,Shortage!$A:$M,AF$2,FALSE)="Shortage",1,IFERROR(ROUND(T12/H12,4),0)),IFERROR(ROUND(T12/H12,4),0))</f>
        <v>0</v>
      </c>
      <c r="AG12" s="132">
        <f>IFERROR(IF(VLOOKUP($B12,Shortage!$A:$M,AG$2,FALSE)="Shortage",1,IFERROR(ROUND(U12/I12,4),0)),IFERROR(ROUND(U12/I12,4),0))</f>
        <v>0</v>
      </c>
      <c r="AH12" s="132">
        <f>IFERROR(IF(VLOOKUP($B12,Shortage!$A:$M,AH$2,FALSE)="Shortage",1,IFERROR(ROUND(V12/J12,4),0)),IFERROR(ROUND(V12/J12,4),0))</f>
        <v>0</v>
      </c>
      <c r="AI12" s="132">
        <f>IFERROR(IF(VLOOKUP($B12,Shortage!$A:$M,AI$2,FALSE)="Shortage",1,IFERROR(ROUND(W12/K12,4),0)),IFERROR(ROUND(W12/K12,4),0))</f>
        <v>0</v>
      </c>
      <c r="AJ12" s="132">
        <f>IFERROR(IF(VLOOKUP($B12,Shortage!$A:$M,AJ$2,FALSE)="Shortage",1,IFERROR(ROUND(X12/L12,4),0)),IFERROR(ROUND(X12/L12,4),0))</f>
        <v>0</v>
      </c>
      <c r="AK12" s="132">
        <f>IFERROR(IF(VLOOKUP($B12,Shortage!$A:$M,AK$2,FALSE)="Shortage",1,IFERROR(ROUND(Y12/M12,4),0)),IFERROR(ROUND(Y12/M12,4),0))</f>
        <v>0</v>
      </c>
      <c r="AL12" s="132">
        <f>IFERROR(IF(VLOOKUP($B12,Shortage!$A:$M,AL$2,FALSE)="Shortage",1,IFERROR(ROUND(Z12/N12,4),0)),IFERROR(ROUND(Z12/N12,4),0))</f>
        <v>0</v>
      </c>
      <c r="AM12" s="132">
        <f>IFERROR(IF(VLOOKUP($B12,Shortage!$A:$M,AM$2,FALSE)="Shortage",1,IFERROR(ROUND(AA12/O12,4),0)),IFERROR(ROUND(AA12/O12,4),0))</f>
        <v>0</v>
      </c>
      <c r="AN12" s="186">
        <f>IFERROR(_xlfn.XLOOKUP(AB12,'2) หลักการคำนวน Table'!$C$3:$K$3,'2) หลักการคำนวน Table'!$C$3:$K$3,,1),INDEX('2) หลักการคำนวน Table'!$C$3:$K$3,1))</f>
        <v>20</v>
      </c>
      <c r="AO12" s="186">
        <f>IFERROR(
  _xlfn.XLOOKUP(AC12,'2) หลักการคำนวน Table'!$C$3:$K$3,'2) หลักการคำนวน Table'!$C$3:$K$3,,1),
  IF(AC12&lt;MIN('2) หลักการคำนวน Table'!$C$3:$K$3),
     MIN('2) หลักการคำนวน Table'!$C$3:$K$3),
     MAX('2) หลักการคำนวน Table'!$C$3:$K$3)
  )
)</f>
        <v>0.9</v>
      </c>
      <c r="AP12" s="186">
        <f>IFERROR(
  _xlfn.XLOOKUP(AD12,'2) หลักการคำนวน Table'!$C$3:$K$3,'2) หลักการคำนวน Table'!$C$3:$K$3,,1),
  IF(AD12&lt;MIN('2) หลักการคำนวน Table'!$C$3:$K$3),
     MIN('2) หลักการคำนวน Table'!$C$3:$K$3),
     MAX('2) หลักการคำนวน Table'!$C$3:$K$3)
  )
)</f>
        <v>0.9</v>
      </c>
      <c r="AQ12" s="186">
        <f>IFERROR(
  _xlfn.XLOOKUP(AE12,'2) หลักการคำนวน Table'!$C$3:$K$3,'2) หลักการคำนวน Table'!$C$3:$K$3,,1),
  IF(AE12&lt;MIN('2) หลักการคำนวน Table'!$C$3:$K$3),
     MIN('2) หลักการคำนวน Table'!$C$3:$K$3),
     MAX('2) หลักการคำนวน Table'!$C$3:$K$3)
  )
)</f>
        <v>0.9</v>
      </c>
      <c r="AR12" s="186">
        <f>IFERROR(
  _xlfn.XLOOKUP(AF12,'2) หลักการคำนวน Table'!$C$3:$K$3,'2) หลักการคำนวน Table'!$C$3:$K$3,,1),
  IF(AF12&lt;MIN('2) หลักการคำนวน Table'!$C$3:$K$3),
     MIN('2) หลักการคำนวน Table'!$C$3:$K$3),
     MAX('2) หลักการคำนวน Table'!$C$3:$K$3)
  )
)</f>
        <v>0.9</v>
      </c>
      <c r="AS12" s="186">
        <f>IFERROR(
  _xlfn.XLOOKUP(AG12,'2) หลักการคำนวน Table'!$C$3:$K$3,'2) หลักการคำนวน Table'!$C$3:$K$3,,1),
  IF(AG12&lt;MIN('2) หลักการคำนวน Table'!$C$3:$K$3),
     MIN('2) หลักการคำนวน Table'!$C$3:$K$3),
     MAX('2) หลักการคำนวน Table'!$C$3:$K$3)
  )
)</f>
        <v>0.9</v>
      </c>
      <c r="AT12" s="186">
        <f>IFERROR(
  _xlfn.XLOOKUP(AH12,'2) หลักการคำนวน Table'!$C$3:$K$3,'2) หลักการคำนวน Table'!$C$3:$K$3,,1),
  IF(AH12&lt;MIN('2) หลักการคำนวน Table'!$C$3:$K$3),
     MIN('2) หลักการคำนวน Table'!$C$3:$K$3),
     MAX('2) หลักการคำนวน Table'!$C$3:$K$3)
  )
)</f>
        <v>0.9</v>
      </c>
      <c r="AU12" s="186">
        <f>IFERROR(
  _xlfn.XLOOKUP(AI12,'2) หลักการคำนวน Table'!$C$3:$K$3,'2) หลักการคำนวน Table'!$C$3:$K$3,,1),
  IF(AI12&lt;MIN('2) หลักการคำนวน Table'!$C$3:$K$3),
     MIN('2) หลักการคำนวน Table'!$C$3:$K$3),
     MAX('2) หลักการคำนวน Table'!$C$3:$K$3)
  )
)</f>
        <v>0.9</v>
      </c>
      <c r="AV12" s="186">
        <f>IFERROR(
  _xlfn.XLOOKUP(AJ12,'2) หลักการคำนวน Table'!$C$3:$K$3,'2) หลักการคำนวน Table'!$C$3:$K$3,,1),
  IF(AJ12&lt;MIN('2) หลักการคำนวน Table'!$C$3:$K$3),
     MIN('2) หลักการคำนวน Table'!$C$3:$K$3),
     MAX('2) หลักการคำนวน Table'!$C$3:$K$3)
  )
)</f>
        <v>0.9</v>
      </c>
      <c r="AW12" s="186">
        <f>IFERROR(
  _xlfn.XLOOKUP(AK12,'2) หลักการคำนวน Table'!$C$3:$K$3,'2) หลักการคำนวน Table'!$C$3:$K$3,,1),
  IF(AK12&lt;MIN('2) หลักการคำนวน Table'!$C$3:$K$3),
     MIN('2) หลักการคำนวน Table'!$C$3:$K$3),
     MAX('2) หลักการคำนวน Table'!$C$3:$K$3)
  )
)</f>
        <v>0.9</v>
      </c>
      <c r="AX12" s="186">
        <f>IFERROR(
  _xlfn.XLOOKUP(AL12,'2) หลักการคำนวน Table'!$C$3:$K$3,'2) หลักการคำนวน Table'!$C$3:$K$3,,1),
  IF(AL12&lt;MIN('2) หลักการคำนวน Table'!$C$3:$K$3),
     MIN('2) หลักการคำนวน Table'!$C$3:$K$3),
     MAX('2) หลักการคำนวน Table'!$C$3:$K$3)
  )
)</f>
        <v>0.9</v>
      </c>
      <c r="AY12" s="186">
        <f>IFERROR(
  _xlfn.XLOOKUP(AM12,'2) หลักการคำนวน Table'!$C$3:$K$3,'2) หลักการคำนวน Table'!$C$3:$K$3,,1),
  IF(AM12&lt;MIN('2) หลักการคำนวน Table'!$C$3:$K$3),
     MIN('2) หลักการคำนวน Table'!$C$3:$K$3),
     MAX('2) หลักการคำนวน Table'!$C$3:$K$3)
  )
)</f>
        <v>0.9</v>
      </c>
      <c r="AZ12" s="135" t="e" cm="1">
        <f t="array" ref="AZ12">(_xlfn.XLOOKUP($C12,'2) หลักการคำนวน Table'!$A$4:$A$36,
_xlfn.XLOOKUP(AN12,'2)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A12" s="135" t="e" cm="1">
        <f t="array" ref="BA12">(_xlfn.XLOOKUP($C12,'2) หลักการคำนวน Table'!$A$4:$A$36,
_xlfn.XLOOKUP(AO12,'2)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B12" s="135" t="e" cm="1">
        <f t="array" ref="BB12">(_xlfn.XLOOKUP($C12,'2) หลักการคำนวน Table'!$A$4:$A$36,
_xlfn.XLOOKUP(AP12,'2)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C12" s="135" t="e" cm="1">
        <f t="array" ref="BC12">(_xlfn.XLOOKUP($C12,'2) หลักการคำนวน Table'!$A$4:$A$36,
_xlfn.XLOOKUP(AQ12,'2)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D12" s="135" t="e" cm="1">
        <f t="array" ref="BD12">(_xlfn.XLOOKUP($C12,'2) หลักการคำนวน Table'!$A$4:$A$36,
_xlfn.XLOOKUP(AR12,'2)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E12" s="135" t="e" cm="1">
        <f t="array" ref="BE12">(_xlfn.XLOOKUP($C12,'2) หลักการคำนวน Table'!$A$4:$A$36,
_xlfn.XLOOKUP(AS12,'2)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F12" s="135" t="e" cm="1">
        <f t="array" ref="BF12">(_xlfn.XLOOKUP($C12,'2) หลักการคำนวน Table'!$A$4:$A$36,
_xlfn.XLOOKUP(AT12,'2)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G12" s="135" t="e" cm="1">
        <f t="array" ref="BG12">(_xlfn.XLOOKUP($C12,'2) หลักการคำนวน Table'!$A$4:$A$36,
_xlfn.XLOOKUP(AU12,'2)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</f>
        <v>#N/A</v>
      </c>
      <c r="BH12" s="135" t="e" cm="1">
        <f t="array" ref="BH12">ROUND((_xlfn.XLOOKUP($C12,'2) หลักการคำนวน Table'!$A$4:$A$36,
_xlfn.XLOOKUP(AV12,'2)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I12" s="135" t="e" cm="1">
        <f t="array" ref="BI12">ROUND((_xlfn.XLOOKUP($C12,'2) หลักการคำนวน Table'!$A$4:$A$36,
_xlfn.XLOOKUP(AW12,'2)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J12" s="135" t="e" cm="1">
        <f t="array" ref="BJ12">ROUND((_xlfn.XLOOKUP($C12,'2) หลักการคำนวน Table'!$A$4:$A$36,
_xlfn.XLOOKUP(AX12,'2)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K12" s="135" t="e" cm="1">
        <f t="array" ref="BK12">ROUND((_xlfn.XLOOKUP($C12,'2) หลักการคำนวน Table'!$A$4:$A$36,
_xlfn.XLOOKUP(AY12,'2) หลักการคำนวน Table'!$C$3:$K$3,'2) หลักการคำนวน Table'!$C$4:$K$36,,-1)))*(_xlfn.XLOOKUP($C12,'2) หลักการคำนวน Table'!$A$4:$A$36, _xlfn.XLOOKUP($B12,'2) หลักการคำนวน Table'!$L$3:$Z$3,'2) หลักการคำนวน Table'!$L$4:$Z$36))),0)</f>
        <v>#N/A</v>
      </c>
      <c r="BL12" s="239"/>
      <c r="BM12" s="126">
        <v>222222</v>
      </c>
      <c r="BN12" s="245">
        <v>780</v>
      </c>
    </row>
    <row r="13" spans="1:66" ht="13.2" customHeight="1" x14ac:dyDescent="0.25">
      <c r="A13" s="128" t="e">
        <f>VLOOKUP(C13,ASTBase!F:S,12,FALSE)</f>
        <v>#N/A</v>
      </c>
      <c r="B13" s="126" t="s">
        <v>415</v>
      </c>
      <c r="C13" s="128">
        <v>222222</v>
      </c>
      <c r="D13" s="127">
        <f>SUMIFS('3)Target &amp; Cal_Dept'!D$4:D$31,'3)Target &amp; Cal_Dept'!$B$4:$B$31,'3)Target &amp; Cal_AD'!$B13,'3)Target &amp; Cal_Dept'!$A$4:$A$31,'3)Target &amp; Cal_AD'!$C13)</f>
        <v>49616</v>
      </c>
      <c r="E13" s="127">
        <f>SUMIFS('3)Target &amp; Cal_Dept'!E$4:E$31,'3)Target &amp; Cal_Dept'!$B$4:$B$31,'3)Target &amp; Cal_AD'!$B13,'3)Target &amp; Cal_Dept'!$A$4:$A$31,'3)Target &amp; Cal_AD'!$C13)</f>
        <v>38879.4</v>
      </c>
      <c r="F13" s="127">
        <f>SUMIFS('3)Target &amp; Cal_Dept'!F$4:F$31,'3)Target &amp; Cal_Dept'!$B$4:$B$31,'3)Target &amp; Cal_AD'!$B13,'3)Target &amp; Cal_Dept'!$A$4:$A$31,'3)Target &amp; Cal_AD'!$C13)</f>
        <v>88667.199999999997</v>
      </c>
      <c r="G13" s="127">
        <f>SUMIFS('3)Target &amp; Cal_Dept'!G$4:G$31,'3)Target &amp; Cal_Dept'!$B$4:$B$31,'3)Target &amp; Cal_AD'!$B13,'3)Target &amp; Cal_Dept'!$A$4:$A$31,'3)Target &amp; Cal_AD'!$C13)</f>
        <v>51412</v>
      </c>
      <c r="H13" s="127">
        <f>SUMIFS('3)Target &amp; Cal_Dept'!H$4:H$31,'3)Target &amp; Cal_Dept'!$B$4:$B$31,'3)Target &amp; Cal_AD'!$B13,'3)Target &amp; Cal_Dept'!$A$4:$A$31,'3)Target &amp; Cal_AD'!$C13)</f>
        <v>45401.8</v>
      </c>
      <c r="I13" s="127">
        <f>SUMIFS('3)Target &amp; Cal_Dept'!I$4:I$31,'3)Target &amp; Cal_Dept'!$B$4:$B$31,'3)Target &amp; Cal_AD'!$B13,'3)Target &amp; Cal_Dept'!$A$4:$A$31,'3)Target &amp; Cal_AD'!$C13)</f>
        <v>58828.6</v>
      </c>
      <c r="J13" s="127">
        <f>SUMIFS('3)Target &amp; Cal_Dept'!J$4:J$31,'3)Target &amp; Cal_Dept'!$B$4:$B$31,'3)Target &amp; Cal_AD'!$B13,'3)Target &amp; Cal_Dept'!$A$4:$A$31,'3)Target &amp; Cal_AD'!$C13)</f>
        <v>51483.6</v>
      </c>
      <c r="K13" s="127">
        <f>SUMIFS('3)Target &amp; Cal_Dept'!K$4:K$31,'3)Target &amp; Cal_Dept'!$B$4:$B$31,'3)Target &amp; Cal_AD'!$B13,'3)Target &amp; Cal_Dept'!$A$4:$A$31,'3)Target &amp; Cal_AD'!$C13)</f>
        <v>53979.44</v>
      </c>
      <c r="L13" s="127">
        <v>162412.47645362921</v>
      </c>
      <c r="M13" s="127">
        <v>132580</v>
      </c>
      <c r="N13" s="127">
        <v>67586</v>
      </c>
      <c r="O13" s="127">
        <v>114856.653981143</v>
      </c>
      <c r="P13" s="127">
        <f>SUMIFS('3)Target &amp; Cal_Dept'!P$4:P$32,'3)Target &amp; Cal_Dept'!$B$4:$B$32,'3)Target &amp; Cal_AD'!$B13,'3)Target &amp; Cal_Dept'!$A$4:$A$32,'3)Target &amp; Cal_AD'!$C13)</f>
        <v>55259.999999999665</v>
      </c>
      <c r="Q13" s="127">
        <f>SUMIFS('3)Target &amp; Cal_Dept'!Q$4:Q$32,'3)Target &amp; Cal_Dept'!$B$4:$B$32,'3)Target &amp; Cal_AD'!$B13,'3)Target &amp; Cal_Dept'!$A$4:$A$32,'3)Target &amp; Cal_AD'!$C13)</f>
        <v>0</v>
      </c>
      <c r="R13" s="127">
        <f>SUMIFS('3)Target &amp; Cal_Dept'!R$4:R$32,'3)Target &amp; Cal_Dept'!$B$4:$B$32,'3)Target &amp; Cal_AD'!$B13,'3)Target &amp; Cal_Dept'!$A$4:$A$32,'3)Target &amp; Cal_AD'!$C13)</f>
        <v>0</v>
      </c>
      <c r="S13" s="127">
        <f>SUMIFS('3)Target &amp; Cal_Dept'!S$4:S$32,'3)Target &amp; Cal_Dept'!$B$4:$B$32,'3)Target &amp; Cal_AD'!$B13,'3)Target &amp; Cal_Dept'!$A$4:$A$32,'3)Target &amp; Cal_AD'!$C13)</f>
        <v>0</v>
      </c>
      <c r="T13" s="127">
        <f>SUMIFS('3)Target &amp; Cal_Dept'!T$4:T$32,'3)Target &amp; Cal_Dept'!$B$4:$B$32,'3)Target &amp; Cal_AD'!$B13,'3)Target &amp; Cal_Dept'!$A$4:$A$32,'3)Target &amp; Cal_AD'!$C13)</f>
        <v>0</v>
      </c>
      <c r="U13" s="127">
        <f>SUMIFS('3)Target &amp; Cal_Dept'!U$4:U$32,'3)Target &amp; Cal_Dept'!$B$4:$B$32,'3)Target &amp; Cal_AD'!$B13,'3)Target &amp; Cal_Dept'!$A$4:$A$32,'3)Target &amp; Cal_AD'!$C13)</f>
        <v>0</v>
      </c>
      <c r="V13" s="127">
        <f>SUMIFS('3)Target &amp; Cal_Dept'!V$4:V$32,'3)Target &amp; Cal_Dept'!$B$4:$B$32,'3)Target &amp; Cal_AD'!$B13,'3)Target &amp; Cal_Dept'!$A$4:$A$32,'3)Target &amp; Cal_AD'!$C13)</f>
        <v>0</v>
      </c>
      <c r="W13" s="127">
        <f>SUMIFS('3)Target &amp; Cal_Dept'!W$4:W$32,'3)Target &amp; Cal_Dept'!$B$4:$B$32,'3)Target &amp; Cal_AD'!$B13,'3)Target &amp; Cal_Dept'!$A$4:$A$32,'3)Target &amp; Cal_AD'!$C13)</f>
        <v>0</v>
      </c>
      <c r="X13" s="127">
        <f>SUMIFS('3)Target &amp; Cal_Dept'!X$4:X$32,'3)Target &amp; Cal_Dept'!$B$4:$B$32,'3)Target &amp; Cal_AD'!$B13,'3)Target &amp; Cal_Dept'!$A$4:$A$32,'3)Target &amp; Cal_AD'!$C13)</f>
        <v>0</v>
      </c>
      <c r="Y13" s="127">
        <f>SUMIFS('3)Target &amp; Cal_Dept'!Y$4:Y$32,'3)Target &amp; Cal_Dept'!$B$4:$B$32,'3)Target &amp; Cal_AD'!$B13,'3)Target &amp; Cal_Dept'!$A$4:$A$32,'3)Target &amp; Cal_AD'!$C13)</f>
        <v>0</v>
      </c>
      <c r="Z13" s="127">
        <f>SUMIFS('3)Target &amp; Cal_Dept'!Z$4:Z$32,'3)Target &amp; Cal_Dept'!$B$4:$B$32,'3)Target &amp; Cal_AD'!$B13,'3)Target &amp; Cal_Dept'!$A$4:$A$32,'3)Target &amp; Cal_AD'!$C13)</f>
        <v>0</v>
      </c>
      <c r="AA13" s="127">
        <f>SUMIFS('3)Target &amp; Cal_Dept'!AA$4:AA$32,'3)Target &amp; Cal_Dept'!$B$4:$B$32,'3)Target &amp; Cal_AD'!$B13,'3)Target &amp; Cal_Dept'!$A$4:$A$32,'3)Target &amp; Cal_AD'!$C13)</f>
        <v>0</v>
      </c>
      <c r="AB13" s="132">
        <f>IFERROR(IF(VLOOKUP($B13,Shortage!$A:$M,AB$2,FALSE)="Shortage",1,IFERROR(ROUND(P13/D13,4),0)),IFERROR(ROUND(P13/D13,4),0))</f>
        <v>1.1137999999999999</v>
      </c>
      <c r="AC13" s="132">
        <f>IFERROR(IF(VLOOKUP($B13,Shortage!$A:$M,AC$2,FALSE)="Shortage",1,IFERROR(ROUND(Q13/E13,4),0)),IFERROR(ROUND(Q13/E13,4),0))</f>
        <v>0</v>
      </c>
      <c r="AD13" s="132">
        <f>IFERROR(IF(VLOOKUP($B13,Shortage!$A:$M,AD$2,FALSE)="Shortage",1,IFERROR(ROUND(R13/F13,4),0)),IFERROR(ROUND(R13/F13,4),0))</f>
        <v>0</v>
      </c>
      <c r="AE13" s="132">
        <f>IFERROR(IF(VLOOKUP($B13,Shortage!$A:$M,AE$2,FALSE)="Shortage",1,IFERROR(ROUND(S13/G13,4),0)),IFERROR(ROUND(S13/G13,4),0))</f>
        <v>0</v>
      </c>
      <c r="AF13" s="132">
        <f>IFERROR(IF(VLOOKUP($B13,Shortage!$A:$M,AF$2,FALSE)="Shortage",1,IFERROR(ROUND(T13/H13,4),0)),IFERROR(ROUND(T13/H13,4),0))</f>
        <v>0</v>
      </c>
      <c r="AG13" s="132">
        <f>IFERROR(IF(VLOOKUP($B13,Shortage!$A:$M,AG$2,FALSE)="Shortage",1,IFERROR(ROUND(U13/I13,4),0)),IFERROR(ROUND(U13/I13,4),0))</f>
        <v>0</v>
      </c>
      <c r="AH13" s="132">
        <f>IFERROR(IF(VLOOKUP($B13,Shortage!$A:$M,AH$2,FALSE)="Shortage",1,IFERROR(ROUND(V13/J13,4),0)),IFERROR(ROUND(V13/J13,4),0))</f>
        <v>0</v>
      </c>
      <c r="AI13" s="132">
        <f>IFERROR(IF(VLOOKUP($B13,Shortage!$A:$M,AI$2,FALSE)="Shortage",1,IFERROR(ROUND(W13/K13,4),0)),IFERROR(ROUND(W13/K13,4),0))</f>
        <v>0</v>
      </c>
      <c r="AJ13" s="132">
        <f>IFERROR(IF(VLOOKUP($B13,Shortage!$A:$M,AJ$2,FALSE)="Shortage",1,IFERROR(ROUND(X13/L13,4),0)),IFERROR(ROUND(X13/L13,4),0))</f>
        <v>0</v>
      </c>
      <c r="AK13" s="132">
        <f>IFERROR(IF(VLOOKUP($B13,Shortage!$A:$M,AK$2,FALSE)="Shortage",1,IFERROR(ROUND(Y13/M13,4),0)),IFERROR(ROUND(Y13/M13,4),0))</f>
        <v>0</v>
      </c>
      <c r="AL13" s="132">
        <f>IFERROR(IF(VLOOKUP($B13,Shortage!$A:$M,AL$2,FALSE)="Shortage",1,IFERROR(ROUND(Z13/N13,4),0)),IFERROR(ROUND(Z13/N13,4),0))</f>
        <v>0</v>
      </c>
      <c r="AM13" s="132">
        <f>IFERROR(IF(VLOOKUP($B13,Shortage!$A:$M,AM$2,FALSE)="Shortage",1,IFERROR(ROUND(AA13/O13,4),0)),IFERROR(ROUND(AA13/O13,4),0))</f>
        <v>0</v>
      </c>
      <c r="AN13" s="186">
        <f>IFERROR(_xlfn.XLOOKUP(AB13,'2) หลักการคำนวน Table'!$C$3:$K$3,'2) หลักการคำนวน Table'!$C$3:$K$3,,1),INDEX('2) หลักการคำนวน Table'!$C$3:$K$3,1))</f>
        <v>1.1499999999999999</v>
      </c>
      <c r="AO13" s="186">
        <f>IFERROR(
  _xlfn.XLOOKUP(AC13,'2) หลักการคำนวน Table'!$C$3:$K$3,'2) หลักการคำนวน Table'!$C$3:$K$3,,1),
  IF(AC13&lt;MIN('2) หลักการคำนวน Table'!$C$3:$K$3),
     MIN('2) หลักการคำนวน Table'!$C$3:$K$3),
     MAX('2) หลักการคำนวน Table'!$C$3:$K$3)
  )
)</f>
        <v>0.9</v>
      </c>
      <c r="AP13" s="186">
        <f>IFERROR(
  _xlfn.XLOOKUP(AD13,'2) หลักการคำนวน Table'!$C$3:$K$3,'2) หลักการคำนวน Table'!$C$3:$K$3,,1),
  IF(AD13&lt;MIN('2) หลักการคำนวน Table'!$C$3:$K$3),
     MIN('2) หลักการคำนวน Table'!$C$3:$K$3),
     MAX('2) หลักการคำนวน Table'!$C$3:$K$3)
  )
)</f>
        <v>0.9</v>
      </c>
      <c r="AQ13" s="186">
        <f>IFERROR(
  _xlfn.XLOOKUP(AE13,'2) หลักการคำนวน Table'!$C$3:$K$3,'2) หลักการคำนวน Table'!$C$3:$K$3,,1),
  IF(AE13&lt;MIN('2) หลักการคำนวน Table'!$C$3:$K$3),
     MIN('2) หลักการคำนวน Table'!$C$3:$K$3),
     MAX('2) หลักการคำนวน Table'!$C$3:$K$3)
  )
)</f>
        <v>0.9</v>
      </c>
      <c r="AR13" s="186">
        <f>IFERROR(
  _xlfn.XLOOKUP(AF13,'2) หลักการคำนวน Table'!$C$3:$K$3,'2) หลักการคำนวน Table'!$C$3:$K$3,,1),
  IF(AF13&lt;MIN('2) หลักการคำนวน Table'!$C$3:$K$3),
     MIN('2) หลักการคำนวน Table'!$C$3:$K$3),
     MAX('2) หลักการคำนวน Table'!$C$3:$K$3)
  )
)</f>
        <v>0.9</v>
      </c>
      <c r="AS13" s="186">
        <f>IFERROR(
  _xlfn.XLOOKUP(AG13,'2) หลักการคำนวน Table'!$C$3:$K$3,'2) หลักการคำนวน Table'!$C$3:$K$3,,1),
  IF(AG13&lt;MIN('2) หลักการคำนวน Table'!$C$3:$K$3),
     MIN('2) หลักการคำนวน Table'!$C$3:$K$3),
     MAX('2) หลักการคำนวน Table'!$C$3:$K$3)
  )
)</f>
        <v>0.9</v>
      </c>
      <c r="AT13" s="186">
        <f>IFERROR(
  _xlfn.XLOOKUP(AH13,'2) หลักการคำนวน Table'!$C$3:$K$3,'2) หลักการคำนวน Table'!$C$3:$K$3,,1),
  IF(AH13&lt;MIN('2) หลักการคำนวน Table'!$C$3:$K$3),
     MIN('2) หลักการคำนวน Table'!$C$3:$K$3),
     MAX('2) หลักการคำนวน Table'!$C$3:$K$3)
  )
)</f>
        <v>0.9</v>
      </c>
      <c r="AU13" s="186">
        <f>IFERROR(
  _xlfn.XLOOKUP(AI13,'2) หลักการคำนวน Table'!$C$3:$K$3,'2) หลักการคำนวน Table'!$C$3:$K$3,,1),
  IF(AI13&lt;MIN('2) หลักการคำนวน Table'!$C$3:$K$3),
     MIN('2) หลักการคำนวน Table'!$C$3:$K$3),
     MAX('2) หลักการคำนวน Table'!$C$3:$K$3)
  )
)</f>
        <v>0.9</v>
      </c>
      <c r="AV13" s="186">
        <f>IFERROR(
  _xlfn.XLOOKUP(AJ13,'2) หลักการคำนวน Table'!$C$3:$K$3,'2) หลักการคำนวน Table'!$C$3:$K$3,,1),
  IF(AJ13&lt;MIN('2) หลักการคำนวน Table'!$C$3:$K$3),
     MIN('2) หลักการคำนวน Table'!$C$3:$K$3),
     MAX('2) หลักการคำนวน Table'!$C$3:$K$3)
  )
)</f>
        <v>0.9</v>
      </c>
      <c r="AW13" s="186">
        <f>IFERROR(
  _xlfn.XLOOKUP(AK13,'2) หลักการคำนวน Table'!$C$3:$K$3,'2) หลักการคำนวน Table'!$C$3:$K$3,,1),
  IF(AK13&lt;MIN('2) หลักการคำนวน Table'!$C$3:$K$3),
     MIN('2) หลักการคำนวน Table'!$C$3:$K$3),
     MAX('2) หลักการคำนวน Table'!$C$3:$K$3)
  )
)</f>
        <v>0.9</v>
      </c>
      <c r="AX13" s="186">
        <f>IFERROR(
  _xlfn.XLOOKUP(AL13,'2) หลักการคำนวน Table'!$C$3:$K$3,'2) หลักการคำนวน Table'!$C$3:$K$3,,1),
  IF(AL13&lt;MIN('2) หลักการคำนวน Table'!$C$3:$K$3),
     MIN('2) หลักการคำนวน Table'!$C$3:$K$3),
     MAX('2) หลักการคำนวน Table'!$C$3:$K$3)
  )
)</f>
        <v>0.9</v>
      </c>
      <c r="AY13" s="186">
        <f>IFERROR(
  _xlfn.XLOOKUP(AM13,'2) หลักการคำนวน Table'!$C$3:$K$3,'2) หลักการคำนวน Table'!$C$3:$K$3,,1),
  IF(AM13&lt;MIN('2) หลักการคำนวน Table'!$C$3:$K$3),
     MIN('2) หลักการคำนวน Table'!$C$3:$K$3),
     MAX('2) หลักการคำนวน Table'!$C$3:$K$3)
  )
)</f>
        <v>0.9</v>
      </c>
      <c r="AZ13" s="135" t="e" cm="1">
        <f t="array" ref="AZ13">(_xlfn.XLOOKUP($C13,'2) หลักการคำนวน Table'!$A$4:$A$36,
_xlfn.XLOOKUP(AN13,'2)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A13" s="135" t="e" cm="1">
        <f t="array" ref="BA13">(_xlfn.XLOOKUP($C13,'2) หลักการคำนวน Table'!$A$4:$A$36,
_xlfn.XLOOKUP(AO13,'2)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B13" s="135" t="e" cm="1">
        <f t="array" ref="BB13">(_xlfn.XLOOKUP($C13,'2) หลักการคำนวน Table'!$A$4:$A$36,
_xlfn.XLOOKUP(AP13,'2)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C13" s="135" t="e" cm="1">
        <f t="array" ref="BC13">(_xlfn.XLOOKUP($C13,'2) หลักการคำนวน Table'!$A$4:$A$36,
_xlfn.XLOOKUP(AQ13,'2)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D13" s="135" t="e" cm="1">
        <f t="array" ref="BD13">(_xlfn.XLOOKUP($C13,'2) หลักการคำนวน Table'!$A$4:$A$36,
_xlfn.XLOOKUP(AR13,'2)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E13" s="135" t="e" cm="1">
        <f t="array" ref="BE13">(_xlfn.XLOOKUP($C13,'2) หลักการคำนวน Table'!$A$4:$A$36,
_xlfn.XLOOKUP(AS13,'2)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F13" s="135" t="e" cm="1">
        <f t="array" ref="BF13">(_xlfn.XLOOKUP($C13,'2) หลักการคำนวน Table'!$A$4:$A$36,
_xlfn.XLOOKUP(AT13,'2)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G13" s="135" t="e" cm="1">
        <f t="array" ref="BG13">(_xlfn.XLOOKUP($C13,'2) หลักการคำนวน Table'!$A$4:$A$36,
_xlfn.XLOOKUP(AU13,'2)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</f>
        <v>#N/A</v>
      </c>
      <c r="BH13" s="135" t="e" cm="1">
        <f t="array" ref="BH13">ROUND((_xlfn.XLOOKUP($C13,'2) หลักการคำนวน Table'!$A$4:$A$36,
_xlfn.XLOOKUP(AV13,'2)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I13" s="135" t="e" cm="1">
        <f t="array" ref="BI13">ROUND((_xlfn.XLOOKUP($C13,'2) หลักการคำนวน Table'!$A$4:$A$36,
_xlfn.XLOOKUP(AW13,'2)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J13" s="135" t="e" cm="1">
        <f t="array" ref="BJ13">ROUND((_xlfn.XLOOKUP($C13,'2) หลักการคำนวน Table'!$A$4:$A$36,
_xlfn.XLOOKUP(AX13,'2)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K13" s="135" t="e" cm="1">
        <f t="array" ref="BK13">ROUND((_xlfn.XLOOKUP($C13,'2) หลักการคำนวน Table'!$A$4:$A$36,
_xlfn.XLOOKUP(AY13,'2) หลักการคำนวน Table'!$C$3:$K$3,'2) หลักการคำนวน Table'!$C$4:$K$36,,-1)))*(_xlfn.XLOOKUP($C13,'2) หลักการคำนวน Table'!$A$4:$A$36, _xlfn.XLOOKUP($B13,'2) หลักการคำนวน Table'!$L$3:$Z$3,'2) หลักการคำนวน Table'!$L$4:$Z$36))),0)</f>
        <v>#N/A</v>
      </c>
      <c r="BL13" s="239"/>
      <c r="BM13" s="126">
        <v>222222</v>
      </c>
      <c r="BN13" s="245">
        <v>198.00000000000003</v>
      </c>
    </row>
    <row r="14" spans="1:66" ht="13.2" customHeight="1" x14ac:dyDescent="0.25">
      <c r="A14" s="128" t="e">
        <f>VLOOKUP(C14,ASTBase!F:S,12,FALSE)</f>
        <v>#N/A</v>
      </c>
      <c r="B14" s="126" t="s">
        <v>414</v>
      </c>
      <c r="C14" s="128">
        <v>222222</v>
      </c>
      <c r="D14" s="127">
        <f>SUMIFS('3)Target &amp; Cal_Dept'!D$4:D$31,'3)Target &amp; Cal_Dept'!$B$4:$B$31,'3)Target &amp; Cal_AD'!$B14,'3)Target &amp; Cal_Dept'!$A$4:$A$31,'3)Target &amp; Cal_AD'!$C14)</f>
        <v>159186.79999999999</v>
      </c>
      <c r="E14" s="127">
        <f>SUMIFS('3)Target &amp; Cal_Dept'!E$4:E$31,'3)Target &amp; Cal_Dept'!$B$4:$B$31,'3)Target &amp; Cal_AD'!$B14,'3)Target &amp; Cal_Dept'!$A$4:$A$31,'3)Target &amp; Cal_AD'!$C14)</f>
        <v>153771.6</v>
      </c>
      <c r="F14" s="127">
        <f>SUMIFS('3)Target &amp; Cal_Dept'!F$4:F$31,'3)Target &amp; Cal_Dept'!$B$4:$B$31,'3)Target &amp; Cal_AD'!$B14,'3)Target &amp; Cal_Dept'!$A$4:$A$31,'3)Target &amp; Cal_AD'!$C14)</f>
        <v>232276</v>
      </c>
      <c r="G14" s="127">
        <f>SUMIFS('3)Target &amp; Cal_Dept'!G$4:G$31,'3)Target &amp; Cal_Dept'!$B$4:$B$31,'3)Target &amp; Cal_AD'!$B14,'3)Target &amp; Cal_Dept'!$A$4:$A$31,'3)Target &amp; Cal_AD'!$C14)</f>
        <v>170934.8</v>
      </c>
      <c r="H14" s="127">
        <f>SUMIFS('3)Target &amp; Cal_Dept'!H$4:H$31,'3)Target &amp; Cal_Dept'!$B$4:$B$31,'3)Target &amp; Cal_AD'!$B14,'3)Target &amp; Cal_Dept'!$A$4:$A$31,'3)Target &amp; Cal_AD'!$C14)</f>
        <v>182838.7</v>
      </c>
      <c r="I14" s="127">
        <f>SUMIFS('3)Target &amp; Cal_Dept'!I$4:I$31,'3)Target &amp; Cal_Dept'!$B$4:$B$31,'3)Target &amp; Cal_AD'!$B14,'3)Target &amp; Cal_Dept'!$A$4:$A$31,'3)Target &amp; Cal_AD'!$C14)</f>
        <v>166135.4</v>
      </c>
      <c r="J14" s="127">
        <f>SUMIFS('3)Target &amp; Cal_Dept'!J$4:J$31,'3)Target &amp; Cal_Dept'!$B$4:$B$31,'3)Target &amp; Cal_AD'!$B14,'3)Target &amp; Cal_Dept'!$A$4:$A$31,'3)Target &amp; Cal_AD'!$C14)</f>
        <v>165055.4</v>
      </c>
      <c r="K14" s="127">
        <f>SUMIFS('3)Target &amp; Cal_Dept'!K$4:K$31,'3)Target &amp; Cal_Dept'!$B$4:$B$31,'3)Target &amp; Cal_AD'!$B14,'3)Target &amp; Cal_Dept'!$A$4:$A$31,'3)Target &amp; Cal_AD'!$C14)</f>
        <v>177267.4</v>
      </c>
      <c r="L14" s="127">
        <v>63310</v>
      </c>
      <c r="M14" s="127">
        <v>59231.199999999997</v>
      </c>
      <c r="N14" s="127">
        <v>62319.199999999997</v>
      </c>
      <c r="O14" s="127">
        <v>61850</v>
      </c>
      <c r="P14" s="127">
        <f>SUMIFS('3)Target &amp; Cal_Dept'!P$4:P$32,'3)Target &amp; Cal_Dept'!$B$4:$B$32,'3)Target &amp; Cal_AD'!$B14,'3)Target &amp; Cal_Dept'!$A$4:$A$32,'3)Target &amp; Cal_AD'!$C14)</f>
        <v>176463.59999999983</v>
      </c>
      <c r="Q14" s="127">
        <f>SUMIFS('3)Target &amp; Cal_Dept'!Q$4:Q$32,'3)Target &amp; Cal_Dept'!$B$4:$B$32,'3)Target &amp; Cal_AD'!$B14,'3)Target &amp; Cal_Dept'!$A$4:$A$32,'3)Target &amp; Cal_AD'!$C14)</f>
        <v>0</v>
      </c>
      <c r="R14" s="127">
        <f>SUMIFS('3)Target &amp; Cal_Dept'!R$4:R$32,'3)Target &amp; Cal_Dept'!$B$4:$B$32,'3)Target &amp; Cal_AD'!$B14,'3)Target &amp; Cal_Dept'!$A$4:$A$32,'3)Target &amp; Cal_AD'!$C14)</f>
        <v>0</v>
      </c>
      <c r="S14" s="127">
        <f>SUMIFS('3)Target &amp; Cal_Dept'!S$4:S$32,'3)Target &amp; Cal_Dept'!$B$4:$B$32,'3)Target &amp; Cal_AD'!$B14,'3)Target &amp; Cal_Dept'!$A$4:$A$32,'3)Target &amp; Cal_AD'!$C14)</f>
        <v>0</v>
      </c>
      <c r="T14" s="127">
        <f>SUMIFS('3)Target &amp; Cal_Dept'!T$4:T$32,'3)Target &amp; Cal_Dept'!$B$4:$B$32,'3)Target &amp; Cal_AD'!$B14,'3)Target &amp; Cal_Dept'!$A$4:$A$32,'3)Target &amp; Cal_AD'!$C14)</f>
        <v>0</v>
      </c>
      <c r="U14" s="127">
        <f>SUMIFS('3)Target &amp; Cal_Dept'!U$4:U$32,'3)Target &amp; Cal_Dept'!$B$4:$B$32,'3)Target &amp; Cal_AD'!$B14,'3)Target &amp; Cal_Dept'!$A$4:$A$32,'3)Target &amp; Cal_AD'!$C14)</f>
        <v>0</v>
      </c>
      <c r="V14" s="127">
        <f>SUMIFS('3)Target &amp; Cal_Dept'!V$4:V$32,'3)Target &amp; Cal_Dept'!$B$4:$B$32,'3)Target &amp; Cal_AD'!$B14,'3)Target &amp; Cal_Dept'!$A$4:$A$32,'3)Target &amp; Cal_AD'!$C14)</f>
        <v>0</v>
      </c>
      <c r="W14" s="127">
        <f>SUMIFS('3)Target &amp; Cal_Dept'!W$4:W$32,'3)Target &amp; Cal_Dept'!$B$4:$B$32,'3)Target &amp; Cal_AD'!$B14,'3)Target &amp; Cal_Dept'!$A$4:$A$32,'3)Target &amp; Cal_AD'!$C14)</f>
        <v>0</v>
      </c>
      <c r="X14" s="127">
        <f>SUMIFS('3)Target &amp; Cal_Dept'!X$4:X$32,'3)Target &amp; Cal_Dept'!$B$4:$B$32,'3)Target &amp; Cal_AD'!$B14,'3)Target &amp; Cal_Dept'!$A$4:$A$32,'3)Target &amp; Cal_AD'!$C14)</f>
        <v>0</v>
      </c>
      <c r="Y14" s="127">
        <f>SUMIFS('3)Target &amp; Cal_Dept'!Y$4:Y$32,'3)Target &amp; Cal_Dept'!$B$4:$B$32,'3)Target &amp; Cal_AD'!$B14,'3)Target &amp; Cal_Dept'!$A$4:$A$32,'3)Target &amp; Cal_AD'!$C14)</f>
        <v>0</v>
      </c>
      <c r="Z14" s="127">
        <f>SUMIFS('3)Target &amp; Cal_Dept'!Z$4:Z$32,'3)Target &amp; Cal_Dept'!$B$4:$B$32,'3)Target &amp; Cal_AD'!$B14,'3)Target &amp; Cal_Dept'!$A$4:$A$32,'3)Target &amp; Cal_AD'!$C14)</f>
        <v>0</v>
      </c>
      <c r="AA14" s="127">
        <f>SUMIFS('3)Target &amp; Cal_Dept'!AA$4:AA$32,'3)Target &amp; Cal_Dept'!$B$4:$B$32,'3)Target &amp; Cal_AD'!$B14,'3)Target &amp; Cal_Dept'!$A$4:$A$32,'3)Target &amp; Cal_AD'!$C14)</f>
        <v>0</v>
      </c>
      <c r="AB14" s="132">
        <f>IFERROR(IF(VLOOKUP($B14,Shortage!$A:$M,AB$2,FALSE)="Shortage",1,IFERROR(ROUND(P14/D14,4),0)),IFERROR(ROUND(P14/D14,4),0))</f>
        <v>1.1085</v>
      </c>
      <c r="AC14" s="132">
        <f>IFERROR(IF(VLOOKUP($B14,Shortage!$A:$M,AC$2,FALSE)="Shortage",1,IFERROR(ROUND(Q14/E14,4),0)),IFERROR(ROUND(Q14/E14,4),0))</f>
        <v>0</v>
      </c>
      <c r="AD14" s="132">
        <f>IFERROR(IF(VLOOKUP($B14,Shortage!$A:$M,AD$2,FALSE)="Shortage",1,IFERROR(ROUND(R14/F14,4),0)),IFERROR(ROUND(R14/F14,4),0))</f>
        <v>0</v>
      </c>
      <c r="AE14" s="132">
        <f>IFERROR(IF(VLOOKUP($B14,Shortage!$A:$M,AE$2,FALSE)="Shortage",1,IFERROR(ROUND(S14/G14,4),0)),IFERROR(ROUND(S14/G14,4),0))</f>
        <v>0</v>
      </c>
      <c r="AF14" s="132">
        <f>IFERROR(IF(VLOOKUP($B14,Shortage!$A:$M,AF$2,FALSE)="Shortage",1,IFERROR(ROUND(T14/H14,4),0)),IFERROR(ROUND(T14/H14,4),0))</f>
        <v>0</v>
      </c>
      <c r="AG14" s="132">
        <f>IFERROR(IF(VLOOKUP($B14,Shortage!$A:$M,AG$2,FALSE)="Shortage",1,IFERROR(ROUND(U14/I14,4),0)),IFERROR(ROUND(U14/I14,4),0))</f>
        <v>0</v>
      </c>
      <c r="AH14" s="132">
        <f>IFERROR(IF(VLOOKUP($B14,Shortage!$A:$M,AH$2,FALSE)="Shortage",1,IFERROR(ROUND(V14/J14,4),0)),IFERROR(ROUND(V14/J14,4),0))</f>
        <v>0</v>
      </c>
      <c r="AI14" s="132">
        <f>IFERROR(IF(VLOOKUP($B14,Shortage!$A:$M,AI$2,FALSE)="Shortage",1,IFERROR(ROUND(W14/K14,4),0)),IFERROR(ROUND(W14/K14,4),0))</f>
        <v>0</v>
      </c>
      <c r="AJ14" s="132">
        <f>IFERROR(IF(VLOOKUP($B14,Shortage!$A:$M,AJ$2,FALSE)="Shortage",1,IFERROR(ROUND(X14/L14,4),0)),IFERROR(ROUND(X14/L14,4),0))</f>
        <v>0</v>
      </c>
      <c r="AK14" s="132">
        <f>IFERROR(IF(VLOOKUP($B14,Shortage!$A:$M,AK$2,FALSE)="Shortage",1,IFERROR(ROUND(Y14/M14,4),0)),IFERROR(ROUND(Y14/M14,4),0))</f>
        <v>0</v>
      </c>
      <c r="AL14" s="132">
        <f>IFERROR(IF(VLOOKUP($B14,Shortage!$A:$M,AL$2,FALSE)="Shortage",1,IFERROR(ROUND(Z14/N14,4),0)),IFERROR(ROUND(Z14/N14,4),0))</f>
        <v>0</v>
      </c>
      <c r="AM14" s="132">
        <f>IFERROR(IF(VLOOKUP($B14,Shortage!$A:$M,AM$2,FALSE)="Shortage",1,IFERROR(ROUND(AA14/O14,4),0)),IFERROR(ROUND(AA14/O14,4),0))</f>
        <v>0</v>
      </c>
      <c r="AN14" s="186">
        <f>IFERROR(_xlfn.XLOOKUP(AB14,'2) หลักการคำนวน Table'!$C$3:$K$3,'2) หลักการคำนวน Table'!$C$3:$K$3,,1),INDEX('2) หลักการคำนวน Table'!$C$3:$K$3,1))</f>
        <v>1.1499999999999999</v>
      </c>
      <c r="AO14" s="186">
        <f>IFERROR(
  _xlfn.XLOOKUP(AC14,'2) หลักการคำนวน Table'!$C$3:$K$3,'2) หลักการคำนวน Table'!$C$3:$K$3,,1),
  IF(AC14&lt;MIN('2) หลักการคำนวน Table'!$C$3:$K$3),
     MIN('2) หลักการคำนวน Table'!$C$3:$K$3),
     MAX('2) หลักการคำนวน Table'!$C$3:$K$3)
  )
)</f>
        <v>0.9</v>
      </c>
      <c r="AP14" s="186">
        <f>IFERROR(
  _xlfn.XLOOKUP(AD14,'2) หลักการคำนวน Table'!$C$3:$K$3,'2) หลักการคำนวน Table'!$C$3:$K$3,,1),
  IF(AD14&lt;MIN('2) หลักการคำนวน Table'!$C$3:$K$3),
     MIN('2) หลักการคำนวน Table'!$C$3:$K$3),
     MAX('2) หลักการคำนวน Table'!$C$3:$K$3)
  )
)</f>
        <v>0.9</v>
      </c>
      <c r="AQ14" s="186">
        <f>IFERROR(
  _xlfn.XLOOKUP(AE14,'2) หลักการคำนวน Table'!$C$3:$K$3,'2) หลักการคำนวน Table'!$C$3:$K$3,,1),
  IF(AE14&lt;MIN('2) หลักการคำนวน Table'!$C$3:$K$3),
     MIN('2) หลักการคำนวน Table'!$C$3:$K$3),
     MAX('2) หลักการคำนวน Table'!$C$3:$K$3)
  )
)</f>
        <v>0.9</v>
      </c>
      <c r="AR14" s="186">
        <f>IFERROR(
  _xlfn.XLOOKUP(AF14,'2) หลักการคำนวน Table'!$C$3:$K$3,'2) หลักการคำนวน Table'!$C$3:$K$3,,1),
  IF(AF14&lt;MIN('2) หลักการคำนวน Table'!$C$3:$K$3),
     MIN('2) หลักการคำนวน Table'!$C$3:$K$3),
     MAX('2) หลักการคำนวน Table'!$C$3:$K$3)
  )
)</f>
        <v>0.9</v>
      </c>
      <c r="AS14" s="186">
        <f>IFERROR(
  _xlfn.XLOOKUP(AG14,'2) หลักการคำนวน Table'!$C$3:$K$3,'2) หลักการคำนวน Table'!$C$3:$K$3,,1),
  IF(AG14&lt;MIN('2) หลักการคำนวน Table'!$C$3:$K$3),
     MIN('2) หลักการคำนวน Table'!$C$3:$K$3),
     MAX('2) หลักการคำนวน Table'!$C$3:$K$3)
  )
)</f>
        <v>0.9</v>
      </c>
      <c r="AT14" s="186">
        <f>IFERROR(
  _xlfn.XLOOKUP(AH14,'2) หลักการคำนวน Table'!$C$3:$K$3,'2) หลักการคำนวน Table'!$C$3:$K$3,,1),
  IF(AH14&lt;MIN('2) หลักการคำนวน Table'!$C$3:$K$3),
     MIN('2) หลักการคำนวน Table'!$C$3:$K$3),
     MAX('2) หลักการคำนวน Table'!$C$3:$K$3)
  )
)</f>
        <v>0.9</v>
      </c>
      <c r="AU14" s="186">
        <f>IFERROR(
  _xlfn.XLOOKUP(AI14,'2) หลักการคำนวน Table'!$C$3:$K$3,'2) หลักการคำนวน Table'!$C$3:$K$3,,1),
  IF(AI14&lt;MIN('2) หลักการคำนวน Table'!$C$3:$K$3),
     MIN('2) หลักการคำนวน Table'!$C$3:$K$3),
     MAX('2) หลักการคำนวน Table'!$C$3:$K$3)
  )
)</f>
        <v>0.9</v>
      </c>
      <c r="AV14" s="186">
        <f>IFERROR(
  _xlfn.XLOOKUP(AJ14,'2) หลักการคำนวน Table'!$C$3:$K$3,'2) หลักการคำนวน Table'!$C$3:$K$3,,1),
  IF(AJ14&lt;MIN('2) หลักการคำนวน Table'!$C$3:$K$3),
     MIN('2) หลักการคำนวน Table'!$C$3:$K$3),
     MAX('2) หลักการคำนวน Table'!$C$3:$K$3)
  )
)</f>
        <v>0.9</v>
      </c>
      <c r="AW14" s="186">
        <f>IFERROR(
  _xlfn.XLOOKUP(AK14,'2) หลักการคำนวน Table'!$C$3:$K$3,'2) หลักการคำนวน Table'!$C$3:$K$3,,1),
  IF(AK14&lt;MIN('2) หลักการคำนวน Table'!$C$3:$K$3),
     MIN('2) หลักการคำนวน Table'!$C$3:$K$3),
     MAX('2) หลักการคำนวน Table'!$C$3:$K$3)
  )
)</f>
        <v>0.9</v>
      </c>
      <c r="AX14" s="186">
        <f>IFERROR(
  _xlfn.XLOOKUP(AL14,'2) หลักการคำนวน Table'!$C$3:$K$3,'2) หลักการคำนวน Table'!$C$3:$K$3,,1),
  IF(AL14&lt;MIN('2) หลักการคำนวน Table'!$C$3:$K$3),
     MIN('2) หลักการคำนวน Table'!$C$3:$K$3),
     MAX('2) หลักการคำนวน Table'!$C$3:$K$3)
  )
)</f>
        <v>0.9</v>
      </c>
      <c r="AY14" s="186">
        <f>IFERROR(
  _xlfn.XLOOKUP(AM14,'2) หลักการคำนวน Table'!$C$3:$K$3,'2) หลักการคำนวน Table'!$C$3:$K$3,,1),
  IF(AM14&lt;MIN('2) หลักการคำนวน Table'!$C$3:$K$3),
     MIN('2) หลักการคำนวน Table'!$C$3:$K$3),
     MAX('2) หลักการคำนวน Table'!$C$3:$K$3)
  )
)</f>
        <v>0.9</v>
      </c>
      <c r="AZ14" s="135" t="e" cm="1">
        <f t="array" ref="AZ14">(_xlfn.XLOOKUP($C14,'2) หลักการคำนวน Table'!$A$4:$A$36,
_xlfn.XLOOKUP(AN14,'2)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A14" s="135" t="e" cm="1">
        <f t="array" ref="BA14">(_xlfn.XLOOKUP($C14,'2) หลักการคำนวน Table'!$A$4:$A$36,
_xlfn.XLOOKUP(AO14,'2)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B14" s="135" t="e" cm="1">
        <f t="array" ref="BB14">(_xlfn.XLOOKUP($C14,'2) หลักการคำนวน Table'!$A$4:$A$36,
_xlfn.XLOOKUP(AP14,'2)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C14" s="135" t="e" cm="1">
        <f t="array" ref="BC14">(_xlfn.XLOOKUP($C14,'2) หลักการคำนวน Table'!$A$4:$A$36,
_xlfn.XLOOKUP(AQ14,'2)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D14" s="135" t="e" cm="1">
        <f t="array" ref="BD14">(_xlfn.XLOOKUP($C14,'2) หลักการคำนวน Table'!$A$4:$A$36,
_xlfn.XLOOKUP(AR14,'2)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E14" s="135" t="e" cm="1">
        <f t="array" ref="BE14">(_xlfn.XLOOKUP($C14,'2) หลักการคำนวน Table'!$A$4:$A$36,
_xlfn.XLOOKUP(AS14,'2)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F14" s="135" t="e" cm="1">
        <f t="array" ref="BF14">(_xlfn.XLOOKUP($C14,'2) หลักการคำนวน Table'!$A$4:$A$36,
_xlfn.XLOOKUP(AT14,'2)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G14" s="135" t="e" cm="1">
        <f t="array" ref="BG14">(_xlfn.XLOOKUP($C14,'2) หลักการคำนวน Table'!$A$4:$A$36,
_xlfn.XLOOKUP(AU14,'2)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</f>
        <v>#N/A</v>
      </c>
      <c r="BH14" s="135" t="e" cm="1">
        <f t="array" ref="BH14">ROUND((_xlfn.XLOOKUP($C14,'2) หลักการคำนวน Table'!$A$4:$A$36,
_xlfn.XLOOKUP(AV14,'2)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I14" s="135" t="e" cm="1">
        <f t="array" ref="BI14">ROUND((_xlfn.XLOOKUP($C14,'2) หลักการคำนวน Table'!$A$4:$A$36,
_xlfn.XLOOKUP(AW14,'2)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J14" s="135" t="e" cm="1">
        <f t="array" ref="BJ14">ROUND((_xlfn.XLOOKUP($C14,'2) หลักการคำนวน Table'!$A$4:$A$36,
_xlfn.XLOOKUP(AX14,'2)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K14" s="135" t="e" cm="1">
        <f t="array" ref="BK14">ROUND((_xlfn.XLOOKUP($C14,'2) หลักการคำนวน Table'!$A$4:$A$36,
_xlfn.XLOOKUP(AY14,'2) หลักการคำนวน Table'!$C$3:$K$3,'2) หลักการคำนวน Table'!$C$4:$K$36,,-1)))*(_xlfn.XLOOKUP($C14,'2) หลักการคำนวน Table'!$A$4:$A$36, _xlfn.XLOOKUP($B14,'2) หลักการคำนวน Table'!$L$3:$Z$3,'2) หลักการคำนวน Table'!$L$4:$Z$36))),0)</f>
        <v>#N/A</v>
      </c>
      <c r="BL14" s="239"/>
      <c r="BM14" s="126">
        <v>222222</v>
      </c>
      <c r="BN14" s="245">
        <v>206.99999999999997</v>
      </c>
    </row>
    <row r="15" spans="1:66" ht="13.2" customHeight="1" x14ac:dyDescent="0.25">
      <c r="A15" s="128" t="e">
        <f>VLOOKUP(C15,ASTBase!F:S,12,FALSE)</f>
        <v>#N/A</v>
      </c>
      <c r="B15" s="126" t="s">
        <v>412</v>
      </c>
      <c r="C15" s="128">
        <v>222222</v>
      </c>
      <c r="D15" s="127">
        <f>SUMIFS('3)Target &amp; Cal_Dept'!D$4:D$31,'3)Target &amp; Cal_Dept'!$B$4:$B$31,'3)Target &amp; Cal_AD'!$B15,'3)Target &amp; Cal_Dept'!$A$4:$A$31,'3)Target &amp; Cal_AD'!$C15)</f>
        <v>1299512.3999999985</v>
      </c>
      <c r="E15" s="127">
        <f>SUMIFS('3)Target &amp; Cal_Dept'!E$4:E$31,'3)Target &amp; Cal_Dept'!$B$4:$B$31,'3)Target &amp; Cal_AD'!$B15,'3)Target &amp; Cal_Dept'!$A$4:$A$31,'3)Target &amp; Cal_AD'!$C15)</f>
        <v>1141543.0499996585</v>
      </c>
      <c r="F15" s="127">
        <f>SUMIFS('3)Target &amp; Cal_Dept'!F$4:F$31,'3)Target &amp; Cal_Dept'!$B$4:$B$31,'3)Target &amp; Cal_AD'!$B15,'3)Target &amp; Cal_Dept'!$A$4:$A$31,'3)Target &amp; Cal_AD'!$C15)</f>
        <v>1446866.1499999817</v>
      </c>
      <c r="G15" s="127">
        <f>SUMIFS('3)Target &amp; Cal_Dept'!G$4:G$31,'3)Target &amp; Cal_Dept'!$B$4:$B$31,'3)Target &amp; Cal_AD'!$B15,'3)Target &amp; Cal_Dept'!$A$4:$A$31,'3)Target &amp; Cal_AD'!$C15)</f>
        <v>1213974.9999999604</v>
      </c>
      <c r="H15" s="127">
        <f>SUMIFS('3)Target &amp; Cal_Dept'!H$4:H$31,'3)Target &amp; Cal_Dept'!$B$4:$B$31,'3)Target &amp; Cal_AD'!$B15,'3)Target &amp; Cal_Dept'!$A$4:$A$31,'3)Target &amp; Cal_AD'!$C15)</f>
        <v>1281910.6388888694</v>
      </c>
      <c r="I15" s="127">
        <f>SUMIFS('3)Target &amp; Cal_Dept'!I$4:I$31,'3)Target &amp; Cal_Dept'!$B$4:$B$31,'3)Target &amp; Cal_AD'!$B15,'3)Target &amp; Cal_Dept'!$A$4:$A$31,'3)Target &amp; Cal_AD'!$C15)</f>
        <v>1238512.3333326189</v>
      </c>
      <c r="J15" s="127">
        <f>SUMIFS('3)Target &amp; Cal_Dept'!J$4:J$31,'3)Target &amp; Cal_Dept'!$B$4:$B$31,'3)Target &amp; Cal_AD'!$B15,'3)Target &amp; Cal_Dept'!$A$4:$A$31,'3)Target &amp; Cal_AD'!$C15)</f>
        <v>1195411.8944444153</v>
      </c>
      <c r="K15" s="127">
        <f>SUMIFS('3)Target &amp; Cal_Dept'!K$4:K$31,'3)Target &amp; Cal_Dept'!$B$4:$B$31,'3)Target &amp; Cal_AD'!$B15,'3)Target &amp; Cal_Dept'!$A$4:$A$31,'3)Target &amp; Cal_AD'!$C15)</f>
        <v>1274094.638888876</v>
      </c>
      <c r="L15" s="127">
        <v>1903.99999999888</v>
      </c>
      <c r="M15" s="127">
        <v>1602.1364985163204</v>
      </c>
      <c r="N15" s="127">
        <v>1412.1750741839762</v>
      </c>
      <c r="O15" s="127">
        <v>1198.1364985163204</v>
      </c>
      <c r="P15" s="127">
        <f>SUMIFS('3)Target &amp; Cal_Dept'!P$4:P$32,'3)Target &amp; Cal_Dept'!$B$4:$B$32,'3)Target &amp; Cal_AD'!$B15,'3)Target &amp; Cal_Dept'!$A$4:$A$32,'3)Target &amp; Cal_AD'!$C15)</f>
        <v>1066258.6666495528</v>
      </c>
      <c r="Q15" s="127">
        <f>SUMIFS('3)Target &amp; Cal_Dept'!Q$4:Q$32,'3)Target &amp; Cal_Dept'!$B$4:$B$32,'3)Target &amp; Cal_AD'!$B15,'3)Target &amp; Cal_Dept'!$A$4:$A$32,'3)Target &amp; Cal_AD'!$C15)</f>
        <v>0</v>
      </c>
      <c r="R15" s="127">
        <f>SUMIFS('3)Target &amp; Cal_Dept'!R$4:R$32,'3)Target &amp; Cal_Dept'!$B$4:$B$32,'3)Target &amp; Cal_AD'!$B15,'3)Target &amp; Cal_Dept'!$A$4:$A$32,'3)Target &amp; Cal_AD'!$C15)</f>
        <v>0</v>
      </c>
      <c r="S15" s="127">
        <f>SUMIFS('3)Target &amp; Cal_Dept'!S$4:S$32,'3)Target &amp; Cal_Dept'!$B$4:$B$32,'3)Target &amp; Cal_AD'!$B15,'3)Target &amp; Cal_Dept'!$A$4:$A$32,'3)Target &amp; Cal_AD'!$C15)</f>
        <v>0</v>
      </c>
      <c r="T15" s="127">
        <f>SUMIFS('3)Target &amp; Cal_Dept'!T$4:T$32,'3)Target &amp; Cal_Dept'!$B$4:$B$32,'3)Target &amp; Cal_AD'!$B15,'3)Target &amp; Cal_Dept'!$A$4:$A$32,'3)Target &amp; Cal_AD'!$C15)</f>
        <v>0</v>
      </c>
      <c r="U15" s="127">
        <f>SUMIFS('3)Target &amp; Cal_Dept'!U$4:U$32,'3)Target &amp; Cal_Dept'!$B$4:$B$32,'3)Target &amp; Cal_AD'!$B15,'3)Target &amp; Cal_Dept'!$A$4:$A$32,'3)Target &amp; Cal_AD'!$C15)</f>
        <v>0</v>
      </c>
      <c r="V15" s="127">
        <f>SUMIFS('3)Target &amp; Cal_Dept'!V$4:V$32,'3)Target &amp; Cal_Dept'!$B$4:$B$32,'3)Target &amp; Cal_AD'!$B15,'3)Target &amp; Cal_Dept'!$A$4:$A$32,'3)Target &amp; Cal_AD'!$C15)</f>
        <v>0</v>
      </c>
      <c r="W15" s="127">
        <f>SUMIFS('3)Target &amp; Cal_Dept'!W$4:W$32,'3)Target &amp; Cal_Dept'!$B$4:$B$32,'3)Target &amp; Cal_AD'!$B15,'3)Target &amp; Cal_Dept'!$A$4:$A$32,'3)Target &amp; Cal_AD'!$C15)</f>
        <v>0</v>
      </c>
      <c r="X15" s="127">
        <f>SUMIFS('3)Target &amp; Cal_Dept'!X$4:X$32,'3)Target &amp; Cal_Dept'!$B$4:$B$32,'3)Target &amp; Cal_AD'!$B15,'3)Target &amp; Cal_Dept'!$A$4:$A$32,'3)Target &amp; Cal_AD'!$C15)</f>
        <v>0</v>
      </c>
      <c r="Y15" s="127">
        <f>SUMIFS('3)Target &amp; Cal_Dept'!Y$4:Y$32,'3)Target &amp; Cal_Dept'!$B$4:$B$32,'3)Target &amp; Cal_AD'!$B15,'3)Target &amp; Cal_Dept'!$A$4:$A$32,'3)Target &amp; Cal_AD'!$C15)</f>
        <v>0</v>
      </c>
      <c r="Z15" s="127">
        <f>SUMIFS('3)Target &amp; Cal_Dept'!Z$4:Z$32,'3)Target &amp; Cal_Dept'!$B$4:$B$32,'3)Target &amp; Cal_AD'!$B15,'3)Target &amp; Cal_Dept'!$A$4:$A$32,'3)Target &amp; Cal_AD'!$C15)</f>
        <v>0</v>
      </c>
      <c r="AA15" s="127">
        <f>SUMIFS('3)Target &amp; Cal_Dept'!AA$4:AA$32,'3)Target &amp; Cal_Dept'!$B$4:$B$32,'3)Target &amp; Cal_AD'!$B15,'3)Target &amp; Cal_Dept'!$A$4:$A$32,'3)Target &amp; Cal_AD'!$C15)</f>
        <v>0</v>
      </c>
      <c r="AB15" s="132">
        <f>IFERROR(IF(VLOOKUP($B15,Shortage!$A:$M,AB$2,FALSE)="Shortage",1,IFERROR(ROUND(P15/D15,4),0)),IFERROR(ROUND(P15/D15,4),0))</f>
        <v>1</v>
      </c>
      <c r="AC15" s="132">
        <f>IFERROR(IF(VLOOKUP($B15,Shortage!$A:$M,AC$2,FALSE)="Shortage",1,IFERROR(ROUND(Q15/E15,4),0)),IFERROR(ROUND(Q15/E15,4),0))</f>
        <v>0</v>
      </c>
      <c r="AD15" s="132">
        <f>IFERROR(IF(VLOOKUP($B15,Shortage!$A:$M,AD$2,FALSE)="Shortage",1,IFERROR(ROUND(R15/F15,4),0)),IFERROR(ROUND(R15/F15,4),0))</f>
        <v>0</v>
      </c>
      <c r="AE15" s="132">
        <f>IFERROR(IF(VLOOKUP($B15,Shortage!$A:$M,AE$2,FALSE)="Shortage",1,IFERROR(ROUND(S15/G15,4),0)),IFERROR(ROUND(S15/G15,4),0))</f>
        <v>0</v>
      </c>
      <c r="AF15" s="132">
        <f>IFERROR(IF(VLOOKUP($B15,Shortage!$A:$M,AF$2,FALSE)="Shortage",1,IFERROR(ROUND(T15/H15,4),0)),IFERROR(ROUND(T15/H15,4),0))</f>
        <v>0</v>
      </c>
      <c r="AG15" s="132">
        <f>IFERROR(IF(VLOOKUP($B15,Shortage!$A:$M,AG$2,FALSE)="Shortage",1,IFERROR(ROUND(U15/I15,4),0)),IFERROR(ROUND(U15/I15,4),0))</f>
        <v>0</v>
      </c>
      <c r="AH15" s="132">
        <f>IFERROR(IF(VLOOKUP($B15,Shortage!$A:$M,AH$2,FALSE)="Shortage",1,IFERROR(ROUND(V15/J15,4),0)),IFERROR(ROUND(V15/J15,4),0))</f>
        <v>0</v>
      </c>
      <c r="AI15" s="132">
        <f>IFERROR(IF(VLOOKUP($B15,Shortage!$A:$M,AI$2,FALSE)="Shortage",1,IFERROR(ROUND(W15/K15,4),0)),IFERROR(ROUND(W15/K15,4),0))</f>
        <v>0</v>
      </c>
      <c r="AJ15" s="132">
        <f>IFERROR(IF(VLOOKUP($B15,Shortage!$A:$M,AJ$2,FALSE)="Shortage",1,IFERROR(ROUND(X15/L15,4),0)),IFERROR(ROUND(X15/L15,4),0))</f>
        <v>0</v>
      </c>
      <c r="AK15" s="132">
        <f>IFERROR(IF(VLOOKUP($B15,Shortage!$A:$M,AK$2,FALSE)="Shortage",1,IFERROR(ROUND(Y15/M15,4),0)),IFERROR(ROUND(Y15/M15,4),0))</f>
        <v>0</v>
      </c>
      <c r="AL15" s="132">
        <f>IFERROR(IF(VLOOKUP($B15,Shortage!$A:$M,AL$2,FALSE)="Shortage",1,IFERROR(ROUND(Z15/N15,4),0)),IFERROR(ROUND(Z15/N15,4),0))</f>
        <v>0</v>
      </c>
      <c r="AM15" s="132">
        <f>IFERROR(IF(VLOOKUP($B15,Shortage!$A:$M,AM$2,FALSE)="Shortage",1,IFERROR(ROUND(AA15/O15,4),0)),IFERROR(ROUND(AA15/O15,4),0))</f>
        <v>0</v>
      </c>
      <c r="AN15" s="186">
        <f>IFERROR(_xlfn.XLOOKUP(AB15,'2) หลักการคำนวน Table'!$C$3:$K$3,'2) หลักการคำนวน Table'!$C$3:$K$3,,1),INDEX('2) หลักการคำนวน Table'!$C$3:$K$3,1))</f>
        <v>1</v>
      </c>
      <c r="AO15" s="186">
        <f>IFERROR(
  _xlfn.XLOOKUP(AC15,'2) หลักการคำนวน Table'!$C$3:$K$3,'2) หลักการคำนวน Table'!$C$3:$K$3,,1),
  IF(AC15&lt;MIN('2) หลักการคำนวน Table'!$C$3:$K$3),
     MIN('2) หลักการคำนวน Table'!$C$3:$K$3),
     MAX('2) หลักการคำนวน Table'!$C$3:$K$3)
  )
)</f>
        <v>0.9</v>
      </c>
      <c r="AP15" s="186">
        <f>IFERROR(
  _xlfn.XLOOKUP(AD15,'2) หลักการคำนวน Table'!$C$3:$K$3,'2) หลักการคำนวน Table'!$C$3:$K$3,,1),
  IF(AD15&lt;MIN('2) หลักการคำนวน Table'!$C$3:$K$3),
     MIN('2) หลักการคำนวน Table'!$C$3:$K$3),
     MAX('2) หลักการคำนวน Table'!$C$3:$K$3)
  )
)</f>
        <v>0.9</v>
      </c>
      <c r="AQ15" s="186">
        <f>IFERROR(
  _xlfn.XLOOKUP(AE15,'2) หลักการคำนวน Table'!$C$3:$K$3,'2) หลักการคำนวน Table'!$C$3:$K$3,,1),
  IF(AE15&lt;MIN('2) หลักการคำนวน Table'!$C$3:$K$3),
     MIN('2) หลักการคำนวน Table'!$C$3:$K$3),
     MAX('2) หลักการคำนวน Table'!$C$3:$K$3)
  )
)</f>
        <v>0.9</v>
      </c>
      <c r="AR15" s="186">
        <f>IFERROR(
  _xlfn.XLOOKUP(AF15,'2) หลักการคำนวน Table'!$C$3:$K$3,'2) หลักการคำนวน Table'!$C$3:$K$3,,1),
  IF(AF15&lt;MIN('2) หลักการคำนวน Table'!$C$3:$K$3),
     MIN('2) หลักการคำนวน Table'!$C$3:$K$3),
     MAX('2) หลักการคำนวน Table'!$C$3:$K$3)
  )
)</f>
        <v>0.9</v>
      </c>
      <c r="AS15" s="186">
        <f>IFERROR(
  _xlfn.XLOOKUP(AG15,'2) หลักการคำนวน Table'!$C$3:$K$3,'2) หลักการคำนวน Table'!$C$3:$K$3,,1),
  IF(AG15&lt;MIN('2) หลักการคำนวน Table'!$C$3:$K$3),
     MIN('2) หลักการคำนวน Table'!$C$3:$K$3),
     MAX('2) หลักการคำนวน Table'!$C$3:$K$3)
  )
)</f>
        <v>0.9</v>
      </c>
      <c r="AT15" s="186">
        <f>IFERROR(
  _xlfn.XLOOKUP(AH15,'2) หลักการคำนวน Table'!$C$3:$K$3,'2) หลักการคำนวน Table'!$C$3:$K$3,,1),
  IF(AH15&lt;MIN('2) หลักการคำนวน Table'!$C$3:$K$3),
     MIN('2) หลักการคำนวน Table'!$C$3:$K$3),
     MAX('2) หลักการคำนวน Table'!$C$3:$K$3)
  )
)</f>
        <v>0.9</v>
      </c>
      <c r="AU15" s="186">
        <f>IFERROR(
  _xlfn.XLOOKUP(AI15,'2) หลักการคำนวน Table'!$C$3:$K$3,'2) หลักการคำนวน Table'!$C$3:$K$3,,1),
  IF(AI15&lt;MIN('2) หลักการคำนวน Table'!$C$3:$K$3),
     MIN('2) หลักการคำนวน Table'!$C$3:$K$3),
     MAX('2) หลักการคำนวน Table'!$C$3:$K$3)
  )
)</f>
        <v>0.9</v>
      </c>
      <c r="AV15" s="186">
        <f>IFERROR(
  _xlfn.XLOOKUP(AJ15,'2) หลักการคำนวน Table'!$C$3:$K$3,'2) หลักการคำนวน Table'!$C$3:$K$3,,1),
  IF(AJ15&lt;MIN('2) หลักการคำนวน Table'!$C$3:$K$3),
     MIN('2) หลักการคำนวน Table'!$C$3:$K$3),
     MAX('2) หลักการคำนวน Table'!$C$3:$K$3)
  )
)</f>
        <v>0.9</v>
      </c>
      <c r="AW15" s="186">
        <f>IFERROR(
  _xlfn.XLOOKUP(AK15,'2) หลักการคำนวน Table'!$C$3:$K$3,'2) หลักการคำนวน Table'!$C$3:$K$3,,1),
  IF(AK15&lt;MIN('2) หลักการคำนวน Table'!$C$3:$K$3),
     MIN('2) หลักการคำนวน Table'!$C$3:$K$3),
     MAX('2) หลักการคำนวน Table'!$C$3:$K$3)
  )
)</f>
        <v>0.9</v>
      </c>
      <c r="AX15" s="186">
        <f>IFERROR(
  _xlfn.XLOOKUP(AL15,'2) หลักการคำนวน Table'!$C$3:$K$3,'2) หลักการคำนวน Table'!$C$3:$K$3,,1),
  IF(AL15&lt;MIN('2) หลักการคำนวน Table'!$C$3:$K$3),
     MIN('2) หลักการคำนวน Table'!$C$3:$K$3),
     MAX('2) หลักการคำนวน Table'!$C$3:$K$3)
  )
)</f>
        <v>0.9</v>
      </c>
      <c r="AY15" s="186">
        <f>IFERROR(
  _xlfn.XLOOKUP(AM15,'2) หลักการคำนวน Table'!$C$3:$K$3,'2) หลักการคำนวน Table'!$C$3:$K$3,,1),
  IF(AM15&lt;MIN('2) หลักการคำนวน Table'!$C$3:$K$3),
     MIN('2) หลักการคำนวน Table'!$C$3:$K$3),
     MAX('2) หลักการคำนวน Table'!$C$3:$K$3)
  )
)</f>
        <v>0.9</v>
      </c>
      <c r="AZ15" s="135" t="e" cm="1">
        <f t="array" ref="AZ15">(_xlfn.XLOOKUP($C15,'2) หลักการคำนวน Table'!$A$4:$A$36,
_xlfn.XLOOKUP(AN15,'2)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A15" s="135" t="e" cm="1">
        <f t="array" ref="BA15">(_xlfn.XLOOKUP($C15,'2) หลักการคำนวน Table'!$A$4:$A$36,
_xlfn.XLOOKUP(AO15,'2)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B15" s="135" t="e" cm="1">
        <f t="array" ref="BB15">(_xlfn.XLOOKUP($C15,'2) หลักการคำนวน Table'!$A$4:$A$36,
_xlfn.XLOOKUP(AP15,'2)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C15" s="135" t="e" cm="1">
        <f t="array" ref="BC15">(_xlfn.XLOOKUP($C15,'2) หลักการคำนวน Table'!$A$4:$A$36,
_xlfn.XLOOKUP(AQ15,'2)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D15" s="135" t="e" cm="1">
        <f t="array" ref="BD15">(_xlfn.XLOOKUP($C15,'2) หลักการคำนวน Table'!$A$4:$A$36,
_xlfn.XLOOKUP(AR15,'2)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E15" s="135" t="e" cm="1">
        <f t="array" ref="BE15">(_xlfn.XLOOKUP($C15,'2) หลักการคำนวน Table'!$A$4:$A$36,
_xlfn.XLOOKUP(AS15,'2)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F15" s="135" t="e" cm="1">
        <f t="array" ref="BF15">(_xlfn.XLOOKUP($C15,'2) หลักการคำนวน Table'!$A$4:$A$36,
_xlfn.XLOOKUP(AT15,'2)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G15" s="135" t="e" cm="1">
        <f t="array" ref="BG15">(_xlfn.XLOOKUP($C15,'2) หลักการคำนวน Table'!$A$4:$A$36,
_xlfn.XLOOKUP(AU15,'2)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</f>
        <v>#N/A</v>
      </c>
      <c r="BH15" s="135" t="e" cm="1">
        <f t="array" ref="BH15">ROUND((_xlfn.XLOOKUP($C15,'2) หลักการคำนวน Table'!$A$4:$A$36,
_xlfn.XLOOKUP(AV15,'2)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I15" s="135" t="e" cm="1">
        <f t="array" ref="BI15">ROUND((_xlfn.XLOOKUP($C15,'2) หลักการคำนวน Table'!$A$4:$A$36,
_xlfn.XLOOKUP(AW15,'2)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J15" s="135" t="e" cm="1">
        <f t="array" ref="BJ15">ROUND((_xlfn.XLOOKUP($C15,'2) หลักการคำนวน Table'!$A$4:$A$36,
_xlfn.XLOOKUP(AX15,'2)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K15" s="135" t="e" cm="1">
        <f t="array" ref="BK15">ROUND((_xlfn.XLOOKUP($C15,'2) หลักการคำนวน Table'!$A$4:$A$36,
_xlfn.XLOOKUP(AY15,'2) หลักการคำนวน Table'!$C$3:$K$3,'2) หลักการคำนวน Table'!$C$4:$K$36,,-1)))*(_xlfn.XLOOKUP($C15,'2) หลักการคำนวน Table'!$A$4:$A$36, _xlfn.XLOOKUP($B15,'2) หลักการคำนวน Table'!$L$3:$Z$3,'2) หลักการคำนวน Table'!$L$4:$Z$36))),0)</f>
        <v>#N/A</v>
      </c>
      <c r="BL15" s="239"/>
      <c r="BM15" s="126">
        <v>222222</v>
      </c>
      <c r="BN15" s="245">
        <v>480</v>
      </c>
    </row>
    <row r="16" spans="1:66" ht="13.2" customHeight="1" x14ac:dyDescent="0.25">
      <c r="A16" s="128" t="e">
        <f>VLOOKUP(C16,ASTBase!F:S,12,FALSE)</f>
        <v>#N/A</v>
      </c>
      <c r="B16" s="126" t="s">
        <v>411</v>
      </c>
      <c r="C16" s="128">
        <v>222222</v>
      </c>
      <c r="D16" s="127">
        <f>SUMIFS('3)Target &amp; Cal_Dept'!D$4:D$31,'3)Target &amp; Cal_Dept'!$B$4:$B$31,'3)Target &amp; Cal_AD'!$B16,'3)Target &amp; Cal_Dept'!$A$4:$A$31,'3)Target &amp; Cal_AD'!$C16)</f>
        <v>14338.4</v>
      </c>
      <c r="E16" s="127">
        <f>SUMIFS('3)Target &amp; Cal_Dept'!E$4:E$31,'3)Target &amp; Cal_Dept'!$B$4:$B$31,'3)Target &amp; Cal_AD'!$B16,'3)Target &amp; Cal_Dept'!$A$4:$A$31,'3)Target &amp; Cal_AD'!$C16)</f>
        <v>13488</v>
      </c>
      <c r="F16" s="127">
        <f>SUMIFS('3)Target &amp; Cal_Dept'!F$4:F$31,'3)Target &amp; Cal_Dept'!$B$4:$B$31,'3)Target &amp; Cal_AD'!$B16,'3)Target &amp; Cal_Dept'!$A$4:$A$31,'3)Target &amp; Cal_AD'!$C16)</f>
        <v>41990.400000000001</v>
      </c>
      <c r="G16" s="127">
        <f>SUMIFS('3)Target &amp; Cal_Dept'!G$4:G$31,'3)Target &amp; Cal_Dept'!$B$4:$B$31,'3)Target &amp; Cal_AD'!$B16,'3)Target &amp; Cal_Dept'!$A$4:$A$31,'3)Target &amp; Cal_AD'!$C16)</f>
        <v>12078</v>
      </c>
      <c r="H16" s="127">
        <f>SUMIFS('3)Target &amp; Cal_Dept'!H$4:H$31,'3)Target &amp; Cal_Dept'!$B$4:$B$31,'3)Target &amp; Cal_AD'!$B16,'3)Target &amp; Cal_Dept'!$A$4:$A$31,'3)Target &amp; Cal_AD'!$C16)</f>
        <v>14255</v>
      </c>
      <c r="I16" s="127">
        <f>SUMIFS('3)Target &amp; Cal_Dept'!I$4:I$31,'3)Target &amp; Cal_Dept'!$B$4:$B$31,'3)Target &amp; Cal_AD'!$B16,'3)Target &amp; Cal_Dept'!$A$4:$A$31,'3)Target &amp; Cal_AD'!$C16)</f>
        <v>12918.8</v>
      </c>
      <c r="J16" s="127">
        <f>SUMIFS('3)Target &amp; Cal_Dept'!J$4:J$31,'3)Target &amp; Cal_Dept'!$B$4:$B$31,'3)Target &amp; Cal_AD'!$B16,'3)Target &amp; Cal_Dept'!$A$4:$A$31,'3)Target &amp; Cal_AD'!$C16)</f>
        <v>17080.916666666599</v>
      </c>
      <c r="K16" s="127">
        <f>SUMIFS('3)Target &amp; Cal_Dept'!K$4:K$31,'3)Target &amp; Cal_Dept'!$B$4:$B$31,'3)Target &amp; Cal_AD'!$B16,'3)Target &amp; Cal_Dept'!$A$4:$A$31,'3)Target &amp; Cal_AD'!$C16)</f>
        <v>12321.316666666669</v>
      </c>
      <c r="L16" s="127">
        <v>33</v>
      </c>
      <c r="M16" s="127">
        <v>33</v>
      </c>
      <c r="N16" s="127">
        <v>33</v>
      </c>
      <c r="O16" s="127">
        <v>33</v>
      </c>
      <c r="P16" s="127">
        <f>SUMIFS('3)Target &amp; Cal_Dept'!P$4:P$32,'3)Target &amp; Cal_Dept'!$B$4:$B$32,'3)Target &amp; Cal_AD'!$B16,'3)Target &amp; Cal_Dept'!$A$4:$A$32,'3)Target &amp; Cal_AD'!$C16)</f>
        <v>24651.620000000003</v>
      </c>
      <c r="Q16" s="127">
        <f>SUMIFS('3)Target &amp; Cal_Dept'!Q$4:Q$32,'3)Target &amp; Cal_Dept'!$B$4:$B$32,'3)Target &amp; Cal_AD'!$B16,'3)Target &amp; Cal_Dept'!$A$4:$A$32,'3)Target &amp; Cal_AD'!$C16)</f>
        <v>0</v>
      </c>
      <c r="R16" s="127">
        <f>SUMIFS('3)Target &amp; Cal_Dept'!R$4:R$32,'3)Target &amp; Cal_Dept'!$B$4:$B$32,'3)Target &amp; Cal_AD'!$B16,'3)Target &amp; Cal_Dept'!$A$4:$A$32,'3)Target &amp; Cal_AD'!$C16)</f>
        <v>0</v>
      </c>
      <c r="S16" s="127">
        <f>SUMIFS('3)Target &amp; Cal_Dept'!S$4:S$32,'3)Target &amp; Cal_Dept'!$B$4:$B$32,'3)Target &amp; Cal_AD'!$B16,'3)Target &amp; Cal_Dept'!$A$4:$A$32,'3)Target &amp; Cal_AD'!$C16)</f>
        <v>0</v>
      </c>
      <c r="T16" s="127">
        <f>SUMIFS('3)Target &amp; Cal_Dept'!T$4:T$32,'3)Target &amp; Cal_Dept'!$B$4:$B$32,'3)Target &amp; Cal_AD'!$B16,'3)Target &amp; Cal_Dept'!$A$4:$A$32,'3)Target &amp; Cal_AD'!$C16)</f>
        <v>0</v>
      </c>
      <c r="U16" s="127">
        <f>SUMIFS('3)Target &amp; Cal_Dept'!U$4:U$32,'3)Target &amp; Cal_Dept'!$B$4:$B$32,'3)Target &amp; Cal_AD'!$B16,'3)Target &amp; Cal_Dept'!$A$4:$A$32,'3)Target &amp; Cal_AD'!$C16)</f>
        <v>0</v>
      </c>
      <c r="V16" s="127">
        <f>SUMIFS('3)Target &amp; Cal_Dept'!V$4:V$32,'3)Target &amp; Cal_Dept'!$B$4:$B$32,'3)Target &amp; Cal_AD'!$B16,'3)Target &amp; Cal_Dept'!$A$4:$A$32,'3)Target &amp; Cal_AD'!$C16)</f>
        <v>0</v>
      </c>
      <c r="W16" s="127">
        <f>SUMIFS('3)Target &amp; Cal_Dept'!W$4:W$32,'3)Target &amp; Cal_Dept'!$B$4:$B$32,'3)Target &amp; Cal_AD'!$B16,'3)Target &amp; Cal_Dept'!$A$4:$A$32,'3)Target &amp; Cal_AD'!$C16)</f>
        <v>0</v>
      </c>
      <c r="X16" s="127">
        <f>SUMIFS('3)Target &amp; Cal_Dept'!X$4:X$32,'3)Target &amp; Cal_Dept'!$B$4:$B$32,'3)Target &amp; Cal_AD'!$B16,'3)Target &amp; Cal_Dept'!$A$4:$A$32,'3)Target &amp; Cal_AD'!$C16)</f>
        <v>0</v>
      </c>
      <c r="Y16" s="127">
        <f>SUMIFS('3)Target &amp; Cal_Dept'!Y$4:Y$32,'3)Target &amp; Cal_Dept'!$B$4:$B$32,'3)Target &amp; Cal_AD'!$B16,'3)Target &amp; Cal_Dept'!$A$4:$A$32,'3)Target &amp; Cal_AD'!$C16)</f>
        <v>0</v>
      </c>
      <c r="Z16" s="127">
        <f>SUMIFS('3)Target &amp; Cal_Dept'!Z$4:Z$32,'3)Target &amp; Cal_Dept'!$B$4:$B$32,'3)Target &amp; Cal_AD'!$B16,'3)Target &amp; Cal_Dept'!$A$4:$A$32,'3)Target &amp; Cal_AD'!$C16)</f>
        <v>0</v>
      </c>
      <c r="AA16" s="127">
        <f>SUMIFS('3)Target &amp; Cal_Dept'!AA$4:AA$32,'3)Target &amp; Cal_Dept'!$B$4:$B$32,'3)Target &amp; Cal_AD'!$B16,'3)Target &amp; Cal_Dept'!$A$4:$A$32,'3)Target &amp; Cal_AD'!$C16)</f>
        <v>0</v>
      </c>
      <c r="AB16" s="132">
        <f>IFERROR(IF(VLOOKUP($B16,Shortage!$A:$M,AB$2,FALSE)="Shortage",1,IFERROR(ROUND(P16/D16,4),0)),IFERROR(ROUND(P16/D16,4),0))</f>
        <v>1.7193000000000001</v>
      </c>
      <c r="AC16" s="132">
        <f>IFERROR(IF(VLOOKUP($B16,Shortage!$A:$M,AC$2,FALSE)="Shortage",1,IFERROR(ROUND(Q16/E16,4),0)),IFERROR(ROUND(Q16/E16,4),0))</f>
        <v>0</v>
      </c>
      <c r="AD16" s="132">
        <f>IFERROR(IF(VLOOKUP($B16,Shortage!$A:$M,AD$2,FALSE)="Shortage",1,IFERROR(ROUND(R16/F16,4),0)),IFERROR(ROUND(R16/F16,4),0))</f>
        <v>0</v>
      </c>
      <c r="AE16" s="132">
        <f>IFERROR(IF(VLOOKUP($B16,Shortage!$A:$M,AE$2,FALSE)="Shortage",1,IFERROR(ROUND(S16/G16,4),0)),IFERROR(ROUND(S16/G16,4),0))</f>
        <v>0</v>
      </c>
      <c r="AF16" s="132">
        <f>IFERROR(IF(VLOOKUP($B16,Shortage!$A:$M,AF$2,FALSE)="Shortage",1,IFERROR(ROUND(T16/H16,4),0)),IFERROR(ROUND(T16/H16,4),0))</f>
        <v>0</v>
      </c>
      <c r="AG16" s="132">
        <f>IFERROR(IF(VLOOKUP($B16,Shortage!$A:$M,AG$2,FALSE)="Shortage",1,IFERROR(ROUND(U16/I16,4),0)),IFERROR(ROUND(U16/I16,4),0))</f>
        <v>0</v>
      </c>
      <c r="AH16" s="132">
        <f>IFERROR(IF(VLOOKUP($B16,Shortage!$A:$M,AH$2,FALSE)="Shortage",1,IFERROR(ROUND(V16/J16,4),0)),IFERROR(ROUND(V16/J16,4),0))</f>
        <v>0</v>
      </c>
      <c r="AI16" s="132">
        <f>IFERROR(IF(VLOOKUP($B16,Shortage!$A:$M,AI$2,FALSE)="Shortage",1,IFERROR(ROUND(W16/K16,4),0)),IFERROR(ROUND(W16/K16,4),0))</f>
        <v>0</v>
      </c>
      <c r="AJ16" s="132">
        <f>IFERROR(IF(VLOOKUP($B16,Shortage!$A:$M,AJ$2,FALSE)="Shortage",1,IFERROR(ROUND(X16/L16,4),0)),IFERROR(ROUND(X16/L16,4),0))</f>
        <v>0</v>
      </c>
      <c r="AK16" s="132">
        <f>IFERROR(IF(VLOOKUP($B16,Shortage!$A:$M,AK$2,FALSE)="Shortage",1,IFERROR(ROUND(Y16/M16,4),0)),IFERROR(ROUND(Y16/M16,4),0))</f>
        <v>0</v>
      </c>
      <c r="AL16" s="132">
        <f>IFERROR(IF(VLOOKUP($B16,Shortage!$A:$M,AL$2,FALSE)="Shortage",1,IFERROR(ROUND(Z16/N16,4),0)),IFERROR(ROUND(Z16/N16,4),0))</f>
        <v>0</v>
      </c>
      <c r="AM16" s="132">
        <f>IFERROR(IF(VLOOKUP($B16,Shortage!$A:$M,AM$2,FALSE)="Shortage",1,IFERROR(ROUND(AA16/O16,4),0)),IFERROR(ROUND(AA16/O16,4),0))</f>
        <v>0</v>
      </c>
      <c r="AN16" s="186">
        <f>IFERROR(_xlfn.XLOOKUP(AB16,'2) หลักการคำนวน Table'!$C$3:$K$3,'2) หลักการคำนวน Table'!$C$3:$K$3,,1),INDEX('2) หลักการคำนวน Table'!$C$3:$K$3,1))</f>
        <v>20</v>
      </c>
      <c r="AO16" s="186">
        <f>IFERROR(
  _xlfn.XLOOKUP(AC16,'2) หลักการคำนวน Table'!$C$3:$K$3,'2) หลักการคำนวน Table'!$C$3:$K$3,,1),
  IF(AC16&lt;MIN('2) หลักการคำนวน Table'!$C$3:$K$3),
     MIN('2) หลักการคำนวน Table'!$C$3:$K$3),
     MAX('2) หลักการคำนวน Table'!$C$3:$K$3)
  )
)</f>
        <v>0.9</v>
      </c>
      <c r="AP16" s="186">
        <f>IFERROR(
  _xlfn.XLOOKUP(AD16,'2) หลักการคำนวน Table'!$C$3:$K$3,'2) หลักการคำนวน Table'!$C$3:$K$3,,1),
  IF(AD16&lt;MIN('2) หลักการคำนวน Table'!$C$3:$K$3),
     MIN('2) หลักการคำนวน Table'!$C$3:$K$3),
     MAX('2) หลักการคำนวน Table'!$C$3:$K$3)
  )
)</f>
        <v>0.9</v>
      </c>
      <c r="AQ16" s="186">
        <f>IFERROR(
  _xlfn.XLOOKUP(AE16,'2) หลักการคำนวน Table'!$C$3:$K$3,'2) หลักการคำนวน Table'!$C$3:$K$3,,1),
  IF(AE16&lt;MIN('2) หลักการคำนวน Table'!$C$3:$K$3),
     MIN('2) หลักการคำนวน Table'!$C$3:$K$3),
     MAX('2) หลักการคำนวน Table'!$C$3:$K$3)
  )
)</f>
        <v>0.9</v>
      </c>
      <c r="AR16" s="186">
        <f>IFERROR(
  _xlfn.XLOOKUP(AF16,'2) หลักการคำนวน Table'!$C$3:$K$3,'2) หลักการคำนวน Table'!$C$3:$K$3,,1),
  IF(AF16&lt;MIN('2) หลักการคำนวน Table'!$C$3:$K$3),
     MIN('2) หลักการคำนวน Table'!$C$3:$K$3),
     MAX('2) หลักการคำนวน Table'!$C$3:$K$3)
  )
)</f>
        <v>0.9</v>
      </c>
      <c r="AS16" s="186">
        <f>IFERROR(
  _xlfn.XLOOKUP(AG16,'2) หลักการคำนวน Table'!$C$3:$K$3,'2) หลักการคำนวน Table'!$C$3:$K$3,,1),
  IF(AG16&lt;MIN('2) หลักการคำนวน Table'!$C$3:$K$3),
     MIN('2) หลักการคำนวน Table'!$C$3:$K$3),
     MAX('2) หลักการคำนวน Table'!$C$3:$K$3)
  )
)</f>
        <v>0.9</v>
      </c>
      <c r="AT16" s="186">
        <f>IFERROR(
  _xlfn.XLOOKUP(AH16,'2) หลักการคำนวน Table'!$C$3:$K$3,'2) หลักการคำนวน Table'!$C$3:$K$3,,1),
  IF(AH16&lt;MIN('2) หลักการคำนวน Table'!$C$3:$K$3),
     MIN('2) หลักการคำนวน Table'!$C$3:$K$3),
     MAX('2) หลักการคำนวน Table'!$C$3:$K$3)
  )
)</f>
        <v>0.9</v>
      </c>
      <c r="AU16" s="186">
        <f>IFERROR(
  _xlfn.XLOOKUP(AI16,'2) หลักการคำนวน Table'!$C$3:$K$3,'2) หลักการคำนวน Table'!$C$3:$K$3,,1),
  IF(AI16&lt;MIN('2) หลักการคำนวน Table'!$C$3:$K$3),
     MIN('2) หลักการคำนวน Table'!$C$3:$K$3),
     MAX('2) หลักการคำนวน Table'!$C$3:$K$3)
  )
)</f>
        <v>0.9</v>
      </c>
      <c r="AV16" s="186">
        <f>IFERROR(
  _xlfn.XLOOKUP(AJ16,'2) หลักการคำนวน Table'!$C$3:$K$3,'2) หลักการคำนวน Table'!$C$3:$K$3,,1),
  IF(AJ16&lt;MIN('2) หลักการคำนวน Table'!$C$3:$K$3),
     MIN('2) หลักการคำนวน Table'!$C$3:$K$3),
     MAX('2) หลักการคำนวน Table'!$C$3:$K$3)
  )
)</f>
        <v>0.9</v>
      </c>
      <c r="AW16" s="186">
        <f>IFERROR(
  _xlfn.XLOOKUP(AK16,'2) หลักการคำนวน Table'!$C$3:$K$3,'2) หลักการคำนวน Table'!$C$3:$K$3,,1),
  IF(AK16&lt;MIN('2) หลักการคำนวน Table'!$C$3:$K$3),
     MIN('2) หลักการคำนวน Table'!$C$3:$K$3),
     MAX('2) หลักการคำนวน Table'!$C$3:$K$3)
  )
)</f>
        <v>0.9</v>
      </c>
      <c r="AX16" s="186">
        <f>IFERROR(
  _xlfn.XLOOKUP(AL16,'2) หลักการคำนวน Table'!$C$3:$K$3,'2) หลักการคำนวน Table'!$C$3:$K$3,,1),
  IF(AL16&lt;MIN('2) หลักการคำนวน Table'!$C$3:$K$3),
     MIN('2) หลักการคำนวน Table'!$C$3:$K$3),
     MAX('2) หลักการคำนวน Table'!$C$3:$K$3)
  )
)</f>
        <v>0.9</v>
      </c>
      <c r="AY16" s="186">
        <f>IFERROR(
  _xlfn.XLOOKUP(AM16,'2) หลักการคำนวน Table'!$C$3:$K$3,'2) หลักการคำนวน Table'!$C$3:$K$3,,1),
  IF(AM16&lt;MIN('2) หลักการคำนวน Table'!$C$3:$K$3),
     MIN('2) หลักการคำนวน Table'!$C$3:$K$3),
     MAX('2) หลักการคำนวน Table'!$C$3:$K$3)
  )
)</f>
        <v>0.9</v>
      </c>
      <c r="AZ16" s="135" t="e" cm="1">
        <f t="array" ref="AZ16">(_xlfn.XLOOKUP($C16,'2) หลักการคำนวน Table'!$A$4:$A$36,
_xlfn.XLOOKUP(AN16,'2)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A16" s="135" t="e" cm="1">
        <f t="array" ref="BA16">(_xlfn.XLOOKUP($C16,'2) หลักการคำนวน Table'!$A$4:$A$36,
_xlfn.XLOOKUP(AO16,'2)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B16" s="135" t="e" cm="1">
        <f t="array" ref="BB16">(_xlfn.XLOOKUP($C16,'2) หลักการคำนวน Table'!$A$4:$A$36,
_xlfn.XLOOKUP(AP16,'2)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C16" s="135" t="e" cm="1">
        <f t="array" ref="BC16">(_xlfn.XLOOKUP($C16,'2) หลักการคำนวน Table'!$A$4:$A$36,
_xlfn.XLOOKUP(AQ16,'2)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D16" s="135" t="e" cm="1">
        <f t="array" ref="BD16">(_xlfn.XLOOKUP($C16,'2) หลักการคำนวน Table'!$A$4:$A$36,
_xlfn.XLOOKUP(AR16,'2)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E16" s="135" t="e" cm="1">
        <f t="array" ref="BE16">(_xlfn.XLOOKUP($C16,'2) หลักการคำนวน Table'!$A$4:$A$36,
_xlfn.XLOOKUP(AS16,'2)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F16" s="135" t="e" cm="1">
        <f t="array" ref="BF16">(_xlfn.XLOOKUP($C16,'2) หลักการคำนวน Table'!$A$4:$A$36,
_xlfn.XLOOKUP(AT16,'2)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G16" s="135" t="e" cm="1">
        <f t="array" ref="BG16">(_xlfn.XLOOKUP($C16,'2) หลักการคำนวน Table'!$A$4:$A$36,
_xlfn.XLOOKUP(AU16,'2)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</f>
        <v>#N/A</v>
      </c>
      <c r="BH16" s="135" t="e" cm="1">
        <f t="array" ref="BH16">ROUND((_xlfn.XLOOKUP($C16,'2) หลักการคำนวน Table'!$A$4:$A$36,
_xlfn.XLOOKUP(AV16,'2)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I16" s="135" t="e" cm="1">
        <f t="array" ref="BI16">ROUND((_xlfn.XLOOKUP($C16,'2) หลักการคำนวน Table'!$A$4:$A$36,
_xlfn.XLOOKUP(AW16,'2)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J16" s="135" t="e" cm="1">
        <f t="array" ref="BJ16">ROUND((_xlfn.XLOOKUP($C16,'2) หลักการคำนวน Table'!$A$4:$A$36,
_xlfn.XLOOKUP(AX16,'2)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K16" s="135" t="e" cm="1">
        <f t="array" ref="BK16">ROUND((_xlfn.XLOOKUP($C16,'2) หลักการคำนวน Table'!$A$4:$A$36,
_xlfn.XLOOKUP(AY16,'2) หลักการคำนวน Table'!$C$3:$K$3,'2) หลักการคำนวน Table'!$C$4:$K$36,,-1)))*(_xlfn.XLOOKUP($C16,'2) หลักการคำนวน Table'!$A$4:$A$36, _xlfn.XLOOKUP($B16,'2) หลักการคำนวน Table'!$L$3:$Z$3,'2) หลักการคำนวน Table'!$L$4:$Z$36))),0)</f>
        <v>#N/A</v>
      </c>
      <c r="BL16" s="239"/>
      <c r="BM16" s="126">
        <v>222222</v>
      </c>
      <c r="BN16" s="245">
        <v>780</v>
      </c>
    </row>
    <row r="17" spans="1:66" ht="13.2" customHeight="1" x14ac:dyDescent="0.25">
      <c r="A17" s="128" t="e">
        <f>VLOOKUP(C17,ASTBase!F:S,12,FALSE)</f>
        <v>#N/A</v>
      </c>
      <c r="B17" s="126" t="s">
        <v>417</v>
      </c>
      <c r="C17" s="128">
        <v>222222</v>
      </c>
      <c r="D17" s="127">
        <f>SUMIFS('3)Target &amp; Cal_Dept'!D$4:D$31,'3)Target &amp; Cal_Dept'!$B$4:$B$31,'3)Target &amp; Cal_AD'!$B17,'3)Target &amp; Cal_Dept'!$A$4:$A$31,'3)Target &amp; Cal_AD'!$C17)</f>
        <v>360</v>
      </c>
      <c r="E17" s="127">
        <f>SUMIFS('3)Target &amp; Cal_Dept'!E$4:E$31,'3)Target &amp; Cal_Dept'!$B$4:$B$31,'3)Target &amp; Cal_AD'!$B17,'3)Target &amp; Cal_Dept'!$A$4:$A$31,'3)Target &amp; Cal_AD'!$C17)</f>
        <v>68</v>
      </c>
      <c r="F17" s="127">
        <f>SUMIFS('3)Target &amp; Cal_Dept'!F$4:F$31,'3)Target &amp; Cal_Dept'!$B$4:$B$31,'3)Target &amp; Cal_AD'!$B17,'3)Target &amp; Cal_Dept'!$A$4:$A$31,'3)Target &amp; Cal_AD'!$C17)</f>
        <v>120</v>
      </c>
      <c r="G17" s="127">
        <f>SUMIFS('3)Target &amp; Cal_Dept'!G$4:G$31,'3)Target &amp; Cal_Dept'!$B$4:$B$31,'3)Target &amp; Cal_AD'!$B17,'3)Target &amp; Cal_Dept'!$A$4:$A$31,'3)Target &amp; Cal_AD'!$C17)</f>
        <v>118</v>
      </c>
      <c r="H17" s="127">
        <f>SUMIFS('3)Target &amp; Cal_Dept'!H$4:H$31,'3)Target &amp; Cal_Dept'!$B$4:$B$31,'3)Target &amp; Cal_AD'!$B17,'3)Target &amp; Cal_Dept'!$A$4:$A$31,'3)Target &amp; Cal_AD'!$C17)</f>
        <v>120</v>
      </c>
      <c r="I17" s="127">
        <f>SUMIFS('3)Target &amp; Cal_Dept'!I$4:I$31,'3)Target &amp; Cal_Dept'!$B$4:$B$31,'3)Target &amp; Cal_AD'!$B17,'3)Target &amp; Cal_Dept'!$A$4:$A$31,'3)Target &amp; Cal_AD'!$C17)</f>
        <v>125</v>
      </c>
      <c r="J17" s="127">
        <f>SUMIFS('3)Target &amp; Cal_Dept'!J$4:J$31,'3)Target &amp; Cal_Dept'!$B$4:$B$31,'3)Target &amp; Cal_AD'!$B17,'3)Target &amp; Cal_Dept'!$A$4:$A$31,'3)Target &amp; Cal_AD'!$C17)</f>
        <v>125</v>
      </c>
      <c r="K17" s="127">
        <f>SUMIFS('3)Target &amp; Cal_Dept'!K$4:K$31,'3)Target &amp; Cal_Dept'!$B$4:$B$31,'3)Target &amp; Cal_AD'!$B17,'3)Target &amp; Cal_Dept'!$A$4:$A$31,'3)Target &amp; Cal_AD'!$C17)</f>
        <v>118</v>
      </c>
      <c r="L17" s="127">
        <v>4099.7559999999994</v>
      </c>
      <c r="M17" s="127">
        <v>4026</v>
      </c>
      <c r="N17" s="127">
        <v>3097</v>
      </c>
      <c r="O17" s="127">
        <v>4223</v>
      </c>
      <c r="P17" s="127">
        <f>SUMIFS('3)Target &amp; Cal_Dept'!P$4:P$32,'3)Target &amp; Cal_Dept'!$B$4:$B$32,'3)Target &amp; Cal_AD'!$B17,'3)Target &amp; Cal_Dept'!$A$4:$A$32,'3)Target &amp; Cal_AD'!$C17)</f>
        <v>273.99999998402399</v>
      </c>
      <c r="Q17" s="127">
        <f>SUMIFS('3)Target &amp; Cal_Dept'!Q$4:Q$32,'3)Target &amp; Cal_Dept'!$B$4:$B$32,'3)Target &amp; Cal_AD'!$B17,'3)Target &amp; Cal_Dept'!$A$4:$A$32,'3)Target &amp; Cal_AD'!$C17)</f>
        <v>0</v>
      </c>
      <c r="R17" s="127">
        <f>SUMIFS('3)Target &amp; Cal_Dept'!R$4:R$32,'3)Target &amp; Cal_Dept'!$B$4:$B$32,'3)Target &amp; Cal_AD'!$B17,'3)Target &amp; Cal_Dept'!$A$4:$A$32,'3)Target &amp; Cal_AD'!$C17)</f>
        <v>0</v>
      </c>
      <c r="S17" s="127">
        <f>SUMIFS('3)Target &amp; Cal_Dept'!S$4:S$32,'3)Target &amp; Cal_Dept'!$B$4:$B$32,'3)Target &amp; Cal_AD'!$B17,'3)Target &amp; Cal_Dept'!$A$4:$A$32,'3)Target &amp; Cal_AD'!$C17)</f>
        <v>0</v>
      </c>
      <c r="T17" s="127">
        <f>SUMIFS('3)Target &amp; Cal_Dept'!T$4:T$32,'3)Target &amp; Cal_Dept'!$B$4:$B$32,'3)Target &amp; Cal_AD'!$B17,'3)Target &amp; Cal_Dept'!$A$4:$A$32,'3)Target &amp; Cal_AD'!$C17)</f>
        <v>0</v>
      </c>
      <c r="U17" s="127">
        <f>SUMIFS('3)Target &amp; Cal_Dept'!U$4:U$32,'3)Target &amp; Cal_Dept'!$B$4:$B$32,'3)Target &amp; Cal_AD'!$B17,'3)Target &amp; Cal_Dept'!$A$4:$A$32,'3)Target &amp; Cal_AD'!$C17)</f>
        <v>0</v>
      </c>
      <c r="V17" s="127">
        <f>SUMIFS('3)Target &amp; Cal_Dept'!V$4:V$32,'3)Target &amp; Cal_Dept'!$B$4:$B$32,'3)Target &amp; Cal_AD'!$B17,'3)Target &amp; Cal_Dept'!$A$4:$A$32,'3)Target &amp; Cal_AD'!$C17)</f>
        <v>0</v>
      </c>
      <c r="W17" s="127">
        <f>SUMIFS('3)Target &amp; Cal_Dept'!W$4:W$32,'3)Target &amp; Cal_Dept'!$B$4:$B$32,'3)Target &amp; Cal_AD'!$B17,'3)Target &amp; Cal_Dept'!$A$4:$A$32,'3)Target &amp; Cal_AD'!$C17)</f>
        <v>0</v>
      </c>
      <c r="X17" s="127">
        <f>SUMIFS('3)Target &amp; Cal_Dept'!X$4:X$32,'3)Target &amp; Cal_Dept'!$B$4:$B$32,'3)Target &amp; Cal_AD'!$B17,'3)Target &amp; Cal_Dept'!$A$4:$A$32,'3)Target &amp; Cal_AD'!$C17)</f>
        <v>0</v>
      </c>
      <c r="Y17" s="127">
        <f>SUMIFS('3)Target &amp; Cal_Dept'!Y$4:Y$32,'3)Target &amp; Cal_Dept'!$B$4:$B$32,'3)Target &amp; Cal_AD'!$B17,'3)Target &amp; Cal_Dept'!$A$4:$A$32,'3)Target &amp; Cal_AD'!$C17)</f>
        <v>0</v>
      </c>
      <c r="Z17" s="127">
        <f>SUMIFS('3)Target &amp; Cal_Dept'!Z$4:Z$32,'3)Target &amp; Cal_Dept'!$B$4:$B$32,'3)Target &amp; Cal_AD'!$B17,'3)Target &amp; Cal_Dept'!$A$4:$A$32,'3)Target &amp; Cal_AD'!$C17)</f>
        <v>0</v>
      </c>
      <c r="AA17" s="127">
        <f>SUMIFS('3)Target &amp; Cal_Dept'!AA$4:AA$32,'3)Target &amp; Cal_Dept'!$B$4:$B$32,'3)Target &amp; Cal_AD'!$B17,'3)Target &amp; Cal_Dept'!$A$4:$A$32,'3)Target &amp; Cal_AD'!$C17)</f>
        <v>0</v>
      </c>
      <c r="AB17" s="132">
        <f>IFERROR(IF(VLOOKUP($B17,Shortage!$A:$M,AB$2,FALSE)="Shortage",1,IFERROR(ROUND(P17/D17,4),0)),IFERROR(ROUND(P17/D17,4),0))</f>
        <v>0.7611</v>
      </c>
      <c r="AC17" s="132">
        <f>IFERROR(IF(VLOOKUP($B17,Shortage!$A:$M,AC$2,FALSE)="Shortage",1,IFERROR(ROUND(Q17/E17,4),0)),IFERROR(ROUND(Q17/E17,4),0))</f>
        <v>0</v>
      </c>
      <c r="AD17" s="132">
        <f>IFERROR(IF(VLOOKUP($B17,Shortage!$A:$M,AD$2,FALSE)="Shortage",1,IFERROR(ROUND(R17/F17,4),0)),IFERROR(ROUND(R17/F17,4),0))</f>
        <v>0</v>
      </c>
      <c r="AE17" s="132">
        <f>IFERROR(IF(VLOOKUP($B17,Shortage!$A:$M,AE$2,FALSE)="Shortage",1,IFERROR(ROUND(S17/G17,4),0)),IFERROR(ROUND(S17/G17,4),0))</f>
        <v>0</v>
      </c>
      <c r="AF17" s="132">
        <f>IFERROR(IF(VLOOKUP($B17,Shortage!$A:$M,AF$2,FALSE)="Shortage",1,IFERROR(ROUND(T17/H17,4),0)),IFERROR(ROUND(T17/H17,4),0))</f>
        <v>0</v>
      </c>
      <c r="AG17" s="132">
        <f>IFERROR(IF(VLOOKUP($B17,Shortage!$A:$M,AG$2,FALSE)="Shortage",1,IFERROR(ROUND(U17/I17,4),0)),IFERROR(ROUND(U17/I17,4),0))</f>
        <v>0</v>
      </c>
      <c r="AH17" s="132">
        <f>IFERROR(IF(VLOOKUP($B17,Shortage!$A:$M,AH$2,FALSE)="Shortage",1,IFERROR(ROUND(V17/J17,4),0)),IFERROR(ROUND(V17/J17,4),0))</f>
        <v>0</v>
      </c>
      <c r="AI17" s="132">
        <f>IFERROR(IF(VLOOKUP($B17,Shortage!$A:$M,AI$2,FALSE)="Shortage",1,IFERROR(ROUND(W17/K17,4),0)),IFERROR(ROUND(W17/K17,4),0))</f>
        <v>0</v>
      </c>
      <c r="AJ17" s="132">
        <f>IFERROR(IF(VLOOKUP($B17,Shortage!$A:$M,AJ$2,FALSE)="Shortage",1,IFERROR(ROUND(X17/L17,4),0)),IFERROR(ROUND(X17/L17,4),0))</f>
        <v>0</v>
      </c>
      <c r="AK17" s="132">
        <f>IFERROR(IF(VLOOKUP($B17,Shortage!$A:$M,AK$2,FALSE)="Shortage",1,IFERROR(ROUND(Y17/M17,4),0)),IFERROR(ROUND(Y17/M17,4),0))</f>
        <v>0</v>
      </c>
      <c r="AL17" s="132">
        <f>IFERROR(IF(VLOOKUP($B17,Shortage!$A:$M,AL$2,FALSE)="Shortage",1,IFERROR(ROUND(Z17/N17,4),0)),IFERROR(ROUND(Z17/N17,4),0))</f>
        <v>0</v>
      </c>
      <c r="AM17" s="132">
        <f>IFERROR(IF(VLOOKUP($B17,Shortage!$A:$M,AM$2,FALSE)="Shortage",1,IFERROR(ROUND(AA17/O17,4),0)),IFERROR(ROUND(AA17/O17,4),0))</f>
        <v>0</v>
      </c>
      <c r="AN17" s="186">
        <f>IFERROR(_xlfn.XLOOKUP(AB17,'2) หลักการคำนวน Table'!$C$3:$K$3,'2) หลักการคำนวน Table'!$C$3:$K$3,,1),INDEX('2) หลักการคำนวน Table'!$C$3:$K$3,1))</f>
        <v>0.9</v>
      </c>
      <c r="AO17" s="186">
        <f>IFERROR(
  _xlfn.XLOOKUP(AC17,'2) หลักการคำนวน Table'!$C$3:$K$3,'2) หลักการคำนวน Table'!$C$3:$K$3,,1),
  IF(AC17&lt;MIN('2) หลักการคำนวน Table'!$C$3:$K$3),
     MIN('2) หลักการคำนวน Table'!$C$3:$K$3),
     MAX('2) หลักการคำนวน Table'!$C$3:$K$3)
  )
)</f>
        <v>0.9</v>
      </c>
      <c r="AP17" s="186">
        <f>IFERROR(
  _xlfn.XLOOKUP(AD17,'2) หลักการคำนวน Table'!$C$3:$K$3,'2) หลักการคำนวน Table'!$C$3:$K$3,,1),
  IF(AD17&lt;MIN('2) หลักการคำนวน Table'!$C$3:$K$3),
     MIN('2) หลักการคำนวน Table'!$C$3:$K$3),
     MAX('2) หลักการคำนวน Table'!$C$3:$K$3)
  )
)</f>
        <v>0.9</v>
      </c>
      <c r="AQ17" s="186">
        <f>IFERROR(
  _xlfn.XLOOKUP(AE17,'2) หลักการคำนวน Table'!$C$3:$K$3,'2) หลักการคำนวน Table'!$C$3:$K$3,,1),
  IF(AE17&lt;MIN('2) หลักการคำนวน Table'!$C$3:$K$3),
     MIN('2) หลักการคำนวน Table'!$C$3:$K$3),
     MAX('2) หลักการคำนวน Table'!$C$3:$K$3)
  )
)</f>
        <v>0.9</v>
      </c>
      <c r="AR17" s="186">
        <f>IFERROR(
  _xlfn.XLOOKUP(AF17,'2) หลักการคำนวน Table'!$C$3:$K$3,'2) หลักการคำนวน Table'!$C$3:$K$3,,1),
  IF(AF17&lt;MIN('2) หลักการคำนวน Table'!$C$3:$K$3),
     MIN('2) หลักการคำนวน Table'!$C$3:$K$3),
     MAX('2) หลักการคำนวน Table'!$C$3:$K$3)
  )
)</f>
        <v>0.9</v>
      </c>
      <c r="AS17" s="186">
        <f>IFERROR(
  _xlfn.XLOOKUP(AG17,'2) หลักการคำนวน Table'!$C$3:$K$3,'2) หลักการคำนวน Table'!$C$3:$K$3,,1),
  IF(AG17&lt;MIN('2) หลักการคำนวน Table'!$C$3:$K$3),
     MIN('2) หลักการคำนวน Table'!$C$3:$K$3),
     MAX('2) หลักการคำนวน Table'!$C$3:$K$3)
  )
)</f>
        <v>0.9</v>
      </c>
      <c r="AT17" s="186">
        <f>IFERROR(
  _xlfn.XLOOKUP(AH17,'2) หลักการคำนวน Table'!$C$3:$K$3,'2) หลักการคำนวน Table'!$C$3:$K$3,,1),
  IF(AH17&lt;MIN('2) หลักการคำนวน Table'!$C$3:$K$3),
     MIN('2) หลักการคำนวน Table'!$C$3:$K$3),
     MAX('2) หลักการคำนวน Table'!$C$3:$K$3)
  )
)</f>
        <v>0.9</v>
      </c>
      <c r="AU17" s="186">
        <f>IFERROR(
  _xlfn.XLOOKUP(AI17,'2) หลักการคำนวน Table'!$C$3:$K$3,'2) หลักการคำนวน Table'!$C$3:$K$3,,1),
  IF(AI17&lt;MIN('2) หลักการคำนวน Table'!$C$3:$K$3),
     MIN('2) หลักการคำนวน Table'!$C$3:$K$3),
     MAX('2) หลักการคำนวน Table'!$C$3:$K$3)
  )
)</f>
        <v>0.9</v>
      </c>
      <c r="AV17" s="186">
        <f>IFERROR(
  _xlfn.XLOOKUP(AJ17,'2) หลักการคำนวน Table'!$C$3:$K$3,'2) หลักการคำนวน Table'!$C$3:$K$3,,1),
  IF(AJ17&lt;MIN('2) หลักการคำนวน Table'!$C$3:$K$3),
     MIN('2) หลักการคำนวน Table'!$C$3:$K$3),
     MAX('2) หลักการคำนวน Table'!$C$3:$K$3)
  )
)</f>
        <v>0.9</v>
      </c>
      <c r="AW17" s="186">
        <f>IFERROR(
  _xlfn.XLOOKUP(AK17,'2) หลักการคำนวน Table'!$C$3:$K$3,'2) หลักการคำนวน Table'!$C$3:$K$3,,1),
  IF(AK17&lt;MIN('2) หลักการคำนวน Table'!$C$3:$K$3),
     MIN('2) หลักการคำนวน Table'!$C$3:$K$3),
     MAX('2) หลักการคำนวน Table'!$C$3:$K$3)
  )
)</f>
        <v>0.9</v>
      </c>
      <c r="AX17" s="186">
        <f>IFERROR(
  _xlfn.XLOOKUP(AL17,'2) หลักการคำนวน Table'!$C$3:$K$3,'2) หลักการคำนวน Table'!$C$3:$K$3,,1),
  IF(AL17&lt;MIN('2) หลักการคำนวน Table'!$C$3:$K$3),
     MIN('2) หลักการคำนวน Table'!$C$3:$K$3),
     MAX('2) หลักการคำนวน Table'!$C$3:$K$3)
  )
)</f>
        <v>0.9</v>
      </c>
      <c r="AY17" s="186">
        <f>IFERROR(
  _xlfn.XLOOKUP(AM17,'2) หลักการคำนวน Table'!$C$3:$K$3,'2) หลักการคำนวน Table'!$C$3:$K$3,,1),
  IF(AM17&lt;MIN('2) หลักการคำนวน Table'!$C$3:$K$3),
     MIN('2) หลักการคำนวน Table'!$C$3:$K$3),
     MAX('2) หลักการคำนวน Table'!$C$3:$K$3)
  )
)</f>
        <v>0.9</v>
      </c>
      <c r="AZ17" s="135" t="e" cm="1">
        <f t="array" ref="AZ17">(_xlfn.XLOOKUP($C17,'2) หลักการคำนวน Table'!$A$4:$A$36,
_xlfn.XLOOKUP(AN17,'2)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A17" s="135" t="e" cm="1">
        <f t="array" ref="BA17">(_xlfn.XLOOKUP($C17,'2) หลักการคำนวน Table'!$A$4:$A$36,
_xlfn.XLOOKUP(AO17,'2)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B17" s="135" t="e" cm="1">
        <f t="array" ref="BB17">(_xlfn.XLOOKUP($C17,'2) หลักการคำนวน Table'!$A$4:$A$36,
_xlfn.XLOOKUP(AP17,'2)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C17" s="135" t="e" cm="1">
        <f t="array" ref="BC17">(_xlfn.XLOOKUP($C17,'2) หลักการคำนวน Table'!$A$4:$A$36,
_xlfn.XLOOKUP(AQ17,'2)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D17" s="135" t="e" cm="1">
        <f t="array" ref="BD17">(_xlfn.XLOOKUP($C17,'2) หลักการคำนวน Table'!$A$4:$A$36,
_xlfn.XLOOKUP(AR17,'2)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E17" s="135" t="e" cm="1">
        <f t="array" ref="BE17">(_xlfn.XLOOKUP($C17,'2) หลักการคำนวน Table'!$A$4:$A$36,
_xlfn.XLOOKUP(AS17,'2)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F17" s="135" t="e" cm="1">
        <f t="array" ref="BF17">(_xlfn.XLOOKUP($C17,'2) หลักการคำนวน Table'!$A$4:$A$36,
_xlfn.XLOOKUP(AT17,'2)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G17" s="135" t="e" cm="1">
        <f t="array" ref="BG17">(_xlfn.XLOOKUP($C17,'2) หลักการคำนวน Table'!$A$4:$A$36,
_xlfn.XLOOKUP(AU17,'2)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</f>
        <v>#N/A</v>
      </c>
      <c r="BH17" s="135" t="e" cm="1">
        <f t="array" ref="BH17">ROUND((_xlfn.XLOOKUP($C17,'2) หลักการคำนวน Table'!$A$4:$A$36,
_xlfn.XLOOKUP(AV17,'2)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I17" s="135" t="e" cm="1">
        <f t="array" ref="BI17">ROUND((_xlfn.XLOOKUP($C17,'2) หลักการคำนวน Table'!$A$4:$A$36,
_xlfn.XLOOKUP(AW17,'2)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J17" s="135" t="e" cm="1">
        <f t="array" ref="BJ17">ROUND((_xlfn.XLOOKUP($C17,'2) หลักการคำนวน Table'!$A$4:$A$36,
_xlfn.XLOOKUP(AX17,'2)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K17" s="135" t="e" cm="1">
        <f t="array" ref="BK17">ROUND((_xlfn.XLOOKUP($C17,'2) หลักการคำนวน Table'!$A$4:$A$36,
_xlfn.XLOOKUP(AY17,'2) หลักการคำนวน Table'!$C$3:$K$3,'2) หลักการคำนวน Table'!$C$4:$K$36,,-1)))*(_xlfn.XLOOKUP($C17,'2) หลักการคำนวน Table'!$A$4:$A$36, _xlfn.XLOOKUP($B17,'2) หลักการคำนวน Table'!$L$3:$Z$3,'2) หลักการคำนวน Table'!$L$4:$Z$36))),0)</f>
        <v>#N/A</v>
      </c>
      <c r="BL17" s="239"/>
      <c r="BM17" s="126">
        <v>222222</v>
      </c>
      <c r="BN17" s="245">
        <v>432</v>
      </c>
    </row>
    <row r="18" spans="1:66" ht="13.2" customHeight="1" x14ac:dyDescent="0.25">
      <c r="A18" s="128" t="e">
        <f>VLOOKUP(C18,ASTBase!F:S,12,FALSE)</f>
        <v>#N/A</v>
      </c>
      <c r="B18" s="126" t="s">
        <v>419</v>
      </c>
      <c r="C18" s="128">
        <v>222222</v>
      </c>
      <c r="D18" s="127">
        <f>SUMIFS('3)Target &amp; Cal_Dept'!D$4:D$31,'3)Target &amp; Cal_Dept'!$B$4:$B$31,'3)Target &amp; Cal_AD'!$B18,'3)Target &amp; Cal_Dept'!$A$4:$A$31,'3)Target &amp; Cal_AD'!$C18)</f>
        <v>56</v>
      </c>
      <c r="E18" s="127">
        <f>SUMIFS('3)Target &amp; Cal_Dept'!E$4:E$31,'3)Target &amp; Cal_Dept'!$B$4:$B$31,'3)Target &amp; Cal_AD'!$B18,'3)Target &amp; Cal_Dept'!$A$4:$A$31,'3)Target &amp; Cal_AD'!$C18)</f>
        <v>89</v>
      </c>
      <c r="F18" s="127">
        <f>SUMIFS('3)Target &amp; Cal_Dept'!F$4:F$31,'3)Target &amp; Cal_Dept'!$B$4:$B$31,'3)Target &amp; Cal_AD'!$B18,'3)Target &amp; Cal_Dept'!$A$4:$A$31,'3)Target &amp; Cal_AD'!$C18)</f>
        <v>42</v>
      </c>
      <c r="G18" s="127">
        <f>SUMIFS('3)Target &amp; Cal_Dept'!G$4:G$31,'3)Target &amp; Cal_Dept'!$B$4:$B$31,'3)Target &amp; Cal_AD'!$B18,'3)Target &amp; Cal_Dept'!$A$4:$A$31,'3)Target &amp; Cal_AD'!$C18)</f>
        <v>93</v>
      </c>
      <c r="H18" s="127">
        <f>SUMIFS('3)Target &amp; Cal_Dept'!H$4:H$31,'3)Target &amp; Cal_Dept'!$B$4:$B$31,'3)Target &amp; Cal_AD'!$B18,'3)Target &amp; Cal_Dept'!$A$4:$A$31,'3)Target &amp; Cal_AD'!$C18)</f>
        <v>101</v>
      </c>
      <c r="I18" s="127">
        <f>SUMIFS('3)Target &amp; Cal_Dept'!I$4:I$31,'3)Target &amp; Cal_Dept'!$B$4:$B$31,'3)Target &amp; Cal_AD'!$B18,'3)Target &amp; Cal_Dept'!$A$4:$A$31,'3)Target &amp; Cal_AD'!$C18)</f>
        <v>71</v>
      </c>
      <c r="J18" s="127">
        <f>SUMIFS('3)Target &amp; Cal_Dept'!J$4:J$31,'3)Target &amp; Cal_Dept'!$B$4:$B$31,'3)Target &amp; Cal_AD'!$B18,'3)Target &amp; Cal_Dept'!$A$4:$A$31,'3)Target &amp; Cal_AD'!$C18)</f>
        <v>52</v>
      </c>
      <c r="K18" s="127">
        <f>SUMIFS('3)Target &amp; Cal_Dept'!K$4:K$31,'3)Target &amp; Cal_Dept'!$B$4:$B$31,'3)Target &amp; Cal_AD'!$B18,'3)Target &amp; Cal_Dept'!$A$4:$A$31,'3)Target &amp; Cal_AD'!$C18)</f>
        <v>99</v>
      </c>
      <c r="L18" s="127">
        <v>4099.7559999999994</v>
      </c>
      <c r="M18" s="127">
        <v>4026</v>
      </c>
      <c r="N18" s="127">
        <v>3097</v>
      </c>
      <c r="O18" s="127">
        <v>4223</v>
      </c>
      <c r="P18" s="127">
        <f>SUMIFS('3)Target &amp; Cal_Dept'!P$4:P$32,'3)Target &amp; Cal_Dept'!$B$4:$B$32,'3)Target &amp; Cal_AD'!$B18,'3)Target &amp; Cal_Dept'!$A$4:$A$32,'3)Target &amp; Cal_AD'!$C18)</f>
        <v>26</v>
      </c>
      <c r="Q18" s="127">
        <f>SUMIFS('3)Target &amp; Cal_Dept'!Q$4:Q$32,'3)Target &amp; Cal_Dept'!$B$4:$B$32,'3)Target &amp; Cal_AD'!$B18,'3)Target &amp; Cal_Dept'!$A$4:$A$32,'3)Target &amp; Cal_AD'!$C18)</f>
        <v>0</v>
      </c>
      <c r="R18" s="127">
        <f>SUMIFS('3)Target &amp; Cal_Dept'!R$4:R$32,'3)Target &amp; Cal_Dept'!$B$4:$B$32,'3)Target &amp; Cal_AD'!$B18,'3)Target &amp; Cal_Dept'!$A$4:$A$32,'3)Target &amp; Cal_AD'!$C18)</f>
        <v>0</v>
      </c>
      <c r="S18" s="127">
        <f>SUMIFS('3)Target &amp; Cal_Dept'!S$4:S$32,'3)Target &amp; Cal_Dept'!$B$4:$B$32,'3)Target &amp; Cal_AD'!$B18,'3)Target &amp; Cal_Dept'!$A$4:$A$32,'3)Target &amp; Cal_AD'!$C18)</f>
        <v>0</v>
      </c>
      <c r="T18" s="127">
        <f>SUMIFS('3)Target &amp; Cal_Dept'!T$4:T$32,'3)Target &amp; Cal_Dept'!$B$4:$B$32,'3)Target &amp; Cal_AD'!$B18,'3)Target &amp; Cal_Dept'!$A$4:$A$32,'3)Target &amp; Cal_AD'!$C18)</f>
        <v>0</v>
      </c>
      <c r="U18" s="127">
        <f>SUMIFS('3)Target &amp; Cal_Dept'!U$4:U$32,'3)Target &amp; Cal_Dept'!$B$4:$B$32,'3)Target &amp; Cal_AD'!$B18,'3)Target &amp; Cal_Dept'!$A$4:$A$32,'3)Target &amp; Cal_AD'!$C18)</f>
        <v>0</v>
      </c>
      <c r="V18" s="127">
        <f>SUMIFS('3)Target &amp; Cal_Dept'!V$4:V$32,'3)Target &amp; Cal_Dept'!$B$4:$B$32,'3)Target &amp; Cal_AD'!$B18,'3)Target &amp; Cal_Dept'!$A$4:$A$32,'3)Target &amp; Cal_AD'!$C18)</f>
        <v>0</v>
      </c>
      <c r="W18" s="127">
        <f>SUMIFS('3)Target &amp; Cal_Dept'!W$4:W$32,'3)Target &amp; Cal_Dept'!$B$4:$B$32,'3)Target &amp; Cal_AD'!$B18,'3)Target &amp; Cal_Dept'!$A$4:$A$32,'3)Target &amp; Cal_AD'!$C18)</f>
        <v>0</v>
      </c>
      <c r="X18" s="127">
        <f>SUMIFS('3)Target &amp; Cal_Dept'!X$4:X$32,'3)Target &amp; Cal_Dept'!$B$4:$B$32,'3)Target &amp; Cal_AD'!$B18,'3)Target &amp; Cal_Dept'!$A$4:$A$32,'3)Target &amp; Cal_AD'!$C18)</f>
        <v>0</v>
      </c>
      <c r="Y18" s="127">
        <f>SUMIFS('3)Target &amp; Cal_Dept'!Y$4:Y$32,'3)Target &amp; Cal_Dept'!$B$4:$B$32,'3)Target &amp; Cal_AD'!$B18,'3)Target &amp; Cal_Dept'!$A$4:$A$32,'3)Target &amp; Cal_AD'!$C18)</f>
        <v>0</v>
      </c>
      <c r="Z18" s="127">
        <f>SUMIFS('3)Target &amp; Cal_Dept'!Z$4:Z$32,'3)Target &amp; Cal_Dept'!$B$4:$B$32,'3)Target &amp; Cal_AD'!$B18,'3)Target &amp; Cal_Dept'!$A$4:$A$32,'3)Target &amp; Cal_AD'!$C18)</f>
        <v>0</v>
      </c>
      <c r="AA18" s="127">
        <f>SUMIFS('3)Target &amp; Cal_Dept'!AA$4:AA$32,'3)Target &amp; Cal_Dept'!$B$4:$B$32,'3)Target &amp; Cal_AD'!$B18,'3)Target &amp; Cal_Dept'!$A$4:$A$32,'3)Target &amp; Cal_AD'!$C18)</f>
        <v>0</v>
      </c>
      <c r="AB18" s="132">
        <f>IFERROR(IF(VLOOKUP($B18,Shortage!$A:$M,AB$2,FALSE)="Shortage",1,IFERROR(ROUND(P18/D18,4),0)),IFERROR(ROUND(P18/D18,4),0))</f>
        <v>0.46429999999999999</v>
      </c>
      <c r="AC18" s="132">
        <f>IFERROR(IF(VLOOKUP($B18,Shortage!$A:$M,AC$2,FALSE)="Shortage",1,IFERROR(ROUND(Q18/E18,4),0)),IFERROR(ROUND(Q18/E18,4),0))</f>
        <v>0</v>
      </c>
      <c r="AD18" s="132">
        <f>IFERROR(IF(VLOOKUP($B18,Shortage!$A:$M,AD$2,FALSE)="Shortage",1,IFERROR(ROUND(R18/F18,4),0)),IFERROR(ROUND(R18/F18,4),0))</f>
        <v>0</v>
      </c>
      <c r="AE18" s="132">
        <f>IFERROR(IF(VLOOKUP($B18,Shortage!$A:$M,AE$2,FALSE)="Shortage",1,IFERROR(ROUND(S18/G18,4),0)),IFERROR(ROUND(S18/G18,4),0))</f>
        <v>0</v>
      </c>
      <c r="AF18" s="132">
        <f>IFERROR(IF(VLOOKUP($B18,Shortage!$A:$M,AF$2,FALSE)="Shortage",1,IFERROR(ROUND(T18/H18,4),0)),IFERROR(ROUND(T18/H18,4),0))</f>
        <v>0</v>
      </c>
      <c r="AG18" s="132">
        <f>IFERROR(IF(VLOOKUP($B18,Shortage!$A:$M,AG$2,FALSE)="Shortage",1,IFERROR(ROUND(U18/I18,4),0)),IFERROR(ROUND(U18/I18,4),0))</f>
        <v>0</v>
      </c>
      <c r="AH18" s="132">
        <f>IFERROR(IF(VLOOKUP($B18,Shortage!$A:$M,AH$2,FALSE)="Shortage",1,IFERROR(ROUND(V18/J18,4),0)),IFERROR(ROUND(V18/J18,4),0))</f>
        <v>0</v>
      </c>
      <c r="AI18" s="132">
        <f>IFERROR(IF(VLOOKUP($B18,Shortage!$A:$M,AI$2,FALSE)="Shortage",1,IFERROR(ROUND(W18/K18,4),0)),IFERROR(ROUND(W18/K18,4),0))</f>
        <v>0</v>
      </c>
      <c r="AJ18" s="132">
        <f>IFERROR(IF(VLOOKUP($B18,Shortage!$A:$M,AJ$2,FALSE)="Shortage",1,IFERROR(ROUND(X18/L18,4),0)),IFERROR(ROUND(X18/L18,4),0))</f>
        <v>0</v>
      </c>
      <c r="AK18" s="132">
        <f>IFERROR(IF(VLOOKUP($B18,Shortage!$A:$M,AK$2,FALSE)="Shortage",1,IFERROR(ROUND(Y18/M18,4),0)),IFERROR(ROUND(Y18/M18,4),0))</f>
        <v>0</v>
      </c>
      <c r="AL18" s="132">
        <f>IFERROR(IF(VLOOKUP($B18,Shortage!$A:$M,AL$2,FALSE)="Shortage",1,IFERROR(ROUND(Z18/N18,4),0)),IFERROR(ROUND(Z18/N18,4),0))</f>
        <v>0</v>
      </c>
      <c r="AM18" s="132">
        <f>IFERROR(IF(VLOOKUP($B18,Shortage!$A:$M,AM$2,FALSE)="Shortage",1,IFERROR(ROUND(AA18/O18,4),0)),IFERROR(ROUND(AA18/O18,4),0))</f>
        <v>0</v>
      </c>
      <c r="AN18" s="186">
        <f>IFERROR(_xlfn.XLOOKUP(AB18,'2) หลักการคำนวน Table'!$C$3:$K$3,'2) หลักการคำนวน Table'!$C$3:$K$3,,1),INDEX('2) หลักการคำนวน Table'!$C$3:$K$3,1))</f>
        <v>0.9</v>
      </c>
      <c r="AO18" s="186">
        <f>IFERROR(
  _xlfn.XLOOKUP(AC18,'2) หลักการคำนวน Table'!$C$3:$K$3,'2) หลักการคำนวน Table'!$C$3:$K$3,,1),
  IF(AC18&lt;MIN('2) หลักการคำนวน Table'!$C$3:$K$3),
     MIN('2) หลักการคำนวน Table'!$C$3:$K$3),
     MAX('2) หลักการคำนวน Table'!$C$3:$K$3)
  )
)</f>
        <v>0.9</v>
      </c>
      <c r="AP18" s="186">
        <f>IFERROR(
  _xlfn.XLOOKUP(AD18,'2) หลักการคำนวน Table'!$C$3:$K$3,'2) หลักการคำนวน Table'!$C$3:$K$3,,1),
  IF(AD18&lt;MIN('2) หลักการคำนวน Table'!$C$3:$K$3),
     MIN('2) หลักการคำนวน Table'!$C$3:$K$3),
     MAX('2) หลักการคำนวน Table'!$C$3:$K$3)
  )
)</f>
        <v>0.9</v>
      </c>
      <c r="AQ18" s="186">
        <f>IFERROR(
  _xlfn.XLOOKUP(AE18,'2) หลักการคำนวน Table'!$C$3:$K$3,'2) หลักการคำนวน Table'!$C$3:$K$3,,1),
  IF(AE18&lt;MIN('2) หลักการคำนวน Table'!$C$3:$K$3),
     MIN('2) หลักการคำนวน Table'!$C$3:$K$3),
     MAX('2) หลักการคำนวน Table'!$C$3:$K$3)
  )
)</f>
        <v>0.9</v>
      </c>
      <c r="AR18" s="186">
        <f>IFERROR(
  _xlfn.XLOOKUP(AF18,'2) หลักการคำนวน Table'!$C$3:$K$3,'2) หลักการคำนวน Table'!$C$3:$K$3,,1),
  IF(AF18&lt;MIN('2) หลักการคำนวน Table'!$C$3:$K$3),
     MIN('2) หลักการคำนวน Table'!$C$3:$K$3),
     MAX('2) หลักการคำนวน Table'!$C$3:$K$3)
  )
)</f>
        <v>0.9</v>
      </c>
      <c r="AS18" s="186">
        <f>IFERROR(
  _xlfn.XLOOKUP(AG18,'2) หลักการคำนวน Table'!$C$3:$K$3,'2) หลักการคำนวน Table'!$C$3:$K$3,,1),
  IF(AG18&lt;MIN('2) หลักการคำนวน Table'!$C$3:$K$3),
     MIN('2) หลักการคำนวน Table'!$C$3:$K$3),
     MAX('2) หลักการคำนวน Table'!$C$3:$K$3)
  )
)</f>
        <v>0.9</v>
      </c>
      <c r="AT18" s="186">
        <f>IFERROR(
  _xlfn.XLOOKUP(AH18,'2) หลักการคำนวน Table'!$C$3:$K$3,'2) หลักการคำนวน Table'!$C$3:$K$3,,1),
  IF(AH18&lt;MIN('2) หลักการคำนวน Table'!$C$3:$K$3),
     MIN('2) หลักการคำนวน Table'!$C$3:$K$3),
     MAX('2) หลักการคำนวน Table'!$C$3:$K$3)
  )
)</f>
        <v>0.9</v>
      </c>
      <c r="AU18" s="186">
        <f>IFERROR(
  _xlfn.XLOOKUP(AI18,'2) หลักการคำนวน Table'!$C$3:$K$3,'2) หลักการคำนวน Table'!$C$3:$K$3,,1),
  IF(AI18&lt;MIN('2) หลักการคำนวน Table'!$C$3:$K$3),
     MIN('2) หลักการคำนวน Table'!$C$3:$K$3),
     MAX('2) หลักการคำนวน Table'!$C$3:$K$3)
  )
)</f>
        <v>0.9</v>
      </c>
      <c r="AV18" s="186">
        <f>IFERROR(
  _xlfn.XLOOKUP(AJ18,'2) หลักการคำนวน Table'!$C$3:$K$3,'2) หลักการคำนวน Table'!$C$3:$K$3,,1),
  IF(AJ18&lt;MIN('2) หลักการคำนวน Table'!$C$3:$K$3),
     MIN('2) หลักการคำนวน Table'!$C$3:$K$3),
     MAX('2) หลักการคำนวน Table'!$C$3:$K$3)
  )
)</f>
        <v>0.9</v>
      </c>
      <c r="AW18" s="186">
        <f>IFERROR(
  _xlfn.XLOOKUP(AK18,'2) หลักการคำนวน Table'!$C$3:$K$3,'2) หลักการคำนวน Table'!$C$3:$K$3,,1),
  IF(AK18&lt;MIN('2) หลักการคำนวน Table'!$C$3:$K$3),
     MIN('2) หลักการคำนวน Table'!$C$3:$K$3),
     MAX('2) หลักการคำนวน Table'!$C$3:$K$3)
  )
)</f>
        <v>0.9</v>
      </c>
      <c r="AX18" s="186">
        <f>IFERROR(
  _xlfn.XLOOKUP(AL18,'2) หลักการคำนวน Table'!$C$3:$K$3,'2) หลักการคำนวน Table'!$C$3:$K$3,,1),
  IF(AL18&lt;MIN('2) หลักการคำนวน Table'!$C$3:$K$3),
     MIN('2) หลักการคำนวน Table'!$C$3:$K$3),
     MAX('2) หลักการคำนวน Table'!$C$3:$K$3)
  )
)</f>
        <v>0.9</v>
      </c>
      <c r="AY18" s="186">
        <f>IFERROR(
  _xlfn.XLOOKUP(AM18,'2) หลักการคำนวน Table'!$C$3:$K$3,'2) หลักการคำนวน Table'!$C$3:$K$3,,1),
  IF(AM18&lt;MIN('2) หลักการคำนวน Table'!$C$3:$K$3),
     MIN('2) หลักการคำนวน Table'!$C$3:$K$3),
     MAX('2) หลักการคำนวน Table'!$C$3:$K$3)
  )
)</f>
        <v>0.9</v>
      </c>
      <c r="AZ18" s="135" t="e" cm="1">
        <f t="array" ref="AZ18">(_xlfn.XLOOKUP($C18,'2) หลักการคำนวน Table'!$A$4:$A$36,
_xlfn.XLOOKUP(AN18,'2)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A18" s="135" t="e" cm="1">
        <f t="array" ref="BA18">(_xlfn.XLOOKUP($C18,'2) หลักการคำนวน Table'!$A$4:$A$36,
_xlfn.XLOOKUP(AO18,'2)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B18" s="135" t="e" cm="1">
        <f t="array" ref="BB18">(_xlfn.XLOOKUP($C18,'2) หลักการคำนวน Table'!$A$4:$A$36,
_xlfn.XLOOKUP(AP18,'2)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C18" s="135" t="e" cm="1">
        <f t="array" ref="BC18">(_xlfn.XLOOKUP($C18,'2) หลักการคำนวน Table'!$A$4:$A$36,
_xlfn.XLOOKUP(AQ18,'2)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D18" s="135" t="e" cm="1">
        <f t="array" ref="BD18">(_xlfn.XLOOKUP($C18,'2) หลักการคำนวน Table'!$A$4:$A$36,
_xlfn.XLOOKUP(AR18,'2)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E18" s="135" t="e" cm="1">
        <f t="array" ref="BE18">(_xlfn.XLOOKUP($C18,'2) หลักการคำนวน Table'!$A$4:$A$36,
_xlfn.XLOOKUP(AS18,'2)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F18" s="135" t="e" cm="1">
        <f t="array" ref="BF18">(_xlfn.XLOOKUP($C18,'2) หลักการคำนวน Table'!$A$4:$A$36,
_xlfn.XLOOKUP(AT18,'2)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G18" s="135" t="e" cm="1">
        <f t="array" ref="BG18">(_xlfn.XLOOKUP($C18,'2) หลักการคำนวน Table'!$A$4:$A$36,
_xlfn.XLOOKUP(AU18,'2)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</f>
        <v>#N/A</v>
      </c>
      <c r="BH18" s="135" t="e" cm="1">
        <f t="array" ref="BH18">ROUND((_xlfn.XLOOKUP($C18,'2) หลักการคำนวน Table'!$A$4:$A$36,
_xlfn.XLOOKUP(AV18,'2)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I18" s="135" t="e" cm="1">
        <f t="array" ref="BI18">ROUND((_xlfn.XLOOKUP($C18,'2) หลักการคำนวน Table'!$A$4:$A$36,
_xlfn.XLOOKUP(AW18,'2)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J18" s="135" t="e" cm="1">
        <f t="array" ref="BJ18">ROUND((_xlfn.XLOOKUP($C18,'2) หลักการคำนวน Table'!$A$4:$A$36,
_xlfn.XLOOKUP(AX18,'2)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K18" s="135" t="e" cm="1">
        <f t="array" ref="BK18">ROUND((_xlfn.XLOOKUP($C18,'2) หลักการคำนวน Table'!$A$4:$A$36,
_xlfn.XLOOKUP(AY18,'2) หลักการคำนวน Table'!$C$3:$K$3,'2) หลักการคำนวน Table'!$C$4:$K$36,,-1)))*(_xlfn.XLOOKUP($C18,'2) หลักการคำนวน Table'!$A$4:$A$36, _xlfn.XLOOKUP($B18,'2) หลักการคำนวน Table'!$L$3:$Z$3,'2) หลักการคำนวน Table'!$L$4:$Z$36))),0)</f>
        <v>#N/A</v>
      </c>
      <c r="BL18" s="239"/>
      <c r="BM18" s="126">
        <v>222222</v>
      </c>
      <c r="BN18" s="245">
        <v>54</v>
      </c>
    </row>
    <row r="19" spans="1:66" ht="13.2" customHeight="1" x14ac:dyDescent="0.25"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</row>
    <row r="20" spans="1:66" ht="13.2" customHeight="1" x14ac:dyDescent="0.25"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</row>
    <row r="21" spans="1:66" ht="13.2" customHeight="1" x14ac:dyDescent="0.25"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</row>
    <row r="22" spans="1:66" ht="13.2" customHeight="1" x14ac:dyDescent="0.25"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</row>
    <row r="23" spans="1:66" ht="13.2" customHeight="1" x14ac:dyDescent="0.25"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</row>
    <row r="24" spans="1:66" ht="13.2" customHeight="1" x14ac:dyDescent="0.25"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</row>
    <row r="25" spans="1:66" ht="13.2" customHeight="1" x14ac:dyDescent="0.25"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</row>
    <row r="26" spans="1:66" ht="13.2" customHeight="1" x14ac:dyDescent="0.25"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</row>
    <row r="27" spans="1:66" ht="13.2" customHeight="1" x14ac:dyDescent="0.25"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</row>
    <row r="28" spans="1:66" ht="13.2" customHeight="1" x14ac:dyDescent="0.25"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</row>
    <row r="29" spans="1:66" ht="13.2" customHeight="1" x14ac:dyDescent="0.25"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135"/>
    </row>
    <row r="30" spans="1:66" ht="13.2" customHeight="1" x14ac:dyDescent="0.25"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</row>
    <row r="31" spans="1:66" ht="13.2" customHeight="1" x14ac:dyDescent="0.25"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</row>
    <row r="32" spans="1:66" ht="13.2" customHeight="1" x14ac:dyDescent="0.25"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</row>
    <row r="33" spans="16:63" ht="13.2" customHeight="1" x14ac:dyDescent="0.25"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</row>
    <row r="34" spans="16:63" ht="13.2" customHeight="1" x14ac:dyDescent="0.25"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</row>
    <row r="35" spans="16:63" ht="13.2" customHeight="1" x14ac:dyDescent="0.25"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</row>
    <row r="36" spans="16:63" ht="13.2" customHeight="1" x14ac:dyDescent="0.25"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</row>
    <row r="37" spans="16:63" ht="13.2" customHeight="1" x14ac:dyDescent="0.25"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</row>
  </sheetData>
  <autoFilter ref="A3:BL15" xr:uid="{A1CD279D-F71F-423D-AE12-843149B1119C}"/>
  <mergeCells count="5">
    <mergeCell ref="D1:O1"/>
    <mergeCell ref="P1:AA1"/>
    <mergeCell ref="AB1:AM1"/>
    <mergeCell ref="AN1:AY1"/>
    <mergeCell ref="AZ1:BK1"/>
  </mergeCells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1420-264F-406B-9600-A8F14231ADD7}">
  <sheetPr codeName="Sheet18">
    <tabColor rgb="FFFF0000"/>
  </sheetPr>
  <dimension ref="A1:S35"/>
  <sheetViews>
    <sheetView zoomScale="120" zoomScaleNormal="120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I43" sqref="I43"/>
    </sheetView>
  </sheetViews>
  <sheetFormatPr defaultColWidth="9.09765625" defaultRowHeight="10.8" x14ac:dyDescent="0.25"/>
  <cols>
    <col min="1" max="1" width="12.8984375" style="133" bestFit="1" customWidth="1"/>
    <col min="2" max="2" width="16.09765625" style="133" bestFit="1" customWidth="1"/>
    <col min="3" max="3" width="19.09765625" style="133" bestFit="1" customWidth="1"/>
    <col min="4" max="4" width="10.3984375" style="133" customWidth="1"/>
    <col min="5" max="5" width="21" style="133" customWidth="1"/>
    <col min="6" max="6" width="13.09765625" style="133" bestFit="1" customWidth="1"/>
    <col min="7" max="7" width="35.3984375" style="198" bestFit="1" customWidth="1"/>
    <col min="8" max="8" width="11.8984375" style="133" customWidth="1"/>
    <col min="9" max="9" width="12.5" style="133" customWidth="1"/>
    <col min="10" max="10" width="17.8984375" style="133" customWidth="1"/>
    <col min="11" max="11" width="20.8984375" style="162" customWidth="1"/>
    <col min="12" max="12" width="21.09765625" style="133" bestFit="1" customWidth="1"/>
    <col min="13" max="13" width="19.09765625" style="133" bestFit="1" customWidth="1"/>
    <col min="14" max="14" width="11.8984375" style="160" bestFit="1" customWidth="1"/>
    <col min="15" max="15" width="11.8984375" style="206" customWidth="1"/>
    <col min="16" max="16" width="12.8984375" style="168" customWidth="1"/>
    <col min="17" max="17" width="10.59765625" style="166" customWidth="1"/>
    <col min="18" max="18" width="10.59765625" style="167" customWidth="1"/>
    <col min="19" max="19" width="10.5" style="168" bestFit="1" customWidth="1"/>
    <col min="20" max="16384" width="9.09765625" style="133"/>
  </cols>
  <sheetData>
    <row r="1" spans="1:19" x14ac:dyDescent="0.25">
      <c r="A1" s="336" t="s">
        <v>198</v>
      </c>
      <c r="B1" s="337" t="s">
        <v>262</v>
      </c>
      <c r="C1" s="170" t="s">
        <v>199</v>
      </c>
      <c r="D1" s="170" t="s">
        <v>213</v>
      </c>
      <c r="E1" s="170" t="s">
        <v>210</v>
      </c>
      <c r="F1" s="170" t="s">
        <v>117</v>
      </c>
      <c r="G1" s="195" t="s">
        <v>263</v>
      </c>
      <c r="H1" s="170" t="s">
        <v>206</v>
      </c>
      <c r="I1" s="170" t="s">
        <v>207</v>
      </c>
      <c r="J1" s="170" t="s">
        <v>208</v>
      </c>
      <c r="K1" s="172" t="s">
        <v>264</v>
      </c>
      <c r="L1" s="173" t="s">
        <v>112</v>
      </c>
      <c r="M1" s="173" t="s">
        <v>265</v>
      </c>
      <c r="N1" s="193" t="s">
        <v>266</v>
      </c>
      <c r="O1" s="205" t="s">
        <v>267</v>
      </c>
      <c r="P1" s="163" t="s">
        <v>227</v>
      </c>
      <c r="Q1" s="164" t="s">
        <v>268</v>
      </c>
      <c r="R1" s="163" t="s">
        <v>269</v>
      </c>
      <c r="S1" s="165" t="s">
        <v>270</v>
      </c>
    </row>
    <row r="2" spans="1:19" ht="11.4" x14ac:dyDescent="0.25">
      <c r="A2" s="137" t="s">
        <v>378</v>
      </c>
      <c r="B2" s="169" t="str">
        <f>IF(IF(VLOOKUP(A2,ASTBase!F:P,11,FALSE)="","",VLOOKUP(A2,ASTBase!F:P,11,FALSE))=0,"",IF(VLOOKUP(A2,ASTBase!F:P,11,FALSE)="","",VLOOKUP(A2,ASTBase!F:P,11,FALSE)))</f>
        <v/>
      </c>
      <c r="C2" s="140" t="str">
        <f>IF(IFERROR(_xlfn.IFNA(VLOOKUP($A2,'HR Rep'!$A:$X,MATCH('1) For HR'!C$1,'HR Rep'!$A$1:$X$1,0),0),""),"")="","",IFERROR(_xlfn.IFNA(VLOOKUP($A2,'HR Rep'!$A:$X,MATCH('1) For HR'!C$1,'HR Rep'!$A$1:$X$1,0),0),""),""))</f>
        <v/>
      </c>
      <c r="D2" s="140" t="str">
        <f>IF(IFERROR(_xlfn.IFNA(VLOOKUP($A2,'HR Rep'!$A:$X,MATCH('1) For HR'!D$1,'HR Rep'!$A$1:$X$1,0),0),""),"")="","",IFERROR(_xlfn.IFNA(VLOOKUP($A2,'HR Rep'!$A:$X,MATCH('1) For HR'!D$1,'HR Rep'!$A$1:$X$1,0),0),""),""))</f>
        <v/>
      </c>
      <c r="E2" s="140" t="str">
        <f>IF(IFERROR(_xlfn.IFNA(VLOOKUP($A2,'HR Rep'!$A:$X,MATCH('1) For HR'!E$1,'HR Rep'!$A$1:$X$1,0),0),""),"")="","",IFERROR(_xlfn.IFNA(VLOOKUP($A2,'HR Rep'!$A:$X,MATCH('1) For HR'!E$1,'HR Rep'!$A$1:$X$1,0),0),""),""))</f>
        <v/>
      </c>
      <c r="F2" s="140" t="str">
        <f>IF(IFERROR(_xlfn.IFNA(VLOOKUP($A2,'HR Rep'!$A:$X,MATCH('1) For HR'!F$1,'HR Rep'!$A$1:$X$1,0),0),""),"")="","",IFERROR(_xlfn.IFNA(VLOOKUP($A2,'HR Rep'!$A:$X,MATCH('1) For HR'!F$1,'HR Rep'!$A$1:$X$1,0),0),""),""))</f>
        <v/>
      </c>
      <c r="G2" s="196" t="s">
        <v>271</v>
      </c>
      <c r="H2" s="140" t="str">
        <f>IF(IFERROR(_xlfn.IFNA(VLOOKUP($A2,'HR Rep'!$A:$X,MATCH('1) For HR'!H$1,'HR Rep'!$A$1:$X$1,0),0),""),"")="","",IFERROR(_xlfn.IFNA(VLOOKUP($A2,'HR Rep'!$A:$X,MATCH('1) For HR'!H$1,'HR Rep'!$A$1:$X$1,0),0),""),""))</f>
        <v/>
      </c>
      <c r="I2" s="140" t="str">
        <f>IF(IFERROR(_xlfn.IFNA(VLOOKUP($A2,'HR Rep'!$A:$X,MATCH('1) For HR'!I$1,'HR Rep'!$A$1:$X$1,0),0),""),"")="","",IFERROR(_xlfn.IFNA(VLOOKUP($A2,'HR Rep'!$A:$X,MATCH('1) For HR'!I$1,'HR Rep'!$A$1:$X$1,0),0),""),""))</f>
        <v/>
      </c>
      <c r="J2" s="140" t="str">
        <f>IF(IFERROR(_xlfn.IFNA(VLOOKUP($A2,'HR Rep'!$A:$X,MATCH('1) For HR'!J$1,'HR Rep'!$A$1:$X$1,0),0),""),"")="","",IFERROR(_xlfn.IFNA(VLOOKUP($A2,'HR Rep'!$A:$X,MATCH('1) For HR'!J$1,'HR Rep'!$A$1:$X$1,0),0),""),""))</f>
        <v/>
      </c>
      <c r="K2" s="161">
        <f>IF(ROUND(P2+Q2+R2+S2,2)&lt;O2,O2,ROUND(P2+Q2+R2+S2,2))</f>
        <v>6732</v>
      </c>
      <c r="L2" s="174">
        <f>Period!$A$2</f>
        <v>46113</v>
      </c>
      <c r="M2" s="175">
        <f>Period!$B$2</f>
        <v>46174</v>
      </c>
      <c r="N2" s="194" t="s">
        <v>272</v>
      </c>
      <c r="P2" s="166">
        <f>SUMIFS('3)Target &amp; Cal_Staff'!BN:BN,'3)Target &amp; Cal_Staff'!BM:BM,'1) For HR'!A2)</f>
        <v>0</v>
      </c>
      <c r="Q2" s="166">
        <f>SUMIFS('3)Target &amp; Cal_Sect'!BN:BN,'3)Target &amp; Cal_Sect'!BM:BM,'1) For HR'!A2)</f>
        <v>0</v>
      </c>
      <c r="R2" s="166">
        <f>SUMIFS('3)Target &amp; Cal_Dept'!BN:BN,'3)Target &amp; Cal_Dept'!BM:BM,'1) For HR'!A2)</f>
        <v>0</v>
      </c>
      <c r="S2" s="166">
        <f>SUMIFS('3)Target &amp; Cal_AD'!BN:BN,'3)Target &amp; Cal_AD'!BM:BM,'1) For HR'!A2)</f>
        <v>6732</v>
      </c>
    </row>
    <row r="3" spans="1:19" ht="11.4" x14ac:dyDescent="0.25">
      <c r="A3" s="137" t="s">
        <v>379</v>
      </c>
      <c r="B3" s="169" t="e">
        <f>IF(IF(VLOOKUP(A3,ASTBase!F:P,11,FALSE)="","",VLOOKUP(A3,ASTBase!F:P,11,FALSE))=0,"",IF(VLOOKUP(A3,ASTBase!F:P,11,FALSE)="","",VLOOKUP(A3,ASTBase!F:P,11,FALSE)))</f>
        <v>#N/A</v>
      </c>
      <c r="C3" s="140" t="str">
        <f>IF(IFERROR(_xlfn.IFNA(VLOOKUP($A3,'HR Rep'!$A:$X,MATCH('1) For HR'!C$1,'HR Rep'!$A$1:$X$1,0),0),""),"")="","",IFERROR(_xlfn.IFNA(VLOOKUP($A3,'HR Rep'!$A:$X,MATCH('1) For HR'!C$1,'HR Rep'!$A$1:$X$1,0),0),""),""))</f>
        <v/>
      </c>
      <c r="D3" s="140" t="str">
        <f>IF(IFERROR(_xlfn.IFNA(VLOOKUP($A3,'HR Rep'!$A:$X,MATCH('1) For HR'!D$1,'HR Rep'!$A$1:$X$1,0),0),""),"")="","",IFERROR(_xlfn.IFNA(VLOOKUP($A3,'HR Rep'!$A:$X,MATCH('1) For HR'!D$1,'HR Rep'!$A$1:$X$1,0),0),""),""))</f>
        <v/>
      </c>
      <c r="E3" s="140" t="str">
        <f>IF(IFERROR(_xlfn.IFNA(VLOOKUP($A3,'HR Rep'!$A:$X,MATCH('1) For HR'!E$1,'HR Rep'!$A$1:$X$1,0),0),""),"")="","",IFERROR(_xlfn.IFNA(VLOOKUP($A3,'HR Rep'!$A:$X,MATCH('1) For HR'!E$1,'HR Rep'!$A$1:$X$1,0),0),""),""))</f>
        <v/>
      </c>
      <c r="F3" s="140" t="str">
        <f>IF(IFERROR(_xlfn.IFNA(VLOOKUP($A3,'HR Rep'!$A:$X,MATCH('1) For HR'!F$1,'HR Rep'!$A$1:$X$1,0),0),""),"")="","",IFERROR(_xlfn.IFNA(VLOOKUP($A3,'HR Rep'!$A:$X,MATCH('1) For HR'!F$1,'HR Rep'!$A$1:$X$1,0),0),""),""))</f>
        <v/>
      </c>
      <c r="G3" s="196" t="s">
        <v>273</v>
      </c>
      <c r="H3" s="140" t="str">
        <f>IF(IFERROR(_xlfn.IFNA(VLOOKUP($A3,'HR Rep'!$A:$X,MATCH('1) For HR'!H$1,'HR Rep'!$A$1:$X$1,0),0),""),"")="","",IFERROR(_xlfn.IFNA(VLOOKUP($A3,'HR Rep'!$A:$X,MATCH('1) For HR'!H$1,'HR Rep'!$A$1:$X$1,0),0),""),""))</f>
        <v/>
      </c>
      <c r="I3" s="140" t="str">
        <f>IF(IFERROR(_xlfn.IFNA(VLOOKUP($A3,'HR Rep'!$A:$X,MATCH('1) For HR'!I$1,'HR Rep'!$A$1:$X$1,0),0),""),"")="","",IFERROR(_xlfn.IFNA(VLOOKUP($A3,'HR Rep'!$A:$X,MATCH('1) For HR'!I$1,'HR Rep'!$A$1:$X$1,0),0),""),""))</f>
        <v/>
      </c>
      <c r="J3" s="140" t="str">
        <f>IF(IFERROR(_xlfn.IFNA(VLOOKUP($A3,'HR Rep'!$A:$X,MATCH('1) For HR'!J$1,'HR Rep'!$A$1:$X$1,0),0),""),"")="","",IFERROR(_xlfn.IFNA(VLOOKUP($A3,'HR Rep'!$A:$X,MATCH('1) For HR'!J$1,'HR Rep'!$A$1:$X$1,0),0),""),""))</f>
        <v/>
      </c>
      <c r="K3" s="161">
        <f t="shared" ref="K3:K28" si="0">IF(ROUND(P3+Q3+R3+S3,2)&lt;O3,O3,ROUND(P3+Q3+R3+S3,2))</f>
        <v>5959</v>
      </c>
      <c r="L3" s="174">
        <f>Period!$A$2</f>
        <v>46113</v>
      </c>
      <c r="M3" s="175">
        <f>Period!$B$2</f>
        <v>46174</v>
      </c>
      <c r="N3" s="194" t="s">
        <v>272</v>
      </c>
      <c r="P3" s="166">
        <f>SUMIFS('3)Target &amp; Cal_Staff'!BN:BN,'3)Target &amp; Cal_Staff'!BM:BM,'1) For HR'!A3)</f>
        <v>0</v>
      </c>
      <c r="Q3" s="166">
        <f>SUMIFS('3)Target &amp; Cal_Sect'!BN:BN,'3)Target &amp; Cal_Sect'!BM:BM,'1) For HR'!A3)</f>
        <v>0</v>
      </c>
      <c r="R3" s="166">
        <f>SUMIFS('3)Target &amp; Cal_Dept'!BN:BN,'3)Target &amp; Cal_Dept'!BM:BM,'1) For HR'!A3)</f>
        <v>5959</v>
      </c>
      <c r="S3" s="166">
        <f>SUMIFS('3)Target &amp; Cal_AD'!BN:BN,'3)Target &amp; Cal_AD'!BM:BM,'1) For HR'!A3)</f>
        <v>0</v>
      </c>
    </row>
    <row r="4" spans="1:19" ht="11.4" x14ac:dyDescent="0.25">
      <c r="A4" s="137" t="s">
        <v>380</v>
      </c>
      <c r="B4" s="169" t="e">
        <f>IF(IF(VLOOKUP(A4,ASTBase!F:P,11,FALSE)="","",VLOOKUP(A4,ASTBase!F:P,11,FALSE))=0,"",IF(VLOOKUP(A4,ASTBase!F:P,11,FALSE)="","",VLOOKUP(A4,ASTBase!F:P,11,FALSE)))</f>
        <v>#N/A</v>
      </c>
      <c r="C4" s="140" t="str">
        <f>IF(IFERROR(_xlfn.IFNA(VLOOKUP($A4,'HR Rep'!$A:$X,MATCH('1) For HR'!C$1,'HR Rep'!$A$1:$X$1,0),0),""),"")="","",IFERROR(_xlfn.IFNA(VLOOKUP($A4,'HR Rep'!$A:$X,MATCH('1) For HR'!C$1,'HR Rep'!$A$1:$X$1,0),0),""),""))</f>
        <v/>
      </c>
      <c r="D4" s="140" t="str">
        <f>IF(IFERROR(_xlfn.IFNA(VLOOKUP($A4,'HR Rep'!$A:$X,MATCH('1) For HR'!D$1,'HR Rep'!$A$1:$X$1,0),0),""),"")="","",IFERROR(_xlfn.IFNA(VLOOKUP($A4,'HR Rep'!$A:$X,MATCH('1) For HR'!D$1,'HR Rep'!$A$1:$X$1,0),0),""),""))</f>
        <v/>
      </c>
      <c r="E4" s="140" t="str">
        <f>IF(IFERROR(_xlfn.IFNA(VLOOKUP($A4,'HR Rep'!$A:$X,MATCH('1) For HR'!E$1,'HR Rep'!$A$1:$X$1,0),0),""),"")="","",IFERROR(_xlfn.IFNA(VLOOKUP($A4,'HR Rep'!$A:$X,MATCH('1) For HR'!E$1,'HR Rep'!$A$1:$X$1,0),0),""),""))</f>
        <v/>
      </c>
      <c r="F4" s="140" t="str">
        <f>IF(IFERROR(_xlfn.IFNA(VLOOKUP($A4,'HR Rep'!$A:$X,MATCH('1) For HR'!F$1,'HR Rep'!$A$1:$X$1,0),0),""),"")="","",IFERROR(_xlfn.IFNA(VLOOKUP($A4,'HR Rep'!$A:$X,MATCH('1) For HR'!F$1,'HR Rep'!$A$1:$X$1,0),0),""),""))</f>
        <v/>
      </c>
      <c r="G4" s="196" t="s">
        <v>273</v>
      </c>
      <c r="H4" s="140" t="str">
        <f>IF(IFERROR(_xlfn.IFNA(VLOOKUP($A4,'HR Rep'!$A:$X,MATCH('1) For HR'!H$1,'HR Rep'!$A$1:$X$1,0),0),""),"")="","",IFERROR(_xlfn.IFNA(VLOOKUP($A4,'HR Rep'!$A:$X,MATCH('1) For HR'!H$1,'HR Rep'!$A$1:$X$1,0),0),""),""))</f>
        <v/>
      </c>
      <c r="I4" s="140" t="str">
        <f>IF(IFERROR(_xlfn.IFNA(VLOOKUP($A4,'HR Rep'!$A:$X,MATCH('1) For HR'!I$1,'HR Rep'!$A$1:$X$1,0),0),""),"")="","",IFERROR(_xlfn.IFNA(VLOOKUP($A4,'HR Rep'!$A:$X,MATCH('1) For HR'!I$1,'HR Rep'!$A$1:$X$1,0),0),""),""))</f>
        <v/>
      </c>
      <c r="J4" s="140" t="str">
        <f>IF(IFERROR(_xlfn.IFNA(VLOOKUP($A4,'HR Rep'!$A:$X,MATCH('1) For HR'!J$1,'HR Rep'!$A$1:$X$1,0),0),""),"")="","",IFERROR(_xlfn.IFNA(VLOOKUP($A4,'HR Rep'!$A:$X,MATCH('1) For HR'!J$1,'HR Rep'!$A$1:$X$1,0),0),""),""))</f>
        <v/>
      </c>
      <c r="K4" s="161">
        <f t="shared" si="0"/>
        <v>5964</v>
      </c>
      <c r="L4" s="174">
        <f>Period!$A$2</f>
        <v>46113</v>
      </c>
      <c r="M4" s="175">
        <f>Period!$B$2</f>
        <v>46174</v>
      </c>
      <c r="N4" s="194" t="s">
        <v>272</v>
      </c>
      <c r="P4" s="166">
        <f>SUMIFS('3)Target &amp; Cal_Staff'!BN:BN,'3)Target &amp; Cal_Staff'!BM:BM,'1) For HR'!A4)</f>
        <v>0</v>
      </c>
      <c r="Q4" s="166">
        <f>SUMIFS('3)Target &amp; Cal_Sect'!BN:BN,'3)Target &amp; Cal_Sect'!BM:BM,'1) For HR'!A4)</f>
        <v>0</v>
      </c>
      <c r="R4" s="166">
        <f>SUMIFS('3)Target &amp; Cal_Dept'!BN:BN,'3)Target &amp; Cal_Dept'!BM:BM,'1) For HR'!A4)</f>
        <v>5964</v>
      </c>
      <c r="S4" s="166">
        <f>SUMIFS('3)Target &amp; Cal_AD'!BN:BN,'3)Target &amp; Cal_AD'!BM:BM,'1) For HR'!A4)</f>
        <v>0</v>
      </c>
    </row>
    <row r="5" spans="1:19" ht="11.4" x14ac:dyDescent="0.25">
      <c r="A5" s="137" t="s">
        <v>381</v>
      </c>
      <c r="B5" s="169" t="e">
        <f>IF(IF(VLOOKUP(A5,ASTBase!F:P,11,FALSE)="","",VLOOKUP(A5,ASTBase!F:P,11,FALSE))=0,"",IF(VLOOKUP(A5,ASTBase!F:P,11,FALSE)="","",VLOOKUP(A5,ASTBase!F:P,11,FALSE)))</f>
        <v>#N/A</v>
      </c>
      <c r="C5" s="140" t="str">
        <f>IF(IFERROR(_xlfn.IFNA(VLOOKUP($A5,'HR Rep'!$A:$X,MATCH('1) For HR'!C$1,'HR Rep'!$A$1:$X$1,0),0),""),"")="","",IFERROR(_xlfn.IFNA(VLOOKUP($A5,'HR Rep'!$A:$X,MATCH('1) For HR'!C$1,'HR Rep'!$A$1:$X$1,0),0),""),""))</f>
        <v/>
      </c>
      <c r="D5" s="140" t="str">
        <f>IF(IFERROR(_xlfn.IFNA(VLOOKUP($A5,'HR Rep'!$A:$X,MATCH('1) For HR'!D$1,'HR Rep'!$A$1:$X$1,0),0),""),"")="","",IFERROR(_xlfn.IFNA(VLOOKUP($A5,'HR Rep'!$A:$X,MATCH('1) For HR'!D$1,'HR Rep'!$A$1:$X$1,0),0),""),""))</f>
        <v/>
      </c>
      <c r="E5" s="140" t="str">
        <f>IF(IFERROR(_xlfn.IFNA(VLOOKUP($A5,'HR Rep'!$A:$X,MATCH('1) For HR'!E$1,'HR Rep'!$A$1:$X$1,0),0),""),"")="","",IFERROR(_xlfn.IFNA(VLOOKUP($A5,'HR Rep'!$A:$X,MATCH('1) For HR'!E$1,'HR Rep'!$A$1:$X$1,0),0),""),""))</f>
        <v/>
      </c>
      <c r="F5" s="140" t="str">
        <f>IF(IFERROR(_xlfn.IFNA(VLOOKUP($A5,'HR Rep'!$A:$X,MATCH('1) For HR'!F$1,'HR Rep'!$A$1:$X$1,0),0),""),"")="","",IFERROR(_xlfn.IFNA(VLOOKUP($A5,'HR Rep'!$A:$X,MATCH('1) For HR'!F$1,'HR Rep'!$A$1:$X$1,0),0),""),""))</f>
        <v/>
      </c>
      <c r="G5" s="196" t="s">
        <v>274</v>
      </c>
      <c r="H5" s="140" t="str">
        <f>IF(IFERROR(_xlfn.IFNA(VLOOKUP($A5,'HR Rep'!$A:$X,MATCH('1) For HR'!H$1,'HR Rep'!$A$1:$X$1,0),0),""),"")="","",IFERROR(_xlfn.IFNA(VLOOKUP($A5,'HR Rep'!$A:$X,MATCH('1) For HR'!H$1,'HR Rep'!$A$1:$X$1,0),0),""),""))</f>
        <v/>
      </c>
      <c r="I5" s="140" t="str">
        <f>IF(IFERROR(_xlfn.IFNA(VLOOKUP($A5,'HR Rep'!$A:$X,MATCH('1) For HR'!I$1,'HR Rep'!$A$1:$X$1,0),0),""),"")="","",IFERROR(_xlfn.IFNA(VLOOKUP($A5,'HR Rep'!$A:$X,MATCH('1) For HR'!I$1,'HR Rep'!$A$1:$X$1,0),0),""),""))</f>
        <v/>
      </c>
      <c r="J5" s="140" t="str">
        <f>IF(IFERROR(_xlfn.IFNA(VLOOKUP($A5,'HR Rep'!$A:$X,MATCH('1) For HR'!J$1,'HR Rep'!$A$1:$X$1,0),0),""),"")="","",IFERROR(_xlfn.IFNA(VLOOKUP($A5,'HR Rep'!$A:$X,MATCH('1) For HR'!J$1,'HR Rep'!$A$1:$X$1,0),0),""),""))</f>
        <v/>
      </c>
      <c r="K5" s="161">
        <f t="shared" si="0"/>
        <v>6233.68</v>
      </c>
      <c r="L5" s="174">
        <f>Period!$A$2</f>
        <v>46113</v>
      </c>
      <c r="M5" s="175">
        <f>Period!$B$2</f>
        <v>46174</v>
      </c>
      <c r="N5" s="194" t="s">
        <v>272</v>
      </c>
      <c r="P5" s="166">
        <f>SUMIFS('3)Target &amp; Cal_Staff'!BN:BN,'3)Target &amp; Cal_Staff'!BM:BM,'1) For HR'!A5)</f>
        <v>0</v>
      </c>
      <c r="Q5" s="166">
        <f>SUMIFS('3)Target &amp; Cal_Sect'!BN:BN,'3)Target &amp; Cal_Sect'!BM:BM,'1) For HR'!A5)</f>
        <v>6233.6842105263149</v>
      </c>
      <c r="R5" s="166">
        <f>SUMIFS('3)Target &amp; Cal_Dept'!BN:BN,'3)Target &amp; Cal_Dept'!BM:BM,'1) For HR'!A5)</f>
        <v>0</v>
      </c>
      <c r="S5" s="166">
        <f>SUMIFS('3)Target &amp; Cal_AD'!BN:BN,'3)Target &amp; Cal_AD'!BM:BM,'1) For HR'!A5)</f>
        <v>0</v>
      </c>
    </row>
    <row r="6" spans="1:19" ht="11.4" x14ac:dyDescent="0.25">
      <c r="A6" s="291" t="s">
        <v>383</v>
      </c>
      <c r="B6" s="169" t="e">
        <f>IF(IF(VLOOKUP(A6,ASTBase!F:P,11,FALSE)="","",VLOOKUP(A6,ASTBase!F:P,11,FALSE))=0,"",IF(VLOOKUP(A6,ASTBase!F:P,11,FALSE)="","",VLOOKUP(A6,ASTBase!F:P,11,FALSE)))</f>
        <v>#N/A</v>
      </c>
      <c r="C6" s="140" t="str">
        <f>IF(IFERROR(_xlfn.IFNA(VLOOKUP($A6,'HR Rep'!$A:$X,MATCH('1) For HR'!C$1,'HR Rep'!$A$1:$X$1,0),0),""),"")="","",IFERROR(_xlfn.IFNA(VLOOKUP($A6,'HR Rep'!$A:$X,MATCH('1) For HR'!C$1,'HR Rep'!$A$1:$X$1,0),0),""),""))</f>
        <v/>
      </c>
      <c r="D6" s="140" t="str">
        <f>IF(IFERROR(_xlfn.IFNA(VLOOKUP($A6,'HR Rep'!$A:$X,MATCH('1) For HR'!D$1,'HR Rep'!$A$1:$X$1,0),0),""),"")="","",IFERROR(_xlfn.IFNA(VLOOKUP($A6,'HR Rep'!$A:$X,MATCH('1) For HR'!D$1,'HR Rep'!$A$1:$X$1,0),0),""),""))</f>
        <v/>
      </c>
      <c r="E6" s="140" t="str">
        <f>IF(IFERROR(_xlfn.IFNA(VLOOKUP($A6,'HR Rep'!$A:$X,MATCH('1) For HR'!E$1,'HR Rep'!$A$1:$X$1,0),0),""),"")="","",IFERROR(_xlfn.IFNA(VLOOKUP($A6,'HR Rep'!$A:$X,MATCH('1) For HR'!E$1,'HR Rep'!$A$1:$X$1,0),0),""),""))</f>
        <v/>
      </c>
      <c r="F6" s="140" t="str">
        <f>IF(IFERROR(_xlfn.IFNA(VLOOKUP($A6,'HR Rep'!$A:$X,MATCH('1) For HR'!F$1,'HR Rep'!$A$1:$X$1,0),0),""),"")="","",IFERROR(_xlfn.IFNA(VLOOKUP($A6,'HR Rep'!$A:$X,MATCH('1) For HR'!F$1,'HR Rep'!$A$1:$X$1,0),0),""),""))</f>
        <v/>
      </c>
      <c r="G6" s="196" t="s">
        <v>275</v>
      </c>
      <c r="H6" s="140" t="str">
        <f>IF(IFERROR(_xlfn.IFNA(VLOOKUP($A6,'HR Rep'!$A:$X,MATCH('1) For HR'!H$1,'HR Rep'!$A$1:$X$1,0),0),""),"")="","",IFERROR(_xlfn.IFNA(VLOOKUP($A6,'HR Rep'!$A:$X,MATCH('1) For HR'!H$1,'HR Rep'!$A$1:$X$1,0),0),""),""))</f>
        <v/>
      </c>
      <c r="I6" s="140" t="str">
        <f>IF(IFERROR(_xlfn.IFNA(VLOOKUP($A6,'HR Rep'!$A:$X,MATCH('1) For HR'!I$1,'HR Rep'!$A$1:$X$1,0),0),""),"")="","",IFERROR(_xlfn.IFNA(VLOOKUP($A6,'HR Rep'!$A:$X,MATCH('1) For HR'!I$1,'HR Rep'!$A$1:$X$1,0),0),""),""))</f>
        <v/>
      </c>
      <c r="J6" s="140" t="str">
        <f>IF(IFERROR(_xlfn.IFNA(VLOOKUP($A6,'HR Rep'!$A:$X,MATCH('1) For HR'!J$1,'HR Rep'!$A$1:$X$1,0),0),""),"")="","",IFERROR(_xlfn.IFNA(VLOOKUP($A6,'HR Rep'!$A:$X,MATCH('1) For HR'!J$1,'HR Rep'!$A$1:$X$1,0),0),""),""))</f>
        <v/>
      </c>
      <c r="K6" s="161">
        <f>IF(ROUND(P6+Q6+R6+S6,2)&lt;O6,O6,ROUND(P6+Q6+R6+S6,2))</f>
        <v>6058.59</v>
      </c>
      <c r="L6" s="174">
        <f>Period!$A$2</f>
        <v>46113</v>
      </c>
      <c r="M6" s="175">
        <f>Period!$B$2</f>
        <v>46174</v>
      </c>
      <c r="N6" s="194" t="s">
        <v>272</v>
      </c>
      <c r="P6" s="166">
        <f>SUMIFS('3)Target &amp; Cal_Staff'!BN:BN,'3)Target &amp; Cal_Staff'!BM:BM,'1) For HR'!A6)</f>
        <v>0</v>
      </c>
      <c r="Q6" s="166">
        <f>SUMIFS('3)Target &amp; Cal_Sect'!BN:BN,'3)Target &amp; Cal_Sect'!BM:BM,'1) For HR'!A6)</f>
        <v>6058.5858585858568</v>
      </c>
      <c r="R6" s="166">
        <f>SUMIFS('3)Target &amp; Cal_Dept'!BN:BN,'3)Target &amp; Cal_Dept'!BM:BM,'1) For HR'!A6)</f>
        <v>0</v>
      </c>
      <c r="S6" s="166">
        <f>SUMIFS('3)Target &amp; Cal_AD'!BN:BN,'3)Target &amp; Cal_AD'!BM:BM,'1) For HR'!A6)</f>
        <v>0</v>
      </c>
    </row>
    <row r="7" spans="1:19" ht="11.4" x14ac:dyDescent="0.25">
      <c r="A7" s="137" t="s">
        <v>384</v>
      </c>
      <c r="B7" s="169" t="e">
        <f>IF(IF(VLOOKUP(A7,ASTBase!F:P,11,FALSE)="","",VLOOKUP(A7,ASTBase!F:P,11,FALSE))=0,"",IF(VLOOKUP(A7,ASTBase!F:P,11,FALSE)="","",VLOOKUP(A7,ASTBase!F:P,11,FALSE)))</f>
        <v>#N/A</v>
      </c>
      <c r="C7" s="140" t="str">
        <f>IF(IFERROR(_xlfn.IFNA(VLOOKUP($A7,'HR Rep'!$A:$X,MATCH('1) For HR'!C$1,'HR Rep'!$A$1:$X$1,0),0),""),"")="","",IFERROR(_xlfn.IFNA(VLOOKUP($A7,'HR Rep'!$A:$X,MATCH('1) For HR'!C$1,'HR Rep'!$A$1:$X$1,0),0),""),""))</f>
        <v/>
      </c>
      <c r="D7" s="140" t="str">
        <f>IF(IFERROR(_xlfn.IFNA(VLOOKUP($A7,'HR Rep'!$A:$X,MATCH('1) For HR'!D$1,'HR Rep'!$A$1:$X$1,0),0),""),"")="","",IFERROR(_xlfn.IFNA(VLOOKUP($A7,'HR Rep'!$A:$X,MATCH('1) For HR'!D$1,'HR Rep'!$A$1:$X$1,0),0),""),""))</f>
        <v/>
      </c>
      <c r="E7" s="140" t="str">
        <f>IF(IFERROR(_xlfn.IFNA(VLOOKUP($A7,'HR Rep'!$A:$X,MATCH('1) For HR'!E$1,'HR Rep'!$A$1:$X$1,0),0),""),"")="","",IFERROR(_xlfn.IFNA(VLOOKUP($A7,'HR Rep'!$A:$X,MATCH('1) For HR'!E$1,'HR Rep'!$A$1:$X$1,0),0),""),""))</f>
        <v/>
      </c>
      <c r="F7" s="140" t="str">
        <f>IF(IFERROR(_xlfn.IFNA(VLOOKUP($A7,'HR Rep'!$A:$X,MATCH('1) For HR'!F$1,'HR Rep'!$A$1:$X$1,0),0),""),"")="","",IFERROR(_xlfn.IFNA(VLOOKUP($A7,'HR Rep'!$A:$X,MATCH('1) For HR'!F$1,'HR Rep'!$A$1:$X$1,0),0),""),""))</f>
        <v/>
      </c>
      <c r="G7" s="196" t="s">
        <v>275</v>
      </c>
      <c r="H7" s="140" t="str">
        <f>IF(IFERROR(_xlfn.IFNA(VLOOKUP($A7,'HR Rep'!$A:$X,MATCH('1) For HR'!H$1,'HR Rep'!$A$1:$X$1,0),0),""),"")="","",IFERROR(_xlfn.IFNA(VLOOKUP($A7,'HR Rep'!$A:$X,MATCH('1) For HR'!H$1,'HR Rep'!$A$1:$X$1,0),0),""),""))</f>
        <v/>
      </c>
      <c r="I7" s="140" t="str">
        <f>IF(IFERROR(_xlfn.IFNA(VLOOKUP($A7,'HR Rep'!$A:$X,MATCH('1) For HR'!I$1,'HR Rep'!$A$1:$X$1,0),0),""),"")="","",IFERROR(_xlfn.IFNA(VLOOKUP($A7,'HR Rep'!$A:$X,MATCH('1) For HR'!I$1,'HR Rep'!$A$1:$X$1,0),0),""),""))</f>
        <v/>
      </c>
      <c r="J7" s="140" t="str">
        <f>IF(IFERROR(_xlfn.IFNA(VLOOKUP($A7,'HR Rep'!$A:$X,MATCH('1) For HR'!J$1,'HR Rep'!$A$1:$X$1,0),0),""),"")="","",IFERROR(_xlfn.IFNA(VLOOKUP($A7,'HR Rep'!$A:$X,MATCH('1) For HR'!J$1,'HR Rep'!$A$1:$X$1,0),0),""),""))</f>
        <v/>
      </c>
      <c r="K7" s="161">
        <f t="shared" si="0"/>
        <v>5113.13</v>
      </c>
      <c r="L7" s="174">
        <f>Period!$A$2</f>
        <v>46113</v>
      </c>
      <c r="M7" s="175">
        <f>Period!$B$2</f>
        <v>46174</v>
      </c>
      <c r="N7" s="194" t="s">
        <v>272</v>
      </c>
      <c r="P7" s="166">
        <f>SUMIFS('3)Target &amp; Cal_Staff'!BN:BN,'3)Target &amp; Cal_Staff'!BM:BM,'1) For HR'!A7)</f>
        <v>0</v>
      </c>
      <c r="Q7" s="166">
        <f>SUMIFS('3)Target &amp; Cal_Sect'!BN:BN,'3)Target &amp; Cal_Sect'!BM:BM,'1) For HR'!A7)</f>
        <v>5113.1313131313127</v>
      </c>
      <c r="R7" s="166">
        <f>SUMIFS('3)Target &amp; Cal_Dept'!BN:BN,'3)Target &amp; Cal_Dept'!BM:BM,'1) For HR'!A7)</f>
        <v>0</v>
      </c>
      <c r="S7" s="166">
        <f>SUMIFS('3)Target &amp; Cal_AD'!BN:BN,'3)Target &amp; Cal_AD'!BM:BM,'1) For HR'!A7)</f>
        <v>0</v>
      </c>
    </row>
    <row r="8" spans="1:19" ht="11.4" x14ac:dyDescent="0.25">
      <c r="A8" s="137" t="s">
        <v>385</v>
      </c>
      <c r="B8" s="169" t="e">
        <f>IF(IF(VLOOKUP(A8,ASTBase!F:P,11,FALSE)="","",VLOOKUP(A8,ASTBase!F:P,11,FALSE))=0,"",IF(VLOOKUP(A8,ASTBase!F:P,11,FALSE)="","",VLOOKUP(A8,ASTBase!F:P,11,FALSE)))</f>
        <v>#N/A</v>
      </c>
      <c r="C8" s="140" t="str">
        <f>IF(IFERROR(_xlfn.IFNA(VLOOKUP($A8,'HR Rep'!$A:$X,MATCH('1) For HR'!C$1,'HR Rep'!$A$1:$X$1,0),0),""),"")="","",IFERROR(_xlfn.IFNA(VLOOKUP($A8,'HR Rep'!$A:$X,MATCH('1) For HR'!C$1,'HR Rep'!$A$1:$X$1,0),0),""),""))</f>
        <v/>
      </c>
      <c r="D8" s="140" t="str">
        <f>IF(IFERROR(_xlfn.IFNA(VLOOKUP($A8,'HR Rep'!$A:$X,MATCH('1) For HR'!D$1,'HR Rep'!$A$1:$X$1,0),0),""),"")="","",IFERROR(_xlfn.IFNA(VLOOKUP($A8,'HR Rep'!$A:$X,MATCH('1) For HR'!D$1,'HR Rep'!$A$1:$X$1,0),0),""),""))</f>
        <v/>
      </c>
      <c r="E8" s="140" t="str">
        <f>IF(IFERROR(_xlfn.IFNA(VLOOKUP($A8,'HR Rep'!$A:$X,MATCH('1) For HR'!E$1,'HR Rep'!$A$1:$X$1,0),0),""),"")="","",IFERROR(_xlfn.IFNA(VLOOKUP($A8,'HR Rep'!$A:$X,MATCH('1) For HR'!E$1,'HR Rep'!$A$1:$X$1,0),0),""),""))</f>
        <v/>
      </c>
      <c r="F8" s="140" t="str">
        <f>IF(IFERROR(_xlfn.IFNA(VLOOKUP($A8,'HR Rep'!$A:$X,MATCH('1) For HR'!F$1,'HR Rep'!$A$1:$X$1,0),0),""),"")="","",IFERROR(_xlfn.IFNA(VLOOKUP($A8,'HR Rep'!$A:$X,MATCH('1) For HR'!F$1,'HR Rep'!$A$1:$X$1,0),0),""),""))</f>
        <v/>
      </c>
      <c r="G8" s="196" t="s">
        <v>275</v>
      </c>
      <c r="H8" s="140" t="str">
        <f>IF(IFERROR(_xlfn.IFNA(VLOOKUP($A8,'HR Rep'!$A:$X,MATCH('1) For HR'!H$1,'HR Rep'!$A$1:$X$1,0),0),""),"")="","",IFERROR(_xlfn.IFNA(VLOOKUP($A8,'HR Rep'!$A:$X,MATCH('1) For HR'!H$1,'HR Rep'!$A$1:$X$1,0),0),""),""))</f>
        <v/>
      </c>
      <c r="I8" s="140" t="str">
        <f>IF(IFERROR(_xlfn.IFNA(VLOOKUP($A8,'HR Rep'!$A:$X,MATCH('1) For HR'!I$1,'HR Rep'!$A$1:$X$1,0),0),""),"")="","",IFERROR(_xlfn.IFNA(VLOOKUP($A8,'HR Rep'!$A:$X,MATCH('1) For HR'!I$1,'HR Rep'!$A$1:$X$1,0),0),""),""))</f>
        <v/>
      </c>
      <c r="J8" s="140" t="str">
        <f>IF(IFERROR(_xlfn.IFNA(VLOOKUP($A8,'HR Rep'!$A:$X,MATCH('1) For HR'!J$1,'HR Rep'!$A$1:$X$1,0),0),""),"")="","",IFERROR(_xlfn.IFNA(VLOOKUP($A8,'HR Rep'!$A:$X,MATCH('1) For HR'!J$1,'HR Rep'!$A$1:$X$1,0),0),""),""))</f>
        <v/>
      </c>
      <c r="K8" s="161">
        <f t="shared" si="0"/>
        <v>5765</v>
      </c>
      <c r="L8" s="174">
        <f>Period!$A$2</f>
        <v>46113</v>
      </c>
      <c r="M8" s="175">
        <f>Period!$B$2</f>
        <v>46174</v>
      </c>
      <c r="N8" s="194" t="s">
        <v>272</v>
      </c>
      <c r="P8" s="166">
        <f>SUMIFS('3)Target &amp; Cal_Staff'!BN:BN,'3)Target &amp; Cal_Staff'!BM:BM,'1) For HR'!A8)</f>
        <v>0</v>
      </c>
      <c r="Q8" s="166">
        <f>SUMIFS('3)Target &amp; Cal_Sect'!BN:BN,'3)Target &amp; Cal_Sect'!BM:BM,'1) For HR'!A8)</f>
        <v>5765</v>
      </c>
      <c r="R8" s="166">
        <f>SUMIFS('3)Target &amp; Cal_Dept'!BN:BN,'3)Target &amp; Cal_Dept'!BM:BM,'1) For HR'!A8)</f>
        <v>0</v>
      </c>
      <c r="S8" s="166">
        <f>SUMIFS('3)Target &amp; Cal_AD'!BN:BN,'3)Target &amp; Cal_AD'!BM:BM,'1) For HR'!A8)</f>
        <v>0</v>
      </c>
    </row>
    <row r="9" spans="1:19" ht="11.4" x14ac:dyDescent="0.25">
      <c r="A9" s="137" t="s">
        <v>382</v>
      </c>
      <c r="B9" s="169" t="e">
        <f>IF(IF(VLOOKUP(A9,ASTBase!F:P,11,FALSE)="","",VLOOKUP(A9,ASTBase!F:P,11,FALSE))=0,"",IF(VLOOKUP(A9,ASTBase!F:P,11,FALSE)="","",VLOOKUP(A9,ASTBase!F:P,11,FALSE)))</f>
        <v>#N/A</v>
      </c>
      <c r="C9" s="140" t="str">
        <f>IF(IFERROR(_xlfn.IFNA(VLOOKUP($A9,'HR Rep'!$A:$X,MATCH('1) For HR'!C$1,'HR Rep'!$A$1:$X$1,0),0),""),"")="","",IFERROR(_xlfn.IFNA(VLOOKUP($A9,'HR Rep'!$A:$X,MATCH('1) For HR'!C$1,'HR Rep'!$A$1:$X$1,0),0),""),""))</f>
        <v/>
      </c>
      <c r="D9" s="140" t="str">
        <f>IF(IFERROR(_xlfn.IFNA(VLOOKUP($A9,'HR Rep'!$A:$X,MATCH('1) For HR'!D$1,'HR Rep'!$A$1:$X$1,0),0),""),"")="","",IFERROR(_xlfn.IFNA(VLOOKUP($A9,'HR Rep'!$A:$X,MATCH('1) For HR'!D$1,'HR Rep'!$A$1:$X$1,0),0),""),""))</f>
        <v/>
      </c>
      <c r="E9" s="140" t="str">
        <f>IF(IFERROR(_xlfn.IFNA(VLOOKUP($A9,'HR Rep'!$A:$X,MATCH('1) For HR'!E$1,'HR Rep'!$A$1:$X$1,0),0),""),"")="","",IFERROR(_xlfn.IFNA(VLOOKUP($A9,'HR Rep'!$A:$X,MATCH('1) For HR'!E$1,'HR Rep'!$A$1:$X$1,0),0),""),""))</f>
        <v/>
      </c>
      <c r="F9" s="140" t="str">
        <f>IF(IFERROR(_xlfn.IFNA(VLOOKUP($A9,'HR Rep'!$A:$X,MATCH('1) For HR'!F$1,'HR Rep'!$A$1:$X$1,0),0),""),"")="","",IFERROR(_xlfn.IFNA(VLOOKUP($A9,'HR Rep'!$A:$X,MATCH('1) For HR'!F$1,'HR Rep'!$A$1:$X$1,0),0),""),""))</f>
        <v/>
      </c>
      <c r="G9" s="196" t="s">
        <v>275</v>
      </c>
      <c r="H9" s="140" t="str">
        <f>IF(IFERROR(_xlfn.IFNA(VLOOKUP($A9,'HR Rep'!$A:$X,MATCH('1) For HR'!H$1,'HR Rep'!$A$1:$X$1,0),0),""),"")="","",IFERROR(_xlfn.IFNA(VLOOKUP($A9,'HR Rep'!$A:$X,MATCH('1) For HR'!H$1,'HR Rep'!$A$1:$X$1,0),0),""),""))</f>
        <v/>
      </c>
      <c r="I9" s="140" t="str">
        <f>IF(IFERROR(_xlfn.IFNA(VLOOKUP($A9,'HR Rep'!$A:$X,MATCH('1) For HR'!I$1,'HR Rep'!$A$1:$X$1,0),0),""),"")="","",IFERROR(_xlfn.IFNA(VLOOKUP($A9,'HR Rep'!$A:$X,MATCH('1) For HR'!I$1,'HR Rep'!$A$1:$X$1,0),0),""),""))</f>
        <v/>
      </c>
      <c r="J9" s="140" t="str">
        <f>IF(IFERROR(_xlfn.IFNA(VLOOKUP($A9,'HR Rep'!$A:$X,MATCH('1) For HR'!J$1,'HR Rep'!$A$1:$X$1,0),0),""),"")="","",IFERROR(_xlfn.IFNA(VLOOKUP($A9,'HR Rep'!$A:$X,MATCH('1) For HR'!J$1,'HR Rep'!$A$1:$X$1,0),0),""),""))</f>
        <v/>
      </c>
      <c r="K9" s="161">
        <f t="shared" si="0"/>
        <v>5900</v>
      </c>
      <c r="L9" s="174">
        <f>Period!$A$2</f>
        <v>46113</v>
      </c>
      <c r="M9" s="175">
        <f>Period!$B$2</f>
        <v>46174</v>
      </c>
      <c r="N9" s="194" t="s">
        <v>272</v>
      </c>
      <c r="P9" s="166">
        <f>SUMIFS('3)Target &amp; Cal_Staff'!BN:BN,'3)Target &amp; Cal_Staff'!BM:BM,'1) For HR'!A9)</f>
        <v>0</v>
      </c>
      <c r="Q9" s="166">
        <f>SUMIFS('3)Target &amp; Cal_Sect'!BN:BN,'3)Target &amp; Cal_Sect'!BM:BM,'1) For HR'!A9)</f>
        <v>5900</v>
      </c>
      <c r="R9" s="166">
        <f>SUMIFS('3)Target &amp; Cal_Dept'!BN:BN,'3)Target &amp; Cal_Dept'!BM:BM,'1) For HR'!A9)</f>
        <v>0</v>
      </c>
      <c r="S9" s="166">
        <f>SUMIFS('3)Target &amp; Cal_AD'!BN:BN,'3)Target &amp; Cal_AD'!BM:BM,'1) For HR'!A9)</f>
        <v>0</v>
      </c>
    </row>
    <row r="10" spans="1:19" ht="11.4" x14ac:dyDescent="0.25">
      <c r="A10" s="137" t="s">
        <v>387</v>
      </c>
      <c r="B10" s="169" t="e">
        <f>IF(IF(VLOOKUP(A10,ASTBase!F:P,11,FALSE)="","",VLOOKUP(A10,ASTBase!F:P,11,FALSE))=0,"",IF(VLOOKUP(A10,ASTBase!F:P,11,FALSE)="","",VLOOKUP(A10,ASTBase!F:P,11,FALSE)))</f>
        <v>#N/A</v>
      </c>
      <c r="C10" s="140" t="str">
        <f>IF(IFERROR(_xlfn.IFNA(VLOOKUP($A10,'HR Rep'!$A:$X,MATCH('1) For HR'!C$1,'HR Rep'!$A$1:$X$1,0),0),""),"")="","",IFERROR(_xlfn.IFNA(VLOOKUP($A10,'HR Rep'!$A:$X,MATCH('1) For HR'!C$1,'HR Rep'!$A$1:$X$1,0),0),""),""))</f>
        <v/>
      </c>
      <c r="D10" s="140" t="str">
        <f>IF(IFERROR(_xlfn.IFNA(VLOOKUP($A10,'HR Rep'!$A:$X,MATCH('1) For HR'!D$1,'HR Rep'!$A$1:$X$1,0),0),""),"")="","",IFERROR(_xlfn.IFNA(VLOOKUP($A10,'HR Rep'!$A:$X,MATCH('1) For HR'!D$1,'HR Rep'!$A$1:$X$1,0),0),""),""))</f>
        <v/>
      </c>
      <c r="E10" s="140" t="str">
        <f>IF(IFERROR(_xlfn.IFNA(VLOOKUP($A10,'HR Rep'!$A:$X,MATCH('1) For HR'!E$1,'HR Rep'!$A$1:$X$1,0),0),""),"")="","",IFERROR(_xlfn.IFNA(VLOOKUP($A10,'HR Rep'!$A:$X,MATCH('1) For HR'!E$1,'HR Rep'!$A$1:$X$1,0),0),""),""))</f>
        <v/>
      </c>
      <c r="F10" s="140" t="str">
        <f>IF(IFERROR(_xlfn.IFNA(VLOOKUP($A10,'HR Rep'!$A:$X,MATCH('1) For HR'!F$1,'HR Rep'!$A$1:$X$1,0),0),""),"")="","",IFERROR(_xlfn.IFNA(VLOOKUP($A10,'HR Rep'!$A:$X,MATCH('1) For HR'!F$1,'HR Rep'!$A$1:$X$1,0),0),""),""))</f>
        <v/>
      </c>
      <c r="G10" s="196" t="s">
        <v>276</v>
      </c>
      <c r="H10" s="140" t="str">
        <f>IF(IFERROR(_xlfn.IFNA(VLOOKUP($A10,'HR Rep'!$A:$X,MATCH('1) For HR'!H$1,'HR Rep'!$A$1:$X$1,0),0),""),"")="","",IFERROR(_xlfn.IFNA(VLOOKUP($A10,'HR Rep'!$A:$X,MATCH('1) For HR'!H$1,'HR Rep'!$A$1:$X$1,0),0),""),""))</f>
        <v/>
      </c>
      <c r="I10" s="140" t="str">
        <f>IF(IFERROR(_xlfn.IFNA(VLOOKUP($A10,'HR Rep'!$A:$X,MATCH('1) For HR'!I$1,'HR Rep'!$A$1:$X$1,0),0),""),"")="","",IFERROR(_xlfn.IFNA(VLOOKUP($A10,'HR Rep'!$A:$X,MATCH('1) For HR'!I$1,'HR Rep'!$A$1:$X$1,0),0),""),""))</f>
        <v/>
      </c>
      <c r="J10" s="140" t="str">
        <f>IF(IFERROR(_xlfn.IFNA(VLOOKUP($A10,'HR Rep'!$A:$X,MATCH('1) For HR'!J$1,'HR Rep'!$A$1:$X$1,0),0),""),"")="","",IFERROR(_xlfn.IFNA(VLOOKUP($A10,'HR Rep'!$A:$X,MATCH('1) For HR'!J$1,'HR Rep'!$A$1:$X$1,0),0),""),""))</f>
        <v/>
      </c>
      <c r="K10" s="161">
        <f t="shared" si="0"/>
        <v>5627</v>
      </c>
      <c r="L10" s="174">
        <f>Period!$A$2</f>
        <v>46113</v>
      </c>
      <c r="M10" s="175">
        <f>Period!$B$2</f>
        <v>46174</v>
      </c>
      <c r="N10" s="194" t="s">
        <v>272</v>
      </c>
      <c r="P10" s="166">
        <f>SUMIFS('3)Target &amp; Cal_Staff'!BN:BN,'3)Target &amp; Cal_Staff'!BM:BM,'1) For HR'!A10)</f>
        <v>5627</v>
      </c>
      <c r="Q10" s="166">
        <f>SUMIFS('3)Target &amp; Cal_Sect'!BN:BN,'3)Target &amp; Cal_Sect'!BM:BM,'1) For HR'!A10)</f>
        <v>0</v>
      </c>
      <c r="R10" s="166">
        <f>SUMIFS('3)Target &amp; Cal_Dept'!BN:BN,'3)Target &amp; Cal_Dept'!BM:BM,'1) For HR'!A10)</f>
        <v>0</v>
      </c>
      <c r="S10" s="166">
        <f>SUMIFS('3)Target &amp; Cal_AD'!BN:BN,'3)Target &amp; Cal_AD'!BM:BM,'1) For HR'!A10)</f>
        <v>0</v>
      </c>
    </row>
    <row r="11" spans="1:19" ht="11.4" x14ac:dyDescent="0.25">
      <c r="A11" s="137" t="s">
        <v>386</v>
      </c>
      <c r="B11" s="169" t="e">
        <f>IF(IF(VLOOKUP(A11,ASTBase!F:P,11,FALSE)="","",VLOOKUP(A11,ASTBase!F:P,11,FALSE))=0,"",IF(VLOOKUP(A11,ASTBase!F:P,11,FALSE)="","",VLOOKUP(A11,ASTBase!F:P,11,FALSE)))</f>
        <v>#N/A</v>
      </c>
      <c r="C11" s="140" t="str">
        <f>IF(IFERROR(_xlfn.IFNA(VLOOKUP($A11,'HR Rep'!$A:$X,MATCH('1) For HR'!C$1,'HR Rep'!$A$1:$X$1,0),0),""),"")="","",IFERROR(_xlfn.IFNA(VLOOKUP($A11,'HR Rep'!$A:$X,MATCH('1) For HR'!C$1,'HR Rep'!$A$1:$X$1,0),0),""),""))</f>
        <v/>
      </c>
      <c r="D11" s="140" t="str">
        <f>IF(IFERROR(_xlfn.IFNA(VLOOKUP($A11,'HR Rep'!$A:$X,MATCH('1) For HR'!D$1,'HR Rep'!$A$1:$X$1,0),0),""),"")="","",IFERROR(_xlfn.IFNA(VLOOKUP($A11,'HR Rep'!$A:$X,MATCH('1) For HR'!D$1,'HR Rep'!$A$1:$X$1,0),0),""),""))</f>
        <v/>
      </c>
      <c r="E11" s="140" t="str">
        <f>IF(IFERROR(_xlfn.IFNA(VLOOKUP($A11,'HR Rep'!$A:$X,MATCH('1) For HR'!E$1,'HR Rep'!$A$1:$X$1,0),0),""),"")="","",IFERROR(_xlfn.IFNA(VLOOKUP($A11,'HR Rep'!$A:$X,MATCH('1) For HR'!E$1,'HR Rep'!$A$1:$X$1,0),0),""),""))</f>
        <v/>
      </c>
      <c r="F11" s="140" t="str">
        <f>IF(IFERROR(_xlfn.IFNA(VLOOKUP($A11,'HR Rep'!$A:$X,MATCH('1) For HR'!F$1,'HR Rep'!$A$1:$X$1,0),0),""),"")="","",IFERROR(_xlfn.IFNA(VLOOKUP($A11,'HR Rep'!$A:$X,MATCH('1) For HR'!F$1,'HR Rep'!$A$1:$X$1,0),0),""),""))</f>
        <v/>
      </c>
      <c r="G11" s="196" t="s">
        <v>277</v>
      </c>
      <c r="H11" s="140" t="str">
        <f>IF(IFERROR(_xlfn.IFNA(VLOOKUP($A11,'HR Rep'!$A:$X,MATCH('1) For HR'!H$1,'HR Rep'!$A$1:$X$1,0),0),""),"")="","",IFERROR(_xlfn.IFNA(VLOOKUP($A11,'HR Rep'!$A:$X,MATCH('1) For HR'!H$1,'HR Rep'!$A$1:$X$1,0),0),""),""))</f>
        <v/>
      </c>
      <c r="I11" s="140" t="str">
        <f>IF(IFERROR(_xlfn.IFNA(VLOOKUP($A11,'HR Rep'!$A:$X,MATCH('1) For HR'!I$1,'HR Rep'!$A$1:$X$1,0),0),""),"")="","",IFERROR(_xlfn.IFNA(VLOOKUP($A11,'HR Rep'!$A:$X,MATCH('1) For HR'!I$1,'HR Rep'!$A$1:$X$1,0),0),""),""))</f>
        <v/>
      </c>
      <c r="J11" s="140" t="str">
        <f>IF(IFERROR(_xlfn.IFNA(VLOOKUP($A11,'HR Rep'!$A:$X,MATCH('1) For HR'!J$1,'HR Rep'!$A$1:$X$1,0),0),""),"")="","",IFERROR(_xlfn.IFNA(VLOOKUP($A11,'HR Rep'!$A:$X,MATCH('1) For HR'!J$1,'HR Rep'!$A$1:$X$1,0),0),""),""))</f>
        <v/>
      </c>
      <c r="K11" s="161">
        <f t="shared" si="0"/>
        <v>6134</v>
      </c>
      <c r="L11" s="174">
        <f>Period!$A$2</f>
        <v>46113</v>
      </c>
      <c r="M11" s="175">
        <f>Period!$B$2</f>
        <v>46174</v>
      </c>
      <c r="N11" s="194" t="s">
        <v>272</v>
      </c>
      <c r="P11" s="166">
        <f>SUMIFS('3)Target &amp; Cal_Staff'!BN:BN,'3)Target &amp; Cal_Staff'!BM:BM,'1) For HR'!A11)</f>
        <v>6134</v>
      </c>
      <c r="Q11" s="166">
        <f>SUMIFS('3)Target &amp; Cal_Sect'!BN:BN,'3)Target &amp; Cal_Sect'!BM:BM,'1) For HR'!A11)</f>
        <v>0</v>
      </c>
      <c r="R11" s="166">
        <f>SUMIFS('3)Target &amp; Cal_Dept'!BN:BN,'3)Target &amp; Cal_Dept'!BM:BM,'1) For HR'!A11)</f>
        <v>0</v>
      </c>
      <c r="S11" s="166">
        <f>SUMIFS('3)Target &amp; Cal_AD'!BN:BN,'3)Target &amp; Cal_AD'!BM:BM,'1) For HR'!A11)</f>
        <v>0</v>
      </c>
    </row>
    <row r="12" spans="1:19" ht="11.4" x14ac:dyDescent="0.25">
      <c r="A12" s="269">
        <v>222207</v>
      </c>
      <c r="B12" s="272">
        <f>IF(IF(VLOOKUP(A12,ASTBase!F:P,11,FALSE)="","",VLOOKUP(A12,ASTBase!F:P,11,FALSE))=0,"",IF(VLOOKUP(A12,ASTBase!F:P,11,FALSE)="","",VLOOKUP(A12,ASTBase!F:P,11,FALSE)))</f>
        <v>5490000705</v>
      </c>
      <c r="C12" s="273" t="str">
        <f>IF(IFERROR(_xlfn.IFNA(VLOOKUP($A12,'HR Rep'!$A:$X,MATCH('1) For HR'!C$1,'HR Rep'!$A$1:$X$1,0),0),""),"")="","",IFERROR(_xlfn.IFNA(VLOOKUP($A12,'HR Rep'!$A:$X,MATCH('1) For HR'!C$1,'HR Rep'!$A$1:$X$1,0),0),""),""))</f>
        <v/>
      </c>
      <c r="D12" s="140" t="str">
        <f>IF(IFERROR(_xlfn.IFNA(VLOOKUP($A12,'HR Rep'!$A:$X,MATCH('1) For HR'!D$1,'HR Rep'!$A$1:$X$1,0),0),""),"")="","",IFERROR(_xlfn.IFNA(VLOOKUP($A12,'HR Rep'!$A:$X,MATCH('1) For HR'!D$1,'HR Rep'!$A$1:$X$1,0),0),""),""))</f>
        <v/>
      </c>
      <c r="E12" s="140" t="str">
        <f>IF(IFERROR(_xlfn.IFNA(VLOOKUP($A12,'HR Rep'!$A:$X,MATCH('1) For HR'!E$1,'HR Rep'!$A$1:$X$1,0),0),""),"")="","",IFERROR(_xlfn.IFNA(VLOOKUP($A12,'HR Rep'!$A:$X,MATCH('1) For HR'!E$1,'HR Rep'!$A$1:$X$1,0),0),""),""))</f>
        <v/>
      </c>
      <c r="F12" s="140" t="str">
        <f>IF(IFERROR(_xlfn.IFNA(VLOOKUP($A12,'HR Rep'!$A:$X,MATCH('1) For HR'!F$1,'HR Rep'!$A$1:$X$1,0),0),""),"")="","",IFERROR(_xlfn.IFNA(VLOOKUP($A12,'HR Rep'!$A:$X,MATCH('1) For HR'!F$1,'HR Rep'!$A$1:$X$1,0),0),""),""))</f>
        <v/>
      </c>
      <c r="G12" s="196" t="s">
        <v>276</v>
      </c>
      <c r="H12" s="140" t="str">
        <f>IF(IFERROR(_xlfn.IFNA(VLOOKUP($A12,'HR Rep'!$A:$X,MATCH('1) For HR'!H$1,'HR Rep'!$A$1:$X$1,0),0),""),"")="","",IFERROR(_xlfn.IFNA(VLOOKUP($A12,'HR Rep'!$A:$X,MATCH('1) For HR'!H$1,'HR Rep'!$A$1:$X$1,0),0),""),""))</f>
        <v/>
      </c>
      <c r="I12" s="140" t="str">
        <f>IF(IFERROR(_xlfn.IFNA(VLOOKUP($A12,'HR Rep'!$A:$X,MATCH('1) For HR'!I$1,'HR Rep'!$A$1:$X$1,0),0),""),"")="","",IFERROR(_xlfn.IFNA(VLOOKUP($A12,'HR Rep'!$A:$X,MATCH('1) For HR'!I$1,'HR Rep'!$A$1:$X$1,0),0),""),""))</f>
        <v/>
      </c>
      <c r="J12" s="140" t="str">
        <f>IF(IFERROR(_xlfn.IFNA(VLOOKUP($A12,'HR Rep'!$A:$X,MATCH('1) For HR'!J$1,'HR Rep'!$A$1:$X$1,0),0),""),"")="","",IFERROR(_xlfn.IFNA(VLOOKUP($A12,'HR Rep'!$A:$X,MATCH('1) For HR'!J$1,'HR Rep'!$A$1:$X$1,0),0),""),""))</f>
        <v/>
      </c>
      <c r="K12" s="161">
        <f t="shared" si="0"/>
        <v>6340</v>
      </c>
      <c r="L12" s="174">
        <f>Period!$A$2</f>
        <v>46113</v>
      </c>
      <c r="M12" s="175">
        <f>Period!$B$2</f>
        <v>46174</v>
      </c>
      <c r="N12" s="194" t="s">
        <v>272</v>
      </c>
      <c r="P12" s="166">
        <f>SUMIFS('3)Target &amp; Cal_Staff'!BN:BN,'3)Target &amp; Cal_Staff'!BM:BM,'1) For HR'!A12)</f>
        <v>6340</v>
      </c>
      <c r="Q12" s="166">
        <f>SUMIFS('3)Target &amp; Cal_Sect'!BN:BN,'3)Target &amp; Cal_Sect'!BM:BM,'1) For HR'!A12)</f>
        <v>0</v>
      </c>
      <c r="R12" s="166">
        <f>SUMIFS('3)Target &amp; Cal_Dept'!BN:BN,'3)Target &amp; Cal_Dept'!BM:BM,'1) For HR'!A12)</f>
        <v>0</v>
      </c>
      <c r="S12" s="166">
        <f>SUMIFS('3)Target &amp; Cal_AD'!BN:BN,'3)Target &amp; Cal_AD'!BM:BM,'1) For HR'!A12)</f>
        <v>0</v>
      </c>
    </row>
    <row r="13" spans="1:19" ht="11.4" x14ac:dyDescent="0.25">
      <c r="A13" s="269">
        <v>222216</v>
      </c>
      <c r="B13" s="169">
        <f>IF(IF(VLOOKUP(A13,ASTBase!F:P,11,FALSE)="","",VLOOKUP(A13,ASTBase!F:P,11,FALSE))=0,"",IF(VLOOKUP(A13,ASTBase!F:P,11,FALSE)="","",VLOOKUP(A13,ASTBase!F:P,11,FALSE)))</f>
        <v>5490000714</v>
      </c>
      <c r="C13" s="140" t="str">
        <f>IF(IFERROR(_xlfn.IFNA(VLOOKUP($A13,'HR Rep'!$A:$X,MATCH('1) For HR'!C$1,'HR Rep'!$A$1:$X$1,0),0),""),"")="","",IFERROR(_xlfn.IFNA(VLOOKUP($A13,'HR Rep'!$A:$X,MATCH('1) For HR'!C$1,'HR Rep'!$A$1:$X$1,0),0),""),""))</f>
        <v/>
      </c>
      <c r="D13" s="140" t="str">
        <f>IF(IFERROR(_xlfn.IFNA(VLOOKUP($A13,'HR Rep'!$A:$X,MATCH('1) For HR'!D$1,'HR Rep'!$A$1:$X$1,0),0),""),"")="","",IFERROR(_xlfn.IFNA(VLOOKUP($A13,'HR Rep'!$A:$X,MATCH('1) For HR'!D$1,'HR Rep'!$A$1:$X$1,0),0),""),""))</f>
        <v/>
      </c>
      <c r="E13" s="140" t="str">
        <f>IF(IFERROR(_xlfn.IFNA(VLOOKUP($A13,'HR Rep'!$A:$X,MATCH('1) For HR'!E$1,'HR Rep'!$A$1:$X$1,0),0),""),"")="","",IFERROR(_xlfn.IFNA(VLOOKUP($A13,'HR Rep'!$A:$X,MATCH('1) For HR'!E$1,'HR Rep'!$A$1:$X$1,0),0),""),""))</f>
        <v/>
      </c>
      <c r="F13" s="140" t="str">
        <f>IF(IFERROR(_xlfn.IFNA(VLOOKUP($A13,'HR Rep'!$A:$X,MATCH('1) For HR'!F$1,'HR Rep'!$A$1:$X$1,0),0),""),"")="","",IFERROR(_xlfn.IFNA(VLOOKUP($A13,'HR Rep'!$A:$X,MATCH('1) For HR'!F$1,'HR Rep'!$A$1:$X$1,0),0),""),""))</f>
        <v/>
      </c>
      <c r="G13" s="196" t="s">
        <v>276</v>
      </c>
      <c r="H13" s="140" t="str">
        <f>IF(IFERROR(_xlfn.IFNA(VLOOKUP($A13,'HR Rep'!$A:$X,MATCH('1) For HR'!H$1,'HR Rep'!$A$1:$X$1,0),0),""),"")="","",IFERROR(_xlfn.IFNA(VLOOKUP($A13,'HR Rep'!$A:$X,MATCH('1) For HR'!H$1,'HR Rep'!$A$1:$X$1,0),0),""),""))</f>
        <v/>
      </c>
      <c r="I13" s="140" t="str">
        <f>IF(IFERROR(_xlfn.IFNA(VLOOKUP($A13,'HR Rep'!$A:$X,MATCH('1) For HR'!I$1,'HR Rep'!$A$1:$X$1,0),0),""),"")="","",IFERROR(_xlfn.IFNA(VLOOKUP($A13,'HR Rep'!$A:$X,MATCH('1) For HR'!I$1,'HR Rep'!$A$1:$X$1,0),0),""),""))</f>
        <v/>
      </c>
      <c r="J13" s="140" t="str">
        <f>IF(IFERROR(_xlfn.IFNA(VLOOKUP($A13,'HR Rep'!$A:$X,MATCH('1) For HR'!J$1,'HR Rep'!$A$1:$X$1,0),0),""),"")="","",IFERROR(_xlfn.IFNA(VLOOKUP($A13,'HR Rep'!$A:$X,MATCH('1) For HR'!J$1,'HR Rep'!$A$1:$X$1,0),0),""),""))</f>
        <v/>
      </c>
      <c r="K13" s="161">
        <f t="shared" si="0"/>
        <v>5091</v>
      </c>
      <c r="L13" s="174">
        <f>Period!$A$2</f>
        <v>46113</v>
      </c>
      <c r="M13" s="175">
        <f>Period!$B$2</f>
        <v>46174</v>
      </c>
      <c r="N13" s="194" t="s">
        <v>272</v>
      </c>
      <c r="P13" s="166">
        <f>SUMIFS('3)Target &amp; Cal_Staff'!BN:BN,'3)Target &amp; Cal_Staff'!BM:BM,'1) For HR'!A13)</f>
        <v>5091</v>
      </c>
      <c r="Q13" s="166">
        <f>SUMIFS('3)Target &amp; Cal_Sect'!BN:BN,'3)Target &amp; Cal_Sect'!BM:BM,'1) For HR'!A13)</f>
        <v>0</v>
      </c>
      <c r="R13" s="166">
        <f>SUMIFS('3)Target &amp; Cal_Dept'!BN:BN,'3)Target &amp; Cal_Dept'!BM:BM,'1) For HR'!A13)</f>
        <v>0</v>
      </c>
      <c r="S13" s="166">
        <f>SUMIFS('3)Target &amp; Cal_AD'!BN:BN,'3)Target &amp; Cal_AD'!BM:BM,'1) For HR'!A13)</f>
        <v>0</v>
      </c>
    </row>
    <row r="14" spans="1:19" ht="11.4" x14ac:dyDescent="0.25">
      <c r="A14" s="269">
        <v>222219</v>
      </c>
      <c r="B14" s="169">
        <f>IF(IF(VLOOKUP(A14,ASTBase!F:P,11,FALSE)="","",VLOOKUP(A14,ASTBase!F:P,11,FALSE))=0,"",IF(VLOOKUP(A14,ASTBase!F:P,11,FALSE)="","",VLOOKUP(A14,ASTBase!F:P,11,FALSE)))</f>
        <v>5490000719</v>
      </c>
      <c r="C14" s="140" t="str">
        <f>IF(IFERROR(_xlfn.IFNA(VLOOKUP($A14,'HR Rep'!$A:$X,MATCH('1) For HR'!C$1,'HR Rep'!$A$1:$X$1,0),0),""),"")="","",IFERROR(_xlfn.IFNA(VLOOKUP($A14,'HR Rep'!$A:$X,MATCH('1) For HR'!C$1,'HR Rep'!$A$1:$X$1,0),0),""),""))</f>
        <v/>
      </c>
      <c r="D14" s="140" t="str">
        <f>IF(IFERROR(_xlfn.IFNA(VLOOKUP($A14,'HR Rep'!$A:$X,MATCH('1) For HR'!D$1,'HR Rep'!$A$1:$X$1,0),0),""),"")="","",IFERROR(_xlfn.IFNA(VLOOKUP($A14,'HR Rep'!$A:$X,MATCH('1) For HR'!D$1,'HR Rep'!$A$1:$X$1,0),0),""),""))</f>
        <v/>
      </c>
      <c r="E14" s="140" t="str">
        <f>IF(IFERROR(_xlfn.IFNA(VLOOKUP($A14,'HR Rep'!$A:$X,MATCH('1) For HR'!E$1,'HR Rep'!$A$1:$X$1,0),0),""),"")="","",IFERROR(_xlfn.IFNA(VLOOKUP($A14,'HR Rep'!$A:$X,MATCH('1) For HR'!E$1,'HR Rep'!$A$1:$X$1,0),0),""),""))</f>
        <v/>
      </c>
      <c r="F14" s="140" t="str">
        <f>IF(IFERROR(_xlfn.IFNA(VLOOKUP($A14,'HR Rep'!$A:$X,MATCH('1) For HR'!F$1,'HR Rep'!$A$1:$X$1,0),0),""),"")="","",IFERROR(_xlfn.IFNA(VLOOKUP($A14,'HR Rep'!$A:$X,MATCH('1) For HR'!F$1,'HR Rep'!$A$1:$X$1,0),0),""),""))</f>
        <v/>
      </c>
      <c r="G14" s="196" t="s">
        <v>277</v>
      </c>
      <c r="H14" s="140" t="str">
        <f>IF(IFERROR(_xlfn.IFNA(VLOOKUP($A14,'HR Rep'!$A:$X,MATCH('1) For HR'!H$1,'HR Rep'!$A$1:$X$1,0),0),""),"")="","",IFERROR(_xlfn.IFNA(VLOOKUP($A14,'HR Rep'!$A:$X,MATCH('1) For HR'!H$1,'HR Rep'!$A$1:$X$1,0),0),""),""))</f>
        <v/>
      </c>
      <c r="I14" s="140" t="str">
        <f>IF(IFERROR(_xlfn.IFNA(VLOOKUP($A14,'HR Rep'!$A:$X,MATCH('1) For HR'!I$1,'HR Rep'!$A$1:$X$1,0),0),""),"")="","",IFERROR(_xlfn.IFNA(VLOOKUP($A14,'HR Rep'!$A:$X,MATCH('1) For HR'!I$1,'HR Rep'!$A$1:$X$1,0),0),""),""))</f>
        <v/>
      </c>
      <c r="J14" s="140" t="str">
        <f>IF(IFERROR(_xlfn.IFNA(VLOOKUP($A14,'HR Rep'!$A:$X,MATCH('1) For HR'!J$1,'HR Rep'!$A$1:$X$1,0),0),""),"")="","",IFERROR(_xlfn.IFNA(VLOOKUP($A14,'HR Rep'!$A:$X,MATCH('1) For HR'!J$1,'HR Rep'!$A$1:$X$1,0),0),""),""))</f>
        <v/>
      </c>
      <c r="K14" s="161">
        <f t="shared" si="0"/>
        <v>5234</v>
      </c>
      <c r="L14" s="174">
        <f>Period!$A$2</f>
        <v>46113</v>
      </c>
      <c r="M14" s="175">
        <f>Period!$B$2</f>
        <v>46174</v>
      </c>
      <c r="N14" s="194" t="s">
        <v>272</v>
      </c>
      <c r="P14" s="166">
        <f>SUMIFS('3)Target &amp; Cal_Staff'!BN:BN,'3)Target &amp; Cal_Staff'!BM:BM,'1) For HR'!A14)</f>
        <v>5234</v>
      </c>
      <c r="Q14" s="166">
        <f>SUMIFS('3)Target &amp; Cal_Sect'!BN:BN,'3)Target &amp; Cal_Sect'!BM:BM,'1) For HR'!A14)</f>
        <v>0</v>
      </c>
      <c r="R14" s="166">
        <f>SUMIFS('3)Target &amp; Cal_Dept'!BN:BN,'3)Target &amp; Cal_Dept'!BM:BM,'1) For HR'!A14)</f>
        <v>0</v>
      </c>
      <c r="S14" s="166">
        <f>SUMIFS('3)Target &amp; Cal_AD'!BN:BN,'3)Target &amp; Cal_AD'!BM:BM,'1) For HR'!A14)</f>
        <v>0</v>
      </c>
    </row>
    <row r="15" spans="1:19" ht="11.4" x14ac:dyDescent="0.25">
      <c r="A15" s="269">
        <v>222205</v>
      </c>
      <c r="B15" s="272">
        <f>IF(IF(VLOOKUP(A15,ASTBase!F:P,11,FALSE)="","",VLOOKUP(A15,ASTBase!F:P,11,FALSE))=0,"",IF(VLOOKUP(A15,ASTBase!F:P,11,FALSE)="","",VLOOKUP(A15,ASTBase!F:P,11,FALSE)))</f>
        <v>5490000703</v>
      </c>
      <c r="C15" s="273" t="str">
        <f>IF(IFERROR(_xlfn.IFNA(VLOOKUP($A15,'HR Rep'!$A:$X,MATCH('1) For HR'!C$1,'HR Rep'!$A$1:$X$1,0),0),""),"")="","",IFERROR(_xlfn.IFNA(VLOOKUP($A15,'HR Rep'!$A:$X,MATCH('1) For HR'!C$1,'HR Rep'!$A$1:$X$1,0),0),""),""))</f>
        <v/>
      </c>
      <c r="D15" s="140" t="str">
        <f>IF(IFERROR(_xlfn.IFNA(VLOOKUP($A15,'HR Rep'!$A:$X,MATCH('1) For HR'!D$1,'HR Rep'!$A$1:$X$1,0),0),""),"")="","",IFERROR(_xlfn.IFNA(VLOOKUP($A15,'HR Rep'!$A:$X,MATCH('1) For HR'!D$1,'HR Rep'!$A$1:$X$1,0),0),""),""))</f>
        <v/>
      </c>
      <c r="E15" s="140" t="str">
        <f>IF(IFERROR(_xlfn.IFNA(VLOOKUP($A15,'HR Rep'!$A:$X,MATCH('1) For HR'!E$1,'HR Rep'!$A$1:$X$1,0),0),""),"")="","",IFERROR(_xlfn.IFNA(VLOOKUP($A15,'HR Rep'!$A:$X,MATCH('1) For HR'!E$1,'HR Rep'!$A$1:$X$1,0),0),""),""))</f>
        <v/>
      </c>
      <c r="F15" s="140" t="str">
        <f>IF(IFERROR(_xlfn.IFNA(VLOOKUP($A15,'HR Rep'!$A:$X,MATCH('1) For HR'!F$1,'HR Rep'!$A$1:$X$1,0),0),""),"")="","",IFERROR(_xlfn.IFNA(VLOOKUP($A15,'HR Rep'!$A:$X,MATCH('1) For HR'!F$1,'HR Rep'!$A$1:$X$1,0),0),""),""))</f>
        <v/>
      </c>
      <c r="G15" s="196" t="s">
        <v>277</v>
      </c>
      <c r="H15" s="140" t="str">
        <f>IF(IFERROR(_xlfn.IFNA(VLOOKUP($A15,'HR Rep'!$A:$X,MATCH('1) For HR'!H$1,'HR Rep'!$A$1:$X$1,0),0),""),"")="","",IFERROR(_xlfn.IFNA(VLOOKUP($A15,'HR Rep'!$A:$X,MATCH('1) For HR'!H$1,'HR Rep'!$A$1:$X$1,0),0),""),""))</f>
        <v/>
      </c>
      <c r="I15" s="140" t="str">
        <f>IF(IFERROR(_xlfn.IFNA(VLOOKUP($A15,'HR Rep'!$A:$X,MATCH('1) For HR'!I$1,'HR Rep'!$A$1:$X$1,0),0),""),"")="","",IFERROR(_xlfn.IFNA(VLOOKUP($A15,'HR Rep'!$A:$X,MATCH('1) For HR'!I$1,'HR Rep'!$A$1:$X$1,0),0),""),""))</f>
        <v/>
      </c>
      <c r="J15" s="140" t="str">
        <f>IF(IFERROR(_xlfn.IFNA(VLOOKUP($A15,'HR Rep'!$A:$X,MATCH('1) For HR'!J$1,'HR Rep'!$A$1:$X$1,0),0),""),"")="","",IFERROR(_xlfn.IFNA(VLOOKUP($A15,'HR Rep'!$A:$X,MATCH('1) For HR'!J$1,'HR Rep'!$A$1:$X$1,0),0),""),""))</f>
        <v/>
      </c>
      <c r="K15" s="161">
        <f t="shared" si="0"/>
        <v>5583</v>
      </c>
      <c r="L15" s="174">
        <f>Period!$A$2</f>
        <v>46113</v>
      </c>
      <c r="M15" s="175">
        <f>Period!$B$2</f>
        <v>46174</v>
      </c>
      <c r="N15" s="194" t="s">
        <v>272</v>
      </c>
      <c r="P15" s="166">
        <f>SUMIFS('3)Target &amp; Cal_Staff'!BN:BN,'3)Target &amp; Cal_Staff'!BM:BM,'1) For HR'!A15)</f>
        <v>5583</v>
      </c>
      <c r="Q15" s="166">
        <f>SUMIFS('3)Target &amp; Cal_Sect'!BN:BN,'3)Target &amp; Cal_Sect'!BM:BM,'1) For HR'!A15)</f>
        <v>0</v>
      </c>
      <c r="R15" s="166">
        <f>SUMIFS('3)Target &amp; Cal_Dept'!BN:BN,'3)Target &amp; Cal_Dept'!BM:BM,'1) For HR'!A15)</f>
        <v>0</v>
      </c>
      <c r="S15" s="166">
        <f>SUMIFS('3)Target &amp; Cal_AD'!BN:BN,'3)Target &amp; Cal_AD'!BM:BM,'1) For HR'!A15)</f>
        <v>0</v>
      </c>
    </row>
    <row r="16" spans="1:19" s="282" customFormat="1" ht="11.4" x14ac:dyDescent="0.25">
      <c r="A16" s="280">
        <v>222206</v>
      </c>
      <c r="B16" s="281">
        <f>IF(IF(VLOOKUP(A16,ASTBase!F:P,11,FALSE)="","",VLOOKUP(A16,ASTBase!F:P,11,FALSE))=0,"",IF(VLOOKUP(A16,ASTBase!F:P,11,FALSE)="","",VLOOKUP(A16,ASTBase!F:P,11,FALSE)))</f>
        <v>5490000709</v>
      </c>
      <c r="C16" s="282" t="str">
        <f>IF(IFERROR(_xlfn.IFNA(VLOOKUP($A16,'HR Rep'!$A:$X,MATCH('1) For HR'!C$1,'HR Rep'!$A$1:$X$1,0),0),""),"")="","",IFERROR(_xlfn.IFNA(VLOOKUP($A16,'HR Rep'!$A:$X,MATCH('1) For HR'!C$1,'HR Rep'!$A$1:$X$1,0),0),""),""))</f>
        <v/>
      </c>
      <c r="D16" s="282" t="str">
        <f>IF(IFERROR(_xlfn.IFNA(VLOOKUP($A16,'HR Rep'!$A:$X,MATCH('1) For HR'!D$1,'HR Rep'!$A$1:$X$1,0),0),""),"")="","",IFERROR(_xlfn.IFNA(VLOOKUP($A16,'HR Rep'!$A:$X,MATCH('1) For HR'!D$1,'HR Rep'!$A$1:$X$1,0),0),""),""))</f>
        <v/>
      </c>
      <c r="E16" s="282" t="str">
        <f>IF(IFERROR(_xlfn.IFNA(VLOOKUP($A16,'HR Rep'!$A:$X,MATCH('1) For HR'!E$1,'HR Rep'!$A$1:$X$1,0),0),""),"")="","",IFERROR(_xlfn.IFNA(VLOOKUP($A16,'HR Rep'!$A:$X,MATCH('1) For HR'!E$1,'HR Rep'!$A$1:$X$1,0),0),""),""))</f>
        <v/>
      </c>
      <c r="F16" s="282" t="str">
        <f>IF(IFERROR(_xlfn.IFNA(VLOOKUP($A16,'HR Rep'!$A:$X,MATCH('1) For HR'!F$1,'HR Rep'!$A$1:$X$1,0),0),""),"")="","",IFERROR(_xlfn.IFNA(VLOOKUP($A16,'HR Rep'!$A:$X,MATCH('1) For HR'!F$1,'HR Rep'!$A$1:$X$1,0),0),""),""))</f>
        <v/>
      </c>
      <c r="G16" s="283" t="s">
        <v>277</v>
      </c>
      <c r="H16" s="282" t="str">
        <f>IF(IFERROR(_xlfn.IFNA(VLOOKUP($A16,'HR Rep'!$A:$X,MATCH('1) For HR'!H$1,'HR Rep'!$A$1:$X$1,0),0),""),"")="","",IFERROR(_xlfn.IFNA(VLOOKUP($A16,'HR Rep'!$A:$X,MATCH('1) For HR'!H$1,'HR Rep'!$A$1:$X$1,0),0),""),""))</f>
        <v/>
      </c>
      <c r="I16" s="282" t="str">
        <f>IF(IFERROR(_xlfn.IFNA(VLOOKUP($A16,'HR Rep'!$A:$X,MATCH('1) For HR'!I$1,'HR Rep'!$A$1:$X$1,0),0),""),"")="","",IFERROR(_xlfn.IFNA(VLOOKUP($A16,'HR Rep'!$A:$X,MATCH('1) For HR'!I$1,'HR Rep'!$A$1:$X$1,0),0),""),""))</f>
        <v/>
      </c>
      <c r="J16" s="282" t="str">
        <f>IF(IFERROR(_xlfn.IFNA(VLOOKUP($A16,'HR Rep'!$A:$X,MATCH('1) For HR'!J$1,'HR Rep'!$A$1:$X$1,0),0),""),"")="","",IFERROR(_xlfn.IFNA(VLOOKUP($A16,'HR Rep'!$A:$X,MATCH('1) For HR'!J$1,'HR Rep'!$A$1:$X$1,0),0),""),""))</f>
        <v/>
      </c>
      <c r="K16" s="284">
        <f t="shared" si="0"/>
        <v>6250</v>
      </c>
      <c r="L16" s="285">
        <f>Period!$A$2</f>
        <v>46113</v>
      </c>
      <c r="M16" s="286">
        <f>Period!$B$2</f>
        <v>46174</v>
      </c>
      <c r="N16" s="287" t="s">
        <v>272</v>
      </c>
      <c r="O16" s="288"/>
      <c r="P16" s="289">
        <f>SUMIFS('3)Target &amp; Cal_Staff'!BN:BN,'3)Target &amp; Cal_Staff'!BM:BM,'1) For HR'!A16)</f>
        <v>6250</v>
      </c>
      <c r="Q16" s="289">
        <f>SUMIFS('3)Target &amp; Cal_Sect'!BN:BN,'3)Target &amp; Cal_Sect'!BM:BM,'1) For HR'!A16)</f>
        <v>0</v>
      </c>
      <c r="R16" s="289">
        <f>SUMIFS('3)Target &amp; Cal_Dept'!BN:BN,'3)Target &amp; Cal_Dept'!BM:BM,'1) For HR'!A16)</f>
        <v>0</v>
      </c>
      <c r="S16" s="289">
        <f>SUMIFS('3)Target &amp; Cal_AD'!BN:BN,'3)Target &amp; Cal_AD'!BM:BM,'1) For HR'!A16)</f>
        <v>0</v>
      </c>
    </row>
    <row r="17" spans="1:19" ht="11.4" x14ac:dyDescent="0.25">
      <c r="A17" s="269">
        <v>222215</v>
      </c>
      <c r="B17" s="169">
        <f>IF(IF(VLOOKUP(A17,ASTBase!F:P,11,FALSE)="","",VLOOKUP(A17,ASTBase!F:P,11,FALSE))=0,"",IF(VLOOKUP(A17,ASTBase!F:P,11,FALSE)="","",VLOOKUP(A17,ASTBase!F:P,11,FALSE)))</f>
        <v>5490000720</v>
      </c>
      <c r="C17" s="140" t="str">
        <f>IF(IFERROR(_xlfn.IFNA(VLOOKUP($A17,'HR Rep'!$A:$X,MATCH('1) For HR'!C$1,'HR Rep'!$A$1:$X$1,0),0),""),"")="","",IFERROR(_xlfn.IFNA(VLOOKUP($A17,'HR Rep'!$A:$X,MATCH('1) For HR'!C$1,'HR Rep'!$A$1:$X$1,0),0),""),""))</f>
        <v/>
      </c>
      <c r="D17" s="140" t="str">
        <f>IF(IFERROR(_xlfn.IFNA(VLOOKUP($A17,'HR Rep'!$A:$X,MATCH('1) For HR'!D$1,'HR Rep'!$A$1:$X$1,0),0),""),"")="","",IFERROR(_xlfn.IFNA(VLOOKUP($A17,'HR Rep'!$A:$X,MATCH('1) For HR'!D$1,'HR Rep'!$A$1:$X$1,0),0),""),""))</f>
        <v/>
      </c>
      <c r="E17" s="140" t="str">
        <f>IF(IFERROR(_xlfn.IFNA(VLOOKUP($A17,'HR Rep'!$A:$X,MATCH('1) For HR'!E$1,'HR Rep'!$A$1:$X$1,0),0),""),"")="","",IFERROR(_xlfn.IFNA(VLOOKUP($A17,'HR Rep'!$A:$X,MATCH('1) For HR'!E$1,'HR Rep'!$A$1:$X$1,0),0),""),""))</f>
        <v/>
      </c>
      <c r="F17" s="140" t="str">
        <f>IF(IFERROR(_xlfn.IFNA(VLOOKUP($A17,'HR Rep'!$A:$X,MATCH('1) For HR'!F$1,'HR Rep'!$A$1:$X$1,0),0),""),"")="","",IFERROR(_xlfn.IFNA(VLOOKUP($A17,'HR Rep'!$A:$X,MATCH('1) For HR'!F$1,'HR Rep'!$A$1:$X$1,0),0),""),""))</f>
        <v/>
      </c>
      <c r="G17" s="196" t="s">
        <v>276</v>
      </c>
      <c r="H17" s="140" t="str">
        <f>IF(IFERROR(_xlfn.IFNA(VLOOKUP($A17,'HR Rep'!$A:$X,MATCH('1) For HR'!H$1,'HR Rep'!$A$1:$X$1,0),0),""),"")="","",IFERROR(_xlfn.IFNA(VLOOKUP($A17,'HR Rep'!$A:$X,MATCH('1) For HR'!H$1,'HR Rep'!$A$1:$X$1,0),0),""),""))</f>
        <v/>
      </c>
      <c r="I17" s="140" t="str">
        <f>IF(IFERROR(_xlfn.IFNA(VLOOKUP($A17,'HR Rep'!$A:$X,MATCH('1) For HR'!I$1,'HR Rep'!$A$1:$X$1,0),0),""),"")="","",IFERROR(_xlfn.IFNA(VLOOKUP($A17,'HR Rep'!$A:$X,MATCH('1) For HR'!I$1,'HR Rep'!$A$1:$X$1,0),0),""),""))</f>
        <v/>
      </c>
      <c r="J17" s="140" t="str">
        <f>IF(IFERROR(_xlfn.IFNA(VLOOKUP($A17,'HR Rep'!$A:$X,MATCH('1) For HR'!J$1,'HR Rep'!$A$1:$X$1,0),0),""),"")="","",IFERROR(_xlfn.IFNA(VLOOKUP($A17,'HR Rep'!$A:$X,MATCH('1) For HR'!J$1,'HR Rep'!$A$1:$X$1,0),0),""),""))</f>
        <v/>
      </c>
      <c r="K17" s="161">
        <f t="shared" si="0"/>
        <v>5524</v>
      </c>
      <c r="L17" s="174">
        <f>Period!$A$2</f>
        <v>46113</v>
      </c>
      <c r="M17" s="175">
        <f>Period!$B$2</f>
        <v>46174</v>
      </c>
      <c r="N17" s="194" t="s">
        <v>272</v>
      </c>
      <c r="P17" s="166">
        <f>SUMIFS('3)Target &amp; Cal_Staff'!BN:BN,'3)Target &amp; Cal_Staff'!BM:BM,'1) For HR'!A17)</f>
        <v>5524</v>
      </c>
      <c r="Q17" s="166">
        <f>SUMIFS('3)Target &amp; Cal_Sect'!BN:BN,'3)Target &amp; Cal_Sect'!BM:BM,'1) For HR'!A17)</f>
        <v>0</v>
      </c>
      <c r="R17" s="166">
        <f>SUMIFS('3)Target &amp; Cal_Dept'!BN:BN,'3)Target &amp; Cal_Dept'!BM:BM,'1) For HR'!A17)</f>
        <v>0</v>
      </c>
      <c r="S17" s="166">
        <f>SUMIFS('3)Target &amp; Cal_AD'!BN:BN,'3)Target &amp; Cal_AD'!BM:BM,'1) For HR'!A17)</f>
        <v>0</v>
      </c>
    </row>
    <row r="18" spans="1:19" s="282" customFormat="1" ht="11.4" x14ac:dyDescent="0.25">
      <c r="A18" s="270">
        <v>222213</v>
      </c>
      <c r="B18" s="281">
        <f>IF(IF(VLOOKUP(A18,ASTBase!F:P,11,FALSE)="","",VLOOKUP(A18,ASTBase!F:P,11,FALSE))=0,"",IF(VLOOKUP(A18,ASTBase!F:P,11,FALSE)="","",VLOOKUP(A18,ASTBase!F:P,11,FALSE)))</f>
        <v>5490000713</v>
      </c>
      <c r="C18" s="282" t="str">
        <f>IF(IFERROR(_xlfn.IFNA(VLOOKUP($A18,'HR Rep'!$A:$X,MATCH('1) For HR'!C$1,'HR Rep'!$A$1:$X$1,0),0),""),"")="","",IFERROR(_xlfn.IFNA(VLOOKUP($A18,'HR Rep'!$A:$X,MATCH('1) For HR'!C$1,'HR Rep'!$A$1:$X$1,0),0),""),""))</f>
        <v/>
      </c>
      <c r="D18" s="282" t="str">
        <f>IF(IFERROR(_xlfn.IFNA(VLOOKUP($A18,'HR Rep'!$A:$X,MATCH('1) For HR'!D$1,'HR Rep'!$A$1:$X$1,0),0),""),"")="","",IFERROR(_xlfn.IFNA(VLOOKUP($A18,'HR Rep'!$A:$X,MATCH('1) For HR'!D$1,'HR Rep'!$A$1:$X$1,0),0),""),""))</f>
        <v/>
      </c>
      <c r="E18" s="282" t="str">
        <f>IF(IFERROR(_xlfn.IFNA(VLOOKUP($A18,'HR Rep'!$A:$X,MATCH('1) For HR'!E$1,'HR Rep'!$A$1:$X$1,0),0),""),"")="","",IFERROR(_xlfn.IFNA(VLOOKUP($A18,'HR Rep'!$A:$X,MATCH('1) For HR'!E$1,'HR Rep'!$A$1:$X$1,0),0),""),""))</f>
        <v/>
      </c>
      <c r="F18" s="282" t="str">
        <f>IF(IFERROR(_xlfn.IFNA(VLOOKUP($A18,'HR Rep'!$A:$X,MATCH('1) For HR'!F$1,'HR Rep'!$A$1:$X$1,0),0),""),"")="","",IFERROR(_xlfn.IFNA(VLOOKUP($A18,'HR Rep'!$A:$X,MATCH('1) For HR'!F$1,'HR Rep'!$A$1:$X$1,0),0),""),""))</f>
        <v/>
      </c>
      <c r="G18" s="283" t="s">
        <v>277</v>
      </c>
      <c r="H18" s="282" t="str">
        <f>IF(IFERROR(_xlfn.IFNA(VLOOKUP($A18,'HR Rep'!$A:$X,MATCH('1) For HR'!H$1,'HR Rep'!$A$1:$X$1,0),0),""),"")="","",IFERROR(_xlfn.IFNA(VLOOKUP($A18,'HR Rep'!$A:$X,MATCH('1) For HR'!H$1,'HR Rep'!$A$1:$X$1,0),0),""),""))</f>
        <v/>
      </c>
      <c r="I18" s="282" t="str">
        <f>IF(IFERROR(_xlfn.IFNA(VLOOKUP($A18,'HR Rep'!$A:$X,MATCH('1) For HR'!I$1,'HR Rep'!$A$1:$X$1,0),0),""),"")="","",IFERROR(_xlfn.IFNA(VLOOKUP($A18,'HR Rep'!$A:$X,MATCH('1) For HR'!I$1,'HR Rep'!$A$1:$X$1,0),0),""),""))</f>
        <v/>
      </c>
      <c r="J18" s="282" t="str">
        <f>IF(IFERROR(_xlfn.IFNA(VLOOKUP($A18,'HR Rep'!$A:$X,MATCH('1) For HR'!J$1,'HR Rep'!$A$1:$X$1,0),0),""),"")="","",IFERROR(_xlfn.IFNA(VLOOKUP($A18,'HR Rep'!$A:$X,MATCH('1) For HR'!J$1,'HR Rep'!$A$1:$X$1,0),0),""),""))</f>
        <v/>
      </c>
      <c r="K18" s="284">
        <f t="shared" si="0"/>
        <v>5855</v>
      </c>
      <c r="L18" s="285">
        <f>Period!$A$2</f>
        <v>46113</v>
      </c>
      <c r="M18" s="286">
        <f>Period!$B$2</f>
        <v>46174</v>
      </c>
      <c r="N18" s="287" t="s">
        <v>272</v>
      </c>
      <c r="O18" s="288"/>
      <c r="P18" s="289">
        <f>SUMIFS('3)Target &amp; Cal_Staff'!BN:BN,'3)Target &amp; Cal_Staff'!BM:BM,'1) For HR'!A18)</f>
        <v>5855</v>
      </c>
      <c r="Q18" s="289">
        <f>SUMIFS('3)Target &amp; Cal_Sect'!BN:BN,'3)Target &amp; Cal_Sect'!BM:BM,'1) For HR'!A18)</f>
        <v>0</v>
      </c>
      <c r="R18" s="289">
        <f>SUMIFS('3)Target &amp; Cal_Dept'!BN:BN,'3)Target &amp; Cal_Dept'!BM:BM,'1) For HR'!A18)</f>
        <v>0</v>
      </c>
      <c r="S18" s="289">
        <f>SUMIFS('3)Target &amp; Cal_AD'!BN:BN,'3)Target &amp; Cal_AD'!BM:BM,'1) For HR'!A18)</f>
        <v>0</v>
      </c>
    </row>
    <row r="19" spans="1:19" ht="11.4" x14ac:dyDescent="0.25">
      <c r="A19" s="269">
        <v>222214</v>
      </c>
      <c r="B19" s="169">
        <f>IF(IF(VLOOKUP(A19,ASTBase!F:P,11,FALSE)="","",VLOOKUP(A19,ASTBase!F:P,11,FALSE))=0,"",IF(VLOOKUP(A19,ASTBase!F:P,11,FALSE)="","",VLOOKUP(A19,ASTBase!F:P,11,FALSE)))</f>
        <v>5490000710</v>
      </c>
      <c r="C19" s="140" t="str">
        <f>IF(IFERROR(_xlfn.IFNA(VLOOKUP($A19,'HR Rep'!$A:$X,MATCH('1) For HR'!C$1,'HR Rep'!$A$1:$X$1,0),0),""),"")="","",IFERROR(_xlfn.IFNA(VLOOKUP($A19,'HR Rep'!$A:$X,MATCH('1) For HR'!C$1,'HR Rep'!$A$1:$X$1,0),0),""),""))</f>
        <v/>
      </c>
      <c r="D19" s="140" t="str">
        <f>IF(IFERROR(_xlfn.IFNA(VLOOKUP($A19,'HR Rep'!$A:$X,MATCH('1) For HR'!D$1,'HR Rep'!$A$1:$X$1,0),0),""),"")="","",IFERROR(_xlfn.IFNA(VLOOKUP($A19,'HR Rep'!$A:$X,MATCH('1) For HR'!D$1,'HR Rep'!$A$1:$X$1,0),0),""),""))</f>
        <v/>
      </c>
      <c r="E19" s="140" t="str">
        <f>IF(IFERROR(_xlfn.IFNA(VLOOKUP($A19,'HR Rep'!$A:$X,MATCH('1) For HR'!E$1,'HR Rep'!$A$1:$X$1,0),0),""),"")="","",IFERROR(_xlfn.IFNA(VLOOKUP($A19,'HR Rep'!$A:$X,MATCH('1) For HR'!E$1,'HR Rep'!$A$1:$X$1,0),0),""),""))</f>
        <v/>
      </c>
      <c r="F19" s="140" t="str">
        <f>IF(IFERROR(_xlfn.IFNA(VLOOKUP($A19,'HR Rep'!$A:$X,MATCH('1) For HR'!F$1,'HR Rep'!$A$1:$X$1,0),0),""),"")="","",IFERROR(_xlfn.IFNA(VLOOKUP($A19,'HR Rep'!$A:$X,MATCH('1) For HR'!F$1,'HR Rep'!$A$1:$X$1,0),0),""),""))</f>
        <v/>
      </c>
      <c r="G19" s="196" t="s">
        <v>277</v>
      </c>
      <c r="H19" s="140" t="str">
        <f>IF(IFERROR(_xlfn.IFNA(VLOOKUP($A19,'HR Rep'!$A:$X,MATCH('1) For HR'!H$1,'HR Rep'!$A$1:$X$1,0),0),""),"")="","",IFERROR(_xlfn.IFNA(VLOOKUP($A19,'HR Rep'!$A:$X,MATCH('1) For HR'!H$1,'HR Rep'!$A$1:$X$1,0),0),""),""))</f>
        <v/>
      </c>
      <c r="I19" s="140" t="str">
        <f>IF(IFERROR(_xlfn.IFNA(VLOOKUP($A19,'HR Rep'!$A:$X,MATCH('1) For HR'!I$1,'HR Rep'!$A$1:$X$1,0),0),""),"")="","",IFERROR(_xlfn.IFNA(VLOOKUP($A19,'HR Rep'!$A:$X,MATCH('1) For HR'!I$1,'HR Rep'!$A$1:$X$1,0),0),""),""))</f>
        <v/>
      </c>
      <c r="J19" s="140" t="str">
        <f>IF(IFERROR(_xlfn.IFNA(VLOOKUP($A19,'HR Rep'!$A:$X,MATCH('1) For HR'!J$1,'HR Rep'!$A$1:$X$1,0),0),""),"")="","",IFERROR(_xlfn.IFNA(VLOOKUP($A19,'HR Rep'!$A:$X,MATCH('1) For HR'!J$1,'HR Rep'!$A$1:$X$1,0),0),""),""))</f>
        <v/>
      </c>
      <c r="K19" s="161">
        <f t="shared" si="0"/>
        <v>5900</v>
      </c>
      <c r="L19" s="174">
        <f>Period!$A$2</f>
        <v>46113</v>
      </c>
      <c r="M19" s="175">
        <f>Period!$B$2</f>
        <v>46174</v>
      </c>
      <c r="N19" s="194" t="s">
        <v>272</v>
      </c>
      <c r="P19" s="166">
        <f>SUMIFS('3)Target &amp; Cal_Staff'!BN:BN,'3)Target &amp; Cal_Staff'!BM:BM,'1) For HR'!A19)</f>
        <v>5900</v>
      </c>
      <c r="Q19" s="166">
        <f>SUMIFS('3)Target &amp; Cal_Sect'!BN:BN,'3)Target &amp; Cal_Sect'!BM:BM,'1) For HR'!A19)</f>
        <v>0</v>
      </c>
      <c r="R19" s="166">
        <f>SUMIFS('3)Target &amp; Cal_Dept'!BN:BN,'3)Target &amp; Cal_Dept'!BM:BM,'1) For HR'!A19)</f>
        <v>0</v>
      </c>
      <c r="S19" s="166">
        <f>SUMIFS('3)Target &amp; Cal_AD'!BN:BN,'3)Target &amp; Cal_AD'!BM:BM,'1) For HR'!A19)</f>
        <v>0</v>
      </c>
    </row>
    <row r="20" spans="1:19" ht="11.4" x14ac:dyDescent="0.25">
      <c r="A20" s="269">
        <v>222218</v>
      </c>
      <c r="B20" s="169">
        <f>IF(IF(VLOOKUP(A20,ASTBase!F:P,11,FALSE)="","",VLOOKUP(A20,ASTBase!F:P,11,FALSE))=0,"",IF(VLOOKUP(A20,ASTBase!F:P,11,FALSE)="","",VLOOKUP(A20,ASTBase!F:P,11,FALSE)))</f>
        <v>5490000721</v>
      </c>
      <c r="C20" s="140" t="str">
        <f>IF(IFERROR(_xlfn.IFNA(VLOOKUP($A20,'HR Rep'!$A:$X,MATCH('1) For HR'!C$1,'HR Rep'!$A$1:$X$1,0),0),""),"")="","",IFERROR(_xlfn.IFNA(VLOOKUP($A20,'HR Rep'!$A:$X,MATCH('1) For HR'!C$1,'HR Rep'!$A$1:$X$1,0),0),""),""))</f>
        <v/>
      </c>
      <c r="D20" s="140" t="str">
        <f>IF(IFERROR(_xlfn.IFNA(VLOOKUP($A20,'HR Rep'!$A:$X,MATCH('1) For HR'!D$1,'HR Rep'!$A$1:$X$1,0),0),""),"")="","",IFERROR(_xlfn.IFNA(VLOOKUP($A20,'HR Rep'!$A:$X,MATCH('1) For HR'!D$1,'HR Rep'!$A$1:$X$1,0),0),""),""))</f>
        <v/>
      </c>
      <c r="E20" s="140" t="str">
        <f>IF(IFERROR(_xlfn.IFNA(VLOOKUP($A20,'HR Rep'!$A:$X,MATCH('1) For HR'!E$1,'HR Rep'!$A$1:$X$1,0),0),""),"")="","",IFERROR(_xlfn.IFNA(VLOOKUP($A20,'HR Rep'!$A:$X,MATCH('1) For HR'!E$1,'HR Rep'!$A$1:$X$1,0),0),""),""))</f>
        <v/>
      </c>
      <c r="F20" s="140" t="str">
        <f>IF(IFERROR(_xlfn.IFNA(VLOOKUP($A20,'HR Rep'!$A:$X,MATCH('1) For HR'!F$1,'HR Rep'!$A$1:$X$1,0),0),""),"")="","",IFERROR(_xlfn.IFNA(VLOOKUP($A20,'HR Rep'!$A:$X,MATCH('1) For HR'!F$1,'HR Rep'!$A$1:$X$1,0),0),""),""))</f>
        <v/>
      </c>
      <c r="G20" s="196" t="s">
        <v>277</v>
      </c>
      <c r="H20" s="140" t="str">
        <f>IF(IFERROR(_xlfn.IFNA(VLOOKUP($A20,'HR Rep'!$A:$X,MATCH('1) For HR'!H$1,'HR Rep'!$A$1:$X$1,0),0),""),"")="","",IFERROR(_xlfn.IFNA(VLOOKUP($A20,'HR Rep'!$A:$X,MATCH('1) For HR'!H$1,'HR Rep'!$A$1:$X$1,0),0),""),""))</f>
        <v/>
      </c>
      <c r="I20" s="140" t="str">
        <f>IF(IFERROR(_xlfn.IFNA(VLOOKUP($A20,'HR Rep'!$A:$X,MATCH('1) For HR'!I$1,'HR Rep'!$A$1:$X$1,0),0),""),"")="","",IFERROR(_xlfn.IFNA(VLOOKUP($A20,'HR Rep'!$A:$X,MATCH('1) For HR'!I$1,'HR Rep'!$A$1:$X$1,0),0),""),""))</f>
        <v/>
      </c>
      <c r="J20" s="140" t="str">
        <f>IF(IFERROR(_xlfn.IFNA(VLOOKUP($A20,'HR Rep'!$A:$X,MATCH('1) For HR'!J$1,'HR Rep'!$A$1:$X$1,0),0),""),"")="","",IFERROR(_xlfn.IFNA(VLOOKUP($A20,'HR Rep'!$A:$X,MATCH('1) For HR'!J$1,'HR Rep'!$A$1:$X$1,0),0),""),""))</f>
        <v/>
      </c>
      <c r="K20" s="161">
        <f t="shared" si="0"/>
        <v>5056</v>
      </c>
      <c r="L20" s="174">
        <f>Period!$A$2</f>
        <v>46113</v>
      </c>
      <c r="M20" s="175">
        <f>Period!$B$2</f>
        <v>46174</v>
      </c>
      <c r="N20" s="194" t="s">
        <v>272</v>
      </c>
      <c r="P20" s="166">
        <f>SUMIFS('3)Target &amp; Cal_Staff'!BN:BN,'3)Target &amp; Cal_Staff'!BM:BM,'1) For HR'!A20)</f>
        <v>5056</v>
      </c>
      <c r="Q20" s="166">
        <f>SUMIFS('3)Target &amp; Cal_Sect'!BN:BN,'3)Target &amp; Cal_Sect'!BM:BM,'1) For HR'!A20)</f>
        <v>0</v>
      </c>
      <c r="R20" s="166">
        <f>SUMIFS('3)Target &amp; Cal_Dept'!BN:BN,'3)Target &amp; Cal_Dept'!BM:BM,'1) For HR'!A20)</f>
        <v>0</v>
      </c>
      <c r="S20" s="166">
        <f>SUMIFS('3)Target &amp; Cal_AD'!BN:BN,'3)Target &amp; Cal_AD'!BM:BM,'1) For HR'!A20)</f>
        <v>0</v>
      </c>
    </row>
    <row r="21" spans="1:19" ht="11.4" x14ac:dyDescent="0.25">
      <c r="A21" s="269">
        <v>222203</v>
      </c>
      <c r="B21" s="169">
        <f>IF(IF(VLOOKUP(A21,ASTBase!F:P,11,FALSE)="","",VLOOKUP(A21,ASTBase!F:P,11,FALSE))=0,"",IF(VLOOKUP(A21,ASTBase!F:P,11,FALSE)="","",VLOOKUP(A21,ASTBase!F:P,11,FALSE)))</f>
        <v>5490000704</v>
      </c>
      <c r="C21" s="140" t="str">
        <f>IF(IFERROR(_xlfn.IFNA(VLOOKUP($A21,'HR Rep'!$A:$X,MATCH('1) For HR'!C$1,'HR Rep'!$A$1:$X$1,0),0),""),"")="","",IFERROR(_xlfn.IFNA(VLOOKUP($A21,'HR Rep'!$A:$X,MATCH('1) For HR'!C$1,'HR Rep'!$A$1:$X$1,0),0),""),""))</f>
        <v/>
      </c>
      <c r="D21" s="140" t="str">
        <f>IF(IFERROR(_xlfn.IFNA(VLOOKUP($A21,'HR Rep'!$A:$X,MATCH('1) For HR'!D$1,'HR Rep'!$A$1:$X$1,0),0),""),"")="","",IFERROR(_xlfn.IFNA(VLOOKUP($A21,'HR Rep'!$A:$X,MATCH('1) For HR'!D$1,'HR Rep'!$A$1:$X$1,0),0),""),""))</f>
        <v/>
      </c>
      <c r="E21" s="140" t="str">
        <f>IF(IFERROR(_xlfn.IFNA(VLOOKUP($A21,'HR Rep'!$A:$X,MATCH('1) For HR'!E$1,'HR Rep'!$A$1:$X$1,0),0),""),"")="","",IFERROR(_xlfn.IFNA(VLOOKUP($A21,'HR Rep'!$A:$X,MATCH('1) For HR'!E$1,'HR Rep'!$A$1:$X$1,0),0),""),""))</f>
        <v/>
      </c>
      <c r="F21" s="140" t="str">
        <f>IF(IFERROR(_xlfn.IFNA(VLOOKUP($A21,'HR Rep'!$A:$X,MATCH('1) For HR'!F$1,'HR Rep'!$A$1:$X$1,0),0),""),"")="","",IFERROR(_xlfn.IFNA(VLOOKUP($A21,'HR Rep'!$A:$X,MATCH('1) For HR'!F$1,'HR Rep'!$A$1:$X$1,0),0),""),""))</f>
        <v/>
      </c>
      <c r="G21" s="196" t="s">
        <v>277</v>
      </c>
      <c r="H21" s="140" t="str">
        <f>IF(IFERROR(_xlfn.IFNA(VLOOKUP($A21,'HR Rep'!$A:$X,MATCH('1) For HR'!H$1,'HR Rep'!$A$1:$X$1,0),0),""),"")="","",IFERROR(_xlfn.IFNA(VLOOKUP($A21,'HR Rep'!$A:$X,MATCH('1) For HR'!H$1,'HR Rep'!$A$1:$X$1,0),0),""),""))</f>
        <v/>
      </c>
      <c r="I21" s="140" t="str">
        <f>IF(IFERROR(_xlfn.IFNA(VLOOKUP($A21,'HR Rep'!$A:$X,MATCH('1) For HR'!I$1,'HR Rep'!$A$1:$X$1,0),0),""),"")="","",IFERROR(_xlfn.IFNA(VLOOKUP($A21,'HR Rep'!$A:$X,MATCH('1) For HR'!I$1,'HR Rep'!$A$1:$X$1,0),0),""),""))</f>
        <v/>
      </c>
      <c r="J21" s="140" t="str">
        <f>IF(IFERROR(_xlfn.IFNA(VLOOKUP($A21,'HR Rep'!$A:$X,MATCH('1) For HR'!J$1,'HR Rep'!$A$1:$X$1,0),0),""),"")="","",IFERROR(_xlfn.IFNA(VLOOKUP($A21,'HR Rep'!$A:$X,MATCH('1) For HR'!J$1,'HR Rep'!$A$1:$X$1,0),0),""),""))</f>
        <v/>
      </c>
      <c r="K21" s="161">
        <f t="shared" si="0"/>
        <v>5394</v>
      </c>
      <c r="L21" s="174">
        <f>Period!$A$2</f>
        <v>46113</v>
      </c>
      <c r="M21" s="175">
        <f>Period!$B$2</f>
        <v>46174</v>
      </c>
      <c r="N21" s="194" t="s">
        <v>272</v>
      </c>
      <c r="P21" s="166">
        <f>SUMIFS('3)Target &amp; Cal_Staff'!BN:BN,'3)Target &amp; Cal_Staff'!BM:BM,'1) For HR'!A21)</f>
        <v>5394</v>
      </c>
      <c r="Q21" s="166">
        <f>SUMIFS('3)Target &amp; Cal_Sect'!BN:BN,'3)Target &amp; Cal_Sect'!BM:BM,'1) For HR'!A21)</f>
        <v>0</v>
      </c>
      <c r="R21" s="166">
        <f>SUMIFS('3)Target &amp; Cal_Dept'!BN:BN,'3)Target &amp; Cal_Dept'!BM:BM,'1) For HR'!A21)</f>
        <v>0</v>
      </c>
      <c r="S21" s="166">
        <f>SUMIFS('3)Target &amp; Cal_AD'!BN:BN,'3)Target &amp; Cal_AD'!BM:BM,'1) For HR'!A21)</f>
        <v>0</v>
      </c>
    </row>
    <row r="22" spans="1:19" ht="11.4" x14ac:dyDescent="0.25">
      <c r="A22" s="269">
        <v>222212</v>
      </c>
      <c r="B22" s="169">
        <f>IF(IF(VLOOKUP(A22,ASTBase!F:P,11,FALSE)="","",VLOOKUP(A22,ASTBase!F:P,11,FALSE))=0,"",IF(VLOOKUP(A22,ASTBase!F:P,11,FALSE)="","",VLOOKUP(A22,ASTBase!F:P,11,FALSE)))</f>
        <v>5490000701</v>
      </c>
      <c r="C22" s="140" t="str">
        <f>IF(IFERROR(_xlfn.IFNA(VLOOKUP($A22,'HR Rep'!$A:$X,MATCH('1) For HR'!C$1,'HR Rep'!$A$1:$X$1,0),0),""),"")="","",IFERROR(_xlfn.IFNA(VLOOKUP($A22,'HR Rep'!$A:$X,MATCH('1) For HR'!C$1,'HR Rep'!$A$1:$X$1,0),0),""),""))</f>
        <v/>
      </c>
      <c r="D22" s="140" t="str">
        <f>IF(IFERROR(_xlfn.IFNA(VLOOKUP($A22,'HR Rep'!$A:$X,MATCH('1) For HR'!D$1,'HR Rep'!$A$1:$X$1,0),0),""),"")="","",IFERROR(_xlfn.IFNA(VLOOKUP($A22,'HR Rep'!$A:$X,MATCH('1) For HR'!D$1,'HR Rep'!$A$1:$X$1,0),0),""),""))</f>
        <v/>
      </c>
      <c r="E22" s="140" t="str">
        <f>IF(IFERROR(_xlfn.IFNA(VLOOKUP($A22,'HR Rep'!$A:$X,MATCH('1) For HR'!E$1,'HR Rep'!$A$1:$X$1,0),0),""),"")="","",IFERROR(_xlfn.IFNA(VLOOKUP($A22,'HR Rep'!$A:$X,MATCH('1) For HR'!E$1,'HR Rep'!$A$1:$X$1,0),0),""),""))</f>
        <v/>
      </c>
      <c r="F22" s="140" t="str">
        <f>IF(IFERROR(_xlfn.IFNA(VLOOKUP($A22,'HR Rep'!$A:$X,MATCH('1) For HR'!F$1,'HR Rep'!$A$1:$X$1,0),0),""),"")="","",IFERROR(_xlfn.IFNA(VLOOKUP($A22,'HR Rep'!$A:$X,MATCH('1) For HR'!F$1,'HR Rep'!$A$1:$X$1,0),0),""),""))</f>
        <v/>
      </c>
      <c r="G22" s="196" t="s">
        <v>277</v>
      </c>
      <c r="H22" s="140" t="str">
        <f>IF(IFERROR(_xlfn.IFNA(VLOOKUP($A22,'HR Rep'!$A:$X,MATCH('1) For HR'!H$1,'HR Rep'!$A$1:$X$1,0),0),""),"")="","",IFERROR(_xlfn.IFNA(VLOOKUP($A22,'HR Rep'!$A:$X,MATCH('1) For HR'!H$1,'HR Rep'!$A$1:$X$1,0),0),""),""))</f>
        <v/>
      </c>
      <c r="I22" s="140" t="str">
        <f>IF(IFERROR(_xlfn.IFNA(VLOOKUP($A22,'HR Rep'!$A:$X,MATCH('1) For HR'!I$1,'HR Rep'!$A$1:$X$1,0),0),""),"")="","",IFERROR(_xlfn.IFNA(VLOOKUP($A22,'HR Rep'!$A:$X,MATCH('1) For HR'!I$1,'HR Rep'!$A$1:$X$1,0),0),""),""))</f>
        <v/>
      </c>
      <c r="J22" s="140" t="str">
        <f>IF(IFERROR(_xlfn.IFNA(VLOOKUP($A22,'HR Rep'!$A:$X,MATCH('1) For HR'!J$1,'HR Rep'!$A$1:$X$1,0),0),""),"")="","",IFERROR(_xlfn.IFNA(VLOOKUP($A22,'HR Rep'!$A:$X,MATCH('1) For HR'!J$1,'HR Rep'!$A$1:$X$1,0),0),""),""))</f>
        <v/>
      </c>
      <c r="K22" s="161">
        <f t="shared" si="0"/>
        <v>5472</v>
      </c>
      <c r="L22" s="174">
        <f>Period!$A$2</f>
        <v>46113</v>
      </c>
      <c r="M22" s="175">
        <f>Period!$B$2</f>
        <v>46174</v>
      </c>
      <c r="N22" s="194" t="s">
        <v>272</v>
      </c>
      <c r="P22" s="166">
        <f>SUMIFS('3)Target &amp; Cal_Staff'!BN:BN,'3)Target &amp; Cal_Staff'!BM:BM,'1) For HR'!A22)</f>
        <v>5472</v>
      </c>
      <c r="Q22" s="166">
        <f>SUMIFS('3)Target &amp; Cal_Sect'!BN:BN,'3)Target &amp; Cal_Sect'!BM:BM,'1) For HR'!A22)</f>
        <v>0</v>
      </c>
      <c r="R22" s="166">
        <f>SUMIFS('3)Target &amp; Cal_Dept'!BN:BN,'3)Target &amp; Cal_Dept'!BM:BM,'1) For HR'!A22)</f>
        <v>0</v>
      </c>
      <c r="S22" s="166">
        <f>SUMIFS('3)Target &amp; Cal_AD'!BN:BN,'3)Target &amp; Cal_AD'!BM:BM,'1) For HR'!A22)</f>
        <v>0</v>
      </c>
    </row>
    <row r="23" spans="1:19" ht="11.4" x14ac:dyDescent="0.25">
      <c r="A23" s="269">
        <v>222211</v>
      </c>
      <c r="B23" s="169">
        <f>IF(IF(VLOOKUP(A23,ASTBase!F:P,11,FALSE)="","",VLOOKUP(A23,ASTBase!F:P,11,FALSE))=0,"",IF(VLOOKUP(A23,ASTBase!F:P,11,FALSE)="","",VLOOKUP(A23,ASTBase!F:P,11,FALSE)))</f>
        <v>5490000707</v>
      </c>
      <c r="C23" s="140" t="str">
        <f>IF(IFERROR(_xlfn.IFNA(VLOOKUP($A23,'HR Rep'!$A:$X,MATCH('1) For HR'!C$1,'HR Rep'!$A$1:$X$1,0),0),""),"")="","",IFERROR(_xlfn.IFNA(VLOOKUP($A23,'HR Rep'!$A:$X,MATCH('1) For HR'!C$1,'HR Rep'!$A$1:$X$1,0),0),""),""))</f>
        <v/>
      </c>
      <c r="D23" s="140" t="str">
        <f>IF(IFERROR(_xlfn.IFNA(VLOOKUP($A23,'HR Rep'!$A:$X,MATCH('1) For HR'!D$1,'HR Rep'!$A$1:$X$1,0),0),""),"")="","",IFERROR(_xlfn.IFNA(VLOOKUP($A23,'HR Rep'!$A:$X,MATCH('1) For HR'!D$1,'HR Rep'!$A$1:$X$1,0),0),""),""))</f>
        <v/>
      </c>
      <c r="E23" s="140" t="str">
        <f>IF(IFERROR(_xlfn.IFNA(VLOOKUP($A23,'HR Rep'!$A:$X,MATCH('1) For HR'!E$1,'HR Rep'!$A$1:$X$1,0),0),""),"")="","",IFERROR(_xlfn.IFNA(VLOOKUP($A23,'HR Rep'!$A:$X,MATCH('1) For HR'!E$1,'HR Rep'!$A$1:$X$1,0),0),""),""))</f>
        <v/>
      </c>
      <c r="F23" s="140" t="str">
        <f>IF(IFERROR(_xlfn.IFNA(VLOOKUP($A23,'HR Rep'!$A:$X,MATCH('1) For HR'!F$1,'HR Rep'!$A$1:$X$1,0),0),""),"")="","",IFERROR(_xlfn.IFNA(VLOOKUP($A23,'HR Rep'!$A:$X,MATCH('1) For HR'!F$1,'HR Rep'!$A$1:$X$1,0),0),""),""))</f>
        <v/>
      </c>
      <c r="G23" s="196" t="s">
        <v>277</v>
      </c>
      <c r="H23" s="140" t="str">
        <f>IF(IFERROR(_xlfn.IFNA(VLOOKUP($A23,'HR Rep'!$A:$X,MATCH('1) For HR'!H$1,'HR Rep'!$A$1:$X$1,0),0),""),"")="","",IFERROR(_xlfn.IFNA(VLOOKUP($A23,'HR Rep'!$A:$X,MATCH('1) For HR'!H$1,'HR Rep'!$A$1:$X$1,0),0),""),""))</f>
        <v/>
      </c>
      <c r="I23" s="140" t="str">
        <f>IF(IFERROR(_xlfn.IFNA(VLOOKUP($A23,'HR Rep'!$A:$X,MATCH('1) For HR'!I$1,'HR Rep'!$A$1:$X$1,0),0),""),"")="","",IFERROR(_xlfn.IFNA(VLOOKUP($A23,'HR Rep'!$A:$X,MATCH('1) For HR'!I$1,'HR Rep'!$A$1:$X$1,0),0),""),""))</f>
        <v/>
      </c>
      <c r="J23" s="140" t="str">
        <f>IF(IFERROR(_xlfn.IFNA(VLOOKUP($A23,'HR Rep'!$A:$X,MATCH('1) For HR'!J$1,'HR Rep'!$A$1:$X$1,0),0),""),"")="","",IFERROR(_xlfn.IFNA(VLOOKUP($A23,'HR Rep'!$A:$X,MATCH('1) For HR'!J$1,'HR Rep'!$A$1:$X$1,0),0),""),""))</f>
        <v/>
      </c>
      <c r="K23" s="161">
        <f t="shared" si="0"/>
        <v>5902</v>
      </c>
      <c r="L23" s="174">
        <f>Period!$A$2</f>
        <v>46113</v>
      </c>
      <c r="M23" s="175">
        <f>Period!$B$2</f>
        <v>46174</v>
      </c>
      <c r="N23" s="194" t="s">
        <v>272</v>
      </c>
      <c r="P23" s="166">
        <f>SUMIFS('3)Target &amp; Cal_Staff'!BN:BN,'3)Target &amp; Cal_Staff'!BM:BM,'1) For HR'!A23)</f>
        <v>5902</v>
      </c>
      <c r="Q23" s="166">
        <f>SUMIFS('3)Target &amp; Cal_Sect'!BN:BN,'3)Target &amp; Cal_Sect'!BM:BM,'1) For HR'!A23)</f>
        <v>0</v>
      </c>
      <c r="R23" s="166">
        <f>SUMIFS('3)Target &amp; Cal_Dept'!BN:BN,'3)Target &amp; Cal_Dept'!BM:BM,'1) For HR'!A23)</f>
        <v>0</v>
      </c>
      <c r="S23" s="166">
        <f>SUMIFS('3)Target &amp; Cal_AD'!BN:BN,'3)Target &amp; Cal_AD'!BM:BM,'1) For HR'!A23)</f>
        <v>0</v>
      </c>
    </row>
    <row r="24" spans="1:19" ht="11.4" x14ac:dyDescent="0.25">
      <c r="A24" s="269">
        <v>222210</v>
      </c>
      <c r="B24" s="169">
        <f>IF(IF(VLOOKUP(A24,ASTBase!F:P,11,FALSE)="","",VLOOKUP(A24,ASTBase!F:P,11,FALSE))=0,"",IF(VLOOKUP(A24,ASTBase!F:P,11,FALSE)="","",VLOOKUP(A24,ASTBase!F:P,11,FALSE)))</f>
        <v>5490000706</v>
      </c>
      <c r="C24" s="140" t="str">
        <f>IF(IFERROR(_xlfn.IFNA(VLOOKUP($A24,'HR Rep'!$A:$X,MATCH('1) For HR'!C$1,'HR Rep'!$A$1:$X$1,0),0),""),"")="","",IFERROR(_xlfn.IFNA(VLOOKUP($A24,'HR Rep'!$A:$X,MATCH('1) For HR'!C$1,'HR Rep'!$A$1:$X$1,0),0),""),""))</f>
        <v/>
      </c>
      <c r="D24" s="140" t="str">
        <f>IF(IFERROR(_xlfn.IFNA(VLOOKUP($A24,'HR Rep'!$A:$X,MATCH('1) For HR'!D$1,'HR Rep'!$A$1:$X$1,0),0),""),"")="","",IFERROR(_xlfn.IFNA(VLOOKUP($A24,'HR Rep'!$A:$X,MATCH('1) For HR'!D$1,'HR Rep'!$A$1:$X$1,0),0),""),""))</f>
        <v/>
      </c>
      <c r="E24" s="140" t="str">
        <f>IF(IFERROR(_xlfn.IFNA(VLOOKUP($A24,'HR Rep'!$A:$X,MATCH('1) For HR'!E$1,'HR Rep'!$A$1:$X$1,0),0),""),"")="","",IFERROR(_xlfn.IFNA(VLOOKUP($A24,'HR Rep'!$A:$X,MATCH('1) For HR'!E$1,'HR Rep'!$A$1:$X$1,0),0),""),""))</f>
        <v/>
      </c>
      <c r="F24" s="140" t="str">
        <f>IF(IFERROR(_xlfn.IFNA(VLOOKUP($A24,'HR Rep'!$A:$X,MATCH('1) For HR'!F$1,'HR Rep'!$A$1:$X$1,0),0),""),"")="","",IFERROR(_xlfn.IFNA(VLOOKUP($A24,'HR Rep'!$A:$X,MATCH('1) For HR'!F$1,'HR Rep'!$A$1:$X$1,0),0),""),""))</f>
        <v/>
      </c>
      <c r="G24" s="196" t="s">
        <v>278</v>
      </c>
      <c r="H24" s="140" t="str">
        <f>IF(IFERROR(_xlfn.IFNA(VLOOKUP($A24,'HR Rep'!$A:$X,MATCH('1) For HR'!H$1,'HR Rep'!$A$1:$X$1,0),0),""),"")="","",IFERROR(_xlfn.IFNA(VLOOKUP($A24,'HR Rep'!$A:$X,MATCH('1) For HR'!H$1,'HR Rep'!$A$1:$X$1,0),0),""),""))</f>
        <v/>
      </c>
      <c r="I24" s="140" t="str">
        <f>IF(IFERROR(_xlfn.IFNA(VLOOKUP($A24,'HR Rep'!$A:$X,MATCH('1) For HR'!I$1,'HR Rep'!$A$1:$X$1,0),0),""),"")="","",IFERROR(_xlfn.IFNA(VLOOKUP($A24,'HR Rep'!$A:$X,MATCH('1) For HR'!I$1,'HR Rep'!$A$1:$X$1,0),0),""),""))</f>
        <v/>
      </c>
      <c r="J24" s="140" t="str">
        <f>IF(IFERROR(_xlfn.IFNA(VLOOKUP($A24,'HR Rep'!$A:$X,MATCH('1) For HR'!J$1,'HR Rep'!$A$1:$X$1,0),0),""),"")="","",IFERROR(_xlfn.IFNA(VLOOKUP($A24,'HR Rep'!$A:$X,MATCH('1) For HR'!J$1,'HR Rep'!$A$1:$X$1,0),0),""),""))</f>
        <v/>
      </c>
      <c r="K24" s="161">
        <f t="shared" si="0"/>
        <v>4331</v>
      </c>
      <c r="L24" s="174">
        <f>Period!$A$2</f>
        <v>46113</v>
      </c>
      <c r="M24" s="175">
        <f>Period!$B$2</f>
        <v>46174</v>
      </c>
      <c r="N24" s="194" t="s">
        <v>272</v>
      </c>
      <c r="P24" s="166">
        <f>SUMIFS('3)Target &amp; Cal_Staff'!BN:BN,'3)Target &amp; Cal_Staff'!BM:BM,'1) For HR'!A24)</f>
        <v>4331</v>
      </c>
      <c r="Q24" s="166">
        <f>SUMIFS('3)Target &amp; Cal_Sect'!BN:BN,'3)Target &amp; Cal_Sect'!BM:BM,'1) For HR'!A24)</f>
        <v>0</v>
      </c>
      <c r="R24" s="166">
        <f>SUMIFS('3)Target &amp; Cal_Dept'!BN:BN,'3)Target &amp; Cal_Dept'!BM:BM,'1) For HR'!A24)</f>
        <v>0</v>
      </c>
      <c r="S24" s="166">
        <f>SUMIFS('3)Target &amp; Cal_AD'!BN:BN,'3)Target &amp; Cal_AD'!BM:BM,'1) For HR'!A24)</f>
        <v>0</v>
      </c>
    </row>
    <row r="25" spans="1:19" ht="11.4" x14ac:dyDescent="0.25">
      <c r="A25" s="269">
        <v>222202</v>
      </c>
      <c r="B25" s="169">
        <f>IF(IF(VLOOKUP(A25,ASTBase!F:P,11,FALSE)="","",VLOOKUP(A25,ASTBase!F:P,11,FALSE))=0,"",IF(VLOOKUP(A25,ASTBase!F:P,11,FALSE)="","",VLOOKUP(A25,ASTBase!F:P,11,FALSE)))</f>
        <v>5490000708</v>
      </c>
      <c r="C25" s="140" t="str">
        <f>IF(IFERROR(_xlfn.IFNA(VLOOKUP($A25,'HR Rep'!$A:$X,MATCH('1) For HR'!C$1,'HR Rep'!$A$1:$X$1,0),0),""),"")="","",IFERROR(_xlfn.IFNA(VLOOKUP($A25,'HR Rep'!$A:$X,MATCH('1) For HR'!C$1,'HR Rep'!$A$1:$X$1,0),0),""),""))</f>
        <v/>
      </c>
      <c r="D25" s="140" t="str">
        <f>IF(IFERROR(_xlfn.IFNA(VLOOKUP($A25,'HR Rep'!$A:$X,MATCH('1) For HR'!D$1,'HR Rep'!$A$1:$X$1,0),0),""),"")="","",IFERROR(_xlfn.IFNA(VLOOKUP($A25,'HR Rep'!$A:$X,MATCH('1) For HR'!D$1,'HR Rep'!$A$1:$X$1,0),0),""),""))</f>
        <v/>
      </c>
      <c r="E25" s="140" t="str">
        <f>IF(IFERROR(_xlfn.IFNA(VLOOKUP($A25,'HR Rep'!$A:$X,MATCH('1) For HR'!E$1,'HR Rep'!$A$1:$X$1,0),0),""),"")="","",IFERROR(_xlfn.IFNA(VLOOKUP($A25,'HR Rep'!$A:$X,MATCH('1) For HR'!E$1,'HR Rep'!$A$1:$X$1,0),0),""),""))</f>
        <v/>
      </c>
      <c r="F25" s="140" t="str">
        <f>IF(IFERROR(_xlfn.IFNA(VLOOKUP($A25,'HR Rep'!$A:$X,MATCH('1) For HR'!F$1,'HR Rep'!$A$1:$X$1,0),0),""),"")="","",IFERROR(_xlfn.IFNA(VLOOKUP($A25,'HR Rep'!$A:$X,MATCH('1) For HR'!F$1,'HR Rep'!$A$1:$X$1,0),0),""),""))</f>
        <v/>
      </c>
      <c r="G25" s="196" t="s">
        <v>278</v>
      </c>
      <c r="H25" s="140" t="str">
        <f>IF(IFERROR(_xlfn.IFNA(VLOOKUP($A25,'HR Rep'!$A:$X,MATCH('1) For HR'!H$1,'HR Rep'!$A$1:$X$1,0),0),""),"")="","",IFERROR(_xlfn.IFNA(VLOOKUP($A25,'HR Rep'!$A:$X,MATCH('1) For HR'!H$1,'HR Rep'!$A$1:$X$1,0),0),""),""))</f>
        <v/>
      </c>
      <c r="I25" s="140" t="str">
        <f>IF(IFERROR(_xlfn.IFNA(VLOOKUP($A25,'HR Rep'!$A:$X,MATCH('1) For HR'!I$1,'HR Rep'!$A$1:$X$1,0),0),""),"")="","",IFERROR(_xlfn.IFNA(VLOOKUP($A25,'HR Rep'!$A:$X,MATCH('1) For HR'!I$1,'HR Rep'!$A$1:$X$1,0),0),""),""))</f>
        <v/>
      </c>
      <c r="J25" s="140" t="str">
        <f>IF(IFERROR(_xlfn.IFNA(VLOOKUP($A25,'HR Rep'!$A:$X,MATCH('1) For HR'!J$1,'HR Rep'!$A$1:$X$1,0),0),""),"")="","",IFERROR(_xlfn.IFNA(VLOOKUP($A25,'HR Rep'!$A:$X,MATCH('1) For HR'!J$1,'HR Rep'!$A$1:$X$1,0),0),""),""))</f>
        <v/>
      </c>
      <c r="K25" s="161">
        <f t="shared" si="0"/>
        <v>3700</v>
      </c>
      <c r="L25" s="174">
        <f>Period!$A$2</f>
        <v>46113</v>
      </c>
      <c r="M25" s="175">
        <f>Period!$B$2</f>
        <v>46174</v>
      </c>
      <c r="N25" s="194" t="s">
        <v>272</v>
      </c>
      <c r="P25" s="166">
        <f>SUMIFS('3)Target &amp; Cal_Staff'!BN:BN,'3)Target &amp; Cal_Staff'!BM:BM,'1) For HR'!A25)</f>
        <v>3700</v>
      </c>
      <c r="Q25" s="166">
        <f>SUMIFS('3)Target &amp; Cal_Sect'!BN:BN,'3)Target &amp; Cal_Sect'!BM:BM,'1) For HR'!A25)</f>
        <v>0</v>
      </c>
      <c r="R25" s="166">
        <f>SUMIFS('3)Target &amp; Cal_Dept'!BN:BN,'3)Target &amp; Cal_Dept'!BM:BM,'1) For HR'!A25)</f>
        <v>0</v>
      </c>
      <c r="S25" s="166">
        <f>SUMIFS('3)Target &amp; Cal_AD'!BN:BN,'3)Target &amp; Cal_AD'!BM:BM,'1) For HR'!A25)</f>
        <v>0</v>
      </c>
    </row>
    <row r="26" spans="1:19" ht="11.4" x14ac:dyDescent="0.25">
      <c r="A26" s="269">
        <v>222209</v>
      </c>
      <c r="B26" s="169">
        <f>IF(IF(VLOOKUP(A26,ASTBase!F:P,11,FALSE)="","",VLOOKUP(A26,ASTBase!F:P,11,FALSE))=0,"",IF(VLOOKUP(A26,ASTBase!F:P,11,FALSE)="","",VLOOKUP(A26,ASTBase!F:P,11,FALSE)))</f>
        <v>5490000718</v>
      </c>
      <c r="C26" s="140" t="str">
        <f>IF(IFERROR(_xlfn.IFNA(VLOOKUP($A26,'HR Rep'!$A:$X,MATCH('1) For HR'!C$1,'HR Rep'!$A$1:$X$1,0),0),""),"")="","",IFERROR(_xlfn.IFNA(VLOOKUP($A26,'HR Rep'!$A:$X,MATCH('1) For HR'!C$1,'HR Rep'!$A$1:$X$1,0),0),""),""))</f>
        <v/>
      </c>
      <c r="D26" s="140" t="str">
        <f>IF(IFERROR(_xlfn.IFNA(VLOOKUP($A26,'HR Rep'!$A:$X,MATCH('1) For HR'!D$1,'HR Rep'!$A$1:$X$1,0),0),""),"")="","",IFERROR(_xlfn.IFNA(VLOOKUP($A26,'HR Rep'!$A:$X,MATCH('1) For HR'!D$1,'HR Rep'!$A$1:$X$1,0),0),""),""))</f>
        <v/>
      </c>
      <c r="E26" s="140" t="str">
        <f>IF(IFERROR(_xlfn.IFNA(VLOOKUP($A26,'HR Rep'!$A:$X,MATCH('1) For HR'!E$1,'HR Rep'!$A$1:$X$1,0),0),""),"")="","",IFERROR(_xlfn.IFNA(VLOOKUP($A26,'HR Rep'!$A:$X,MATCH('1) For HR'!E$1,'HR Rep'!$A$1:$X$1,0),0),""),""))</f>
        <v/>
      </c>
      <c r="F26" s="140" t="str">
        <f>IF(IFERROR(_xlfn.IFNA(VLOOKUP($A26,'HR Rep'!$A:$X,MATCH('1) For HR'!F$1,'HR Rep'!$A$1:$X$1,0),0),""),"")="","",IFERROR(_xlfn.IFNA(VLOOKUP($A26,'HR Rep'!$A:$X,MATCH('1) For HR'!F$1,'HR Rep'!$A$1:$X$1,0),0),""),""))</f>
        <v/>
      </c>
      <c r="G26" s="196" t="s">
        <v>278</v>
      </c>
      <c r="H26" s="140" t="str">
        <f>IF(IFERROR(_xlfn.IFNA(VLOOKUP($A26,'HR Rep'!$A:$X,MATCH('1) For HR'!H$1,'HR Rep'!$A$1:$X$1,0),0),""),"")="","",IFERROR(_xlfn.IFNA(VLOOKUP($A26,'HR Rep'!$A:$X,MATCH('1) For HR'!H$1,'HR Rep'!$A$1:$X$1,0),0),""),""))</f>
        <v/>
      </c>
      <c r="I26" s="140" t="str">
        <f>IF(IFERROR(_xlfn.IFNA(VLOOKUP($A26,'HR Rep'!$A:$X,MATCH('1) For HR'!I$1,'HR Rep'!$A$1:$X$1,0),0),""),"")="","",IFERROR(_xlfn.IFNA(VLOOKUP($A26,'HR Rep'!$A:$X,MATCH('1) For HR'!I$1,'HR Rep'!$A$1:$X$1,0),0),""),""))</f>
        <v/>
      </c>
      <c r="J26" s="140" t="str">
        <f>IF(IFERROR(_xlfn.IFNA(VLOOKUP($A26,'HR Rep'!$A:$X,MATCH('1) For HR'!J$1,'HR Rep'!$A$1:$X$1,0),0),""),"")="","",IFERROR(_xlfn.IFNA(VLOOKUP($A26,'HR Rep'!$A:$X,MATCH('1) For HR'!J$1,'HR Rep'!$A$1:$X$1,0),0),""),""))</f>
        <v/>
      </c>
      <c r="K26" s="161">
        <f t="shared" si="0"/>
        <v>4071</v>
      </c>
      <c r="L26" s="174">
        <f>Period!$A$2</f>
        <v>46113</v>
      </c>
      <c r="M26" s="175">
        <f>Period!$B$2</f>
        <v>46174</v>
      </c>
      <c r="N26" s="194" t="s">
        <v>272</v>
      </c>
      <c r="P26" s="166">
        <f>SUMIFS('3)Target &amp; Cal_Staff'!BN:BN,'3)Target &amp; Cal_Staff'!BM:BM,'1) For HR'!A26)</f>
        <v>4071</v>
      </c>
      <c r="Q26" s="166">
        <f>SUMIFS('3)Target &amp; Cal_Sect'!BN:BN,'3)Target &amp; Cal_Sect'!BM:BM,'1) For HR'!A26)</f>
        <v>0</v>
      </c>
      <c r="R26" s="166">
        <f>SUMIFS('3)Target &amp; Cal_Dept'!BN:BN,'3)Target &amp; Cal_Dept'!BM:BM,'1) For HR'!A26)</f>
        <v>0</v>
      </c>
      <c r="S26" s="166">
        <f>SUMIFS('3)Target &amp; Cal_AD'!BN:BN,'3)Target &amp; Cal_AD'!BM:BM,'1) For HR'!A26)</f>
        <v>0</v>
      </c>
    </row>
    <row r="27" spans="1:19" ht="11.4" x14ac:dyDescent="0.25">
      <c r="A27" s="269">
        <v>222201</v>
      </c>
      <c r="B27" s="169">
        <f>IF(IF(VLOOKUP(A27,ASTBase!F:P,11,FALSE)="","",VLOOKUP(A27,ASTBase!F:P,11,FALSE))=0,"",IF(VLOOKUP(A27,ASTBase!F:P,11,FALSE)="","",VLOOKUP(A27,ASTBase!F:P,11,FALSE)))</f>
        <v>5490000702</v>
      </c>
      <c r="C27" s="140" t="str">
        <f>IF(IFERROR(_xlfn.IFNA(VLOOKUP($A27,'HR Rep'!$A:$X,MATCH('1) For HR'!C$1,'HR Rep'!$A$1:$X$1,0),0),""),"")="","",IFERROR(_xlfn.IFNA(VLOOKUP($A27,'HR Rep'!$A:$X,MATCH('1) For HR'!C$1,'HR Rep'!$A$1:$X$1,0),0),""),""))</f>
        <v/>
      </c>
      <c r="D27" s="140" t="str">
        <f>IF(IFERROR(_xlfn.IFNA(VLOOKUP($A27,'HR Rep'!$A:$X,MATCH('1) For HR'!D$1,'HR Rep'!$A$1:$X$1,0),0),""),"")="","",IFERROR(_xlfn.IFNA(VLOOKUP($A27,'HR Rep'!$A:$X,MATCH('1) For HR'!D$1,'HR Rep'!$A$1:$X$1,0),0),""),""))</f>
        <v/>
      </c>
      <c r="E27" s="140" t="str">
        <f>IF(IFERROR(_xlfn.IFNA(VLOOKUP($A27,'HR Rep'!$A:$X,MATCH('1) For HR'!E$1,'HR Rep'!$A$1:$X$1,0),0),""),"")="","",IFERROR(_xlfn.IFNA(VLOOKUP($A27,'HR Rep'!$A:$X,MATCH('1) For HR'!E$1,'HR Rep'!$A$1:$X$1,0),0),""),""))</f>
        <v/>
      </c>
      <c r="F27" s="140" t="str">
        <f>IF(IFERROR(_xlfn.IFNA(VLOOKUP($A27,'HR Rep'!$A:$X,MATCH('1) For HR'!F$1,'HR Rep'!$A$1:$X$1,0),0),""),"")="","",IFERROR(_xlfn.IFNA(VLOOKUP($A27,'HR Rep'!$A:$X,MATCH('1) For HR'!F$1,'HR Rep'!$A$1:$X$1,0),0),""),""))</f>
        <v/>
      </c>
      <c r="G27" s="196" t="s">
        <v>278</v>
      </c>
      <c r="H27" s="140" t="str">
        <f>IF(IFERROR(_xlfn.IFNA(VLOOKUP($A27,'HR Rep'!$A:$X,MATCH('1) For HR'!H$1,'HR Rep'!$A$1:$X$1,0),0),""),"")="","",IFERROR(_xlfn.IFNA(VLOOKUP($A27,'HR Rep'!$A:$X,MATCH('1) For HR'!H$1,'HR Rep'!$A$1:$X$1,0),0),""),""))</f>
        <v/>
      </c>
      <c r="I27" s="140" t="str">
        <f>IF(IFERROR(_xlfn.IFNA(VLOOKUP($A27,'HR Rep'!$A:$X,MATCH('1) For HR'!I$1,'HR Rep'!$A$1:$X$1,0),0),""),"")="","",IFERROR(_xlfn.IFNA(VLOOKUP($A27,'HR Rep'!$A:$X,MATCH('1) For HR'!I$1,'HR Rep'!$A$1:$X$1,0),0),""),""))</f>
        <v/>
      </c>
      <c r="J27" s="140" t="str">
        <f>IF(IFERROR(_xlfn.IFNA(VLOOKUP($A27,'HR Rep'!$A:$X,MATCH('1) For HR'!J$1,'HR Rep'!$A$1:$X$1,0),0),""),"")="","",IFERROR(_xlfn.IFNA(VLOOKUP($A27,'HR Rep'!$A:$X,MATCH('1) For HR'!J$1,'HR Rep'!$A$1:$X$1,0),0),""),""))</f>
        <v/>
      </c>
      <c r="K27" s="161">
        <f t="shared" si="0"/>
        <v>4024</v>
      </c>
      <c r="L27" s="174">
        <f>Period!$A$2</f>
        <v>46113</v>
      </c>
      <c r="M27" s="175">
        <f>Period!$B$2</f>
        <v>46174</v>
      </c>
      <c r="N27" s="194" t="s">
        <v>272</v>
      </c>
      <c r="P27" s="166">
        <f>SUMIFS('3)Target &amp; Cal_Staff'!BN:BN,'3)Target &amp; Cal_Staff'!BM:BM,'1) For HR'!A27)</f>
        <v>4024</v>
      </c>
      <c r="Q27" s="166">
        <f>SUMIFS('3)Target &amp; Cal_Sect'!BN:BN,'3)Target &amp; Cal_Sect'!BM:BM,'1) For HR'!A27)</f>
        <v>0</v>
      </c>
      <c r="R27" s="166">
        <f>SUMIFS('3)Target &amp; Cal_Dept'!BN:BN,'3)Target &amp; Cal_Dept'!BM:BM,'1) For HR'!A27)</f>
        <v>0</v>
      </c>
      <c r="S27" s="166">
        <f>SUMIFS('3)Target &amp; Cal_AD'!BN:BN,'3)Target &amp; Cal_AD'!BM:BM,'1) For HR'!A27)</f>
        <v>0</v>
      </c>
    </row>
    <row r="28" spans="1:19" ht="11.4" x14ac:dyDescent="0.25">
      <c r="A28" s="270">
        <v>222220</v>
      </c>
      <c r="B28" s="169">
        <f>IF(IF(VLOOKUP(A28,ASTBase!F:P,11,FALSE)="","",VLOOKUP(A28,ASTBase!F:P,11,FALSE))=0,"",IF(VLOOKUP(A28,ASTBase!F:P,11,FALSE)="","",VLOOKUP(A28,ASTBase!F:P,11,FALSE)))</f>
        <v>5490000725</v>
      </c>
      <c r="C28" s="140" t="str">
        <f>IF(IFERROR(_xlfn.IFNA(VLOOKUP($A28,'HR Rep'!$A:$X,MATCH('1) For HR'!C$1,'HR Rep'!$A$1:$X$1,0),0),""),"")="","",IFERROR(_xlfn.IFNA(VLOOKUP($A28,'HR Rep'!$A:$X,MATCH('1) For HR'!C$1,'HR Rep'!$A$1:$X$1,0),0),""),""))</f>
        <v/>
      </c>
      <c r="D28" s="140" t="str">
        <f>IF(IFERROR(_xlfn.IFNA(VLOOKUP($A28,'HR Rep'!$A:$X,MATCH('1) For HR'!D$1,'HR Rep'!$A$1:$X$1,0),0),""),"")="","",IFERROR(_xlfn.IFNA(VLOOKUP($A28,'HR Rep'!$A:$X,MATCH('1) For HR'!D$1,'HR Rep'!$A$1:$X$1,0),0),""),""))</f>
        <v/>
      </c>
      <c r="E28" s="140" t="str">
        <f>IF(IFERROR(_xlfn.IFNA(VLOOKUP($A28,'HR Rep'!$A:$X,MATCH('1) For HR'!E$1,'HR Rep'!$A$1:$X$1,0),0),""),"")="","",IFERROR(_xlfn.IFNA(VLOOKUP($A28,'HR Rep'!$A:$X,MATCH('1) For HR'!E$1,'HR Rep'!$A$1:$X$1,0),0),""),""))</f>
        <v/>
      </c>
      <c r="F28" s="140" t="str">
        <f>IF(IFERROR(_xlfn.IFNA(VLOOKUP($A28,'HR Rep'!$A:$X,MATCH('1) For HR'!F$1,'HR Rep'!$A$1:$X$1,0),0),""),"")="","",IFERROR(_xlfn.IFNA(VLOOKUP($A28,'HR Rep'!$A:$X,MATCH('1) For HR'!F$1,'HR Rep'!$A$1:$X$1,0),0),""),""))</f>
        <v/>
      </c>
      <c r="G28" s="196" t="s">
        <v>278</v>
      </c>
      <c r="H28" s="140" t="str">
        <f>IF(IFERROR(_xlfn.IFNA(VLOOKUP($A28,'HR Rep'!$A:$X,MATCH('1) For HR'!H$1,'HR Rep'!$A$1:$X$1,0),0),""),"")="","",IFERROR(_xlfn.IFNA(VLOOKUP($A28,'HR Rep'!$A:$X,MATCH('1) For HR'!H$1,'HR Rep'!$A$1:$X$1,0),0),""),""))</f>
        <v/>
      </c>
      <c r="I28" s="140" t="str">
        <f>IF(IFERROR(_xlfn.IFNA(VLOOKUP($A28,'HR Rep'!$A:$X,MATCH('1) For HR'!I$1,'HR Rep'!$A$1:$X$1,0),0),""),"")="","",IFERROR(_xlfn.IFNA(VLOOKUP($A28,'HR Rep'!$A:$X,MATCH('1) For HR'!I$1,'HR Rep'!$A$1:$X$1,0),0),""),""))</f>
        <v/>
      </c>
      <c r="J28" s="140" t="str">
        <f>IF(IFERROR(_xlfn.IFNA(VLOOKUP($A28,'HR Rep'!$A:$X,MATCH('1) For HR'!J$1,'HR Rep'!$A$1:$X$1,0),0),""),"")="","",IFERROR(_xlfn.IFNA(VLOOKUP($A28,'HR Rep'!$A:$X,MATCH('1) For HR'!J$1,'HR Rep'!$A$1:$X$1,0),0),""),""))</f>
        <v/>
      </c>
      <c r="K28" s="161">
        <f t="shared" si="0"/>
        <v>3598</v>
      </c>
      <c r="L28" s="174">
        <f>Period!$A$2</f>
        <v>46113</v>
      </c>
      <c r="M28" s="175">
        <f>Period!$B$2</f>
        <v>46174</v>
      </c>
      <c r="N28" s="194" t="s">
        <v>272</v>
      </c>
      <c r="P28" s="166">
        <f>SUMIFS('3)Target &amp; Cal_Staff'!BN:BN,'3)Target &amp; Cal_Staff'!BM:BM,'1) For HR'!A28)</f>
        <v>3598</v>
      </c>
      <c r="Q28" s="166">
        <f>SUMIFS('3)Target &amp; Cal_Sect'!BN:BN,'3)Target &amp; Cal_Sect'!BM:BM,'1) For HR'!A28)</f>
        <v>0</v>
      </c>
      <c r="R28" s="166">
        <f>SUMIFS('3)Target &amp; Cal_Dept'!BN:BN,'3)Target &amp; Cal_Dept'!BM:BM,'1) For HR'!A28)</f>
        <v>0</v>
      </c>
      <c r="S28" s="166">
        <f>SUMIFS('3)Target &amp; Cal_AD'!BN:BN,'3)Target &amp; Cal_AD'!BM:BM,'1) For HR'!A28)</f>
        <v>0</v>
      </c>
    </row>
    <row r="33" spans="7:7" x14ac:dyDescent="0.25">
      <c r="G33" s="197"/>
    </row>
    <row r="34" spans="7:7" x14ac:dyDescent="0.25">
      <c r="G34" s="197"/>
    </row>
    <row r="35" spans="7:7" x14ac:dyDescent="0.25">
      <c r="G35" s="197"/>
    </row>
  </sheetData>
  <autoFilter ref="A1:S28" xr:uid="{BA081420-264F-406B-9600-A8F14231ADD7}"/>
  <phoneticPr fontId="10" type="noConversion"/>
  <dataValidations count="1">
    <dataValidation type="list" allowBlank="1" showInputMessage="1" showErrorMessage="1" sqref="N2:N28" xr:uid="{BFD48E14-9F05-4CFD-BFB7-8BCE7647F9A7}">
      <formula1>"Fix,Variable"</formula1>
    </dataValidation>
  </dataValidation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9D25-6DE2-4136-826C-F94C1D7AF016}">
  <sheetPr codeName="Sheet20">
    <tabColor theme="8" tint="0.39997558519241921"/>
  </sheetPr>
  <dimension ref="A1:N520"/>
  <sheetViews>
    <sheetView topLeftCell="G1" zoomScale="88" zoomScaleNormal="88" workbookViewId="0">
      <selection activeCell="B2" sqref="B2:B516"/>
    </sheetView>
  </sheetViews>
  <sheetFormatPr defaultColWidth="9.09765625" defaultRowHeight="10.8" x14ac:dyDescent="0.25"/>
  <cols>
    <col min="1" max="1" width="10.3984375" style="133" bestFit="1" customWidth="1"/>
    <col min="2" max="2" width="16.09765625" style="133" bestFit="1" customWidth="1"/>
    <col min="3" max="3" width="19.09765625" style="133" bestFit="1" customWidth="1"/>
    <col min="4" max="4" width="10.3984375" style="133" customWidth="1"/>
    <col min="5" max="5" width="32.8984375" style="133" bestFit="1" customWidth="1"/>
    <col min="6" max="6" width="11.3984375" style="133" bestFit="1" customWidth="1"/>
    <col min="7" max="7" width="38.8984375" style="198" bestFit="1" customWidth="1"/>
    <col min="8" max="8" width="11.8984375" style="133" bestFit="1" customWidth="1"/>
    <col min="9" max="9" width="12.5" style="133" bestFit="1" customWidth="1"/>
    <col min="10" max="10" width="17.8984375" style="133" bestFit="1" customWidth="1"/>
    <col min="11" max="11" width="20.8984375" style="162" customWidth="1"/>
    <col min="12" max="12" width="21.09765625" style="133" bestFit="1" customWidth="1"/>
    <col min="13" max="13" width="19.09765625" style="133" bestFit="1" customWidth="1"/>
    <col min="14" max="14" width="11.8984375" style="160" bestFit="1" customWidth="1"/>
    <col min="15" max="16384" width="9.09765625" style="133"/>
  </cols>
  <sheetData>
    <row r="1" spans="1:14" x14ac:dyDescent="0.25">
      <c r="A1" s="170" t="s">
        <v>198</v>
      </c>
      <c r="B1" s="171" t="s">
        <v>262</v>
      </c>
      <c r="C1" s="170" t="s">
        <v>199</v>
      </c>
      <c r="D1" s="170" t="s">
        <v>213</v>
      </c>
      <c r="E1" s="210" t="s">
        <v>210</v>
      </c>
      <c r="F1" s="170" t="s">
        <v>117</v>
      </c>
      <c r="G1" s="195" t="s">
        <v>263</v>
      </c>
      <c r="H1" s="170" t="s">
        <v>206</v>
      </c>
      <c r="I1" s="170" t="s">
        <v>207</v>
      </c>
      <c r="J1" s="170" t="s">
        <v>208</v>
      </c>
      <c r="K1" s="172" t="s">
        <v>264</v>
      </c>
      <c r="L1" s="173" t="s">
        <v>112</v>
      </c>
      <c r="M1" s="173" t="s">
        <v>265</v>
      </c>
      <c r="N1" s="193" t="s">
        <v>266</v>
      </c>
    </row>
    <row r="2" spans="1:14" ht="11.4" x14ac:dyDescent="0.25">
      <c r="A2" s="137"/>
      <c r="B2" s="169" t="e">
        <f>IF(IF(VLOOKUP(A2,ASTBase!F:P,11,FALSE)="","",VLOOKUP(A2,ASTBase!F:P,11,FALSE))=0,"",IF(VLOOKUP(A2,ASTBase!F:P,11,FALSE)="","",VLOOKUP(A2,ASTBase!F:P,11,FALSE)))</f>
        <v>#N/A</v>
      </c>
      <c r="C2" s="140" t="str">
        <f>IF(IFERROR(_xlfn.IFNA(VLOOKUP($A2,'HR Rep'!$A:$X,MATCH('1) For HR (FIX)'!C$1,'HR Rep'!$A$1:$X$1,0),0),""),"")="","",IFERROR(_xlfn.IFNA(VLOOKUP($A2,'HR Rep'!$A:$X,MATCH('1) For HR (FIX)'!C$1,'HR Rep'!$A$1:$X$1,0),0),""),""))</f>
        <v/>
      </c>
      <c r="D2" s="140" t="str">
        <f>IF(IFERROR(_xlfn.IFNA(VLOOKUP($A2,'HR Rep'!$A:$X,MATCH('1) For HR (FIX)'!D$1,'HR Rep'!$A$1:$X$1,0),0),""),"")="","",IFERROR(_xlfn.IFNA(VLOOKUP($A2,'HR Rep'!$A:$X,MATCH('1) For HR (FIX)'!D$1,'HR Rep'!$A$1:$X$1,0),0),""),""))</f>
        <v/>
      </c>
      <c r="E2" s="140" t="str">
        <f>IF(IFERROR(_xlfn.IFNA(VLOOKUP($A2,'HR Rep'!$A:$X,MATCH('1) For HR (FIX)'!E$1,'HR Rep'!$A$1:$X$1,0),0),""),"")="","",IFERROR(_xlfn.IFNA(VLOOKUP($A2,'HR Rep'!$A:$X,MATCH('1) For HR (FIX)'!E$1,'HR Rep'!$A$1:$X$1,0),0),""),""))</f>
        <v/>
      </c>
      <c r="F2" s="140" t="str">
        <f>IF(IFERROR(_xlfn.IFNA(VLOOKUP($A2,'HR Rep'!$A:$X,MATCH('1) For HR (FIX)'!F$1,'HR Rep'!$A$1:$X$1,0),0),""),"")="","",IFERROR(_xlfn.IFNA(VLOOKUP($A2,'HR Rep'!$A:$X,MATCH('1) For HR (FIX)'!F$1,'HR Rep'!$A$1:$X$1,0),0),""),""))</f>
        <v/>
      </c>
      <c r="G2" s="196"/>
      <c r="H2" s="140" t="str">
        <f>IF(IFERROR(_xlfn.IFNA(VLOOKUP($A2,'HR Rep'!$A:$X,MATCH('1) For HR (FIX)'!H$1,'HR Rep'!$A$1:$X$1,0),0),""),"")="","",IFERROR(_xlfn.IFNA(VLOOKUP($A2,'HR Rep'!$A:$X,MATCH('1) For HR (FIX)'!H$1,'HR Rep'!$A$1:$X$1,0),0),""),""))</f>
        <v/>
      </c>
      <c r="I2" s="140" t="str">
        <f>IF(IFERROR(_xlfn.IFNA(VLOOKUP($A2,'HR Rep'!$A:$X,MATCH('1) For HR (FIX)'!I$1,'HR Rep'!$A$1:$X$1,0),0),""),"")="","",IFERROR(_xlfn.IFNA(VLOOKUP($A2,'HR Rep'!$A:$X,MATCH('1) For HR (FIX)'!I$1,'HR Rep'!$A$1:$X$1,0),0),""),""))</f>
        <v/>
      </c>
      <c r="J2" s="140" t="str">
        <f>IF(IFERROR(_xlfn.IFNA(VLOOKUP($A2,'HR Rep'!$A:$X,MATCH('1) For HR (FIX)'!J$1,'HR Rep'!$A$1:$X$1,0),0),""),"")="","",IFERROR(_xlfn.IFNA(VLOOKUP($A2,'HR Rep'!$A:$X,MATCH('1) For HR (FIX)'!J$1,'HR Rep'!$A$1:$X$1,0),0),""),""))</f>
        <v/>
      </c>
      <c r="K2" s="161">
        <f>_xlfn.XLOOKUP(G2,ค่าตอบแทนการขายในอัตราคงที่!A:A,ค่าตอบแทนการขายในอัตราคงที่!B:B)</f>
        <v>0</v>
      </c>
      <c r="L2" s="174">
        <f>Period!$A$2</f>
        <v>46113</v>
      </c>
      <c r="M2" s="175">
        <f>Period!$C$2</f>
        <v>46143</v>
      </c>
      <c r="N2" s="194" t="s">
        <v>279</v>
      </c>
    </row>
    <row r="3" spans="1:14" ht="11.4" x14ac:dyDescent="0.25">
      <c r="A3" s="137"/>
      <c r="B3" s="169" t="e">
        <f>IF(IF(VLOOKUP(A3,ASTBase!F:P,11,FALSE)="","",VLOOKUP(A3,ASTBase!F:P,11,FALSE))=0,"",IF(VLOOKUP(A3,ASTBase!F:P,11,FALSE)="","",VLOOKUP(A3,ASTBase!F:P,11,FALSE)))</f>
        <v>#N/A</v>
      </c>
      <c r="C3" s="140" t="str">
        <f>IF(IFERROR(_xlfn.IFNA(VLOOKUP($A3,'HR Rep'!$A:$X,MATCH('1) For HR (FIX)'!C$1,'HR Rep'!$A$1:$X$1,0),0),""),"")="","",IFERROR(_xlfn.IFNA(VLOOKUP($A3,'HR Rep'!$A:$X,MATCH('1) For HR (FIX)'!C$1,'HR Rep'!$A$1:$X$1,0),0),""),""))</f>
        <v/>
      </c>
      <c r="D3" s="140" t="str">
        <f>IF(IFERROR(_xlfn.IFNA(VLOOKUP($A3,'HR Rep'!$A:$X,MATCH('1) For HR (FIX)'!D$1,'HR Rep'!$A$1:$X$1,0),0),""),"")="","",IFERROR(_xlfn.IFNA(VLOOKUP($A3,'HR Rep'!$A:$X,MATCH('1) For HR (FIX)'!D$1,'HR Rep'!$A$1:$X$1,0),0),""),""))</f>
        <v/>
      </c>
      <c r="E3" s="140" t="str">
        <f>IF(IFERROR(_xlfn.IFNA(VLOOKUP($A3,'HR Rep'!$A:$X,MATCH('1) For HR (FIX)'!E$1,'HR Rep'!$A$1:$X$1,0),0),""),"")="","",IFERROR(_xlfn.IFNA(VLOOKUP($A3,'HR Rep'!$A:$X,MATCH('1) For HR (FIX)'!E$1,'HR Rep'!$A$1:$X$1,0),0),""),""))</f>
        <v/>
      </c>
      <c r="F3" s="140" t="str">
        <f>IF(IFERROR(_xlfn.IFNA(VLOOKUP($A3,'HR Rep'!$A:$X,MATCH('1) For HR (FIX)'!F$1,'HR Rep'!$A$1:$X$1,0),0),""),"")="","",IFERROR(_xlfn.IFNA(VLOOKUP($A3,'HR Rep'!$A:$X,MATCH('1) For HR (FIX)'!F$1,'HR Rep'!$A$1:$X$1,0),0),""),""))</f>
        <v/>
      </c>
      <c r="G3" s="196"/>
      <c r="H3" s="140" t="str">
        <f>IF(IFERROR(_xlfn.IFNA(VLOOKUP($A3,'HR Rep'!$A:$X,MATCH('1) For HR (FIX)'!H$1,'HR Rep'!$A$1:$X$1,0),0),""),"")="","",IFERROR(_xlfn.IFNA(VLOOKUP($A3,'HR Rep'!$A:$X,MATCH('1) For HR (FIX)'!H$1,'HR Rep'!$A$1:$X$1,0),0),""),""))</f>
        <v/>
      </c>
      <c r="I3" s="140" t="str">
        <f>IF(IFERROR(_xlfn.IFNA(VLOOKUP($A3,'HR Rep'!$A:$X,MATCH('1) For HR (FIX)'!I$1,'HR Rep'!$A$1:$X$1,0),0),""),"")="","",IFERROR(_xlfn.IFNA(VLOOKUP($A3,'HR Rep'!$A:$X,MATCH('1) For HR (FIX)'!I$1,'HR Rep'!$A$1:$X$1,0),0),""),""))</f>
        <v/>
      </c>
      <c r="J3" s="140" t="str">
        <f>IF(IFERROR(_xlfn.IFNA(VLOOKUP($A3,'HR Rep'!$A:$X,MATCH('1) For HR (FIX)'!J$1,'HR Rep'!$A$1:$X$1,0),0),""),"")="","",IFERROR(_xlfn.IFNA(VLOOKUP($A3,'HR Rep'!$A:$X,MATCH('1) For HR (FIX)'!J$1,'HR Rep'!$A$1:$X$1,0),0),""),""))</f>
        <v/>
      </c>
      <c r="K3" s="161">
        <f>_xlfn.XLOOKUP(G3,ค่าตอบแทนการขายในอัตราคงที่!A:A,ค่าตอบแทนการขายในอัตราคงที่!B:B)</f>
        <v>0</v>
      </c>
      <c r="L3" s="174">
        <f>Period!$A$2</f>
        <v>46113</v>
      </c>
      <c r="M3" s="175">
        <f>Period!$C$2</f>
        <v>46143</v>
      </c>
      <c r="N3" s="194" t="s">
        <v>279</v>
      </c>
    </row>
    <row r="4" spans="1:14" ht="11.4" x14ac:dyDescent="0.25">
      <c r="A4" s="137"/>
      <c r="B4" s="169" t="e">
        <f>IF(IF(VLOOKUP(A4,ASTBase!F:P,11,FALSE)="","",VLOOKUP(A4,ASTBase!F:P,11,FALSE))=0,"",IF(VLOOKUP(A4,ASTBase!F:P,11,FALSE)="","",VLOOKUP(A4,ASTBase!F:P,11,FALSE)))</f>
        <v>#N/A</v>
      </c>
      <c r="C4" s="140" t="str">
        <f>IF(IFERROR(_xlfn.IFNA(VLOOKUP($A4,'HR Rep'!$A:$X,MATCH('1) For HR (FIX)'!C$1,'HR Rep'!$A$1:$X$1,0),0),""),"")="","",IFERROR(_xlfn.IFNA(VLOOKUP($A4,'HR Rep'!$A:$X,MATCH('1) For HR (FIX)'!C$1,'HR Rep'!$A$1:$X$1,0),0),""),""))</f>
        <v/>
      </c>
      <c r="D4" s="140" t="str">
        <f>IF(IFERROR(_xlfn.IFNA(VLOOKUP($A4,'HR Rep'!$A:$X,MATCH('1) For HR (FIX)'!D$1,'HR Rep'!$A$1:$X$1,0),0),""),"")="","",IFERROR(_xlfn.IFNA(VLOOKUP($A4,'HR Rep'!$A:$X,MATCH('1) For HR (FIX)'!D$1,'HR Rep'!$A$1:$X$1,0),0),""),""))</f>
        <v/>
      </c>
      <c r="E4" s="140" t="str">
        <f>IF(IFERROR(_xlfn.IFNA(VLOOKUP($A4,'HR Rep'!$A:$X,MATCH('1) For HR (FIX)'!E$1,'HR Rep'!$A$1:$X$1,0),0),""),"")="","",IFERROR(_xlfn.IFNA(VLOOKUP($A4,'HR Rep'!$A:$X,MATCH('1) For HR (FIX)'!E$1,'HR Rep'!$A$1:$X$1,0),0),""),""))</f>
        <v/>
      </c>
      <c r="F4" s="140" t="str">
        <f>IF(IFERROR(_xlfn.IFNA(VLOOKUP($A4,'HR Rep'!$A:$X,MATCH('1) For HR (FIX)'!F$1,'HR Rep'!$A$1:$X$1,0),0),""),"")="","",IFERROR(_xlfn.IFNA(VLOOKUP($A4,'HR Rep'!$A:$X,MATCH('1) For HR (FIX)'!F$1,'HR Rep'!$A$1:$X$1,0),0),""),""))</f>
        <v/>
      </c>
      <c r="G4" s="196"/>
      <c r="H4" s="140" t="str">
        <f>IF(IFERROR(_xlfn.IFNA(VLOOKUP($A4,'HR Rep'!$A:$X,MATCH('1) For HR (FIX)'!H$1,'HR Rep'!$A$1:$X$1,0),0),""),"")="","",IFERROR(_xlfn.IFNA(VLOOKUP($A4,'HR Rep'!$A:$X,MATCH('1) For HR (FIX)'!H$1,'HR Rep'!$A$1:$X$1,0),0),""),""))</f>
        <v/>
      </c>
      <c r="I4" s="140" t="str">
        <f>IF(IFERROR(_xlfn.IFNA(VLOOKUP($A4,'HR Rep'!$A:$X,MATCH('1) For HR (FIX)'!I$1,'HR Rep'!$A$1:$X$1,0),0),""),"")="","",IFERROR(_xlfn.IFNA(VLOOKUP($A4,'HR Rep'!$A:$X,MATCH('1) For HR (FIX)'!I$1,'HR Rep'!$A$1:$X$1,0),0),""),""))</f>
        <v/>
      </c>
      <c r="J4" s="140" t="str">
        <f>IF(IFERROR(_xlfn.IFNA(VLOOKUP($A4,'HR Rep'!$A:$X,MATCH('1) For HR (FIX)'!J$1,'HR Rep'!$A$1:$X$1,0),0),""),"")="","",IFERROR(_xlfn.IFNA(VLOOKUP($A4,'HR Rep'!$A:$X,MATCH('1) For HR (FIX)'!J$1,'HR Rep'!$A$1:$X$1,0),0),""),""))</f>
        <v/>
      </c>
      <c r="K4" s="161">
        <f>_xlfn.XLOOKUP(G4,ค่าตอบแทนการขายในอัตราคงที่!A:A,ค่าตอบแทนการขายในอัตราคงที่!B:B)</f>
        <v>0</v>
      </c>
      <c r="L4" s="174">
        <f>Period!$A$2</f>
        <v>46113</v>
      </c>
      <c r="M4" s="175">
        <f>Period!$C$2</f>
        <v>46143</v>
      </c>
      <c r="N4" s="194" t="s">
        <v>279</v>
      </c>
    </row>
    <row r="5" spans="1:14" ht="11.4" x14ac:dyDescent="0.25">
      <c r="A5" s="137"/>
      <c r="B5" s="169" t="e">
        <f>IF(IF(VLOOKUP(A5,ASTBase!F:P,11,FALSE)="","",VLOOKUP(A5,ASTBase!F:P,11,FALSE))=0,"",IF(VLOOKUP(A5,ASTBase!F:P,11,FALSE)="","",VLOOKUP(A5,ASTBase!F:P,11,FALSE)))</f>
        <v>#N/A</v>
      </c>
      <c r="C5" s="140" t="str">
        <f>IF(IFERROR(_xlfn.IFNA(VLOOKUP($A5,'HR Rep'!$A:$X,MATCH('1) For HR (FIX)'!C$1,'HR Rep'!$A$1:$X$1,0),0),""),"")="","",IFERROR(_xlfn.IFNA(VLOOKUP($A5,'HR Rep'!$A:$X,MATCH('1) For HR (FIX)'!C$1,'HR Rep'!$A$1:$X$1,0),0),""),""))</f>
        <v/>
      </c>
      <c r="D5" s="140" t="str">
        <f>IF(IFERROR(_xlfn.IFNA(VLOOKUP($A5,'HR Rep'!$A:$X,MATCH('1) For HR (FIX)'!D$1,'HR Rep'!$A$1:$X$1,0),0),""),"")="","",IFERROR(_xlfn.IFNA(VLOOKUP($A5,'HR Rep'!$A:$X,MATCH('1) For HR (FIX)'!D$1,'HR Rep'!$A$1:$X$1,0),0),""),""))</f>
        <v/>
      </c>
      <c r="E5" s="140" t="str">
        <f>IF(IFERROR(_xlfn.IFNA(VLOOKUP($A5,'HR Rep'!$A:$X,MATCH('1) For HR (FIX)'!E$1,'HR Rep'!$A$1:$X$1,0),0),""),"")="","",IFERROR(_xlfn.IFNA(VLOOKUP($A5,'HR Rep'!$A:$X,MATCH('1) For HR (FIX)'!E$1,'HR Rep'!$A$1:$X$1,0),0),""),""))</f>
        <v/>
      </c>
      <c r="F5" s="140" t="str">
        <f>IF(IFERROR(_xlfn.IFNA(VLOOKUP($A5,'HR Rep'!$A:$X,MATCH('1) For HR (FIX)'!F$1,'HR Rep'!$A$1:$X$1,0),0),""),"")="","",IFERROR(_xlfn.IFNA(VLOOKUP($A5,'HR Rep'!$A:$X,MATCH('1) For HR (FIX)'!F$1,'HR Rep'!$A$1:$X$1,0),0),""),""))</f>
        <v/>
      </c>
      <c r="G5" s="196"/>
      <c r="H5" s="140" t="str">
        <f>IF(IFERROR(_xlfn.IFNA(VLOOKUP($A5,'HR Rep'!$A:$X,MATCH('1) For HR (FIX)'!H$1,'HR Rep'!$A$1:$X$1,0),0),""),"")="","",IFERROR(_xlfn.IFNA(VLOOKUP($A5,'HR Rep'!$A:$X,MATCH('1) For HR (FIX)'!H$1,'HR Rep'!$A$1:$X$1,0),0),""),""))</f>
        <v/>
      </c>
      <c r="I5" s="140" t="str">
        <f>IF(IFERROR(_xlfn.IFNA(VLOOKUP($A5,'HR Rep'!$A:$X,MATCH('1) For HR (FIX)'!I$1,'HR Rep'!$A$1:$X$1,0),0),""),"")="","",IFERROR(_xlfn.IFNA(VLOOKUP($A5,'HR Rep'!$A:$X,MATCH('1) For HR (FIX)'!I$1,'HR Rep'!$A$1:$X$1,0),0),""),""))</f>
        <v/>
      </c>
      <c r="J5" s="140" t="str">
        <f>IF(IFERROR(_xlfn.IFNA(VLOOKUP($A5,'HR Rep'!$A:$X,MATCH('1) For HR (FIX)'!J$1,'HR Rep'!$A$1:$X$1,0),0),""),"")="","",IFERROR(_xlfn.IFNA(VLOOKUP($A5,'HR Rep'!$A:$X,MATCH('1) For HR (FIX)'!J$1,'HR Rep'!$A$1:$X$1,0),0),""),""))</f>
        <v/>
      </c>
      <c r="K5" s="161">
        <f>_xlfn.XLOOKUP(G5,ค่าตอบแทนการขายในอัตราคงที่!A:A,ค่าตอบแทนการขายในอัตราคงที่!B:B)</f>
        <v>0</v>
      </c>
      <c r="L5" s="174">
        <f>Period!$A$2</f>
        <v>46113</v>
      </c>
      <c r="M5" s="175">
        <f>Period!$C$2</f>
        <v>46143</v>
      </c>
      <c r="N5" s="194" t="s">
        <v>279</v>
      </c>
    </row>
    <row r="6" spans="1:14" ht="11.4" x14ac:dyDescent="0.25">
      <c r="A6" s="137"/>
      <c r="B6" s="169" t="e">
        <f>IF(IF(VLOOKUP(A6,ASTBase!F:P,11,FALSE)="","",VLOOKUP(A6,ASTBase!F:P,11,FALSE))=0,"",IF(VLOOKUP(A6,ASTBase!F:P,11,FALSE)="","",VLOOKUP(A6,ASTBase!F:P,11,FALSE)))</f>
        <v>#N/A</v>
      </c>
      <c r="C6" s="140" t="str">
        <f>IF(IFERROR(_xlfn.IFNA(VLOOKUP($A6,'HR Rep'!$A:$X,MATCH('1) For HR (FIX)'!C$1,'HR Rep'!$A$1:$X$1,0),0),""),"")="","",IFERROR(_xlfn.IFNA(VLOOKUP($A6,'HR Rep'!$A:$X,MATCH('1) For HR (FIX)'!C$1,'HR Rep'!$A$1:$X$1,0),0),""),""))</f>
        <v/>
      </c>
      <c r="D6" s="140" t="str">
        <f>IF(IFERROR(_xlfn.IFNA(VLOOKUP($A6,'HR Rep'!$A:$X,MATCH('1) For HR (FIX)'!D$1,'HR Rep'!$A$1:$X$1,0),0),""),"")="","",IFERROR(_xlfn.IFNA(VLOOKUP($A6,'HR Rep'!$A:$X,MATCH('1) For HR (FIX)'!D$1,'HR Rep'!$A$1:$X$1,0),0),""),""))</f>
        <v/>
      </c>
      <c r="E6" s="140" t="str">
        <f>IF(IFERROR(_xlfn.IFNA(VLOOKUP($A6,'HR Rep'!$A:$X,MATCH('1) For HR (FIX)'!E$1,'HR Rep'!$A$1:$X$1,0),0),""),"")="","",IFERROR(_xlfn.IFNA(VLOOKUP($A6,'HR Rep'!$A:$X,MATCH('1) For HR (FIX)'!E$1,'HR Rep'!$A$1:$X$1,0),0),""),""))</f>
        <v/>
      </c>
      <c r="F6" s="140" t="str">
        <f>IF(IFERROR(_xlfn.IFNA(VLOOKUP($A6,'HR Rep'!$A:$X,MATCH('1) For HR (FIX)'!F$1,'HR Rep'!$A$1:$X$1,0),0),""),"")="","",IFERROR(_xlfn.IFNA(VLOOKUP($A6,'HR Rep'!$A:$X,MATCH('1) For HR (FIX)'!F$1,'HR Rep'!$A$1:$X$1,0),0),""),""))</f>
        <v/>
      </c>
      <c r="G6" s="196"/>
      <c r="H6" s="140" t="str">
        <f>IF(IFERROR(_xlfn.IFNA(VLOOKUP($A6,'HR Rep'!$A:$X,MATCH('1) For HR (FIX)'!H$1,'HR Rep'!$A$1:$X$1,0),0),""),"")="","",IFERROR(_xlfn.IFNA(VLOOKUP($A6,'HR Rep'!$A:$X,MATCH('1) For HR (FIX)'!H$1,'HR Rep'!$A$1:$X$1,0),0),""),""))</f>
        <v/>
      </c>
      <c r="I6" s="140" t="str">
        <f>IF(IFERROR(_xlfn.IFNA(VLOOKUP($A6,'HR Rep'!$A:$X,MATCH('1) For HR (FIX)'!I$1,'HR Rep'!$A$1:$X$1,0),0),""),"")="","",IFERROR(_xlfn.IFNA(VLOOKUP($A6,'HR Rep'!$A:$X,MATCH('1) For HR (FIX)'!I$1,'HR Rep'!$A$1:$X$1,0),0),""),""))</f>
        <v/>
      </c>
      <c r="J6" s="140" t="str">
        <f>IF(IFERROR(_xlfn.IFNA(VLOOKUP($A6,'HR Rep'!$A:$X,MATCH('1) For HR (FIX)'!J$1,'HR Rep'!$A$1:$X$1,0),0),""),"")="","",IFERROR(_xlfn.IFNA(VLOOKUP($A6,'HR Rep'!$A:$X,MATCH('1) For HR (FIX)'!J$1,'HR Rep'!$A$1:$X$1,0),0),""),""))</f>
        <v/>
      </c>
      <c r="K6" s="161">
        <f>_xlfn.XLOOKUP(G6,ค่าตอบแทนการขายในอัตราคงที่!A:A,ค่าตอบแทนการขายในอัตราคงที่!B:B)</f>
        <v>0</v>
      </c>
      <c r="L6" s="174">
        <f>Period!$A$2</f>
        <v>46113</v>
      </c>
      <c r="M6" s="175">
        <f>Period!$C$2</f>
        <v>46143</v>
      </c>
      <c r="N6" s="194" t="s">
        <v>279</v>
      </c>
    </row>
    <row r="7" spans="1:14" ht="11.4" x14ac:dyDescent="0.25">
      <c r="A7" s="137"/>
      <c r="B7" s="169" t="e">
        <f>IF(IF(VLOOKUP(A7,ASTBase!F:P,11,FALSE)="","",VLOOKUP(A7,ASTBase!F:P,11,FALSE))=0,"",IF(VLOOKUP(A7,ASTBase!F:P,11,FALSE)="","",VLOOKUP(A7,ASTBase!F:P,11,FALSE)))</f>
        <v>#N/A</v>
      </c>
      <c r="C7" s="140" t="str">
        <f>IF(IFERROR(_xlfn.IFNA(VLOOKUP($A7,'HR Rep'!$A:$X,MATCH('1) For HR (FIX)'!C$1,'HR Rep'!$A$1:$X$1,0),0),""),"")="","",IFERROR(_xlfn.IFNA(VLOOKUP($A7,'HR Rep'!$A:$X,MATCH('1) For HR (FIX)'!C$1,'HR Rep'!$A$1:$X$1,0),0),""),""))</f>
        <v/>
      </c>
      <c r="D7" s="140" t="str">
        <f>IF(IFERROR(_xlfn.IFNA(VLOOKUP($A7,'HR Rep'!$A:$X,MATCH('1) For HR (FIX)'!D$1,'HR Rep'!$A$1:$X$1,0),0),""),"")="","",IFERROR(_xlfn.IFNA(VLOOKUP($A7,'HR Rep'!$A:$X,MATCH('1) For HR (FIX)'!D$1,'HR Rep'!$A$1:$X$1,0),0),""),""))</f>
        <v/>
      </c>
      <c r="E7" s="140" t="str">
        <f>IF(IFERROR(_xlfn.IFNA(VLOOKUP($A7,'HR Rep'!$A:$X,MATCH('1) For HR (FIX)'!E$1,'HR Rep'!$A$1:$X$1,0),0),""),"")="","",IFERROR(_xlfn.IFNA(VLOOKUP($A7,'HR Rep'!$A:$X,MATCH('1) For HR (FIX)'!E$1,'HR Rep'!$A$1:$X$1,0),0),""),""))</f>
        <v/>
      </c>
      <c r="F7" s="140" t="str">
        <f>IF(IFERROR(_xlfn.IFNA(VLOOKUP($A7,'HR Rep'!$A:$X,MATCH('1) For HR (FIX)'!F$1,'HR Rep'!$A$1:$X$1,0),0),""),"")="","",IFERROR(_xlfn.IFNA(VLOOKUP($A7,'HR Rep'!$A:$X,MATCH('1) For HR (FIX)'!F$1,'HR Rep'!$A$1:$X$1,0),0),""),""))</f>
        <v/>
      </c>
      <c r="G7" s="196"/>
      <c r="H7" s="140" t="str">
        <f>IF(IFERROR(_xlfn.IFNA(VLOOKUP($A7,'HR Rep'!$A:$X,MATCH('1) For HR (FIX)'!H$1,'HR Rep'!$A$1:$X$1,0),0),""),"")="","",IFERROR(_xlfn.IFNA(VLOOKUP($A7,'HR Rep'!$A:$X,MATCH('1) For HR (FIX)'!H$1,'HR Rep'!$A$1:$X$1,0),0),""),""))</f>
        <v/>
      </c>
      <c r="I7" s="140" t="str">
        <f>IF(IFERROR(_xlfn.IFNA(VLOOKUP($A7,'HR Rep'!$A:$X,MATCH('1) For HR (FIX)'!I$1,'HR Rep'!$A$1:$X$1,0),0),""),"")="","",IFERROR(_xlfn.IFNA(VLOOKUP($A7,'HR Rep'!$A:$X,MATCH('1) For HR (FIX)'!I$1,'HR Rep'!$A$1:$X$1,0),0),""),""))</f>
        <v/>
      </c>
      <c r="J7" s="140" t="str">
        <f>IF(IFERROR(_xlfn.IFNA(VLOOKUP($A7,'HR Rep'!$A:$X,MATCH('1) For HR (FIX)'!J$1,'HR Rep'!$A$1:$X$1,0),0),""),"")="","",IFERROR(_xlfn.IFNA(VLOOKUP($A7,'HR Rep'!$A:$X,MATCH('1) For HR (FIX)'!J$1,'HR Rep'!$A$1:$X$1,0),0),""),""))</f>
        <v/>
      </c>
      <c r="K7" s="161">
        <f>_xlfn.XLOOKUP(G7,ค่าตอบแทนการขายในอัตราคงที่!A:A,ค่าตอบแทนการขายในอัตราคงที่!B:B)</f>
        <v>0</v>
      </c>
      <c r="L7" s="174">
        <f>Period!$A$2</f>
        <v>46113</v>
      </c>
      <c r="M7" s="175">
        <f>Period!$C$2</f>
        <v>46143</v>
      </c>
      <c r="N7" s="194" t="s">
        <v>279</v>
      </c>
    </row>
    <row r="8" spans="1:14" ht="11.4" x14ac:dyDescent="0.25">
      <c r="A8" s="137"/>
      <c r="B8" s="169" t="e">
        <f>IF(IF(VLOOKUP(A8,ASTBase!F:P,11,FALSE)="","",VLOOKUP(A8,ASTBase!F:P,11,FALSE))=0,"",IF(VLOOKUP(A8,ASTBase!F:P,11,FALSE)="","",VLOOKUP(A8,ASTBase!F:P,11,FALSE)))</f>
        <v>#N/A</v>
      </c>
      <c r="C8" s="140" t="str">
        <f>IF(IFERROR(_xlfn.IFNA(VLOOKUP($A8,'HR Rep'!$A:$X,MATCH('1) For HR (FIX)'!C$1,'HR Rep'!$A$1:$X$1,0),0),""),"")="","",IFERROR(_xlfn.IFNA(VLOOKUP($A8,'HR Rep'!$A:$X,MATCH('1) For HR (FIX)'!C$1,'HR Rep'!$A$1:$X$1,0),0),""),""))</f>
        <v/>
      </c>
      <c r="D8" s="140" t="str">
        <f>IF(IFERROR(_xlfn.IFNA(VLOOKUP($A8,'HR Rep'!$A:$X,MATCH('1) For HR (FIX)'!D$1,'HR Rep'!$A$1:$X$1,0),0),""),"")="","",IFERROR(_xlfn.IFNA(VLOOKUP($A8,'HR Rep'!$A:$X,MATCH('1) For HR (FIX)'!D$1,'HR Rep'!$A$1:$X$1,0),0),""),""))</f>
        <v/>
      </c>
      <c r="E8" s="140" t="str">
        <f>IF(IFERROR(_xlfn.IFNA(VLOOKUP($A8,'HR Rep'!$A:$X,MATCH('1) For HR (FIX)'!E$1,'HR Rep'!$A$1:$X$1,0),0),""),"")="","",IFERROR(_xlfn.IFNA(VLOOKUP($A8,'HR Rep'!$A:$X,MATCH('1) For HR (FIX)'!E$1,'HR Rep'!$A$1:$X$1,0),0),""),""))</f>
        <v/>
      </c>
      <c r="F8" s="140" t="str">
        <f>IF(IFERROR(_xlfn.IFNA(VLOOKUP($A8,'HR Rep'!$A:$X,MATCH('1) For HR (FIX)'!F$1,'HR Rep'!$A$1:$X$1,0),0),""),"")="","",IFERROR(_xlfn.IFNA(VLOOKUP($A8,'HR Rep'!$A:$X,MATCH('1) For HR (FIX)'!F$1,'HR Rep'!$A$1:$X$1,0),0),""),""))</f>
        <v/>
      </c>
      <c r="G8" s="196"/>
      <c r="H8" s="140" t="str">
        <f>IF(IFERROR(_xlfn.IFNA(VLOOKUP($A8,'HR Rep'!$A:$X,MATCH('1) For HR (FIX)'!H$1,'HR Rep'!$A$1:$X$1,0),0),""),"")="","",IFERROR(_xlfn.IFNA(VLOOKUP($A8,'HR Rep'!$A:$X,MATCH('1) For HR (FIX)'!H$1,'HR Rep'!$A$1:$X$1,0),0),""),""))</f>
        <v/>
      </c>
      <c r="I8" s="140" t="str">
        <f>IF(IFERROR(_xlfn.IFNA(VLOOKUP($A8,'HR Rep'!$A:$X,MATCH('1) For HR (FIX)'!I$1,'HR Rep'!$A$1:$X$1,0),0),""),"")="","",IFERROR(_xlfn.IFNA(VLOOKUP($A8,'HR Rep'!$A:$X,MATCH('1) For HR (FIX)'!I$1,'HR Rep'!$A$1:$X$1,0),0),""),""))</f>
        <v/>
      </c>
      <c r="J8" s="140" t="str">
        <f>IF(IFERROR(_xlfn.IFNA(VLOOKUP($A8,'HR Rep'!$A:$X,MATCH('1) For HR (FIX)'!J$1,'HR Rep'!$A$1:$X$1,0),0),""),"")="","",IFERROR(_xlfn.IFNA(VLOOKUP($A8,'HR Rep'!$A:$X,MATCH('1) For HR (FIX)'!J$1,'HR Rep'!$A$1:$X$1,0),0),""),""))</f>
        <v/>
      </c>
      <c r="K8" s="161">
        <f>_xlfn.XLOOKUP(G8,ค่าตอบแทนการขายในอัตราคงที่!A:A,ค่าตอบแทนการขายในอัตราคงที่!B:B)</f>
        <v>0</v>
      </c>
      <c r="L8" s="174">
        <f>Period!$A$2</f>
        <v>46113</v>
      </c>
      <c r="M8" s="175">
        <f>Period!$C$2</f>
        <v>46143</v>
      </c>
      <c r="N8" s="194" t="s">
        <v>279</v>
      </c>
    </row>
    <row r="9" spans="1:14" ht="11.4" x14ac:dyDescent="0.25">
      <c r="A9" s="137"/>
      <c r="B9" s="169" t="e">
        <f>IF(IF(VLOOKUP(A9,ASTBase!F:P,11,FALSE)="","",VLOOKUP(A9,ASTBase!F:P,11,FALSE))=0,"",IF(VLOOKUP(A9,ASTBase!F:P,11,FALSE)="","",VLOOKUP(A9,ASTBase!F:P,11,FALSE)))</f>
        <v>#N/A</v>
      </c>
      <c r="C9" s="140" t="str">
        <f>IF(IFERROR(_xlfn.IFNA(VLOOKUP($A9,'HR Rep'!$A:$X,MATCH('1) For HR (FIX)'!C$1,'HR Rep'!$A$1:$X$1,0),0),""),"")="","",IFERROR(_xlfn.IFNA(VLOOKUP($A9,'HR Rep'!$A:$X,MATCH('1) For HR (FIX)'!C$1,'HR Rep'!$A$1:$X$1,0),0),""),""))</f>
        <v/>
      </c>
      <c r="D9" s="140" t="str">
        <f>IF(IFERROR(_xlfn.IFNA(VLOOKUP($A9,'HR Rep'!$A:$X,MATCH('1) For HR (FIX)'!D$1,'HR Rep'!$A$1:$X$1,0),0),""),"")="","",IFERROR(_xlfn.IFNA(VLOOKUP($A9,'HR Rep'!$A:$X,MATCH('1) For HR (FIX)'!D$1,'HR Rep'!$A$1:$X$1,0),0),""),""))</f>
        <v/>
      </c>
      <c r="E9" s="140" t="str">
        <f>IF(IFERROR(_xlfn.IFNA(VLOOKUP($A9,'HR Rep'!$A:$X,MATCH('1) For HR (FIX)'!E$1,'HR Rep'!$A$1:$X$1,0),0),""),"")="","",IFERROR(_xlfn.IFNA(VLOOKUP($A9,'HR Rep'!$A:$X,MATCH('1) For HR (FIX)'!E$1,'HR Rep'!$A$1:$X$1,0),0),""),""))</f>
        <v/>
      </c>
      <c r="F9" s="140" t="str">
        <f>IF(IFERROR(_xlfn.IFNA(VLOOKUP($A9,'HR Rep'!$A:$X,MATCH('1) For HR (FIX)'!F$1,'HR Rep'!$A$1:$X$1,0),0),""),"")="","",IFERROR(_xlfn.IFNA(VLOOKUP($A9,'HR Rep'!$A:$X,MATCH('1) For HR (FIX)'!F$1,'HR Rep'!$A$1:$X$1,0),0),""),""))</f>
        <v/>
      </c>
      <c r="G9" s="196"/>
      <c r="H9" s="140" t="str">
        <f>IF(IFERROR(_xlfn.IFNA(VLOOKUP($A9,'HR Rep'!$A:$X,MATCH('1) For HR (FIX)'!H$1,'HR Rep'!$A$1:$X$1,0),0),""),"")="","",IFERROR(_xlfn.IFNA(VLOOKUP($A9,'HR Rep'!$A:$X,MATCH('1) For HR (FIX)'!H$1,'HR Rep'!$A$1:$X$1,0),0),""),""))</f>
        <v/>
      </c>
      <c r="I9" s="140" t="str">
        <f>IF(IFERROR(_xlfn.IFNA(VLOOKUP($A9,'HR Rep'!$A:$X,MATCH('1) For HR (FIX)'!I$1,'HR Rep'!$A$1:$X$1,0),0),""),"")="","",IFERROR(_xlfn.IFNA(VLOOKUP($A9,'HR Rep'!$A:$X,MATCH('1) For HR (FIX)'!I$1,'HR Rep'!$A$1:$X$1,0),0),""),""))</f>
        <v/>
      </c>
      <c r="J9" s="140" t="str">
        <f>IF(IFERROR(_xlfn.IFNA(VLOOKUP($A9,'HR Rep'!$A:$X,MATCH('1) For HR (FIX)'!J$1,'HR Rep'!$A$1:$X$1,0),0),""),"")="","",IFERROR(_xlfn.IFNA(VLOOKUP($A9,'HR Rep'!$A:$X,MATCH('1) For HR (FIX)'!J$1,'HR Rep'!$A$1:$X$1,0),0),""),""))</f>
        <v/>
      </c>
      <c r="K9" s="161">
        <f>_xlfn.XLOOKUP(G9,ค่าตอบแทนการขายในอัตราคงที่!A:A,ค่าตอบแทนการขายในอัตราคงที่!B:B)</f>
        <v>0</v>
      </c>
      <c r="L9" s="174">
        <f>Period!$A$2</f>
        <v>46113</v>
      </c>
      <c r="M9" s="175">
        <f>Period!$C$2</f>
        <v>46143</v>
      </c>
      <c r="N9" s="194" t="s">
        <v>279</v>
      </c>
    </row>
    <row r="10" spans="1:14" ht="11.4" x14ac:dyDescent="0.25">
      <c r="A10" s="137"/>
      <c r="B10" s="169" t="e">
        <f>IF(IF(VLOOKUP(A10,ASTBase!F:P,11,FALSE)="","",VLOOKUP(A10,ASTBase!F:P,11,FALSE))=0,"",IF(VLOOKUP(A10,ASTBase!F:P,11,FALSE)="","",VLOOKUP(A10,ASTBase!F:P,11,FALSE)))</f>
        <v>#N/A</v>
      </c>
      <c r="C10" s="140" t="str">
        <f>IF(IFERROR(_xlfn.IFNA(VLOOKUP($A10,'HR Rep'!$A:$X,MATCH('1) For HR (FIX)'!C$1,'HR Rep'!$A$1:$X$1,0),0),""),"")="","",IFERROR(_xlfn.IFNA(VLOOKUP($A10,'HR Rep'!$A:$X,MATCH('1) For HR (FIX)'!C$1,'HR Rep'!$A$1:$X$1,0),0),""),""))</f>
        <v/>
      </c>
      <c r="D10" s="140" t="str">
        <f>IF(IFERROR(_xlfn.IFNA(VLOOKUP($A10,'HR Rep'!$A:$X,MATCH('1) For HR (FIX)'!D$1,'HR Rep'!$A$1:$X$1,0),0),""),"")="","",IFERROR(_xlfn.IFNA(VLOOKUP($A10,'HR Rep'!$A:$X,MATCH('1) For HR (FIX)'!D$1,'HR Rep'!$A$1:$X$1,0),0),""),""))</f>
        <v/>
      </c>
      <c r="E10" s="140" t="str">
        <f>IF(IFERROR(_xlfn.IFNA(VLOOKUP($A10,'HR Rep'!$A:$X,MATCH('1) For HR (FIX)'!E$1,'HR Rep'!$A$1:$X$1,0),0),""),"")="","",IFERROR(_xlfn.IFNA(VLOOKUP($A10,'HR Rep'!$A:$X,MATCH('1) For HR (FIX)'!E$1,'HR Rep'!$A$1:$X$1,0),0),""),""))</f>
        <v/>
      </c>
      <c r="F10" s="140" t="str">
        <f>IF(IFERROR(_xlfn.IFNA(VLOOKUP($A10,'HR Rep'!$A:$X,MATCH('1) For HR (FIX)'!F$1,'HR Rep'!$A$1:$X$1,0),0),""),"")="","",IFERROR(_xlfn.IFNA(VLOOKUP($A10,'HR Rep'!$A:$X,MATCH('1) For HR (FIX)'!F$1,'HR Rep'!$A$1:$X$1,0),0),""),""))</f>
        <v/>
      </c>
      <c r="G10" s="196"/>
      <c r="H10" s="140" t="str">
        <f>IF(IFERROR(_xlfn.IFNA(VLOOKUP($A10,'HR Rep'!$A:$X,MATCH('1) For HR (FIX)'!H$1,'HR Rep'!$A$1:$X$1,0),0),""),"")="","",IFERROR(_xlfn.IFNA(VLOOKUP($A10,'HR Rep'!$A:$X,MATCH('1) For HR (FIX)'!H$1,'HR Rep'!$A$1:$X$1,0),0),""),""))</f>
        <v/>
      </c>
      <c r="I10" s="140" t="str">
        <f>IF(IFERROR(_xlfn.IFNA(VLOOKUP($A10,'HR Rep'!$A:$X,MATCH('1) For HR (FIX)'!I$1,'HR Rep'!$A$1:$X$1,0),0),""),"")="","",IFERROR(_xlfn.IFNA(VLOOKUP($A10,'HR Rep'!$A:$X,MATCH('1) For HR (FIX)'!I$1,'HR Rep'!$A$1:$X$1,0),0),""),""))</f>
        <v/>
      </c>
      <c r="J10" s="140" t="str">
        <f>IF(IFERROR(_xlfn.IFNA(VLOOKUP($A10,'HR Rep'!$A:$X,MATCH('1) For HR (FIX)'!J$1,'HR Rep'!$A$1:$X$1,0),0),""),"")="","",IFERROR(_xlfn.IFNA(VLOOKUP($A10,'HR Rep'!$A:$X,MATCH('1) For HR (FIX)'!J$1,'HR Rep'!$A$1:$X$1,0),0),""),""))</f>
        <v/>
      </c>
      <c r="K10" s="161">
        <f>_xlfn.XLOOKUP(G10,ค่าตอบแทนการขายในอัตราคงที่!A:A,ค่าตอบแทนการขายในอัตราคงที่!B:B)</f>
        <v>0</v>
      </c>
      <c r="L10" s="174">
        <f>Period!$A$2</f>
        <v>46113</v>
      </c>
      <c r="M10" s="175">
        <f>Period!$C$2</f>
        <v>46143</v>
      </c>
      <c r="N10" s="194" t="s">
        <v>279</v>
      </c>
    </row>
    <row r="11" spans="1:14" ht="11.4" x14ac:dyDescent="0.25">
      <c r="A11" s="137"/>
      <c r="B11" s="169" t="e">
        <f>IF(IF(VLOOKUP(A11,ASTBase!F:P,11,FALSE)="","",VLOOKUP(A11,ASTBase!F:P,11,FALSE))=0,"",IF(VLOOKUP(A11,ASTBase!F:P,11,FALSE)="","",VLOOKUP(A11,ASTBase!F:P,11,FALSE)))</f>
        <v>#N/A</v>
      </c>
      <c r="C11" s="140" t="str">
        <f>IF(IFERROR(_xlfn.IFNA(VLOOKUP($A11,'HR Rep'!$A:$X,MATCH('1) For HR (FIX)'!C$1,'HR Rep'!$A$1:$X$1,0),0),""),"")="","",IFERROR(_xlfn.IFNA(VLOOKUP($A11,'HR Rep'!$A:$X,MATCH('1) For HR (FIX)'!C$1,'HR Rep'!$A$1:$X$1,0),0),""),""))</f>
        <v/>
      </c>
      <c r="D11" s="140" t="str">
        <f>IF(IFERROR(_xlfn.IFNA(VLOOKUP($A11,'HR Rep'!$A:$X,MATCH('1) For HR (FIX)'!D$1,'HR Rep'!$A$1:$X$1,0),0),""),"")="","",IFERROR(_xlfn.IFNA(VLOOKUP($A11,'HR Rep'!$A:$X,MATCH('1) For HR (FIX)'!D$1,'HR Rep'!$A$1:$X$1,0),0),""),""))</f>
        <v/>
      </c>
      <c r="E11" s="140" t="str">
        <f>IF(IFERROR(_xlfn.IFNA(VLOOKUP($A11,'HR Rep'!$A:$X,MATCH('1) For HR (FIX)'!E$1,'HR Rep'!$A$1:$X$1,0),0),""),"")="","",IFERROR(_xlfn.IFNA(VLOOKUP($A11,'HR Rep'!$A:$X,MATCH('1) For HR (FIX)'!E$1,'HR Rep'!$A$1:$X$1,0),0),""),""))</f>
        <v/>
      </c>
      <c r="F11" s="140" t="str">
        <f>IF(IFERROR(_xlfn.IFNA(VLOOKUP($A11,'HR Rep'!$A:$X,MATCH('1) For HR (FIX)'!F$1,'HR Rep'!$A$1:$X$1,0),0),""),"")="","",IFERROR(_xlfn.IFNA(VLOOKUP($A11,'HR Rep'!$A:$X,MATCH('1) For HR (FIX)'!F$1,'HR Rep'!$A$1:$X$1,0),0),""),""))</f>
        <v/>
      </c>
      <c r="G11" s="196"/>
      <c r="H11" s="140" t="str">
        <f>IF(IFERROR(_xlfn.IFNA(VLOOKUP($A11,'HR Rep'!$A:$X,MATCH('1) For HR (FIX)'!H$1,'HR Rep'!$A$1:$X$1,0),0),""),"")="","",IFERROR(_xlfn.IFNA(VLOOKUP($A11,'HR Rep'!$A:$X,MATCH('1) For HR (FIX)'!H$1,'HR Rep'!$A$1:$X$1,0),0),""),""))</f>
        <v/>
      </c>
      <c r="I11" s="140" t="str">
        <f>IF(IFERROR(_xlfn.IFNA(VLOOKUP($A11,'HR Rep'!$A:$X,MATCH('1) For HR (FIX)'!I$1,'HR Rep'!$A$1:$X$1,0),0),""),"")="","",IFERROR(_xlfn.IFNA(VLOOKUP($A11,'HR Rep'!$A:$X,MATCH('1) For HR (FIX)'!I$1,'HR Rep'!$A$1:$X$1,0),0),""),""))</f>
        <v/>
      </c>
      <c r="J11" s="140" t="str">
        <f>IF(IFERROR(_xlfn.IFNA(VLOOKUP($A11,'HR Rep'!$A:$X,MATCH('1) For HR (FIX)'!J$1,'HR Rep'!$A$1:$X$1,0),0),""),"")="","",IFERROR(_xlfn.IFNA(VLOOKUP($A11,'HR Rep'!$A:$X,MATCH('1) For HR (FIX)'!J$1,'HR Rep'!$A$1:$X$1,0),0),""),""))</f>
        <v/>
      </c>
      <c r="K11" s="161">
        <f>_xlfn.XLOOKUP(G11,ค่าตอบแทนการขายในอัตราคงที่!A:A,ค่าตอบแทนการขายในอัตราคงที่!B:B)</f>
        <v>0</v>
      </c>
      <c r="L11" s="174">
        <f>Period!$A$2</f>
        <v>46113</v>
      </c>
      <c r="M11" s="175">
        <f>Period!$C$2</f>
        <v>46143</v>
      </c>
      <c r="N11" s="194" t="s">
        <v>279</v>
      </c>
    </row>
    <row r="12" spans="1:14" ht="11.4" x14ac:dyDescent="0.25">
      <c r="A12" s="137"/>
      <c r="B12" s="169" t="e">
        <f>IF(IF(VLOOKUP(A12,ASTBase!F:P,11,FALSE)="","",VLOOKUP(A12,ASTBase!F:P,11,FALSE))=0,"",IF(VLOOKUP(A12,ASTBase!F:P,11,FALSE)="","",VLOOKUP(A12,ASTBase!F:P,11,FALSE)))</f>
        <v>#N/A</v>
      </c>
      <c r="C12" s="140" t="str">
        <f>IF(IFERROR(_xlfn.IFNA(VLOOKUP($A12,'HR Rep'!$A:$X,MATCH('1) For HR (FIX)'!C$1,'HR Rep'!$A$1:$X$1,0),0),""),"")="","",IFERROR(_xlfn.IFNA(VLOOKUP($A12,'HR Rep'!$A:$X,MATCH('1) For HR (FIX)'!C$1,'HR Rep'!$A$1:$X$1,0),0),""),""))</f>
        <v/>
      </c>
      <c r="D12" s="140" t="str">
        <f>IF(IFERROR(_xlfn.IFNA(VLOOKUP($A12,'HR Rep'!$A:$X,MATCH('1) For HR (FIX)'!D$1,'HR Rep'!$A$1:$X$1,0),0),""),"")="","",IFERROR(_xlfn.IFNA(VLOOKUP($A12,'HR Rep'!$A:$X,MATCH('1) For HR (FIX)'!D$1,'HR Rep'!$A$1:$X$1,0),0),""),""))</f>
        <v/>
      </c>
      <c r="E12" s="140" t="str">
        <f>IF(IFERROR(_xlfn.IFNA(VLOOKUP($A12,'HR Rep'!$A:$X,MATCH('1) For HR (FIX)'!E$1,'HR Rep'!$A$1:$X$1,0),0),""),"")="","",IFERROR(_xlfn.IFNA(VLOOKUP($A12,'HR Rep'!$A:$X,MATCH('1) For HR (FIX)'!E$1,'HR Rep'!$A$1:$X$1,0),0),""),""))</f>
        <v/>
      </c>
      <c r="F12" s="140" t="str">
        <f>IF(IFERROR(_xlfn.IFNA(VLOOKUP($A12,'HR Rep'!$A:$X,MATCH('1) For HR (FIX)'!F$1,'HR Rep'!$A$1:$X$1,0),0),""),"")="","",IFERROR(_xlfn.IFNA(VLOOKUP($A12,'HR Rep'!$A:$X,MATCH('1) For HR (FIX)'!F$1,'HR Rep'!$A$1:$X$1,0),0),""),""))</f>
        <v/>
      </c>
      <c r="G12" s="196"/>
      <c r="H12" s="140" t="str">
        <f>IF(IFERROR(_xlfn.IFNA(VLOOKUP($A12,'HR Rep'!$A:$X,MATCH('1) For HR (FIX)'!H$1,'HR Rep'!$A$1:$X$1,0),0),""),"")="","",IFERROR(_xlfn.IFNA(VLOOKUP($A12,'HR Rep'!$A:$X,MATCH('1) For HR (FIX)'!H$1,'HR Rep'!$A$1:$X$1,0),0),""),""))</f>
        <v/>
      </c>
      <c r="I12" s="140" t="str">
        <f>IF(IFERROR(_xlfn.IFNA(VLOOKUP($A12,'HR Rep'!$A:$X,MATCH('1) For HR (FIX)'!I$1,'HR Rep'!$A$1:$X$1,0),0),""),"")="","",IFERROR(_xlfn.IFNA(VLOOKUP($A12,'HR Rep'!$A:$X,MATCH('1) For HR (FIX)'!I$1,'HR Rep'!$A$1:$X$1,0),0),""),""))</f>
        <v/>
      </c>
      <c r="J12" s="140" t="str">
        <f>IF(IFERROR(_xlfn.IFNA(VLOOKUP($A12,'HR Rep'!$A:$X,MATCH('1) For HR (FIX)'!J$1,'HR Rep'!$A$1:$X$1,0),0),""),"")="","",IFERROR(_xlfn.IFNA(VLOOKUP($A12,'HR Rep'!$A:$X,MATCH('1) For HR (FIX)'!J$1,'HR Rep'!$A$1:$X$1,0),0),""),""))</f>
        <v/>
      </c>
      <c r="K12" s="161">
        <f>_xlfn.XLOOKUP(G12,ค่าตอบแทนการขายในอัตราคงที่!A:A,ค่าตอบแทนการขายในอัตราคงที่!B:B)</f>
        <v>0</v>
      </c>
      <c r="L12" s="174">
        <f>Period!$A$2</f>
        <v>46113</v>
      </c>
      <c r="M12" s="175">
        <f>Period!$C$2</f>
        <v>46143</v>
      </c>
      <c r="N12" s="194" t="s">
        <v>279</v>
      </c>
    </row>
    <row r="13" spans="1:14" ht="11.4" x14ac:dyDescent="0.25">
      <c r="A13" s="137"/>
      <c r="B13" s="169" t="e">
        <f>IF(IF(VLOOKUP(A13,ASTBase!F:P,11,FALSE)="","",VLOOKUP(A13,ASTBase!F:P,11,FALSE))=0,"",IF(VLOOKUP(A13,ASTBase!F:P,11,FALSE)="","",VLOOKUP(A13,ASTBase!F:P,11,FALSE)))</f>
        <v>#N/A</v>
      </c>
      <c r="C13" s="140" t="str">
        <f>IF(IFERROR(_xlfn.IFNA(VLOOKUP($A13,'HR Rep'!$A:$X,MATCH('1) For HR (FIX)'!C$1,'HR Rep'!$A$1:$X$1,0),0),""),"")="","",IFERROR(_xlfn.IFNA(VLOOKUP($A13,'HR Rep'!$A:$X,MATCH('1) For HR (FIX)'!C$1,'HR Rep'!$A$1:$X$1,0),0),""),""))</f>
        <v/>
      </c>
      <c r="D13" s="140" t="str">
        <f>IF(IFERROR(_xlfn.IFNA(VLOOKUP($A13,'HR Rep'!$A:$X,MATCH('1) For HR (FIX)'!D$1,'HR Rep'!$A$1:$X$1,0),0),""),"")="","",IFERROR(_xlfn.IFNA(VLOOKUP($A13,'HR Rep'!$A:$X,MATCH('1) For HR (FIX)'!D$1,'HR Rep'!$A$1:$X$1,0),0),""),""))</f>
        <v/>
      </c>
      <c r="E13" s="140" t="str">
        <f>IF(IFERROR(_xlfn.IFNA(VLOOKUP($A13,'HR Rep'!$A:$X,MATCH('1) For HR (FIX)'!E$1,'HR Rep'!$A$1:$X$1,0),0),""),"")="","",IFERROR(_xlfn.IFNA(VLOOKUP($A13,'HR Rep'!$A:$X,MATCH('1) For HR (FIX)'!E$1,'HR Rep'!$A$1:$X$1,0),0),""),""))</f>
        <v/>
      </c>
      <c r="F13" s="140" t="str">
        <f>IF(IFERROR(_xlfn.IFNA(VLOOKUP($A13,'HR Rep'!$A:$X,MATCH('1) For HR (FIX)'!F$1,'HR Rep'!$A$1:$X$1,0),0),""),"")="","",IFERROR(_xlfn.IFNA(VLOOKUP($A13,'HR Rep'!$A:$X,MATCH('1) For HR (FIX)'!F$1,'HR Rep'!$A$1:$X$1,0),0),""),""))</f>
        <v/>
      </c>
      <c r="G13" s="196"/>
      <c r="H13" s="140" t="str">
        <f>IF(IFERROR(_xlfn.IFNA(VLOOKUP($A13,'HR Rep'!$A:$X,MATCH('1) For HR (FIX)'!H$1,'HR Rep'!$A$1:$X$1,0),0),""),"")="","",IFERROR(_xlfn.IFNA(VLOOKUP($A13,'HR Rep'!$A:$X,MATCH('1) For HR (FIX)'!H$1,'HR Rep'!$A$1:$X$1,0),0),""),""))</f>
        <v/>
      </c>
      <c r="I13" s="140" t="str">
        <f>IF(IFERROR(_xlfn.IFNA(VLOOKUP($A13,'HR Rep'!$A:$X,MATCH('1) For HR (FIX)'!I$1,'HR Rep'!$A$1:$X$1,0),0),""),"")="","",IFERROR(_xlfn.IFNA(VLOOKUP($A13,'HR Rep'!$A:$X,MATCH('1) For HR (FIX)'!I$1,'HR Rep'!$A$1:$X$1,0),0),""),""))</f>
        <v/>
      </c>
      <c r="J13" s="140" t="str">
        <f>IF(IFERROR(_xlfn.IFNA(VLOOKUP($A13,'HR Rep'!$A:$X,MATCH('1) For HR (FIX)'!J$1,'HR Rep'!$A$1:$X$1,0),0),""),"")="","",IFERROR(_xlfn.IFNA(VLOOKUP($A13,'HR Rep'!$A:$X,MATCH('1) For HR (FIX)'!J$1,'HR Rep'!$A$1:$X$1,0),0),""),""))</f>
        <v/>
      </c>
      <c r="K13" s="161">
        <f>_xlfn.XLOOKUP(G13,ค่าตอบแทนการขายในอัตราคงที่!A:A,ค่าตอบแทนการขายในอัตราคงที่!B:B)</f>
        <v>0</v>
      </c>
      <c r="L13" s="174">
        <f>Period!$A$2</f>
        <v>46113</v>
      </c>
      <c r="M13" s="175">
        <f>Period!$C$2</f>
        <v>46143</v>
      </c>
      <c r="N13" s="194" t="s">
        <v>279</v>
      </c>
    </row>
    <row r="14" spans="1:14" ht="11.4" x14ac:dyDescent="0.25">
      <c r="A14" s="137"/>
      <c r="B14" s="169" t="e">
        <f>IF(IF(VLOOKUP(A14,ASTBase!F:P,11,FALSE)="","",VLOOKUP(A14,ASTBase!F:P,11,FALSE))=0,"",IF(VLOOKUP(A14,ASTBase!F:P,11,FALSE)="","",VLOOKUP(A14,ASTBase!F:P,11,FALSE)))</f>
        <v>#N/A</v>
      </c>
      <c r="C14" s="140" t="str">
        <f>IF(IFERROR(_xlfn.IFNA(VLOOKUP($A14,'HR Rep'!$A:$X,MATCH('1) For HR (FIX)'!C$1,'HR Rep'!$A$1:$X$1,0),0),""),"")="","",IFERROR(_xlfn.IFNA(VLOOKUP($A14,'HR Rep'!$A:$X,MATCH('1) For HR (FIX)'!C$1,'HR Rep'!$A$1:$X$1,0),0),""),""))</f>
        <v/>
      </c>
      <c r="D14" s="140" t="str">
        <f>IF(IFERROR(_xlfn.IFNA(VLOOKUP($A14,'HR Rep'!$A:$X,MATCH('1) For HR (FIX)'!D$1,'HR Rep'!$A$1:$X$1,0),0),""),"")="","",IFERROR(_xlfn.IFNA(VLOOKUP($A14,'HR Rep'!$A:$X,MATCH('1) For HR (FIX)'!D$1,'HR Rep'!$A$1:$X$1,0),0),""),""))</f>
        <v/>
      </c>
      <c r="E14" s="140" t="str">
        <f>IF(IFERROR(_xlfn.IFNA(VLOOKUP($A14,'HR Rep'!$A:$X,MATCH('1) For HR (FIX)'!E$1,'HR Rep'!$A$1:$X$1,0),0),""),"")="","",IFERROR(_xlfn.IFNA(VLOOKUP($A14,'HR Rep'!$A:$X,MATCH('1) For HR (FIX)'!E$1,'HR Rep'!$A$1:$X$1,0),0),""),""))</f>
        <v/>
      </c>
      <c r="F14" s="140" t="str">
        <f>IF(IFERROR(_xlfn.IFNA(VLOOKUP($A14,'HR Rep'!$A:$X,MATCH('1) For HR (FIX)'!F$1,'HR Rep'!$A$1:$X$1,0),0),""),"")="","",IFERROR(_xlfn.IFNA(VLOOKUP($A14,'HR Rep'!$A:$X,MATCH('1) For HR (FIX)'!F$1,'HR Rep'!$A$1:$X$1,0),0),""),""))</f>
        <v/>
      </c>
      <c r="G14" s="196"/>
      <c r="H14" s="140" t="str">
        <f>IF(IFERROR(_xlfn.IFNA(VLOOKUP($A14,'HR Rep'!$A:$X,MATCH('1) For HR (FIX)'!H$1,'HR Rep'!$A$1:$X$1,0),0),""),"")="","",IFERROR(_xlfn.IFNA(VLOOKUP($A14,'HR Rep'!$A:$X,MATCH('1) For HR (FIX)'!H$1,'HR Rep'!$A$1:$X$1,0),0),""),""))</f>
        <v/>
      </c>
      <c r="I14" s="140" t="str">
        <f>IF(IFERROR(_xlfn.IFNA(VLOOKUP($A14,'HR Rep'!$A:$X,MATCH('1) For HR (FIX)'!I$1,'HR Rep'!$A$1:$X$1,0),0),""),"")="","",IFERROR(_xlfn.IFNA(VLOOKUP($A14,'HR Rep'!$A:$X,MATCH('1) For HR (FIX)'!I$1,'HR Rep'!$A$1:$X$1,0),0),""),""))</f>
        <v/>
      </c>
      <c r="J14" s="140" t="str">
        <f>IF(IFERROR(_xlfn.IFNA(VLOOKUP($A14,'HR Rep'!$A:$X,MATCH('1) For HR (FIX)'!J$1,'HR Rep'!$A$1:$X$1,0),0),""),"")="","",IFERROR(_xlfn.IFNA(VLOOKUP($A14,'HR Rep'!$A:$X,MATCH('1) For HR (FIX)'!J$1,'HR Rep'!$A$1:$X$1,0),0),""),""))</f>
        <v/>
      </c>
      <c r="K14" s="161">
        <f>_xlfn.XLOOKUP(G14,ค่าตอบแทนการขายในอัตราคงที่!A:A,ค่าตอบแทนการขายในอัตราคงที่!B:B)</f>
        <v>0</v>
      </c>
      <c r="L14" s="174">
        <f>Period!$A$2</f>
        <v>46113</v>
      </c>
      <c r="M14" s="175">
        <f>Period!$C$2</f>
        <v>46143</v>
      </c>
      <c r="N14" s="194" t="s">
        <v>279</v>
      </c>
    </row>
    <row r="15" spans="1:14" ht="11.4" x14ac:dyDescent="0.25">
      <c r="A15" s="137"/>
      <c r="B15" s="169" t="e">
        <f>IF(IF(VLOOKUP(A15,ASTBase!F:P,11,FALSE)="","",VLOOKUP(A15,ASTBase!F:P,11,FALSE))=0,"",IF(VLOOKUP(A15,ASTBase!F:P,11,FALSE)="","",VLOOKUP(A15,ASTBase!F:P,11,FALSE)))</f>
        <v>#N/A</v>
      </c>
      <c r="C15" s="140" t="str">
        <f>IF(IFERROR(_xlfn.IFNA(VLOOKUP($A15,'HR Rep'!$A:$X,MATCH('1) For HR (FIX)'!C$1,'HR Rep'!$A$1:$X$1,0),0),""),"")="","",IFERROR(_xlfn.IFNA(VLOOKUP($A15,'HR Rep'!$A:$X,MATCH('1) For HR (FIX)'!C$1,'HR Rep'!$A$1:$X$1,0),0),""),""))</f>
        <v/>
      </c>
      <c r="D15" s="140" t="str">
        <f>IF(IFERROR(_xlfn.IFNA(VLOOKUP($A15,'HR Rep'!$A:$X,MATCH('1) For HR (FIX)'!D$1,'HR Rep'!$A$1:$X$1,0),0),""),"")="","",IFERROR(_xlfn.IFNA(VLOOKUP($A15,'HR Rep'!$A:$X,MATCH('1) For HR (FIX)'!D$1,'HR Rep'!$A$1:$X$1,0),0),""),""))</f>
        <v/>
      </c>
      <c r="E15" s="140" t="str">
        <f>IF(IFERROR(_xlfn.IFNA(VLOOKUP($A15,'HR Rep'!$A:$X,MATCH('1) For HR (FIX)'!E$1,'HR Rep'!$A$1:$X$1,0),0),""),"")="","",IFERROR(_xlfn.IFNA(VLOOKUP($A15,'HR Rep'!$A:$X,MATCH('1) For HR (FIX)'!E$1,'HR Rep'!$A$1:$X$1,0),0),""),""))</f>
        <v/>
      </c>
      <c r="F15" s="140" t="str">
        <f>IF(IFERROR(_xlfn.IFNA(VLOOKUP($A15,'HR Rep'!$A:$X,MATCH('1) For HR (FIX)'!F$1,'HR Rep'!$A$1:$X$1,0),0),""),"")="","",IFERROR(_xlfn.IFNA(VLOOKUP($A15,'HR Rep'!$A:$X,MATCH('1) For HR (FIX)'!F$1,'HR Rep'!$A$1:$X$1,0),0),""),""))</f>
        <v/>
      </c>
      <c r="G15" s="196"/>
      <c r="H15" s="140" t="str">
        <f>IF(IFERROR(_xlfn.IFNA(VLOOKUP($A15,'HR Rep'!$A:$X,MATCH('1) For HR (FIX)'!H$1,'HR Rep'!$A$1:$X$1,0),0),""),"")="","",IFERROR(_xlfn.IFNA(VLOOKUP($A15,'HR Rep'!$A:$X,MATCH('1) For HR (FIX)'!H$1,'HR Rep'!$A$1:$X$1,0),0),""),""))</f>
        <v/>
      </c>
      <c r="I15" s="140" t="str">
        <f>IF(IFERROR(_xlfn.IFNA(VLOOKUP($A15,'HR Rep'!$A:$X,MATCH('1) For HR (FIX)'!I$1,'HR Rep'!$A$1:$X$1,0),0),""),"")="","",IFERROR(_xlfn.IFNA(VLOOKUP($A15,'HR Rep'!$A:$X,MATCH('1) For HR (FIX)'!I$1,'HR Rep'!$A$1:$X$1,0),0),""),""))</f>
        <v/>
      </c>
      <c r="J15" s="140" t="str">
        <f>IF(IFERROR(_xlfn.IFNA(VLOOKUP($A15,'HR Rep'!$A:$X,MATCH('1) For HR (FIX)'!J$1,'HR Rep'!$A$1:$X$1,0),0),""),"")="","",IFERROR(_xlfn.IFNA(VLOOKUP($A15,'HR Rep'!$A:$X,MATCH('1) For HR (FIX)'!J$1,'HR Rep'!$A$1:$X$1,0),0),""),""))</f>
        <v/>
      </c>
      <c r="K15" s="161">
        <f>_xlfn.XLOOKUP(G15,ค่าตอบแทนการขายในอัตราคงที่!A:A,ค่าตอบแทนการขายในอัตราคงที่!B:B)</f>
        <v>0</v>
      </c>
      <c r="L15" s="174">
        <f>Period!$A$2</f>
        <v>46113</v>
      </c>
      <c r="M15" s="175">
        <f>Period!$C$2</f>
        <v>46143</v>
      </c>
      <c r="N15" s="194" t="s">
        <v>279</v>
      </c>
    </row>
    <row r="16" spans="1:14" ht="11.4" x14ac:dyDescent="0.25">
      <c r="A16" s="137"/>
      <c r="B16" s="169" t="e">
        <f>IF(IF(VLOOKUP(A16,ASTBase!F:P,11,FALSE)="","",VLOOKUP(A16,ASTBase!F:P,11,FALSE))=0,"",IF(VLOOKUP(A16,ASTBase!F:P,11,FALSE)="","",VLOOKUP(A16,ASTBase!F:P,11,FALSE)))</f>
        <v>#N/A</v>
      </c>
      <c r="C16" s="140" t="str">
        <f>IF(IFERROR(_xlfn.IFNA(VLOOKUP($A16,'HR Rep'!$A:$X,MATCH('1) For HR (FIX)'!C$1,'HR Rep'!$A$1:$X$1,0),0),""),"")="","",IFERROR(_xlfn.IFNA(VLOOKUP($A16,'HR Rep'!$A:$X,MATCH('1) For HR (FIX)'!C$1,'HR Rep'!$A$1:$X$1,0),0),""),""))</f>
        <v/>
      </c>
      <c r="D16" s="140" t="str">
        <f>IF(IFERROR(_xlfn.IFNA(VLOOKUP($A16,'HR Rep'!$A:$X,MATCH('1) For HR (FIX)'!D$1,'HR Rep'!$A$1:$X$1,0),0),""),"")="","",IFERROR(_xlfn.IFNA(VLOOKUP($A16,'HR Rep'!$A:$X,MATCH('1) For HR (FIX)'!D$1,'HR Rep'!$A$1:$X$1,0),0),""),""))</f>
        <v/>
      </c>
      <c r="E16" s="140" t="str">
        <f>IF(IFERROR(_xlfn.IFNA(VLOOKUP($A16,'HR Rep'!$A:$X,MATCH('1) For HR (FIX)'!E$1,'HR Rep'!$A$1:$X$1,0),0),""),"")="","",IFERROR(_xlfn.IFNA(VLOOKUP($A16,'HR Rep'!$A:$X,MATCH('1) For HR (FIX)'!E$1,'HR Rep'!$A$1:$X$1,0),0),""),""))</f>
        <v/>
      </c>
      <c r="F16" s="140" t="str">
        <f>IF(IFERROR(_xlfn.IFNA(VLOOKUP($A16,'HR Rep'!$A:$X,MATCH('1) For HR (FIX)'!F$1,'HR Rep'!$A$1:$X$1,0),0),""),"")="","",IFERROR(_xlfn.IFNA(VLOOKUP($A16,'HR Rep'!$A:$X,MATCH('1) For HR (FIX)'!F$1,'HR Rep'!$A$1:$X$1,0),0),""),""))</f>
        <v/>
      </c>
      <c r="G16" s="196"/>
      <c r="H16" s="140" t="str">
        <f>IF(IFERROR(_xlfn.IFNA(VLOOKUP($A16,'HR Rep'!$A:$X,MATCH('1) For HR (FIX)'!H$1,'HR Rep'!$A$1:$X$1,0),0),""),"")="","",IFERROR(_xlfn.IFNA(VLOOKUP($A16,'HR Rep'!$A:$X,MATCH('1) For HR (FIX)'!H$1,'HR Rep'!$A$1:$X$1,0),0),""),""))</f>
        <v/>
      </c>
      <c r="I16" s="140" t="str">
        <f>IF(IFERROR(_xlfn.IFNA(VLOOKUP($A16,'HR Rep'!$A:$X,MATCH('1) For HR (FIX)'!I$1,'HR Rep'!$A$1:$X$1,0),0),""),"")="","",IFERROR(_xlfn.IFNA(VLOOKUP($A16,'HR Rep'!$A:$X,MATCH('1) For HR (FIX)'!I$1,'HR Rep'!$A$1:$X$1,0),0),""),""))</f>
        <v/>
      </c>
      <c r="J16" s="140" t="str">
        <f>IF(IFERROR(_xlfn.IFNA(VLOOKUP($A16,'HR Rep'!$A:$X,MATCH('1) For HR (FIX)'!J$1,'HR Rep'!$A$1:$X$1,0),0),""),"")="","",IFERROR(_xlfn.IFNA(VLOOKUP($A16,'HR Rep'!$A:$X,MATCH('1) For HR (FIX)'!J$1,'HR Rep'!$A$1:$X$1,0),0),""),""))</f>
        <v/>
      </c>
      <c r="K16" s="161">
        <f>_xlfn.XLOOKUP(G16,ค่าตอบแทนการขายในอัตราคงที่!A:A,ค่าตอบแทนการขายในอัตราคงที่!B:B)</f>
        <v>0</v>
      </c>
      <c r="L16" s="174">
        <f>Period!$A$2</f>
        <v>46113</v>
      </c>
      <c r="M16" s="175">
        <f>Period!$C$2</f>
        <v>46143</v>
      </c>
      <c r="N16" s="194" t="s">
        <v>279</v>
      </c>
    </row>
    <row r="17" spans="1:14" ht="11.4" x14ac:dyDescent="0.25">
      <c r="A17" s="137"/>
      <c r="B17" s="169" t="e">
        <f>IF(IF(VLOOKUP(A17,ASTBase!F:P,11,FALSE)="","",VLOOKUP(A17,ASTBase!F:P,11,FALSE))=0,"",IF(VLOOKUP(A17,ASTBase!F:P,11,FALSE)="","",VLOOKUP(A17,ASTBase!F:P,11,FALSE)))</f>
        <v>#N/A</v>
      </c>
      <c r="C17" s="140" t="str">
        <f>IF(IFERROR(_xlfn.IFNA(VLOOKUP($A17,'HR Rep'!$A:$X,MATCH('1) For HR (FIX)'!C$1,'HR Rep'!$A$1:$X$1,0),0),""),"")="","",IFERROR(_xlfn.IFNA(VLOOKUP($A17,'HR Rep'!$A:$X,MATCH('1) For HR (FIX)'!C$1,'HR Rep'!$A$1:$X$1,0),0),""),""))</f>
        <v/>
      </c>
      <c r="D17" s="140" t="str">
        <f>IF(IFERROR(_xlfn.IFNA(VLOOKUP($A17,'HR Rep'!$A:$X,MATCH('1) For HR (FIX)'!D$1,'HR Rep'!$A$1:$X$1,0),0),""),"")="","",IFERROR(_xlfn.IFNA(VLOOKUP($A17,'HR Rep'!$A:$X,MATCH('1) For HR (FIX)'!D$1,'HR Rep'!$A$1:$X$1,0),0),""),""))</f>
        <v/>
      </c>
      <c r="E17" s="140" t="str">
        <f>IF(IFERROR(_xlfn.IFNA(VLOOKUP($A17,'HR Rep'!$A:$X,MATCH('1) For HR (FIX)'!E$1,'HR Rep'!$A$1:$X$1,0),0),""),"")="","",IFERROR(_xlfn.IFNA(VLOOKUP($A17,'HR Rep'!$A:$X,MATCH('1) For HR (FIX)'!E$1,'HR Rep'!$A$1:$X$1,0),0),""),""))</f>
        <v/>
      </c>
      <c r="F17" s="140" t="str">
        <f>IF(IFERROR(_xlfn.IFNA(VLOOKUP($A17,'HR Rep'!$A:$X,MATCH('1) For HR (FIX)'!F$1,'HR Rep'!$A$1:$X$1,0),0),""),"")="","",IFERROR(_xlfn.IFNA(VLOOKUP($A17,'HR Rep'!$A:$X,MATCH('1) For HR (FIX)'!F$1,'HR Rep'!$A$1:$X$1,0),0),""),""))</f>
        <v/>
      </c>
      <c r="G17" s="196"/>
      <c r="H17" s="140" t="str">
        <f>IF(IFERROR(_xlfn.IFNA(VLOOKUP($A17,'HR Rep'!$A:$X,MATCH('1) For HR (FIX)'!H$1,'HR Rep'!$A$1:$X$1,0),0),""),"")="","",IFERROR(_xlfn.IFNA(VLOOKUP($A17,'HR Rep'!$A:$X,MATCH('1) For HR (FIX)'!H$1,'HR Rep'!$A$1:$X$1,0),0),""),""))</f>
        <v/>
      </c>
      <c r="I17" s="140" t="str">
        <f>IF(IFERROR(_xlfn.IFNA(VLOOKUP($A17,'HR Rep'!$A:$X,MATCH('1) For HR (FIX)'!I$1,'HR Rep'!$A$1:$X$1,0),0),""),"")="","",IFERROR(_xlfn.IFNA(VLOOKUP($A17,'HR Rep'!$A:$X,MATCH('1) For HR (FIX)'!I$1,'HR Rep'!$A$1:$X$1,0),0),""),""))</f>
        <v/>
      </c>
      <c r="J17" s="140" t="str">
        <f>IF(IFERROR(_xlfn.IFNA(VLOOKUP($A17,'HR Rep'!$A:$X,MATCH('1) For HR (FIX)'!J$1,'HR Rep'!$A$1:$X$1,0),0),""),"")="","",IFERROR(_xlfn.IFNA(VLOOKUP($A17,'HR Rep'!$A:$X,MATCH('1) For HR (FIX)'!J$1,'HR Rep'!$A$1:$X$1,0),0),""),""))</f>
        <v/>
      </c>
      <c r="K17" s="161">
        <f>_xlfn.XLOOKUP(G17,ค่าตอบแทนการขายในอัตราคงที่!A:A,ค่าตอบแทนการขายในอัตราคงที่!B:B)</f>
        <v>0</v>
      </c>
      <c r="L17" s="174">
        <f>Period!$A$2</f>
        <v>46113</v>
      </c>
      <c r="M17" s="175">
        <f>Period!$C$2</f>
        <v>46143</v>
      </c>
      <c r="N17" s="194" t="s">
        <v>279</v>
      </c>
    </row>
    <row r="18" spans="1:14" ht="11.4" x14ac:dyDescent="0.25">
      <c r="A18" s="137"/>
      <c r="B18" s="169" t="e">
        <f>IF(IF(VLOOKUP(A18,ASTBase!F:P,11,FALSE)="","",VLOOKUP(A18,ASTBase!F:P,11,FALSE))=0,"",IF(VLOOKUP(A18,ASTBase!F:P,11,FALSE)="","",VLOOKUP(A18,ASTBase!F:P,11,FALSE)))</f>
        <v>#N/A</v>
      </c>
      <c r="C18" s="140" t="str">
        <f>IF(IFERROR(_xlfn.IFNA(VLOOKUP($A18,'HR Rep'!$A:$X,MATCH('1) For HR (FIX)'!C$1,'HR Rep'!$A$1:$X$1,0),0),""),"")="","",IFERROR(_xlfn.IFNA(VLOOKUP($A18,'HR Rep'!$A:$X,MATCH('1) For HR (FIX)'!C$1,'HR Rep'!$A$1:$X$1,0),0),""),""))</f>
        <v/>
      </c>
      <c r="D18" s="140" t="str">
        <f>IF(IFERROR(_xlfn.IFNA(VLOOKUP($A18,'HR Rep'!$A:$X,MATCH('1) For HR (FIX)'!D$1,'HR Rep'!$A$1:$X$1,0),0),""),"")="","",IFERROR(_xlfn.IFNA(VLOOKUP($A18,'HR Rep'!$A:$X,MATCH('1) For HR (FIX)'!D$1,'HR Rep'!$A$1:$X$1,0),0),""),""))</f>
        <v/>
      </c>
      <c r="E18" s="140" t="str">
        <f>IF(IFERROR(_xlfn.IFNA(VLOOKUP($A18,'HR Rep'!$A:$X,MATCH('1) For HR (FIX)'!E$1,'HR Rep'!$A$1:$X$1,0),0),""),"")="","",IFERROR(_xlfn.IFNA(VLOOKUP($A18,'HR Rep'!$A:$X,MATCH('1) For HR (FIX)'!E$1,'HR Rep'!$A$1:$X$1,0),0),""),""))</f>
        <v/>
      </c>
      <c r="F18" s="140" t="str">
        <f>IF(IFERROR(_xlfn.IFNA(VLOOKUP($A18,'HR Rep'!$A:$X,MATCH('1) For HR (FIX)'!F$1,'HR Rep'!$A$1:$X$1,0),0),""),"")="","",IFERROR(_xlfn.IFNA(VLOOKUP($A18,'HR Rep'!$A:$X,MATCH('1) For HR (FIX)'!F$1,'HR Rep'!$A$1:$X$1,0),0),""),""))</f>
        <v/>
      </c>
      <c r="G18" s="196"/>
      <c r="H18" s="140" t="str">
        <f>IF(IFERROR(_xlfn.IFNA(VLOOKUP($A18,'HR Rep'!$A:$X,MATCH('1) For HR (FIX)'!H$1,'HR Rep'!$A$1:$X$1,0),0),""),"")="","",IFERROR(_xlfn.IFNA(VLOOKUP($A18,'HR Rep'!$A:$X,MATCH('1) For HR (FIX)'!H$1,'HR Rep'!$A$1:$X$1,0),0),""),""))</f>
        <v/>
      </c>
      <c r="I18" s="140" t="str">
        <f>IF(IFERROR(_xlfn.IFNA(VLOOKUP($A18,'HR Rep'!$A:$X,MATCH('1) For HR (FIX)'!I$1,'HR Rep'!$A$1:$X$1,0),0),""),"")="","",IFERROR(_xlfn.IFNA(VLOOKUP($A18,'HR Rep'!$A:$X,MATCH('1) For HR (FIX)'!I$1,'HR Rep'!$A$1:$X$1,0),0),""),""))</f>
        <v/>
      </c>
      <c r="J18" s="140" t="str">
        <f>IF(IFERROR(_xlfn.IFNA(VLOOKUP($A18,'HR Rep'!$A:$X,MATCH('1) For HR (FIX)'!J$1,'HR Rep'!$A$1:$X$1,0),0),""),"")="","",IFERROR(_xlfn.IFNA(VLOOKUP($A18,'HR Rep'!$A:$X,MATCH('1) For HR (FIX)'!J$1,'HR Rep'!$A$1:$X$1,0),0),""),""))</f>
        <v/>
      </c>
      <c r="K18" s="161">
        <f>_xlfn.XLOOKUP(G18,ค่าตอบแทนการขายในอัตราคงที่!A:A,ค่าตอบแทนการขายในอัตราคงที่!B:B)</f>
        <v>0</v>
      </c>
      <c r="L18" s="174">
        <f>Period!$A$2</f>
        <v>46113</v>
      </c>
      <c r="M18" s="175">
        <f>Period!$C$2</f>
        <v>46143</v>
      </c>
      <c r="N18" s="194" t="s">
        <v>279</v>
      </c>
    </row>
    <row r="19" spans="1:14" ht="11.4" x14ac:dyDescent="0.25">
      <c r="A19" s="137"/>
      <c r="B19" s="169" t="e">
        <f>IF(IF(VLOOKUP(A19,ASTBase!F:P,11,FALSE)="","",VLOOKUP(A19,ASTBase!F:P,11,FALSE))=0,"",IF(VLOOKUP(A19,ASTBase!F:P,11,FALSE)="","",VLOOKUP(A19,ASTBase!F:P,11,FALSE)))</f>
        <v>#N/A</v>
      </c>
      <c r="C19" s="140" t="str">
        <f>IF(IFERROR(_xlfn.IFNA(VLOOKUP($A19,'HR Rep'!$A:$X,MATCH('1) For HR (FIX)'!C$1,'HR Rep'!$A$1:$X$1,0),0),""),"")="","",IFERROR(_xlfn.IFNA(VLOOKUP($A19,'HR Rep'!$A:$X,MATCH('1) For HR (FIX)'!C$1,'HR Rep'!$A$1:$X$1,0),0),""),""))</f>
        <v/>
      </c>
      <c r="D19" s="140" t="str">
        <f>IF(IFERROR(_xlfn.IFNA(VLOOKUP($A19,'HR Rep'!$A:$X,MATCH('1) For HR (FIX)'!D$1,'HR Rep'!$A$1:$X$1,0),0),""),"")="","",IFERROR(_xlfn.IFNA(VLOOKUP($A19,'HR Rep'!$A:$X,MATCH('1) For HR (FIX)'!D$1,'HR Rep'!$A$1:$X$1,0),0),""),""))</f>
        <v/>
      </c>
      <c r="E19" s="140" t="str">
        <f>IF(IFERROR(_xlfn.IFNA(VLOOKUP($A19,'HR Rep'!$A:$X,MATCH('1) For HR (FIX)'!E$1,'HR Rep'!$A$1:$X$1,0),0),""),"")="","",IFERROR(_xlfn.IFNA(VLOOKUP($A19,'HR Rep'!$A:$X,MATCH('1) For HR (FIX)'!E$1,'HR Rep'!$A$1:$X$1,0),0),""),""))</f>
        <v/>
      </c>
      <c r="F19" s="140" t="str">
        <f>IF(IFERROR(_xlfn.IFNA(VLOOKUP($A19,'HR Rep'!$A:$X,MATCH('1) For HR (FIX)'!F$1,'HR Rep'!$A$1:$X$1,0),0),""),"")="","",IFERROR(_xlfn.IFNA(VLOOKUP($A19,'HR Rep'!$A:$X,MATCH('1) For HR (FIX)'!F$1,'HR Rep'!$A$1:$X$1,0),0),""),""))</f>
        <v/>
      </c>
      <c r="G19" s="196"/>
      <c r="H19" s="140" t="str">
        <f>IF(IFERROR(_xlfn.IFNA(VLOOKUP($A19,'HR Rep'!$A:$X,MATCH('1) For HR (FIX)'!H$1,'HR Rep'!$A$1:$X$1,0),0),""),"")="","",IFERROR(_xlfn.IFNA(VLOOKUP($A19,'HR Rep'!$A:$X,MATCH('1) For HR (FIX)'!H$1,'HR Rep'!$A$1:$X$1,0),0),""),""))</f>
        <v/>
      </c>
      <c r="I19" s="140" t="str">
        <f>IF(IFERROR(_xlfn.IFNA(VLOOKUP($A19,'HR Rep'!$A:$X,MATCH('1) For HR (FIX)'!I$1,'HR Rep'!$A$1:$X$1,0),0),""),"")="","",IFERROR(_xlfn.IFNA(VLOOKUP($A19,'HR Rep'!$A:$X,MATCH('1) For HR (FIX)'!I$1,'HR Rep'!$A$1:$X$1,0),0),""),""))</f>
        <v/>
      </c>
      <c r="J19" s="140" t="str">
        <f>IF(IFERROR(_xlfn.IFNA(VLOOKUP($A19,'HR Rep'!$A:$X,MATCH('1) For HR (FIX)'!J$1,'HR Rep'!$A$1:$X$1,0),0),""),"")="","",IFERROR(_xlfn.IFNA(VLOOKUP($A19,'HR Rep'!$A:$X,MATCH('1) For HR (FIX)'!J$1,'HR Rep'!$A$1:$X$1,0),0),""),""))</f>
        <v/>
      </c>
      <c r="K19" s="161">
        <f>_xlfn.XLOOKUP(G19,ค่าตอบแทนการขายในอัตราคงที่!A:A,ค่าตอบแทนการขายในอัตราคงที่!B:B)</f>
        <v>0</v>
      </c>
      <c r="L19" s="174">
        <f>Period!$A$2</f>
        <v>46113</v>
      </c>
      <c r="M19" s="175">
        <f>Period!$C$2</f>
        <v>46143</v>
      </c>
      <c r="N19" s="194" t="s">
        <v>279</v>
      </c>
    </row>
    <row r="20" spans="1:14" ht="11.4" x14ac:dyDescent="0.25">
      <c r="A20" s="137"/>
      <c r="B20" s="169" t="e">
        <f>IF(IF(VLOOKUP(A20,ASTBase!F:P,11,FALSE)="","",VLOOKUP(A20,ASTBase!F:P,11,FALSE))=0,"",IF(VLOOKUP(A20,ASTBase!F:P,11,FALSE)="","",VLOOKUP(A20,ASTBase!F:P,11,FALSE)))</f>
        <v>#N/A</v>
      </c>
      <c r="C20" s="140" t="str">
        <f>IF(IFERROR(_xlfn.IFNA(VLOOKUP($A20,'HR Rep'!$A:$X,MATCH('1) For HR (FIX)'!C$1,'HR Rep'!$A$1:$X$1,0),0),""),"")="","",IFERROR(_xlfn.IFNA(VLOOKUP($A20,'HR Rep'!$A:$X,MATCH('1) For HR (FIX)'!C$1,'HR Rep'!$A$1:$X$1,0),0),""),""))</f>
        <v/>
      </c>
      <c r="D20" s="140" t="str">
        <f>IF(IFERROR(_xlfn.IFNA(VLOOKUP($A20,'HR Rep'!$A:$X,MATCH('1) For HR (FIX)'!D$1,'HR Rep'!$A$1:$X$1,0),0),""),"")="","",IFERROR(_xlfn.IFNA(VLOOKUP($A20,'HR Rep'!$A:$X,MATCH('1) For HR (FIX)'!D$1,'HR Rep'!$A$1:$X$1,0),0),""),""))</f>
        <v/>
      </c>
      <c r="E20" s="140" t="str">
        <f>IF(IFERROR(_xlfn.IFNA(VLOOKUP($A20,'HR Rep'!$A:$X,MATCH('1) For HR (FIX)'!E$1,'HR Rep'!$A$1:$X$1,0),0),""),"")="","",IFERROR(_xlfn.IFNA(VLOOKUP($A20,'HR Rep'!$A:$X,MATCH('1) For HR (FIX)'!E$1,'HR Rep'!$A$1:$X$1,0),0),""),""))</f>
        <v/>
      </c>
      <c r="F20" s="140" t="str">
        <f>IF(IFERROR(_xlfn.IFNA(VLOOKUP($A20,'HR Rep'!$A:$X,MATCH('1) For HR (FIX)'!F$1,'HR Rep'!$A$1:$X$1,0),0),""),"")="","",IFERROR(_xlfn.IFNA(VLOOKUP($A20,'HR Rep'!$A:$X,MATCH('1) For HR (FIX)'!F$1,'HR Rep'!$A$1:$X$1,0),0),""),""))</f>
        <v/>
      </c>
      <c r="G20" s="196"/>
      <c r="H20" s="140" t="str">
        <f>IF(IFERROR(_xlfn.IFNA(VLOOKUP($A20,'HR Rep'!$A:$X,MATCH('1) For HR (FIX)'!H$1,'HR Rep'!$A$1:$X$1,0),0),""),"")="","",IFERROR(_xlfn.IFNA(VLOOKUP($A20,'HR Rep'!$A:$X,MATCH('1) For HR (FIX)'!H$1,'HR Rep'!$A$1:$X$1,0),0),""),""))</f>
        <v/>
      </c>
      <c r="I20" s="140" t="str">
        <f>IF(IFERROR(_xlfn.IFNA(VLOOKUP($A20,'HR Rep'!$A:$X,MATCH('1) For HR (FIX)'!I$1,'HR Rep'!$A$1:$X$1,0),0),""),"")="","",IFERROR(_xlfn.IFNA(VLOOKUP($A20,'HR Rep'!$A:$X,MATCH('1) For HR (FIX)'!I$1,'HR Rep'!$A$1:$X$1,0),0),""),""))</f>
        <v/>
      </c>
      <c r="J20" s="140" t="str">
        <f>IF(IFERROR(_xlfn.IFNA(VLOOKUP($A20,'HR Rep'!$A:$X,MATCH('1) For HR (FIX)'!J$1,'HR Rep'!$A$1:$X$1,0),0),""),"")="","",IFERROR(_xlfn.IFNA(VLOOKUP($A20,'HR Rep'!$A:$X,MATCH('1) For HR (FIX)'!J$1,'HR Rep'!$A$1:$X$1,0),0),""),""))</f>
        <v/>
      </c>
      <c r="K20" s="161">
        <f>_xlfn.XLOOKUP(G20,ค่าตอบแทนการขายในอัตราคงที่!A:A,ค่าตอบแทนการขายในอัตราคงที่!B:B)</f>
        <v>0</v>
      </c>
      <c r="L20" s="174">
        <f>Period!$A$2</f>
        <v>46113</v>
      </c>
      <c r="M20" s="175">
        <f>Period!$C$2</f>
        <v>46143</v>
      </c>
      <c r="N20" s="194" t="s">
        <v>279</v>
      </c>
    </row>
    <row r="21" spans="1:14" ht="11.4" x14ac:dyDescent="0.25">
      <c r="A21" s="137"/>
      <c r="B21" s="169" t="e">
        <f>IF(IF(VLOOKUP(A21,ASTBase!F:P,11,FALSE)="","",VLOOKUP(A21,ASTBase!F:P,11,FALSE))=0,"",IF(VLOOKUP(A21,ASTBase!F:P,11,FALSE)="","",VLOOKUP(A21,ASTBase!F:P,11,FALSE)))</f>
        <v>#N/A</v>
      </c>
      <c r="C21" s="140" t="str">
        <f>IF(IFERROR(_xlfn.IFNA(VLOOKUP($A21,'HR Rep'!$A:$X,MATCH('1) For HR (FIX)'!C$1,'HR Rep'!$A$1:$X$1,0),0),""),"")="","",IFERROR(_xlfn.IFNA(VLOOKUP($A21,'HR Rep'!$A:$X,MATCH('1) For HR (FIX)'!C$1,'HR Rep'!$A$1:$X$1,0),0),""),""))</f>
        <v/>
      </c>
      <c r="D21" s="140" t="str">
        <f>IF(IFERROR(_xlfn.IFNA(VLOOKUP($A21,'HR Rep'!$A:$X,MATCH('1) For HR (FIX)'!D$1,'HR Rep'!$A$1:$X$1,0),0),""),"")="","",IFERROR(_xlfn.IFNA(VLOOKUP($A21,'HR Rep'!$A:$X,MATCH('1) For HR (FIX)'!D$1,'HR Rep'!$A$1:$X$1,0),0),""),""))</f>
        <v/>
      </c>
      <c r="E21" s="140" t="str">
        <f>IF(IFERROR(_xlfn.IFNA(VLOOKUP($A21,'HR Rep'!$A:$X,MATCH('1) For HR (FIX)'!E$1,'HR Rep'!$A$1:$X$1,0),0),""),"")="","",IFERROR(_xlfn.IFNA(VLOOKUP($A21,'HR Rep'!$A:$X,MATCH('1) For HR (FIX)'!E$1,'HR Rep'!$A$1:$X$1,0),0),""),""))</f>
        <v/>
      </c>
      <c r="F21" s="140" t="str">
        <f>IF(IFERROR(_xlfn.IFNA(VLOOKUP($A21,'HR Rep'!$A:$X,MATCH('1) For HR (FIX)'!F$1,'HR Rep'!$A$1:$X$1,0),0),""),"")="","",IFERROR(_xlfn.IFNA(VLOOKUP($A21,'HR Rep'!$A:$X,MATCH('1) For HR (FIX)'!F$1,'HR Rep'!$A$1:$X$1,0),0),""),""))</f>
        <v/>
      </c>
      <c r="G21" s="196"/>
      <c r="H21" s="140" t="str">
        <f>IF(IFERROR(_xlfn.IFNA(VLOOKUP($A21,'HR Rep'!$A:$X,MATCH('1) For HR (FIX)'!H$1,'HR Rep'!$A$1:$X$1,0),0),""),"")="","",IFERROR(_xlfn.IFNA(VLOOKUP($A21,'HR Rep'!$A:$X,MATCH('1) For HR (FIX)'!H$1,'HR Rep'!$A$1:$X$1,0),0),""),""))</f>
        <v/>
      </c>
      <c r="I21" s="140" t="str">
        <f>IF(IFERROR(_xlfn.IFNA(VLOOKUP($A21,'HR Rep'!$A:$X,MATCH('1) For HR (FIX)'!I$1,'HR Rep'!$A$1:$X$1,0),0),""),"")="","",IFERROR(_xlfn.IFNA(VLOOKUP($A21,'HR Rep'!$A:$X,MATCH('1) For HR (FIX)'!I$1,'HR Rep'!$A$1:$X$1,0),0),""),""))</f>
        <v/>
      </c>
      <c r="J21" s="140" t="str">
        <f>IF(IFERROR(_xlfn.IFNA(VLOOKUP($A21,'HR Rep'!$A:$X,MATCH('1) For HR (FIX)'!J$1,'HR Rep'!$A$1:$X$1,0),0),""),"")="","",IFERROR(_xlfn.IFNA(VLOOKUP($A21,'HR Rep'!$A:$X,MATCH('1) For HR (FIX)'!J$1,'HR Rep'!$A$1:$X$1,0),0),""),""))</f>
        <v/>
      </c>
      <c r="K21" s="161">
        <f>_xlfn.XLOOKUP(G21,ค่าตอบแทนการขายในอัตราคงที่!A:A,ค่าตอบแทนการขายในอัตราคงที่!B:B)</f>
        <v>0</v>
      </c>
      <c r="L21" s="174">
        <f>Period!$A$2</f>
        <v>46113</v>
      </c>
      <c r="M21" s="175">
        <f>Period!$C$2</f>
        <v>46143</v>
      </c>
      <c r="N21" s="194" t="s">
        <v>279</v>
      </c>
    </row>
    <row r="22" spans="1:14" ht="11.4" x14ac:dyDescent="0.25">
      <c r="A22" s="137"/>
      <c r="B22" s="169" t="e">
        <f>IF(IF(VLOOKUP(A22,ASTBase!F:P,11,FALSE)="","",VLOOKUP(A22,ASTBase!F:P,11,FALSE))=0,"",IF(VLOOKUP(A22,ASTBase!F:P,11,FALSE)="","",VLOOKUP(A22,ASTBase!F:P,11,FALSE)))</f>
        <v>#N/A</v>
      </c>
      <c r="C22" s="140" t="str">
        <f>IF(IFERROR(_xlfn.IFNA(VLOOKUP($A22,'HR Rep'!$A:$X,MATCH('1) For HR (FIX)'!C$1,'HR Rep'!$A$1:$X$1,0),0),""),"")="","",IFERROR(_xlfn.IFNA(VLOOKUP($A22,'HR Rep'!$A:$X,MATCH('1) For HR (FIX)'!C$1,'HR Rep'!$A$1:$X$1,0),0),""),""))</f>
        <v/>
      </c>
      <c r="D22" s="140" t="str">
        <f>IF(IFERROR(_xlfn.IFNA(VLOOKUP($A22,'HR Rep'!$A:$X,MATCH('1) For HR (FIX)'!D$1,'HR Rep'!$A$1:$X$1,0),0),""),"")="","",IFERROR(_xlfn.IFNA(VLOOKUP($A22,'HR Rep'!$A:$X,MATCH('1) For HR (FIX)'!D$1,'HR Rep'!$A$1:$X$1,0),0),""),""))</f>
        <v/>
      </c>
      <c r="E22" s="140" t="str">
        <f>IF(IFERROR(_xlfn.IFNA(VLOOKUP($A22,'HR Rep'!$A:$X,MATCH('1) For HR (FIX)'!E$1,'HR Rep'!$A$1:$X$1,0),0),""),"")="","",IFERROR(_xlfn.IFNA(VLOOKUP($A22,'HR Rep'!$A:$X,MATCH('1) For HR (FIX)'!E$1,'HR Rep'!$A$1:$X$1,0),0),""),""))</f>
        <v/>
      </c>
      <c r="F22" s="140" t="str">
        <f>IF(IFERROR(_xlfn.IFNA(VLOOKUP($A22,'HR Rep'!$A:$X,MATCH('1) For HR (FIX)'!F$1,'HR Rep'!$A$1:$X$1,0),0),""),"")="","",IFERROR(_xlfn.IFNA(VLOOKUP($A22,'HR Rep'!$A:$X,MATCH('1) For HR (FIX)'!F$1,'HR Rep'!$A$1:$X$1,0),0),""),""))</f>
        <v/>
      </c>
      <c r="G22" s="196"/>
      <c r="H22" s="140" t="str">
        <f>IF(IFERROR(_xlfn.IFNA(VLOOKUP($A22,'HR Rep'!$A:$X,MATCH('1) For HR (FIX)'!H$1,'HR Rep'!$A$1:$X$1,0),0),""),"")="","",IFERROR(_xlfn.IFNA(VLOOKUP($A22,'HR Rep'!$A:$X,MATCH('1) For HR (FIX)'!H$1,'HR Rep'!$A$1:$X$1,0),0),""),""))</f>
        <v/>
      </c>
      <c r="I22" s="140" t="str">
        <f>IF(IFERROR(_xlfn.IFNA(VLOOKUP($A22,'HR Rep'!$A:$X,MATCH('1) For HR (FIX)'!I$1,'HR Rep'!$A$1:$X$1,0),0),""),"")="","",IFERROR(_xlfn.IFNA(VLOOKUP($A22,'HR Rep'!$A:$X,MATCH('1) For HR (FIX)'!I$1,'HR Rep'!$A$1:$X$1,0),0),""),""))</f>
        <v/>
      </c>
      <c r="J22" s="140" t="str">
        <f>IF(IFERROR(_xlfn.IFNA(VLOOKUP($A22,'HR Rep'!$A:$X,MATCH('1) For HR (FIX)'!J$1,'HR Rep'!$A$1:$X$1,0),0),""),"")="","",IFERROR(_xlfn.IFNA(VLOOKUP($A22,'HR Rep'!$A:$X,MATCH('1) For HR (FIX)'!J$1,'HR Rep'!$A$1:$X$1,0),0),""),""))</f>
        <v/>
      </c>
      <c r="K22" s="161">
        <f>_xlfn.XLOOKUP(G22,ค่าตอบแทนการขายในอัตราคงที่!A:A,ค่าตอบแทนการขายในอัตราคงที่!B:B)</f>
        <v>0</v>
      </c>
      <c r="L22" s="174">
        <f>Period!$A$2</f>
        <v>46113</v>
      </c>
      <c r="M22" s="175">
        <f>Period!$C$2</f>
        <v>46143</v>
      </c>
      <c r="N22" s="194" t="s">
        <v>279</v>
      </c>
    </row>
    <row r="23" spans="1:14" ht="11.4" x14ac:dyDescent="0.25">
      <c r="A23" s="137"/>
      <c r="B23" s="169" t="e">
        <f>IF(IF(VLOOKUP(A23,ASTBase!F:P,11,FALSE)="","",VLOOKUP(A23,ASTBase!F:P,11,FALSE))=0,"",IF(VLOOKUP(A23,ASTBase!F:P,11,FALSE)="","",VLOOKUP(A23,ASTBase!F:P,11,FALSE)))</f>
        <v>#N/A</v>
      </c>
      <c r="C23" s="140" t="str">
        <f>IF(IFERROR(_xlfn.IFNA(VLOOKUP($A23,'HR Rep'!$A:$X,MATCH('1) For HR (FIX)'!C$1,'HR Rep'!$A$1:$X$1,0),0),""),"")="","",IFERROR(_xlfn.IFNA(VLOOKUP($A23,'HR Rep'!$A:$X,MATCH('1) For HR (FIX)'!C$1,'HR Rep'!$A$1:$X$1,0),0),""),""))</f>
        <v/>
      </c>
      <c r="D23" s="140" t="str">
        <f>IF(IFERROR(_xlfn.IFNA(VLOOKUP($A23,'HR Rep'!$A:$X,MATCH('1) For HR (FIX)'!D$1,'HR Rep'!$A$1:$X$1,0),0),""),"")="","",IFERROR(_xlfn.IFNA(VLOOKUP($A23,'HR Rep'!$A:$X,MATCH('1) For HR (FIX)'!D$1,'HR Rep'!$A$1:$X$1,0),0),""),""))</f>
        <v/>
      </c>
      <c r="E23" s="140" t="str">
        <f>IF(IFERROR(_xlfn.IFNA(VLOOKUP($A23,'HR Rep'!$A:$X,MATCH('1) For HR (FIX)'!E$1,'HR Rep'!$A$1:$X$1,0),0),""),"")="","",IFERROR(_xlfn.IFNA(VLOOKUP($A23,'HR Rep'!$A:$X,MATCH('1) For HR (FIX)'!E$1,'HR Rep'!$A$1:$X$1,0),0),""),""))</f>
        <v/>
      </c>
      <c r="F23" s="140" t="str">
        <f>IF(IFERROR(_xlfn.IFNA(VLOOKUP($A23,'HR Rep'!$A:$X,MATCH('1) For HR (FIX)'!F$1,'HR Rep'!$A$1:$X$1,0),0),""),"")="","",IFERROR(_xlfn.IFNA(VLOOKUP($A23,'HR Rep'!$A:$X,MATCH('1) For HR (FIX)'!F$1,'HR Rep'!$A$1:$X$1,0),0),""),""))</f>
        <v/>
      </c>
      <c r="G23" s="196"/>
      <c r="H23" s="140" t="str">
        <f>IF(IFERROR(_xlfn.IFNA(VLOOKUP($A23,'HR Rep'!$A:$X,MATCH('1) For HR (FIX)'!H$1,'HR Rep'!$A$1:$X$1,0),0),""),"")="","",IFERROR(_xlfn.IFNA(VLOOKUP($A23,'HR Rep'!$A:$X,MATCH('1) For HR (FIX)'!H$1,'HR Rep'!$A$1:$X$1,0),0),""),""))</f>
        <v/>
      </c>
      <c r="I23" s="140" t="str">
        <f>IF(IFERROR(_xlfn.IFNA(VLOOKUP($A23,'HR Rep'!$A:$X,MATCH('1) For HR (FIX)'!I$1,'HR Rep'!$A$1:$X$1,0),0),""),"")="","",IFERROR(_xlfn.IFNA(VLOOKUP($A23,'HR Rep'!$A:$X,MATCH('1) For HR (FIX)'!I$1,'HR Rep'!$A$1:$X$1,0),0),""),""))</f>
        <v/>
      </c>
      <c r="J23" s="140" t="str">
        <f>IF(IFERROR(_xlfn.IFNA(VLOOKUP($A23,'HR Rep'!$A:$X,MATCH('1) For HR (FIX)'!J$1,'HR Rep'!$A$1:$X$1,0),0),""),"")="","",IFERROR(_xlfn.IFNA(VLOOKUP($A23,'HR Rep'!$A:$X,MATCH('1) For HR (FIX)'!J$1,'HR Rep'!$A$1:$X$1,0),0),""),""))</f>
        <v/>
      </c>
      <c r="K23" s="161">
        <f>_xlfn.XLOOKUP(G23,ค่าตอบแทนการขายในอัตราคงที่!A:A,ค่าตอบแทนการขายในอัตราคงที่!B:B)</f>
        <v>0</v>
      </c>
      <c r="L23" s="174">
        <f>Period!$A$2</f>
        <v>46113</v>
      </c>
      <c r="M23" s="175">
        <f>Period!$C$2</f>
        <v>46143</v>
      </c>
      <c r="N23" s="194" t="s">
        <v>279</v>
      </c>
    </row>
    <row r="24" spans="1:14" ht="11.4" x14ac:dyDescent="0.25">
      <c r="A24" s="137"/>
      <c r="B24" s="169" t="e">
        <f>IF(IF(VLOOKUP(A24,ASTBase!F:P,11,FALSE)="","",VLOOKUP(A24,ASTBase!F:P,11,FALSE))=0,"",IF(VLOOKUP(A24,ASTBase!F:P,11,FALSE)="","",VLOOKUP(A24,ASTBase!F:P,11,FALSE)))</f>
        <v>#N/A</v>
      </c>
      <c r="C24" s="140" t="str">
        <f>IF(IFERROR(_xlfn.IFNA(VLOOKUP($A24,'HR Rep'!$A:$X,MATCH('1) For HR (FIX)'!C$1,'HR Rep'!$A$1:$X$1,0),0),""),"")="","",IFERROR(_xlfn.IFNA(VLOOKUP($A24,'HR Rep'!$A:$X,MATCH('1) For HR (FIX)'!C$1,'HR Rep'!$A$1:$X$1,0),0),""),""))</f>
        <v/>
      </c>
      <c r="D24" s="140" t="str">
        <f>IF(IFERROR(_xlfn.IFNA(VLOOKUP($A24,'HR Rep'!$A:$X,MATCH('1) For HR (FIX)'!D$1,'HR Rep'!$A$1:$X$1,0),0),""),"")="","",IFERROR(_xlfn.IFNA(VLOOKUP($A24,'HR Rep'!$A:$X,MATCH('1) For HR (FIX)'!D$1,'HR Rep'!$A$1:$X$1,0),0),""),""))</f>
        <v/>
      </c>
      <c r="E24" s="140" t="str">
        <f>IF(IFERROR(_xlfn.IFNA(VLOOKUP($A24,'HR Rep'!$A:$X,MATCH('1) For HR (FIX)'!E$1,'HR Rep'!$A$1:$X$1,0),0),""),"")="","",IFERROR(_xlfn.IFNA(VLOOKUP($A24,'HR Rep'!$A:$X,MATCH('1) For HR (FIX)'!E$1,'HR Rep'!$A$1:$X$1,0),0),""),""))</f>
        <v/>
      </c>
      <c r="F24" s="140" t="str">
        <f>IF(IFERROR(_xlfn.IFNA(VLOOKUP($A24,'HR Rep'!$A:$X,MATCH('1) For HR (FIX)'!F$1,'HR Rep'!$A$1:$X$1,0),0),""),"")="","",IFERROR(_xlfn.IFNA(VLOOKUP($A24,'HR Rep'!$A:$X,MATCH('1) For HR (FIX)'!F$1,'HR Rep'!$A$1:$X$1,0),0),""),""))</f>
        <v/>
      </c>
      <c r="G24" s="196"/>
      <c r="H24" s="140" t="str">
        <f>IF(IFERROR(_xlfn.IFNA(VLOOKUP($A24,'HR Rep'!$A:$X,MATCH('1) For HR (FIX)'!H$1,'HR Rep'!$A$1:$X$1,0),0),""),"")="","",IFERROR(_xlfn.IFNA(VLOOKUP($A24,'HR Rep'!$A:$X,MATCH('1) For HR (FIX)'!H$1,'HR Rep'!$A$1:$X$1,0),0),""),""))</f>
        <v/>
      </c>
      <c r="I24" s="140" t="str">
        <f>IF(IFERROR(_xlfn.IFNA(VLOOKUP($A24,'HR Rep'!$A:$X,MATCH('1) For HR (FIX)'!I$1,'HR Rep'!$A$1:$X$1,0),0),""),"")="","",IFERROR(_xlfn.IFNA(VLOOKUP($A24,'HR Rep'!$A:$X,MATCH('1) For HR (FIX)'!I$1,'HR Rep'!$A$1:$X$1,0),0),""),""))</f>
        <v/>
      </c>
      <c r="J24" s="140" t="str">
        <f>IF(IFERROR(_xlfn.IFNA(VLOOKUP($A24,'HR Rep'!$A:$X,MATCH('1) For HR (FIX)'!J$1,'HR Rep'!$A$1:$X$1,0),0),""),"")="","",IFERROR(_xlfn.IFNA(VLOOKUP($A24,'HR Rep'!$A:$X,MATCH('1) For HR (FIX)'!J$1,'HR Rep'!$A$1:$X$1,0),0),""),""))</f>
        <v/>
      </c>
      <c r="K24" s="161">
        <f>_xlfn.XLOOKUP(G24,ค่าตอบแทนการขายในอัตราคงที่!A:A,ค่าตอบแทนการขายในอัตราคงที่!B:B)</f>
        <v>0</v>
      </c>
      <c r="L24" s="174">
        <f>Period!$A$2</f>
        <v>46113</v>
      </c>
      <c r="M24" s="175">
        <f>Period!$C$2</f>
        <v>46143</v>
      </c>
      <c r="N24" s="194" t="s">
        <v>279</v>
      </c>
    </row>
    <row r="25" spans="1:14" ht="11.4" x14ac:dyDescent="0.25">
      <c r="A25" s="137"/>
      <c r="B25" s="169" t="e">
        <f>IF(IF(VLOOKUP(A25,ASTBase!F:P,11,FALSE)="","",VLOOKUP(A25,ASTBase!F:P,11,FALSE))=0,"",IF(VLOOKUP(A25,ASTBase!F:P,11,FALSE)="","",VLOOKUP(A25,ASTBase!F:P,11,FALSE)))</f>
        <v>#N/A</v>
      </c>
      <c r="C25" s="140" t="str">
        <f>IF(IFERROR(_xlfn.IFNA(VLOOKUP($A25,'HR Rep'!$A:$X,MATCH('1) For HR (FIX)'!C$1,'HR Rep'!$A$1:$X$1,0),0),""),"")="","",IFERROR(_xlfn.IFNA(VLOOKUP($A25,'HR Rep'!$A:$X,MATCH('1) For HR (FIX)'!C$1,'HR Rep'!$A$1:$X$1,0),0),""),""))</f>
        <v/>
      </c>
      <c r="D25" s="140" t="str">
        <f>IF(IFERROR(_xlfn.IFNA(VLOOKUP($A25,'HR Rep'!$A:$X,MATCH('1) For HR (FIX)'!D$1,'HR Rep'!$A$1:$X$1,0),0),""),"")="","",IFERROR(_xlfn.IFNA(VLOOKUP($A25,'HR Rep'!$A:$X,MATCH('1) For HR (FIX)'!D$1,'HR Rep'!$A$1:$X$1,0),0),""),""))</f>
        <v/>
      </c>
      <c r="E25" s="140" t="str">
        <f>IF(IFERROR(_xlfn.IFNA(VLOOKUP($A25,'HR Rep'!$A:$X,MATCH('1) For HR (FIX)'!E$1,'HR Rep'!$A$1:$X$1,0),0),""),"")="","",IFERROR(_xlfn.IFNA(VLOOKUP($A25,'HR Rep'!$A:$X,MATCH('1) For HR (FIX)'!E$1,'HR Rep'!$A$1:$X$1,0),0),""),""))</f>
        <v/>
      </c>
      <c r="F25" s="140" t="str">
        <f>IF(IFERROR(_xlfn.IFNA(VLOOKUP($A25,'HR Rep'!$A:$X,MATCH('1) For HR (FIX)'!F$1,'HR Rep'!$A$1:$X$1,0),0),""),"")="","",IFERROR(_xlfn.IFNA(VLOOKUP($A25,'HR Rep'!$A:$X,MATCH('1) For HR (FIX)'!F$1,'HR Rep'!$A$1:$X$1,0),0),""),""))</f>
        <v/>
      </c>
      <c r="G25" s="196"/>
      <c r="H25" s="140" t="str">
        <f>IF(IFERROR(_xlfn.IFNA(VLOOKUP($A25,'HR Rep'!$A:$X,MATCH('1) For HR (FIX)'!H$1,'HR Rep'!$A$1:$X$1,0),0),""),"")="","",IFERROR(_xlfn.IFNA(VLOOKUP($A25,'HR Rep'!$A:$X,MATCH('1) For HR (FIX)'!H$1,'HR Rep'!$A$1:$X$1,0),0),""),""))</f>
        <v/>
      </c>
      <c r="I25" s="140" t="str">
        <f>IF(IFERROR(_xlfn.IFNA(VLOOKUP($A25,'HR Rep'!$A:$X,MATCH('1) For HR (FIX)'!I$1,'HR Rep'!$A$1:$X$1,0),0),""),"")="","",IFERROR(_xlfn.IFNA(VLOOKUP($A25,'HR Rep'!$A:$X,MATCH('1) For HR (FIX)'!I$1,'HR Rep'!$A$1:$X$1,0),0),""),""))</f>
        <v/>
      </c>
      <c r="J25" s="140" t="str">
        <f>IF(IFERROR(_xlfn.IFNA(VLOOKUP($A25,'HR Rep'!$A:$X,MATCH('1) For HR (FIX)'!J$1,'HR Rep'!$A$1:$X$1,0),0),""),"")="","",IFERROR(_xlfn.IFNA(VLOOKUP($A25,'HR Rep'!$A:$X,MATCH('1) For HR (FIX)'!J$1,'HR Rep'!$A$1:$X$1,0),0),""),""))</f>
        <v/>
      </c>
      <c r="K25" s="161">
        <f>_xlfn.XLOOKUP(G25,ค่าตอบแทนการขายในอัตราคงที่!A:A,ค่าตอบแทนการขายในอัตราคงที่!B:B)</f>
        <v>0</v>
      </c>
      <c r="L25" s="174">
        <f>Period!$A$2</f>
        <v>46113</v>
      </c>
      <c r="M25" s="175">
        <f>Period!$C$2</f>
        <v>46143</v>
      </c>
      <c r="N25" s="194" t="s">
        <v>279</v>
      </c>
    </row>
    <row r="26" spans="1:14" ht="11.4" x14ac:dyDescent="0.25">
      <c r="A26" s="137"/>
      <c r="B26" s="169" t="e">
        <f>IF(IF(VLOOKUP(A26,ASTBase!F:P,11,FALSE)="","",VLOOKUP(A26,ASTBase!F:P,11,FALSE))=0,"",IF(VLOOKUP(A26,ASTBase!F:P,11,FALSE)="","",VLOOKUP(A26,ASTBase!F:P,11,FALSE)))</f>
        <v>#N/A</v>
      </c>
      <c r="C26" s="140" t="str">
        <f>IF(IFERROR(_xlfn.IFNA(VLOOKUP($A26,'HR Rep'!$A:$X,MATCH('1) For HR (FIX)'!C$1,'HR Rep'!$A$1:$X$1,0),0),""),"")="","",IFERROR(_xlfn.IFNA(VLOOKUP($A26,'HR Rep'!$A:$X,MATCH('1) For HR (FIX)'!C$1,'HR Rep'!$A$1:$X$1,0),0),""),""))</f>
        <v/>
      </c>
      <c r="D26" s="140" t="str">
        <f>IF(IFERROR(_xlfn.IFNA(VLOOKUP($A26,'HR Rep'!$A:$X,MATCH('1) For HR (FIX)'!D$1,'HR Rep'!$A$1:$X$1,0),0),""),"")="","",IFERROR(_xlfn.IFNA(VLOOKUP($A26,'HR Rep'!$A:$X,MATCH('1) For HR (FIX)'!D$1,'HR Rep'!$A$1:$X$1,0),0),""),""))</f>
        <v/>
      </c>
      <c r="E26" s="140" t="str">
        <f>IF(IFERROR(_xlfn.IFNA(VLOOKUP($A26,'HR Rep'!$A:$X,MATCH('1) For HR (FIX)'!E$1,'HR Rep'!$A$1:$X$1,0),0),""),"")="","",IFERROR(_xlfn.IFNA(VLOOKUP($A26,'HR Rep'!$A:$X,MATCH('1) For HR (FIX)'!E$1,'HR Rep'!$A$1:$X$1,0),0),""),""))</f>
        <v/>
      </c>
      <c r="F26" s="140" t="str">
        <f>IF(IFERROR(_xlfn.IFNA(VLOOKUP($A26,'HR Rep'!$A:$X,MATCH('1) For HR (FIX)'!F$1,'HR Rep'!$A$1:$X$1,0),0),""),"")="","",IFERROR(_xlfn.IFNA(VLOOKUP($A26,'HR Rep'!$A:$X,MATCH('1) For HR (FIX)'!F$1,'HR Rep'!$A$1:$X$1,0),0),""),""))</f>
        <v/>
      </c>
      <c r="G26" s="196"/>
      <c r="H26" s="140" t="str">
        <f>IF(IFERROR(_xlfn.IFNA(VLOOKUP($A26,'HR Rep'!$A:$X,MATCH('1) For HR (FIX)'!H$1,'HR Rep'!$A$1:$X$1,0),0),""),"")="","",IFERROR(_xlfn.IFNA(VLOOKUP($A26,'HR Rep'!$A:$X,MATCH('1) For HR (FIX)'!H$1,'HR Rep'!$A$1:$X$1,0),0),""),""))</f>
        <v/>
      </c>
      <c r="I26" s="140" t="str">
        <f>IF(IFERROR(_xlfn.IFNA(VLOOKUP($A26,'HR Rep'!$A:$X,MATCH('1) For HR (FIX)'!I$1,'HR Rep'!$A$1:$X$1,0),0),""),"")="","",IFERROR(_xlfn.IFNA(VLOOKUP($A26,'HR Rep'!$A:$X,MATCH('1) For HR (FIX)'!I$1,'HR Rep'!$A$1:$X$1,0),0),""),""))</f>
        <v/>
      </c>
      <c r="J26" s="140" t="str">
        <f>IF(IFERROR(_xlfn.IFNA(VLOOKUP($A26,'HR Rep'!$A:$X,MATCH('1) For HR (FIX)'!J$1,'HR Rep'!$A$1:$X$1,0),0),""),"")="","",IFERROR(_xlfn.IFNA(VLOOKUP($A26,'HR Rep'!$A:$X,MATCH('1) For HR (FIX)'!J$1,'HR Rep'!$A$1:$X$1,0),0),""),""))</f>
        <v/>
      </c>
      <c r="K26" s="161">
        <f>_xlfn.XLOOKUP(G26,ค่าตอบแทนการขายในอัตราคงที่!A:A,ค่าตอบแทนการขายในอัตราคงที่!B:B)</f>
        <v>0</v>
      </c>
      <c r="L26" s="174">
        <f>Period!$A$2</f>
        <v>46113</v>
      </c>
      <c r="M26" s="175">
        <f>Period!$C$2</f>
        <v>46143</v>
      </c>
      <c r="N26" s="194" t="s">
        <v>279</v>
      </c>
    </row>
    <row r="27" spans="1:14" ht="11.4" x14ac:dyDescent="0.25">
      <c r="A27" s="137"/>
      <c r="B27" s="169" t="e">
        <f>IF(IF(VLOOKUP(A27,ASTBase!F:P,11,FALSE)="","",VLOOKUP(A27,ASTBase!F:P,11,FALSE))=0,"",IF(VLOOKUP(A27,ASTBase!F:P,11,FALSE)="","",VLOOKUP(A27,ASTBase!F:P,11,FALSE)))</f>
        <v>#N/A</v>
      </c>
      <c r="C27" s="140" t="str">
        <f>IF(IFERROR(_xlfn.IFNA(VLOOKUP($A27,'HR Rep'!$A:$X,MATCH('1) For HR (FIX)'!C$1,'HR Rep'!$A$1:$X$1,0),0),""),"")="","",IFERROR(_xlfn.IFNA(VLOOKUP($A27,'HR Rep'!$A:$X,MATCH('1) For HR (FIX)'!C$1,'HR Rep'!$A$1:$X$1,0),0),""),""))</f>
        <v/>
      </c>
      <c r="D27" s="140" t="str">
        <f>IF(IFERROR(_xlfn.IFNA(VLOOKUP($A27,'HR Rep'!$A:$X,MATCH('1) For HR (FIX)'!D$1,'HR Rep'!$A$1:$X$1,0),0),""),"")="","",IFERROR(_xlfn.IFNA(VLOOKUP($A27,'HR Rep'!$A:$X,MATCH('1) For HR (FIX)'!D$1,'HR Rep'!$A$1:$X$1,0),0),""),""))</f>
        <v/>
      </c>
      <c r="E27" s="140" t="str">
        <f>IF(IFERROR(_xlfn.IFNA(VLOOKUP($A27,'HR Rep'!$A:$X,MATCH('1) For HR (FIX)'!E$1,'HR Rep'!$A$1:$X$1,0),0),""),"")="","",IFERROR(_xlfn.IFNA(VLOOKUP($A27,'HR Rep'!$A:$X,MATCH('1) For HR (FIX)'!E$1,'HR Rep'!$A$1:$X$1,0),0),""),""))</f>
        <v/>
      </c>
      <c r="F27" s="140" t="str">
        <f>IF(IFERROR(_xlfn.IFNA(VLOOKUP($A27,'HR Rep'!$A:$X,MATCH('1) For HR (FIX)'!F$1,'HR Rep'!$A$1:$X$1,0),0),""),"")="","",IFERROR(_xlfn.IFNA(VLOOKUP($A27,'HR Rep'!$A:$X,MATCH('1) For HR (FIX)'!F$1,'HR Rep'!$A$1:$X$1,0),0),""),""))</f>
        <v/>
      </c>
      <c r="G27" s="196"/>
      <c r="H27" s="140" t="str">
        <f>IF(IFERROR(_xlfn.IFNA(VLOOKUP($A27,'HR Rep'!$A:$X,MATCH('1) For HR (FIX)'!H$1,'HR Rep'!$A$1:$X$1,0),0),""),"")="","",IFERROR(_xlfn.IFNA(VLOOKUP($A27,'HR Rep'!$A:$X,MATCH('1) For HR (FIX)'!H$1,'HR Rep'!$A$1:$X$1,0),0),""),""))</f>
        <v/>
      </c>
      <c r="I27" s="140" t="str">
        <f>IF(IFERROR(_xlfn.IFNA(VLOOKUP($A27,'HR Rep'!$A:$X,MATCH('1) For HR (FIX)'!I$1,'HR Rep'!$A$1:$X$1,0),0),""),"")="","",IFERROR(_xlfn.IFNA(VLOOKUP($A27,'HR Rep'!$A:$X,MATCH('1) For HR (FIX)'!I$1,'HR Rep'!$A$1:$X$1,0),0),""),""))</f>
        <v/>
      </c>
      <c r="J27" s="140" t="str">
        <f>IF(IFERROR(_xlfn.IFNA(VLOOKUP($A27,'HR Rep'!$A:$X,MATCH('1) For HR (FIX)'!J$1,'HR Rep'!$A$1:$X$1,0),0),""),"")="","",IFERROR(_xlfn.IFNA(VLOOKUP($A27,'HR Rep'!$A:$X,MATCH('1) For HR (FIX)'!J$1,'HR Rep'!$A$1:$X$1,0),0),""),""))</f>
        <v/>
      </c>
      <c r="K27" s="161">
        <f>_xlfn.XLOOKUP(G27,ค่าตอบแทนการขายในอัตราคงที่!A:A,ค่าตอบแทนการขายในอัตราคงที่!B:B)</f>
        <v>0</v>
      </c>
      <c r="L27" s="174">
        <f>Period!$A$2</f>
        <v>46113</v>
      </c>
      <c r="M27" s="175">
        <f>Period!$C$2</f>
        <v>46143</v>
      </c>
      <c r="N27" s="194" t="s">
        <v>279</v>
      </c>
    </row>
    <row r="28" spans="1:14" ht="11.4" x14ac:dyDescent="0.25">
      <c r="A28" s="137"/>
      <c r="B28" s="169" t="e">
        <f>IF(IF(VLOOKUP(A28,ASTBase!F:P,11,FALSE)="","",VLOOKUP(A28,ASTBase!F:P,11,FALSE))=0,"",IF(VLOOKUP(A28,ASTBase!F:P,11,FALSE)="","",VLOOKUP(A28,ASTBase!F:P,11,FALSE)))</f>
        <v>#N/A</v>
      </c>
      <c r="C28" s="140" t="str">
        <f>IF(IFERROR(_xlfn.IFNA(VLOOKUP($A28,'HR Rep'!$A:$X,MATCH('1) For HR (FIX)'!C$1,'HR Rep'!$A$1:$X$1,0),0),""),"")="","",IFERROR(_xlfn.IFNA(VLOOKUP($A28,'HR Rep'!$A:$X,MATCH('1) For HR (FIX)'!C$1,'HR Rep'!$A$1:$X$1,0),0),""),""))</f>
        <v/>
      </c>
      <c r="D28" s="140" t="str">
        <f>IF(IFERROR(_xlfn.IFNA(VLOOKUP($A28,'HR Rep'!$A:$X,MATCH('1) For HR (FIX)'!D$1,'HR Rep'!$A$1:$X$1,0),0),""),"")="","",IFERROR(_xlfn.IFNA(VLOOKUP($A28,'HR Rep'!$A:$X,MATCH('1) For HR (FIX)'!D$1,'HR Rep'!$A$1:$X$1,0),0),""),""))</f>
        <v/>
      </c>
      <c r="E28" s="140" t="str">
        <f>IF(IFERROR(_xlfn.IFNA(VLOOKUP($A28,'HR Rep'!$A:$X,MATCH('1) For HR (FIX)'!E$1,'HR Rep'!$A$1:$X$1,0),0),""),"")="","",IFERROR(_xlfn.IFNA(VLOOKUP($A28,'HR Rep'!$A:$X,MATCH('1) For HR (FIX)'!E$1,'HR Rep'!$A$1:$X$1,0),0),""),""))</f>
        <v/>
      </c>
      <c r="F28" s="140" t="str">
        <f>IF(IFERROR(_xlfn.IFNA(VLOOKUP($A28,'HR Rep'!$A:$X,MATCH('1) For HR (FIX)'!F$1,'HR Rep'!$A$1:$X$1,0),0),""),"")="","",IFERROR(_xlfn.IFNA(VLOOKUP($A28,'HR Rep'!$A:$X,MATCH('1) For HR (FIX)'!F$1,'HR Rep'!$A$1:$X$1,0),0),""),""))</f>
        <v/>
      </c>
      <c r="G28" s="196"/>
      <c r="H28" s="140" t="str">
        <f>IF(IFERROR(_xlfn.IFNA(VLOOKUP($A28,'HR Rep'!$A:$X,MATCH('1) For HR (FIX)'!H$1,'HR Rep'!$A$1:$X$1,0),0),""),"")="","",IFERROR(_xlfn.IFNA(VLOOKUP($A28,'HR Rep'!$A:$X,MATCH('1) For HR (FIX)'!H$1,'HR Rep'!$A$1:$X$1,0),0),""),""))</f>
        <v/>
      </c>
      <c r="I28" s="140" t="str">
        <f>IF(IFERROR(_xlfn.IFNA(VLOOKUP($A28,'HR Rep'!$A:$X,MATCH('1) For HR (FIX)'!I$1,'HR Rep'!$A$1:$X$1,0),0),""),"")="","",IFERROR(_xlfn.IFNA(VLOOKUP($A28,'HR Rep'!$A:$X,MATCH('1) For HR (FIX)'!I$1,'HR Rep'!$A$1:$X$1,0),0),""),""))</f>
        <v/>
      </c>
      <c r="J28" s="140" t="str">
        <f>IF(IFERROR(_xlfn.IFNA(VLOOKUP($A28,'HR Rep'!$A:$X,MATCH('1) For HR (FIX)'!J$1,'HR Rep'!$A$1:$X$1,0),0),""),"")="","",IFERROR(_xlfn.IFNA(VLOOKUP($A28,'HR Rep'!$A:$X,MATCH('1) For HR (FIX)'!J$1,'HR Rep'!$A$1:$X$1,0),0),""),""))</f>
        <v/>
      </c>
      <c r="K28" s="161">
        <f>_xlfn.XLOOKUP(G28,ค่าตอบแทนการขายในอัตราคงที่!A:A,ค่าตอบแทนการขายในอัตราคงที่!B:B)</f>
        <v>0</v>
      </c>
      <c r="L28" s="174">
        <f>Period!$A$2</f>
        <v>46113</v>
      </c>
      <c r="M28" s="175">
        <f>Period!$C$2</f>
        <v>46143</v>
      </c>
      <c r="N28" s="194" t="s">
        <v>279</v>
      </c>
    </row>
    <row r="29" spans="1:14" ht="11.4" x14ac:dyDescent="0.25">
      <c r="A29" s="137"/>
      <c r="B29" s="169" t="e">
        <f>IF(IF(VLOOKUP(A29,ASTBase!F:P,11,FALSE)="","",VLOOKUP(A29,ASTBase!F:P,11,FALSE))=0,"",IF(VLOOKUP(A29,ASTBase!F:P,11,FALSE)="","",VLOOKUP(A29,ASTBase!F:P,11,FALSE)))</f>
        <v>#N/A</v>
      </c>
      <c r="C29" s="140" t="str">
        <f>IF(IFERROR(_xlfn.IFNA(VLOOKUP($A29,'HR Rep'!$A:$X,MATCH('1) For HR (FIX)'!C$1,'HR Rep'!$A$1:$X$1,0),0),""),"")="","",IFERROR(_xlfn.IFNA(VLOOKUP($A29,'HR Rep'!$A:$X,MATCH('1) For HR (FIX)'!C$1,'HR Rep'!$A$1:$X$1,0),0),""),""))</f>
        <v/>
      </c>
      <c r="D29" s="140" t="str">
        <f>IF(IFERROR(_xlfn.IFNA(VLOOKUP($A29,'HR Rep'!$A:$X,MATCH('1) For HR (FIX)'!D$1,'HR Rep'!$A$1:$X$1,0),0),""),"")="","",IFERROR(_xlfn.IFNA(VLOOKUP($A29,'HR Rep'!$A:$X,MATCH('1) For HR (FIX)'!D$1,'HR Rep'!$A$1:$X$1,0),0),""),""))</f>
        <v/>
      </c>
      <c r="E29" s="140" t="str">
        <f>IF(IFERROR(_xlfn.IFNA(VLOOKUP($A29,'HR Rep'!$A:$X,MATCH('1) For HR (FIX)'!E$1,'HR Rep'!$A$1:$X$1,0),0),""),"")="","",IFERROR(_xlfn.IFNA(VLOOKUP($A29,'HR Rep'!$A:$X,MATCH('1) For HR (FIX)'!E$1,'HR Rep'!$A$1:$X$1,0),0),""),""))</f>
        <v/>
      </c>
      <c r="F29" s="140" t="str">
        <f>IF(IFERROR(_xlfn.IFNA(VLOOKUP($A29,'HR Rep'!$A:$X,MATCH('1) For HR (FIX)'!F$1,'HR Rep'!$A$1:$X$1,0),0),""),"")="","",IFERROR(_xlfn.IFNA(VLOOKUP($A29,'HR Rep'!$A:$X,MATCH('1) For HR (FIX)'!F$1,'HR Rep'!$A$1:$X$1,0),0),""),""))</f>
        <v/>
      </c>
      <c r="G29" s="196"/>
      <c r="H29" s="140" t="str">
        <f>IF(IFERROR(_xlfn.IFNA(VLOOKUP($A29,'HR Rep'!$A:$X,MATCH('1) For HR (FIX)'!H$1,'HR Rep'!$A$1:$X$1,0),0),""),"")="","",IFERROR(_xlfn.IFNA(VLOOKUP($A29,'HR Rep'!$A:$X,MATCH('1) For HR (FIX)'!H$1,'HR Rep'!$A$1:$X$1,0),0),""),""))</f>
        <v/>
      </c>
      <c r="I29" s="140" t="str">
        <f>IF(IFERROR(_xlfn.IFNA(VLOOKUP($A29,'HR Rep'!$A:$X,MATCH('1) For HR (FIX)'!I$1,'HR Rep'!$A$1:$X$1,0),0),""),"")="","",IFERROR(_xlfn.IFNA(VLOOKUP($A29,'HR Rep'!$A:$X,MATCH('1) For HR (FIX)'!I$1,'HR Rep'!$A$1:$X$1,0),0),""),""))</f>
        <v/>
      </c>
      <c r="J29" s="140" t="str">
        <f>IF(IFERROR(_xlfn.IFNA(VLOOKUP($A29,'HR Rep'!$A:$X,MATCH('1) For HR (FIX)'!J$1,'HR Rep'!$A$1:$X$1,0),0),""),"")="","",IFERROR(_xlfn.IFNA(VLOOKUP($A29,'HR Rep'!$A:$X,MATCH('1) For HR (FIX)'!J$1,'HR Rep'!$A$1:$X$1,0),0),""),""))</f>
        <v/>
      </c>
      <c r="K29" s="161">
        <f>_xlfn.XLOOKUP(G29,ค่าตอบแทนการขายในอัตราคงที่!A:A,ค่าตอบแทนการขายในอัตราคงที่!B:B)</f>
        <v>0</v>
      </c>
      <c r="L29" s="174">
        <f>Period!$A$2</f>
        <v>46113</v>
      </c>
      <c r="M29" s="175">
        <f>Period!$C$2</f>
        <v>46143</v>
      </c>
      <c r="N29" s="194" t="s">
        <v>279</v>
      </c>
    </row>
    <row r="30" spans="1:14" ht="11.4" x14ac:dyDescent="0.25">
      <c r="A30" s="137"/>
      <c r="B30" s="169" t="e">
        <f>IF(IF(VLOOKUP(A30,ASTBase!F:P,11,FALSE)="","",VLOOKUP(A30,ASTBase!F:P,11,FALSE))=0,"",IF(VLOOKUP(A30,ASTBase!F:P,11,FALSE)="","",VLOOKUP(A30,ASTBase!F:P,11,FALSE)))</f>
        <v>#N/A</v>
      </c>
      <c r="C30" s="140" t="str">
        <f>IF(IFERROR(_xlfn.IFNA(VLOOKUP($A30,'HR Rep'!$A:$X,MATCH('1) For HR (FIX)'!C$1,'HR Rep'!$A$1:$X$1,0),0),""),"")="","",IFERROR(_xlfn.IFNA(VLOOKUP($A30,'HR Rep'!$A:$X,MATCH('1) For HR (FIX)'!C$1,'HR Rep'!$A$1:$X$1,0),0),""),""))</f>
        <v/>
      </c>
      <c r="D30" s="140" t="str">
        <f>IF(IFERROR(_xlfn.IFNA(VLOOKUP($A30,'HR Rep'!$A:$X,MATCH('1) For HR (FIX)'!D$1,'HR Rep'!$A$1:$X$1,0),0),""),"")="","",IFERROR(_xlfn.IFNA(VLOOKUP($A30,'HR Rep'!$A:$X,MATCH('1) For HR (FIX)'!D$1,'HR Rep'!$A$1:$X$1,0),0),""),""))</f>
        <v/>
      </c>
      <c r="E30" s="140" t="str">
        <f>IF(IFERROR(_xlfn.IFNA(VLOOKUP($A30,'HR Rep'!$A:$X,MATCH('1) For HR (FIX)'!E$1,'HR Rep'!$A$1:$X$1,0),0),""),"")="","",IFERROR(_xlfn.IFNA(VLOOKUP($A30,'HR Rep'!$A:$X,MATCH('1) For HR (FIX)'!E$1,'HR Rep'!$A$1:$X$1,0),0),""),""))</f>
        <v/>
      </c>
      <c r="F30" s="140" t="str">
        <f>IF(IFERROR(_xlfn.IFNA(VLOOKUP($A30,'HR Rep'!$A:$X,MATCH('1) For HR (FIX)'!F$1,'HR Rep'!$A$1:$X$1,0),0),""),"")="","",IFERROR(_xlfn.IFNA(VLOOKUP($A30,'HR Rep'!$A:$X,MATCH('1) For HR (FIX)'!F$1,'HR Rep'!$A$1:$X$1,0),0),""),""))</f>
        <v/>
      </c>
      <c r="G30" s="196"/>
      <c r="H30" s="140" t="str">
        <f>IF(IFERROR(_xlfn.IFNA(VLOOKUP($A30,'HR Rep'!$A:$X,MATCH('1) For HR (FIX)'!H$1,'HR Rep'!$A$1:$X$1,0),0),""),"")="","",IFERROR(_xlfn.IFNA(VLOOKUP($A30,'HR Rep'!$A:$X,MATCH('1) For HR (FIX)'!H$1,'HR Rep'!$A$1:$X$1,0),0),""),""))</f>
        <v/>
      </c>
      <c r="I30" s="140" t="str">
        <f>IF(IFERROR(_xlfn.IFNA(VLOOKUP($A30,'HR Rep'!$A:$X,MATCH('1) For HR (FIX)'!I$1,'HR Rep'!$A$1:$X$1,0),0),""),"")="","",IFERROR(_xlfn.IFNA(VLOOKUP($A30,'HR Rep'!$A:$X,MATCH('1) For HR (FIX)'!I$1,'HR Rep'!$A$1:$X$1,0),0),""),""))</f>
        <v/>
      </c>
      <c r="J30" s="140" t="str">
        <f>IF(IFERROR(_xlfn.IFNA(VLOOKUP($A30,'HR Rep'!$A:$X,MATCH('1) For HR (FIX)'!J$1,'HR Rep'!$A$1:$X$1,0),0),""),"")="","",IFERROR(_xlfn.IFNA(VLOOKUP($A30,'HR Rep'!$A:$X,MATCH('1) For HR (FIX)'!J$1,'HR Rep'!$A$1:$X$1,0),0),""),""))</f>
        <v/>
      </c>
      <c r="K30" s="161">
        <f>_xlfn.XLOOKUP(G30,ค่าตอบแทนการขายในอัตราคงที่!A:A,ค่าตอบแทนการขายในอัตราคงที่!B:B)</f>
        <v>0</v>
      </c>
      <c r="L30" s="174">
        <f>Period!$A$2</f>
        <v>46113</v>
      </c>
      <c r="M30" s="175">
        <f>Period!$C$2</f>
        <v>46143</v>
      </c>
      <c r="N30" s="194" t="s">
        <v>279</v>
      </c>
    </row>
    <row r="31" spans="1:14" ht="11.4" x14ac:dyDescent="0.25">
      <c r="A31" s="137"/>
      <c r="B31" s="169" t="e">
        <f>IF(IF(VLOOKUP(A31,ASTBase!F:P,11,FALSE)="","",VLOOKUP(A31,ASTBase!F:P,11,FALSE))=0,"",IF(VLOOKUP(A31,ASTBase!F:P,11,FALSE)="","",VLOOKUP(A31,ASTBase!F:P,11,FALSE)))</f>
        <v>#N/A</v>
      </c>
      <c r="C31" s="140" t="str">
        <f>IF(IFERROR(_xlfn.IFNA(VLOOKUP($A31,'HR Rep'!$A:$X,MATCH('1) For HR (FIX)'!C$1,'HR Rep'!$A$1:$X$1,0),0),""),"")="","",IFERROR(_xlfn.IFNA(VLOOKUP($A31,'HR Rep'!$A:$X,MATCH('1) For HR (FIX)'!C$1,'HR Rep'!$A$1:$X$1,0),0),""),""))</f>
        <v/>
      </c>
      <c r="D31" s="140" t="str">
        <f>IF(IFERROR(_xlfn.IFNA(VLOOKUP($A31,'HR Rep'!$A:$X,MATCH('1) For HR (FIX)'!D$1,'HR Rep'!$A$1:$X$1,0),0),""),"")="","",IFERROR(_xlfn.IFNA(VLOOKUP($A31,'HR Rep'!$A:$X,MATCH('1) For HR (FIX)'!D$1,'HR Rep'!$A$1:$X$1,0),0),""),""))</f>
        <v/>
      </c>
      <c r="E31" s="140" t="str">
        <f>IF(IFERROR(_xlfn.IFNA(VLOOKUP($A31,'HR Rep'!$A:$X,MATCH('1) For HR (FIX)'!E$1,'HR Rep'!$A$1:$X$1,0),0),""),"")="","",IFERROR(_xlfn.IFNA(VLOOKUP($A31,'HR Rep'!$A:$X,MATCH('1) For HR (FIX)'!E$1,'HR Rep'!$A$1:$X$1,0),0),""),""))</f>
        <v/>
      </c>
      <c r="F31" s="140" t="str">
        <f>IF(IFERROR(_xlfn.IFNA(VLOOKUP($A31,'HR Rep'!$A:$X,MATCH('1) For HR (FIX)'!F$1,'HR Rep'!$A$1:$X$1,0),0),""),"")="","",IFERROR(_xlfn.IFNA(VLOOKUP($A31,'HR Rep'!$A:$X,MATCH('1) For HR (FIX)'!F$1,'HR Rep'!$A$1:$X$1,0),0),""),""))</f>
        <v/>
      </c>
      <c r="G31" s="196"/>
      <c r="H31" s="140" t="str">
        <f>IF(IFERROR(_xlfn.IFNA(VLOOKUP($A31,'HR Rep'!$A:$X,MATCH('1) For HR (FIX)'!H$1,'HR Rep'!$A$1:$X$1,0),0),""),"")="","",IFERROR(_xlfn.IFNA(VLOOKUP($A31,'HR Rep'!$A:$X,MATCH('1) For HR (FIX)'!H$1,'HR Rep'!$A$1:$X$1,0),0),""),""))</f>
        <v/>
      </c>
      <c r="I31" s="140" t="str">
        <f>IF(IFERROR(_xlfn.IFNA(VLOOKUP($A31,'HR Rep'!$A:$X,MATCH('1) For HR (FIX)'!I$1,'HR Rep'!$A$1:$X$1,0),0),""),"")="","",IFERROR(_xlfn.IFNA(VLOOKUP($A31,'HR Rep'!$A:$X,MATCH('1) For HR (FIX)'!I$1,'HR Rep'!$A$1:$X$1,0),0),""),""))</f>
        <v/>
      </c>
      <c r="J31" s="140" t="str">
        <f>IF(IFERROR(_xlfn.IFNA(VLOOKUP($A31,'HR Rep'!$A:$X,MATCH('1) For HR (FIX)'!J$1,'HR Rep'!$A$1:$X$1,0),0),""),"")="","",IFERROR(_xlfn.IFNA(VLOOKUP($A31,'HR Rep'!$A:$X,MATCH('1) For HR (FIX)'!J$1,'HR Rep'!$A$1:$X$1,0),0),""),""))</f>
        <v/>
      </c>
      <c r="K31" s="161">
        <f>_xlfn.XLOOKUP(G31,ค่าตอบแทนการขายในอัตราคงที่!A:A,ค่าตอบแทนการขายในอัตราคงที่!B:B)</f>
        <v>0</v>
      </c>
      <c r="L31" s="174">
        <f>Period!$A$2</f>
        <v>46113</v>
      </c>
      <c r="M31" s="175">
        <f>Period!$C$2</f>
        <v>46143</v>
      </c>
      <c r="N31" s="194" t="s">
        <v>279</v>
      </c>
    </row>
    <row r="32" spans="1:14" ht="11.4" x14ac:dyDescent="0.25">
      <c r="A32" s="137"/>
      <c r="B32" s="169" t="e">
        <f>IF(IF(VLOOKUP(A32,ASTBase!F:P,11,FALSE)="","",VLOOKUP(A32,ASTBase!F:P,11,FALSE))=0,"",IF(VLOOKUP(A32,ASTBase!F:P,11,FALSE)="","",VLOOKUP(A32,ASTBase!F:P,11,FALSE)))</f>
        <v>#N/A</v>
      </c>
      <c r="C32" s="140" t="str">
        <f>IF(IFERROR(_xlfn.IFNA(VLOOKUP($A32,'HR Rep'!$A:$X,MATCH('1) For HR (FIX)'!C$1,'HR Rep'!$A$1:$X$1,0),0),""),"")="","",IFERROR(_xlfn.IFNA(VLOOKUP($A32,'HR Rep'!$A:$X,MATCH('1) For HR (FIX)'!C$1,'HR Rep'!$A$1:$X$1,0),0),""),""))</f>
        <v/>
      </c>
      <c r="D32" s="140" t="str">
        <f>IF(IFERROR(_xlfn.IFNA(VLOOKUP($A32,'HR Rep'!$A:$X,MATCH('1) For HR (FIX)'!D$1,'HR Rep'!$A$1:$X$1,0),0),""),"")="","",IFERROR(_xlfn.IFNA(VLOOKUP($A32,'HR Rep'!$A:$X,MATCH('1) For HR (FIX)'!D$1,'HR Rep'!$A$1:$X$1,0),0),""),""))</f>
        <v/>
      </c>
      <c r="E32" s="140" t="str">
        <f>IF(IFERROR(_xlfn.IFNA(VLOOKUP($A32,'HR Rep'!$A:$X,MATCH('1) For HR (FIX)'!E$1,'HR Rep'!$A$1:$X$1,0),0),""),"")="","",IFERROR(_xlfn.IFNA(VLOOKUP($A32,'HR Rep'!$A:$X,MATCH('1) For HR (FIX)'!E$1,'HR Rep'!$A$1:$X$1,0),0),""),""))</f>
        <v/>
      </c>
      <c r="F32" s="140" t="str">
        <f>IF(IFERROR(_xlfn.IFNA(VLOOKUP($A32,'HR Rep'!$A:$X,MATCH('1) For HR (FIX)'!F$1,'HR Rep'!$A$1:$X$1,0),0),""),"")="","",IFERROR(_xlfn.IFNA(VLOOKUP($A32,'HR Rep'!$A:$X,MATCH('1) For HR (FIX)'!F$1,'HR Rep'!$A$1:$X$1,0),0),""),""))</f>
        <v/>
      </c>
      <c r="G32" s="196"/>
      <c r="H32" s="140" t="str">
        <f>IF(IFERROR(_xlfn.IFNA(VLOOKUP($A32,'HR Rep'!$A:$X,MATCH('1) For HR (FIX)'!H$1,'HR Rep'!$A$1:$X$1,0),0),""),"")="","",IFERROR(_xlfn.IFNA(VLOOKUP($A32,'HR Rep'!$A:$X,MATCH('1) For HR (FIX)'!H$1,'HR Rep'!$A$1:$X$1,0),0),""),""))</f>
        <v/>
      </c>
      <c r="I32" s="140" t="str">
        <f>IF(IFERROR(_xlfn.IFNA(VLOOKUP($A32,'HR Rep'!$A:$X,MATCH('1) For HR (FIX)'!I$1,'HR Rep'!$A$1:$X$1,0),0),""),"")="","",IFERROR(_xlfn.IFNA(VLOOKUP($A32,'HR Rep'!$A:$X,MATCH('1) For HR (FIX)'!I$1,'HR Rep'!$A$1:$X$1,0),0),""),""))</f>
        <v/>
      </c>
      <c r="J32" s="140" t="str">
        <f>IF(IFERROR(_xlfn.IFNA(VLOOKUP($A32,'HR Rep'!$A:$X,MATCH('1) For HR (FIX)'!J$1,'HR Rep'!$A$1:$X$1,0),0),""),"")="","",IFERROR(_xlfn.IFNA(VLOOKUP($A32,'HR Rep'!$A:$X,MATCH('1) For HR (FIX)'!J$1,'HR Rep'!$A$1:$X$1,0),0),""),""))</f>
        <v/>
      </c>
      <c r="K32" s="161">
        <f>_xlfn.XLOOKUP(G32,ค่าตอบแทนการขายในอัตราคงที่!A:A,ค่าตอบแทนการขายในอัตราคงที่!B:B)</f>
        <v>0</v>
      </c>
      <c r="L32" s="174">
        <f>Period!$A$2</f>
        <v>46113</v>
      </c>
      <c r="M32" s="175">
        <f>Period!$C$2</f>
        <v>46143</v>
      </c>
      <c r="N32" s="194" t="s">
        <v>279</v>
      </c>
    </row>
    <row r="33" spans="1:14" ht="11.4" x14ac:dyDescent="0.25">
      <c r="A33" s="138"/>
      <c r="B33" s="169" t="e">
        <f>IF(IF(VLOOKUP(A33,ASTBase!F:P,11,FALSE)="","",VLOOKUP(A33,ASTBase!F:P,11,FALSE))=0,"",IF(VLOOKUP(A33,ASTBase!F:P,11,FALSE)="","",VLOOKUP(A33,ASTBase!F:P,11,FALSE)))</f>
        <v>#N/A</v>
      </c>
      <c r="C33" s="140" t="str">
        <f>IF(IFERROR(_xlfn.IFNA(VLOOKUP($A33,'HR Rep'!$A:$X,MATCH('1) For HR (FIX)'!C$1,'HR Rep'!$A$1:$X$1,0),0),""),"")="","",IFERROR(_xlfn.IFNA(VLOOKUP($A33,'HR Rep'!$A:$X,MATCH('1) For HR (FIX)'!C$1,'HR Rep'!$A$1:$X$1,0),0),""),""))</f>
        <v/>
      </c>
      <c r="D33" s="140" t="str">
        <f>IF(IFERROR(_xlfn.IFNA(VLOOKUP($A33,'HR Rep'!$A:$X,MATCH('1) For HR (FIX)'!D$1,'HR Rep'!$A$1:$X$1,0),0),""),"")="","",IFERROR(_xlfn.IFNA(VLOOKUP($A33,'HR Rep'!$A:$X,MATCH('1) For HR (FIX)'!D$1,'HR Rep'!$A$1:$X$1,0),0),""),""))</f>
        <v/>
      </c>
      <c r="E33" s="140" t="str">
        <f>IF(IFERROR(_xlfn.IFNA(VLOOKUP($A33,'HR Rep'!$A:$X,MATCH('1) For HR (FIX)'!E$1,'HR Rep'!$A$1:$X$1,0),0),""),"")="","",IFERROR(_xlfn.IFNA(VLOOKUP($A33,'HR Rep'!$A:$X,MATCH('1) For HR (FIX)'!E$1,'HR Rep'!$A$1:$X$1,0),0),""),""))</f>
        <v/>
      </c>
      <c r="F33" s="140" t="str">
        <f>IF(IFERROR(_xlfn.IFNA(VLOOKUP($A33,'HR Rep'!$A:$X,MATCH('1) For HR (FIX)'!F$1,'HR Rep'!$A$1:$X$1,0),0),""),"")="","",IFERROR(_xlfn.IFNA(VLOOKUP($A33,'HR Rep'!$A:$X,MATCH('1) For HR (FIX)'!F$1,'HR Rep'!$A$1:$X$1,0),0),""),""))</f>
        <v/>
      </c>
      <c r="G33" s="196"/>
      <c r="H33" s="140" t="str">
        <f>IF(IFERROR(_xlfn.IFNA(VLOOKUP($A33,'HR Rep'!$A:$X,MATCH('1) For HR (FIX)'!H$1,'HR Rep'!$A$1:$X$1,0),0),""),"")="","",IFERROR(_xlfn.IFNA(VLOOKUP($A33,'HR Rep'!$A:$X,MATCH('1) For HR (FIX)'!H$1,'HR Rep'!$A$1:$X$1,0),0),""),""))</f>
        <v/>
      </c>
      <c r="I33" s="140" t="str">
        <f>IF(IFERROR(_xlfn.IFNA(VLOOKUP($A33,'HR Rep'!$A:$X,MATCH('1) For HR (FIX)'!I$1,'HR Rep'!$A$1:$X$1,0),0),""),"")="","",IFERROR(_xlfn.IFNA(VLOOKUP($A33,'HR Rep'!$A:$X,MATCH('1) For HR (FIX)'!I$1,'HR Rep'!$A$1:$X$1,0),0),""),""))</f>
        <v/>
      </c>
      <c r="J33" s="140" t="str">
        <f>IF(IFERROR(_xlfn.IFNA(VLOOKUP($A33,'HR Rep'!$A:$X,MATCH('1) For HR (FIX)'!J$1,'HR Rep'!$A$1:$X$1,0),0),""),"")="","",IFERROR(_xlfn.IFNA(VLOOKUP($A33,'HR Rep'!$A:$X,MATCH('1) For HR (FIX)'!J$1,'HR Rep'!$A$1:$X$1,0),0),""),""))</f>
        <v/>
      </c>
      <c r="K33" s="161">
        <f>_xlfn.XLOOKUP(G33,ค่าตอบแทนการขายในอัตราคงที่!A:A,ค่าตอบแทนการขายในอัตราคงที่!B:B)</f>
        <v>0</v>
      </c>
      <c r="L33" s="174">
        <f>Period!$A$2</f>
        <v>46113</v>
      </c>
      <c r="M33" s="175">
        <f>Period!$C$2</f>
        <v>46143</v>
      </c>
      <c r="N33" s="194" t="s">
        <v>279</v>
      </c>
    </row>
    <row r="34" spans="1:14" ht="11.4" x14ac:dyDescent="0.25">
      <c r="A34" s="138"/>
      <c r="B34" s="169" t="e">
        <f>IF(IF(VLOOKUP(A34,ASTBase!F:P,11,FALSE)="","",VLOOKUP(A34,ASTBase!F:P,11,FALSE))=0,"",IF(VLOOKUP(A34,ASTBase!F:P,11,FALSE)="","",VLOOKUP(A34,ASTBase!F:P,11,FALSE)))</f>
        <v>#N/A</v>
      </c>
      <c r="C34" s="140" t="str">
        <f>IF(IFERROR(_xlfn.IFNA(VLOOKUP($A34,'HR Rep'!$A:$X,MATCH('1) For HR (FIX)'!C$1,'HR Rep'!$A$1:$X$1,0),0),""),"")="","",IFERROR(_xlfn.IFNA(VLOOKUP($A34,'HR Rep'!$A:$X,MATCH('1) For HR (FIX)'!C$1,'HR Rep'!$A$1:$X$1,0),0),""),""))</f>
        <v/>
      </c>
      <c r="D34" s="140" t="str">
        <f>IF(IFERROR(_xlfn.IFNA(VLOOKUP($A34,'HR Rep'!$A:$X,MATCH('1) For HR (FIX)'!D$1,'HR Rep'!$A$1:$X$1,0),0),""),"")="","",IFERROR(_xlfn.IFNA(VLOOKUP($A34,'HR Rep'!$A:$X,MATCH('1) For HR (FIX)'!D$1,'HR Rep'!$A$1:$X$1,0),0),""),""))</f>
        <v/>
      </c>
      <c r="E34" s="140" t="str">
        <f>IF(IFERROR(_xlfn.IFNA(VLOOKUP($A34,'HR Rep'!$A:$X,MATCH('1) For HR (FIX)'!E$1,'HR Rep'!$A$1:$X$1,0),0),""),"")="","",IFERROR(_xlfn.IFNA(VLOOKUP($A34,'HR Rep'!$A:$X,MATCH('1) For HR (FIX)'!E$1,'HR Rep'!$A$1:$X$1,0),0),""),""))</f>
        <v/>
      </c>
      <c r="F34" s="140" t="str">
        <f>IF(IFERROR(_xlfn.IFNA(VLOOKUP($A34,'HR Rep'!$A:$X,MATCH('1) For HR (FIX)'!F$1,'HR Rep'!$A$1:$X$1,0),0),""),"")="","",IFERROR(_xlfn.IFNA(VLOOKUP($A34,'HR Rep'!$A:$X,MATCH('1) For HR (FIX)'!F$1,'HR Rep'!$A$1:$X$1,0),0),""),""))</f>
        <v/>
      </c>
      <c r="G34" s="196"/>
      <c r="H34" s="140" t="str">
        <f>IF(IFERROR(_xlfn.IFNA(VLOOKUP($A34,'HR Rep'!$A:$X,MATCH('1) For HR (FIX)'!H$1,'HR Rep'!$A$1:$X$1,0),0),""),"")="","",IFERROR(_xlfn.IFNA(VLOOKUP($A34,'HR Rep'!$A:$X,MATCH('1) For HR (FIX)'!H$1,'HR Rep'!$A$1:$X$1,0),0),""),""))</f>
        <v/>
      </c>
      <c r="I34" s="140" t="str">
        <f>IF(IFERROR(_xlfn.IFNA(VLOOKUP($A34,'HR Rep'!$A:$X,MATCH('1) For HR (FIX)'!I$1,'HR Rep'!$A$1:$X$1,0),0),""),"")="","",IFERROR(_xlfn.IFNA(VLOOKUP($A34,'HR Rep'!$A:$X,MATCH('1) For HR (FIX)'!I$1,'HR Rep'!$A$1:$X$1,0),0),""),""))</f>
        <v/>
      </c>
      <c r="J34" s="140" t="str">
        <f>IF(IFERROR(_xlfn.IFNA(VLOOKUP($A34,'HR Rep'!$A:$X,MATCH('1) For HR (FIX)'!J$1,'HR Rep'!$A$1:$X$1,0),0),""),"")="","",IFERROR(_xlfn.IFNA(VLOOKUP($A34,'HR Rep'!$A:$X,MATCH('1) For HR (FIX)'!J$1,'HR Rep'!$A$1:$X$1,0),0),""),""))</f>
        <v/>
      </c>
      <c r="K34" s="161">
        <f>_xlfn.XLOOKUP(G34,ค่าตอบแทนการขายในอัตราคงที่!A:A,ค่าตอบแทนการขายในอัตราคงที่!B:B)</f>
        <v>0</v>
      </c>
      <c r="L34" s="174">
        <f>Period!$A$2</f>
        <v>46113</v>
      </c>
      <c r="M34" s="175">
        <f>Period!$C$2</f>
        <v>46143</v>
      </c>
      <c r="N34" s="194" t="s">
        <v>279</v>
      </c>
    </row>
    <row r="35" spans="1:14" ht="11.4" x14ac:dyDescent="0.25">
      <c r="A35" s="137"/>
      <c r="B35" s="169" t="e">
        <f>IF(IF(VLOOKUP(A35,ASTBase!F:P,11,FALSE)="","",VLOOKUP(A35,ASTBase!F:P,11,FALSE))=0,"",IF(VLOOKUP(A35,ASTBase!F:P,11,FALSE)="","",VLOOKUP(A35,ASTBase!F:P,11,FALSE)))</f>
        <v>#N/A</v>
      </c>
      <c r="C35" s="140" t="str">
        <f>IF(IFERROR(_xlfn.IFNA(VLOOKUP($A35,'HR Rep'!$A:$X,MATCH('1) For HR (FIX)'!C$1,'HR Rep'!$A$1:$X$1,0),0),""),"")="","",IFERROR(_xlfn.IFNA(VLOOKUP($A35,'HR Rep'!$A:$X,MATCH('1) For HR (FIX)'!C$1,'HR Rep'!$A$1:$X$1,0),0),""),""))</f>
        <v/>
      </c>
      <c r="D35" s="140" t="str">
        <f>IF(IFERROR(_xlfn.IFNA(VLOOKUP($A35,'HR Rep'!$A:$X,MATCH('1) For HR (FIX)'!D$1,'HR Rep'!$A$1:$X$1,0),0),""),"")="","",IFERROR(_xlfn.IFNA(VLOOKUP($A35,'HR Rep'!$A:$X,MATCH('1) For HR (FIX)'!D$1,'HR Rep'!$A$1:$X$1,0),0),""),""))</f>
        <v/>
      </c>
      <c r="E35" s="140" t="str">
        <f>IF(IFERROR(_xlfn.IFNA(VLOOKUP($A35,'HR Rep'!$A:$X,MATCH('1) For HR (FIX)'!E$1,'HR Rep'!$A$1:$X$1,0),0),""),"")="","",IFERROR(_xlfn.IFNA(VLOOKUP($A35,'HR Rep'!$A:$X,MATCH('1) For HR (FIX)'!E$1,'HR Rep'!$A$1:$X$1,0),0),""),""))</f>
        <v/>
      </c>
      <c r="F35" s="140" t="str">
        <f>IF(IFERROR(_xlfn.IFNA(VLOOKUP($A35,'HR Rep'!$A:$X,MATCH('1) For HR (FIX)'!F$1,'HR Rep'!$A$1:$X$1,0),0),""),"")="","",IFERROR(_xlfn.IFNA(VLOOKUP($A35,'HR Rep'!$A:$X,MATCH('1) For HR (FIX)'!F$1,'HR Rep'!$A$1:$X$1,0),0),""),""))</f>
        <v/>
      </c>
      <c r="G35" s="196"/>
      <c r="H35" s="140" t="str">
        <f>IF(IFERROR(_xlfn.IFNA(VLOOKUP($A35,'HR Rep'!$A:$X,MATCH('1) For HR (FIX)'!H$1,'HR Rep'!$A$1:$X$1,0),0),""),"")="","",IFERROR(_xlfn.IFNA(VLOOKUP($A35,'HR Rep'!$A:$X,MATCH('1) For HR (FIX)'!H$1,'HR Rep'!$A$1:$X$1,0),0),""),""))</f>
        <v/>
      </c>
      <c r="I35" s="140" t="str">
        <f>IF(IFERROR(_xlfn.IFNA(VLOOKUP($A35,'HR Rep'!$A:$X,MATCH('1) For HR (FIX)'!I$1,'HR Rep'!$A$1:$X$1,0),0),""),"")="","",IFERROR(_xlfn.IFNA(VLOOKUP($A35,'HR Rep'!$A:$X,MATCH('1) For HR (FIX)'!I$1,'HR Rep'!$A$1:$X$1,0),0),""),""))</f>
        <v/>
      </c>
      <c r="J35" s="140" t="str">
        <f>IF(IFERROR(_xlfn.IFNA(VLOOKUP($A35,'HR Rep'!$A:$X,MATCH('1) For HR (FIX)'!J$1,'HR Rep'!$A$1:$X$1,0),0),""),"")="","",IFERROR(_xlfn.IFNA(VLOOKUP($A35,'HR Rep'!$A:$X,MATCH('1) For HR (FIX)'!J$1,'HR Rep'!$A$1:$X$1,0),0),""),""))</f>
        <v/>
      </c>
      <c r="K35" s="161">
        <f>_xlfn.XLOOKUP(G35,ค่าตอบแทนการขายในอัตราคงที่!A:A,ค่าตอบแทนการขายในอัตราคงที่!B:B)</f>
        <v>0</v>
      </c>
      <c r="L35" s="174">
        <f>Period!$A$2</f>
        <v>46113</v>
      </c>
      <c r="M35" s="175">
        <f>Period!$C$2</f>
        <v>46143</v>
      </c>
      <c r="N35" s="194" t="s">
        <v>279</v>
      </c>
    </row>
    <row r="36" spans="1:14" ht="11.4" x14ac:dyDescent="0.25">
      <c r="A36" s="137"/>
      <c r="B36" s="169" t="e">
        <f>IF(IF(VLOOKUP(A36,ASTBase!F:P,11,FALSE)="","",VLOOKUP(A36,ASTBase!F:P,11,FALSE))=0,"",IF(VLOOKUP(A36,ASTBase!F:P,11,FALSE)="","",VLOOKUP(A36,ASTBase!F:P,11,FALSE)))</f>
        <v>#N/A</v>
      </c>
      <c r="C36" s="140" t="str">
        <f>IF(IFERROR(_xlfn.IFNA(VLOOKUP($A36,'HR Rep'!$A:$X,MATCH('1) For HR (FIX)'!C$1,'HR Rep'!$A$1:$X$1,0),0),""),"")="","",IFERROR(_xlfn.IFNA(VLOOKUP($A36,'HR Rep'!$A:$X,MATCH('1) For HR (FIX)'!C$1,'HR Rep'!$A$1:$X$1,0),0),""),""))</f>
        <v/>
      </c>
      <c r="D36" s="140" t="str">
        <f>IF(IFERROR(_xlfn.IFNA(VLOOKUP($A36,'HR Rep'!$A:$X,MATCH('1) For HR (FIX)'!D$1,'HR Rep'!$A$1:$X$1,0),0),""),"")="","",IFERROR(_xlfn.IFNA(VLOOKUP($A36,'HR Rep'!$A:$X,MATCH('1) For HR (FIX)'!D$1,'HR Rep'!$A$1:$X$1,0),0),""),""))</f>
        <v/>
      </c>
      <c r="E36" s="140" t="str">
        <f>IF(IFERROR(_xlfn.IFNA(VLOOKUP($A36,'HR Rep'!$A:$X,MATCH('1) For HR (FIX)'!E$1,'HR Rep'!$A$1:$X$1,0),0),""),"")="","",IFERROR(_xlfn.IFNA(VLOOKUP($A36,'HR Rep'!$A:$X,MATCH('1) For HR (FIX)'!E$1,'HR Rep'!$A$1:$X$1,0),0),""),""))</f>
        <v/>
      </c>
      <c r="F36" s="140" t="str">
        <f>IF(IFERROR(_xlfn.IFNA(VLOOKUP($A36,'HR Rep'!$A:$X,MATCH('1) For HR (FIX)'!F$1,'HR Rep'!$A$1:$X$1,0),0),""),"")="","",IFERROR(_xlfn.IFNA(VLOOKUP($A36,'HR Rep'!$A:$X,MATCH('1) For HR (FIX)'!F$1,'HR Rep'!$A$1:$X$1,0),0),""),""))</f>
        <v/>
      </c>
      <c r="G36" s="196"/>
      <c r="H36" s="140" t="str">
        <f>IF(IFERROR(_xlfn.IFNA(VLOOKUP($A36,'HR Rep'!$A:$X,MATCH('1) For HR (FIX)'!H$1,'HR Rep'!$A$1:$X$1,0),0),""),"")="","",IFERROR(_xlfn.IFNA(VLOOKUP($A36,'HR Rep'!$A:$X,MATCH('1) For HR (FIX)'!H$1,'HR Rep'!$A$1:$X$1,0),0),""),""))</f>
        <v/>
      </c>
      <c r="I36" s="140" t="str">
        <f>IF(IFERROR(_xlfn.IFNA(VLOOKUP($A36,'HR Rep'!$A:$X,MATCH('1) For HR (FIX)'!I$1,'HR Rep'!$A$1:$X$1,0),0),""),"")="","",IFERROR(_xlfn.IFNA(VLOOKUP($A36,'HR Rep'!$A:$X,MATCH('1) For HR (FIX)'!I$1,'HR Rep'!$A$1:$X$1,0),0),""),""))</f>
        <v/>
      </c>
      <c r="J36" s="140" t="str">
        <f>IF(IFERROR(_xlfn.IFNA(VLOOKUP($A36,'HR Rep'!$A:$X,MATCH('1) For HR (FIX)'!J$1,'HR Rep'!$A$1:$X$1,0),0),""),"")="","",IFERROR(_xlfn.IFNA(VLOOKUP($A36,'HR Rep'!$A:$X,MATCH('1) For HR (FIX)'!J$1,'HR Rep'!$A$1:$X$1,0),0),""),""))</f>
        <v/>
      </c>
      <c r="K36" s="161">
        <f>_xlfn.XLOOKUP(G36,ค่าตอบแทนการขายในอัตราคงที่!A:A,ค่าตอบแทนการขายในอัตราคงที่!B:B)</f>
        <v>0</v>
      </c>
      <c r="L36" s="174">
        <f>Period!$A$2</f>
        <v>46113</v>
      </c>
      <c r="M36" s="175">
        <f>Period!$C$2</f>
        <v>46143</v>
      </c>
      <c r="N36" s="194" t="s">
        <v>279</v>
      </c>
    </row>
    <row r="37" spans="1:14" ht="11.4" x14ac:dyDescent="0.25">
      <c r="A37" s="137"/>
      <c r="B37" s="169" t="e">
        <f>IF(IF(VLOOKUP(A37,ASTBase!F:P,11,FALSE)="","",VLOOKUP(A37,ASTBase!F:P,11,FALSE))=0,"",IF(VLOOKUP(A37,ASTBase!F:P,11,FALSE)="","",VLOOKUP(A37,ASTBase!F:P,11,FALSE)))</f>
        <v>#N/A</v>
      </c>
      <c r="C37" s="140" t="str">
        <f>IF(IFERROR(_xlfn.IFNA(VLOOKUP($A37,'HR Rep'!$A:$X,MATCH('1) For HR (FIX)'!C$1,'HR Rep'!$A$1:$X$1,0),0),""),"")="","",IFERROR(_xlfn.IFNA(VLOOKUP($A37,'HR Rep'!$A:$X,MATCH('1) For HR (FIX)'!C$1,'HR Rep'!$A$1:$X$1,0),0),""),""))</f>
        <v/>
      </c>
      <c r="D37" s="140" t="str">
        <f>IF(IFERROR(_xlfn.IFNA(VLOOKUP($A37,'HR Rep'!$A:$X,MATCH('1) For HR (FIX)'!D$1,'HR Rep'!$A$1:$X$1,0),0),""),"")="","",IFERROR(_xlfn.IFNA(VLOOKUP($A37,'HR Rep'!$A:$X,MATCH('1) For HR (FIX)'!D$1,'HR Rep'!$A$1:$X$1,0),0),""),""))</f>
        <v/>
      </c>
      <c r="E37" s="140" t="str">
        <f>IF(IFERROR(_xlfn.IFNA(VLOOKUP($A37,'HR Rep'!$A:$X,MATCH('1) For HR (FIX)'!E$1,'HR Rep'!$A$1:$X$1,0),0),""),"")="","",IFERROR(_xlfn.IFNA(VLOOKUP($A37,'HR Rep'!$A:$X,MATCH('1) For HR (FIX)'!E$1,'HR Rep'!$A$1:$X$1,0),0),""),""))</f>
        <v/>
      </c>
      <c r="F37" s="140" t="str">
        <f>IF(IFERROR(_xlfn.IFNA(VLOOKUP($A37,'HR Rep'!$A:$X,MATCH('1) For HR (FIX)'!F$1,'HR Rep'!$A$1:$X$1,0),0),""),"")="","",IFERROR(_xlfn.IFNA(VLOOKUP($A37,'HR Rep'!$A:$X,MATCH('1) For HR (FIX)'!F$1,'HR Rep'!$A$1:$X$1,0),0),""),""))</f>
        <v/>
      </c>
      <c r="G37" s="196"/>
      <c r="H37" s="140" t="str">
        <f>IF(IFERROR(_xlfn.IFNA(VLOOKUP($A37,'HR Rep'!$A:$X,MATCH('1) For HR (FIX)'!H$1,'HR Rep'!$A$1:$X$1,0),0),""),"")="","",IFERROR(_xlfn.IFNA(VLOOKUP($A37,'HR Rep'!$A:$X,MATCH('1) For HR (FIX)'!H$1,'HR Rep'!$A$1:$X$1,0),0),""),""))</f>
        <v/>
      </c>
      <c r="I37" s="140" t="str">
        <f>IF(IFERROR(_xlfn.IFNA(VLOOKUP($A37,'HR Rep'!$A:$X,MATCH('1) For HR (FIX)'!I$1,'HR Rep'!$A$1:$X$1,0),0),""),"")="","",IFERROR(_xlfn.IFNA(VLOOKUP($A37,'HR Rep'!$A:$X,MATCH('1) For HR (FIX)'!I$1,'HR Rep'!$A$1:$X$1,0),0),""),""))</f>
        <v/>
      </c>
      <c r="J37" s="140" t="str">
        <f>IF(IFERROR(_xlfn.IFNA(VLOOKUP($A37,'HR Rep'!$A:$X,MATCH('1) For HR (FIX)'!J$1,'HR Rep'!$A$1:$X$1,0),0),""),"")="","",IFERROR(_xlfn.IFNA(VLOOKUP($A37,'HR Rep'!$A:$X,MATCH('1) For HR (FIX)'!J$1,'HR Rep'!$A$1:$X$1,0),0),""),""))</f>
        <v/>
      </c>
      <c r="K37" s="161">
        <f>_xlfn.XLOOKUP(G37,ค่าตอบแทนการขายในอัตราคงที่!A:A,ค่าตอบแทนการขายในอัตราคงที่!B:B)</f>
        <v>0</v>
      </c>
      <c r="L37" s="174">
        <f>Period!$A$2</f>
        <v>46113</v>
      </c>
      <c r="M37" s="175">
        <f>Period!$C$2</f>
        <v>46143</v>
      </c>
      <c r="N37" s="194" t="s">
        <v>279</v>
      </c>
    </row>
    <row r="38" spans="1:14" ht="11.4" x14ac:dyDescent="0.25">
      <c r="A38" s="137"/>
      <c r="B38" s="169" t="e">
        <f>IF(IF(VLOOKUP(A38,ASTBase!F:P,11,FALSE)="","",VLOOKUP(A38,ASTBase!F:P,11,FALSE))=0,"",IF(VLOOKUP(A38,ASTBase!F:P,11,FALSE)="","",VLOOKUP(A38,ASTBase!F:P,11,FALSE)))</f>
        <v>#N/A</v>
      </c>
      <c r="C38" s="140" t="str">
        <f>IF(IFERROR(_xlfn.IFNA(VLOOKUP($A38,'HR Rep'!$A:$X,MATCH('1) For HR (FIX)'!C$1,'HR Rep'!$A$1:$X$1,0),0),""),"")="","",IFERROR(_xlfn.IFNA(VLOOKUP($A38,'HR Rep'!$A:$X,MATCH('1) For HR (FIX)'!C$1,'HR Rep'!$A$1:$X$1,0),0),""),""))</f>
        <v/>
      </c>
      <c r="D38" s="140" t="str">
        <f>IF(IFERROR(_xlfn.IFNA(VLOOKUP($A38,'HR Rep'!$A:$X,MATCH('1) For HR (FIX)'!D$1,'HR Rep'!$A$1:$X$1,0),0),""),"")="","",IFERROR(_xlfn.IFNA(VLOOKUP($A38,'HR Rep'!$A:$X,MATCH('1) For HR (FIX)'!D$1,'HR Rep'!$A$1:$X$1,0),0),""),""))</f>
        <v/>
      </c>
      <c r="E38" s="140" t="str">
        <f>IF(IFERROR(_xlfn.IFNA(VLOOKUP($A38,'HR Rep'!$A:$X,MATCH('1) For HR (FIX)'!E$1,'HR Rep'!$A$1:$X$1,0),0),""),"")="","",IFERROR(_xlfn.IFNA(VLOOKUP($A38,'HR Rep'!$A:$X,MATCH('1) For HR (FIX)'!E$1,'HR Rep'!$A$1:$X$1,0),0),""),""))</f>
        <v/>
      </c>
      <c r="F38" s="140" t="str">
        <f>IF(IFERROR(_xlfn.IFNA(VLOOKUP($A38,'HR Rep'!$A:$X,MATCH('1) For HR (FIX)'!F$1,'HR Rep'!$A$1:$X$1,0),0),""),"")="","",IFERROR(_xlfn.IFNA(VLOOKUP($A38,'HR Rep'!$A:$X,MATCH('1) For HR (FIX)'!F$1,'HR Rep'!$A$1:$X$1,0),0),""),""))</f>
        <v/>
      </c>
      <c r="G38" s="196"/>
      <c r="H38" s="140" t="str">
        <f>IF(IFERROR(_xlfn.IFNA(VLOOKUP($A38,'HR Rep'!$A:$X,MATCH('1) For HR (FIX)'!H$1,'HR Rep'!$A$1:$X$1,0),0),""),"")="","",IFERROR(_xlfn.IFNA(VLOOKUP($A38,'HR Rep'!$A:$X,MATCH('1) For HR (FIX)'!H$1,'HR Rep'!$A$1:$X$1,0),0),""),""))</f>
        <v/>
      </c>
      <c r="I38" s="140" t="str">
        <f>IF(IFERROR(_xlfn.IFNA(VLOOKUP($A38,'HR Rep'!$A:$X,MATCH('1) For HR (FIX)'!I$1,'HR Rep'!$A$1:$X$1,0),0),""),"")="","",IFERROR(_xlfn.IFNA(VLOOKUP($A38,'HR Rep'!$A:$X,MATCH('1) For HR (FIX)'!I$1,'HR Rep'!$A$1:$X$1,0),0),""),""))</f>
        <v/>
      </c>
      <c r="J38" s="140" t="str">
        <f>IF(IFERROR(_xlfn.IFNA(VLOOKUP($A38,'HR Rep'!$A:$X,MATCH('1) For HR (FIX)'!J$1,'HR Rep'!$A$1:$X$1,0),0),""),"")="","",IFERROR(_xlfn.IFNA(VLOOKUP($A38,'HR Rep'!$A:$X,MATCH('1) For HR (FIX)'!J$1,'HR Rep'!$A$1:$X$1,0),0),""),""))</f>
        <v/>
      </c>
      <c r="K38" s="161">
        <f>_xlfn.XLOOKUP(G38,ค่าตอบแทนการขายในอัตราคงที่!A:A,ค่าตอบแทนการขายในอัตราคงที่!B:B)</f>
        <v>0</v>
      </c>
      <c r="L38" s="174">
        <f>Period!$A$2</f>
        <v>46113</v>
      </c>
      <c r="M38" s="175">
        <f>Period!$C$2</f>
        <v>46143</v>
      </c>
      <c r="N38" s="194" t="s">
        <v>279</v>
      </c>
    </row>
    <row r="39" spans="1:14" ht="11.4" x14ac:dyDescent="0.25">
      <c r="A39" s="137"/>
      <c r="B39" s="169" t="e">
        <f>IF(IF(VLOOKUP(A39,ASTBase!F:P,11,FALSE)="","",VLOOKUP(A39,ASTBase!F:P,11,FALSE))=0,"",IF(VLOOKUP(A39,ASTBase!F:P,11,FALSE)="","",VLOOKUP(A39,ASTBase!F:P,11,FALSE)))</f>
        <v>#N/A</v>
      </c>
      <c r="C39" s="140" t="str">
        <f>IF(IFERROR(_xlfn.IFNA(VLOOKUP($A39,'HR Rep'!$A:$X,MATCH('1) For HR (FIX)'!C$1,'HR Rep'!$A$1:$X$1,0),0),""),"")="","",IFERROR(_xlfn.IFNA(VLOOKUP($A39,'HR Rep'!$A:$X,MATCH('1) For HR (FIX)'!C$1,'HR Rep'!$A$1:$X$1,0),0),""),""))</f>
        <v/>
      </c>
      <c r="D39" s="140" t="str">
        <f>IF(IFERROR(_xlfn.IFNA(VLOOKUP($A39,'HR Rep'!$A:$X,MATCH('1) For HR (FIX)'!D$1,'HR Rep'!$A$1:$X$1,0),0),""),"")="","",IFERROR(_xlfn.IFNA(VLOOKUP($A39,'HR Rep'!$A:$X,MATCH('1) For HR (FIX)'!D$1,'HR Rep'!$A$1:$X$1,0),0),""),""))</f>
        <v/>
      </c>
      <c r="E39" s="140" t="str">
        <f>IF(IFERROR(_xlfn.IFNA(VLOOKUP($A39,'HR Rep'!$A:$X,MATCH('1) For HR (FIX)'!E$1,'HR Rep'!$A$1:$X$1,0),0),""),"")="","",IFERROR(_xlfn.IFNA(VLOOKUP($A39,'HR Rep'!$A:$X,MATCH('1) For HR (FIX)'!E$1,'HR Rep'!$A$1:$X$1,0),0),""),""))</f>
        <v/>
      </c>
      <c r="F39" s="140" t="str">
        <f>IF(IFERROR(_xlfn.IFNA(VLOOKUP($A39,'HR Rep'!$A:$X,MATCH('1) For HR (FIX)'!F$1,'HR Rep'!$A$1:$X$1,0),0),""),"")="","",IFERROR(_xlfn.IFNA(VLOOKUP($A39,'HR Rep'!$A:$X,MATCH('1) For HR (FIX)'!F$1,'HR Rep'!$A$1:$X$1,0),0),""),""))</f>
        <v/>
      </c>
      <c r="G39" s="196"/>
      <c r="H39" s="140" t="str">
        <f>IF(IFERROR(_xlfn.IFNA(VLOOKUP($A39,'HR Rep'!$A:$X,MATCH('1) For HR (FIX)'!H$1,'HR Rep'!$A$1:$X$1,0),0),""),"")="","",IFERROR(_xlfn.IFNA(VLOOKUP($A39,'HR Rep'!$A:$X,MATCH('1) For HR (FIX)'!H$1,'HR Rep'!$A$1:$X$1,0),0),""),""))</f>
        <v/>
      </c>
      <c r="I39" s="140" t="str">
        <f>IF(IFERROR(_xlfn.IFNA(VLOOKUP($A39,'HR Rep'!$A:$X,MATCH('1) For HR (FIX)'!I$1,'HR Rep'!$A$1:$X$1,0),0),""),"")="","",IFERROR(_xlfn.IFNA(VLOOKUP($A39,'HR Rep'!$A:$X,MATCH('1) For HR (FIX)'!I$1,'HR Rep'!$A$1:$X$1,0),0),""),""))</f>
        <v/>
      </c>
      <c r="J39" s="140" t="str">
        <f>IF(IFERROR(_xlfn.IFNA(VLOOKUP($A39,'HR Rep'!$A:$X,MATCH('1) For HR (FIX)'!J$1,'HR Rep'!$A$1:$X$1,0),0),""),"")="","",IFERROR(_xlfn.IFNA(VLOOKUP($A39,'HR Rep'!$A:$X,MATCH('1) For HR (FIX)'!J$1,'HR Rep'!$A$1:$X$1,0),0),""),""))</f>
        <v/>
      </c>
      <c r="K39" s="161">
        <f>_xlfn.XLOOKUP(G39,ค่าตอบแทนการขายในอัตราคงที่!A:A,ค่าตอบแทนการขายในอัตราคงที่!B:B)</f>
        <v>0</v>
      </c>
      <c r="L39" s="174">
        <f>Period!$A$2</f>
        <v>46113</v>
      </c>
      <c r="M39" s="175">
        <f>Period!$C$2</f>
        <v>46143</v>
      </c>
      <c r="N39" s="194" t="s">
        <v>279</v>
      </c>
    </row>
    <row r="40" spans="1:14" ht="11.4" x14ac:dyDescent="0.25">
      <c r="A40" s="137"/>
      <c r="B40" s="169" t="e">
        <f>IF(IF(VLOOKUP(A40,ASTBase!F:P,11,FALSE)="","",VLOOKUP(A40,ASTBase!F:P,11,FALSE))=0,"",IF(VLOOKUP(A40,ASTBase!F:P,11,FALSE)="","",VLOOKUP(A40,ASTBase!F:P,11,FALSE)))</f>
        <v>#N/A</v>
      </c>
      <c r="C40" s="140" t="str">
        <f>IF(IFERROR(_xlfn.IFNA(VLOOKUP($A40,'HR Rep'!$A:$X,MATCH('1) For HR (FIX)'!C$1,'HR Rep'!$A$1:$X$1,0),0),""),"")="","",IFERROR(_xlfn.IFNA(VLOOKUP($A40,'HR Rep'!$A:$X,MATCH('1) For HR (FIX)'!C$1,'HR Rep'!$A$1:$X$1,0),0),""),""))</f>
        <v/>
      </c>
      <c r="D40" s="140" t="str">
        <f>IF(IFERROR(_xlfn.IFNA(VLOOKUP($A40,'HR Rep'!$A:$X,MATCH('1) For HR (FIX)'!D$1,'HR Rep'!$A$1:$X$1,0),0),""),"")="","",IFERROR(_xlfn.IFNA(VLOOKUP($A40,'HR Rep'!$A:$X,MATCH('1) For HR (FIX)'!D$1,'HR Rep'!$A$1:$X$1,0),0),""),""))</f>
        <v/>
      </c>
      <c r="E40" s="140" t="str">
        <f>IF(IFERROR(_xlfn.IFNA(VLOOKUP($A40,'HR Rep'!$A:$X,MATCH('1) For HR (FIX)'!E$1,'HR Rep'!$A$1:$X$1,0),0),""),"")="","",IFERROR(_xlfn.IFNA(VLOOKUP($A40,'HR Rep'!$A:$X,MATCH('1) For HR (FIX)'!E$1,'HR Rep'!$A$1:$X$1,0),0),""),""))</f>
        <v/>
      </c>
      <c r="F40" s="140" t="str">
        <f>IF(IFERROR(_xlfn.IFNA(VLOOKUP($A40,'HR Rep'!$A:$X,MATCH('1) For HR (FIX)'!F$1,'HR Rep'!$A$1:$X$1,0),0),""),"")="","",IFERROR(_xlfn.IFNA(VLOOKUP($A40,'HR Rep'!$A:$X,MATCH('1) For HR (FIX)'!F$1,'HR Rep'!$A$1:$X$1,0),0),""),""))</f>
        <v/>
      </c>
      <c r="G40" s="196"/>
      <c r="H40" s="140" t="str">
        <f>IF(IFERROR(_xlfn.IFNA(VLOOKUP($A40,'HR Rep'!$A:$X,MATCH('1) For HR (FIX)'!H$1,'HR Rep'!$A$1:$X$1,0),0),""),"")="","",IFERROR(_xlfn.IFNA(VLOOKUP($A40,'HR Rep'!$A:$X,MATCH('1) For HR (FIX)'!H$1,'HR Rep'!$A$1:$X$1,0),0),""),""))</f>
        <v/>
      </c>
      <c r="I40" s="140" t="str">
        <f>IF(IFERROR(_xlfn.IFNA(VLOOKUP($A40,'HR Rep'!$A:$X,MATCH('1) For HR (FIX)'!I$1,'HR Rep'!$A$1:$X$1,0),0),""),"")="","",IFERROR(_xlfn.IFNA(VLOOKUP($A40,'HR Rep'!$A:$X,MATCH('1) For HR (FIX)'!I$1,'HR Rep'!$A$1:$X$1,0),0),""),""))</f>
        <v/>
      </c>
      <c r="J40" s="140" t="str">
        <f>IF(IFERROR(_xlfn.IFNA(VLOOKUP($A40,'HR Rep'!$A:$X,MATCH('1) For HR (FIX)'!J$1,'HR Rep'!$A$1:$X$1,0),0),""),"")="","",IFERROR(_xlfn.IFNA(VLOOKUP($A40,'HR Rep'!$A:$X,MATCH('1) For HR (FIX)'!J$1,'HR Rep'!$A$1:$X$1,0),0),""),""))</f>
        <v/>
      </c>
      <c r="K40" s="161">
        <f>_xlfn.XLOOKUP(G40,ค่าตอบแทนการขายในอัตราคงที่!A:A,ค่าตอบแทนการขายในอัตราคงที่!B:B)</f>
        <v>0</v>
      </c>
      <c r="L40" s="174">
        <f>Period!$A$2</f>
        <v>46113</v>
      </c>
      <c r="M40" s="175">
        <f>Period!$C$2</f>
        <v>46143</v>
      </c>
      <c r="N40" s="194" t="s">
        <v>279</v>
      </c>
    </row>
    <row r="41" spans="1:14" ht="11.4" x14ac:dyDescent="0.25">
      <c r="A41" s="137"/>
      <c r="B41" s="169" t="e">
        <f>IF(IF(VLOOKUP(A41,ASTBase!F:P,11,FALSE)="","",VLOOKUP(A41,ASTBase!F:P,11,FALSE))=0,"",IF(VLOOKUP(A41,ASTBase!F:P,11,FALSE)="","",VLOOKUP(A41,ASTBase!F:P,11,FALSE)))</f>
        <v>#N/A</v>
      </c>
      <c r="C41" s="140" t="str">
        <f>IF(IFERROR(_xlfn.IFNA(VLOOKUP($A41,'HR Rep'!$A:$X,MATCH('1) For HR (FIX)'!C$1,'HR Rep'!$A$1:$X$1,0),0),""),"")="","",IFERROR(_xlfn.IFNA(VLOOKUP($A41,'HR Rep'!$A:$X,MATCH('1) For HR (FIX)'!C$1,'HR Rep'!$A$1:$X$1,0),0),""),""))</f>
        <v/>
      </c>
      <c r="D41" s="140" t="str">
        <f>IF(IFERROR(_xlfn.IFNA(VLOOKUP($A41,'HR Rep'!$A:$X,MATCH('1) For HR (FIX)'!D$1,'HR Rep'!$A$1:$X$1,0),0),""),"")="","",IFERROR(_xlfn.IFNA(VLOOKUP($A41,'HR Rep'!$A:$X,MATCH('1) For HR (FIX)'!D$1,'HR Rep'!$A$1:$X$1,0),0),""),""))</f>
        <v/>
      </c>
      <c r="E41" s="140" t="str">
        <f>IF(IFERROR(_xlfn.IFNA(VLOOKUP($A41,'HR Rep'!$A:$X,MATCH('1) For HR (FIX)'!E$1,'HR Rep'!$A$1:$X$1,0),0),""),"")="","",IFERROR(_xlfn.IFNA(VLOOKUP($A41,'HR Rep'!$A:$X,MATCH('1) For HR (FIX)'!E$1,'HR Rep'!$A$1:$X$1,0),0),""),""))</f>
        <v/>
      </c>
      <c r="F41" s="140" t="str">
        <f>IF(IFERROR(_xlfn.IFNA(VLOOKUP($A41,'HR Rep'!$A:$X,MATCH('1) For HR (FIX)'!F$1,'HR Rep'!$A$1:$X$1,0),0),""),"")="","",IFERROR(_xlfn.IFNA(VLOOKUP($A41,'HR Rep'!$A:$X,MATCH('1) For HR (FIX)'!F$1,'HR Rep'!$A$1:$X$1,0),0),""),""))</f>
        <v/>
      </c>
      <c r="G41" s="196"/>
      <c r="H41" s="140" t="str">
        <f>IF(IFERROR(_xlfn.IFNA(VLOOKUP($A41,'HR Rep'!$A:$X,MATCH('1) For HR (FIX)'!H$1,'HR Rep'!$A$1:$X$1,0),0),""),"")="","",IFERROR(_xlfn.IFNA(VLOOKUP($A41,'HR Rep'!$A:$X,MATCH('1) For HR (FIX)'!H$1,'HR Rep'!$A$1:$X$1,0),0),""),""))</f>
        <v/>
      </c>
      <c r="I41" s="140" t="str">
        <f>IF(IFERROR(_xlfn.IFNA(VLOOKUP($A41,'HR Rep'!$A:$X,MATCH('1) For HR (FIX)'!I$1,'HR Rep'!$A$1:$X$1,0),0),""),"")="","",IFERROR(_xlfn.IFNA(VLOOKUP($A41,'HR Rep'!$A:$X,MATCH('1) For HR (FIX)'!I$1,'HR Rep'!$A$1:$X$1,0),0),""),""))</f>
        <v/>
      </c>
      <c r="J41" s="140" t="str">
        <f>IF(IFERROR(_xlfn.IFNA(VLOOKUP($A41,'HR Rep'!$A:$X,MATCH('1) For HR (FIX)'!J$1,'HR Rep'!$A$1:$X$1,0),0),""),"")="","",IFERROR(_xlfn.IFNA(VLOOKUP($A41,'HR Rep'!$A:$X,MATCH('1) For HR (FIX)'!J$1,'HR Rep'!$A$1:$X$1,0),0),""),""))</f>
        <v/>
      </c>
      <c r="K41" s="161">
        <f>_xlfn.XLOOKUP(G41,ค่าตอบแทนการขายในอัตราคงที่!A:A,ค่าตอบแทนการขายในอัตราคงที่!B:B)</f>
        <v>0</v>
      </c>
      <c r="L41" s="174">
        <f>Period!$A$2</f>
        <v>46113</v>
      </c>
      <c r="M41" s="175">
        <f>Period!$C$2</f>
        <v>46143</v>
      </c>
      <c r="N41" s="194" t="s">
        <v>279</v>
      </c>
    </row>
    <row r="42" spans="1:14" ht="11.4" x14ac:dyDescent="0.25">
      <c r="A42" s="137"/>
      <c r="B42" s="169" t="e">
        <f>IF(IF(VLOOKUP(A42,ASTBase!F:P,11,FALSE)="","",VLOOKUP(A42,ASTBase!F:P,11,FALSE))=0,"",IF(VLOOKUP(A42,ASTBase!F:P,11,FALSE)="","",VLOOKUP(A42,ASTBase!F:P,11,FALSE)))</f>
        <v>#N/A</v>
      </c>
      <c r="C42" s="140" t="str">
        <f>IF(IFERROR(_xlfn.IFNA(VLOOKUP($A42,'HR Rep'!$A:$X,MATCH('1) For HR (FIX)'!C$1,'HR Rep'!$A$1:$X$1,0),0),""),"")="","",IFERROR(_xlfn.IFNA(VLOOKUP($A42,'HR Rep'!$A:$X,MATCH('1) For HR (FIX)'!C$1,'HR Rep'!$A$1:$X$1,0),0),""),""))</f>
        <v/>
      </c>
      <c r="D42" s="140" t="str">
        <f>IF(IFERROR(_xlfn.IFNA(VLOOKUP($A42,'HR Rep'!$A:$X,MATCH('1) For HR (FIX)'!D$1,'HR Rep'!$A$1:$X$1,0),0),""),"")="","",IFERROR(_xlfn.IFNA(VLOOKUP($A42,'HR Rep'!$A:$X,MATCH('1) For HR (FIX)'!D$1,'HR Rep'!$A$1:$X$1,0),0),""),""))</f>
        <v/>
      </c>
      <c r="E42" s="140" t="str">
        <f>IF(IFERROR(_xlfn.IFNA(VLOOKUP($A42,'HR Rep'!$A:$X,MATCH('1) For HR (FIX)'!E$1,'HR Rep'!$A$1:$X$1,0),0),""),"")="","",IFERROR(_xlfn.IFNA(VLOOKUP($A42,'HR Rep'!$A:$X,MATCH('1) For HR (FIX)'!E$1,'HR Rep'!$A$1:$X$1,0),0),""),""))</f>
        <v/>
      </c>
      <c r="F42" s="140" t="str">
        <f>IF(IFERROR(_xlfn.IFNA(VLOOKUP($A42,'HR Rep'!$A:$X,MATCH('1) For HR (FIX)'!F$1,'HR Rep'!$A$1:$X$1,0),0),""),"")="","",IFERROR(_xlfn.IFNA(VLOOKUP($A42,'HR Rep'!$A:$X,MATCH('1) For HR (FIX)'!F$1,'HR Rep'!$A$1:$X$1,0),0),""),""))</f>
        <v/>
      </c>
      <c r="G42" s="196"/>
      <c r="H42" s="140" t="str">
        <f>IF(IFERROR(_xlfn.IFNA(VLOOKUP($A42,'HR Rep'!$A:$X,MATCH('1) For HR (FIX)'!H$1,'HR Rep'!$A$1:$X$1,0),0),""),"")="","",IFERROR(_xlfn.IFNA(VLOOKUP($A42,'HR Rep'!$A:$X,MATCH('1) For HR (FIX)'!H$1,'HR Rep'!$A$1:$X$1,0),0),""),""))</f>
        <v/>
      </c>
      <c r="I42" s="140" t="str">
        <f>IF(IFERROR(_xlfn.IFNA(VLOOKUP($A42,'HR Rep'!$A:$X,MATCH('1) For HR (FIX)'!I$1,'HR Rep'!$A$1:$X$1,0),0),""),"")="","",IFERROR(_xlfn.IFNA(VLOOKUP($A42,'HR Rep'!$A:$X,MATCH('1) For HR (FIX)'!I$1,'HR Rep'!$A$1:$X$1,0),0),""),""))</f>
        <v/>
      </c>
      <c r="J42" s="140" t="str">
        <f>IF(IFERROR(_xlfn.IFNA(VLOOKUP($A42,'HR Rep'!$A:$X,MATCH('1) For HR (FIX)'!J$1,'HR Rep'!$A$1:$X$1,0),0),""),"")="","",IFERROR(_xlfn.IFNA(VLOOKUP($A42,'HR Rep'!$A:$X,MATCH('1) For HR (FIX)'!J$1,'HR Rep'!$A$1:$X$1,0),0),""),""))</f>
        <v/>
      </c>
      <c r="K42" s="161">
        <f>_xlfn.XLOOKUP(G42,ค่าตอบแทนการขายในอัตราคงที่!A:A,ค่าตอบแทนการขายในอัตราคงที่!B:B)</f>
        <v>0</v>
      </c>
      <c r="L42" s="174">
        <f>Period!$A$2</f>
        <v>46113</v>
      </c>
      <c r="M42" s="175">
        <f>Period!$C$2</f>
        <v>46143</v>
      </c>
      <c r="N42" s="194" t="s">
        <v>279</v>
      </c>
    </row>
    <row r="43" spans="1:14" ht="11.4" x14ac:dyDescent="0.25">
      <c r="A43" s="137"/>
      <c r="B43" s="169" t="e">
        <f>IF(IF(VLOOKUP(A43,ASTBase!F:P,11,FALSE)="","",VLOOKUP(A43,ASTBase!F:P,11,FALSE))=0,"",IF(VLOOKUP(A43,ASTBase!F:P,11,FALSE)="","",VLOOKUP(A43,ASTBase!F:P,11,FALSE)))</f>
        <v>#N/A</v>
      </c>
      <c r="C43" s="140" t="str">
        <f>IF(IFERROR(_xlfn.IFNA(VLOOKUP($A43,'HR Rep'!$A:$X,MATCH('1) For HR (FIX)'!C$1,'HR Rep'!$A$1:$X$1,0),0),""),"")="","",IFERROR(_xlfn.IFNA(VLOOKUP($A43,'HR Rep'!$A:$X,MATCH('1) For HR (FIX)'!C$1,'HR Rep'!$A$1:$X$1,0),0),""),""))</f>
        <v/>
      </c>
      <c r="D43" s="140" t="str">
        <f>IF(IFERROR(_xlfn.IFNA(VLOOKUP($A43,'HR Rep'!$A:$X,MATCH('1) For HR (FIX)'!D$1,'HR Rep'!$A$1:$X$1,0),0),""),"")="","",IFERROR(_xlfn.IFNA(VLOOKUP($A43,'HR Rep'!$A:$X,MATCH('1) For HR (FIX)'!D$1,'HR Rep'!$A$1:$X$1,0),0),""),""))</f>
        <v/>
      </c>
      <c r="E43" s="140" t="str">
        <f>IF(IFERROR(_xlfn.IFNA(VLOOKUP($A43,'HR Rep'!$A:$X,MATCH('1) For HR (FIX)'!E$1,'HR Rep'!$A$1:$X$1,0),0),""),"")="","",IFERROR(_xlfn.IFNA(VLOOKUP($A43,'HR Rep'!$A:$X,MATCH('1) For HR (FIX)'!E$1,'HR Rep'!$A$1:$X$1,0),0),""),""))</f>
        <v/>
      </c>
      <c r="F43" s="140" t="str">
        <f>IF(IFERROR(_xlfn.IFNA(VLOOKUP($A43,'HR Rep'!$A:$X,MATCH('1) For HR (FIX)'!F$1,'HR Rep'!$A$1:$X$1,0),0),""),"")="","",IFERROR(_xlfn.IFNA(VLOOKUP($A43,'HR Rep'!$A:$X,MATCH('1) For HR (FIX)'!F$1,'HR Rep'!$A$1:$X$1,0),0),""),""))</f>
        <v/>
      </c>
      <c r="G43" s="196"/>
      <c r="H43" s="140" t="str">
        <f>IF(IFERROR(_xlfn.IFNA(VLOOKUP($A43,'HR Rep'!$A:$X,MATCH('1) For HR (FIX)'!H$1,'HR Rep'!$A$1:$X$1,0),0),""),"")="","",IFERROR(_xlfn.IFNA(VLOOKUP($A43,'HR Rep'!$A:$X,MATCH('1) For HR (FIX)'!H$1,'HR Rep'!$A$1:$X$1,0),0),""),""))</f>
        <v/>
      </c>
      <c r="I43" s="140" t="str">
        <f>IF(IFERROR(_xlfn.IFNA(VLOOKUP($A43,'HR Rep'!$A:$X,MATCH('1) For HR (FIX)'!I$1,'HR Rep'!$A$1:$X$1,0),0),""),"")="","",IFERROR(_xlfn.IFNA(VLOOKUP($A43,'HR Rep'!$A:$X,MATCH('1) For HR (FIX)'!I$1,'HR Rep'!$A$1:$X$1,0),0),""),""))</f>
        <v/>
      </c>
      <c r="J43" s="140" t="str">
        <f>IF(IFERROR(_xlfn.IFNA(VLOOKUP($A43,'HR Rep'!$A:$X,MATCH('1) For HR (FIX)'!J$1,'HR Rep'!$A$1:$X$1,0),0),""),"")="","",IFERROR(_xlfn.IFNA(VLOOKUP($A43,'HR Rep'!$A:$X,MATCH('1) For HR (FIX)'!J$1,'HR Rep'!$A$1:$X$1,0),0),""),""))</f>
        <v/>
      </c>
      <c r="K43" s="161">
        <f>_xlfn.XLOOKUP(G43,ค่าตอบแทนการขายในอัตราคงที่!A:A,ค่าตอบแทนการขายในอัตราคงที่!B:B)</f>
        <v>0</v>
      </c>
      <c r="L43" s="174">
        <f>Period!$A$2</f>
        <v>46113</v>
      </c>
      <c r="M43" s="175">
        <f>Period!$C$2</f>
        <v>46143</v>
      </c>
      <c r="N43" s="194" t="s">
        <v>279</v>
      </c>
    </row>
    <row r="44" spans="1:14" ht="11.4" x14ac:dyDescent="0.25">
      <c r="A44" s="137"/>
      <c r="B44" s="169" t="e">
        <f>IF(IF(VLOOKUP(A44,ASTBase!F:P,11,FALSE)="","",VLOOKUP(A44,ASTBase!F:P,11,FALSE))=0,"",IF(VLOOKUP(A44,ASTBase!F:P,11,FALSE)="","",VLOOKUP(A44,ASTBase!F:P,11,FALSE)))</f>
        <v>#N/A</v>
      </c>
      <c r="C44" s="140" t="str">
        <f>IF(IFERROR(_xlfn.IFNA(VLOOKUP($A44,'HR Rep'!$A:$X,MATCH('1) For HR (FIX)'!C$1,'HR Rep'!$A$1:$X$1,0),0),""),"")="","",IFERROR(_xlfn.IFNA(VLOOKUP($A44,'HR Rep'!$A:$X,MATCH('1) For HR (FIX)'!C$1,'HR Rep'!$A$1:$X$1,0),0),""),""))</f>
        <v/>
      </c>
      <c r="D44" s="140" t="str">
        <f>IF(IFERROR(_xlfn.IFNA(VLOOKUP($A44,'HR Rep'!$A:$X,MATCH('1) For HR (FIX)'!D$1,'HR Rep'!$A$1:$X$1,0),0),""),"")="","",IFERROR(_xlfn.IFNA(VLOOKUP($A44,'HR Rep'!$A:$X,MATCH('1) For HR (FIX)'!D$1,'HR Rep'!$A$1:$X$1,0),0),""),""))</f>
        <v/>
      </c>
      <c r="E44" s="140" t="str">
        <f>IF(IFERROR(_xlfn.IFNA(VLOOKUP($A44,'HR Rep'!$A:$X,MATCH('1) For HR (FIX)'!E$1,'HR Rep'!$A$1:$X$1,0),0),""),"")="","",IFERROR(_xlfn.IFNA(VLOOKUP($A44,'HR Rep'!$A:$X,MATCH('1) For HR (FIX)'!E$1,'HR Rep'!$A$1:$X$1,0),0),""),""))</f>
        <v/>
      </c>
      <c r="F44" s="140" t="str">
        <f>IF(IFERROR(_xlfn.IFNA(VLOOKUP($A44,'HR Rep'!$A:$X,MATCH('1) For HR (FIX)'!F$1,'HR Rep'!$A$1:$X$1,0),0),""),"")="","",IFERROR(_xlfn.IFNA(VLOOKUP($A44,'HR Rep'!$A:$X,MATCH('1) For HR (FIX)'!F$1,'HR Rep'!$A$1:$X$1,0),0),""),""))</f>
        <v/>
      </c>
      <c r="G44" s="196"/>
      <c r="H44" s="140" t="str">
        <f>IF(IFERROR(_xlfn.IFNA(VLOOKUP($A44,'HR Rep'!$A:$X,MATCH('1) For HR (FIX)'!H$1,'HR Rep'!$A$1:$X$1,0),0),""),"")="","",IFERROR(_xlfn.IFNA(VLOOKUP($A44,'HR Rep'!$A:$X,MATCH('1) For HR (FIX)'!H$1,'HR Rep'!$A$1:$X$1,0),0),""),""))</f>
        <v/>
      </c>
      <c r="I44" s="140" t="str">
        <f>IF(IFERROR(_xlfn.IFNA(VLOOKUP($A44,'HR Rep'!$A:$X,MATCH('1) For HR (FIX)'!I$1,'HR Rep'!$A$1:$X$1,0),0),""),"")="","",IFERROR(_xlfn.IFNA(VLOOKUP($A44,'HR Rep'!$A:$X,MATCH('1) For HR (FIX)'!I$1,'HR Rep'!$A$1:$X$1,0),0),""),""))</f>
        <v/>
      </c>
      <c r="J44" s="140" t="str">
        <f>IF(IFERROR(_xlfn.IFNA(VLOOKUP($A44,'HR Rep'!$A:$X,MATCH('1) For HR (FIX)'!J$1,'HR Rep'!$A$1:$X$1,0),0),""),"")="","",IFERROR(_xlfn.IFNA(VLOOKUP($A44,'HR Rep'!$A:$X,MATCH('1) For HR (FIX)'!J$1,'HR Rep'!$A$1:$X$1,0),0),""),""))</f>
        <v/>
      </c>
      <c r="K44" s="161">
        <f>_xlfn.XLOOKUP(G44,ค่าตอบแทนการขายในอัตราคงที่!A:A,ค่าตอบแทนการขายในอัตราคงที่!B:B)</f>
        <v>0</v>
      </c>
      <c r="L44" s="174">
        <f>Period!$A$2</f>
        <v>46113</v>
      </c>
      <c r="M44" s="175">
        <f>Period!$C$2</f>
        <v>46143</v>
      </c>
      <c r="N44" s="194" t="s">
        <v>279</v>
      </c>
    </row>
    <row r="45" spans="1:14" ht="11.4" x14ac:dyDescent="0.25">
      <c r="A45" s="137"/>
      <c r="B45" s="169" t="e">
        <f>IF(IF(VLOOKUP(A45,ASTBase!F:P,11,FALSE)="","",VLOOKUP(A45,ASTBase!F:P,11,FALSE))=0,"",IF(VLOOKUP(A45,ASTBase!F:P,11,FALSE)="","",VLOOKUP(A45,ASTBase!F:P,11,FALSE)))</f>
        <v>#N/A</v>
      </c>
      <c r="C45" s="140" t="str">
        <f>IF(IFERROR(_xlfn.IFNA(VLOOKUP($A45,'HR Rep'!$A:$X,MATCH('1) For HR (FIX)'!C$1,'HR Rep'!$A$1:$X$1,0),0),""),"")="","",IFERROR(_xlfn.IFNA(VLOOKUP($A45,'HR Rep'!$A:$X,MATCH('1) For HR (FIX)'!C$1,'HR Rep'!$A$1:$X$1,0),0),""),""))</f>
        <v/>
      </c>
      <c r="D45" s="140" t="str">
        <f>IF(IFERROR(_xlfn.IFNA(VLOOKUP($A45,'HR Rep'!$A:$X,MATCH('1) For HR (FIX)'!D$1,'HR Rep'!$A$1:$X$1,0),0),""),"")="","",IFERROR(_xlfn.IFNA(VLOOKUP($A45,'HR Rep'!$A:$X,MATCH('1) For HR (FIX)'!D$1,'HR Rep'!$A$1:$X$1,0),0),""),""))</f>
        <v/>
      </c>
      <c r="E45" s="140" t="str">
        <f>IF(IFERROR(_xlfn.IFNA(VLOOKUP($A45,'HR Rep'!$A:$X,MATCH('1) For HR (FIX)'!E$1,'HR Rep'!$A$1:$X$1,0),0),""),"")="","",IFERROR(_xlfn.IFNA(VLOOKUP($A45,'HR Rep'!$A:$X,MATCH('1) For HR (FIX)'!E$1,'HR Rep'!$A$1:$X$1,0),0),""),""))</f>
        <v/>
      </c>
      <c r="F45" s="140" t="str">
        <f>IF(IFERROR(_xlfn.IFNA(VLOOKUP($A45,'HR Rep'!$A:$X,MATCH('1) For HR (FIX)'!F$1,'HR Rep'!$A$1:$X$1,0),0),""),"")="","",IFERROR(_xlfn.IFNA(VLOOKUP($A45,'HR Rep'!$A:$X,MATCH('1) For HR (FIX)'!F$1,'HR Rep'!$A$1:$X$1,0),0),""),""))</f>
        <v/>
      </c>
      <c r="G45" s="196"/>
      <c r="H45" s="140" t="str">
        <f>IF(IFERROR(_xlfn.IFNA(VLOOKUP($A45,'HR Rep'!$A:$X,MATCH('1) For HR (FIX)'!H$1,'HR Rep'!$A$1:$X$1,0),0),""),"")="","",IFERROR(_xlfn.IFNA(VLOOKUP($A45,'HR Rep'!$A:$X,MATCH('1) For HR (FIX)'!H$1,'HR Rep'!$A$1:$X$1,0),0),""),""))</f>
        <v/>
      </c>
      <c r="I45" s="140" t="str">
        <f>IF(IFERROR(_xlfn.IFNA(VLOOKUP($A45,'HR Rep'!$A:$X,MATCH('1) For HR (FIX)'!I$1,'HR Rep'!$A$1:$X$1,0),0),""),"")="","",IFERROR(_xlfn.IFNA(VLOOKUP($A45,'HR Rep'!$A:$X,MATCH('1) For HR (FIX)'!I$1,'HR Rep'!$A$1:$X$1,0),0),""),""))</f>
        <v/>
      </c>
      <c r="J45" s="140" t="str">
        <f>IF(IFERROR(_xlfn.IFNA(VLOOKUP($A45,'HR Rep'!$A:$X,MATCH('1) For HR (FIX)'!J$1,'HR Rep'!$A$1:$X$1,0),0),""),"")="","",IFERROR(_xlfn.IFNA(VLOOKUP($A45,'HR Rep'!$A:$X,MATCH('1) For HR (FIX)'!J$1,'HR Rep'!$A$1:$X$1,0),0),""),""))</f>
        <v/>
      </c>
      <c r="K45" s="161">
        <f>_xlfn.XLOOKUP(G45,ค่าตอบแทนการขายในอัตราคงที่!A:A,ค่าตอบแทนการขายในอัตราคงที่!B:B)</f>
        <v>0</v>
      </c>
      <c r="L45" s="174">
        <f>Period!$A$2</f>
        <v>46113</v>
      </c>
      <c r="M45" s="175">
        <f>Period!$C$2</f>
        <v>46143</v>
      </c>
      <c r="N45" s="194" t="s">
        <v>279</v>
      </c>
    </row>
    <row r="46" spans="1:14" ht="11.4" x14ac:dyDescent="0.25">
      <c r="A46" s="137"/>
      <c r="B46" s="169" t="e">
        <f>IF(IF(VLOOKUP(A46,ASTBase!F:P,11,FALSE)="","",VLOOKUP(A46,ASTBase!F:P,11,FALSE))=0,"",IF(VLOOKUP(A46,ASTBase!F:P,11,FALSE)="","",VLOOKUP(A46,ASTBase!F:P,11,FALSE)))</f>
        <v>#N/A</v>
      </c>
      <c r="C46" s="140" t="str">
        <f>IF(IFERROR(_xlfn.IFNA(VLOOKUP($A46,'HR Rep'!$A:$X,MATCH('1) For HR (FIX)'!C$1,'HR Rep'!$A$1:$X$1,0),0),""),"")="","",IFERROR(_xlfn.IFNA(VLOOKUP($A46,'HR Rep'!$A:$X,MATCH('1) For HR (FIX)'!C$1,'HR Rep'!$A$1:$X$1,0),0),""),""))</f>
        <v/>
      </c>
      <c r="D46" s="140" t="str">
        <f>IF(IFERROR(_xlfn.IFNA(VLOOKUP($A46,'HR Rep'!$A:$X,MATCH('1) For HR (FIX)'!D$1,'HR Rep'!$A$1:$X$1,0),0),""),"")="","",IFERROR(_xlfn.IFNA(VLOOKUP($A46,'HR Rep'!$A:$X,MATCH('1) For HR (FIX)'!D$1,'HR Rep'!$A$1:$X$1,0),0),""),""))</f>
        <v/>
      </c>
      <c r="E46" s="140" t="str">
        <f>IF(IFERROR(_xlfn.IFNA(VLOOKUP($A46,'HR Rep'!$A:$X,MATCH('1) For HR (FIX)'!E$1,'HR Rep'!$A$1:$X$1,0),0),""),"")="","",IFERROR(_xlfn.IFNA(VLOOKUP($A46,'HR Rep'!$A:$X,MATCH('1) For HR (FIX)'!E$1,'HR Rep'!$A$1:$X$1,0),0),""),""))</f>
        <v/>
      </c>
      <c r="F46" s="140" t="str">
        <f>IF(IFERROR(_xlfn.IFNA(VLOOKUP($A46,'HR Rep'!$A:$X,MATCH('1) For HR (FIX)'!F$1,'HR Rep'!$A$1:$X$1,0),0),""),"")="","",IFERROR(_xlfn.IFNA(VLOOKUP($A46,'HR Rep'!$A:$X,MATCH('1) For HR (FIX)'!F$1,'HR Rep'!$A$1:$X$1,0),0),""),""))</f>
        <v/>
      </c>
      <c r="G46" s="196"/>
      <c r="H46" s="140" t="str">
        <f>IF(IFERROR(_xlfn.IFNA(VLOOKUP($A46,'HR Rep'!$A:$X,MATCH('1) For HR (FIX)'!H$1,'HR Rep'!$A$1:$X$1,0),0),""),"")="","",IFERROR(_xlfn.IFNA(VLOOKUP($A46,'HR Rep'!$A:$X,MATCH('1) For HR (FIX)'!H$1,'HR Rep'!$A$1:$X$1,0),0),""),""))</f>
        <v/>
      </c>
      <c r="I46" s="140" t="str">
        <f>IF(IFERROR(_xlfn.IFNA(VLOOKUP($A46,'HR Rep'!$A:$X,MATCH('1) For HR (FIX)'!I$1,'HR Rep'!$A$1:$X$1,0),0),""),"")="","",IFERROR(_xlfn.IFNA(VLOOKUP($A46,'HR Rep'!$A:$X,MATCH('1) For HR (FIX)'!I$1,'HR Rep'!$A$1:$X$1,0),0),""),""))</f>
        <v/>
      </c>
      <c r="J46" s="140" t="str">
        <f>IF(IFERROR(_xlfn.IFNA(VLOOKUP($A46,'HR Rep'!$A:$X,MATCH('1) For HR (FIX)'!J$1,'HR Rep'!$A$1:$X$1,0),0),""),"")="","",IFERROR(_xlfn.IFNA(VLOOKUP($A46,'HR Rep'!$A:$X,MATCH('1) For HR (FIX)'!J$1,'HR Rep'!$A$1:$X$1,0),0),""),""))</f>
        <v/>
      </c>
      <c r="K46" s="161">
        <f>_xlfn.XLOOKUP(G46,ค่าตอบแทนการขายในอัตราคงที่!A:A,ค่าตอบแทนการขายในอัตราคงที่!B:B)</f>
        <v>0</v>
      </c>
      <c r="L46" s="174">
        <f>Period!$A$2</f>
        <v>46113</v>
      </c>
      <c r="M46" s="175">
        <f>Period!$C$2</f>
        <v>46143</v>
      </c>
      <c r="N46" s="194" t="s">
        <v>279</v>
      </c>
    </row>
    <row r="47" spans="1:14" ht="11.4" x14ac:dyDescent="0.25">
      <c r="A47" s="137"/>
      <c r="B47" s="169" t="e">
        <f>IF(IF(VLOOKUP(A47,ASTBase!F:P,11,FALSE)="","",VLOOKUP(A47,ASTBase!F:P,11,FALSE))=0,"",IF(VLOOKUP(A47,ASTBase!F:P,11,FALSE)="","",VLOOKUP(A47,ASTBase!F:P,11,FALSE)))</f>
        <v>#N/A</v>
      </c>
      <c r="C47" s="140" t="str">
        <f>IF(IFERROR(_xlfn.IFNA(VLOOKUP($A47,'HR Rep'!$A:$X,MATCH('1) For HR (FIX)'!C$1,'HR Rep'!$A$1:$X$1,0),0),""),"")="","",IFERROR(_xlfn.IFNA(VLOOKUP($A47,'HR Rep'!$A:$X,MATCH('1) For HR (FIX)'!C$1,'HR Rep'!$A$1:$X$1,0),0),""),""))</f>
        <v/>
      </c>
      <c r="D47" s="140" t="str">
        <f>IF(IFERROR(_xlfn.IFNA(VLOOKUP($A47,'HR Rep'!$A:$X,MATCH('1) For HR (FIX)'!D$1,'HR Rep'!$A$1:$X$1,0),0),""),"")="","",IFERROR(_xlfn.IFNA(VLOOKUP($A47,'HR Rep'!$A:$X,MATCH('1) For HR (FIX)'!D$1,'HR Rep'!$A$1:$X$1,0),0),""),""))</f>
        <v/>
      </c>
      <c r="E47" s="140" t="str">
        <f>IF(IFERROR(_xlfn.IFNA(VLOOKUP($A47,'HR Rep'!$A:$X,MATCH('1) For HR (FIX)'!E$1,'HR Rep'!$A$1:$X$1,0),0),""),"")="","",IFERROR(_xlfn.IFNA(VLOOKUP($A47,'HR Rep'!$A:$X,MATCH('1) For HR (FIX)'!E$1,'HR Rep'!$A$1:$X$1,0),0),""),""))</f>
        <v/>
      </c>
      <c r="F47" s="140" t="str">
        <f>IF(IFERROR(_xlfn.IFNA(VLOOKUP($A47,'HR Rep'!$A:$X,MATCH('1) For HR (FIX)'!F$1,'HR Rep'!$A$1:$X$1,0),0),""),"")="","",IFERROR(_xlfn.IFNA(VLOOKUP($A47,'HR Rep'!$A:$X,MATCH('1) For HR (FIX)'!F$1,'HR Rep'!$A$1:$X$1,0),0),""),""))</f>
        <v/>
      </c>
      <c r="G47" s="196"/>
      <c r="H47" s="140" t="str">
        <f>IF(IFERROR(_xlfn.IFNA(VLOOKUP($A47,'HR Rep'!$A:$X,MATCH('1) For HR (FIX)'!H$1,'HR Rep'!$A$1:$X$1,0),0),""),"")="","",IFERROR(_xlfn.IFNA(VLOOKUP($A47,'HR Rep'!$A:$X,MATCH('1) For HR (FIX)'!H$1,'HR Rep'!$A$1:$X$1,0),0),""),""))</f>
        <v/>
      </c>
      <c r="I47" s="140" t="str">
        <f>IF(IFERROR(_xlfn.IFNA(VLOOKUP($A47,'HR Rep'!$A:$X,MATCH('1) For HR (FIX)'!I$1,'HR Rep'!$A$1:$X$1,0),0),""),"")="","",IFERROR(_xlfn.IFNA(VLOOKUP($A47,'HR Rep'!$A:$X,MATCH('1) For HR (FIX)'!I$1,'HR Rep'!$A$1:$X$1,0),0),""),""))</f>
        <v/>
      </c>
      <c r="J47" s="140" t="str">
        <f>IF(IFERROR(_xlfn.IFNA(VLOOKUP($A47,'HR Rep'!$A:$X,MATCH('1) For HR (FIX)'!J$1,'HR Rep'!$A$1:$X$1,0),0),""),"")="","",IFERROR(_xlfn.IFNA(VLOOKUP($A47,'HR Rep'!$A:$X,MATCH('1) For HR (FIX)'!J$1,'HR Rep'!$A$1:$X$1,0),0),""),""))</f>
        <v/>
      </c>
      <c r="K47" s="161">
        <f>_xlfn.XLOOKUP(G47,ค่าตอบแทนการขายในอัตราคงที่!A:A,ค่าตอบแทนการขายในอัตราคงที่!B:B)</f>
        <v>0</v>
      </c>
      <c r="L47" s="174">
        <f>Period!$A$2</f>
        <v>46113</v>
      </c>
      <c r="M47" s="175">
        <f>Period!$C$2</f>
        <v>46143</v>
      </c>
      <c r="N47" s="194" t="s">
        <v>279</v>
      </c>
    </row>
    <row r="48" spans="1:14" ht="11.4" x14ac:dyDescent="0.25">
      <c r="A48" s="137"/>
      <c r="B48" s="169" t="e">
        <f>IF(IF(VLOOKUP(A48,ASTBase!F:P,11,FALSE)="","",VLOOKUP(A48,ASTBase!F:P,11,FALSE))=0,"",IF(VLOOKUP(A48,ASTBase!F:P,11,FALSE)="","",VLOOKUP(A48,ASTBase!F:P,11,FALSE)))</f>
        <v>#N/A</v>
      </c>
      <c r="C48" s="140" t="str">
        <f>IF(IFERROR(_xlfn.IFNA(VLOOKUP($A48,'HR Rep'!$A:$X,MATCH('1) For HR (FIX)'!C$1,'HR Rep'!$A$1:$X$1,0),0),""),"")="","",IFERROR(_xlfn.IFNA(VLOOKUP($A48,'HR Rep'!$A:$X,MATCH('1) For HR (FIX)'!C$1,'HR Rep'!$A$1:$X$1,0),0),""),""))</f>
        <v/>
      </c>
      <c r="D48" s="140" t="str">
        <f>IF(IFERROR(_xlfn.IFNA(VLOOKUP($A48,'HR Rep'!$A:$X,MATCH('1) For HR (FIX)'!D$1,'HR Rep'!$A$1:$X$1,0),0),""),"")="","",IFERROR(_xlfn.IFNA(VLOOKUP($A48,'HR Rep'!$A:$X,MATCH('1) For HR (FIX)'!D$1,'HR Rep'!$A$1:$X$1,0),0),""),""))</f>
        <v/>
      </c>
      <c r="E48" s="140" t="str">
        <f>IF(IFERROR(_xlfn.IFNA(VLOOKUP($A48,'HR Rep'!$A:$X,MATCH('1) For HR (FIX)'!E$1,'HR Rep'!$A$1:$X$1,0),0),""),"")="","",IFERROR(_xlfn.IFNA(VLOOKUP($A48,'HR Rep'!$A:$X,MATCH('1) For HR (FIX)'!E$1,'HR Rep'!$A$1:$X$1,0),0),""),""))</f>
        <v/>
      </c>
      <c r="F48" s="140" t="str">
        <f>IF(IFERROR(_xlfn.IFNA(VLOOKUP($A48,'HR Rep'!$A:$X,MATCH('1) For HR (FIX)'!F$1,'HR Rep'!$A$1:$X$1,0),0),""),"")="","",IFERROR(_xlfn.IFNA(VLOOKUP($A48,'HR Rep'!$A:$X,MATCH('1) For HR (FIX)'!F$1,'HR Rep'!$A$1:$X$1,0),0),""),""))</f>
        <v/>
      </c>
      <c r="G48" s="196"/>
      <c r="H48" s="140" t="str">
        <f>IF(IFERROR(_xlfn.IFNA(VLOOKUP($A48,'HR Rep'!$A:$X,MATCH('1) For HR (FIX)'!H$1,'HR Rep'!$A$1:$X$1,0),0),""),"")="","",IFERROR(_xlfn.IFNA(VLOOKUP($A48,'HR Rep'!$A:$X,MATCH('1) For HR (FIX)'!H$1,'HR Rep'!$A$1:$X$1,0),0),""),""))</f>
        <v/>
      </c>
      <c r="I48" s="140" t="str">
        <f>IF(IFERROR(_xlfn.IFNA(VLOOKUP($A48,'HR Rep'!$A:$X,MATCH('1) For HR (FIX)'!I$1,'HR Rep'!$A$1:$X$1,0),0),""),"")="","",IFERROR(_xlfn.IFNA(VLOOKUP($A48,'HR Rep'!$A:$X,MATCH('1) For HR (FIX)'!I$1,'HR Rep'!$A$1:$X$1,0),0),""),""))</f>
        <v/>
      </c>
      <c r="J48" s="140" t="str">
        <f>IF(IFERROR(_xlfn.IFNA(VLOOKUP($A48,'HR Rep'!$A:$X,MATCH('1) For HR (FIX)'!J$1,'HR Rep'!$A$1:$X$1,0),0),""),"")="","",IFERROR(_xlfn.IFNA(VLOOKUP($A48,'HR Rep'!$A:$X,MATCH('1) For HR (FIX)'!J$1,'HR Rep'!$A$1:$X$1,0),0),""),""))</f>
        <v/>
      </c>
      <c r="K48" s="161">
        <f>_xlfn.XLOOKUP(G48,ค่าตอบแทนการขายในอัตราคงที่!A:A,ค่าตอบแทนการขายในอัตราคงที่!B:B)</f>
        <v>0</v>
      </c>
      <c r="L48" s="174">
        <f>Period!$A$2</f>
        <v>46113</v>
      </c>
      <c r="M48" s="175">
        <f>Period!$C$2</f>
        <v>46143</v>
      </c>
      <c r="N48" s="194" t="s">
        <v>279</v>
      </c>
    </row>
    <row r="49" spans="1:14" ht="11.4" x14ac:dyDescent="0.25">
      <c r="A49" s="137"/>
      <c r="B49" s="169" t="e">
        <f>IF(IF(VLOOKUP(A49,ASTBase!F:P,11,FALSE)="","",VLOOKUP(A49,ASTBase!F:P,11,FALSE))=0,"",IF(VLOOKUP(A49,ASTBase!F:P,11,FALSE)="","",VLOOKUP(A49,ASTBase!F:P,11,FALSE)))</f>
        <v>#N/A</v>
      </c>
      <c r="C49" s="140" t="str">
        <f>IF(IFERROR(_xlfn.IFNA(VLOOKUP($A49,'HR Rep'!$A:$X,MATCH('1) For HR (FIX)'!C$1,'HR Rep'!$A$1:$X$1,0),0),""),"")="","",IFERROR(_xlfn.IFNA(VLOOKUP($A49,'HR Rep'!$A:$X,MATCH('1) For HR (FIX)'!C$1,'HR Rep'!$A$1:$X$1,0),0),""),""))</f>
        <v/>
      </c>
      <c r="D49" s="140" t="str">
        <f>IF(IFERROR(_xlfn.IFNA(VLOOKUP($A49,'HR Rep'!$A:$X,MATCH('1) For HR (FIX)'!D$1,'HR Rep'!$A$1:$X$1,0),0),""),"")="","",IFERROR(_xlfn.IFNA(VLOOKUP($A49,'HR Rep'!$A:$X,MATCH('1) For HR (FIX)'!D$1,'HR Rep'!$A$1:$X$1,0),0),""),""))</f>
        <v/>
      </c>
      <c r="E49" s="140" t="str">
        <f>IF(IFERROR(_xlfn.IFNA(VLOOKUP($A49,'HR Rep'!$A:$X,MATCH('1) For HR (FIX)'!E$1,'HR Rep'!$A$1:$X$1,0),0),""),"")="","",IFERROR(_xlfn.IFNA(VLOOKUP($A49,'HR Rep'!$A:$X,MATCH('1) For HR (FIX)'!E$1,'HR Rep'!$A$1:$X$1,0),0),""),""))</f>
        <v/>
      </c>
      <c r="F49" s="140" t="str">
        <f>IF(IFERROR(_xlfn.IFNA(VLOOKUP($A49,'HR Rep'!$A:$X,MATCH('1) For HR (FIX)'!F$1,'HR Rep'!$A$1:$X$1,0),0),""),"")="","",IFERROR(_xlfn.IFNA(VLOOKUP($A49,'HR Rep'!$A:$X,MATCH('1) For HR (FIX)'!F$1,'HR Rep'!$A$1:$X$1,0),0),""),""))</f>
        <v/>
      </c>
      <c r="G49" s="196"/>
      <c r="H49" s="140" t="str">
        <f>IF(IFERROR(_xlfn.IFNA(VLOOKUP($A49,'HR Rep'!$A:$X,MATCH('1) For HR (FIX)'!H$1,'HR Rep'!$A$1:$X$1,0),0),""),"")="","",IFERROR(_xlfn.IFNA(VLOOKUP($A49,'HR Rep'!$A:$X,MATCH('1) For HR (FIX)'!H$1,'HR Rep'!$A$1:$X$1,0),0),""),""))</f>
        <v/>
      </c>
      <c r="I49" s="140" t="str">
        <f>IF(IFERROR(_xlfn.IFNA(VLOOKUP($A49,'HR Rep'!$A:$X,MATCH('1) For HR (FIX)'!I$1,'HR Rep'!$A$1:$X$1,0),0),""),"")="","",IFERROR(_xlfn.IFNA(VLOOKUP($A49,'HR Rep'!$A:$X,MATCH('1) For HR (FIX)'!I$1,'HR Rep'!$A$1:$X$1,0),0),""),""))</f>
        <v/>
      </c>
      <c r="J49" s="140" t="str">
        <f>IF(IFERROR(_xlfn.IFNA(VLOOKUP($A49,'HR Rep'!$A:$X,MATCH('1) For HR (FIX)'!J$1,'HR Rep'!$A$1:$X$1,0),0),""),"")="","",IFERROR(_xlfn.IFNA(VLOOKUP($A49,'HR Rep'!$A:$X,MATCH('1) For HR (FIX)'!J$1,'HR Rep'!$A$1:$X$1,0),0),""),""))</f>
        <v/>
      </c>
      <c r="K49" s="161">
        <f>_xlfn.XLOOKUP(G49,ค่าตอบแทนการขายในอัตราคงที่!A:A,ค่าตอบแทนการขายในอัตราคงที่!B:B)</f>
        <v>0</v>
      </c>
      <c r="L49" s="174">
        <f>Period!$A$2</f>
        <v>46113</v>
      </c>
      <c r="M49" s="175">
        <f>Period!$C$2</f>
        <v>46143</v>
      </c>
      <c r="N49" s="194" t="s">
        <v>279</v>
      </c>
    </row>
    <row r="50" spans="1:14" ht="11.4" x14ac:dyDescent="0.25">
      <c r="A50" s="137"/>
      <c r="B50" s="169" t="e">
        <f>IF(IF(VLOOKUP(A50,ASTBase!F:P,11,FALSE)="","",VLOOKUP(A50,ASTBase!F:P,11,FALSE))=0,"",IF(VLOOKUP(A50,ASTBase!F:P,11,FALSE)="","",VLOOKUP(A50,ASTBase!F:P,11,FALSE)))</f>
        <v>#N/A</v>
      </c>
      <c r="C50" s="140" t="str">
        <f>IF(IFERROR(_xlfn.IFNA(VLOOKUP($A50,'HR Rep'!$A:$X,MATCH('1) For HR (FIX)'!C$1,'HR Rep'!$A$1:$X$1,0),0),""),"")="","",IFERROR(_xlfn.IFNA(VLOOKUP($A50,'HR Rep'!$A:$X,MATCH('1) For HR (FIX)'!C$1,'HR Rep'!$A$1:$X$1,0),0),""),""))</f>
        <v/>
      </c>
      <c r="D50" s="140" t="str">
        <f>IF(IFERROR(_xlfn.IFNA(VLOOKUP($A50,'HR Rep'!$A:$X,MATCH('1) For HR (FIX)'!D$1,'HR Rep'!$A$1:$X$1,0),0),""),"")="","",IFERROR(_xlfn.IFNA(VLOOKUP($A50,'HR Rep'!$A:$X,MATCH('1) For HR (FIX)'!D$1,'HR Rep'!$A$1:$X$1,0),0),""),""))</f>
        <v/>
      </c>
      <c r="E50" s="140" t="str">
        <f>IF(IFERROR(_xlfn.IFNA(VLOOKUP($A50,'HR Rep'!$A:$X,MATCH('1) For HR (FIX)'!E$1,'HR Rep'!$A$1:$X$1,0),0),""),"")="","",IFERROR(_xlfn.IFNA(VLOOKUP($A50,'HR Rep'!$A:$X,MATCH('1) For HR (FIX)'!E$1,'HR Rep'!$A$1:$X$1,0),0),""),""))</f>
        <v/>
      </c>
      <c r="F50" s="140" t="str">
        <f>IF(IFERROR(_xlfn.IFNA(VLOOKUP($A50,'HR Rep'!$A:$X,MATCH('1) For HR (FIX)'!F$1,'HR Rep'!$A$1:$X$1,0),0),""),"")="","",IFERROR(_xlfn.IFNA(VLOOKUP($A50,'HR Rep'!$A:$X,MATCH('1) For HR (FIX)'!F$1,'HR Rep'!$A$1:$X$1,0),0),""),""))</f>
        <v/>
      </c>
      <c r="G50" s="196"/>
      <c r="H50" s="140" t="str">
        <f>IF(IFERROR(_xlfn.IFNA(VLOOKUP($A50,'HR Rep'!$A:$X,MATCH('1) For HR (FIX)'!H$1,'HR Rep'!$A$1:$X$1,0),0),""),"")="","",IFERROR(_xlfn.IFNA(VLOOKUP($A50,'HR Rep'!$A:$X,MATCH('1) For HR (FIX)'!H$1,'HR Rep'!$A$1:$X$1,0),0),""),""))</f>
        <v/>
      </c>
      <c r="I50" s="140" t="str">
        <f>IF(IFERROR(_xlfn.IFNA(VLOOKUP($A50,'HR Rep'!$A:$X,MATCH('1) For HR (FIX)'!I$1,'HR Rep'!$A$1:$X$1,0),0),""),"")="","",IFERROR(_xlfn.IFNA(VLOOKUP($A50,'HR Rep'!$A:$X,MATCH('1) For HR (FIX)'!I$1,'HR Rep'!$A$1:$X$1,0),0),""),""))</f>
        <v/>
      </c>
      <c r="J50" s="140" t="str">
        <f>IF(IFERROR(_xlfn.IFNA(VLOOKUP($A50,'HR Rep'!$A:$X,MATCH('1) For HR (FIX)'!J$1,'HR Rep'!$A$1:$X$1,0),0),""),"")="","",IFERROR(_xlfn.IFNA(VLOOKUP($A50,'HR Rep'!$A:$X,MATCH('1) For HR (FIX)'!J$1,'HR Rep'!$A$1:$X$1,0),0),""),""))</f>
        <v/>
      </c>
      <c r="K50" s="161">
        <f>_xlfn.XLOOKUP(G50,ค่าตอบแทนการขายในอัตราคงที่!A:A,ค่าตอบแทนการขายในอัตราคงที่!B:B)</f>
        <v>0</v>
      </c>
      <c r="L50" s="174">
        <f>Period!$A$2</f>
        <v>46113</v>
      </c>
      <c r="M50" s="175">
        <f>Period!$C$2</f>
        <v>46143</v>
      </c>
      <c r="N50" s="194" t="s">
        <v>279</v>
      </c>
    </row>
    <row r="51" spans="1:14" ht="11.4" x14ac:dyDescent="0.25">
      <c r="A51" s="137"/>
      <c r="B51" s="169" t="e">
        <f>IF(IF(VLOOKUP(A51,ASTBase!F:P,11,FALSE)="","",VLOOKUP(A51,ASTBase!F:P,11,FALSE))=0,"",IF(VLOOKUP(A51,ASTBase!F:P,11,FALSE)="","",VLOOKUP(A51,ASTBase!F:P,11,FALSE)))</f>
        <v>#N/A</v>
      </c>
      <c r="C51" s="140" t="str">
        <f>IF(IFERROR(_xlfn.IFNA(VLOOKUP($A51,'HR Rep'!$A:$X,MATCH('1) For HR (FIX)'!C$1,'HR Rep'!$A$1:$X$1,0),0),""),"")="","",IFERROR(_xlfn.IFNA(VLOOKUP($A51,'HR Rep'!$A:$X,MATCH('1) For HR (FIX)'!C$1,'HR Rep'!$A$1:$X$1,0),0),""),""))</f>
        <v/>
      </c>
      <c r="D51" s="140" t="str">
        <f>IF(IFERROR(_xlfn.IFNA(VLOOKUP($A51,'HR Rep'!$A:$X,MATCH('1) For HR (FIX)'!D$1,'HR Rep'!$A$1:$X$1,0),0),""),"")="","",IFERROR(_xlfn.IFNA(VLOOKUP($A51,'HR Rep'!$A:$X,MATCH('1) For HR (FIX)'!D$1,'HR Rep'!$A$1:$X$1,0),0),""),""))</f>
        <v/>
      </c>
      <c r="E51" s="140" t="str">
        <f>IF(IFERROR(_xlfn.IFNA(VLOOKUP($A51,'HR Rep'!$A:$X,MATCH('1) For HR (FIX)'!E$1,'HR Rep'!$A$1:$X$1,0),0),""),"")="","",IFERROR(_xlfn.IFNA(VLOOKUP($A51,'HR Rep'!$A:$X,MATCH('1) For HR (FIX)'!E$1,'HR Rep'!$A$1:$X$1,0),0),""),""))</f>
        <v/>
      </c>
      <c r="F51" s="140" t="str">
        <f>IF(IFERROR(_xlfn.IFNA(VLOOKUP($A51,'HR Rep'!$A:$X,MATCH('1) For HR (FIX)'!F$1,'HR Rep'!$A$1:$X$1,0),0),""),"")="","",IFERROR(_xlfn.IFNA(VLOOKUP($A51,'HR Rep'!$A:$X,MATCH('1) For HR (FIX)'!F$1,'HR Rep'!$A$1:$X$1,0),0),""),""))</f>
        <v/>
      </c>
      <c r="G51" s="196"/>
      <c r="H51" s="140" t="str">
        <f>IF(IFERROR(_xlfn.IFNA(VLOOKUP($A51,'HR Rep'!$A:$X,MATCH('1) For HR (FIX)'!H$1,'HR Rep'!$A$1:$X$1,0),0),""),"")="","",IFERROR(_xlfn.IFNA(VLOOKUP($A51,'HR Rep'!$A:$X,MATCH('1) For HR (FIX)'!H$1,'HR Rep'!$A$1:$X$1,0),0),""),""))</f>
        <v/>
      </c>
      <c r="I51" s="140" t="str">
        <f>IF(IFERROR(_xlfn.IFNA(VLOOKUP($A51,'HR Rep'!$A:$X,MATCH('1) For HR (FIX)'!I$1,'HR Rep'!$A$1:$X$1,0),0),""),"")="","",IFERROR(_xlfn.IFNA(VLOOKUP($A51,'HR Rep'!$A:$X,MATCH('1) For HR (FIX)'!I$1,'HR Rep'!$A$1:$X$1,0),0),""),""))</f>
        <v/>
      </c>
      <c r="J51" s="140" t="str">
        <f>IF(IFERROR(_xlfn.IFNA(VLOOKUP($A51,'HR Rep'!$A:$X,MATCH('1) For HR (FIX)'!J$1,'HR Rep'!$A$1:$X$1,0),0),""),"")="","",IFERROR(_xlfn.IFNA(VLOOKUP($A51,'HR Rep'!$A:$X,MATCH('1) For HR (FIX)'!J$1,'HR Rep'!$A$1:$X$1,0),0),""),""))</f>
        <v/>
      </c>
      <c r="K51" s="161">
        <f>_xlfn.XLOOKUP(G51,ค่าตอบแทนการขายในอัตราคงที่!A:A,ค่าตอบแทนการขายในอัตราคงที่!B:B)</f>
        <v>0</v>
      </c>
      <c r="L51" s="174">
        <f>Period!$A$2</f>
        <v>46113</v>
      </c>
      <c r="M51" s="175">
        <f>Period!$C$2</f>
        <v>46143</v>
      </c>
      <c r="N51" s="194" t="s">
        <v>279</v>
      </c>
    </row>
    <row r="52" spans="1:14" ht="11.4" x14ac:dyDescent="0.25">
      <c r="A52" s="137"/>
      <c r="B52" s="169" t="e">
        <f>IF(IF(VLOOKUP(A52,ASTBase!F:P,11,FALSE)="","",VLOOKUP(A52,ASTBase!F:P,11,FALSE))=0,"",IF(VLOOKUP(A52,ASTBase!F:P,11,FALSE)="","",VLOOKUP(A52,ASTBase!F:P,11,FALSE)))</f>
        <v>#N/A</v>
      </c>
      <c r="C52" s="140" t="str">
        <f>IF(IFERROR(_xlfn.IFNA(VLOOKUP($A52,'HR Rep'!$A:$X,MATCH('1) For HR (FIX)'!C$1,'HR Rep'!$A$1:$X$1,0),0),""),"")="","",IFERROR(_xlfn.IFNA(VLOOKUP($A52,'HR Rep'!$A:$X,MATCH('1) For HR (FIX)'!C$1,'HR Rep'!$A$1:$X$1,0),0),""),""))</f>
        <v/>
      </c>
      <c r="D52" s="140" t="str">
        <f>IF(IFERROR(_xlfn.IFNA(VLOOKUP($A52,'HR Rep'!$A:$X,MATCH('1) For HR (FIX)'!D$1,'HR Rep'!$A$1:$X$1,0),0),""),"")="","",IFERROR(_xlfn.IFNA(VLOOKUP($A52,'HR Rep'!$A:$X,MATCH('1) For HR (FIX)'!D$1,'HR Rep'!$A$1:$X$1,0),0),""),""))</f>
        <v/>
      </c>
      <c r="E52" s="140" t="str">
        <f>IF(IFERROR(_xlfn.IFNA(VLOOKUP($A52,'HR Rep'!$A:$X,MATCH('1) For HR (FIX)'!E$1,'HR Rep'!$A$1:$X$1,0),0),""),"")="","",IFERROR(_xlfn.IFNA(VLOOKUP($A52,'HR Rep'!$A:$X,MATCH('1) For HR (FIX)'!E$1,'HR Rep'!$A$1:$X$1,0),0),""),""))</f>
        <v/>
      </c>
      <c r="F52" s="140" t="str">
        <f>IF(IFERROR(_xlfn.IFNA(VLOOKUP($A52,'HR Rep'!$A:$X,MATCH('1) For HR (FIX)'!F$1,'HR Rep'!$A$1:$X$1,0),0),""),"")="","",IFERROR(_xlfn.IFNA(VLOOKUP($A52,'HR Rep'!$A:$X,MATCH('1) For HR (FIX)'!F$1,'HR Rep'!$A$1:$X$1,0),0),""),""))</f>
        <v/>
      </c>
      <c r="G52" s="196"/>
      <c r="H52" s="140" t="str">
        <f>IF(IFERROR(_xlfn.IFNA(VLOOKUP($A52,'HR Rep'!$A:$X,MATCH('1) For HR (FIX)'!H$1,'HR Rep'!$A$1:$X$1,0),0),""),"")="","",IFERROR(_xlfn.IFNA(VLOOKUP($A52,'HR Rep'!$A:$X,MATCH('1) For HR (FIX)'!H$1,'HR Rep'!$A$1:$X$1,0),0),""),""))</f>
        <v/>
      </c>
      <c r="I52" s="140" t="str">
        <f>IF(IFERROR(_xlfn.IFNA(VLOOKUP($A52,'HR Rep'!$A:$X,MATCH('1) For HR (FIX)'!I$1,'HR Rep'!$A$1:$X$1,0),0),""),"")="","",IFERROR(_xlfn.IFNA(VLOOKUP($A52,'HR Rep'!$A:$X,MATCH('1) For HR (FIX)'!I$1,'HR Rep'!$A$1:$X$1,0),0),""),""))</f>
        <v/>
      </c>
      <c r="J52" s="140" t="str">
        <f>IF(IFERROR(_xlfn.IFNA(VLOOKUP($A52,'HR Rep'!$A:$X,MATCH('1) For HR (FIX)'!J$1,'HR Rep'!$A$1:$X$1,0),0),""),"")="","",IFERROR(_xlfn.IFNA(VLOOKUP($A52,'HR Rep'!$A:$X,MATCH('1) For HR (FIX)'!J$1,'HR Rep'!$A$1:$X$1,0),0),""),""))</f>
        <v/>
      </c>
      <c r="K52" s="161">
        <f>_xlfn.XLOOKUP(G52,ค่าตอบแทนการขายในอัตราคงที่!A:A,ค่าตอบแทนการขายในอัตราคงที่!B:B)</f>
        <v>0</v>
      </c>
      <c r="L52" s="174">
        <f>Period!$A$2</f>
        <v>46113</v>
      </c>
      <c r="M52" s="175">
        <f>Period!$C$2</f>
        <v>46143</v>
      </c>
      <c r="N52" s="194" t="s">
        <v>279</v>
      </c>
    </row>
    <row r="53" spans="1:14" ht="11.4" x14ac:dyDescent="0.25">
      <c r="A53" s="137"/>
      <c r="B53" s="169" t="e">
        <f>IF(IF(VLOOKUP(A53,ASTBase!F:P,11,FALSE)="","",VLOOKUP(A53,ASTBase!F:P,11,FALSE))=0,"",IF(VLOOKUP(A53,ASTBase!F:P,11,FALSE)="","",VLOOKUP(A53,ASTBase!F:P,11,FALSE)))</f>
        <v>#N/A</v>
      </c>
      <c r="C53" s="140" t="str">
        <f>IF(IFERROR(_xlfn.IFNA(VLOOKUP($A53,'HR Rep'!$A:$X,MATCH('1) For HR (FIX)'!C$1,'HR Rep'!$A$1:$X$1,0),0),""),"")="","",IFERROR(_xlfn.IFNA(VLOOKUP($A53,'HR Rep'!$A:$X,MATCH('1) For HR (FIX)'!C$1,'HR Rep'!$A$1:$X$1,0),0),""),""))</f>
        <v/>
      </c>
      <c r="D53" s="140" t="str">
        <f>IF(IFERROR(_xlfn.IFNA(VLOOKUP($A53,'HR Rep'!$A:$X,MATCH('1) For HR (FIX)'!D$1,'HR Rep'!$A$1:$X$1,0),0),""),"")="","",IFERROR(_xlfn.IFNA(VLOOKUP($A53,'HR Rep'!$A:$X,MATCH('1) For HR (FIX)'!D$1,'HR Rep'!$A$1:$X$1,0),0),""),""))</f>
        <v/>
      </c>
      <c r="E53" s="140" t="str">
        <f>IF(IFERROR(_xlfn.IFNA(VLOOKUP($A53,'HR Rep'!$A:$X,MATCH('1) For HR (FIX)'!E$1,'HR Rep'!$A$1:$X$1,0),0),""),"")="","",IFERROR(_xlfn.IFNA(VLOOKUP($A53,'HR Rep'!$A:$X,MATCH('1) For HR (FIX)'!E$1,'HR Rep'!$A$1:$X$1,0),0),""),""))</f>
        <v/>
      </c>
      <c r="F53" s="140" t="str">
        <f>IF(IFERROR(_xlfn.IFNA(VLOOKUP($A53,'HR Rep'!$A:$X,MATCH('1) For HR (FIX)'!F$1,'HR Rep'!$A$1:$X$1,0),0),""),"")="","",IFERROR(_xlfn.IFNA(VLOOKUP($A53,'HR Rep'!$A:$X,MATCH('1) For HR (FIX)'!F$1,'HR Rep'!$A$1:$X$1,0),0),""),""))</f>
        <v/>
      </c>
      <c r="G53" s="196"/>
      <c r="H53" s="140" t="str">
        <f>IF(IFERROR(_xlfn.IFNA(VLOOKUP($A53,'HR Rep'!$A:$X,MATCH('1) For HR (FIX)'!H$1,'HR Rep'!$A$1:$X$1,0),0),""),"")="","",IFERROR(_xlfn.IFNA(VLOOKUP($A53,'HR Rep'!$A:$X,MATCH('1) For HR (FIX)'!H$1,'HR Rep'!$A$1:$X$1,0),0),""),""))</f>
        <v/>
      </c>
      <c r="I53" s="140" t="str">
        <f>IF(IFERROR(_xlfn.IFNA(VLOOKUP($A53,'HR Rep'!$A:$X,MATCH('1) For HR (FIX)'!I$1,'HR Rep'!$A$1:$X$1,0),0),""),"")="","",IFERROR(_xlfn.IFNA(VLOOKUP($A53,'HR Rep'!$A:$X,MATCH('1) For HR (FIX)'!I$1,'HR Rep'!$A$1:$X$1,0),0),""),""))</f>
        <v/>
      </c>
      <c r="J53" s="140" t="str">
        <f>IF(IFERROR(_xlfn.IFNA(VLOOKUP($A53,'HR Rep'!$A:$X,MATCH('1) For HR (FIX)'!J$1,'HR Rep'!$A$1:$X$1,0),0),""),"")="","",IFERROR(_xlfn.IFNA(VLOOKUP($A53,'HR Rep'!$A:$X,MATCH('1) For HR (FIX)'!J$1,'HR Rep'!$A$1:$X$1,0),0),""),""))</f>
        <v/>
      </c>
      <c r="K53" s="161">
        <f>_xlfn.XLOOKUP(G53,ค่าตอบแทนการขายในอัตราคงที่!A:A,ค่าตอบแทนการขายในอัตราคงที่!B:B)</f>
        <v>0</v>
      </c>
      <c r="L53" s="174">
        <f>Period!$A$2</f>
        <v>46113</v>
      </c>
      <c r="M53" s="175">
        <f>Period!$C$2</f>
        <v>46143</v>
      </c>
      <c r="N53" s="194" t="s">
        <v>279</v>
      </c>
    </row>
    <row r="54" spans="1:14" ht="11.4" x14ac:dyDescent="0.25">
      <c r="A54" s="137"/>
      <c r="B54" s="169" t="e">
        <f>IF(IF(VLOOKUP(A54,ASTBase!F:P,11,FALSE)="","",VLOOKUP(A54,ASTBase!F:P,11,FALSE))=0,"",IF(VLOOKUP(A54,ASTBase!F:P,11,FALSE)="","",VLOOKUP(A54,ASTBase!F:P,11,FALSE)))</f>
        <v>#N/A</v>
      </c>
      <c r="C54" s="140" t="str">
        <f>IF(IFERROR(_xlfn.IFNA(VLOOKUP($A54,'HR Rep'!$A:$X,MATCH('1) For HR (FIX)'!C$1,'HR Rep'!$A$1:$X$1,0),0),""),"")="","",IFERROR(_xlfn.IFNA(VLOOKUP($A54,'HR Rep'!$A:$X,MATCH('1) For HR (FIX)'!C$1,'HR Rep'!$A$1:$X$1,0),0),""),""))</f>
        <v/>
      </c>
      <c r="D54" s="140" t="str">
        <f>IF(IFERROR(_xlfn.IFNA(VLOOKUP($A54,'HR Rep'!$A:$X,MATCH('1) For HR (FIX)'!D$1,'HR Rep'!$A$1:$X$1,0),0),""),"")="","",IFERROR(_xlfn.IFNA(VLOOKUP($A54,'HR Rep'!$A:$X,MATCH('1) For HR (FIX)'!D$1,'HR Rep'!$A$1:$X$1,0),0),""),""))</f>
        <v/>
      </c>
      <c r="E54" s="140" t="str">
        <f>IF(IFERROR(_xlfn.IFNA(VLOOKUP($A54,'HR Rep'!$A:$X,MATCH('1) For HR (FIX)'!E$1,'HR Rep'!$A$1:$X$1,0),0),""),"")="","",IFERROR(_xlfn.IFNA(VLOOKUP($A54,'HR Rep'!$A:$X,MATCH('1) For HR (FIX)'!E$1,'HR Rep'!$A$1:$X$1,0),0),""),""))</f>
        <v/>
      </c>
      <c r="F54" s="140" t="str">
        <f>IF(IFERROR(_xlfn.IFNA(VLOOKUP($A54,'HR Rep'!$A:$X,MATCH('1) For HR (FIX)'!F$1,'HR Rep'!$A$1:$X$1,0),0),""),"")="","",IFERROR(_xlfn.IFNA(VLOOKUP($A54,'HR Rep'!$A:$X,MATCH('1) For HR (FIX)'!F$1,'HR Rep'!$A$1:$X$1,0),0),""),""))</f>
        <v/>
      </c>
      <c r="G54" s="196"/>
      <c r="H54" s="140" t="str">
        <f>IF(IFERROR(_xlfn.IFNA(VLOOKUP($A54,'HR Rep'!$A:$X,MATCH('1) For HR (FIX)'!H$1,'HR Rep'!$A$1:$X$1,0),0),""),"")="","",IFERROR(_xlfn.IFNA(VLOOKUP($A54,'HR Rep'!$A:$X,MATCH('1) For HR (FIX)'!H$1,'HR Rep'!$A$1:$X$1,0),0),""),""))</f>
        <v/>
      </c>
      <c r="I54" s="140" t="str">
        <f>IF(IFERROR(_xlfn.IFNA(VLOOKUP($A54,'HR Rep'!$A:$X,MATCH('1) For HR (FIX)'!I$1,'HR Rep'!$A$1:$X$1,0),0),""),"")="","",IFERROR(_xlfn.IFNA(VLOOKUP($A54,'HR Rep'!$A:$X,MATCH('1) For HR (FIX)'!I$1,'HR Rep'!$A$1:$X$1,0),0),""),""))</f>
        <v/>
      </c>
      <c r="J54" s="140" t="str">
        <f>IF(IFERROR(_xlfn.IFNA(VLOOKUP($A54,'HR Rep'!$A:$X,MATCH('1) For HR (FIX)'!J$1,'HR Rep'!$A$1:$X$1,0),0),""),"")="","",IFERROR(_xlfn.IFNA(VLOOKUP($A54,'HR Rep'!$A:$X,MATCH('1) For HR (FIX)'!J$1,'HR Rep'!$A$1:$X$1,0),0),""),""))</f>
        <v/>
      </c>
      <c r="K54" s="161">
        <f>_xlfn.XLOOKUP(G54,ค่าตอบแทนการขายในอัตราคงที่!A:A,ค่าตอบแทนการขายในอัตราคงที่!B:B)</f>
        <v>0</v>
      </c>
      <c r="L54" s="174">
        <f>Period!$A$2</f>
        <v>46113</v>
      </c>
      <c r="M54" s="175">
        <f>Period!$C$2</f>
        <v>46143</v>
      </c>
      <c r="N54" s="194" t="s">
        <v>279</v>
      </c>
    </row>
    <row r="55" spans="1:14" ht="11.4" x14ac:dyDescent="0.25">
      <c r="A55" s="137"/>
      <c r="B55" s="169" t="e">
        <f>IF(IF(VLOOKUP(A55,ASTBase!F:P,11,FALSE)="","",VLOOKUP(A55,ASTBase!F:P,11,FALSE))=0,"",IF(VLOOKUP(A55,ASTBase!F:P,11,FALSE)="","",VLOOKUP(A55,ASTBase!F:P,11,FALSE)))</f>
        <v>#N/A</v>
      </c>
      <c r="C55" s="140" t="str">
        <f>IF(IFERROR(_xlfn.IFNA(VLOOKUP($A55,'HR Rep'!$A:$X,MATCH('1) For HR (FIX)'!C$1,'HR Rep'!$A$1:$X$1,0),0),""),"")="","",IFERROR(_xlfn.IFNA(VLOOKUP($A55,'HR Rep'!$A:$X,MATCH('1) For HR (FIX)'!C$1,'HR Rep'!$A$1:$X$1,0),0),""),""))</f>
        <v/>
      </c>
      <c r="D55" s="140" t="str">
        <f>IF(IFERROR(_xlfn.IFNA(VLOOKUP($A55,'HR Rep'!$A:$X,MATCH('1) For HR (FIX)'!D$1,'HR Rep'!$A$1:$X$1,0),0),""),"")="","",IFERROR(_xlfn.IFNA(VLOOKUP($A55,'HR Rep'!$A:$X,MATCH('1) For HR (FIX)'!D$1,'HR Rep'!$A$1:$X$1,0),0),""),""))</f>
        <v/>
      </c>
      <c r="E55" s="140" t="str">
        <f>IF(IFERROR(_xlfn.IFNA(VLOOKUP($A55,'HR Rep'!$A:$X,MATCH('1) For HR (FIX)'!E$1,'HR Rep'!$A$1:$X$1,0),0),""),"")="","",IFERROR(_xlfn.IFNA(VLOOKUP($A55,'HR Rep'!$A:$X,MATCH('1) For HR (FIX)'!E$1,'HR Rep'!$A$1:$X$1,0),0),""),""))</f>
        <v/>
      </c>
      <c r="F55" s="140" t="str">
        <f>IF(IFERROR(_xlfn.IFNA(VLOOKUP($A55,'HR Rep'!$A:$X,MATCH('1) For HR (FIX)'!F$1,'HR Rep'!$A$1:$X$1,0),0),""),"")="","",IFERROR(_xlfn.IFNA(VLOOKUP($A55,'HR Rep'!$A:$X,MATCH('1) For HR (FIX)'!F$1,'HR Rep'!$A$1:$X$1,0),0),""),""))</f>
        <v/>
      </c>
      <c r="G55" s="196"/>
      <c r="H55" s="140" t="str">
        <f>IF(IFERROR(_xlfn.IFNA(VLOOKUP($A55,'HR Rep'!$A:$X,MATCH('1) For HR (FIX)'!H$1,'HR Rep'!$A$1:$X$1,0),0),""),"")="","",IFERROR(_xlfn.IFNA(VLOOKUP($A55,'HR Rep'!$A:$X,MATCH('1) For HR (FIX)'!H$1,'HR Rep'!$A$1:$X$1,0),0),""),""))</f>
        <v/>
      </c>
      <c r="I55" s="140" t="str">
        <f>IF(IFERROR(_xlfn.IFNA(VLOOKUP($A55,'HR Rep'!$A:$X,MATCH('1) For HR (FIX)'!I$1,'HR Rep'!$A$1:$X$1,0),0),""),"")="","",IFERROR(_xlfn.IFNA(VLOOKUP($A55,'HR Rep'!$A:$X,MATCH('1) For HR (FIX)'!I$1,'HR Rep'!$A$1:$X$1,0),0),""),""))</f>
        <v/>
      </c>
      <c r="J55" s="140" t="str">
        <f>IF(IFERROR(_xlfn.IFNA(VLOOKUP($A55,'HR Rep'!$A:$X,MATCH('1) For HR (FIX)'!J$1,'HR Rep'!$A$1:$X$1,0),0),""),"")="","",IFERROR(_xlfn.IFNA(VLOOKUP($A55,'HR Rep'!$A:$X,MATCH('1) For HR (FIX)'!J$1,'HR Rep'!$A$1:$X$1,0),0),""),""))</f>
        <v/>
      </c>
      <c r="K55" s="161">
        <f>_xlfn.XLOOKUP(G55,ค่าตอบแทนการขายในอัตราคงที่!A:A,ค่าตอบแทนการขายในอัตราคงที่!B:B)</f>
        <v>0</v>
      </c>
      <c r="L55" s="174">
        <f>Period!$A$2</f>
        <v>46113</v>
      </c>
      <c r="M55" s="175">
        <f>Period!$C$2</f>
        <v>46143</v>
      </c>
      <c r="N55" s="194" t="s">
        <v>279</v>
      </c>
    </row>
    <row r="56" spans="1:14" ht="11.4" x14ac:dyDescent="0.25">
      <c r="A56" s="137"/>
      <c r="B56" s="169" t="e">
        <f>IF(IF(VLOOKUP(A56,ASTBase!F:P,11,FALSE)="","",VLOOKUP(A56,ASTBase!F:P,11,FALSE))=0,"",IF(VLOOKUP(A56,ASTBase!F:P,11,FALSE)="","",VLOOKUP(A56,ASTBase!F:P,11,FALSE)))</f>
        <v>#N/A</v>
      </c>
      <c r="C56" s="140" t="str">
        <f>IF(IFERROR(_xlfn.IFNA(VLOOKUP($A56,'HR Rep'!$A:$X,MATCH('1) For HR (FIX)'!C$1,'HR Rep'!$A$1:$X$1,0),0),""),"")="","",IFERROR(_xlfn.IFNA(VLOOKUP($A56,'HR Rep'!$A:$X,MATCH('1) For HR (FIX)'!C$1,'HR Rep'!$A$1:$X$1,0),0),""),""))</f>
        <v/>
      </c>
      <c r="D56" s="140" t="str">
        <f>IF(IFERROR(_xlfn.IFNA(VLOOKUP($A56,'HR Rep'!$A:$X,MATCH('1) For HR (FIX)'!D$1,'HR Rep'!$A$1:$X$1,0),0),""),"")="","",IFERROR(_xlfn.IFNA(VLOOKUP($A56,'HR Rep'!$A:$X,MATCH('1) For HR (FIX)'!D$1,'HR Rep'!$A$1:$X$1,0),0),""),""))</f>
        <v/>
      </c>
      <c r="E56" s="140" t="str">
        <f>IF(IFERROR(_xlfn.IFNA(VLOOKUP($A56,'HR Rep'!$A:$X,MATCH('1) For HR (FIX)'!E$1,'HR Rep'!$A$1:$X$1,0),0),""),"")="","",IFERROR(_xlfn.IFNA(VLOOKUP($A56,'HR Rep'!$A:$X,MATCH('1) For HR (FIX)'!E$1,'HR Rep'!$A$1:$X$1,0),0),""),""))</f>
        <v/>
      </c>
      <c r="F56" s="140" t="str">
        <f>IF(IFERROR(_xlfn.IFNA(VLOOKUP($A56,'HR Rep'!$A:$X,MATCH('1) For HR (FIX)'!F$1,'HR Rep'!$A$1:$X$1,0),0),""),"")="","",IFERROR(_xlfn.IFNA(VLOOKUP($A56,'HR Rep'!$A:$X,MATCH('1) For HR (FIX)'!F$1,'HR Rep'!$A$1:$X$1,0),0),""),""))</f>
        <v/>
      </c>
      <c r="G56" s="196"/>
      <c r="H56" s="140" t="str">
        <f>IF(IFERROR(_xlfn.IFNA(VLOOKUP($A56,'HR Rep'!$A:$X,MATCH('1) For HR (FIX)'!H$1,'HR Rep'!$A$1:$X$1,0),0),""),"")="","",IFERROR(_xlfn.IFNA(VLOOKUP($A56,'HR Rep'!$A:$X,MATCH('1) For HR (FIX)'!H$1,'HR Rep'!$A$1:$X$1,0),0),""),""))</f>
        <v/>
      </c>
      <c r="I56" s="140" t="str">
        <f>IF(IFERROR(_xlfn.IFNA(VLOOKUP($A56,'HR Rep'!$A:$X,MATCH('1) For HR (FIX)'!I$1,'HR Rep'!$A$1:$X$1,0),0),""),"")="","",IFERROR(_xlfn.IFNA(VLOOKUP($A56,'HR Rep'!$A:$X,MATCH('1) For HR (FIX)'!I$1,'HR Rep'!$A$1:$X$1,0),0),""),""))</f>
        <v/>
      </c>
      <c r="J56" s="140" t="str">
        <f>IF(IFERROR(_xlfn.IFNA(VLOOKUP($A56,'HR Rep'!$A:$X,MATCH('1) For HR (FIX)'!J$1,'HR Rep'!$A$1:$X$1,0),0),""),"")="","",IFERROR(_xlfn.IFNA(VLOOKUP($A56,'HR Rep'!$A:$X,MATCH('1) For HR (FIX)'!J$1,'HR Rep'!$A$1:$X$1,0),0),""),""))</f>
        <v/>
      </c>
      <c r="K56" s="161">
        <f>_xlfn.XLOOKUP(G56,ค่าตอบแทนการขายในอัตราคงที่!A:A,ค่าตอบแทนการขายในอัตราคงที่!B:B)</f>
        <v>0</v>
      </c>
      <c r="L56" s="174">
        <f>Period!$A$2</f>
        <v>46113</v>
      </c>
      <c r="M56" s="175">
        <f>Period!$C$2</f>
        <v>46143</v>
      </c>
      <c r="N56" s="194" t="s">
        <v>279</v>
      </c>
    </row>
    <row r="57" spans="1:14" ht="11.4" x14ac:dyDescent="0.25">
      <c r="A57" s="137"/>
      <c r="B57" s="169" t="e">
        <f>IF(IF(VLOOKUP(A57,ASTBase!F:P,11,FALSE)="","",VLOOKUP(A57,ASTBase!F:P,11,FALSE))=0,"",IF(VLOOKUP(A57,ASTBase!F:P,11,FALSE)="","",VLOOKUP(A57,ASTBase!F:P,11,FALSE)))</f>
        <v>#N/A</v>
      </c>
      <c r="C57" s="140" t="str">
        <f>IF(IFERROR(_xlfn.IFNA(VLOOKUP($A57,'HR Rep'!$A:$X,MATCH('1) For HR (FIX)'!C$1,'HR Rep'!$A$1:$X$1,0),0),""),"")="","",IFERROR(_xlfn.IFNA(VLOOKUP($A57,'HR Rep'!$A:$X,MATCH('1) For HR (FIX)'!C$1,'HR Rep'!$A$1:$X$1,0),0),""),""))</f>
        <v/>
      </c>
      <c r="D57" s="140" t="str">
        <f>IF(IFERROR(_xlfn.IFNA(VLOOKUP($A57,'HR Rep'!$A:$X,MATCH('1) For HR (FIX)'!D$1,'HR Rep'!$A$1:$X$1,0),0),""),"")="","",IFERROR(_xlfn.IFNA(VLOOKUP($A57,'HR Rep'!$A:$X,MATCH('1) For HR (FIX)'!D$1,'HR Rep'!$A$1:$X$1,0),0),""),""))</f>
        <v/>
      </c>
      <c r="E57" s="140" t="str">
        <f>IF(IFERROR(_xlfn.IFNA(VLOOKUP($A57,'HR Rep'!$A:$X,MATCH('1) For HR (FIX)'!E$1,'HR Rep'!$A$1:$X$1,0),0),""),"")="","",IFERROR(_xlfn.IFNA(VLOOKUP($A57,'HR Rep'!$A:$X,MATCH('1) For HR (FIX)'!E$1,'HR Rep'!$A$1:$X$1,0),0),""),""))</f>
        <v/>
      </c>
      <c r="F57" s="140" t="str">
        <f>IF(IFERROR(_xlfn.IFNA(VLOOKUP($A57,'HR Rep'!$A:$X,MATCH('1) For HR (FIX)'!F$1,'HR Rep'!$A$1:$X$1,0),0),""),"")="","",IFERROR(_xlfn.IFNA(VLOOKUP($A57,'HR Rep'!$A:$X,MATCH('1) For HR (FIX)'!F$1,'HR Rep'!$A$1:$X$1,0),0),""),""))</f>
        <v/>
      </c>
      <c r="G57" s="196"/>
      <c r="H57" s="140" t="str">
        <f>IF(IFERROR(_xlfn.IFNA(VLOOKUP($A57,'HR Rep'!$A:$X,MATCH('1) For HR (FIX)'!H$1,'HR Rep'!$A$1:$X$1,0),0),""),"")="","",IFERROR(_xlfn.IFNA(VLOOKUP($A57,'HR Rep'!$A:$X,MATCH('1) For HR (FIX)'!H$1,'HR Rep'!$A$1:$X$1,0),0),""),""))</f>
        <v/>
      </c>
      <c r="I57" s="140" t="str">
        <f>IF(IFERROR(_xlfn.IFNA(VLOOKUP($A57,'HR Rep'!$A:$X,MATCH('1) For HR (FIX)'!I$1,'HR Rep'!$A$1:$X$1,0),0),""),"")="","",IFERROR(_xlfn.IFNA(VLOOKUP($A57,'HR Rep'!$A:$X,MATCH('1) For HR (FIX)'!I$1,'HR Rep'!$A$1:$X$1,0),0),""),""))</f>
        <v/>
      </c>
      <c r="J57" s="140" t="str">
        <f>IF(IFERROR(_xlfn.IFNA(VLOOKUP($A57,'HR Rep'!$A:$X,MATCH('1) For HR (FIX)'!J$1,'HR Rep'!$A$1:$X$1,0),0),""),"")="","",IFERROR(_xlfn.IFNA(VLOOKUP($A57,'HR Rep'!$A:$X,MATCH('1) For HR (FIX)'!J$1,'HR Rep'!$A$1:$X$1,0),0),""),""))</f>
        <v/>
      </c>
      <c r="K57" s="161">
        <f>_xlfn.XLOOKUP(G57,ค่าตอบแทนการขายในอัตราคงที่!A:A,ค่าตอบแทนการขายในอัตราคงที่!B:B)</f>
        <v>0</v>
      </c>
      <c r="L57" s="174">
        <f>Period!$A$2</f>
        <v>46113</v>
      </c>
      <c r="M57" s="175">
        <f>Period!$C$2</f>
        <v>46143</v>
      </c>
      <c r="N57" s="194" t="s">
        <v>279</v>
      </c>
    </row>
    <row r="58" spans="1:14" ht="11.4" x14ac:dyDescent="0.25">
      <c r="A58" s="138"/>
      <c r="B58" s="169" t="e">
        <f>IF(IF(VLOOKUP(A58,ASTBase!F:P,11,FALSE)="","",VLOOKUP(A58,ASTBase!F:P,11,FALSE))=0,"",IF(VLOOKUP(A58,ASTBase!F:P,11,FALSE)="","",VLOOKUP(A58,ASTBase!F:P,11,FALSE)))</f>
        <v>#N/A</v>
      </c>
      <c r="C58" s="140" t="str">
        <f>IF(IFERROR(_xlfn.IFNA(VLOOKUP($A58,'HR Rep'!$A:$X,MATCH('1) For HR (FIX)'!C$1,'HR Rep'!$A$1:$X$1,0),0),""),"")="","",IFERROR(_xlfn.IFNA(VLOOKUP($A58,'HR Rep'!$A:$X,MATCH('1) For HR (FIX)'!C$1,'HR Rep'!$A$1:$X$1,0),0),""),""))</f>
        <v/>
      </c>
      <c r="D58" s="140" t="str">
        <f>IF(IFERROR(_xlfn.IFNA(VLOOKUP($A58,'HR Rep'!$A:$X,MATCH('1) For HR (FIX)'!D$1,'HR Rep'!$A$1:$X$1,0),0),""),"")="","",IFERROR(_xlfn.IFNA(VLOOKUP($A58,'HR Rep'!$A:$X,MATCH('1) For HR (FIX)'!D$1,'HR Rep'!$A$1:$X$1,0),0),""),""))</f>
        <v/>
      </c>
      <c r="E58" s="140" t="str">
        <f>IF(IFERROR(_xlfn.IFNA(VLOOKUP($A58,'HR Rep'!$A:$X,MATCH('1) For HR (FIX)'!E$1,'HR Rep'!$A$1:$X$1,0),0),""),"")="","",IFERROR(_xlfn.IFNA(VLOOKUP($A58,'HR Rep'!$A:$X,MATCH('1) For HR (FIX)'!E$1,'HR Rep'!$A$1:$X$1,0),0),""),""))</f>
        <v/>
      </c>
      <c r="F58" s="140" t="str">
        <f>IF(IFERROR(_xlfn.IFNA(VLOOKUP($A58,'HR Rep'!$A:$X,MATCH('1) For HR (FIX)'!F$1,'HR Rep'!$A$1:$X$1,0),0),""),"")="","",IFERROR(_xlfn.IFNA(VLOOKUP($A58,'HR Rep'!$A:$X,MATCH('1) For HR (FIX)'!F$1,'HR Rep'!$A$1:$X$1,0),0),""),""))</f>
        <v/>
      </c>
      <c r="G58" s="196"/>
      <c r="H58" s="140" t="str">
        <f>IF(IFERROR(_xlfn.IFNA(VLOOKUP($A58,'HR Rep'!$A:$X,MATCH('1) For HR (FIX)'!H$1,'HR Rep'!$A$1:$X$1,0),0),""),"")="","",IFERROR(_xlfn.IFNA(VLOOKUP($A58,'HR Rep'!$A:$X,MATCH('1) For HR (FIX)'!H$1,'HR Rep'!$A$1:$X$1,0),0),""),""))</f>
        <v/>
      </c>
      <c r="I58" s="140" t="str">
        <f>IF(IFERROR(_xlfn.IFNA(VLOOKUP($A58,'HR Rep'!$A:$X,MATCH('1) For HR (FIX)'!I$1,'HR Rep'!$A$1:$X$1,0),0),""),"")="","",IFERROR(_xlfn.IFNA(VLOOKUP($A58,'HR Rep'!$A:$X,MATCH('1) For HR (FIX)'!I$1,'HR Rep'!$A$1:$X$1,0),0),""),""))</f>
        <v/>
      </c>
      <c r="J58" s="140" t="str">
        <f>IF(IFERROR(_xlfn.IFNA(VLOOKUP($A58,'HR Rep'!$A:$X,MATCH('1) For HR (FIX)'!J$1,'HR Rep'!$A$1:$X$1,0),0),""),"")="","",IFERROR(_xlfn.IFNA(VLOOKUP($A58,'HR Rep'!$A:$X,MATCH('1) For HR (FIX)'!J$1,'HR Rep'!$A$1:$X$1,0),0),""),""))</f>
        <v/>
      </c>
      <c r="K58" s="161">
        <f>_xlfn.XLOOKUP(G58,ค่าตอบแทนการขายในอัตราคงที่!A:A,ค่าตอบแทนการขายในอัตราคงที่!B:B)</f>
        <v>0</v>
      </c>
      <c r="L58" s="174">
        <f>Period!$A$2</f>
        <v>46113</v>
      </c>
      <c r="M58" s="175">
        <f>Period!$C$2</f>
        <v>46143</v>
      </c>
      <c r="N58" s="194" t="s">
        <v>279</v>
      </c>
    </row>
    <row r="59" spans="1:14" ht="11.4" x14ac:dyDescent="0.25">
      <c r="A59" s="138"/>
      <c r="B59" s="169" t="e">
        <f>IF(IF(VLOOKUP(A59,ASTBase!F:P,11,FALSE)="","",VLOOKUP(A59,ASTBase!F:P,11,FALSE))=0,"",IF(VLOOKUP(A59,ASTBase!F:P,11,FALSE)="","",VLOOKUP(A59,ASTBase!F:P,11,FALSE)))</f>
        <v>#N/A</v>
      </c>
      <c r="C59" s="140" t="str">
        <f>IF(IFERROR(_xlfn.IFNA(VLOOKUP($A59,'HR Rep'!$A:$X,MATCH('1) For HR (FIX)'!C$1,'HR Rep'!$A$1:$X$1,0),0),""),"")="","",IFERROR(_xlfn.IFNA(VLOOKUP($A59,'HR Rep'!$A:$X,MATCH('1) For HR (FIX)'!C$1,'HR Rep'!$A$1:$X$1,0),0),""),""))</f>
        <v/>
      </c>
      <c r="D59" s="140" t="str">
        <f>IF(IFERROR(_xlfn.IFNA(VLOOKUP($A59,'HR Rep'!$A:$X,MATCH('1) For HR (FIX)'!D$1,'HR Rep'!$A$1:$X$1,0),0),""),"")="","",IFERROR(_xlfn.IFNA(VLOOKUP($A59,'HR Rep'!$A:$X,MATCH('1) For HR (FIX)'!D$1,'HR Rep'!$A$1:$X$1,0),0),""),""))</f>
        <v/>
      </c>
      <c r="E59" s="140" t="str">
        <f>IF(IFERROR(_xlfn.IFNA(VLOOKUP($A59,'HR Rep'!$A:$X,MATCH('1) For HR (FIX)'!E$1,'HR Rep'!$A$1:$X$1,0),0),""),"")="","",IFERROR(_xlfn.IFNA(VLOOKUP($A59,'HR Rep'!$A:$X,MATCH('1) For HR (FIX)'!E$1,'HR Rep'!$A$1:$X$1,0),0),""),""))</f>
        <v/>
      </c>
      <c r="F59" s="140" t="str">
        <f>IF(IFERROR(_xlfn.IFNA(VLOOKUP($A59,'HR Rep'!$A:$X,MATCH('1) For HR (FIX)'!F$1,'HR Rep'!$A$1:$X$1,0),0),""),"")="","",IFERROR(_xlfn.IFNA(VLOOKUP($A59,'HR Rep'!$A:$X,MATCH('1) For HR (FIX)'!F$1,'HR Rep'!$A$1:$X$1,0),0),""),""))</f>
        <v/>
      </c>
      <c r="G59" s="196"/>
      <c r="H59" s="140" t="str">
        <f>IF(IFERROR(_xlfn.IFNA(VLOOKUP($A59,'HR Rep'!$A:$X,MATCH('1) For HR (FIX)'!H$1,'HR Rep'!$A$1:$X$1,0),0),""),"")="","",IFERROR(_xlfn.IFNA(VLOOKUP($A59,'HR Rep'!$A:$X,MATCH('1) For HR (FIX)'!H$1,'HR Rep'!$A$1:$X$1,0),0),""),""))</f>
        <v/>
      </c>
      <c r="I59" s="140" t="str">
        <f>IF(IFERROR(_xlfn.IFNA(VLOOKUP($A59,'HR Rep'!$A:$X,MATCH('1) For HR (FIX)'!I$1,'HR Rep'!$A$1:$X$1,0),0),""),"")="","",IFERROR(_xlfn.IFNA(VLOOKUP($A59,'HR Rep'!$A:$X,MATCH('1) For HR (FIX)'!I$1,'HR Rep'!$A$1:$X$1,0),0),""),""))</f>
        <v/>
      </c>
      <c r="J59" s="140" t="str">
        <f>IF(IFERROR(_xlfn.IFNA(VLOOKUP($A59,'HR Rep'!$A:$X,MATCH('1) For HR (FIX)'!J$1,'HR Rep'!$A$1:$X$1,0),0),""),"")="","",IFERROR(_xlfn.IFNA(VLOOKUP($A59,'HR Rep'!$A:$X,MATCH('1) For HR (FIX)'!J$1,'HR Rep'!$A$1:$X$1,0),0),""),""))</f>
        <v/>
      </c>
      <c r="K59" s="161">
        <f>_xlfn.XLOOKUP(G59,ค่าตอบแทนการขายในอัตราคงที่!A:A,ค่าตอบแทนการขายในอัตราคงที่!B:B)</f>
        <v>0</v>
      </c>
      <c r="L59" s="174">
        <f>Period!$A$2</f>
        <v>46113</v>
      </c>
      <c r="M59" s="175">
        <f>Period!$C$2</f>
        <v>46143</v>
      </c>
      <c r="N59" s="194" t="s">
        <v>279</v>
      </c>
    </row>
    <row r="60" spans="1:14" ht="11.4" x14ac:dyDescent="0.25">
      <c r="A60" s="137"/>
      <c r="B60" s="169" t="e">
        <f>IF(IF(VLOOKUP(A60,ASTBase!F:P,11,FALSE)="","",VLOOKUP(A60,ASTBase!F:P,11,FALSE))=0,"",IF(VLOOKUP(A60,ASTBase!F:P,11,FALSE)="","",VLOOKUP(A60,ASTBase!F:P,11,FALSE)))</f>
        <v>#N/A</v>
      </c>
      <c r="C60" s="140" t="str">
        <f>IF(IFERROR(_xlfn.IFNA(VLOOKUP($A60,'HR Rep'!$A:$X,MATCH('1) For HR (FIX)'!C$1,'HR Rep'!$A$1:$X$1,0),0),""),"")="","",IFERROR(_xlfn.IFNA(VLOOKUP($A60,'HR Rep'!$A:$X,MATCH('1) For HR (FIX)'!C$1,'HR Rep'!$A$1:$X$1,0),0),""),""))</f>
        <v/>
      </c>
      <c r="D60" s="140" t="str">
        <f>IF(IFERROR(_xlfn.IFNA(VLOOKUP($A60,'HR Rep'!$A:$X,MATCH('1) For HR (FIX)'!D$1,'HR Rep'!$A$1:$X$1,0),0),""),"")="","",IFERROR(_xlfn.IFNA(VLOOKUP($A60,'HR Rep'!$A:$X,MATCH('1) For HR (FIX)'!D$1,'HR Rep'!$A$1:$X$1,0),0),""),""))</f>
        <v/>
      </c>
      <c r="E60" s="140" t="str">
        <f>IF(IFERROR(_xlfn.IFNA(VLOOKUP($A60,'HR Rep'!$A:$X,MATCH('1) For HR (FIX)'!E$1,'HR Rep'!$A$1:$X$1,0),0),""),"")="","",IFERROR(_xlfn.IFNA(VLOOKUP($A60,'HR Rep'!$A:$X,MATCH('1) For HR (FIX)'!E$1,'HR Rep'!$A$1:$X$1,0),0),""),""))</f>
        <v/>
      </c>
      <c r="F60" s="140" t="str">
        <f>IF(IFERROR(_xlfn.IFNA(VLOOKUP($A60,'HR Rep'!$A:$X,MATCH('1) For HR (FIX)'!F$1,'HR Rep'!$A$1:$X$1,0),0),""),"")="","",IFERROR(_xlfn.IFNA(VLOOKUP($A60,'HR Rep'!$A:$X,MATCH('1) For HR (FIX)'!F$1,'HR Rep'!$A$1:$X$1,0),0),""),""))</f>
        <v/>
      </c>
      <c r="G60" s="196"/>
      <c r="H60" s="140" t="str">
        <f>IF(IFERROR(_xlfn.IFNA(VLOOKUP($A60,'HR Rep'!$A:$X,MATCH('1) For HR (FIX)'!H$1,'HR Rep'!$A$1:$X$1,0),0),""),"")="","",IFERROR(_xlfn.IFNA(VLOOKUP($A60,'HR Rep'!$A:$X,MATCH('1) For HR (FIX)'!H$1,'HR Rep'!$A$1:$X$1,0),0),""),""))</f>
        <v/>
      </c>
      <c r="I60" s="140" t="str">
        <f>IF(IFERROR(_xlfn.IFNA(VLOOKUP($A60,'HR Rep'!$A:$X,MATCH('1) For HR (FIX)'!I$1,'HR Rep'!$A$1:$X$1,0),0),""),"")="","",IFERROR(_xlfn.IFNA(VLOOKUP($A60,'HR Rep'!$A:$X,MATCH('1) For HR (FIX)'!I$1,'HR Rep'!$A$1:$X$1,0),0),""),""))</f>
        <v/>
      </c>
      <c r="J60" s="140" t="str">
        <f>IF(IFERROR(_xlfn.IFNA(VLOOKUP($A60,'HR Rep'!$A:$X,MATCH('1) For HR (FIX)'!J$1,'HR Rep'!$A$1:$X$1,0),0),""),"")="","",IFERROR(_xlfn.IFNA(VLOOKUP($A60,'HR Rep'!$A:$X,MATCH('1) For HR (FIX)'!J$1,'HR Rep'!$A$1:$X$1,0),0),""),""))</f>
        <v/>
      </c>
      <c r="K60" s="161">
        <f>_xlfn.XLOOKUP(G60,ค่าตอบแทนการขายในอัตราคงที่!A:A,ค่าตอบแทนการขายในอัตราคงที่!B:B)</f>
        <v>0</v>
      </c>
      <c r="L60" s="174">
        <f>Period!$A$2</f>
        <v>46113</v>
      </c>
      <c r="M60" s="175">
        <f>Period!$C$2</f>
        <v>46143</v>
      </c>
      <c r="N60" s="194" t="s">
        <v>279</v>
      </c>
    </row>
    <row r="61" spans="1:14" ht="11.4" x14ac:dyDescent="0.25">
      <c r="A61" s="137"/>
      <c r="B61" s="169" t="e">
        <f>IF(IF(VLOOKUP(A61,ASTBase!F:P,11,FALSE)="","",VLOOKUP(A61,ASTBase!F:P,11,FALSE))=0,"",IF(VLOOKUP(A61,ASTBase!F:P,11,FALSE)="","",VLOOKUP(A61,ASTBase!F:P,11,FALSE)))</f>
        <v>#N/A</v>
      </c>
      <c r="C61" s="140" t="str">
        <f>IF(IFERROR(_xlfn.IFNA(VLOOKUP($A61,'HR Rep'!$A:$X,MATCH('1) For HR (FIX)'!C$1,'HR Rep'!$A$1:$X$1,0),0),""),"")="","",IFERROR(_xlfn.IFNA(VLOOKUP($A61,'HR Rep'!$A:$X,MATCH('1) For HR (FIX)'!C$1,'HR Rep'!$A$1:$X$1,0),0),""),""))</f>
        <v/>
      </c>
      <c r="D61" s="140" t="str">
        <f>IF(IFERROR(_xlfn.IFNA(VLOOKUP($A61,'HR Rep'!$A:$X,MATCH('1) For HR (FIX)'!D$1,'HR Rep'!$A$1:$X$1,0),0),""),"")="","",IFERROR(_xlfn.IFNA(VLOOKUP($A61,'HR Rep'!$A:$X,MATCH('1) For HR (FIX)'!D$1,'HR Rep'!$A$1:$X$1,0),0),""),""))</f>
        <v/>
      </c>
      <c r="E61" s="140" t="str">
        <f>IF(IFERROR(_xlfn.IFNA(VLOOKUP($A61,'HR Rep'!$A:$X,MATCH('1) For HR (FIX)'!E$1,'HR Rep'!$A$1:$X$1,0),0),""),"")="","",IFERROR(_xlfn.IFNA(VLOOKUP($A61,'HR Rep'!$A:$X,MATCH('1) For HR (FIX)'!E$1,'HR Rep'!$A$1:$X$1,0),0),""),""))</f>
        <v/>
      </c>
      <c r="F61" s="140" t="str">
        <f>IF(IFERROR(_xlfn.IFNA(VLOOKUP($A61,'HR Rep'!$A:$X,MATCH('1) For HR (FIX)'!F$1,'HR Rep'!$A$1:$X$1,0),0),""),"")="","",IFERROR(_xlfn.IFNA(VLOOKUP($A61,'HR Rep'!$A:$X,MATCH('1) For HR (FIX)'!F$1,'HR Rep'!$A$1:$X$1,0),0),""),""))</f>
        <v/>
      </c>
      <c r="G61" s="196"/>
      <c r="H61" s="140" t="str">
        <f>IF(IFERROR(_xlfn.IFNA(VLOOKUP($A61,'HR Rep'!$A:$X,MATCH('1) For HR (FIX)'!H$1,'HR Rep'!$A$1:$X$1,0),0),""),"")="","",IFERROR(_xlfn.IFNA(VLOOKUP($A61,'HR Rep'!$A:$X,MATCH('1) For HR (FIX)'!H$1,'HR Rep'!$A$1:$X$1,0),0),""),""))</f>
        <v/>
      </c>
      <c r="I61" s="140" t="str">
        <f>IF(IFERROR(_xlfn.IFNA(VLOOKUP($A61,'HR Rep'!$A:$X,MATCH('1) For HR (FIX)'!I$1,'HR Rep'!$A$1:$X$1,0),0),""),"")="","",IFERROR(_xlfn.IFNA(VLOOKUP($A61,'HR Rep'!$A:$X,MATCH('1) For HR (FIX)'!I$1,'HR Rep'!$A$1:$X$1,0),0),""),""))</f>
        <v/>
      </c>
      <c r="J61" s="140" t="str">
        <f>IF(IFERROR(_xlfn.IFNA(VLOOKUP($A61,'HR Rep'!$A:$X,MATCH('1) For HR (FIX)'!J$1,'HR Rep'!$A$1:$X$1,0),0),""),"")="","",IFERROR(_xlfn.IFNA(VLOOKUP($A61,'HR Rep'!$A:$X,MATCH('1) For HR (FIX)'!J$1,'HR Rep'!$A$1:$X$1,0),0),""),""))</f>
        <v/>
      </c>
      <c r="K61" s="161">
        <f>_xlfn.XLOOKUP(G61,ค่าตอบแทนการขายในอัตราคงที่!A:A,ค่าตอบแทนการขายในอัตราคงที่!B:B)</f>
        <v>0</v>
      </c>
      <c r="L61" s="174">
        <f>Period!$A$2</f>
        <v>46113</v>
      </c>
      <c r="M61" s="175">
        <f>Period!$C$2</f>
        <v>46143</v>
      </c>
      <c r="N61" s="194" t="s">
        <v>279</v>
      </c>
    </row>
    <row r="62" spans="1:14" ht="11.4" x14ac:dyDescent="0.25">
      <c r="A62" s="137"/>
      <c r="B62" s="169" t="e">
        <f>IF(IF(VLOOKUP(A62,ASTBase!F:P,11,FALSE)="","",VLOOKUP(A62,ASTBase!F:P,11,FALSE))=0,"",IF(VLOOKUP(A62,ASTBase!F:P,11,FALSE)="","",VLOOKUP(A62,ASTBase!F:P,11,FALSE)))</f>
        <v>#N/A</v>
      </c>
      <c r="C62" s="140" t="str">
        <f>IF(IFERROR(_xlfn.IFNA(VLOOKUP($A62,'HR Rep'!$A:$X,MATCH('1) For HR (FIX)'!C$1,'HR Rep'!$A$1:$X$1,0),0),""),"")="","",IFERROR(_xlfn.IFNA(VLOOKUP($A62,'HR Rep'!$A:$X,MATCH('1) For HR (FIX)'!C$1,'HR Rep'!$A$1:$X$1,0),0),""),""))</f>
        <v/>
      </c>
      <c r="D62" s="140" t="str">
        <f>IF(IFERROR(_xlfn.IFNA(VLOOKUP($A62,'HR Rep'!$A:$X,MATCH('1) For HR (FIX)'!D$1,'HR Rep'!$A$1:$X$1,0),0),""),"")="","",IFERROR(_xlfn.IFNA(VLOOKUP($A62,'HR Rep'!$A:$X,MATCH('1) For HR (FIX)'!D$1,'HR Rep'!$A$1:$X$1,0),0),""),""))</f>
        <v/>
      </c>
      <c r="E62" s="140" t="str">
        <f>IF(IFERROR(_xlfn.IFNA(VLOOKUP($A62,'HR Rep'!$A:$X,MATCH('1) For HR (FIX)'!E$1,'HR Rep'!$A$1:$X$1,0),0),""),"")="","",IFERROR(_xlfn.IFNA(VLOOKUP($A62,'HR Rep'!$A:$X,MATCH('1) For HR (FIX)'!E$1,'HR Rep'!$A$1:$X$1,0),0),""),""))</f>
        <v/>
      </c>
      <c r="F62" s="140" t="str">
        <f>IF(IFERROR(_xlfn.IFNA(VLOOKUP($A62,'HR Rep'!$A:$X,MATCH('1) For HR (FIX)'!F$1,'HR Rep'!$A$1:$X$1,0),0),""),"")="","",IFERROR(_xlfn.IFNA(VLOOKUP($A62,'HR Rep'!$A:$X,MATCH('1) For HR (FIX)'!F$1,'HR Rep'!$A$1:$X$1,0),0),""),""))</f>
        <v/>
      </c>
      <c r="G62" s="196"/>
      <c r="H62" s="140" t="str">
        <f>IF(IFERROR(_xlfn.IFNA(VLOOKUP($A62,'HR Rep'!$A:$X,MATCH('1) For HR (FIX)'!H$1,'HR Rep'!$A$1:$X$1,0),0),""),"")="","",IFERROR(_xlfn.IFNA(VLOOKUP($A62,'HR Rep'!$A:$X,MATCH('1) For HR (FIX)'!H$1,'HR Rep'!$A$1:$X$1,0),0),""),""))</f>
        <v/>
      </c>
      <c r="I62" s="140" t="str">
        <f>IF(IFERROR(_xlfn.IFNA(VLOOKUP($A62,'HR Rep'!$A:$X,MATCH('1) For HR (FIX)'!I$1,'HR Rep'!$A$1:$X$1,0),0),""),"")="","",IFERROR(_xlfn.IFNA(VLOOKUP($A62,'HR Rep'!$A:$X,MATCH('1) For HR (FIX)'!I$1,'HR Rep'!$A$1:$X$1,0),0),""),""))</f>
        <v/>
      </c>
      <c r="J62" s="140" t="str">
        <f>IF(IFERROR(_xlfn.IFNA(VLOOKUP($A62,'HR Rep'!$A:$X,MATCH('1) For HR (FIX)'!J$1,'HR Rep'!$A$1:$X$1,0),0),""),"")="","",IFERROR(_xlfn.IFNA(VLOOKUP($A62,'HR Rep'!$A:$X,MATCH('1) For HR (FIX)'!J$1,'HR Rep'!$A$1:$X$1,0),0),""),""))</f>
        <v/>
      </c>
      <c r="K62" s="161">
        <f>_xlfn.XLOOKUP(G62,ค่าตอบแทนการขายในอัตราคงที่!A:A,ค่าตอบแทนการขายในอัตราคงที่!B:B)</f>
        <v>0</v>
      </c>
      <c r="L62" s="174">
        <f>Period!$A$2</f>
        <v>46113</v>
      </c>
      <c r="M62" s="175">
        <f>Period!$C$2</f>
        <v>46143</v>
      </c>
      <c r="N62" s="194" t="s">
        <v>279</v>
      </c>
    </row>
    <row r="63" spans="1:14" ht="11.4" x14ac:dyDescent="0.25">
      <c r="A63" s="137"/>
      <c r="B63" s="169" t="e">
        <f>IF(IF(VLOOKUP(A63,ASTBase!F:P,11,FALSE)="","",VLOOKUP(A63,ASTBase!F:P,11,FALSE))=0,"",IF(VLOOKUP(A63,ASTBase!F:P,11,FALSE)="","",VLOOKUP(A63,ASTBase!F:P,11,FALSE)))</f>
        <v>#N/A</v>
      </c>
      <c r="C63" s="140" t="str">
        <f>IF(IFERROR(_xlfn.IFNA(VLOOKUP($A63,'HR Rep'!$A:$X,MATCH('1) For HR (FIX)'!C$1,'HR Rep'!$A$1:$X$1,0),0),""),"")="","",IFERROR(_xlfn.IFNA(VLOOKUP($A63,'HR Rep'!$A:$X,MATCH('1) For HR (FIX)'!C$1,'HR Rep'!$A$1:$X$1,0),0),""),""))</f>
        <v/>
      </c>
      <c r="D63" s="140" t="str">
        <f>IF(IFERROR(_xlfn.IFNA(VLOOKUP($A63,'HR Rep'!$A:$X,MATCH('1) For HR (FIX)'!D$1,'HR Rep'!$A$1:$X$1,0),0),""),"")="","",IFERROR(_xlfn.IFNA(VLOOKUP($A63,'HR Rep'!$A:$X,MATCH('1) For HR (FIX)'!D$1,'HR Rep'!$A$1:$X$1,0),0),""),""))</f>
        <v/>
      </c>
      <c r="E63" s="140" t="str">
        <f>IF(IFERROR(_xlfn.IFNA(VLOOKUP($A63,'HR Rep'!$A:$X,MATCH('1) For HR (FIX)'!E$1,'HR Rep'!$A$1:$X$1,0),0),""),"")="","",IFERROR(_xlfn.IFNA(VLOOKUP($A63,'HR Rep'!$A:$X,MATCH('1) For HR (FIX)'!E$1,'HR Rep'!$A$1:$X$1,0),0),""),""))</f>
        <v/>
      </c>
      <c r="F63" s="140" t="str">
        <f>IF(IFERROR(_xlfn.IFNA(VLOOKUP($A63,'HR Rep'!$A:$X,MATCH('1) For HR (FIX)'!F$1,'HR Rep'!$A$1:$X$1,0),0),""),"")="","",IFERROR(_xlfn.IFNA(VLOOKUP($A63,'HR Rep'!$A:$X,MATCH('1) For HR (FIX)'!F$1,'HR Rep'!$A$1:$X$1,0),0),""),""))</f>
        <v/>
      </c>
      <c r="G63" s="196"/>
      <c r="H63" s="140" t="str">
        <f>IF(IFERROR(_xlfn.IFNA(VLOOKUP($A63,'HR Rep'!$A:$X,MATCH('1) For HR (FIX)'!H$1,'HR Rep'!$A$1:$X$1,0),0),""),"")="","",IFERROR(_xlfn.IFNA(VLOOKUP($A63,'HR Rep'!$A:$X,MATCH('1) For HR (FIX)'!H$1,'HR Rep'!$A$1:$X$1,0),0),""),""))</f>
        <v/>
      </c>
      <c r="I63" s="140" t="str">
        <f>IF(IFERROR(_xlfn.IFNA(VLOOKUP($A63,'HR Rep'!$A:$X,MATCH('1) For HR (FIX)'!I$1,'HR Rep'!$A$1:$X$1,0),0),""),"")="","",IFERROR(_xlfn.IFNA(VLOOKUP($A63,'HR Rep'!$A:$X,MATCH('1) For HR (FIX)'!I$1,'HR Rep'!$A$1:$X$1,0),0),""),""))</f>
        <v/>
      </c>
      <c r="J63" s="140" t="str">
        <f>IF(IFERROR(_xlfn.IFNA(VLOOKUP($A63,'HR Rep'!$A:$X,MATCH('1) For HR (FIX)'!J$1,'HR Rep'!$A$1:$X$1,0),0),""),"")="","",IFERROR(_xlfn.IFNA(VLOOKUP($A63,'HR Rep'!$A:$X,MATCH('1) For HR (FIX)'!J$1,'HR Rep'!$A$1:$X$1,0),0),""),""))</f>
        <v/>
      </c>
      <c r="K63" s="161">
        <f>_xlfn.XLOOKUP(G63,ค่าตอบแทนการขายในอัตราคงที่!A:A,ค่าตอบแทนการขายในอัตราคงที่!B:B)</f>
        <v>0</v>
      </c>
      <c r="L63" s="174">
        <f>Period!$A$2</f>
        <v>46113</v>
      </c>
      <c r="M63" s="175">
        <f>Period!$C$2</f>
        <v>46143</v>
      </c>
      <c r="N63" s="194" t="s">
        <v>279</v>
      </c>
    </row>
    <row r="64" spans="1:14" ht="11.4" x14ac:dyDescent="0.25">
      <c r="A64" s="137"/>
      <c r="B64" s="169" t="e">
        <f>IF(IF(VLOOKUP(A64,ASTBase!F:P,11,FALSE)="","",VLOOKUP(A64,ASTBase!F:P,11,FALSE))=0,"",IF(VLOOKUP(A64,ASTBase!F:P,11,FALSE)="","",VLOOKUP(A64,ASTBase!F:P,11,FALSE)))</f>
        <v>#N/A</v>
      </c>
      <c r="C64" s="140" t="str">
        <f>IF(IFERROR(_xlfn.IFNA(VLOOKUP($A64,'HR Rep'!$A:$X,MATCH('1) For HR (FIX)'!C$1,'HR Rep'!$A$1:$X$1,0),0),""),"")="","",IFERROR(_xlfn.IFNA(VLOOKUP($A64,'HR Rep'!$A:$X,MATCH('1) For HR (FIX)'!C$1,'HR Rep'!$A$1:$X$1,0),0),""),""))</f>
        <v/>
      </c>
      <c r="D64" s="140" t="str">
        <f>IF(IFERROR(_xlfn.IFNA(VLOOKUP($A64,'HR Rep'!$A:$X,MATCH('1) For HR (FIX)'!D$1,'HR Rep'!$A$1:$X$1,0),0),""),"")="","",IFERROR(_xlfn.IFNA(VLOOKUP($A64,'HR Rep'!$A:$X,MATCH('1) For HR (FIX)'!D$1,'HR Rep'!$A$1:$X$1,0),0),""),""))</f>
        <v/>
      </c>
      <c r="E64" s="140" t="str">
        <f>IF(IFERROR(_xlfn.IFNA(VLOOKUP($A64,'HR Rep'!$A:$X,MATCH('1) For HR (FIX)'!E$1,'HR Rep'!$A$1:$X$1,0),0),""),"")="","",IFERROR(_xlfn.IFNA(VLOOKUP($A64,'HR Rep'!$A:$X,MATCH('1) For HR (FIX)'!E$1,'HR Rep'!$A$1:$X$1,0),0),""),""))</f>
        <v/>
      </c>
      <c r="F64" s="140" t="str">
        <f>IF(IFERROR(_xlfn.IFNA(VLOOKUP($A64,'HR Rep'!$A:$X,MATCH('1) For HR (FIX)'!F$1,'HR Rep'!$A$1:$X$1,0),0),""),"")="","",IFERROR(_xlfn.IFNA(VLOOKUP($A64,'HR Rep'!$A:$X,MATCH('1) For HR (FIX)'!F$1,'HR Rep'!$A$1:$X$1,0),0),""),""))</f>
        <v/>
      </c>
      <c r="G64" s="196"/>
      <c r="H64" s="140" t="str">
        <f>IF(IFERROR(_xlfn.IFNA(VLOOKUP($A64,'HR Rep'!$A:$X,MATCH('1) For HR (FIX)'!H$1,'HR Rep'!$A$1:$X$1,0),0),""),"")="","",IFERROR(_xlfn.IFNA(VLOOKUP($A64,'HR Rep'!$A:$X,MATCH('1) For HR (FIX)'!H$1,'HR Rep'!$A$1:$X$1,0),0),""),""))</f>
        <v/>
      </c>
      <c r="I64" s="140" t="str">
        <f>IF(IFERROR(_xlfn.IFNA(VLOOKUP($A64,'HR Rep'!$A:$X,MATCH('1) For HR (FIX)'!I$1,'HR Rep'!$A$1:$X$1,0),0),""),"")="","",IFERROR(_xlfn.IFNA(VLOOKUP($A64,'HR Rep'!$A:$X,MATCH('1) For HR (FIX)'!I$1,'HR Rep'!$A$1:$X$1,0),0),""),""))</f>
        <v/>
      </c>
      <c r="J64" s="140" t="str">
        <f>IF(IFERROR(_xlfn.IFNA(VLOOKUP($A64,'HR Rep'!$A:$X,MATCH('1) For HR (FIX)'!J$1,'HR Rep'!$A$1:$X$1,0),0),""),"")="","",IFERROR(_xlfn.IFNA(VLOOKUP($A64,'HR Rep'!$A:$X,MATCH('1) For HR (FIX)'!J$1,'HR Rep'!$A$1:$X$1,0),0),""),""))</f>
        <v/>
      </c>
      <c r="K64" s="161">
        <f>_xlfn.XLOOKUP(G64,ค่าตอบแทนการขายในอัตราคงที่!A:A,ค่าตอบแทนการขายในอัตราคงที่!B:B)</f>
        <v>0</v>
      </c>
      <c r="L64" s="174">
        <f>Period!$A$2</f>
        <v>46113</v>
      </c>
      <c r="M64" s="175">
        <f>Period!$C$2</f>
        <v>46143</v>
      </c>
      <c r="N64" s="194" t="s">
        <v>279</v>
      </c>
    </row>
    <row r="65" spans="1:14" ht="11.4" x14ac:dyDescent="0.25">
      <c r="A65" s="137"/>
      <c r="B65" s="169" t="e">
        <f>IF(IF(VLOOKUP(A65,ASTBase!F:P,11,FALSE)="","",VLOOKUP(A65,ASTBase!F:P,11,FALSE))=0,"",IF(VLOOKUP(A65,ASTBase!F:P,11,FALSE)="","",VLOOKUP(A65,ASTBase!F:P,11,FALSE)))</f>
        <v>#N/A</v>
      </c>
      <c r="C65" s="140" t="str">
        <f>IF(IFERROR(_xlfn.IFNA(VLOOKUP($A65,'HR Rep'!$A:$X,MATCH('1) For HR (FIX)'!C$1,'HR Rep'!$A$1:$X$1,0),0),""),"")="","",IFERROR(_xlfn.IFNA(VLOOKUP($A65,'HR Rep'!$A:$X,MATCH('1) For HR (FIX)'!C$1,'HR Rep'!$A$1:$X$1,0),0),""),""))</f>
        <v/>
      </c>
      <c r="D65" s="140" t="str">
        <f>IF(IFERROR(_xlfn.IFNA(VLOOKUP($A65,'HR Rep'!$A:$X,MATCH('1) For HR (FIX)'!D$1,'HR Rep'!$A$1:$X$1,0),0),""),"")="","",IFERROR(_xlfn.IFNA(VLOOKUP($A65,'HR Rep'!$A:$X,MATCH('1) For HR (FIX)'!D$1,'HR Rep'!$A$1:$X$1,0),0),""),""))</f>
        <v/>
      </c>
      <c r="E65" s="140" t="str">
        <f>IF(IFERROR(_xlfn.IFNA(VLOOKUP($A65,'HR Rep'!$A:$X,MATCH('1) For HR (FIX)'!E$1,'HR Rep'!$A$1:$X$1,0),0),""),"")="","",IFERROR(_xlfn.IFNA(VLOOKUP($A65,'HR Rep'!$A:$X,MATCH('1) For HR (FIX)'!E$1,'HR Rep'!$A$1:$X$1,0),0),""),""))</f>
        <v/>
      </c>
      <c r="F65" s="140" t="str">
        <f>IF(IFERROR(_xlfn.IFNA(VLOOKUP($A65,'HR Rep'!$A:$X,MATCH('1) For HR (FIX)'!F$1,'HR Rep'!$A$1:$X$1,0),0),""),"")="","",IFERROR(_xlfn.IFNA(VLOOKUP($A65,'HR Rep'!$A:$X,MATCH('1) For HR (FIX)'!F$1,'HR Rep'!$A$1:$X$1,0),0),""),""))</f>
        <v/>
      </c>
      <c r="G65" s="196"/>
      <c r="H65" s="140" t="str">
        <f>IF(IFERROR(_xlfn.IFNA(VLOOKUP($A65,'HR Rep'!$A:$X,MATCH('1) For HR (FIX)'!H$1,'HR Rep'!$A$1:$X$1,0),0),""),"")="","",IFERROR(_xlfn.IFNA(VLOOKUP($A65,'HR Rep'!$A:$X,MATCH('1) For HR (FIX)'!H$1,'HR Rep'!$A$1:$X$1,0),0),""),""))</f>
        <v/>
      </c>
      <c r="I65" s="140" t="str">
        <f>IF(IFERROR(_xlfn.IFNA(VLOOKUP($A65,'HR Rep'!$A:$X,MATCH('1) For HR (FIX)'!I$1,'HR Rep'!$A$1:$X$1,0),0),""),"")="","",IFERROR(_xlfn.IFNA(VLOOKUP($A65,'HR Rep'!$A:$X,MATCH('1) For HR (FIX)'!I$1,'HR Rep'!$A$1:$X$1,0),0),""),""))</f>
        <v/>
      </c>
      <c r="J65" s="140" t="str">
        <f>IF(IFERROR(_xlfn.IFNA(VLOOKUP($A65,'HR Rep'!$A:$X,MATCH('1) For HR (FIX)'!J$1,'HR Rep'!$A$1:$X$1,0),0),""),"")="","",IFERROR(_xlfn.IFNA(VLOOKUP($A65,'HR Rep'!$A:$X,MATCH('1) For HR (FIX)'!J$1,'HR Rep'!$A$1:$X$1,0),0),""),""))</f>
        <v/>
      </c>
      <c r="K65" s="161">
        <f>_xlfn.XLOOKUP(G65,ค่าตอบแทนการขายในอัตราคงที่!A:A,ค่าตอบแทนการขายในอัตราคงที่!B:B)</f>
        <v>0</v>
      </c>
      <c r="L65" s="174">
        <f>Period!$A$2</f>
        <v>46113</v>
      </c>
      <c r="M65" s="175">
        <f>Period!$C$2</f>
        <v>46143</v>
      </c>
      <c r="N65" s="194" t="s">
        <v>279</v>
      </c>
    </row>
    <row r="66" spans="1:14" ht="11.4" x14ac:dyDescent="0.25">
      <c r="A66" s="137"/>
      <c r="B66" s="169" t="e">
        <f>IF(IF(VLOOKUP(A66,ASTBase!F:P,11,FALSE)="","",VLOOKUP(A66,ASTBase!F:P,11,FALSE))=0,"",IF(VLOOKUP(A66,ASTBase!F:P,11,FALSE)="","",VLOOKUP(A66,ASTBase!F:P,11,FALSE)))</f>
        <v>#N/A</v>
      </c>
      <c r="C66" s="140" t="str">
        <f>IF(IFERROR(_xlfn.IFNA(VLOOKUP($A66,'HR Rep'!$A:$X,MATCH('1) For HR (FIX)'!C$1,'HR Rep'!$A$1:$X$1,0),0),""),"")="","",IFERROR(_xlfn.IFNA(VLOOKUP($A66,'HR Rep'!$A:$X,MATCH('1) For HR (FIX)'!C$1,'HR Rep'!$A$1:$X$1,0),0),""),""))</f>
        <v/>
      </c>
      <c r="D66" s="140" t="str">
        <f>IF(IFERROR(_xlfn.IFNA(VLOOKUP($A66,'HR Rep'!$A:$X,MATCH('1) For HR (FIX)'!D$1,'HR Rep'!$A$1:$X$1,0),0),""),"")="","",IFERROR(_xlfn.IFNA(VLOOKUP($A66,'HR Rep'!$A:$X,MATCH('1) For HR (FIX)'!D$1,'HR Rep'!$A$1:$X$1,0),0),""),""))</f>
        <v/>
      </c>
      <c r="E66" s="140" t="str">
        <f>IF(IFERROR(_xlfn.IFNA(VLOOKUP($A66,'HR Rep'!$A:$X,MATCH('1) For HR (FIX)'!E$1,'HR Rep'!$A$1:$X$1,0),0),""),"")="","",IFERROR(_xlfn.IFNA(VLOOKUP($A66,'HR Rep'!$A:$X,MATCH('1) For HR (FIX)'!E$1,'HR Rep'!$A$1:$X$1,0),0),""),""))</f>
        <v/>
      </c>
      <c r="F66" s="140" t="str">
        <f>IF(IFERROR(_xlfn.IFNA(VLOOKUP($A66,'HR Rep'!$A:$X,MATCH('1) For HR (FIX)'!F$1,'HR Rep'!$A$1:$X$1,0),0),""),"")="","",IFERROR(_xlfn.IFNA(VLOOKUP($A66,'HR Rep'!$A:$X,MATCH('1) For HR (FIX)'!F$1,'HR Rep'!$A$1:$X$1,0),0),""),""))</f>
        <v/>
      </c>
      <c r="G66" s="196"/>
      <c r="H66" s="140" t="str">
        <f>IF(IFERROR(_xlfn.IFNA(VLOOKUP($A66,'HR Rep'!$A:$X,MATCH('1) For HR (FIX)'!H$1,'HR Rep'!$A$1:$X$1,0),0),""),"")="","",IFERROR(_xlfn.IFNA(VLOOKUP($A66,'HR Rep'!$A:$X,MATCH('1) For HR (FIX)'!H$1,'HR Rep'!$A$1:$X$1,0),0),""),""))</f>
        <v/>
      </c>
      <c r="I66" s="140" t="str">
        <f>IF(IFERROR(_xlfn.IFNA(VLOOKUP($A66,'HR Rep'!$A:$X,MATCH('1) For HR (FIX)'!I$1,'HR Rep'!$A$1:$X$1,0),0),""),"")="","",IFERROR(_xlfn.IFNA(VLOOKUP($A66,'HR Rep'!$A:$X,MATCH('1) For HR (FIX)'!I$1,'HR Rep'!$A$1:$X$1,0),0),""),""))</f>
        <v/>
      </c>
      <c r="J66" s="140" t="str">
        <f>IF(IFERROR(_xlfn.IFNA(VLOOKUP($A66,'HR Rep'!$A:$X,MATCH('1) For HR (FIX)'!J$1,'HR Rep'!$A$1:$X$1,0),0),""),"")="","",IFERROR(_xlfn.IFNA(VLOOKUP($A66,'HR Rep'!$A:$X,MATCH('1) For HR (FIX)'!J$1,'HR Rep'!$A$1:$X$1,0),0),""),""))</f>
        <v/>
      </c>
      <c r="K66" s="161">
        <f>_xlfn.XLOOKUP(G66,ค่าตอบแทนการขายในอัตราคงที่!A:A,ค่าตอบแทนการขายในอัตราคงที่!B:B)</f>
        <v>0</v>
      </c>
      <c r="L66" s="174">
        <f>Period!$A$2</f>
        <v>46113</v>
      </c>
      <c r="M66" s="175">
        <f>Period!$C$2</f>
        <v>46143</v>
      </c>
      <c r="N66" s="194" t="s">
        <v>279</v>
      </c>
    </row>
    <row r="67" spans="1:14" ht="11.4" x14ac:dyDescent="0.25">
      <c r="A67" s="137"/>
      <c r="B67" s="169" t="e">
        <f>IF(IF(VLOOKUP(A67,ASTBase!F:P,11,FALSE)="","",VLOOKUP(A67,ASTBase!F:P,11,FALSE))=0,"",IF(VLOOKUP(A67,ASTBase!F:P,11,FALSE)="","",VLOOKUP(A67,ASTBase!F:P,11,FALSE)))</f>
        <v>#N/A</v>
      </c>
      <c r="C67" s="140" t="str">
        <f>IF(IFERROR(_xlfn.IFNA(VLOOKUP($A67,'HR Rep'!$A:$X,MATCH('1) For HR (FIX)'!C$1,'HR Rep'!$A$1:$X$1,0),0),""),"")="","",IFERROR(_xlfn.IFNA(VLOOKUP($A67,'HR Rep'!$A:$X,MATCH('1) For HR (FIX)'!C$1,'HR Rep'!$A$1:$X$1,0),0),""),""))</f>
        <v/>
      </c>
      <c r="D67" s="140" t="str">
        <f>IF(IFERROR(_xlfn.IFNA(VLOOKUP($A67,'HR Rep'!$A:$X,MATCH('1) For HR (FIX)'!D$1,'HR Rep'!$A$1:$X$1,0),0),""),"")="","",IFERROR(_xlfn.IFNA(VLOOKUP($A67,'HR Rep'!$A:$X,MATCH('1) For HR (FIX)'!D$1,'HR Rep'!$A$1:$X$1,0),0),""),""))</f>
        <v/>
      </c>
      <c r="E67" s="140" t="str">
        <f>IF(IFERROR(_xlfn.IFNA(VLOOKUP($A67,'HR Rep'!$A:$X,MATCH('1) For HR (FIX)'!E$1,'HR Rep'!$A$1:$X$1,0),0),""),"")="","",IFERROR(_xlfn.IFNA(VLOOKUP($A67,'HR Rep'!$A:$X,MATCH('1) For HR (FIX)'!E$1,'HR Rep'!$A$1:$X$1,0),0),""),""))</f>
        <v/>
      </c>
      <c r="F67" s="140" t="str">
        <f>IF(IFERROR(_xlfn.IFNA(VLOOKUP($A67,'HR Rep'!$A:$X,MATCH('1) For HR (FIX)'!F$1,'HR Rep'!$A$1:$X$1,0),0),""),"")="","",IFERROR(_xlfn.IFNA(VLOOKUP($A67,'HR Rep'!$A:$X,MATCH('1) For HR (FIX)'!F$1,'HR Rep'!$A$1:$X$1,0),0),""),""))</f>
        <v/>
      </c>
      <c r="G67" s="196"/>
      <c r="H67" s="140" t="str">
        <f>IF(IFERROR(_xlfn.IFNA(VLOOKUP($A67,'HR Rep'!$A:$X,MATCH('1) For HR (FIX)'!H$1,'HR Rep'!$A$1:$X$1,0),0),""),"")="","",IFERROR(_xlfn.IFNA(VLOOKUP($A67,'HR Rep'!$A:$X,MATCH('1) For HR (FIX)'!H$1,'HR Rep'!$A$1:$X$1,0),0),""),""))</f>
        <v/>
      </c>
      <c r="I67" s="140" t="str">
        <f>IF(IFERROR(_xlfn.IFNA(VLOOKUP($A67,'HR Rep'!$A:$X,MATCH('1) For HR (FIX)'!I$1,'HR Rep'!$A$1:$X$1,0),0),""),"")="","",IFERROR(_xlfn.IFNA(VLOOKUP($A67,'HR Rep'!$A:$X,MATCH('1) For HR (FIX)'!I$1,'HR Rep'!$A$1:$X$1,0),0),""),""))</f>
        <v/>
      </c>
      <c r="J67" s="140" t="str">
        <f>IF(IFERROR(_xlfn.IFNA(VLOOKUP($A67,'HR Rep'!$A:$X,MATCH('1) For HR (FIX)'!J$1,'HR Rep'!$A$1:$X$1,0),0),""),"")="","",IFERROR(_xlfn.IFNA(VLOOKUP($A67,'HR Rep'!$A:$X,MATCH('1) For HR (FIX)'!J$1,'HR Rep'!$A$1:$X$1,0),0),""),""))</f>
        <v/>
      </c>
      <c r="K67" s="161">
        <f>_xlfn.XLOOKUP(G67,ค่าตอบแทนการขายในอัตราคงที่!A:A,ค่าตอบแทนการขายในอัตราคงที่!B:B)</f>
        <v>0</v>
      </c>
      <c r="L67" s="174">
        <f>Period!$A$2</f>
        <v>46113</v>
      </c>
      <c r="M67" s="175">
        <f>Period!$C$2</f>
        <v>46143</v>
      </c>
      <c r="N67" s="194" t="s">
        <v>279</v>
      </c>
    </row>
    <row r="68" spans="1:14" ht="11.4" x14ac:dyDescent="0.25">
      <c r="A68" s="137"/>
      <c r="B68" s="169" t="e">
        <f>IF(IF(VLOOKUP(A68,ASTBase!F:P,11,FALSE)="","",VLOOKUP(A68,ASTBase!F:P,11,FALSE))=0,"",IF(VLOOKUP(A68,ASTBase!F:P,11,FALSE)="","",VLOOKUP(A68,ASTBase!F:P,11,FALSE)))</f>
        <v>#N/A</v>
      </c>
      <c r="C68" s="140" t="str">
        <f>IF(IFERROR(_xlfn.IFNA(VLOOKUP($A68,'HR Rep'!$A:$X,MATCH('1) For HR (FIX)'!C$1,'HR Rep'!$A$1:$X$1,0),0),""),"")="","",IFERROR(_xlfn.IFNA(VLOOKUP($A68,'HR Rep'!$A:$X,MATCH('1) For HR (FIX)'!C$1,'HR Rep'!$A$1:$X$1,0),0),""),""))</f>
        <v/>
      </c>
      <c r="D68" s="140" t="str">
        <f>IF(IFERROR(_xlfn.IFNA(VLOOKUP($A68,'HR Rep'!$A:$X,MATCH('1) For HR (FIX)'!D$1,'HR Rep'!$A$1:$X$1,0),0),""),"")="","",IFERROR(_xlfn.IFNA(VLOOKUP($A68,'HR Rep'!$A:$X,MATCH('1) For HR (FIX)'!D$1,'HR Rep'!$A$1:$X$1,0),0),""),""))</f>
        <v/>
      </c>
      <c r="E68" s="140" t="str">
        <f>IF(IFERROR(_xlfn.IFNA(VLOOKUP($A68,'HR Rep'!$A:$X,MATCH('1) For HR (FIX)'!E$1,'HR Rep'!$A$1:$X$1,0),0),""),"")="","",IFERROR(_xlfn.IFNA(VLOOKUP($A68,'HR Rep'!$A:$X,MATCH('1) For HR (FIX)'!E$1,'HR Rep'!$A$1:$X$1,0),0),""),""))</f>
        <v/>
      </c>
      <c r="F68" s="140" t="str">
        <f>IF(IFERROR(_xlfn.IFNA(VLOOKUP($A68,'HR Rep'!$A:$X,MATCH('1) For HR (FIX)'!F$1,'HR Rep'!$A$1:$X$1,0),0),""),"")="","",IFERROR(_xlfn.IFNA(VLOOKUP($A68,'HR Rep'!$A:$X,MATCH('1) For HR (FIX)'!F$1,'HR Rep'!$A$1:$X$1,0),0),""),""))</f>
        <v/>
      </c>
      <c r="G68" s="196"/>
      <c r="H68" s="140" t="str">
        <f>IF(IFERROR(_xlfn.IFNA(VLOOKUP($A68,'HR Rep'!$A:$X,MATCH('1) For HR (FIX)'!H$1,'HR Rep'!$A$1:$X$1,0),0),""),"")="","",IFERROR(_xlfn.IFNA(VLOOKUP($A68,'HR Rep'!$A:$X,MATCH('1) For HR (FIX)'!H$1,'HR Rep'!$A$1:$X$1,0),0),""),""))</f>
        <v/>
      </c>
      <c r="I68" s="140" t="str">
        <f>IF(IFERROR(_xlfn.IFNA(VLOOKUP($A68,'HR Rep'!$A:$X,MATCH('1) For HR (FIX)'!I$1,'HR Rep'!$A$1:$X$1,0),0),""),"")="","",IFERROR(_xlfn.IFNA(VLOOKUP($A68,'HR Rep'!$A:$X,MATCH('1) For HR (FIX)'!I$1,'HR Rep'!$A$1:$X$1,0),0),""),""))</f>
        <v/>
      </c>
      <c r="J68" s="140" t="str">
        <f>IF(IFERROR(_xlfn.IFNA(VLOOKUP($A68,'HR Rep'!$A:$X,MATCH('1) For HR (FIX)'!J$1,'HR Rep'!$A$1:$X$1,0),0),""),"")="","",IFERROR(_xlfn.IFNA(VLOOKUP($A68,'HR Rep'!$A:$X,MATCH('1) For HR (FIX)'!J$1,'HR Rep'!$A$1:$X$1,0),0),""),""))</f>
        <v/>
      </c>
      <c r="K68" s="161">
        <f>_xlfn.XLOOKUP(G68,ค่าตอบแทนการขายในอัตราคงที่!A:A,ค่าตอบแทนการขายในอัตราคงที่!B:B)</f>
        <v>0</v>
      </c>
      <c r="L68" s="174">
        <f>Period!$A$2</f>
        <v>46113</v>
      </c>
      <c r="M68" s="175">
        <f>Period!$C$2</f>
        <v>46143</v>
      </c>
      <c r="N68" s="194" t="s">
        <v>279</v>
      </c>
    </row>
    <row r="69" spans="1:14" ht="11.4" x14ac:dyDescent="0.25">
      <c r="A69" s="137"/>
      <c r="B69" s="169" t="e">
        <f>IF(IF(VLOOKUP(A69,ASTBase!F:P,11,FALSE)="","",VLOOKUP(A69,ASTBase!F:P,11,FALSE))=0,"",IF(VLOOKUP(A69,ASTBase!F:P,11,FALSE)="","",VLOOKUP(A69,ASTBase!F:P,11,FALSE)))</f>
        <v>#N/A</v>
      </c>
      <c r="C69" s="140" t="str">
        <f>IF(IFERROR(_xlfn.IFNA(VLOOKUP($A69,'HR Rep'!$A:$X,MATCH('1) For HR (FIX)'!C$1,'HR Rep'!$A$1:$X$1,0),0),""),"")="","",IFERROR(_xlfn.IFNA(VLOOKUP($A69,'HR Rep'!$A:$X,MATCH('1) For HR (FIX)'!C$1,'HR Rep'!$A$1:$X$1,0),0),""),""))</f>
        <v/>
      </c>
      <c r="D69" s="140" t="str">
        <f>IF(IFERROR(_xlfn.IFNA(VLOOKUP($A69,'HR Rep'!$A:$X,MATCH('1) For HR (FIX)'!D$1,'HR Rep'!$A$1:$X$1,0),0),""),"")="","",IFERROR(_xlfn.IFNA(VLOOKUP($A69,'HR Rep'!$A:$X,MATCH('1) For HR (FIX)'!D$1,'HR Rep'!$A$1:$X$1,0),0),""),""))</f>
        <v/>
      </c>
      <c r="E69" s="140" t="str">
        <f>IF(IFERROR(_xlfn.IFNA(VLOOKUP($A69,'HR Rep'!$A:$X,MATCH('1) For HR (FIX)'!E$1,'HR Rep'!$A$1:$X$1,0),0),""),"")="","",IFERROR(_xlfn.IFNA(VLOOKUP($A69,'HR Rep'!$A:$X,MATCH('1) For HR (FIX)'!E$1,'HR Rep'!$A$1:$X$1,0),0),""),""))</f>
        <v/>
      </c>
      <c r="F69" s="140" t="str">
        <f>IF(IFERROR(_xlfn.IFNA(VLOOKUP($A69,'HR Rep'!$A:$X,MATCH('1) For HR (FIX)'!F$1,'HR Rep'!$A$1:$X$1,0),0),""),"")="","",IFERROR(_xlfn.IFNA(VLOOKUP($A69,'HR Rep'!$A:$X,MATCH('1) For HR (FIX)'!F$1,'HR Rep'!$A$1:$X$1,0),0),""),""))</f>
        <v/>
      </c>
      <c r="G69" s="196"/>
      <c r="H69" s="140" t="str">
        <f>IF(IFERROR(_xlfn.IFNA(VLOOKUP($A69,'HR Rep'!$A:$X,MATCH('1) For HR (FIX)'!H$1,'HR Rep'!$A$1:$X$1,0),0),""),"")="","",IFERROR(_xlfn.IFNA(VLOOKUP($A69,'HR Rep'!$A:$X,MATCH('1) For HR (FIX)'!H$1,'HR Rep'!$A$1:$X$1,0),0),""),""))</f>
        <v/>
      </c>
      <c r="I69" s="140" t="str">
        <f>IF(IFERROR(_xlfn.IFNA(VLOOKUP($A69,'HR Rep'!$A:$X,MATCH('1) For HR (FIX)'!I$1,'HR Rep'!$A$1:$X$1,0),0),""),"")="","",IFERROR(_xlfn.IFNA(VLOOKUP($A69,'HR Rep'!$A:$X,MATCH('1) For HR (FIX)'!I$1,'HR Rep'!$A$1:$X$1,0),0),""),""))</f>
        <v/>
      </c>
      <c r="J69" s="140" t="str">
        <f>IF(IFERROR(_xlfn.IFNA(VLOOKUP($A69,'HR Rep'!$A:$X,MATCH('1) For HR (FIX)'!J$1,'HR Rep'!$A$1:$X$1,0),0),""),"")="","",IFERROR(_xlfn.IFNA(VLOOKUP($A69,'HR Rep'!$A:$X,MATCH('1) For HR (FIX)'!J$1,'HR Rep'!$A$1:$X$1,0),0),""),""))</f>
        <v/>
      </c>
      <c r="K69" s="161">
        <f>_xlfn.XLOOKUP(G69,ค่าตอบแทนการขายในอัตราคงที่!A:A,ค่าตอบแทนการขายในอัตราคงที่!B:B)</f>
        <v>0</v>
      </c>
      <c r="L69" s="174">
        <f>Period!$A$2</f>
        <v>46113</v>
      </c>
      <c r="M69" s="175">
        <f>Period!$C$2</f>
        <v>46143</v>
      </c>
      <c r="N69" s="194" t="s">
        <v>279</v>
      </c>
    </row>
    <row r="70" spans="1:14" ht="11.4" x14ac:dyDescent="0.25">
      <c r="A70" s="137"/>
      <c r="B70" s="169" t="e">
        <f>IF(IF(VLOOKUP(A70,ASTBase!F:P,11,FALSE)="","",VLOOKUP(A70,ASTBase!F:P,11,FALSE))=0,"",IF(VLOOKUP(A70,ASTBase!F:P,11,FALSE)="","",VLOOKUP(A70,ASTBase!F:P,11,FALSE)))</f>
        <v>#N/A</v>
      </c>
      <c r="C70" s="140" t="str">
        <f>IF(IFERROR(_xlfn.IFNA(VLOOKUP($A70,'HR Rep'!$A:$X,MATCH('1) For HR (FIX)'!C$1,'HR Rep'!$A$1:$X$1,0),0),""),"")="","",IFERROR(_xlfn.IFNA(VLOOKUP($A70,'HR Rep'!$A:$X,MATCH('1) For HR (FIX)'!C$1,'HR Rep'!$A$1:$X$1,0),0),""),""))</f>
        <v/>
      </c>
      <c r="D70" s="140" t="str">
        <f>IF(IFERROR(_xlfn.IFNA(VLOOKUP($A70,'HR Rep'!$A:$X,MATCH('1) For HR (FIX)'!D$1,'HR Rep'!$A$1:$X$1,0),0),""),"")="","",IFERROR(_xlfn.IFNA(VLOOKUP($A70,'HR Rep'!$A:$X,MATCH('1) For HR (FIX)'!D$1,'HR Rep'!$A$1:$X$1,0),0),""),""))</f>
        <v/>
      </c>
      <c r="E70" s="140" t="str">
        <f>IF(IFERROR(_xlfn.IFNA(VLOOKUP($A70,'HR Rep'!$A:$X,MATCH('1) For HR (FIX)'!E$1,'HR Rep'!$A$1:$X$1,0),0),""),"")="","",IFERROR(_xlfn.IFNA(VLOOKUP($A70,'HR Rep'!$A:$X,MATCH('1) For HR (FIX)'!E$1,'HR Rep'!$A$1:$X$1,0),0),""),""))</f>
        <v/>
      </c>
      <c r="F70" s="140" t="str">
        <f>IF(IFERROR(_xlfn.IFNA(VLOOKUP($A70,'HR Rep'!$A:$X,MATCH('1) For HR (FIX)'!F$1,'HR Rep'!$A$1:$X$1,0),0),""),"")="","",IFERROR(_xlfn.IFNA(VLOOKUP($A70,'HR Rep'!$A:$X,MATCH('1) For HR (FIX)'!F$1,'HR Rep'!$A$1:$X$1,0),0),""),""))</f>
        <v/>
      </c>
      <c r="G70" s="196"/>
      <c r="H70" s="140" t="str">
        <f>IF(IFERROR(_xlfn.IFNA(VLOOKUP($A70,'HR Rep'!$A:$X,MATCH('1) For HR (FIX)'!H$1,'HR Rep'!$A$1:$X$1,0),0),""),"")="","",IFERROR(_xlfn.IFNA(VLOOKUP($A70,'HR Rep'!$A:$X,MATCH('1) For HR (FIX)'!H$1,'HR Rep'!$A$1:$X$1,0),0),""),""))</f>
        <v/>
      </c>
      <c r="I70" s="140" t="str">
        <f>IF(IFERROR(_xlfn.IFNA(VLOOKUP($A70,'HR Rep'!$A:$X,MATCH('1) For HR (FIX)'!I$1,'HR Rep'!$A$1:$X$1,0),0),""),"")="","",IFERROR(_xlfn.IFNA(VLOOKUP($A70,'HR Rep'!$A:$X,MATCH('1) For HR (FIX)'!I$1,'HR Rep'!$A$1:$X$1,0),0),""),""))</f>
        <v/>
      </c>
      <c r="J70" s="140" t="str">
        <f>IF(IFERROR(_xlfn.IFNA(VLOOKUP($A70,'HR Rep'!$A:$X,MATCH('1) For HR (FIX)'!J$1,'HR Rep'!$A$1:$X$1,0),0),""),"")="","",IFERROR(_xlfn.IFNA(VLOOKUP($A70,'HR Rep'!$A:$X,MATCH('1) For HR (FIX)'!J$1,'HR Rep'!$A$1:$X$1,0),0),""),""))</f>
        <v/>
      </c>
      <c r="K70" s="161">
        <f>_xlfn.XLOOKUP(G70,ค่าตอบแทนการขายในอัตราคงที่!A:A,ค่าตอบแทนการขายในอัตราคงที่!B:B)</f>
        <v>0</v>
      </c>
      <c r="L70" s="174">
        <f>Period!$A$2</f>
        <v>46113</v>
      </c>
      <c r="M70" s="175">
        <f>Period!$C$2</f>
        <v>46143</v>
      </c>
      <c r="N70" s="194" t="s">
        <v>279</v>
      </c>
    </row>
    <row r="71" spans="1:14" ht="11.4" x14ac:dyDescent="0.25">
      <c r="A71" s="137"/>
      <c r="B71" s="169" t="e">
        <f>IF(IF(VLOOKUP(A71,ASTBase!F:P,11,FALSE)="","",VLOOKUP(A71,ASTBase!F:P,11,FALSE))=0,"",IF(VLOOKUP(A71,ASTBase!F:P,11,FALSE)="","",VLOOKUP(A71,ASTBase!F:P,11,FALSE)))</f>
        <v>#N/A</v>
      </c>
      <c r="C71" s="140" t="str">
        <f>IF(IFERROR(_xlfn.IFNA(VLOOKUP($A71,'HR Rep'!$A:$X,MATCH('1) For HR (FIX)'!C$1,'HR Rep'!$A$1:$X$1,0),0),""),"")="","",IFERROR(_xlfn.IFNA(VLOOKUP($A71,'HR Rep'!$A:$X,MATCH('1) For HR (FIX)'!C$1,'HR Rep'!$A$1:$X$1,0),0),""),""))</f>
        <v/>
      </c>
      <c r="D71" s="140" t="str">
        <f>IF(IFERROR(_xlfn.IFNA(VLOOKUP($A71,'HR Rep'!$A:$X,MATCH('1) For HR (FIX)'!D$1,'HR Rep'!$A$1:$X$1,0),0),""),"")="","",IFERROR(_xlfn.IFNA(VLOOKUP($A71,'HR Rep'!$A:$X,MATCH('1) For HR (FIX)'!D$1,'HR Rep'!$A$1:$X$1,0),0),""),""))</f>
        <v/>
      </c>
      <c r="E71" s="140" t="str">
        <f>IF(IFERROR(_xlfn.IFNA(VLOOKUP($A71,'HR Rep'!$A:$X,MATCH('1) For HR (FIX)'!E$1,'HR Rep'!$A$1:$X$1,0),0),""),"")="","",IFERROR(_xlfn.IFNA(VLOOKUP($A71,'HR Rep'!$A:$X,MATCH('1) For HR (FIX)'!E$1,'HR Rep'!$A$1:$X$1,0),0),""),""))</f>
        <v/>
      </c>
      <c r="F71" s="140" t="str">
        <f>IF(IFERROR(_xlfn.IFNA(VLOOKUP($A71,'HR Rep'!$A:$X,MATCH('1) For HR (FIX)'!F$1,'HR Rep'!$A$1:$X$1,0),0),""),"")="","",IFERROR(_xlfn.IFNA(VLOOKUP($A71,'HR Rep'!$A:$X,MATCH('1) For HR (FIX)'!F$1,'HR Rep'!$A$1:$X$1,0),0),""),""))</f>
        <v/>
      </c>
      <c r="G71" s="196"/>
      <c r="H71" s="140" t="str">
        <f>IF(IFERROR(_xlfn.IFNA(VLOOKUP($A71,'HR Rep'!$A:$X,MATCH('1) For HR (FIX)'!H$1,'HR Rep'!$A$1:$X$1,0),0),""),"")="","",IFERROR(_xlfn.IFNA(VLOOKUP($A71,'HR Rep'!$A:$X,MATCH('1) For HR (FIX)'!H$1,'HR Rep'!$A$1:$X$1,0),0),""),""))</f>
        <v/>
      </c>
      <c r="I71" s="140" t="str">
        <f>IF(IFERROR(_xlfn.IFNA(VLOOKUP($A71,'HR Rep'!$A:$X,MATCH('1) For HR (FIX)'!I$1,'HR Rep'!$A$1:$X$1,0),0),""),"")="","",IFERROR(_xlfn.IFNA(VLOOKUP($A71,'HR Rep'!$A:$X,MATCH('1) For HR (FIX)'!I$1,'HR Rep'!$A$1:$X$1,0),0),""),""))</f>
        <v/>
      </c>
      <c r="J71" s="140" t="str">
        <f>IF(IFERROR(_xlfn.IFNA(VLOOKUP($A71,'HR Rep'!$A:$X,MATCH('1) For HR (FIX)'!J$1,'HR Rep'!$A$1:$X$1,0),0),""),"")="","",IFERROR(_xlfn.IFNA(VLOOKUP($A71,'HR Rep'!$A:$X,MATCH('1) For HR (FIX)'!J$1,'HR Rep'!$A$1:$X$1,0),0),""),""))</f>
        <v/>
      </c>
      <c r="K71" s="161">
        <f>_xlfn.XLOOKUP(G71,ค่าตอบแทนการขายในอัตราคงที่!A:A,ค่าตอบแทนการขายในอัตราคงที่!B:B)</f>
        <v>0</v>
      </c>
      <c r="L71" s="174">
        <f>Period!$A$2</f>
        <v>46113</v>
      </c>
      <c r="M71" s="175">
        <f>Period!$C$2</f>
        <v>46143</v>
      </c>
      <c r="N71" s="194" t="s">
        <v>279</v>
      </c>
    </row>
    <row r="72" spans="1:14" ht="11.4" x14ac:dyDescent="0.25">
      <c r="A72" s="137"/>
      <c r="B72" s="169" t="e">
        <f>IF(IF(VLOOKUP(A72,ASTBase!F:P,11,FALSE)="","",VLOOKUP(A72,ASTBase!F:P,11,FALSE))=0,"",IF(VLOOKUP(A72,ASTBase!F:P,11,FALSE)="","",VLOOKUP(A72,ASTBase!F:P,11,FALSE)))</f>
        <v>#N/A</v>
      </c>
      <c r="C72" s="140" t="str">
        <f>IF(IFERROR(_xlfn.IFNA(VLOOKUP($A72,'HR Rep'!$A:$X,MATCH('1) For HR (FIX)'!C$1,'HR Rep'!$A$1:$X$1,0),0),""),"")="","",IFERROR(_xlfn.IFNA(VLOOKUP($A72,'HR Rep'!$A:$X,MATCH('1) For HR (FIX)'!C$1,'HR Rep'!$A$1:$X$1,0),0),""),""))</f>
        <v/>
      </c>
      <c r="D72" s="140" t="str">
        <f>IF(IFERROR(_xlfn.IFNA(VLOOKUP($A72,'HR Rep'!$A:$X,MATCH('1) For HR (FIX)'!D$1,'HR Rep'!$A$1:$X$1,0),0),""),"")="","",IFERROR(_xlfn.IFNA(VLOOKUP($A72,'HR Rep'!$A:$X,MATCH('1) For HR (FIX)'!D$1,'HR Rep'!$A$1:$X$1,0),0),""),""))</f>
        <v/>
      </c>
      <c r="E72" s="140" t="str">
        <f>IF(IFERROR(_xlfn.IFNA(VLOOKUP($A72,'HR Rep'!$A:$X,MATCH('1) For HR (FIX)'!E$1,'HR Rep'!$A$1:$X$1,0),0),""),"")="","",IFERROR(_xlfn.IFNA(VLOOKUP($A72,'HR Rep'!$A:$X,MATCH('1) For HR (FIX)'!E$1,'HR Rep'!$A$1:$X$1,0),0),""),""))</f>
        <v/>
      </c>
      <c r="F72" s="140" t="str">
        <f>IF(IFERROR(_xlfn.IFNA(VLOOKUP($A72,'HR Rep'!$A:$X,MATCH('1) For HR (FIX)'!F$1,'HR Rep'!$A$1:$X$1,0),0),""),"")="","",IFERROR(_xlfn.IFNA(VLOOKUP($A72,'HR Rep'!$A:$X,MATCH('1) For HR (FIX)'!F$1,'HR Rep'!$A$1:$X$1,0),0),""),""))</f>
        <v/>
      </c>
      <c r="G72" s="196"/>
      <c r="H72" s="140" t="str">
        <f>IF(IFERROR(_xlfn.IFNA(VLOOKUP($A72,'HR Rep'!$A:$X,MATCH('1) For HR (FIX)'!H$1,'HR Rep'!$A$1:$X$1,0),0),""),"")="","",IFERROR(_xlfn.IFNA(VLOOKUP($A72,'HR Rep'!$A:$X,MATCH('1) For HR (FIX)'!H$1,'HR Rep'!$A$1:$X$1,0),0),""),""))</f>
        <v/>
      </c>
      <c r="I72" s="140" t="str">
        <f>IF(IFERROR(_xlfn.IFNA(VLOOKUP($A72,'HR Rep'!$A:$X,MATCH('1) For HR (FIX)'!I$1,'HR Rep'!$A$1:$X$1,0),0),""),"")="","",IFERROR(_xlfn.IFNA(VLOOKUP($A72,'HR Rep'!$A:$X,MATCH('1) For HR (FIX)'!I$1,'HR Rep'!$A$1:$X$1,0),0),""),""))</f>
        <v/>
      </c>
      <c r="J72" s="140" t="str">
        <f>IF(IFERROR(_xlfn.IFNA(VLOOKUP($A72,'HR Rep'!$A:$X,MATCH('1) For HR (FIX)'!J$1,'HR Rep'!$A$1:$X$1,0),0),""),"")="","",IFERROR(_xlfn.IFNA(VLOOKUP($A72,'HR Rep'!$A:$X,MATCH('1) For HR (FIX)'!J$1,'HR Rep'!$A$1:$X$1,0),0),""),""))</f>
        <v/>
      </c>
      <c r="K72" s="161">
        <f>_xlfn.XLOOKUP(G72,ค่าตอบแทนการขายในอัตราคงที่!A:A,ค่าตอบแทนการขายในอัตราคงที่!B:B)</f>
        <v>0</v>
      </c>
      <c r="L72" s="174">
        <f>Period!$A$2</f>
        <v>46113</v>
      </c>
      <c r="M72" s="175">
        <f>Period!$C$2</f>
        <v>46143</v>
      </c>
      <c r="N72" s="194" t="s">
        <v>279</v>
      </c>
    </row>
    <row r="73" spans="1:14" ht="11.4" x14ac:dyDescent="0.25">
      <c r="A73" s="137"/>
      <c r="B73" s="169" t="e">
        <f>IF(IF(VLOOKUP(A73,ASTBase!F:P,11,FALSE)="","",VLOOKUP(A73,ASTBase!F:P,11,FALSE))=0,"",IF(VLOOKUP(A73,ASTBase!F:P,11,FALSE)="","",VLOOKUP(A73,ASTBase!F:P,11,FALSE)))</f>
        <v>#N/A</v>
      </c>
      <c r="C73" s="140" t="str">
        <f>IF(IFERROR(_xlfn.IFNA(VLOOKUP($A73,'HR Rep'!$A:$X,MATCH('1) For HR (FIX)'!C$1,'HR Rep'!$A$1:$X$1,0),0),""),"")="","",IFERROR(_xlfn.IFNA(VLOOKUP($A73,'HR Rep'!$A:$X,MATCH('1) For HR (FIX)'!C$1,'HR Rep'!$A$1:$X$1,0),0),""),""))</f>
        <v/>
      </c>
      <c r="D73" s="140" t="str">
        <f>IF(IFERROR(_xlfn.IFNA(VLOOKUP($A73,'HR Rep'!$A:$X,MATCH('1) For HR (FIX)'!D$1,'HR Rep'!$A$1:$X$1,0),0),""),"")="","",IFERROR(_xlfn.IFNA(VLOOKUP($A73,'HR Rep'!$A:$X,MATCH('1) For HR (FIX)'!D$1,'HR Rep'!$A$1:$X$1,0),0),""),""))</f>
        <v/>
      </c>
      <c r="E73" s="140" t="str">
        <f>IF(IFERROR(_xlfn.IFNA(VLOOKUP($A73,'HR Rep'!$A:$X,MATCH('1) For HR (FIX)'!E$1,'HR Rep'!$A$1:$X$1,0),0),""),"")="","",IFERROR(_xlfn.IFNA(VLOOKUP($A73,'HR Rep'!$A:$X,MATCH('1) For HR (FIX)'!E$1,'HR Rep'!$A$1:$X$1,0),0),""),""))</f>
        <v/>
      </c>
      <c r="F73" s="140" t="str">
        <f>IF(IFERROR(_xlfn.IFNA(VLOOKUP($A73,'HR Rep'!$A:$X,MATCH('1) For HR (FIX)'!F$1,'HR Rep'!$A$1:$X$1,0),0),""),"")="","",IFERROR(_xlfn.IFNA(VLOOKUP($A73,'HR Rep'!$A:$X,MATCH('1) For HR (FIX)'!F$1,'HR Rep'!$A$1:$X$1,0),0),""),""))</f>
        <v/>
      </c>
      <c r="G73" s="196"/>
      <c r="H73" s="140" t="str">
        <f>IF(IFERROR(_xlfn.IFNA(VLOOKUP($A73,'HR Rep'!$A:$X,MATCH('1) For HR (FIX)'!H$1,'HR Rep'!$A$1:$X$1,0),0),""),"")="","",IFERROR(_xlfn.IFNA(VLOOKUP($A73,'HR Rep'!$A:$X,MATCH('1) For HR (FIX)'!H$1,'HR Rep'!$A$1:$X$1,0),0),""),""))</f>
        <v/>
      </c>
      <c r="I73" s="140" t="str">
        <f>IF(IFERROR(_xlfn.IFNA(VLOOKUP($A73,'HR Rep'!$A:$X,MATCH('1) For HR (FIX)'!I$1,'HR Rep'!$A$1:$X$1,0),0),""),"")="","",IFERROR(_xlfn.IFNA(VLOOKUP($A73,'HR Rep'!$A:$X,MATCH('1) For HR (FIX)'!I$1,'HR Rep'!$A$1:$X$1,0),0),""),""))</f>
        <v/>
      </c>
      <c r="J73" s="140" t="str">
        <f>IF(IFERROR(_xlfn.IFNA(VLOOKUP($A73,'HR Rep'!$A:$X,MATCH('1) For HR (FIX)'!J$1,'HR Rep'!$A$1:$X$1,0),0),""),"")="","",IFERROR(_xlfn.IFNA(VLOOKUP($A73,'HR Rep'!$A:$X,MATCH('1) For HR (FIX)'!J$1,'HR Rep'!$A$1:$X$1,0),0),""),""))</f>
        <v/>
      </c>
      <c r="K73" s="161">
        <f>_xlfn.XLOOKUP(G73,ค่าตอบแทนการขายในอัตราคงที่!A:A,ค่าตอบแทนการขายในอัตราคงที่!B:B)</f>
        <v>0</v>
      </c>
      <c r="L73" s="174">
        <f>Period!$A$2</f>
        <v>46113</v>
      </c>
      <c r="M73" s="175">
        <f>Period!$C$2</f>
        <v>46143</v>
      </c>
      <c r="N73" s="194" t="s">
        <v>279</v>
      </c>
    </row>
    <row r="74" spans="1:14" ht="11.4" x14ac:dyDescent="0.25">
      <c r="A74" s="137"/>
      <c r="B74" s="169" t="e">
        <f>IF(IF(VLOOKUP(A74,ASTBase!F:P,11,FALSE)="","",VLOOKUP(A74,ASTBase!F:P,11,FALSE))=0,"",IF(VLOOKUP(A74,ASTBase!F:P,11,FALSE)="","",VLOOKUP(A74,ASTBase!F:P,11,FALSE)))</f>
        <v>#N/A</v>
      </c>
      <c r="C74" s="140" t="str">
        <f>IF(IFERROR(_xlfn.IFNA(VLOOKUP($A74,'HR Rep'!$A:$X,MATCH('1) For HR (FIX)'!C$1,'HR Rep'!$A$1:$X$1,0),0),""),"")="","",IFERROR(_xlfn.IFNA(VLOOKUP($A74,'HR Rep'!$A:$X,MATCH('1) For HR (FIX)'!C$1,'HR Rep'!$A$1:$X$1,0),0),""),""))</f>
        <v/>
      </c>
      <c r="D74" s="140" t="str">
        <f>IF(IFERROR(_xlfn.IFNA(VLOOKUP($A74,'HR Rep'!$A:$X,MATCH('1) For HR (FIX)'!D$1,'HR Rep'!$A$1:$X$1,0),0),""),"")="","",IFERROR(_xlfn.IFNA(VLOOKUP($A74,'HR Rep'!$A:$X,MATCH('1) For HR (FIX)'!D$1,'HR Rep'!$A$1:$X$1,0),0),""),""))</f>
        <v/>
      </c>
      <c r="E74" s="140" t="str">
        <f>IF(IFERROR(_xlfn.IFNA(VLOOKUP($A74,'HR Rep'!$A:$X,MATCH('1) For HR (FIX)'!E$1,'HR Rep'!$A$1:$X$1,0),0),""),"")="","",IFERROR(_xlfn.IFNA(VLOOKUP($A74,'HR Rep'!$A:$X,MATCH('1) For HR (FIX)'!E$1,'HR Rep'!$A$1:$X$1,0),0),""),""))</f>
        <v/>
      </c>
      <c r="F74" s="140" t="str">
        <f>IF(IFERROR(_xlfn.IFNA(VLOOKUP($A74,'HR Rep'!$A:$X,MATCH('1) For HR (FIX)'!F$1,'HR Rep'!$A$1:$X$1,0),0),""),"")="","",IFERROR(_xlfn.IFNA(VLOOKUP($A74,'HR Rep'!$A:$X,MATCH('1) For HR (FIX)'!F$1,'HR Rep'!$A$1:$X$1,0),0),""),""))</f>
        <v/>
      </c>
      <c r="G74" s="196"/>
      <c r="H74" s="140" t="str">
        <f>IF(IFERROR(_xlfn.IFNA(VLOOKUP($A74,'HR Rep'!$A:$X,MATCH('1) For HR (FIX)'!H$1,'HR Rep'!$A$1:$X$1,0),0),""),"")="","",IFERROR(_xlfn.IFNA(VLOOKUP($A74,'HR Rep'!$A:$X,MATCH('1) For HR (FIX)'!H$1,'HR Rep'!$A$1:$X$1,0),0),""),""))</f>
        <v/>
      </c>
      <c r="I74" s="140" t="str">
        <f>IF(IFERROR(_xlfn.IFNA(VLOOKUP($A74,'HR Rep'!$A:$X,MATCH('1) For HR (FIX)'!I$1,'HR Rep'!$A$1:$X$1,0),0),""),"")="","",IFERROR(_xlfn.IFNA(VLOOKUP($A74,'HR Rep'!$A:$X,MATCH('1) For HR (FIX)'!I$1,'HR Rep'!$A$1:$X$1,0),0),""),""))</f>
        <v/>
      </c>
      <c r="J74" s="140" t="str">
        <f>IF(IFERROR(_xlfn.IFNA(VLOOKUP($A74,'HR Rep'!$A:$X,MATCH('1) For HR (FIX)'!J$1,'HR Rep'!$A$1:$X$1,0),0),""),"")="","",IFERROR(_xlfn.IFNA(VLOOKUP($A74,'HR Rep'!$A:$X,MATCH('1) For HR (FIX)'!J$1,'HR Rep'!$A$1:$X$1,0),0),""),""))</f>
        <v/>
      </c>
      <c r="K74" s="161">
        <f>_xlfn.XLOOKUP(G74,ค่าตอบแทนการขายในอัตราคงที่!A:A,ค่าตอบแทนการขายในอัตราคงที่!B:B)</f>
        <v>0</v>
      </c>
      <c r="L74" s="174">
        <f>Period!$A$2</f>
        <v>46113</v>
      </c>
      <c r="M74" s="175">
        <f>Period!$C$2</f>
        <v>46143</v>
      </c>
      <c r="N74" s="194" t="s">
        <v>279</v>
      </c>
    </row>
    <row r="75" spans="1:14" ht="11.4" x14ac:dyDescent="0.25">
      <c r="A75" s="137"/>
      <c r="B75" s="169" t="e">
        <f>IF(IF(VLOOKUP(A75,ASTBase!F:P,11,FALSE)="","",VLOOKUP(A75,ASTBase!F:P,11,FALSE))=0,"",IF(VLOOKUP(A75,ASTBase!F:P,11,FALSE)="","",VLOOKUP(A75,ASTBase!F:P,11,FALSE)))</f>
        <v>#N/A</v>
      </c>
      <c r="C75" s="140" t="str">
        <f>IF(IFERROR(_xlfn.IFNA(VLOOKUP($A75,'HR Rep'!$A:$X,MATCH('1) For HR (FIX)'!C$1,'HR Rep'!$A$1:$X$1,0),0),""),"")="","",IFERROR(_xlfn.IFNA(VLOOKUP($A75,'HR Rep'!$A:$X,MATCH('1) For HR (FIX)'!C$1,'HR Rep'!$A$1:$X$1,0),0),""),""))</f>
        <v/>
      </c>
      <c r="D75" s="140" t="str">
        <f>IF(IFERROR(_xlfn.IFNA(VLOOKUP($A75,'HR Rep'!$A:$X,MATCH('1) For HR (FIX)'!D$1,'HR Rep'!$A$1:$X$1,0),0),""),"")="","",IFERROR(_xlfn.IFNA(VLOOKUP($A75,'HR Rep'!$A:$X,MATCH('1) For HR (FIX)'!D$1,'HR Rep'!$A$1:$X$1,0),0),""),""))</f>
        <v/>
      </c>
      <c r="E75" s="140" t="str">
        <f>IF(IFERROR(_xlfn.IFNA(VLOOKUP($A75,'HR Rep'!$A:$X,MATCH('1) For HR (FIX)'!E$1,'HR Rep'!$A$1:$X$1,0),0),""),"")="","",IFERROR(_xlfn.IFNA(VLOOKUP($A75,'HR Rep'!$A:$X,MATCH('1) For HR (FIX)'!E$1,'HR Rep'!$A$1:$X$1,0),0),""),""))</f>
        <v/>
      </c>
      <c r="F75" s="140" t="str">
        <f>IF(IFERROR(_xlfn.IFNA(VLOOKUP($A75,'HR Rep'!$A:$X,MATCH('1) For HR (FIX)'!F$1,'HR Rep'!$A$1:$X$1,0),0),""),"")="","",IFERROR(_xlfn.IFNA(VLOOKUP($A75,'HR Rep'!$A:$X,MATCH('1) For HR (FIX)'!F$1,'HR Rep'!$A$1:$X$1,0),0),""),""))</f>
        <v/>
      </c>
      <c r="G75" s="196"/>
      <c r="H75" s="140" t="str">
        <f>IF(IFERROR(_xlfn.IFNA(VLOOKUP($A75,'HR Rep'!$A:$X,MATCH('1) For HR (FIX)'!H$1,'HR Rep'!$A$1:$X$1,0),0),""),"")="","",IFERROR(_xlfn.IFNA(VLOOKUP($A75,'HR Rep'!$A:$X,MATCH('1) For HR (FIX)'!H$1,'HR Rep'!$A$1:$X$1,0),0),""),""))</f>
        <v/>
      </c>
      <c r="I75" s="140" t="str">
        <f>IF(IFERROR(_xlfn.IFNA(VLOOKUP($A75,'HR Rep'!$A:$X,MATCH('1) For HR (FIX)'!I$1,'HR Rep'!$A$1:$X$1,0),0),""),"")="","",IFERROR(_xlfn.IFNA(VLOOKUP($A75,'HR Rep'!$A:$X,MATCH('1) For HR (FIX)'!I$1,'HR Rep'!$A$1:$X$1,0),0),""),""))</f>
        <v/>
      </c>
      <c r="J75" s="140" t="str">
        <f>IF(IFERROR(_xlfn.IFNA(VLOOKUP($A75,'HR Rep'!$A:$X,MATCH('1) For HR (FIX)'!J$1,'HR Rep'!$A$1:$X$1,0),0),""),"")="","",IFERROR(_xlfn.IFNA(VLOOKUP($A75,'HR Rep'!$A:$X,MATCH('1) For HR (FIX)'!J$1,'HR Rep'!$A$1:$X$1,0),0),""),""))</f>
        <v/>
      </c>
      <c r="K75" s="161">
        <f>_xlfn.XLOOKUP(G75,ค่าตอบแทนการขายในอัตราคงที่!A:A,ค่าตอบแทนการขายในอัตราคงที่!B:B)</f>
        <v>0</v>
      </c>
      <c r="L75" s="174">
        <f>Period!$A$2</f>
        <v>46113</v>
      </c>
      <c r="M75" s="175">
        <f>Period!$C$2</f>
        <v>46143</v>
      </c>
      <c r="N75" s="194" t="s">
        <v>279</v>
      </c>
    </row>
    <row r="76" spans="1:14" ht="11.4" x14ac:dyDescent="0.25">
      <c r="A76" s="137"/>
      <c r="B76" s="169" t="e">
        <f>IF(IF(VLOOKUP(A76,ASTBase!F:P,11,FALSE)="","",VLOOKUP(A76,ASTBase!F:P,11,FALSE))=0,"",IF(VLOOKUP(A76,ASTBase!F:P,11,FALSE)="","",VLOOKUP(A76,ASTBase!F:P,11,FALSE)))</f>
        <v>#N/A</v>
      </c>
      <c r="C76" s="140" t="str">
        <f>IF(IFERROR(_xlfn.IFNA(VLOOKUP($A76,'HR Rep'!$A:$X,MATCH('1) For HR (FIX)'!C$1,'HR Rep'!$A$1:$X$1,0),0),""),"")="","",IFERROR(_xlfn.IFNA(VLOOKUP($A76,'HR Rep'!$A:$X,MATCH('1) For HR (FIX)'!C$1,'HR Rep'!$A$1:$X$1,0),0),""),""))</f>
        <v/>
      </c>
      <c r="D76" s="140" t="str">
        <f>IF(IFERROR(_xlfn.IFNA(VLOOKUP($A76,'HR Rep'!$A:$X,MATCH('1) For HR (FIX)'!D$1,'HR Rep'!$A$1:$X$1,0),0),""),"")="","",IFERROR(_xlfn.IFNA(VLOOKUP($A76,'HR Rep'!$A:$X,MATCH('1) For HR (FIX)'!D$1,'HR Rep'!$A$1:$X$1,0),0),""),""))</f>
        <v/>
      </c>
      <c r="E76" s="140" t="str">
        <f>IF(IFERROR(_xlfn.IFNA(VLOOKUP($A76,'HR Rep'!$A:$X,MATCH('1) For HR (FIX)'!E$1,'HR Rep'!$A$1:$X$1,0),0),""),"")="","",IFERROR(_xlfn.IFNA(VLOOKUP($A76,'HR Rep'!$A:$X,MATCH('1) For HR (FIX)'!E$1,'HR Rep'!$A$1:$X$1,0),0),""),""))</f>
        <v/>
      </c>
      <c r="F76" s="140" t="str">
        <f>IF(IFERROR(_xlfn.IFNA(VLOOKUP($A76,'HR Rep'!$A:$X,MATCH('1) For HR (FIX)'!F$1,'HR Rep'!$A$1:$X$1,0),0),""),"")="","",IFERROR(_xlfn.IFNA(VLOOKUP($A76,'HR Rep'!$A:$X,MATCH('1) For HR (FIX)'!F$1,'HR Rep'!$A$1:$X$1,0),0),""),""))</f>
        <v/>
      </c>
      <c r="G76" s="196"/>
      <c r="H76" s="140" t="str">
        <f>IF(IFERROR(_xlfn.IFNA(VLOOKUP($A76,'HR Rep'!$A:$X,MATCH('1) For HR (FIX)'!H$1,'HR Rep'!$A$1:$X$1,0),0),""),"")="","",IFERROR(_xlfn.IFNA(VLOOKUP($A76,'HR Rep'!$A:$X,MATCH('1) For HR (FIX)'!H$1,'HR Rep'!$A$1:$X$1,0),0),""),""))</f>
        <v/>
      </c>
      <c r="I76" s="140" t="str">
        <f>IF(IFERROR(_xlfn.IFNA(VLOOKUP($A76,'HR Rep'!$A:$X,MATCH('1) For HR (FIX)'!I$1,'HR Rep'!$A$1:$X$1,0),0),""),"")="","",IFERROR(_xlfn.IFNA(VLOOKUP($A76,'HR Rep'!$A:$X,MATCH('1) For HR (FIX)'!I$1,'HR Rep'!$A$1:$X$1,0),0),""),""))</f>
        <v/>
      </c>
      <c r="J76" s="140" t="str">
        <f>IF(IFERROR(_xlfn.IFNA(VLOOKUP($A76,'HR Rep'!$A:$X,MATCH('1) For HR (FIX)'!J$1,'HR Rep'!$A$1:$X$1,0),0),""),"")="","",IFERROR(_xlfn.IFNA(VLOOKUP($A76,'HR Rep'!$A:$X,MATCH('1) For HR (FIX)'!J$1,'HR Rep'!$A$1:$X$1,0),0),""),""))</f>
        <v/>
      </c>
      <c r="K76" s="161">
        <f>_xlfn.XLOOKUP(G76,ค่าตอบแทนการขายในอัตราคงที่!A:A,ค่าตอบแทนการขายในอัตราคงที่!B:B)</f>
        <v>0</v>
      </c>
      <c r="L76" s="174">
        <f>Period!$A$2</f>
        <v>46113</v>
      </c>
      <c r="M76" s="175">
        <f>Period!$C$2</f>
        <v>46143</v>
      </c>
      <c r="N76" s="194" t="s">
        <v>279</v>
      </c>
    </row>
    <row r="77" spans="1:14" ht="11.4" x14ac:dyDescent="0.25">
      <c r="A77" s="137"/>
      <c r="B77" s="169" t="e">
        <f>IF(IF(VLOOKUP(A77,ASTBase!F:P,11,FALSE)="","",VLOOKUP(A77,ASTBase!F:P,11,FALSE))=0,"",IF(VLOOKUP(A77,ASTBase!F:P,11,FALSE)="","",VLOOKUP(A77,ASTBase!F:P,11,FALSE)))</f>
        <v>#N/A</v>
      </c>
      <c r="C77" s="140" t="str">
        <f>IF(IFERROR(_xlfn.IFNA(VLOOKUP($A77,'HR Rep'!$A:$X,MATCH('1) For HR (FIX)'!C$1,'HR Rep'!$A$1:$X$1,0),0),""),"")="","",IFERROR(_xlfn.IFNA(VLOOKUP($A77,'HR Rep'!$A:$X,MATCH('1) For HR (FIX)'!C$1,'HR Rep'!$A$1:$X$1,0),0),""),""))</f>
        <v/>
      </c>
      <c r="D77" s="140" t="str">
        <f>IF(IFERROR(_xlfn.IFNA(VLOOKUP($A77,'HR Rep'!$A:$X,MATCH('1) For HR (FIX)'!D$1,'HR Rep'!$A$1:$X$1,0),0),""),"")="","",IFERROR(_xlfn.IFNA(VLOOKUP($A77,'HR Rep'!$A:$X,MATCH('1) For HR (FIX)'!D$1,'HR Rep'!$A$1:$X$1,0),0),""),""))</f>
        <v/>
      </c>
      <c r="E77" s="140" t="str">
        <f>IF(IFERROR(_xlfn.IFNA(VLOOKUP($A77,'HR Rep'!$A:$X,MATCH('1) For HR (FIX)'!E$1,'HR Rep'!$A$1:$X$1,0),0),""),"")="","",IFERROR(_xlfn.IFNA(VLOOKUP($A77,'HR Rep'!$A:$X,MATCH('1) For HR (FIX)'!E$1,'HR Rep'!$A$1:$X$1,0),0),""),""))</f>
        <v/>
      </c>
      <c r="F77" s="140" t="str">
        <f>IF(IFERROR(_xlfn.IFNA(VLOOKUP($A77,'HR Rep'!$A:$X,MATCH('1) For HR (FIX)'!F$1,'HR Rep'!$A$1:$X$1,0),0),""),"")="","",IFERROR(_xlfn.IFNA(VLOOKUP($A77,'HR Rep'!$A:$X,MATCH('1) For HR (FIX)'!F$1,'HR Rep'!$A$1:$X$1,0),0),""),""))</f>
        <v/>
      </c>
      <c r="G77" s="196"/>
      <c r="H77" s="140" t="str">
        <f>IF(IFERROR(_xlfn.IFNA(VLOOKUP($A77,'HR Rep'!$A:$X,MATCH('1) For HR (FIX)'!H$1,'HR Rep'!$A$1:$X$1,0),0),""),"")="","",IFERROR(_xlfn.IFNA(VLOOKUP($A77,'HR Rep'!$A:$X,MATCH('1) For HR (FIX)'!H$1,'HR Rep'!$A$1:$X$1,0),0),""),""))</f>
        <v/>
      </c>
      <c r="I77" s="140" t="str">
        <f>IF(IFERROR(_xlfn.IFNA(VLOOKUP($A77,'HR Rep'!$A:$X,MATCH('1) For HR (FIX)'!I$1,'HR Rep'!$A$1:$X$1,0),0),""),"")="","",IFERROR(_xlfn.IFNA(VLOOKUP($A77,'HR Rep'!$A:$X,MATCH('1) For HR (FIX)'!I$1,'HR Rep'!$A$1:$X$1,0),0),""),""))</f>
        <v/>
      </c>
      <c r="J77" s="140" t="str">
        <f>IF(IFERROR(_xlfn.IFNA(VLOOKUP($A77,'HR Rep'!$A:$X,MATCH('1) For HR (FIX)'!J$1,'HR Rep'!$A$1:$X$1,0),0),""),"")="","",IFERROR(_xlfn.IFNA(VLOOKUP($A77,'HR Rep'!$A:$X,MATCH('1) For HR (FIX)'!J$1,'HR Rep'!$A$1:$X$1,0),0),""),""))</f>
        <v/>
      </c>
      <c r="K77" s="161">
        <f>_xlfn.XLOOKUP(G77,ค่าตอบแทนการขายในอัตราคงที่!A:A,ค่าตอบแทนการขายในอัตราคงที่!B:B)</f>
        <v>0</v>
      </c>
      <c r="L77" s="174">
        <f>Period!$A$2</f>
        <v>46113</v>
      </c>
      <c r="M77" s="175">
        <f>Period!$C$2</f>
        <v>46143</v>
      </c>
      <c r="N77" s="194" t="s">
        <v>279</v>
      </c>
    </row>
    <row r="78" spans="1:14" ht="11.4" x14ac:dyDescent="0.25">
      <c r="A78" s="137"/>
      <c r="B78" s="169" t="e">
        <f>IF(IF(VLOOKUP(A78,ASTBase!F:P,11,FALSE)="","",VLOOKUP(A78,ASTBase!F:P,11,FALSE))=0,"",IF(VLOOKUP(A78,ASTBase!F:P,11,FALSE)="","",VLOOKUP(A78,ASTBase!F:P,11,FALSE)))</f>
        <v>#N/A</v>
      </c>
      <c r="C78" s="140" t="str">
        <f>IF(IFERROR(_xlfn.IFNA(VLOOKUP($A78,'HR Rep'!$A:$X,MATCH('1) For HR (FIX)'!C$1,'HR Rep'!$A$1:$X$1,0),0),""),"")="","",IFERROR(_xlfn.IFNA(VLOOKUP($A78,'HR Rep'!$A:$X,MATCH('1) For HR (FIX)'!C$1,'HR Rep'!$A$1:$X$1,0),0),""),""))</f>
        <v/>
      </c>
      <c r="D78" s="140" t="str">
        <f>IF(IFERROR(_xlfn.IFNA(VLOOKUP($A78,'HR Rep'!$A:$X,MATCH('1) For HR (FIX)'!D$1,'HR Rep'!$A$1:$X$1,0),0),""),"")="","",IFERROR(_xlfn.IFNA(VLOOKUP($A78,'HR Rep'!$A:$X,MATCH('1) For HR (FIX)'!D$1,'HR Rep'!$A$1:$X$1,0),0),""),""))</f>
        <v/>
      </c>
      <c r="E78" s="140" t="str">
        <f>IF(IFERROR(_xlfn.IFNA(VLOOKUP($A78,'HR Rep'!$A:$X,MATCH('1) For HR (FIX)'!E$1,'HR Rep'!$A$1:$X$1,0),0),""),"")="","",IFERROR(_xlfn.IFNA(VLOOKUP($A78,'HR Rep'!$A:$X,MATCH('1) For HR (FIX)'!E$1,'HR Rep'!$A$1:$X$1,0),0),""),""))</f>
        <v/>
      </c>
      <c r="F78" s="140" t="str">
        <f>IF(IFERROR(_xlfn.IFNA(VLOOKUP($A78,'HR Rep'!$A:$X,MATCH('1) For HR (FIX)'!F$1,'HR Rep'!$A$1:$X$1,0),0),""),"")="","",IFERROR(_xlfn.IFNA(VLOOKUP($A78,'HR Rep'!$A:$X,MATCH('1) For HR (FIX)'!F$1,'HR Rep'!$A$1:$X$1,0),0),""),""))</f>
        <v/>
      </c>
      <c r="G78" s="196"/>
      <c r="H78" s="140" t="str">
        <f>IF(IFERROR(_xlfn.IFNA(VLOOKUP($A78,'HR Rep'!$A:$X,MATCH('1) For HR (FIX)'!H$1,'HR Rep'!$A$1:$X$1,0),0),""),"")="","",IFERROR(_xlfn.IFNA(VLOOKUP($A78,'HR Rep'!$A:$X,MATCH('1) For HR (FIX)'!H$1,'HR Rep'!$A$1:$X$1,0),0),""),""))</f>
        <v/>
      </c>
      <c r="I78" s="140" t="str">
        <f>IF(IFERROR(_xlfn.IFNA(VLOOKUP($A78,'HR Rep'!$A:$X,MATCH('1) For HR (FIX)'!I$1,'HR Rep'!$A$1:$X$1,0),0),""),"")="","",IFERROR(_xlfn.IFNA(VLOOKUP($A78,'HR Rep'!$A:$X,MATCH('1) For HR (FIX)'!I$1,'HR Rep'!$A$1:$X$1,0),0),""),""))</f>
        <v/>
      </c>
      <c r="J78" s="140" t="str">
        <f>IF(IFERROR(_xlfn.IFNA(VLOOKUP($A78,'HR Rep'!$A:$X,MATCH('1) For HR (FIX)'!J$1,'HR Rep'!$A$1:$X$1,0),0),""),"")="","",IFERROR(_xlfn.IFNA(VLOOKUP($A78,'HR Rep'!$A:$X,MATCH('1) For HR (FIX)'!J$1,'HR Rep'!$A$1:$X$1,0),0),""),""))</f>
        <v/>
      </c>
      <c r="K78" s="161">
        <f>_xlfn.XLOOKUP(G78,ค่าตอบแทนการขายในอัตราคงที่!A:A,ค่าตอบแทนการขายในอัตราคงที่!B:B)</f>
        <v>0</v>
      </c>
      <c r="L78" s="174">
        <f>Period!$A$2</f>
        <v>46113</v>
      </c>
      <c r="M78" s="175">
        <f>Period!$C$2</f>
        <v>46143</v>
      </c>
      <c r="N78" s="194" t="s">
        <v>279</v>
      </c>
    </row>
    <row r="79" spans="1:14" ht="11.4" x14ac:dyDescent="0.25">
      <c r="A79" s="137"/>
      <c r="B79" s="169" t="e">
        <f>IF(IF(VLOOKUP(A79,ASTBase!F:P,11,FALSE)="","",VLOOKUP(A79,ASTBase!F:P,11,FALSE))=0,"",IF(VLOOKUP(A79,ASTBase!F:P,11,FALSE)="","",VLOOKUP(A79,ASTBase!F:P,11,FALSE)))</f>
        <v>#N/A</v>
      </c>
      <c r="C79" s="140" t="str">
        <f>IF(IFERROR(_xlfn.IFNA(VLOOKUP($A79,'HR Rep'!$A:$X,MATCH('1) For HR (FIX)'!C$1,'HR Rep'!$A$1:$X$1,0),0),""),"")="","",IFERROR(_xlfn.IFNA(VLOOKUP($A79,'HR Rep'!$A:$X,MATCH('1) For HR (FIX)'!C$1,'HR Rep'!$A$1:$X$1,0),0),""),""))</f>
        <v/>
      </c>
      <c r="D79" s="140" t="str">
        <f>IF(IFERROR(_xlfn.IFNA(VLOOKUP($A79,'HR Rep'!$A:$X,MATCH('1) For HR (FIX)'!D$1,'HR Rep'!$A$1:$X$1,0),0),""),"")="","",IFERROR(_xlfn.IFNA(VLOOKUP($A79,'HR Rep'!$A:$X,MATCH('1) For HR (FIX)'!D$1,'HR Rep'!$A$1:$X$1,0),0),""),""))</f>
        <v/>
      </c>
      <c r="E79" s="140" t="str">
        <f>IF(IFERROR(_xlfn.IFNA(VLOOKUP($A79,'HR Rep'!$A:$X,MATCH('1) For HR (FIX)'!E$1,'HR Rep'!$A$1:$X$1,0),0),""),"")="","",IFERROR(_xlfn.IFNA(VLOOKUP($A79,'HR Rep'!$A:$X,MATCH('1) For HR (FIX)'!E$1,'HR Rep'!$A$1:$X$1,0),0),""),""))</f>
        <v/>
      </c>
      <c r="F79" s="140" t="str">
        <f>IF(IFERROR(_xlfn.IFNA(VLOOKUP($A79,'HR Rep'!$A:$X,MATCH('1) For HR (FIX)'!F$1,'HR Rep'!$A$1:$X$1,0),0),""),"")="","",IFERROR(_xlfn.IFNA(VLOOKUP($A79,'HR Rep'!$A:$X,MATCH('1) For HR (FIX)'!F$1,'HR Rep'!$A$1:$X$1,0),0),""),""))</f>
        <v/>
      </c>
      <c r="G79" s="196"/>
      <c r="H79" s="140" t="str">
        <f>IF(IFERROR(_xlfn.IFNA(VLOOKUP($A79,'HR Rep'!$A:$X,MATCH('1) For HR (FIX)'!H$1,'HR Rep'!$A$1:$X$1,0),0),""),"")="","",IFERROR(_xlfn.IFNA(VLOOKUP($A79,'HR Rep'!$A:$X,MATCH('1) For HR (FIX)'!H$1,'HR Rep'!$A$1:$X$1,0),0),""),""))</f>
        <v/>
      </c>
      <c r="I79" s="140" t="str">
        <f>IF(IFERROR(_xlfn.IFNA(VLOOKUP($A79,'HR Rep'!$A:$X,MATCH('1) For HR (FIX)'!I$1,'HR Rep'!$A$1:$X$1,0),0),""),"")="","",IFERROR(_xlfn.IFNA(VLOOKUP($A79,'HR Rep'!$A:$X,MATCH('1) For HR (FIX)'!I$1,'HR Rep'!$A$1:$X$1,0),0),""),""))</f>
        <v/>
      </c>
      <c r="J79" s="140" t="str">
        <f>IF(IFERROR(_xlfn.IFNA(VLOOKUP($A79,'HR Rep'!$A:$X,MATCH('1) For HR (FIX)'!J$1,'HR Rep'!$A$1:$X$1,0),0),""),"")="","",IFERROR(_xlfn.IFNA(VLOOKUP($A79,'HR Rep'!$A:$X,MATCH('1) For HR (FIX)'!J$1,'HR Rep'!$A$1:$X$1,0),0),""),""))</f>
        <v/>
      </c>
      <c r="K79" s="161">
        <f>_xlfn.XLOOKUP(G79,ค่าตอบแทนการขายในอัตราคงที่!A:A,ค่าตอบแทนการขายในอัตราคงที่!B:B)</f>
        <v>0</v>
      </c>
      <c r="L79" s="174">
        <f>Period!$A$2</f>
        <v>46113</v>
      </c>
      <c r="M79" s="175">
        <f>Period!$C$2</f>
        <v>46143</v>
      </c>
      <c r="N79" s="194" t="s">
        <v>279</v>
      </c>
    </row>
    <row r="80" spans="1:14" ht="11.4" x14ac:dyDescent="0.25">
      <c r="A80" s="137"/>
      <c r="B80" s="169" t="e">
        <f>IF(IF(VLOOKUP(A80,ASTBase!F:P,11,FALSE)="","",VLOOKUP(A80,ASTBase!F:P,11,FALSE))=0,"",IF(VLOOKUP(A80,ASTBase!F:P,11,FALSE)="","",VLOOKUP(A80,ASTBase!F:P,11,FALSE)))</f>
        <v>#N/A</v>
      </c>
      <c r="C80" s="140" t="str">
        <f>IF(IFERROR(_xlfn.IFNA(VLOOKUP($A80,'HR Rep'!$A:$X,MATCH('1) For HR (FIX)'!C$1,'HR Rep'!$A$1:$X$1,0),0),""),"")="","",IFERROR(_xlfn.IFNA(VLOOKUP($A80,'HR Rep'!$A:$X,MATCH('1) For HR (FIX)'!C$1,'HR Rep'!$A$1:$X$1,0),0),""),""))</f>
        <v/>
      </c>
      <c r="D80" s="140" t="str">
        <f>IF(IFERROR(_xlfn.IFNA(VLOOKUP($A80,'HR Rep'!$A:$X,MATCH('1) For HR (FIX)'!D$1,'HR Rep'!$A$1:$X$1,0),0),""),"")="","",IFERROR(_xlfn.IFNA(VLOOKUP($A80,'HR Rep'!$A:$X,MATCH('1) For HR (FIX)'!D$1,'HR Rep'!$A$1:$X$1,0),0),""),""))</f>
        <v/>
      </c>
      <c r="E80" s="140" t="str">
        <f>IF(IFERROR(_xlfn.IFNA(VLOOKUP($A80,'HR Rep'!$A:$X,MATCH('1) For HR (FIX)'!E$1,'HR Rep'!$A$1:$X$1,0),0),""),"")="","",IFERROR(_xlfn.IFNA(VLOOKUP($A80,'HR Rep'!$A:$X,MATCH('1) For HR (FIX)'!E$1,'HR Rep'!$A$1:$X$1,0),0),""),""))</f>
        <v/>
      </c>
      <c r="F80" s="140" t="str">
        <f>IF(IFERROR(_xlfn.IFNA(VLOOKUP($A80,'HR Rep'!$A:$X,MATCH('1) For HR (FIX)'!F$1,'HR Rep'!$A$1:$X$1,0),0),""),"")="","",IFERROR(_xlfn.IFNA(VLOOKUP($A80,'HR Rep'!$A:$X,MATCH('1) For HR (FIX)'!F$1,'HR Rep'!$A$1:$X$1,0),0),""),""))</f>
        <v/>
      </c>
      <c r="G80" s="196"/>
      <c r="H80" s="140" t="str">
        <f>IF(IFERROR(_xlfn.IFNA(VLOOKUP($A80,'HR Rep'!$A:$X,MATCH('1) For HR (FIX)'!H$1,'HR Rep'!$A$1:$X$1,0),0),""),"")="","",IFERROR(_xlfn.IFNA(VLOOKUP($A80,'HR Rep'!$A:$X,MATCH('1) For HR (FIX)'!H$1,'HR Rep'!$A$1:$X$1,0),0),""),""))</f>
        <v/>
      </c>
      <c r="I80" s="140" t="str">
        <f>IF(IFERROR(_xlfn.IFNA(VLOOKUP($A80,'HR Rep'!$A:$X,MATCH('1) For HR (FIX)'!I$1,'HR Rep'!$A$1:$X$1,0),0),""),"")="","",IFERROR(_xlfn.IFNA(VLOOKUP($A80,'HR Rep'!$A:$X,MATCH('1) For HR (FIX)'!I$1,'HR Rep'!$A$1:$X$1,0),0),""),""))</f>
        <v/>
      </c>
      <c r="J80" s="140" t="str">
        <f>IF(IFERROR(_xlfn.IFNA(VLOOKUP($A80,'HR Rep'!$A:$X,MATCH('1) For HR (FIX)'!J$1,'HR Rep'!$A$1:$X$1,0),0),""),"")="","",IFERROR(_xlfn.IFNA(VLOOKUP($A80,'HR Rep'!$A:$X,MATCH('1) For HR (FIX)'!J$1,'HR Rep'!$A$1:$X$1,0),0),""),""))</f>
        <v/>
      </c>
      <c r="K80" s="161">
        <f>_xlfn.XLOOKUP(G80,ค่าตอบแทนการขายในอัตราคงที่!A:A,ค่าตอบแทนการขายในอัตราคงที่!B:B)</f>
        <v>0</v>
      </c>
      <c r="L80" s="174">
        <f>Period!$A$2</f>
        <v>46113</v>
      </c>
      <c r="M80" s="175">
        <f>Period!$C$2</f>
        <v>46143</v>
      </c>
      <c r="N80" s="194" t="s">
        <v>279</v>
      </c>
    </row>
    <row r="81" spans="1:14" ht="11.4" x14ac:dyDescent="0.25">
      <c r="A81" s="137"/>
      <c r="B81" s="169" t="e">
        <f>IF(IF(VLOOKUP(A81,ASTBase!F:P,11,FALSE)="","",VLOOKUP(A81,ASTBase!F:P,11,FALSE))=0,"",IF(VLOOKUP(A81,ASTBase!F:P,11,FALSE)="","",VLOOKUP(A81,ASTBase!F:P,11,FALSE)))</f>
        <v>#N/A</v>
      </c>
      <c r="C81" s="140" t="str">
        <f>IF(IFERROR(_xlfn.IFNA(VLOOKUP($A81,'HR Rep'!$A:$X,MATCH('1) For HR (FIX)'!C$1,'HR Rep'!$A$1:$X$1,0),0),""),"")="","",IFERROR(_xlfn.IFNA(VLOOKUP($A81,'HR Rep'!$A:$X,MATCH('1) For HR (FIX)'!C$1,'HR Rep'!$A$1:$X$1,0),0),""),""))</f>
        <v/>
      </c>
      <c r="D81" s="140" t="str">
        <f>IF(IFERROR(_xlfn.IFNA(VLOOKUP($A81,'HR Rep'!$A:$X,MATCH('1) For HR (FIX)'!D$1,'HR Rep'!$A$1:$X$1,0),0),""),"")="","",IFERROR(_xlfn.IFNA(VLOOKUP($A81,'HR Rep'!$A:$X,MATCH('1) For HR (FIX)'!D$1,'HR Rep'!$A$1:$X$1,0),0),""),""))</f>
        <v/>
      </c>
      <c r="E81" s="140" t="str">
        <f>IF(IFERROR(_xlfn.IFNA(VLOOKUP($A81,'HR Rep'!$A:$X,MATCH('1) For HR (FIX)'!E$1,'HR Rep'!$A$1:$X$1,0),0),""),"")="","",IFERROR(_xlfn.IFNA(VLOOKUP($A81,'HR Rep'!$A:$X,MATCH('1) For HR (FIX)'!E$1,'HR Rep'!$A$1:$X$1,0),0),""),""))</f>
        <v/>
      </c>
      <c r="F81" s="140" t="str">
        <f>IF(IFERROR(_xlfn.IFNA(VLOOKUP($A81,'HR Rep'!$A:$X,MATCH('1) For HR (FIX)'!F$1,'HR Rep'!$A$1:$X$1,0),0),""),"")="","",IFERROR(_xlfn.IFNA(VLOOKUP($A81,'HR Rep'!$A:$X,MATCH('1) For HR (FIX)'!F$1,'HR Rep'!$A$1:$X$1,0),0),""),""))</f>
        <v/>
      </c>
      <c r="G81" s="196"/>
      <c r="H81" s="140" t="str">
        <f>IF(IFERROR(_xlfn.IFNA(VLOOKUP($A81,'HR Rep'!$A:$X,MATCH('1) For HR (FIX)'!H$1,'HR Rep'!$A$1:$X$1,0),0),""),"")="","",IFERROR(_xlfn.IFNA(VLOOKUP($A81,'HR Rep'!$A:$X,MATCH('1) For HR (FIX)'!H$1,'HR Rep'!$A$1:$X$1,0),0),""),""))</f>
        <v/>
      </c>
      <c r="I81" s="140" t="str">
        <f>IF(IFERROR(_xlfn.IFNA(VLOOKUP($A81,'HR Rep'!$A:$X,MATCH('1) For HR (FIX)'!I$1,'HR Rep'!$A$1:$X$1,0),0),""),"")="","",IFERROR(_xlfn.IFNA(VLOOKUP($A81,'HR Rep'!$A:$X,MATCH('1) For HR (FIX)'!I$1,'HR Rep'!$A$1:$X$1,0),0),""),""))</f>
        <v/>
      </c>
      <c r="J81" s="140" t="str">
        <f>IF(IFERROR(_xlfn.IFNA(VLOOKUP($A81,'HR Rep'!$A:$X,MATCH('1) For HR (FIX)'!J$1,'HR Rep'!$A$1:$X$1,0),0),""),"")="","",IFERROR(_xlfn.IFNA(VLOOKUP($A81,'HR Rep'!$A:$X,MATCH('1) For HR (FIX)'!J$1,'HR Rep'!$A$1:$X$1,0),0),""),""))</f>
        <v/>
      </c>
      <c r="K81" s="161">
        <f>_xlfn.XLOOKUP(G81,ค่าตอบแทนการขายในอัตราคงที่!A:A,ค่าตอบแทนการขายในอัตราคงที่!B:B)</f>
        <v>0</v>
      </c>
      <c r="L81" s="174">
        <f>Period!$A$2</f>
        <v>46113</v>
      </c>
      <c r="M81" s="175">
        <f>Period!$C$2</f>
        <v>46143</v>
      </c>
      <c r="N81" s="194" t="s">
        <v>279</v>
      </c>
    </row>
    <row r="82" spans="1:14" ht="11.4" x14ac:dyDescent="0.25">
      <c r="A82" s="137"/>
      <c r="B82" s="169" t="e">
        <f>IF(IF(VLOOKUP(A82,ASTBase!F:P,11,FALSE)="","",VLOOKUP(A82,ASTBase!F:P,11,FALSE))=0,"",IF(VLOOKUP(A82,ASTBase!F:P,11,FALSE)="","",VLOOKUP(A82,ASTBase!F:P,11,FALSE)))</f>
        <v>#N/A</v>
      </c>
      <c r="C82" s="140" t="str">
        <f>IF(IFERROR(_xlfn.IFNA(VLOOKUP($A82,'HR Rep'!$A:$X,MATCH('1) For HR (FIX)'!C$1,'HR Rep'!$A$1:$X$1,0),0),""),"")="","",IFERROR(_xlfn.IFNA(VLOOKUP($A82,'HR Rep'!$A:$X,MATCH('1) For HR (FIX)'!C$1,'HR Rep'!$A$1:$X$1,0),0),""),""))</f>
        <v/>
      </c>
      <c r="D82" s="140" t="str">
        <f>IF(IFERROR(_xlfn.IFNA(VLOOKUP($A82,'HR Rep'!$A:$X,MATCH('1) For HR (FIX)'!D$1,'HR Rep'!$A$1:$X$1,0),0),""),"")="","",IFERROR(_xlfn.IFNA(VLOOKUP($A82,'HR Rep'!$A:$X,MATCH('1) For HR (FIX)'!D$1,'HR Rep'!$A$1:$X$1,0),0),""),""))</f>
        <v/>
      </c>
      <c r="E82" s="140" t="str">
        <f>IF(IFERROR(_xlfn.IFNA(VLOOKUP($A82,'HR Rep'!$A:$X,MATCH('1) For HR (FIX)'!E$1,'HR Rep'!$A$1:$X$1,0),0),""),"")="","",IFERROR(_xlfn.IFNA(VLOOKUP($A82,'HR Rep'!$A:$X,MATCH('1) For HR (FIX)'!E$1,'HR Rep'!$A$1:$X$1,0),0),""),""))</f>
        <v/>
      </c>
      <c r="F82" s="140" t="str">
        <f>IF(IFERROR(_xlfn.IFNA(VLOOKUP($A82,'HR Rep'!$A:$X,MATCH('1) For HR (FIX)'!F$1,'HR Rep'!$A$1:$X$1,0),0),""),"")="","",IFERROR(_xlfn.IFNA(VLOOKUP($A82,'HR Rep'!$A:$X,MATCH('1) For HR (FIX)'!F$1,'HR Rep'!$A$1:$X$1,0),0),""),""))</f>
        <v/>
      </c>
      <c r="G82" s="196"/>
      <c r="H82" s="140" t="str">
        <f>IF(IFERROR(_xlfn.IFNA(VLOOKUP($A82,'HR Rep'!$A:$X,MATCH('1) For HR (FIX)'!H$1,'HR Rep'!$A$1:$X$1,0),0),""),"")="","",IFERROR(_xlfn.IFNA(VLOOKUP($A82,'HR Rep'!$A:$X,MATCH('1) For HR (FIX)'!H$1,'HR Rep'!$A$1:$X$1,0),0),""),""))</f>
        <v/>
      </c>
      <c r="I82" s="140" t="str">
        <f>IF(IFERROR(_xlfn.IFNA(VLOOKUP($A82,'HR Rep'!$A:$X,MATCH('1) For HR (FIX)'!I$1,'HR Rep'!$A$1:$X$1,0),0),""),"")="","",IFERROR(_xlfn.IFNA(VLOOKUP($A82,'HR Rep'!$A:$X,MATCH('1) For HR (FIX)'!I$1,'HR Rep'!$A$1:$X$1,0),0),""),""))</f>
        <v/>
      </c>
      <c r="J82" s="140" t="str">
        <f>IF(IFERROR(_xlfn.IFNA(VLOOKUP($A82,'HR Rep'!$A:$X,MATCH('1) For HR (FIX)'!J$1,'HR Rep'!$A$1:$X$1,0),0),""),"")="","",IFERROR(_xlfn.IFNA(VLOOKUP($A82,'HR Rep'!$A:$X,MATCH('1) For HR (FIX)'!J$1,'HR Rep'!$A$1:$X$1,0),0),""),""))</f>
        <v/>
      </c>
      <c r="K82" s="161">
        <f>_xlfn.XLOOKUP(G82,ค่าตอบแทนการขายในอัตราคงที่!A:A,ค่าตอบแทนการขายในอัตราคงที่!B:B)</f>
        <v>0</v>
      </c>
      <c r="L82" s="174">
        <f>Period!$A$2</f>
        <v>46113</v>
      </c>
      <c r="M82" s="175">
        <f>Period!$C$2</f>
        <v>46143</v>
      </c>
      <c r="N82" s="194" t="s">
        <v>279</v>
      </c>
    </row>
    <row r="83" spans="1:14" ht="11.4" x14ac:dyDescent="0.25">
      <c r="A83" s="138"/>
      <c r="B83" s="169" t="e">
        <f>IF(IF(VLOOKUP(A83,ASTBase!F:P,11,FALSE)="","",VLOOKUP(A83,ASTBase!F:P,11,FALSE))=0,"",IF(VLOOKUP(A83,ASTBase!F:P,11,FALSE)="","",VLOOKUP(A83,ASTBase!F:P,11,FALSE)))</f>
        <v>#N/A</v>
      </c>
      <c r="C83" s="140" t="str">
        <f>IF(IFERROR(_xlfn.IFNA(VLOOKUP($A83,'HR Rep'!$A:$X,MATCH('1) For HR (FIX)'!C$1,'HR Rep'!$A$1:$X$1,0),0),""),"")="","",IFERROR(_xlfn.IFNA(VLOOKUP($A83,'HR Rep'!$A:$X,MATCH('1) For HR (FIX)'!C$1,'HR Rep'!$A$1:$X$1,0),0),""),""))</f>
        <v/>
      </c>
      <c r="D83" s="140" t="str">
        <f>IF(IFERROR(_xlfn.IFNA(VLOOKUP($A83,'HR Rep'!$A:$X,MATCH('1) For HR (FIX)'!D$1,'HR Rep'!$A$1:$X$1,0),0),""),"")="","",IFERROR(_xlfn.IFNA(VLOOKUP($A83,'HR Rep'!$A:$X,MATCH('1) For HR (FIX)'!D$1,'HR Rep'!$A$1:$X$1,0),0),""),""))</f>
        <v/>
      </c>
      <c r="E83" s="140" t="str">
        <f>IF(IFERROR(_xlfn.IFNA(VLOOKUP($A83,'HR Rep'!$A:$X,MATCH('1) For HR (FIX)'!E$1,'HR Rep'!$A$1:$X$1,0),0),""),"")="","",IFERROR(_xlfn.IFNA(VLOOKUP($A83,'HR Rep'!$A:$X,MATCH('1) For HR (FIX)'!E$1,'HR Rep'!$A$1:$X$1,0),0),""),""))</f>
        <v/>
      </c>
      <c r="F83" s="140" t="str">
        <f>IF(IFERROR(_xlfn.IFNA(VLOOKUP($A83,'HR Rep'!$A:$X,MATCH('1) For HR (FIX)'!F$1,'HR Rep'!$A$1:$X$1,0),0),""),"")="","",IFERROR(_xlfn.IFNA(VLOOKUP($A83,'HR Rep'!$A:$X,MATCH('1) For HR (FIX)'!F$1,'HR Rep'!$A$1:$X$1,0),0),""),""))</f>
        <v/>
      </c>
      <c r="G83" s="196"/>
      <c r="H83" s="140" t="str">
        <f>IF(IFERROR(_xlfn.IFNA(VLOOKUP($A83,'HR Rep'!$A:$X,MATCH('1) For HR (FIX)'!H$1,'HR Rep'!$A$1:$X$1,0),0),""),"")="","",IFERROR(_xlfn.IFNA(VLOOKUP($A83,'HR Rep'!$A:$X,MATCH('1) For HR (FIX)'!H$1,'HR Rep'!$A$1:$X$1,0),0),""),""))</f>
        <v/>
      </c>
      <c r="I83" s="140" t="str">
        <f>IF(IFERROR(_xlfn.IFNA(VLOOKUP($A83,'HR Rep'!$A:$X,MATCH('1) For HR (FIX)'!I$1,'HR Rep'!$A$1:$X$1,0),0),""),"")="","",IFERROR(_xlfn.IFNA(VLOOKUP($A83,'HR Rep'!$A:$X,MATCH('1) For HR (FIX)'!I$1,'HR Rep'!$A$1:$X$1,0),0),""),""))</f>
        <v/>
      </c>
      <c r="J83" s="140" t="str">
        <f>IF(IFERROR(_xlfn.IFNA(VLOOKUP($A83,'HR Rep'!$A:$X,MATCH('1) For HR (FIX)'!J$1,'HR Rep'!$A$1:$X$1,0),0),""),"")="","",IFERROR(_xlfn.IFNA(VLOOKUP($A83,'HR Rep'!$A:$X,MATCH('1) For HR (FIX)'!J$1,'HR Rep'!$A$1:$X$1,0),0),""),""))</f>
        <v/>
      </c>
      <c r="K83" s="161">
        <f>_xlfn.XLOOKUP(G83,ค่าตอบแทนการขายในอัตราคงที่!A:A,ค่าตอบแทนการขายในอัตราคงที่!B:B)</f>
        <v>0</v>
      </c>
      <c r="L83" s="174">
        <f>Period!$A$2</f>
        <v>46113</v>
      </c>
      <c r="M83" s="175">
        <f>Period!$C$2</f>
        <v>46143</v>
      </c>
      <c r="N83" s="194" t="s">
        <v>279</v>
      </c>
    </row>
    <row r="84" spans="1:14" ht="11.4" x14ac:dyDescent="0.25">
      <c r="A84" s="138"/>
      <c r="B84" s="169" t="e">
        <f>IF(IF(VLOOKUP(A84,ASTBase!F:P,11,FALSE)="","",VLOOKUP(A84,ASTBase!F:P,11,FALSE))=0,"",IF(VLOOKUP(A84,ASTBase!F:P,11,FALSE)="","",VLOOKUP(A84,ASTBase!F:P,11,FALSE)))</f>
        <v>#N/A</v>
      </c>
      <c r="C84" s="140" t="str">
        <f>IF(IFERROR(_xlfn.IFNA(VLOOKUP($A84,'HR Rep'!$A:$X,MATCH('1) For HR (FIX)'!C$1,'HR Rep'!$A$1:$X$1,0),0),""),"")="","",IFERROR(_xlfn.IFNA(VLOOKUP($A84,'HR Rep'!$A:$X,MATCH('1) For HR (FIX)'!C$1,'HR Rep'!$A$1:$X$1,0),0),""),""))</f>
        <v/>
      </c>
      <c r="D84" s="140" t="str">
        <f>IF(IFERROR(_xlfn.IFNA(VLOOKUP($A84,'HR Rep'!$A:$X,MATCH('1) For HR (FIX)'!D$1,'HR Rep'!$A$1:$X$1,0),0),""),"")="","",IFERROR(_xlfn.IFNA(VLOOKUP($A84,'HR Rep'!$A:$X,MATCH('1) For HR (FIX)'!D$1,'HR Rep'!$A$1:$X$1,0),0),""),""))</f>
        <v/>
      </c>
      <c r="E84" s="140" t="str">
        <f>IF(IFERROR(_xlfn.IFNA(VLOOKUP($A84,'HR Rep'!$A:$X,MATCH('1) For HR (FIX)'!E$1,'HR Rep'!$A$1:$X$1,0),0),""),"")="","",IFERROR(_xlfn.IFNA(VLOOKUP($A84,'HR Rep'!$A:$X,MATCH('1) For HR (FIX)'!E$1,'HR Rep'!$A$1:$X$1,0),0),""),""))</f>
        <v/>
      </c>
      <c r="F84" s="140" t="str">
        <f>IF(IFERROR(_xlfn.IFNA(VLOOKUP($A84,'HR Rep'!$A:$X,MATCH('1) For HR (FIX)'!F$1,'HR Rep'!$A$1:$X$1,0),0),""),"")="","",IFERROR(_xlfn.IFNA(VLOOKUP($A84,'HR Rep'!$A:$X,MATCH('1) For HR (FIX)'!F$1,'HR Rep'!$A$1:$X$1,0),0),""),""))</f>
        <v/>
      </c>
      <c r="G84" s="196"/>
      <c r="H84" s="140" t="str">
        <f>IF(IFERROR(_xlfn.IFNA(VLOOKUP($A84,'HR Rep'!$A:$X,MATCH('1) For HR (FIX)'!H$1,'HR Rep'!$A$1:$X$1,0),0),""),"")="","",IFERROR(_xlfn.IFNA(VLOOKUP($A84,'HR Rep'!$A:$X,MATCH('1) For HR (FIX)'!H$1,'HR Rep'!$A$1:$X$1,0),0),""),""))</f>
        <v/>
      </c>
      <c r="I84" s="140" t="str">
        <f>IF(IFERROR(_xlfn.IFNA(VLOOKUP($A84,'HR Rep'!$A:$X,MATCH('1) For HR (FIX)'!I$1,'HR Rep'!$A$1:$X$1,0),0),""),"")="","",IFERROR(_xlfn.IFNA(VLOOKUP($A84,'HR Rep'!$A:$X,MATCH('1) For HR (FIX)'!I$1,'HR Rep'!$A$1:$X$1,0),0),""),""))</f>
        <v/>
      </c>
      <c r="J84" s="140" t="str">
        <f>IF(IFERROR(_xlfn.IFNA(VLOOKUP($A84,'HR Rep'!$A:$X,MATCH('1) For HR (FIX)'!J$1,'HR Rep'!$A$1:$X$1,0),0),""),"")="","",IFERROR(_xlfn.IFNA(VLOOKUP($A84,'HR Rep'!$A:$X,MATCH('1) For HR (FIX)'!J$1,'HR Rep'!$A$1:$X$1,0),0),""),""))</f>
        <v/>
      </c>
      <c r="K84" s="161">
        <f>_xlfn.XLOOKUP(G84,ค่าตอบแทนการขายในอัตราคงที่!A:A,ค่าตอบแทนการขายในอัตราคงที่!B:B)</f>
        <v>0</v>
      </c>
      <c r="L84" s="174">
        <f>Period!$A$2</f>
        <v>46113</v>
      </c>
      <c r="M84" s="175">
        <f>Period!$C$2</f>
        <v>46143</v>
      </c>
      <c r="N84" s="194" t="s">
        <v>279</v>
      </c>
    </row>
    <row r="85" spans="1:14" ht="11.4" x14ac:dyDescent="0.25">
      <c r="A85" s="137"/>
      <c r="B85" s="169" t="e">
        <f>IF(IF(VLOOKUP(A85,ASTBase!F:P,11,FALSE)="","",VLOOKUP(A85,ASTBase!F:P,11,FALSE))=0,"",IF(VLOOKUP(A85,ASTBase!F:P,11,FALSE)="","",VLOOKUP(A85,ASTBase!F:P,11,FALSE)))</f>
        <v>#N/A</v>
      </c>
      <c r="C85" s="140" t="str">
        <f>IF(IFERROR(_xlfn.IFNA(VLOOKUP($A85,'HR Rep'!$A:$X,MATCH('1) For HR (FIX)'!C$1,'HR Rep'!$A$1:$X$1,0),0),""),"")="","",IFERROR(_xlfn.IFNA(VLOOKUP($A85,'HR Rep'!$A:$X,MATCH('1) For HR (FIX)'!C$1,'HR Rep'!$A$1:$X$1,0),0),""),""))</f>
        <v/>
      </c>
      <c r="D85" s="140" t="str">
        <f>IF(IFERROR(_xlfn.IFNA(VLOOKUP($A85,'HR Rep'!$A:$X,MATCH('1) For HR (FIX)'!D$1,'HR Rep'!$A$1:$X$1,0),0),""),"")="","",IFERROR(_xlfn.IFNA(VLOOKUP($A85,'HR Rep'!$A:$X,MATCH('1) For HR (FIX)'!D$1,'HR Rep'!$A$1:$X$1,0),0),""),""))</f>
        <v/>
      </c>
      <c r="E85" s="140" t="str">
        <f>IF(IFERROR(_xlfn.IFNA(VLOOKUP($A85,'HR Rep'!$A:$X,MATCH('1) For HR (FIX)'!E$1,'HR Rep'!$A$1:$X$1,0),0),""),"")="","",IFERROR(_xlfn.IFNA(VLOOKUP($A85,'HR Rep'!$A:$X,MATCH('1) For HR (FIX)'!E$1,'HR Rep'!$A$1:$X$1,0),0),""),""))</f>
        <v/>
      </c>
      <c r="F85" s="140" t="str">
        <f>IF(IFERROR(_xlfn.IFNA(VLOOKUP($A85,'HR Rep'!$A:$X,MATCH('1) For HR (FIX)'!F$1,'HR Rep'!$A$1:$X$1,0),0),""),"")="","",IFERROR(_xlfn.IFNA(VLOOKUP($A85,'HR Rep'!$A:$X,MATCH('1) For HR (FIX)'!F$1,'HR Rep'!$A$1:$X$1,0),0),""),""))</f>
        <v/>
      </c>
      <c r="G85" s="196"/>
      <c r="H85" s="140" t="str">
        <f>IF(IFERROR(_xlfn.IFNA(VLOOKUP($A85,'HR Rep'!$A:$X,MATCH('1) For HR (FIX)'!H$1,'HR Rep'!$A$1:$X$1,0),0),""),"")="","",IFERROR(_xlfn.IFNA(VLOOKUP($A85,'HR Rep'!$A:$X,MATCH('1) For HR (FIX)'!H$1,'HR Rep'!$A$1:$X$1,0),0),""),""))</f>
        <v/>
      </c>
      <c r="I85" s="140" t="str">
        <f>IF(IFERROR(_xlfn.IFNA(VLOOKUP($A85,'HR Rep'!$A:$X,MATCH('1) For HR (FIX)'!I$1,'HR Rep'!$A$1:$X$1,0),0),""),"")="","",IFERROR(_xlfn.IFNA(VLOOKUP($A85,'HR Rep'!$A:$X,MATCH('1) For HR (FIX)'!I$1,'HR Rep'!$A$1:$X$1,0),0),""),""))</f>
        <v/>
      </c>
      <c r="J85" s="140" t="str">
        <f>IF(IFERROR(_xlfn.IFNA(VLOOKUP($A85,'HR Rep'!$A:$X,MATCH('1) For HR (FIX)'!J$1,'HR Rep'!$A$1:$X$1,0),0),""),"")="","",IFERROR(_xlfn.IFNA(VLOOKUP($A85,'HR Rep'!$A:$X,MATCH('1) For HR (FIX)'!J$1,'HR Rep'!$A$1:$X$1,0),0),""),""))</f>
        <v/>
      </c>
      <c r="K85" s="161">
        <f>_xlfn.XLOOKUP(G85,ค่าตอบแทนการขายในอัตราคงที่!A:A,ค่าตอบแทนการขายในอัตราคงที่!B:B)</f>
        <v>0</v>
      </c>
      <c r="L85" s="174">
        <f>Period!$A$2</f>
        <v>46113</v>
      </c>
      <c r="M85" s="175">
        <f>Period!$C$2</f>
        <v>46143</v>
      </c>
      <c r="N85" s="194" t="s">
        <v>279</v>
      </c>
    </row>
    <row r="86" spans="1:14" ht="11.4" x14ac:dyDescent="0.25">
      <c r="A86" s="137"/>
      <c r="B86" s="169" t="e">
        <f>IF(IF(VLOOKUP(A86,ASTBase!F:P,11,FALSE)="","",VLOOKUP(A86,ASTBase!F:P,11,FALSE))=0,"",IF(VLOOKUP(A86,ASTBase!F:P,11,FALSE)="","",VLOOKUP(A86,ASTBase!F:P,11,FALSE)))</f>
        <v>#N/A</v>
      </c>
      <c r="C86" s="140" t="str">
        <f>IF(IFERROR(_xlfn.IFNA(VLOOKUP($A86,'HR Rep'!$A:$X,MATCH('1) For HR (FIX)'!C$1,'HR Rep'!$A$1:$X$1,0),0),""),"")="","",IFERROR(_xlfn.IFNA(VLOOKUP($A86,'HR Rep'!$A:$X,MATCH('1) For HR (FIX)'!C$1,'HR Rep'!$A$1:$X$1,0),0),""),""))</f>
        <v/>
      </c>
      <c r="D86" s="140" t="str">
        <f>IF(IFERROR(_xlfn.IFNA(VLOOKUP($A86,'HR Rep'!$A:$X,MATCH('1) For HR (FIX)'!D$1,'HR Rep'!$A$1:$X$1,0),0),""),"")="","",IFERROR(_xlfn.IFNA(VLOOKUP($A86,'HR Rep'!$A:$X,MATCH('1) For HR (FIX)'!D$1,'HR Rep'!$A$1:$X$1,0),0),""),""))</f>
        <v/>
      </c>
      <c r="E86" s="140" t="str">
        <f>IF(IFERROR(_xlfn.IFNA(VLOOKUP($A86,'HR Rep'!$A:$X,MATCH('1) For HR (FIX)'!E$1,'HR Rep'!$A$1:$X$1,0),0),""),"")="","",IFERROR(_xlfn.IFNA(VLOOKUP($A86,'HR Rep'!$A:$X,MATCH('1) For HR (FIX)'!E$1,'HR Rep'!$A$1:$X$1,0),0),""),""))</f>
        <v/>
      </c>
      <c r="F86" s="140" t="str">
        <f>IF(IFERROR(_xlfn.IFNA(VLOOKUP($A86,'HR Rep'!$A:$X,MATCH('1) For HR (FIX)'!F$1,'HR Rep'!$A$1:$X$1,0),0),""),"")="","",IFERROR(_xlfn.IFNA(VLOOKUP($A86,'HR Rep'!$A:$X,MATCH('1) For HR (FIX)'!F$1,'HR Rep'!$A$1:$X$1,0),0),""),""))</f>
        <v/>
      </c>
      <c r="G86" s="196"/>
      <c r="H86" s="140" t="str">
        <f>IF(IFERROR(_xlfn.IFNA(VLOOKUP($A86,'HR Rep'!$A:$X,MATCH('1) For HR (FIX)'!H$1,'HR Rep'!$A$1:$X$1,0),0),""),"")="","",IFERROR(_xlfn.IFNA(VLOOKUP($A86,'HR Rep'!$A:$X,MATCH('1) For HR (FIX)'!H$1,'HR Rep'!$A$1:$X$1,0),0),""),""))</f>
        <v/>
      </c>
      <c r="I86" s="140" t="str">
        <f>IF(IFERROR(_xlfn.IFNA(VLOOKUP($A86,'HR Rep'!$A:$X,MATCH('1) For HR (FIX)'!I$1,'HR Rep'!$A$1:$X$1,0),0),""),"")="","",IFERROR(_xlfn.IFNA(VLOOKUP($A86,'HR Rep'!$A:$X,MATCH('1) For HR (FIX)'!I$1,'HR Rep'!$A$1:$X$1,0),0),""),""))</f>
        <v/>
      </c>
      <c r="J86" s="140" t="str">
        <f>IF(IFERROR(_xlfn.IFNA(VLOOKUP($A86,'HR Rep'!$A:$X,MATCH('1) For HR (FIX)'!J$1,'HR Rep'!$A$1:$X$1,0),0),""),"")="","",IFERROR(_xlfn.IFNA(VLOOKUP($A86,'HR Rep'!$A:$X,MATCH('1) For HR (FIX)'!J$1,'HR Rep'!$A$1:$X$1,0),0),""),""))</f>
        <v/>
      </c>
      <c r="K86" s="161">
        <f>_xlfn.XLOOKUP(G86,ค่าตอบแทนการขายในอัตราคงที่!A:A,ค่าตอบแทนการขายในอัตราคงที่!B:B)</f>
        <v>0</v>
      </c>
      <c r="L86" s="174">
        <f>Period!$A$2</f>
        <v>46113</v>
      </c>
      <c r="M86" s="175">
        <f>Period!$C$2</f>
        <v>46143</v>
      </c>
      <c r="N86" s="194" t="s">
        <v>279</v>
      </c>
    </row>
    <row r="87" spans="1:14" ht="11.4" x14ac:dyDescent="0.25">
      <c r="A87" s="137"/>
      <c r="B87" s="169" t="e">
        <f>IF(IF(VLOOKUP(A87,ASTBase!F:P,11,FALSE)="","",VLOOKUP(A87,ASTBase!F:P,11,FALSE))=0,"",IF(VLOOKUP(A87,ASTBase!F:P,11,FALSE)="","",VLOOKUP(A87,ASTBase!F:P,11,FALSE)))</f>
        <v>#N/A</v>
      </c>
      <c r="C87" s="140" t="str">
        <f>IF(IFERROR(_xlfn.IFNA(VLOOKUP($A87,'HR Rep'!$A:$X,MATCH('1) For HR (FIX)'!C$1,'HR Rep'!$A$1:$X$1,0),0),""),"")="","",IFERROR(_xlfn.IFNA(VLOOKUP($A87,'HR Rep'!$A:$X,MATCH('1) For HR (FIX)'!C$1,'HR Rep'!$A$1:$X$1,0),0),""),""))</f>
        <v/>
      </c>
      <c r="D87" s="140" t="str">
        <f>IF(IFERROR(_xlfn.IFNA(VLOOKUP($A87,'HR Rep'!$A:$X,MATCH('1) For HR (FIX)'!D$1,'HR Rep'!$A$1:$X$1,0),0),""),"")="","",IFERROR(_xlfn.IFNA(VLOOKUP($A87,'HR Rep'!$A:$X,MATCH('1) For HR (FIX)'!D$1,'HR Rep'!$A$1:$X$1,0),0),""),""))</f>
        <v/>
      </c>
      <c r="E87" s="140" t="str">
        <f>IF(IFERROR(_xlfn.IFNA(VLOOKUP($A87,'HR Rep'!$A:$X,MATCH('1) For HR (FIX)'!E$1,'HR Rep'!$A$1:$X$1,0),0),""),"")="","",IFERROR(_xlfn.IFNA(VLOOKUP($A87,'HR Rep'!$A:$X,MATCH('1) For HR (FIX)'!E$1,'HR Rep'!$A$1:$X$1,0),0),""),""))</f>
        <v/>
      </c>
      <c r="F87" s="140" t="str">
        <f>IF(IFERROR(_xlfn.IFNA(VLOOKUP($A87,'HR Rep'!$A:$X,MATCH('1) For HR (FIX)'!F$1,'HR Rep'!$A$1:$X$1,0),0),""),"")="","",IFERROR(_xlfn.IFNA(VLOOKUP($A87,'HR Rep'!$A:$X,MATCH('1) For HR (FIX)'!F$1,'HR Rep'!$A$1:$X$1,0),0),""),""))</f>
        <v/>
      </c>
      <c r="G87" s="196"/>
      <c r="H87" s="140" t="str">
        <f>IF(IFERROR(_xlfn.IFNA(VLOOKUP($A87,'HR Rep'!$A:$X,MATCH('1) For HR (FIX)'!H$1,'HR Rep'!$A$1:$X$1,0),0),""),"")="","",IFERROR(_xlfn.IFNA(VLOOKUP($A87,'HR Rep'!$A:$X,MATCH('1) For HR (FIX)'!H$1,'HR Rep'!$A$1:$X$1,0),0),""),""))</f>
        <v/>
      </c>
      <c r="I87" s="140" t="str">
        <f>IF(IFERROR(_xlfn.IFNA(VLOOKUP($A87,'HR Rep'!$A:$X,MATCH('1) For HR (FIX)'!I$1,'HR Rep'!$A$1:$X$1,0),0),""),"")="","",IFERROR(_xlfn.IFNA(VLOOKUP($A87,'HR Rep'!$A:$X,MATCH('1) For HR (FIX)'!I$1,'HR Rep'!$A$1:$X$1,0),0),""),""))</f>
        <v/>
      </c>
      <c r="J87" s="140" t="str">
        <f>IF(IFERROR(_xlfn.IFNA(VLOOKUP($A87,'HR Rep'!$A:$X,MATCH('1) For HR (FIX)'!J$1,'HR Rep'!$A$1:$X$1,0),0),""),"")="","",IFERROR(_xlfn.IFNA(VLOOKUP($A87,'HR Rep'!$A:$X,MATCH('1) For HR (FIX)'!J$1,'HR Rep'!$A$1:$X$1,0),0),""),""))</f>
        <v/>
      </c>
      <c r="K87" s="161">
        <f>_xlfn.XLOOKUP(G87,ค่าตอบแทนการขายในอัตราคงที่!A:A,ค่าตอบแทนการขายในอัตราคงที่!B:B)</f>
        <v>0</v>
      </c>
      <c r="L87" s="174">
        <f>Period!$A$2</f>
        <v>46113</v>
      </c>
      <c r="M87" s="175">
        <f>Period!$C$2</f>
        <v>46143</v>
      </c>
      <c r="N87" s="194" t="s">
        <v>279</v>
      </c>
    </row>
    <row r="88" spans="1:14" ht="11.4" x14ac:dyDescent="0.25">
      <c r="A88" s="137"/>
      <c r="B88" s="169" t="e">
        <f>IF(IF(VLOOKUP(A88,ASTBase!F:P,11,FALSE)="","",VLOOKUP(A88,ASTBase!F:P,11,FALSE))=0,"",IF(VLOOKUP(A88,ASTBase!F:P,11,FALSE)="","",VLOOKUP(A88,ASTBase!F:P,11,FALSE)))</f>
        <v>#N/A</v>
      </c>
      <c r="C88" s="140" t="str">
        <f>IF(IFERROR(_xlfn.IFNA(VLOOKUP($A88,'HR Rep'!$A:$X,MATCH('1) For HR (FIX)'!C$1,'HR Rep'!$A$1:$X$1,0),0),""),"")="","",IFERROR(_xlfn.IFNA(VLOOKUP($A88,'HR Rep'!$A:$X,MATCH('1) For HR (FIX)'!C$1,'HR Rep'!$A$1:$X$1,0),0),""),""))</f>
        <v/>
      </c>
      <c r="D88" s="140" t="str">
        <f>IF(IFERROR(_xlfn.IFNA(VLOOKUP($A88,'HR Rep'!$A:$X,MATCH('1) For HR (FIX)'!D$1,'HR Rep'!$A$1:$X$1,0),0),""),"")="","",IFERROR(_xlfn.IFNA(VLOOKUP($A88,'HR Rep'!$A:$X,MATCH('1) For HR (FIX)'!D$1,'HR Rep'!$A$1:$X$1,0),0),""),""))</f>
        <v/>
      </c>
      <c r="E88" s="140" t="str">
        <f>IF(IFERROR(_xlfn.IFNA(VLOOKUP($A88,'HR Rep'!$A:$X,MATCH('1) For HR (FIX)'!E$1,'HR Rep'!$A$1:$X$1,0),0),""),"")="","",IFERROR(_xlfn.IFNA(VLOOKUP($A88,'HR Rep'!$A:$X,MATCH('1) For HR (FIX)'!E$1,'HR Rep'!$A$1:$X$1,0),0),""),""))</f>
        <v/>
      </c>
      <c r="F88" s="140" t="str">
        <f>IF(IFERROR(_xlfn.IFNA(VLOOKUP($A88,'HR Rep'!$A:$X,MATCH('1) For HR (FIX)'!F$1,'HR Rep'!$A$1:$X$1,0),0),""),"")="","",IFERROR(_xlfn.IFNA(VLOOKUP($A88,'HR Rep'!$A:$X,MATCH('1) For HR (FIX)'!F$1,'HR Rep'!$A$1:$X$1,0),0),""),""))</f>
        <v/>
      </c>
      <c r="G88" s="196"/>
      <c r="H88" s="140" t="str">
        <f>IF(IFERROR(_xlfn.IFNA(VLOOKUP($A88,'HR Rep'!$A:$X,MATCH('1) For HR (FIX)'!H$1,'HR Rep'!$A$1:$X$1,0),0),""),"")="","",IFERROR(_xlfn.IFNA(VLOOKUP($A88,'HR Rep'!$A:$X,MATCH('1) For HR (FIX)'!H$1,'HR Rep'!$A$1:$X$1,0),0),""),""))</f>
        <v/>
      </c>
      <c r="I88" s="140" t="str">
        <f>IF(IFERROR(_xlfn.IFNA(VLOOKUP($A88,'HR Rep'!$A:$X,MATCH('1) For HR (FIX)'!I$1,'HR Rep'!$A$1:$X$1,0),0),""),"")="","",IFERROR(_xlfn.IFNA(VLOOKUP($A88,'HR Rep'!$A:$X,MATCH('1) For HR (FIX)'!I$1,'HR Rep'!$A$1:$X$1,0),0),""),""))</f>
        <v/>
      </c>
      <c r="J88" s="140" t="str">
        <f>IF(IFERROR(_xlfn.IFNA(VLOOKUP($A88,'HR Rep'!$A:$X,MATCH('1) For HR (FIX)'!J$1,'HR Rep'!$A$1:$X$1,0),0),""),"")="","",IFERROR(_xlfn.IFNA(VLOOKUP($A88,'HR Rep'!$A:$X,MATCH('1) For HR (FIX)'!J$1,'HR Rep'!$A$1:$X$1,0),0),""),""))</f>
        <v/>
      </c>
      <c r="K88" s="161">
        <f>_xlfn.XLOOKUP(G88,ค่าตอบแทนการขายในอัตราคงที่!A:A,ค่าตอบแทนการขายในอัตราคงที่!B:B)</f>
        <v>0</v>
      </c>
      <c r="L88" s="174">
        <f>Period!$A$2</f>
        <v>46113</v>
      </c>
      <c r="M88" s="175">
        <f>Period!$C$2</f>
        <v>46143</v>
      </c>
      <c r="N88" s="194" t="s">
        <v>279</v>
      </c>
    </row>
    <row r="89" spans="1:14" ht="11.4" x14ac:dyDescent="0.25">
      <c r="A89" s="137"/>
      <c r="B89" s="169" t="e">
        <f>IF(IF(VLOOKUP(A89,ASTBase!F:P,11,FALSE)="","",VLOOKUP(A89,ASTBase!F:P,11,FALSE))=0,"",IF(VLOOKUP(A89,ASTBase!F:P,11,FALSE)="","",VLOOKUP(A89,ASTBase!F:P,11,FALSE)))</f>
        <v>#N/A</v>
      </c>
      <c r="C89" s="140" t="str">
        <f>IF(IFERROR(_xlfn.IFNA(VLOOKUP($A89,'HR Rep'!$A:$X,MATCH('1) For HR (FIX)'!C$1,'HR Rep'!$A$1:$X$1,0),0),""),"")="","",IFERROR(_xlfn.IFNA(VLOOKUP($A89,'HR Rep'!$A:$X,MATCH('1) For HR (FIX)'!C$1,'HR Rep'!$A$1:$X$1,0),0),""),""))</f>
        <v/>
      </c>
      <c r="D89" s="140" t="str">
        <f>IF(IFERROR(_xlfn.IFNA(VLOOKUP($A89,'HR Rep'!$A:$X,MATCH('1) For HR (FIX)'!D$1,'HR Rep'!$A$1:$X$1,0),0),""),"")="","",IFERROR(_xlfn.IFNA(VLOOKUP($A89,'HR Rep'!$A:$X,MATCH('1) For HR (FIX)'!D$1,'HR Rep'!$A$1:$X$1,0),0),""),""))</f>
        <v/>
      </c>
      <c r="E89" s="140" t="str">
        <f>IF(IFERROR(_xlfn.IFNA(VLOOKUP($A89,'HR Rep'!$A:$X,MATCH('1) For HR (FIX)'!E$1,'HR Rep'!$A$1:$X$1,0),0),""),"")="","",IFERROR(_xlfn.IFNA(VLOOKUP($A89,'HR Rep'!$A:$X,MATCH('1) For HR (FIX)'!E$1,'HR Rep'!$A$1:$X$1,0),0),""),""))</f>
        <v/>
      </c>
      <c r="F89" s="140" t="str">
        <f>IF(IFERROR(_xlfn.IFNA(VLOOKUP($A89,'HR Rep'!$A:$X,MATCH('1) For HR (FIX)'!F$1,'HR Rep'!$A$1:$X$1,0),0),""),"")="","",IFERROR(_xlfn.IFNA(VLOOKUP($A89,'HR Rep'!$A:$X,MATCH('1) For HR (FIX)'!F$1,'HR Rep'!$A$1:$X$1,0),0),""),""))</f>
        <v/>
      </c>
      <c r="G89" s="196"/>
      <c r="H89" s="140" t="str">
        <f>IF(IFERROR(_xlfn.IFNA(VLOOKUP($A89,'HR Rep'!$A:$X,MATCH('1) For HR (FIX)'!H$1,'HR Rep'!$A$1:$X$1,0),0),""),"")="","",IFERROR(_xlfn.IFNA(VLOOKUP($A89,'HR Rep'!$A:$X,MATCH('1) For HR (FIX)'!H$1,'HR Rep'!$A$1:$X$1,0),0),""),""))</f>
        <v/>
      </c>
      <c r="I89" s="140" t="str">
        <f>IF(IFERROR(_xlfn.IFNA(VLOOKUP($A89,'HR Rep'!$A:$X,MATCH('1) For HR (FIX)'!I$1,'HR Rep'!$A$1:$X$1,0),0),""),"")="","",IFERROR(_xlfn.IFNA(VLOOKUP($A89,'HR Rep'!$A:$X,MATCH('1) For HR (FIX)'!I$1,'HR Rep'!$A$1:$X$1,0),0),""),""))</f>
        <v/>
      </c>
      <c r="J89" s="140" t="str">
        <f>IF(IFERROR(_xlfn.IFNA(VLOOKUP($A89,'HR Rep'!$A:$X,MATCH('1) For HR (FIX)'!J$1,'HR Rep'!$A$1:$X$1,0),0),""),"")="","",IFERROR(_xlfn.IFNA(VLOOKUP($A89,'HR Rep'!$A:$X,MATCH('1) For HR (FIX)'!J$1,'HR Rep'!$A$1:$X$1,0),0),""),""))</f>
        <v/>
      </c>
      <c r="K89" s="161">
        <f>_xlfn.XLOOKUP(G89,ค่าตอบแทนการขายในอัตราคงที่!A:A,ค่าตอบแทนการขายในอัตราคงที่!B:B)</f>
        <v>0</v>
      </c>
      <c r="L89" s="174">
        <f>Period!$A$2</f>
        <v>46113</v>
      </c>
      <c r="M89" s="175">
        <f>Period!$C$2</f>
        <v>46143</v>
      </c>
      <c r="N89" s="194" t="s">
        <v>279</v>
      </c>
    </row>
    <row r="90" spans="1:14" ht="11.4" x14ac:dyDescent="0.25">
      <c r="A90" s="137"/>
      <c r="B90" s="169" t="e">
        <f>IF(IF(VLOOKUP(A90,ASTBase!F:P,11,FALSE)="","",VLOOKUP(A90,ASTBase!F:P,11,FALSE))=0,"",IF(VLOOKUP(A90,ASTBase!F:P,11,FALSE)="","",VLOOKUP(A90,ASTBase!F:P,11,FALSE)))</f>
        <v>#N/A</v>
      </c>
      <c r="C90" s="140" t="str">
        <f>IF(IFERROR(_xlfn.IFNA(VLOOKUP($A90,'HR Rep'!$A:$X,MATCH('1) For HR (FIX)'!C$1,'HR Rep'!$A$1:$X$1,0),0),""),"")="","",IFERROR(_xlfn.IFNA(VLOOKUP($A90,'HR Rep'!$A:$X,MATCH('1) For HR (FIX)'!C$1,'HR Rep'!$A$1:$X$1,0),0),""),""))</f>
        <v/>
      </c>
      <c r="D90" s="140" t="str">
        <f>IF(IFERROR(_xlfn.IFNA(VLOOKUP($A90,'HR Rep'!$A:$X,MATCH('1) For HR (FIX)'!D$1,'HR Rep'!$A$1:$X$1,0),0),""),"")="","",IFERROR(_xlfn.IFNA(VLOOKUP($A90,'HR Rep'!$A:$X,MATCH('1) For HR (FIX)'!D$1,'HR Rep'!$A$1:$X$1,0),0),""),""))</f>
        <v/>
      </c>
      <c r="E90" s="140" t="str">
        <f>IF(IFERROR(_xlfn.IFNA(VLOOKUP($A90,'HR Rep'!$A:$X,MATCH('1) For HR (FIX)'!E$1,'HR Rep'!$A$1:$X$1,0),0),""),"")="","",IFERROR(_xlfn.IFNA(VLOOKUP($A90,'HR Rep'!$A:$X,MATCH('1) For HR (FIX)'!E$1,'HR Rep'!$A$1:$X$1,0),0),""),""))</f>
        <v/>
      </c>
      <c r="F90" s="140" t="str">
        <f>IF(IFERROR(_xlfn.IFNA(VLOOKUP($A90,'HR Rep'!$A:$X,MATCH('1) For HR (FIX)'!F$1,'HR Rep'!$A$1:$X$1,0),0),""),"")="","",IFERROR(_xlfn.IFNA(VLOOKUP($A90,'HR Rep'!$A:$X,MATCH('1) For HR (FIX)'!F$1,'HR Rep'!$A$1:$X$1,0),0),""),""))</f>
        <v/>
      </c>
      <c r="G90" s="196"/>
      <c r="H90" s="140" t="str">
        <f>IF(IFERROR(_xlfn.IFNA(VLOOKUP($A90,'HR Rep'!$A:$X,MATCH('1) For HR (FIX)'!H$1,'HR Rep'!$A$1:$X$1,0),0),""),"")="","",IFERROR(_xlfn.IFNA(VLOOKUP($A90,'HR Rep'!$A:$X,MATCH('1) For HR (FIX)'!H$1,'HR Rep'!$A$1:$X$1,0),0),""),""))</f>
        <v/>
      </c>
      <c r="I90" s="140" t="str">
        <f>IF(IFERROR(_xlfn.IFNA(VLOOKUP($A90,'HR Rep'!$A:$X,MATCH('1) For HR (FIX)'!I$1,'HR Rep'!$A$1:$X$1,0),0),""),"")="","",IFERROR(_xlfn.IFNA(VLOOKUP($A90,'HR Rep'!$A:$X,MATCH('1) For HR (FIX)'!I$1,'HR Rep'!$A$1:$X$1,0),0),""),""))</f>
        <v/>
      </c>
      <c r="J90" s="140" t="str">
        <f>IF(IFERROR(_xlfn.IFNA(VLOOKUP($A90,'HR Rep'!$A:$X,MATCH('1) For HR (FIX)'!J$1,'HR Rep'!$A$1:$X$1,0),0),""),"")="","",IFERROR(_xlfn.IFNA(VLOOKUP($A90,'HR Rep'!$A:$X,MATCH('1) For HR (FIX)'!J$1,'HR Rep'!$A$1:$X$1,0),0),""),""))</f>
        <v/>
      </c>
      <c r="K90" s="161">
        <f>_xlfn.XLOOKUP(G90,ค่าตอบแทนการขายในอัตราคงที่!A:A,ค่าตอบแทนการขายในอัตราคงที่!B:B)</f>
        <v>0</v>
      </c>
      <c r="L90" s="174">
        <f>Period!$A$2</f>
        <v>46113</v>
      </c>
      <c r="M90" s="175">
        <f>Period!$C$2</f>
        <v>46143</v>
      </c>
      <c r="N90" s="194" t="s">
        <v>279</v>
      </c>
    </row>
    <row r="91" spans="1:14" ht="11.4" x14ac:dyDescent="0.25">
      <c r="A91" s="137"/>
      <c r="B91" s="169" t="e">
        <f>IF(IF(VLOOKUP(A91,ASTBase!F:P,11,FALSE)="","",VLOOKUP(A91,ASTBase!F:P,11,FALSE))=0,"",IF(VLOOKUP(A91,ASTBase!F:P,11,FALSE)="","",VLOOKUP(A91,ASTBase!F:P,11,FALSE)))</f>
        <v>#N/A</v>
      </c>
      <c r="C91" s="140" t="str">
        <f>IF(IFERROR(_xlfn.IFNA(VLOOKUP($A91,'HR Rep'!$A:$X,MATCH('1) For HR (FIX)'!C$1,'HR Rep'!$A$1:$X$1,0),0),""),"")="","",IFERROR(_xlfn.IFNA(VLOOKUP($A91,'HR Rep'!$A:$X,MATCH('1) For HR (FIX)'!C$1,'HR Rep'!$A$1:$X$1,0),0),""),""))</f>
        <v/>
      </c>
      <c r="D91" s="140" t="str">
        <f>IF(IFERROR(_xlfn.IFNA(VLOOKUP($A91,'HR Rep'!$A:$X,MATCH('1) For HR (FIX)'!D$1,'HR Rep'!$A$1:$X$1,0),0),""),"")="","",IFERROR(_xlfn.IFNA(VLOOKUP($A91,'HR Rep'!$A:$X,MATCH('1) For HR (FIX)'!D$1,'HR Rep'!$A$1:$X$1,0),0),""),""))</f>
        <v/>
      </c>
      <c r="E91" s="140" t="str">
        <f>IF(IFERROR(_xlfn.IFNA(VLOOKUP($A91,'HR Rep'!$A:$X,MATCH('1) For HR (FIX)'!E$1,'HR Rep'!$A$1:$X$1,0),0),""),"")="","",IFERROR(_xlfn.IFNA(VLOOKUP($A91,'HR Rep'!$A:$X,MATCH('1) For HR (FIX)'!E$1,'HR Rep'!$A$1:$X$1,0),0),""),""))</f>
        <v/>
      </c>
      <c r="F91" s="140" t="str">
        <f>IF(IFERROR(_xlfn.IFNA(VLOOKUP($A91,'HR Rep'!$A:$X,MATCH('1) For HR (FIX)'!F$1,'HR Rep'!$A$1:$X$1,0),0),""),"")="","",IFERROR(_xlfn.IFNA(VLOOKUP($A91,'HR Rep'!$A:$X,MATCH('1) For HR (FIX)'!F$1,'HR Rep'!$A$1:$X$1,0),0),""),""))</f>
        <v/>
      </c>
      <c r="G91" s="196"/>
      <c r="H91" s="140" t="str">
        <f>IF(IFERROR(_xlfn.IFNA(VLOOKUP($A91,'HR Rep'!$A:$X,MATCH('1) For HR (FIX)'!H$1,'HR Rep'!$A$1:$X$1,0),0),""),"")="","",IFERROR(_xlfn.IFNA(VLOOKUP($A91,'HR Rep'!$A:$X,MATCH('1) For HR (FIX)'!H$1,'HR Rep'!$A$1:$X$1,0),0),""),""))</f>
        <v/>
      </c>
      <c r="I91" s="140" t="str">
        <f>IF(IFERROR(_xlfn.IFNA(VLOOKUP($A91,'HR Rep'!$A:$X,MATCH('1) For HR (FIX)'!I$1,'HR Rep'!$A$1:$X$1,0),0),""),"")="","",IFERROR(_xlfn.IFNA(VLOOKUP($A91,'HR Rep'!$A:$X,MATCH('1) For HR (FIX)'!I$1,'HR Rep'!$A$1:$X$1,0),0),""),""))</f>
        <v/>
      </c>
      <c r="J91" s="140" t="str">
        <f>IF(IFERROR(_xlfn.IFNA(VLOOKUP($A91,'HR Rep'!$A:$X,MATCH('1) For HR (FIX)'!J$1,'HR Rep'!$A$1:$X$1,0),0),""),"")="","",IFERROR(_xlfn.IFNA(VLOOKUP($A91,'HR Rep'!$A:$X,MATCH('1) For HR (FIX)'!J$1,'HR Rep'!$A$1:$X$1,0),0),""),""))</f>
        <v/>
      </c>
      <c r="K91" s="161">
        <f>_xlfn.XLOOKUP(G91,ค่าตอบแทนการขายในอัตราคงที่!A:A,ค่าตอบแทนการขายในอัตราคงที่!B:B)</f>
        <v>0</v>
      </c>
      <c r="L91" s="174">
        <f>Period!$A$2</f>
        <v>46113</v>
      </c>
      <c r="M91" s="175">
        <f>Period!$C$2</f>
        <v>46143</v>
      </c>
      <c r="N91" s="194" t="s">
        <v>279</v>
      </c>
    </row>
    <row r="92" spans="1:14" ht="11.4" x14ac:dyDescent="0.25">
      <c r="A92" s="137"/>
      <c r="B92" s="169" t="e">
        <f>IF(IF(VLOOKUP(A92,ASTBase!F:P,11,FALSE)="","",VLOOKUP(A92,ASTBase!F:P,11,FALSE))=0,"",IF(VLOOKUP(A92,ASTBase!F:P,11,FALSE)="","",VLOOKUP(A92,ASTBase!F:P,11,FALSE)))</f>
        <v>#N/A</v>
      </c>
      <c r="C92" s="140" t="str">
        <f>IF(IFERROR(_xlfn.IFNA(VLOOKUP($A92,'HR Rep'!$A:$X,MATCH('1) For HR (FIX)'!C$1,'HR Rep'!$A$1:$X$1,0),0),""),"")="","",IFERROR(_xlfn.IFNA(VLOOKUP($A92,'HR Rep'!$A:$X,MATCH('1) For HR (FIX)'!C$1,'HR Rep'!$A$1:$X$1,0),0),""),""))</f>
        <v/>
      </c>
      <c r="D92" s="140" t="str">
        <f>IF(IFERROR(_xlfn.IFNA(VLOOKUP($A92,'HR Rep'!$A:$X,MATCH('1) For HR (FIX)'!D$1,'HR Rep'!$A$1:$X$1,0),0),""),"")="","",IFERROR(_xlfn.IFNA(VLOOKUP($A92,'HR Rep'!$A:$X,MATCH('1) For HR (FIX)'!D$1,'HR Rep'!$A$1:$X$1,0),0),""),""))</f>
        <v/>
      </c>
      <c r="E92" s="140" t="str">
        <f>IF(IFERROR(_xlfn.IFNA(VLOOKUP($A92,'HR Rep'!$A:$X,MATCH('1) For HR (FIX)'!E$1,'HR Rep'!$A$1:$X$1,0),0),""),"")="","",IFERROR(_xlfn.IFNA(VLOOKUP($A92,'HR Rep'!$A:$X,MATCH('1) For HR (FIX)'!E$1,'HR Rep'!$A$1:$X$1,0),0),""),""))</f>
        <v/>
      </c>
      <c r="F92" s="140" t="str">
        <f>IF(IFERROR(_xlfn.IFNA(VLOOKUP($A92,'HR Rep'!$A:$X,MATCH('1) For HR (FIX)'!F$1,'HR Rep'!$A$1:$X$1,0),0),""),"")="","",IFERROR(_xlfn.IFNA(VLOOKUP($A92,'HR Rep'!$A:$X,MATCH('1) For HR (FIX)'!F$1,'HR Rep'!$A$1:$X$1,0),0),""),""))</f>
        <v/>
      </c>
      <c r="G92" s="196"/>
      <c r="H92" s="140" t="str">
        <f>IF(IFERROR(_xlfn.IFNA(VLOOKUP($A92,'HR Rep'!$A:$X,MATCH('1) For HR (FIX)'!H$1,'HR Rep'!$A$1:$X$1,0),0),""),"")="","",IFERROR(_xlfn.IFNA(VLOOKUP($A92,'HR Rep'!$A:$X,MATCH('1) For HR (FIX)'!H$1,'HR Rep'!$A$1:$X$1,0),0),""),""))</f>
        <v/>
      </c>
      <c r="I92" s="140" t="str">
        <f>IF(IFERROR(_xlfn.IFNA(VLOOKUP($A92,'HR Rep'!$A:$X,MATCH('1) For HR (FIX)'!I$1,'HR Rep'!$A$1:$X$1,0),0),""),"")="","",IFERROR(_xlfn.IFNA(VLOOKUP($A92,'HR Rep'!$A:$X,MATCH('1) For HR (FIX)'!I$1,'HR Rep'!$A$1:$X$1,0),0),""),""))</f>
        <v/>
      </c>
      <c r="J92" s="140" t="str">
        <f>IF(IFERROR(_xlfn.IFNA(VLOOKUP($A92,'HR Rep'!$A:$X,MATCH('1) For HR (FIX)'!J$1,'HR Rep'!$A$1:$X$1,0),0),""),"")="","",IFERROR(_xlfn.IFNA(VLOOKUP($A92,'HR Rep'!$A:$X,MATCH('1) For HR (FIX)'!J$1,'HR Rep'!$A$1:$X$1,0),0),""),""))</f>
        <v/>
      </c>
      <c r="K92" s="161">
        <f>_xlfn.XLOOKUP(G92,ค่าตอบแทนการขายในอัตราคงที่!A:A,ค่าตอบแทนการขายในอัตราคงที่!B:B)</f>
        <v>0</v>
      </c>
      <c r="L92" s="174">
        <f>Period!$A$2</f>
        <v>46113</v>
      </c>
      <c r="M92" s="175">
        <f>Period!$C$2</f>
        <v>46143</v>
      </c>
      <c r="N92" s="194" t="s">
        <v>279</v>
      </c>
    </row>
    <row r="93" spans="1:14" ht="11.4" x14ac:dyDescent="0.25">
      <c r="A93" s="137"/>
      <c r="B93" s="169" t="e">
        <f>IF(IF(VLOOKUP(A93,ASTBase!F:P,11,FALSE)="","",VLOOKUP(A93,ASTBase!F:P,11,FALSE))=0,"",IF(VLOOKUP(A93,ASTBase!F:P,11,FALSE)="","",VLOOKUP(A93,ASTBase!F:P,11,FALSE)))</f>
        <v>#N/A</v>
      </c>
      <c r="C93" s="140" t="str">
        <f>IF(IFERROR(_xlfn.IFNA(VLOOKUP($A93,'HR Rep'!$A:$X,MATCH('1) For HR (FIX)'!C$1,'HR Rep'!$A$1:$X$1,0),0),""),"")="","",IFERROR(_xlfn.IFNA(VLOOKUP($A93,'HR Rep'!$A:$X,MATCH('1) For HR (FIX)'!C$1,'HR Rep'!$A$1:$X$1,0),0),""),""))</f>
        <v/>
      </c>
      <c r="D93" s="140" t="str">
        <f>IF(IFERROR(_xlfn.IFNA(VLOOKUP($A93,'HR Rep'!$A:$X,MATCH('1) For HR (FIX)'!D$1,'HR Rep'!$A$1:$X$1,0),0),""),"")="","",IFERROR(_xlfn.IFNA(VLOOKUP($A93,'HR Rep'!$A:$X,MATCH('1) For HR (FIX)'!D$1,'HR Rep'!$A$1:$X$1,0),0),""),""))</f>
        <v/>
      </c>
      <c r="E93" s="140" t="str">
        <f>IF(IFERROR(_xlfn.IFNA(VLOOKUP($A93,'HR Rep'!$A:$X,MATCH('1) For HR (FIX)'!E$1,'HR Rep'!$A$1:$X$1,0),0),""),"")="","",IFERROR(_xlfn.IFNA(VLOOKUP($A93,'HR Rep'!$A:$X,MATCH('1) For HR (FIX)'!E$1,'HR Rep'!$A$1:$X$1,0),0),""),""))</f>
        <v/>
      </c>
      <c r="F93" s="140" t="str">
        <f>IF(IFERROR(_xlfn.IFNA(VLOOKUP($A93,'HR Rep'!$A:$X,MATCH('1) For HR (FIX)'!F$1,'HR Rep'!$A$1:$X$1,0),0),""),"")="","",IFERROR(_xlfn.IFNA(VLOOKUP($A93,'HR Rep'!$A:$X,MATCH('1) For HR (FIX)'!F$1,'HR Rep'!$A$1:$X$1,0),0),""),""))</f>
        <v/>
      </c>
      <c r="G93" s="196"/>
      <c r="H93" s="140" t="str">
        <f>IF(IFERROR(_xlfn.IFNA(VLOOKUP($A93,'HR Rep'!$A:$X,MATCH('1) For HR (FIX)'!H$1,'HR Rep'!$A$1:$X$1,0),0),""),"")="","",IFERROR(_xlfn.IFNA(VLOOKUP($A93,'HR Rep'!$A:$X,MATCH('1) For HR (FIX)'!H$1,'HR Rep'!$A$1:$X$1,0),0),""),""))</f>
        <v/>
      </c>
      <c r="I93" s="140" t="str">
        <f>IF(IFERROR(_xlfn.IFNA(VLOOKUP($A93,'HR Rep'!$A:$X,MATCH('1) For HR (FIX)'!I$1,'HR Rep'!$A$1:$X$1,0),0),""),"")="","",IFERROR(_xlfn.IFNA(VLOOKUP($A93,'HR Rep'!$A:$X,MATCH('1) For HR (FIX)'!I$1,'HR Rep'!$A$1:$X$1,0),0),""),""))</f>
        <v/>
      </c>
      <c r="J93" s="140" t="str">
        <f>IF(IFERROR(_xlfn.IFNA(VLOOKUP($A93,'HR Rep'!$A:$X,MATCH('1) For HR (FIX)'!J$1,'HR Rep'!$A$1:$X$1,0),0),""),"")="","",IFERROR(_xlfn.IFNA(VLOOKUP($A93,'HR Rep'!$A:$X,MATCH('1) For HR (FIX)'!J$1,'HR Rep'!$A$1:$X$1,0),0),""),""))</f>
        <v/>
      </c>
      <c r="K93" s="161">
        <f>_xlfn.XLOOKUP(G93,ค่าตอบแทนการขายในอัตราคงที่!A:A,ค่าตอบแทนการขายในอัตราคงที่!B:B)</f>
        <v>0</v>
      </c>
      <c r="L93" s="174">
        <f>Period!$A$2</f>
        <v>46113</v>
      </c>
      <c r="M93" s="175">
        <f>Period!$C$2</f>
        <v>46143</v>
      </c>
      <c r="N93" s="194" t="s">
        <v>279</v>
      </c>
    </row>
    <row r="94" spans="1:14" ht="11.4" x14ac:dyDescent="0.25">
      <c r="A94" s="137"/>
      <c r="B94" s="169" t="e">
        <f>IF(IF(VLOOKUP(A94,ASTBase!F:P,11,FALSE)="","",VLOOKUP(A94,ASTBase!F:P,11,FALSE))=0,"",IF(VLOOKUP(A94,ASTBase!F:P,11,FALSE)="","",VLOOKUP(A94,ASTBase!F:P,11,FALSE)))</f>
        <v>#N/A</v>
      </c>
      <c r="C94" s="140" t="str">
        <f>IF(IFERROR(_xlfn.IFNA(VLOOKUP($A94,'HR Rep'!$A:$X,MATCH('1) For HR (FIX)'!C$1,'HR Rep'!$A$1:$X$1,0),0),""),"")="","",IFERROR(_xlfn.IFNA(VLOOKUP($A94,'HR Rep'!$A:$X,MATCH('1) For HR (FIX)'!C$1,'HR Rep'!$A$1:$X$1,0),0),""),""))</f>
        <v/>
      </c>
      <c r="D94" s="140" t="str">
        <f>IF(IFERROR(_xlfn.IFNA(VLOOKUP($A94,'HR Rep'!$A:$X,MATCH('1) For HR (FIX)'!D$1,'HR Rep'!$A$1:$X$1,0),0),""),"")="","",IFERROR(_xlfn.IFNA(VLOOKUP($A94,'HR Rep'!$A:$X,MATCH('1) For HR (FIX)'!D$1,'HR Rep'!$A$1:$X$1,0),0),""),""))</f>
        <v/>
      </c>
      <c r="E94" s="140" t="str">
        <f>IF(IFERROR(_xlfn.IFNA(VLOOKUP($A94,'HR Rep'!$A:$X,MATCH('1) For HR (FIX)'!E$1,'HR Rep'!$A$1:$X$1,0),0),""),"")="","",IFERROR(_xlfn.IFNA(VLOOKUP($A94,'HR Rep'!$A:$X,MATCH('1) For HR (FIX)'!E$1,'HR Rep'!$A$1:$X$1,0),0),""),""))</f>
        <v/>
      </c>
      <c r="F94" s="140" t="str">
        <f>IF(IFERROR(_xlfn.IFNA(VLOOKUP($A94,'HR Rep'!$A:$X,MATCH('1) For HR (FIX)'!F$1,'HR Rep'!$A$1:$X$1,0),0),""),"")="","",IFERROR(_xlfn.IFNA(VLOOKUP($A94,'HR Rep'!$A:$X,MATCH('1) For HR (FIX)'!F$1,'HR Rep'!$A$1:$X$1,0),0),""),""))</f>
        <v/>
      </c>
      <c r="G94" s="196"/>
      <c r="H94" s="140" t="str">
        <f>IF(IFERROR(_xlfn.IFNA(VLOOKUP($A94,'HR Rep'!$A:$X,MATCH('1) For HR (FIX)'!H$1,'HR Rep'!$A$1:$X$1,0),0),""),"")="","",IFERROR(_xlfn.IFNA(VLOOKUP($A94,'HR Rep'!$A:$X,MATCH('1) For HR (FIX)'!H$1,'HR Rep'!$A$1:$X$1,0),0),""),""))</f>
        <v/>
      </c>
      <c r="I94" s="140" t="str">
        <f>IF(IFERROR(_xlfn.IFNA(VLOOKUP($A94,'HR Rep'!$A:$X,MATCH('1) For HR (FIX)'!I$1,'HR Rep'!$A$1:$X$1,0),0),""),"")="","",IFERROR(_xlfn.IFNA(VLOOKUP($A94,'HR Rep'!$A:$X,MATCH('1) For HR (FIX)'!I$1,'HR Rep'!$A$1:$X$1,0),0),""),""))</f>
        <v/>
      </c>
      <c r="J94" s="140" t="str">
        <f>IF(IFERROR(_xlfn.IFNA(VLOOKUP($A94,'HR Rep'!$A:$X,MATCH('1) For HR (FIX)'!J$1,'HR Rep'!$A$1:$X$1,0),0),""),"")="","",IFERROR(_xlfn.IFNA(VLOOKUP($A94,'HR Rep'!$A:$X,MATCH('1) For HR (FIX)'!J$1,'HR Rep'!$A$1:$X$1,0),0),""),""))</f>
        <v/>
      </c>
      <c r="K94" s="161">
        <f>_xlfn.XLOOKUP(G94,ค่าตอบแทนการขายในอัตราคงที่!A:A,ค่าตอบแทนการขายในอัตราคงที่!B:B)</f>
        <v>0</v>
      </c>
      <c r="L94" s="174">
        <f>Period!$A$2</f>
        <v>46113</v>
      </c>
      <c r="M94" s="175">
        <f>Period!$C$2</f>
        <v>46143</v>
      </c>
      <c r="N94" s="194" t="s">
        <v>279</v>
      </c>
    </row>
    <row r="95" spans="1:14" ht="11.4" x14ac:dyDescent="0.25">
      <c r="A95" s="137"/>
      <c r="B95" s="169" t="e">
        <f>IF(IF(VLOOKUP(A95,ASTBase!F:P,11,FALSE)="","",VLOOKUP(A95,ASTBase!F:P,11,FALSE))=0,"",IF(VLOOKUP(A95,ASTBase!F:P,11,FALSE)="","",VLOOKUP(A95,ASTBase!F:P,11,FALSE)))</f>
        <v>#N/A</v>
      </c>
      <c r="C95" s="140" t="str">
        <f>IF(IFERROR(_xlfn.IFNA(VLOOKUP($A95,'HR Rep'!$A:$X,MATCH('1) For HR (FIX)'!C$1,'HR Rep'!$A$1:$X$1,0),0),""),"")="","",IFERROR(_xlfn.IFNA(VLOOKUP($A95,'HR Rep'!$A:$X,MATCH('1) For HR (FIX)'!C$1,'HR Rep'!$A$1:$X$1,0),0),""),""))</f>
        <v/>
      </c>
      <c r="D95" s="140" t="str">
        <f>IF(IFERROR(_xlfn.IFNA(VLOOKUP($A95,'HR Rep'!$A:$X,MATCH('1) For HR (FIX)'!D$1,'HR Rep'!$A$1:$X$1,0),0),""),"")="","",IFERROR(_xlfn.IFNA(VLOOKUP($A95,'HR Rep'!$A:$X,MATCH('1) For HR (FIX)'!D$1,'HR Rep'!$A$1:$X$1,0),0),""),""))</f>
        <v/>
      </c>
      <c r="E95" s="140" t="str">
        <f>IF(IFERROR(_xlfn.IFNA(VLOOKUP($A95,'HR Rep'!$A:$X,MATCH('1) For HR (FIX)'!E$1,'HR Rep'!$A$1:$X$1,0),0),""),"")="","",IFERROR(_xlfn.IFNA(VLOOKUP($A95,'HR Rep'!$A:$X,MATCH('1) For HR (FIX)'!E$1,'HR Rep'!$A$1:$X$1,0),0),""),""))</f>
        <v/>
      </c>
      <c r="F95" s="140" t="str">
        <f>IF(IFERROR(_xlfn.IFNA(VLOOKUP($A95,'HR Rep'!$A:$X,MATCH('1) For HR (FIX)'!F$1,'HR Rep'!$A$1:$X$1,0),0),""),"")="","",IFERROR(_xlfn.IFNA(VLOOKUP($A95,'HR Rep'!$A:$X,MATCH('1) For HR (FIX)'!F$1,'HR Rep'!$A$1:$X$1,0),0),""),""))</f>
        <v/>
      </c>
      <c r="G95" s="196"/>
      <c r="H95" s="140" t="str">
        <f>IF(IFERROR(_xlfn.IFNA(VLOOKUP($A95,'HR Rep'!$A:$X,MATCH('1) For HR (FIX)'!H$1,'HR Rep'!$A$1:$X$1,0),0),""),"")="","",IFERROR(_xlfn.IFNA(VLOOKUP($A95,'HR Rep'!$A:$X,MATCH('1) For HR (FIX)'!H$1,'HR Rep'!$A$1:$X$1,0),0),""),""))</f>
        <v/>
      </c>
      <c r="I95" s="140" t="str">
        <f>IF(IFERROR(_xlfn.IFNA(VLOOKUP($A95,'HR Rep'!$A:$X,MATCH('1) For HR (FIX)'!I$1,'HR Rep'!$A$1:$X$1,0),0),""),"")="","",IFERROR(_xlfn.IFNA(VLOOKUP($A95,'HR Rep'!$A:$X,MATCH('1) For HR (FIX)'!I$1,'HR Rep'!$A$1:$X$1,0),0),""),""))</f>
        <v/>
      </c>
      <c r="J95" s="140" t="str">
        <f>IF(IFERROR(_xlfn.IFNA(VLOOKUP($A95,'HR Rep'!$A:$X,MATCH('1) For HR (FIX)'!J$1,'HR Rep'!$A$1:$X$1,0),0),""),"")="","",IFERROR(_xlfn.IFNA(VLOOKUP($A95,'HR Rep'!$A:$X,MATCH('1) For HR (FIX)'!J$1,'HR Rep'!$A$1:$X$1,0),0),""),""))</f>
        <v/>
      </c>
      <c r="K95" s="161">
        <f>_xlfn.XLOOKUP(G95,ค่าตอบแทนการขายในอัตราคงที่!A:A,ค่าตอบแทนการขายในอัตราคงที่!B:B)</f>
        <v>0</v>
      </c>
      <c r="L95" s="174">
        <f>Period!$A$2</f>
        <v>46113</v>
      </c>
      <c r="M95" s="175">
        <f>Period!$C$2</f>
        <v>46143</v>
      </c>
      <c r="N95" s="194" t="s">
        <v>279</v>
      </c>
    </row>
    <row r="96" spans="1:14" ht="11.4" x14ac:dyDescent="0.25">
      <c r="A96" s="137"/>
      <c r="B96" s="169" t="e">
        <f>IF(IF(VLOOKUP(A96,ASTBase!F:P,11,FALSE)="","",VLOOKUP(A96,ASTBase!F:P,11,FALSE))=0,"",IF(VLOOKUP(A96,ASTBase!F:P,11,FALSE)="","",VLOOKUP(A96,ASTBase!F:P,11,FALSE)))</f>
        <v>#N/A</v>
      </c>
      <c r="C96" s="140" t="str">
        <f>IF(IFERROR(_xlfn.IFNA(VLOOKUP($A96,'HR Rep'!$A:$X,MATCH('1) For HR (FIX)'!C$1,'HR Rep'!$A$1:$X$1,0),0),""),"")="","",IFERROR(_xlfn.IFNA(VLOOKUP($A96,'HR Rep'!$A:$X,MATCH('1) For HR (FIX)'!C$1,'HR Rep'!$A$1:$X$1,0),0),""),""))</f>
        <v/>
      </c>
      <c r="D96" s="140" t="str">
        <f>IF(IFERROR(_xlfn.IFNA(VLOOKUP($A96,'HR Rep'!$A:$X,MATCH('1) For HR (FIX)'!D$1,'HR Rep'!$A$1:$X$1,0),0),""),"")="","",IFERROR(_xlfn.IFNA(VLOOKUP($A96,'HR Rep'!$A:$X,MATCH('1) For HR (FIX)'!D$1,'HR Rep'!$A$1:$X$1,0),0),""),""))</f>
        <v/>
      </c>
      <c r="E96" s="140" t="str">
        <f>IF(IFERROR(_xlfn.IFNA(VLOOKUP($A96,'HR Rep'!$A:$X,MATCH('1) For HR (FIX)'!E$1,'HR Rep'!$A$1:$X$1,0),0),""),"")="","",IFERROR(_xlfn.IFNA(VLOOKUP($A96,'HR Rep'!$A:$X,MATCH('1) For HR (FIX)'!E$1,'HR Rep'!$A$1:$X$1,0),0),""),""))</f>
        <v/>
      </c>
      <c r="F96" s="140" t="str">
        <f>IF(IFERROR(_xlfn.IFNA(VLOOKUP($A96,'HR Rep'!$A:$X,MATCH('1) For HR (FIX)'!F$1,'HR Rep'!$A$1:$X$1,0),0),""),"")="","",IFERROR(_xlfn.IFNA(VLOOKUP($A96,'HR Rep'!$A:$X,MATCH('1) For HR (FIX)'!F$1,'HR Rep'!$A$1:$X$1,0),0),""),""))</f>
        <v/>
      </c>
      <c r="G96" s="196"/>
      <c r="H96" s="140" t="str">
        <f>IF(IFERROR(_xlfn.IFNA(VLOOKUP($A96,'HR Rep'!$A:$X,MATCH('1) For HR (FIX)'!H$1,'HR Rep'!$A$1:$X$1,0),0),""),"")="","",IFERROR(_xlfn.IFNA(VLOOKUP($A96,'HR Rep'!$A:$X,MATCH('1) For HR (FIX)'!H$1,'HR Rep'!$A$1:$X$1,0),0),""),""))</f>
        <v/>
      </c>
      <c r="I96" s="140" t="str">
        <f>IF(IFERROR(_xlfn.IFNA(VLOOKUP($A96,'HR Rep'!$A:$X,MATCH('1) For HR (FIX)'!I$1,'HR Rep'!$A$1:$X$1,0),0),""),"")="","",IFERROR(_xlfn.IFNA(VLOOKUP($A96,'HR Rep'!$A:$X,MATCH('1) For HR (FIX)'!I$1,'HR Rep'!$A$1:$X$1,0),0),""),""))</f>
        <v/>
      </c>
      <c r="J96" s="140" t="str">
        <f>IF(IFERROR(_xlfn.IFNA(VLOOKUP($A96,'HR Rep'!$A:$X,MATCH('1) For HR (FIX)'!J$1,'HR Rep'!$A$1:$X$1,0),0),""),"")="","",IFERROR(_xlfn.IFNA(VLOOKUP($A96,'HR Rep'!$A:$X,MATCH('1) For HR (FIX)'!J$1,'HR Rep'!$A$1:$X$1,0),0),""),""))</f>
        <v/>
      </c>
      <c r="K96" s="161">
        <f>_xlfn.XLOOKUP(G96,ค่าตอบแทนการขายในอัตราคงที่!A:A,ค่าตอบแทนการขายในอัตราคงที่!B:B)</f>
        <v>0</v>
      </c>
      <c r="L96" s="174">
        <f>Period!$A$2</f>
        <v>46113</v>
      </c>
      <c r="M96" s="175">
        <f>Period!$C$2</f>
        <v>46143</v>
      </c>
      <c r="N96" s="194" t="s">
        <v>279</v>
      </c>
    </row>
    <row r="97" spans="1:14" ht="11.4" x14ac:dyDescent="0.25">
      <c r="A97" s="137"/>
      <c r="B97" s="169" t="e">
        <f>IF(IF(VLOOKUP(A97,ASTBase!F:P,11,FALSE)="","",VLOOKUP(A97,ASTBase!F:P,11,FALSE))=0,"",IF(VLOOKUP(A97,ASTBase!F:P,11,FALSE)="","",VLOOKUP(A97,ASTBase!F:P,11,FALSE)))</f>
        <v>#N/A</v>
      </c>
      <c r="C97" s="140" t="str">
        <f>IF(IFERROR(_xlfn.IFNA(VLOOKUP($A97,'HR Rep'!$A:$X,MATCH('1) For HR (FIX)'!C$1,'HR Rep'!$A$1:$X$1,0),0),""),"")="","",IFERROR(_xlfn.IFNA(VLOOKUP($A97,'HR Rep'!$A:$X,MATCH('1) For HR (FIX)'!C$1,'HR Rep'!$A$1:$X$1,0),0),""),""))</f>
        <v/>
      </c>
      <c r="D97" s="140" t="str">
        <f>IF(IFERROR(_xlfn.IFNA(VLOOKUP($A97,'HR Rep'!$A:$X,MATCH('1) For HR (FIX)'!D$1,'HR Rep'!$A$1:$X$1,0),0),""),"")="","",IFERROR(_xlfn.IFNA(VLOOKUP($A97,'HR Rep'!$A:$X,MATCH('1) For HR (FIX)'!D$1,'HR Rep'!$A$1:$X$1,0),0),""),""))</f>
        <v/>
      </c>
      <c r="E97" s="140" t="str">
        <f>IF(IFERROR(_xlfn.IFNA(VLOOKUP($A97,'HR Rep'!$A:$X,MATCH('1) For HR (FIX)'!E$1,'HR Rep'!$A$1:$X$1,0),0),""),"")="","",IFERROR(_xlfn.IFNA(VLOOKUP($A97,'HR Rep'!$A:$X,MATCH('1) For HR (FIX)'!E$1,'HR Rep'!$A$1:$X$1,0),0),""),""))</f>
        <v/>
      </c>
      <c r="F97" s="140" t="str">
        <f>IF(IFERROR(_xlfn.IFNA(VLOOKUP($A97,'HR Rep'!$A:$X,MATCH('1) For HR (FIX)'!F$1,'HR Rep'!$A$1:$X$1,0),0),""),"")="","",IFERROR(_xlfn.IFNA(VLOOKUP($A97,'HR Rep'!$A:$X,MATCH('1) For HR (FIX)'!F$1,'HR Rep'!$A$1:$X$1,0),0),""),""))</f>
        <v/>
      </c>
      <c r="G97" s="196"/>
      <c r="H97" s="140" t="str">
        <f>IF(IFERROR(_xlfn.IFNA(VLOOKUP($A97,'HR Rep'!$A:$X,MATCH('1) For HR (FIX)'!H$1,'HR Rep'!$A$1:$X$1,0),0),""),"")="","",IFERROR(_xlfn.IFNA(VLOOKUP($A97,'HR Rep'!$A:$X,MATCH('1) For HR (FIX)'!H$1,'HR Rep'!$A$1:$X$1,0),0),""),""))</f>
        <v/>
      </c>
      <c r="I97" s="140" t="str">
        <f>IF(IFERROR(_xlfn.IFNA(VLOOKUP($A97,'HR Rep'!$A:$X,MATCH('1) For HR (FIX)'!I$1,'HR Rep'!$A$1:$X$1,0),0),""),"")="","",IFERROR(_xlfn.IFNA(VLOOKUP($A97,'HR Rep'!$A:$X,MATCH('1) For HR (FIX)'!I$1,'HR Rep'!$A$1:$X$1,0),0),""),""))</f>
        <v/>
      </c>
      <c r="J97" s="140" t="str">
        <f>IF(IFERROR(_xlfn.IFNA(VLOOKUP($A97,'HR Rep'!$A:$X,MATCH('1) For HR (FIX)'!J$1,'HR Rep'!$A$1:$X$1,0),0),""),"")="","",IFERROR(_xlfn.IFNA(VLOOKUP($A97,'HR Rep'!$A:$X,MATCH('1) For HR (FIX)'!J$1,'HR Rep'!$A$1:$X$1,0),0),""),""))</f>
        <v/>
      </c>
      <c r="K97" s="161">
        <f>_xlfn.XLOOKUP(G97,ค่าตอบแทนการขายในอัตราคงที่!A:A,ค่าตอบแทนการขายในอัตราคงที่!B:B)</f>
        <v>0</v>
      </c>
      <c r="L97" s="174">
        <f>Period!$A$2</f>
        <v>46113</v>
      </c>
      <c r="M97" s="175">
        <f>Period!$C$2</f>
        <v>46143</v>
      </c>
      <c r="N97" s="194" t="s">
        <v>279</v>
      </c>
    </row>
    <row r="98" spans="1:14" ht="11.4" x14ac:dyDescent="0.25">
      <c r="A98" s="137"/>
      <c r="B98" s="169" t="e">
        <f>IF(IF(VLOOKUP(A98,ASTBase!F:P,11,FALSE)="","",VLOOKUP(A98,ASTBase!F:P,11,FALSE))=0,"",IF(VLOOKUP(A98,ASTBase!F:P,11,FALSE)="","",VLOOKUP(A98,ASTBase!F:P,11,FALSE)))</f>
        <v>#N/A</v>
      </c>
      <c r="C98" s="140" t="str">
        <f>IF(IFERROR(_xlfn.IFNA(VLOOKUP($A98,'HR Rep'!$A:$X,MATCH('1) For HR (FIX)'!C$1,'HR Rep'!$A$1:$X$1,0),0),""),"")="","",IFERROR(_xlfn.IFNA(VLOOKUP($A98,'HR Rep'!$A:$X,MATCH('1) For HR (FIX)'!C$1,'HR Rep'!$A$1:$X$1,0),0),""),""))</f>
        <v/>
      </c>
      <c r="D98" s="140" t="str">
        <f>IF(IFERROR(_xlfn.IFNA(VLOOKUP($A98,'HR Rep'!$A:$X,MATCH('1) For HR (FIX)'!D$1,'HR Rep'!$A$1:$X$1,0),0),""),"")="","",IFERROR(_xlfn.IFNA(VLOOKUP($A98,'HR Rep'!$A:$X,MATCH('1) For HR (FIX)'!D$1,'HR Rep'!$A$1:$X$1,0),0),""),""))</f>
        <v/>
      </c>
      <c r="E98" s="140" t="str">
        <f>IF(IFERROR(_xlfn.IFNA(VLOOKUP($A98,'HR Rep'!$A:$X,MATCH('1) For HR (FIX)'!E$1,'HR Rep'!$A$1:$X$1,0),0),""),"")="","",IFERROR(_xlfn.IFNA(VLOOKUP($A98,'HR Rep'!$A:$X,MATCH('1) For HR (FIX)'!E$1,'HR Rep'!$A$1:$X$1,0),0),""),""))</f>
        <v/>
      </c>
      <c r="F98" s="140" t="str">
        <f>IF(IFERROR(_xlfn.IFNA(VLOOKUP($A98,'HR Rep'!$A:$X,MATCH('1) For HR (FIX)'!F$1,'HR Rep'!$A$1:$X$1,0),0),""),"")="","",IFERROR(_xlfn.IFNA(VLOOKUP($A98,'HR Rep'!$A:$X,MATCH('1) For HR (FIX)'!F$1,'HR Rep'!$A$1:$X$1,0),0),""),""))</f>
        <v/>
      </c>
      <c r="G98" s="196"/>
      <c r="H98" s="140" t="str">
        <f>IF(IFERROR(_xlfn.IFNA(VLOOKUP($A98,'HR Rep'!$A:$X,MATCH('1) For HR (FIX)'!H$1,'HR Rep'!$A$1:$X$1,0),0),""),"")="","",IFERROR(_xlfn.IFNA(VLOOKUP($A98,'HR Rep'!$A:$X,MATCH('1) For HR (FIX)'!H$1,'HR Rep'!$A$1:$X$1,0),0),""),""))</f>
        <v/>
      </c>
      <c r="I98" s="140" t="str">
        <f>IF(IFERROR(_xlfn.IFNA(VLOOKUP($A98,'HR Rep'!$A:$X,MATCH('1) For HR (FIX)'!I$1,'HR Rep'!$A$1:$X$1,0),0),""),"")="","",IFERROR(_xlfn.IFNA(VLOOKUP($A98,'HR Rep'!$A:$X,MATCH('1) For HR (FIX)'!I$1,'HR Rep'!$A$1:$X$1,0),0),""),""))</f>
        <v/>
      </c>
      <c r="J98" s="140" t="str">
        <f>IF(IFERROR(_xlfn.IFNA(VLOOKUP($A98,'HR Rep'!$A:$X,MATCH('1) For HR (FIX)'!J$1,'HR Rep'!$A$1:$X$1,0),0),""),"")="","",IFERROR(_xlfn.IFNA(VLOOKUP($A98,'HR Rep'!$A:$X,MATCH('1) For HR (FIX)'!J$1,'HR Rep'!$A$1:$X$1,0),0),""),""))</f>
        <v/>
      </c>
      <c r="K98" s="161">
        <f>_xlfn.XLOOKUP(G98,ค่าตอบแทนการขายในอัตราคงที่!A:A,ค่าตอบแทนการขายในอัตราคงที่!B:B)</f>
        <v>0</v>
      </c>
      <c r="L98" s="174">
        <f>Period!$A$2</f>
        <v>46113</v>
      </c>
      <c r="M98" s="175">
        <f>Period!$C$2</f>
        <v>46143</v>
      </c>
      <c r="N98" s="194" t="s">
        <v>279</v>
      </c>
    </row>
    <row r="99" spans="1:14" ht="11.4" x14ac:dyDescent="0.25">
      <c r="A99" s="137"/>
      <c r="B99" s="169" t="e">
        <f>IF(IF(VLOOKUP(A99,ASTBase!F:P,11,FALSE)="","",VLOOKUP(A99,ASTBase!F:P,11,FALSE))=0,"",IF(VLOOKUP(A99,ASTBase!F:P,11,FALSE)="","",VLOOKUP(A99,ASTBase!F:P,11,FALSE)))</f>
        <v>#N/A</v>
      </c>
      <c r="C99" s="140" t="str">
        <f>IF(IFERROR(_xlfn.IFNA(VLOOKUP($A99,'HR Rep'!$A:$X,MATCH('1) For HR (FIX)'!C$1,'HR Rep'!$A$1:$X$1,0),0),""),"")="","",IFERROR(_xlfn.IFNA(VLOOKUP($A99,'HR Rep'!$A:$X,MATCH('1) For HR (FIX)'!C$1,'HR Rep'!$A$1:$X$1,0),0),""),""))</f>
        <v/>
      </c>
      <c r="D99" s="140" t="str">
        <f>IF(IFERROR(_xlfn.IFNA(VLOOKUP($A99,'HR Rep'!$A:$X,MATCH('1) For HR (FIX)'!D$1,'HR Rep'!$A$1:$X$1,0),0),""),"")="","",IFERROR(_xlfn.IFNA(VLOOKUP($A99,'HR Rep'!$A:$X,MATCH('1) For HR (FIX)'!D$1,'HR Rep'!$A$1:$X$1,0),0),""),""))</f>
        <v/>
      </c>
      <c r="E99" s="140" t="str">
        <f>IF(IFERROR(_xlfn.IFNA(VLOOKUP($A99,'HR Rep'!$A:$X,MATCH('1) For HR (FIX)'!E$1,'HR Rep'!$A$1:$X$1,0),0),""),"")="","",IFERROR(_xlfn.IFNA(VLOOKUP($A99,'HR Rep'!$A:$X,MATCH('1) For HR (FIX)'!E$1,'HR Rep'!$A$1:$X$1,0),0),""),""))</f>
        <v/>
      </c>
      <c r="F99" s="140" t="str">
        <f>IF(IFERROR(_xlfn.IFNA(VLOOKUP($A99,'HR Rep'!$A:$X,MATCH('1) For HR (FIX)'!F$1,'HR Rep'!$A$1:$X$1,0),0),""),"")="","",IFERROR(_xlfn.IFNA(VLOOKUP($A99,'HR Rep'!$A:$X,MATCH('1) For HR (FIX)'!F$1,'HR Rep'!$A$1:$X$1,0),0),""),""))</f>
        <v/>
      </c>
      <c r="G99" s="196"/>
      <c r="H99" s="140" t="str">
        <f>IF(IFERROR(_xlfn.IFNA(VLOOKUP($A99,'HR Rep'!$A:$X,MATCH('1) For HR (FIX)'!H$1,'HR Rep'!$A$1:$X$1,0),0),""),"")="","",IFERROR(_xlfn.IFNA(VLOOKUP($A99,'HR Rep'!$A:$X,MATCH('1) For HR (FIX)'!H$1,'HR Rep'!$A$1:$X$1,0),0),""),""))</f>
        <v/>
      </c>
      <c r="I99" s="140" t="str">
        <f>IF(IFERROR(_xlfn.IFNA(VLOOKUP($A99,'HR Rep'!$A:$X,MATCH('1) For HR (FIX)'!I$1,'HR Rep'!$A$1:$X$1,0),0),""),"")="","",IFERROR(_xlfn.IFNA(VLOOKUP($A99,'HR Rep'!$A:$X,MATCH('1) For HR (FIX)'!I$1,'HR Rep'!$A$1:$X$1,0),0),""),""))</f>
        <v/>
      </c>
      <c r="J99" s="140" t="str">
        <f>IF(IFERROR(_xlfn.IFNA(VLOOKUP($A99,'HR Rep'!$A:$X,MATCH('1) For HR (FIX)'!J$1,'HR Rep'!$A$1:$X$1,0),0),""),"")="","",IFERROR(_xlfn.IFNA(VLOOKUP($A99,'HR Rep'!$A:$X,MATCH('1) For HR (FIX)'!J$1,'HR Rep'!$A$1:$X$1,0),0),""),""))</f>
        <v/>
      </c>
      <c r="K99" s="161">
        <f>_xlfn.XLOOKUP(G99,ค่าตอบแทนการขายในอัตราคงที่!A:A,ค่าตอบแทนการขายในอัตราคงที่!B:B)</f>
        <v>0</v>
      </c>
      <c r="L99" s="174">
        <f>Period!$A$2</f>
        <v>46113</v>
      </c>
      <c r="M99" s="175">
        <f>Period!$C$2</f>
        <v>46143</v>
      </c>
      <c r="N99" s="194" t="s">
        <v>279</v>
      </c>
    </row>
    <row r="100" spans="1:14" ht="11.4" x14ac:dyDescent="0.25">
      <c r="A100" s="137"/>
      <c r="B100" s="169" t="e">
        <f>IF(IF(VLOOKUP(A100,ASTBase!F:P,11,FALSE)="","",VLOOKUP(A100,ASTBase!F:P,11,FALSE))=0,"",IF(VLOOKUP(A100,ASTBase!F:P,11,FALSE)="","",VLOOKUP(A100,ASTBase!F:P,11,FALSE)))</f>
        <v>#N/A</v>
      </c>
      <c r="C100" s="140" t="str">
        <f>IF(IFERROR(_xlfn.IFNA(VLOOKUP($A100,'HR Rep'!$A:$X,MATCH('1) For HR (FIX)'!C$1,'HR Rep'!$A$1:$X$1,0),0),""),"")="","",IFERROR(_xlfn.IFNA(VLOOKUP($A100,'HR Rep'!$A:$X,MATCH('1) For HR (FIX)'!C$1,'HR Rep'!$A$1:$X$1,0),0),""),""))</f>
        <v/>
      </c>
      <c r="D100" s="140" t="str">
        <f>IF(IFERROR(_xlfn.IFNA(VLOOKUP($A100,'HR Rep'!$A:$X,MATCH('1) For HR (FIX)'!D$1,'HR Rep'!$A$1:$X$1,0),0),""),"")="","",IFERROR(_xlfn.IFNA(VLOOKUP($A100,'HR Rep'!$A:$X,MATCH('1) For HR (FIX)'!D$1,'HR Rep'!$A$1:$X$1,0),0),""),""))</f>
        <v/>
      </c>
      <c r="E100" s="140" t="str">
        <f>IF(IFERROR(_xlfn.IFNA(VLOOKUP($A100,'HR Rep'!$A:$X,MATCH('1) For HR (FIX)'!E$1,'HR Rep'!$A$1:$X$1,0),0),""),"")="","",IFERROR(_xlfn.IFNA(VLOOKUP($A100,'HR Rep'!$A:$X,MATCH('1) For HR (FIX)'!E$1,'HR Rep'!$A$1:$X$1,0),0),""),""))</f>
        <v/>
      </c>
      <c r="F100" s="140" t="str">
        <f>IF(IFERROR(_xlfn.IFNA(VLOOKUP($A100,'HR Rep'!$A:$X,MATCH('1) For HR (FIX)'!F$1,'HR Rep'!$A$1:$X$1,0),0),""),"")="","",IFERROR(_xlfn.IFNA(VLOOKUP($A100,'HR Rep'!$A:$X,MATCH('1) For HR (FIX)'!F$1,'HR Rep'!$A$1:$X$1,0),0),""),""))</f>
        <v/>
      </c>
      <c r="G100" s="196"/>
      <c r="H100" s="140" t="str">
        <f>IF(IFERROR(_xlfn.IFNA(VLOOKUP($A100,'HR Rep'!$A:$X,MATCH('1) For HR (FIX)'!H$1,'HR Rep'!$A$1:$X$1,0),0),""),"")="","",IFERROR(_xlfn.IFNA(VLOOKUP($A100,'HR Rep'!$A:$X,MATCH('1) For HR (FIX)'!H$1,'HR Rep'!$A$1:$X$1,0),0),""),""))</f>
        <v/>
      </c>
      <c r="I100" s="140" t="str">
        <f>IF(IFERROR(_xlfn.IFNA(VLOOKUP($A100,'HR Rep'!$A:$X,MATCH('1) For HR (FIX)'!I$1,'HR Rep'!$A$1:$X$1,0),0),""),"")="","",IFERROR(_xlfn.IFNA(VLOOKUP($A100,'HR Rep'!$A:$X,MATCH('1) For HR (FIX)'!I$1,'HR Rep'!$A$1:$X$1,0),0),""),""))</f>
        <v/>
      </c>
      <c r="J100" s="140" t="str">
        <f>IF(IFERROR(_xlfn.IFNA(VLOOKUP($A100,'HR Rep'!$A:$X,MATCH('1) For HR (FIX)'!J$1,'HR Rep'!$A$1:$X$1,0),0),""),"")="","",IFERROR(_xlfn.IFNA(VLOOKUP($A100,'HR Rep'!$A:$X,MATCH('1) For HR (FIX)'!J$1,'HR Rep'!$A$1:$X$1,0),0),""),""))</f>
        <v/>
      </c>
      <c r="K100" s="161">
        <f>_xlfn.XLOOKUP(G100,ค่าตอบแทนการขายในอัตราคงที่!A:A,ค่าตอบแทนการขายในอัตราคงที่!B:B)</f>
        <v>0</v>
      </c>
      <c r="L100" s="174">
        <f>Period!$A$2</f>
        <v>46113</v>
      </c>
      <c r="M100" s="175">
        <f>Period!$C$2</f>
        <v>46143</v>
      </c>
      <c r="N100" s="194" t="s">
        <v>279</v>
      </c>
    </row>
    <row r="101" spans="1:14" ht="11.4" x14ac:dyDescent="0.25">
      <c r="A101" s="137"/>
      <c r="B101" s="169" t="e">
        <f>IF(IF(VLOOKUP(A101,ASTBase!F:P,11,FALSE)="","",VLOOKUP(A101,ASTBase!F:P,11,FALSE))=0,"",IF(VLOOKUP(A101,ASTBase!F:P,11,FALSE)="","",VLOOKUP(A101,ASTBase!F:P,11,FALSE)))</f>
        <v>#N/A</v>
      </c>
      <c r="C101" s="140" t="str">
        <f>IF(IFERROR(_xlfn.IFNA(VLOOKUP($A101,'HR Rep'!$A:$X,MATCH('1) For HR (FIX)'!C$1,'HR Rep'!$A$1:$X$1,0),0),""),"")="","",IFERROR(_xlfn.IFNA(VLOOKUP($A101,'HR Rep'!$A:$X,MATCH('1) For HR (FIX)'!C$1,'HR Rep'!$A$1:$X$1,0),0),""),""))</f>
        <v/>
      </c>
      <c r="D101" s="140" t="str">
        <f>IF(IFERROR(_xlfn.IFNA(VLOOKUP($A101,'HR Rep'!$A:$X,MATCH('1) For HR (FIX)'!D$1,'HR Rep'!$A$1:$X$1,0),0),""),"")="","",IFERROR(_xlfn.IFNA(VLOOKUP($A101,'HR Rep'!$A:$X,MATCH('1) For HR (FIX)'!D$1,'HR Rep'!$A$1:$X$1,0),0),""),""))</f>
        <v/>
      </c>
      <c r="E101" s="140" t="str">
        <f>IF(IFERROR(_xlfn.IFNA(VLOOKUP($A101,'HR Rep'!$A:$X,MATCH('1) For HR (FIX)'!E$1,'HR Rep'!$A$1:$X$1,0),0),""),"")="","",IFERROR(_xlfn.IFNA(VLOOKUP($A101,'HR Rep'!$A:$X,MATCH('1) For HR (FIX)'!E$1,'HR Rep'!$A$1:$X$1,0),0),""),""))</f>
        <v/>
      </c>
      <c r="F101" s="140" t="str">
        <f>IF(IFERROR(_xlfn.IFNA(VLOOKUP($A101,'HR Rep'!$A:$X,MATCH('1) For HR (FIX)'!F$1,'HR Rep'!$A$1:$X$1,0),0),""),"")="","",IFERROR(_xlfn.IFNA(VLOOKUP($A101,'HR Rep'!$A:$X,MATCH('1) For HR (FIX)'!F$1,'HR Rep'!$A$1:$X$1,0),0),""),""))</f>
        <v/>
      </c>
      <c r="G101" s="196"/>
      <c r="H101" s="140" t="str">
        <f>IF(IFERROR(_xlfn.IFNA(VLOOKUP($A101,'HR Rep'!$A:$X,MATCH('1) For HR (FIX)'!H$1,'HR Rep'!$A$1:$X$1,0),0),""),"")="","",IFERROR(_xlfn.IFNA(VLOOKUP($A101,'HR Rep'!$A:$X,MATCH('1) For HR (FIX)'!H$1,'HR Rep'!$A$1:$X$1,0),0),""),""))</f>
        <v/>
      </c>
      <c r="I101" s="140" t="str">
        <f>IF(IFERROR(_xlfn.IFNA(VLOOKUP($A101,'HR Rep'!$A:$X,MATCH('1) For HR (FIX)'!I$1,'HR Rep'!$A$1:$X$1,0),0),""),"")="","",IFERROR(_xlfn.IFNA(VLOOKUP($A101,'HR Rep'!$A:$X,MATCH('1) For HR (FIX)'!I$1,'HR Rep'!$A$1:$X$1,0),0),""),""))</f>
        <v/>
      </c>
      <c r="J101" s="140" t="str">
        <f>IF(IFERROR(_xlfn.IFNA(VLOOKUP($A101,'HR Rep'!$A:$X,MATCH('1) For HR (FIX)'!J$1,'HR Rep'!$A$1:$X$1,0),0),""),"")="","",IFERROR(_xlfn.IFNA(VLOOKUP($A101,'HR Rep'!$A:$X,MATCH('1) For HR (FIX)'!J$1,'HR Rep'!$A$1:$X$1,0),0),""),""))</f>
        <v/>
      </c>
      <c r="K101" s="161">
        <f>_xlfn.XLOOKUP(G101,ค่าตอบแทนการขายในอัตราคงที่!A:A,ค่าตอบแทนการขายในอัตราคงที่!B:B)</f>
        <v>0</v>
      </c>
      <c r="L101" s="174">
        <f>Period!$A$2</f>
        <v>46113</v>
      </c>
      <c r="M101" s="175">
        <f>Period!$C$2</f>
        <v>46143</v>
      </c>
      <c r="N101" s="194" t="s">
        <v>279</v>
      </c>
    </row>
    <row r="102" spans="1:14" ht="11.4" x14ac:dyDescent="0.25">
      <c r="A102" s="137"/>
      <c r="B102" s="169" t="e">
        <f>IF(IF(VLOOKUP(A102,ASTBase!F:P,11,FALSE)="","",VLOOKUP(A102,ASTBase!F:P,11,FALSE))=0,"",IF(VLOOKUP(A102,ASTBase!F:P,11,FALSE)="","",VLOOKUP(A102,ASTBase!F:P,11,FALSE)))</f>
        <v>#N/A</v>
      </c>
      <c r="C102" s="140" t="str">
        <f>IF(IFERROR(_xlfn.IFNA(VLOOKUP($A102,'HR Rep'!$A:$X,MATCH('1) For HR (FIX)'!C$1,'HR Rep'!$A$1:$X$1,0),0),""),"")="","",IFERROR(_xlfn.IFNA(VLOOKUP($A102,'HR Rep'!$A:$X,MATCH('1) For HR (FIX)'!C$1,'HR Rep'!$A$1:$X$1,0),0),""),""))</f>
        <v/>
      </c>
      <c r="D102" s="140" t="str">
        <f>IF(IFERROR(_xlfn.IFNA(VLOOKUP($A102,'HR Rep'!$A:$X,MATCH('1) For HR (FIX)'!D$1,'HR Rep'!$A$1:$X$1,0),0),""),"")="","",IFERROR(_xlfn.IFNA(VLOOKUP($A102,'HR Rep'!$A:$X,MATCH('1) For HR (FIX)'!D$1,'HR Rep'!$A$1:$X$1,0),0),""),""))</f>
        <v/>
      </c>
      <c r="E102" s="140" t="str">
        <f>IF(IFERROR(_xlfn.IFNA(VLOOKUP($A102,'HR Rep'!$A:$X,MATCH('1) For HR (FIX)'!E$1,'HR Rep'!$A$1:$X$1,0),0),""),"")="","",IFERROR(_xlfn.IFNA(VLOOKUP($A102,'HR Rep'!$A:$X,MATCH('1) For HR (FIX)'!E$1,'HR Rep'!$A$1:$X$1,0),0),""),""))</f>
        <v/>
      </c>
      <c r="F102" s="140" t="str">
        <f>IF(IFERROR(_xlfn.IFNA(VLOOKUP($A102,'HR Rep'!$A:$X,MATCH('1) For HR (FIX)'!F$1,'HR Rep'!$A$1:$X$1,0),0),""),"")="","",IFERROR(_xlfn.IFNA(VLOOKUP($A102,'HR Rep'!$A:$X,MATCH('1) For HR (FIX)'!F$1,'HR Rep'!$A$1:$X$1,0),0),""),""))</f>
        <v/>
      </c>
      <c r="G102" s="196"/>
      <c r="H102" s="140" t="str">
        <f>IF(IFERROR(_xlfn.IFNA(VLOOKUP($A102,'HR Rep'!$A:$X,MATCH('1) For HR (FIX)'!H$1,'HR Rep'!$A$1:$X$1,0),0),""),"")="","",IFERROR(_xlfn.IFNA(VLOOKUP($A102,'HR Rep'!$A:$X,MATCH('1) For HR (FIX)'!H$1,'HR Rep'!$A$1:$X$1,0),0),""),""))</f>
        <v/>
      </c>
      <c r="I102" s="140" t="str">
        <f>IF(IFERROR(_xlfn.IFNA(VLOOKUP($A102,'HR Rep'!$A:$X,MATCH('1) For HR (FIX)'!I$1,'HR Rep'!$A$1:$X$1,0),0),""),"")="","",IFERROR(_xlfn.IFNA(VLOOKUP($A102,'HR Rep'!$A:$X,MATCH('1) For HR (FIX)'!I$1,'HR Rep'!$A$1:$X$1,0),0),""),""))</f>
        <v/>
      </c>
      <c r="J102" s="140" t="str">
        <f>IF(IFERROR(_xlfn.IFNA(VLOOKUP($A102,'HR Rep'!$A:$X,MATCH('1) For HR (FIX)'!J$1,'HR Rep'!$A$1:$X$1,0),0),""),"")="","",IFERROR(_xlfn.IFNA(VLOOKUP($A102,'HR Rep'!$A:$X,MATCH('1) For HR (FIX)'!J$1,'HR Rep'!$A$1:$X$1,0),0),""),""))</f>
        <v/>
      </c>
      <c r="K102" s="161">
        <f>_xlfn.XLOOKUP(G102,ค่าตอบแทนการขายในอัตราคงที่!A:A,ค่าตอบแทนการขายในอัตราคงที่!B:B)</f>
        <v>0</v>
      </c>
      <c r="L102" s="174">
        <f>Period!$A$2</f>
        <v>46113</v>
      </c>
      <c r="M102" s="175">
        <f>Period!$C$2</f>
        <v>46143</v>
      </c>
      <c r="N102" s="194" t="s">
        <v>279</v>
      </c>
    </row>
    <row r="103" spans="1:14" ht="11.4" x14ac:dyDescent="0.25">
      <c r="A103" s="137"/>
      <c r="B103" s="169" t="e">
        <f>IF(IF(VLOOKUP(A103,ASTBase!F:P,11,FALSE)="","",VLOOKUP(A103,ASTBase!F:P,11,FALSE))=0,"",IF(VLOOKUP(A103,ASTBase!F:P,11,FALSE)="","",VLOOKUP(A103,ASTBase!F:P,11,FALSE)))</f>
        <v>#N/A</v>
      </c>
      <c r="C103" s="140" t="str">
        <f>IF(IFERROR(_xlfn.IFNA(VLOOKUP($A103,'HR Rep'!$A:$X,MATCH('1) For HR (FIX)'!C$1,'HR Rep'!$A$1:$X$1,0),0),""),"")="","",IFERROR(_xlfn.IFNA(VLOOKUP($A103,'HR Rep'!$A:$X,MATCH('1) For HR (FIX)'!C$1,'HR Rep'!$A$1:$X$1,0),0),""),""))</f>
        <v/>
      </c>
      <c r="D103" s="140" t="str">
        <f>IF(IFERROR(_xlfn.IFNA(VLOOKUP($A103,'HR Rep'!$A:$X,MATCH('1) For HR (FIX)'!D$1,'HR Rep'!$A$1:$X$1,0),0),""),"")="","",IFERROR(_xlfn.IFNA(VLOOKUP($A103,'HR Rep'!$A:$X,MATCH('1) For HR (FIX)'!D$1,'HR Rep'!$A$1:$X$1,0),0),""),""))</f>
        <v/>
      </c>
      <c r="E103" s="140" t="str">
        <f>IF(IFERROR(_xlfn.IFNA(VLOOKUP($A103,'HR Rep'!$A:$X,MATCH('1) For HR (FIX)'!E$1,'HR Rep'!$A$1:$X$1,0),0),""),"")="","",IFERROR(_xlfn.IFNA(VLOOKUP($A103,'HR Rep'!$A:$X,MATCH('1) For HR (FIX)'!E$1,'HR Rep'!$A$1:$X$1,0),0),""),""))</f>
        <v/>
      </c>
      <c r="F103" s="140" t="str">
        <f>IF(IFERROR(_xlfn.IFNA(VLOOKUP($A103,'HR Rep'!$A:$X,MATCH('1) For HR (FIX)'!F$1,'HR Rep'!$A$1:$X$1,0),0),""),"")="","",IFERROR(_xlfn.IFNA(VLOOKUP($A103,'HR Rep'!$A:$X,MATCH('1) For HR (FIX)'!F$1,'HR Rep'!$A$1:$X$1,0),0),""),""))</f>
        <v/>
      </c>
      <c r="G103" s="196"/>
      <c r="H103" s="140" t="str">
        <f>IF(IFERROR(_xlfn.IFNA(VLOOKUP($A103,'HR Rep'!$A:$X,MATCH('1) For HR (FIX)'!H$1,'HR Rep'!$A$1:$X$1,0),0),""),"")="","",IFERROR(_xlfn.IFNA(VLOOKUP($A103,'HR Rep'!$A:$X,MATCH('1) For HR (FIX)'!H$1,'HR Rep'!$A$1:$X$1,0),0),""),""))</f>
        <v/>
      </c>
      <c r="I103" s="140" t="str">
        <f>IF(IFERROR(_xlfn.IFNA(VLOOKUP($A103,'HR Rep'!$A:$X,MATCH('1) For HR (FIX)'!I$1,'HR Rep'!$A$1:$X$1,0),0),""),"")="","",IFERROR(_xlfn.IFNA(VLOOKUP($A103,'HR Rep'!$A:$X,MATCH('1) For HR (FIX)'!I$1,'HR Rep'!$A$1:$X$1,0),0),""),""))</f>
        <v/>
      </c>
      <c r="J103" s="140" t="str">
        <f>IF(IFERROR(_xlfn.IFNA(VLOOKUP($A103,'HR Rep'!$A:$X,MATCH('1) For HR (FIX)'!J$1,'HR Rep'!$A$1:$X$1,0),0),""),"")="","",IFERROR(_xlfn.IFNA(VLOOKUP($A103,'HR Rep'!$A:$X,MATCH('1) For HR (FIX)'!J$1,'HR Rep'!$A$1:$X$1,0),0),""),""))</f>
        <v/>
      </c>
      <c r="K103" s="161">
        <f>_xlfn.XLOOKUP(G103,ค่าตอบแทนการขายในอัตราคงที่!A:A,ค่าตอบแทนการขายในอัตราคงที่!B:B)</f>
        <v>0</v>
      </c>
      <c r="L103" s="174">
        <f>Period!$A$2</f>
        <v>46113</v>
      </c>
      <c r="M103" s="175">
        <f>Period!$C$2</f>
        <v>46143</v>
      </c>
      <c r="N103" s="194" t="s">
        <v>279</v>
      </c>
    </row>
    <row r="104" spans="1:14" ht="11.4" x14ac:dyDescent="0.25">
      <c r="A104" s="137"/>
      <c r="B104" s="169" t="e">
        <f>IF(IF(VLOOKUP(A104,ASTBase!F:P,11,FALSE)="","",VLOOKUP(A104,ASTBase!F:P,11,FALSE))=0,"",IF(VLOOKUP(A104,ASTBase!F:P,11,FALSE)="","",VLOOKUP(A104,ASTBase!F:P,11,FALSE)))</f>
        <v>#N/A</v>
      </c>
      <c r="C104" s="140" t="str">
        <f>IF(IFERROR(_xlfn.IFNA(VLOOKUP($A104,'HR Rep'!$A:$X,MATCH('1) For HR (FIX)'!C$1,'HR Rep'!$A$1:$X$1,0),0),""),"")="","",IFERROR(_xlfn.IFNA(VLOOKUP($A104,'HR Rep'!$A:$X,MATCH('1) For HR (FIX)'!C$1,'HR Rep'!$A$1:$X$1,0),0),""),""))</f>
        <v/>
      </c>
      <c r="D104" s="140" t="str">
        <f>IF(IFERROR(_xlfn.IFNA(VLOOKUP($A104,'HR Rep'!$A:$X,MATCH('1) For HR (FIX)'!D$1,'HR Rep'!$A$1:$X$1,0),0),""),"")="","",IFERROR(_xlfn.IFNA(VLOOKUP($A104,'HR Rep'!$A:$X,MATCH('1) For HR (FIX)'!D$1,'HR Rep'!$A$1:$X$1,0),0),""),""))</f>
        <v/>
      </c>
      <c r="E104" s="140" t="str">
        <f>IF(IFERROR(_xlfn.IFNA(VLOOKUP($A104,'HR Rep'!$A:$X,MATCH('1) For HR (FIX)'!E$1,'HR Rep'!$A$1:$X$1,0),0),""),"")="","",IFERROR(_xlfn.IFNA(VLOOKUP($A104,'HR Rep'!$A:$X,MATCH('1) For HR (FIX)'!E$1,'HR Rep'!$A$1:$X$1,0),0),""),""))</f>
        <v/>
      </c>
      <c r="F104" s="140" t="str">
        <f>IF(IFERROR(_xlfn.IFNA(VLOOKUP($A104,'HR Rep'!$A:$X,MATCH('1) For HR (FIX)'!F$1,'HR Rep'!$A$1:$X$1,0),0),""),"")="","",IFERROR(_xlfn.IFNA(VLOOKUP($A104,'HR Rep'!$A:$X,MATCH('1) For HR (FIX)'!F$1,'HR Rep'!$A$1:$X$1,0),0),""),""))</f>
        <v/>
      </c>
      <c r="G104" s="196"/>
      <c r="H104" s="140" t="str">
        <f>IF(IFERROR(_xlfn.IFNA(VLOOKUP($A104,'HR Rep'!$A:$X,MATCH('1) For HR (FIX)'!H$1,'HR Rep'!$A$1:$X$1,0),0),""),"")="","",IFERROR(_xlfn.IFNA(VLOOKUP($A104,'HR Rep'!$A:$X,MATCH('1) For HR (FIX)'!H$1,'HR Rep'!$A$1:$X$1,0),0),""),""))</f>
        <v/>
      </c>
      <c r="I104" s="140" t="str">
        <f>IF(IFERROR(_xlfn.IFNA(VLOOKUP($A104,'HR Rep'!$A:$X,MATCH('1) For HR (FIX)'!I$1,'HR Rep'!$A$1:$X$1,0),0),""),"")="","",IFERROR(_xlfn.IFNA(VLOOKUP($A104,'HR Rep'!$A:$X,MATCH('1) For HR (FIX)'!I$1,'HR Rep'!$A$1:$X$1,0),0),""),""))</f>
        <v/>
      </c>
      <c r="J104" s="140" t="str">
        <f>IF(IFERROR(_xlfn.IFNA(VLOOKUP($A104,'HR Rep'!$A:$X,MATCH('1) For HR (FIX)'!J$1,'HR Rep'!$A$1:$X$1,0),0),""),"")="","",IFERROR(_xlfn.IFNA(VLOOKUP($A104,'HR Rep'!$A:$X,MATCH('1) For HR (FIX)'!J$1,'HR Rep'!$A$1:$X$1,0),0),""),""))</f>
        <v/>
      </c>
      <c r="K104" s="161">
        <f>_xlfn.XLOOKUP(G104,ค่าตอบแทนการขายในอัตราคงที่!A:A,ค่าตอบแทนการขายในอัตราคงที่!B:B)</f>
        <v>0</v>
      </c>
      <c r="L104" s="174">
        <f>Period!$A$2</f>
        <v>46113</v>
      </c>
      <c r="M104" s="175">
        <f>Period!$C$2</f>
        <v>46143</v>
      </c>
      <c r="N104" s="194" t="s">
        <v>279</v>
      </c>
    </row>
    <row r="105" spans="1:14" ht="11.4" x14ac:dyDescent="0.25">
      <c r="A105" s="137"/>
      <c r="B105" s="169" t="e">
        <f>IF(IF(VLOOKUP(A105,ASTBase!F:P,11,FALSE)="","",VLOOKUP(A105,ASTBase!F:P,11,FALSE))=0,"",IF(VLOOKUP(A105,ASTBase!F:P,11,FALSE)="","",VLOOKUP(A105,ASTBase!F:P,11,FALSE)))</f>
        <v>#N/A</v>
      </c>
      <c r="C105" s="140" t="str">
        <f>IF(IFERROR(_xlfn.IFNA(VLOOKUP($A105,'HR Rep'!$A:$X,MATCH('1) For HR (FIX)'!C$1,'HR Rep'!$A$1:$X$1,0),0),""),"")="","",IFERROR(_xlfn.IFNA(VLOOKUP($A105,'HR Rep'!$A:$X,MATCH('1) For HR (FIX)'!C$1,'HR Rep'!$A$1:$X$1,0),0),""),""))</f>
        <v/>
      </c>
      <c r="D105" s="140" t="str">
        <f>IF(IFERROR(_xlfn.IFNA(VLOOKUP($A105,'HR Rep'!$A:$X,MATCH('1) For HR (FIX)'!D$1,'HR Rep'!$A$1:$X$1,0),0),""),"")="","",IFERROR(_xlfn.IFNA(VLOOKUP($A105,'HR Rep'!$A:$X,MATCH('1) For HR (FIX)'!D$1,'HR Rep'!$A$1:$X$1,0),0),""),""))</f>
        <v/>
      </c>
      <c r="E105" s="140" t="str">
        <f>IF(IFERROR(_xlfn.IFNA(VLOOKUP($A105,'HR Rep'!$A:$X,MATCH('1) For HR (FIX)'!E$1,'HR Rep'!$A$1:$X$1,0),0),""),"")="","",IFERROR(_xlfn.IFNA(VLOOKUP($A105,'HR Rep'!$A:$X,MATCH('1) For HR (FIX)'!E$1,'HR Rep'!$A$1:$X$1,0),0),""),""))</f>
        <v/>
      </c>
      <c r="F105" s="140" t="str">
        <f>IF(IFERROR(_xlfn.IFNA(VLOOKUP($A105,'HR Rep'!$A:$X,MATCH('1) For HR (FIX)'!F$1,'HR Rep'!$A$1:$X$1,0),0),""),"")="","",IFERROR(_xlfn.IFNA(VLOOKUP($A105,'HR Rep'!$A:$X,MATCH('1) For HR (FIX)'!F$1,'HR Rep'!$A$1:$X$1,0),0),""),""))</f>
        <v/>
      </c>
      <c r="G105" s="196"/>
      <c r="H105" s="140" t="str">
        <f>IF(IFERROR(_xlfn.IFNA(VLOOKUP($A105,'HR Rep'!$A:$X,MATCH('1) For HR (FIX)'!H$1,'HR Rep'!$A$1:$X$1,0),0),""),"")="","",IFERROR(_xlfn.IFNA(VLOOKUP($A105,'HR Rep'!$A:$X,MATCH('1) For HR (FIX)'!H$1,'HR Rep'!$A$1:$X$1,0),0),""),""))</f>
        <v/>
      </c>
      <c r="I105" s="140" t="str">
        <f>IF(IFERROR(_xlfn.IFNA(VLOOKUP($A105,'HR Rep'!$A:$X,MATCH('1) For HR (FIX)'!I$1,'HR Rep'!$A$1:$X$1,0),0),""),"")="","",IFERROR(_xlfn.IFNA(VLOOKUP($A105,'HR Rep'!$A:$X,MATCH('1) For HR (FIX)'!I$1,'HR Rep'!$A$1:$X$1,0),0),""),""))</f>
        <v/>
      </c>
      <c r="J105" s="140" t="str">
        <f>IF(IFERROR(_xlfn.IFNA(VLOOKUP($A105,'HR Rep'!$A:$X,MATCH('1) For HR (FIX)'!J$1,'HR Rep'!$A$1:$X$1,0),0),""),"")="","",IFERROR(_xlfn.IFNA(VLOOKUP($A105,'HR Rep'!$A:$X,MATCH('1) For HR (FIX)'!J$1,'HR Rep'!$A$1:$X$1,0),0),""),""))</f>
        <v/>
      </c>
      <c r="K105" s="161">
        <f>_xlfn.XLOOKUP(G105,ค่าตอบแทนการขายในอัตราคงที่!A:A,ค่าตอบแทนการขายในอัตราคงที่!B:B)</f>
        <v>0</v>
      </c>
      <c r="L105" s="174">
        <f>Period!$A$2</f>
        <v>46113</v>
      </c>
      <c r="M105" s="175">
        <f>Period!$C$2</f>
        <v>46143</v>
      </c>
      <c r="N105" s="194" t="s">
        <v>279</v>
      </c>
    </row>
    <row r="106" spans="1:14" ht="11.4" x14ac:dyDescent="0.25">
      <c r="A106" s="137"/>
      <c r="B106" s="169" t="e">
        <f>IF(IF(VLOOKUP(A106,ASTBase!F:P,11,FALSE)="","",VLOOKUP(A106,ASTBase!F:P,11,FALSE))=0,"",IF(VLOOKUP(A106,ASTBase!F:P,11,FALSE)="","",VLOOKUP(A106,ASTBase!F:P,11,FALSE)))</f>
        <v>#N/A</v>
      </c>
      <c r="C106" s="140" t="str">
        <f>IF(IFERROR(_xlfn.IFNA(VLOOKUP($A106,'HR Rep'!$A:$X,MATCH('1) For HR (FIX)'!C$1,'HR Rep'!$A$1:$X$1,0),0),""),"")="","",IFERROR(_xlfn.IFNA(VLOOKUP($A106,'HR Rep'!$A:$X,MATCH('1) For HR (FIX)'!C$1,'HR Rep'!$A$1:$X$1,0),0),""),""))</f>
        <v/>
      </c>
      <c r="D106" s="140" t="str">
        <f>IF(IFERROR(_xlfn.IFNA(VLOOKUP($A106,'HR Rep'!$A:$X,MATCH('1) For HR (FIX)'!D$1,'HR Rep'!$A$1:$X$1,0),0),""),"")="","",IFERROR(_xlfn.IFNA(VLOOKUP($A106,'HR Rep'!$A:$X,MATCH('1) For HR (FIX)'!D$1,'HR Rep'!$A$1:$X$1,0),0),""),""))</f>
        <v/>
      </c>
      <c r="E106" s="140" t="str">
        <f>IF(IFERROR(_xlfn.IFNA(VLOOKUP($A106,'HR Rep'!$A:$X,MATCH('1) For HR (FIX)'!E$1,'HR Rep'!$A$1:$X$1,0),0),""),"")="","",IFERROR(_xlfn.IFNA(VLOOKUP($A106,'HR Rep'!$A:$X,MATCH('1) For HR (FIX)'!E$1,'HR Rep'!$A$1:$X$1,0),0),""),""))</f>
        <v/>
      </c>
      <c r="F106" s="140" t="str">
        <f>IF(IFERROR(_xlfn.IFNA(VLOOKUP($A106,'HR Rep'!$A:$X,MATCH('1) For HR (FIX)'!F$1,'HR Rep'!$A$1:$X$1,0),0),""),"")="","",IFERROR(_xlfn.IFNA(VLOOKUP($A106,'HR Rep'!$A:$X,MATCH('1) For HR (FIX)'!F$1,'HR Rep'!$A$1:$X$1,0),0),""),""))</f>
        <v/>
      </c>
      <c r="G106" s="196"/>
      <c r="H106" s="140" t="str">
        <f>IF(IFERROR(_xlfn.IFNA(VLOOKUP($A106,'HR Rep'!$A:$X,MATCH('1) For HR (FIX)'!H$1,'HR Rep'!$A$1:$X$1,0),0),""),"")="","",IFERROR(_xlfn.IFNA(VLOOKUP($A106,'HR Rep'!$A:$X,MATCH('1) For HR (FIX)'!H$1,'HR Rep'!$A$1:$X$1,0),0),""),""))</f>
        <v/>
      </c>
      <c r="I106" s="140" t="str">
        <f>IF(IFERROR(_xlfn.IFNA(VLOOKUP($A106,'HR Rep'!$A:$X,MATCH('1) For HR (FIX)'!I$1,'HR Rep'!$A$1:$X$1,0),0),""),"")="","",IFERROR(_xlfn.IFNA(VLOOKUP($A106,'HR Rep'!$A:$X,MATCH('1) For HR (FIX)'!I$1,'HR Rep'!$A$1:$X$1,0),0),""),""))</f>
        <v/>
      </c>
      <c r="J106" s="140" t="str">
        <f>IF(IFERROR(_xlfn.IFNA(VLOOKUP($A106,'HR Rep'!$A:$X,MATCH('1) For HR (FIX)'!J$1,'HR Rep'!$A$1:$X$1,0),0),""),"")="","",IFERROR(_xlfn.IFNA(VLOOKUP($A106,'HR Rep'!$A:$X,MATCH('1) For HR (FIX)'!J$1,'HR Rep'!$A$1:$X$1,0),0),""),""))</f>
        <v/>
      </c>
      <c r="K106" s="161">
        <f>_xlfn.XLOOKUP(G106,ค่าตอบแทนการขายในอัตราคงที่!A:A,ค่าตอบแทนการขายในอัตราคงที่!B:B)</f>
        <v>0</v>
      </c>
      <c r="L106" s="174">
        <f>Period!$A$2</f>
        <v>46113</v>
      </c>
      <c r="M106" s="175">
        <f>Period!$C$2</f>
        <v>46143</v>
      </c>
      <c r="N106" s="194" t="s">
        <v>279</v>
      </c>
    </row>
    <row r="107" spans="1:14" ht="11.4" x14ac:dyDescent="0.25">
      <c r="A107" s="137"/>
      <c r="B107" s="169" t="e">
        <f>IF(IF(VLOOKUP(A107,ASTBase!F:P,11,FALSE)="","",VLOOKUP(A107,ASTBase!F:P,11,FALSE))=0,"",IF(VLOOKUP(A107,ASTBase!F:P,11,FALSE)="","",VLOOKUP(A107,ASTBase!F:P,11,FALSE)))</f>
        <v>#N/A</v>
      </c>
      <c r="C107" s="140" t="str">
        <f>IF(IFERROR(_xlfn.IFNA(VLOOKUP($A107,'HR Rep'!$A:$X,MATCH('1) For HR (FIX)'!C$1,'HR Rep'!$A$1:$X$1,0),0),""),"")="","",IFERROR(_xlfn.IFNA(VLOOKUP($A107,'HR Rep'!$A:$X,MATCH('1) For HR (FIX)'!C$1,'HR Rep'!$A$1:$X$1,0),0),""),""))</f>
        <v/>
      </c>
      <c r="D107" s="140" t="str">
        <f>IF(IFERROR(_xlfn.IFNA(VLOOKUP($A107,'HR Rep'!$A:$X,MATCH('1) For HR (FIX)'!D$1,'HR Rep'!$A$1:$X$1,0),0),""),"")="","",IFERROR(_xlfn.IFNA(VLOOKUP($A107,'HR Rep'!$A:$X,MATCH('1) For HR (FIX)'!D$1,'HR Rep'!$A$1:$X$1,0),0),""),""))</f>
        <v/>
      </c>
      <c r="E107" s="140" t="str">
        <f>IF(IFERROR(_xlfn.IFNA(VLOOKUP($A107,'HR Rep'!$A:$X,MATCH('1) For HR (FIX)'!E$1,'HR Rep'!$A$1:$X$1,0),0),""),"")="","",IFERROR(_xlfn.IFNA(VLOOKUP($A107,'HR Rep'!$A:$X,MATCH('1) For HR (FIX)'!E$1,'HR Rep'!$A$1:$X$1,0),0),""),""))</f>
        <v/>
      </c>
      <c r="F107" s="140" t="str">
        <f>IF(IFERROR(_xlfn.IFNA(VLOOKUP($A107,'HR Rep'!$A:$X,MATCH('1) For HR (FIX)'!F$1,'HR Rep'!$A$1:$X$1,0),0),""),"")="","",IFERROR(_xlfn.IFNA(VLOOKUP($A107,'HR Rep'!$A:$X,MATCH('1) For HR (FIX)'!F$1,'HR Rep'!$A$1:$X$1,0),0),""),""))</f>
        <v/>
      </c>
      <c r="G107" s="196"/>
      <c r="H107" s="140" t="str">
        <f>IF(IFERROR(_xlfn.IFNA(VLOOKUP($A107,'HR Rep'!$A:$X,MATCH('1) For HR (FIX)'!H$1,'HR Rep'!$A$1:$X$1,0),0),""),"")="","",IFERROR(_xlfn.IFNA(VLOOKUP($A107,'HR Rep'!$A:$X,MATCH('1) For HR (FIX)'!H$1,'HR Rep'!$A$1:$X$1,0),0),""),""))</f>
        <v/>
      </c>
      <c r="I107" s="140" t="str">
        <f>IF(IFERROR(_xlfn.IFNA(VLOOKUP($A107,'HR Rep'!$A:$X,MATCH('1) For HR (FIX)'!I$1,'HR Rep'!$A$1:$X$1,0),0),""),"")="","",IFERROR(_xlfn.IFNA(VLOOKUP($A107,'HR Rep'!$A:$X,MATCH('1) For HR (FIX)'!I$1,'HR Rep'!$A$1:$X$1,0),0),""),""))</f>
        <v/>
      </c>
      <c r="J107" s="140" t="str">
        <f>IF(IFERROR(_xlfn.IFNA(VLOOKUP($A107,'HR Rep'!$A:$X,MATCH('1) For HR (FIX)'!J$1,'HR Rep'!$A$1:$X$1,0),0),""),"")="","",IFERROR(_xlfn.IFNA(VLOOKUP($A107,'HR Rep'!$A:$X,MATCH('1) For HR (FIX)'!J$1,'HR Rep'!$A$1:$X$1,0),0),""),""))</f>
        <v/>
      </c>
      <c r="K107" s="161">
        <f>_xlfn.XLOOKUP(G107,ค่าตอบแทนการขายในอัตราคงที่!A:A,ค่าตอบแทนการขายในอัตราคงที่!B:B)</f>
        <v>0</v>
      </c>
      <c r="L107" s="174">
        <f>Period!$A$2</f>
        <v>46113</v>
      </c>
      <c r="M107" s="175">
        <f>Period!$C$2</f>
        <v>46143</v>
      </c>
      <c r="N107" s="194" t="s">
        <v>279</v>
      </c>
    </row>
    <row r="108" spans="1:14" ht="11.4" x14ac:dyDescent="0.25">
      <c r="A108" s="137"/>
      <c r="B108" s="169" t="e">
        <f>IF(IF(VLOOKUP(A108,ASTBase!F:P,11,FALSE)="","",VLOOKUP(A108,ASTBase!F:P,11,FALSE))=0,"",IF(VLOOKUP(A108,ASTBase!F:P,11,FALSE)="","",VLOOKUP(A108,ASTBase!F:P,11,FALSE)))</f>
        <v>#N/A</v>
      </c>
      <c r="C108" s="140" t="str">
        <f>IF(IFERROR(_xlfn.IFNA(VLOOKUP($A108,'HR Rep'!$A:$X,MATCH('1) For HR (FIX)'!C$1,'HR Rep'!$A$1:$X$1,0),0),""),"")="","",IFERROR(_xlfn.IFNA(VLOOKUP($A108,'HR Rep'!$A:$X,MATCH('1) For HR (FIX)'!C$1,'HR Rep'!$A$1:$X$1,0),0),""),""))</f>
        <v/>
      </c>
      <c r="D108" s="140" t="str">
        <f>IF(IFERROR(_xlfn.IFNA(VLOOKUP($A108,'HR Rep'!$A:$X,MATCH('1) For HR (FIX)'!D$1,'HR Rep'!$A$1:$X$1,0),0),""),"")="","",IFERROR(_xlfn.IFNA(VLOOKUP($A108,'HR Rep'!$A:$X,MATCH('1) For HR (FIX)'!D$1,'HR Rep'!$A$1:$X$1,0),0),""),""))</f>
        <v/>
      </c>
      <c r="E108" s="140" t="str">
        <f>IF(IFERROR(_xlfn.IFNA(VLOOKUP($A108,'HR Rep'!$A:$X,MATCH('1) For HR (FIX)'!E$1,'HR Rep'!$A$1:$X$1,0),0),""),"")="","",IFERROR(_xlfn.IFNA(VLOOKUP($A108,'HR Rep'!$A:$X,MATCH('1) For HR (FIX)'!E$1,'HR Rep'!$A$1:$X$1,0),0),""),""))</f>
        <v/>
      </c>
      <c r="F108" s="140" t="str">
        <f>IF(IFERROR(_xlfn.IFNA(VLOOKUP($A108,'HR Rep'!$A:$X,MATCH('1) For HR (FIX)'!F$1,'HR Rep'!$A$1:$X$1,0),0),""),"")="","",IFERROR(_xlfn.IFNA(VLOOKUP($A108,'HR Rep'!$A:$X,MATCH('1) For HR (FIX)'!F$1,'HR Rep'!$A$1:$X$1,0),0),""),""))</f>
        <v/>
      </c>
      <c r="G108" s="196"/>
      <c r="H108" s="140" t="str">
        <f>IF(IFERROR(_xlfn.IFNA(VLOOKUP($A108,'HR Rep'!$A:$X,MATCH('1) For HR (FIX)'!H$1,'HR Rep'!$A$1:$X$1,0),0),""),"")="","",IFERROR(_xlfn.IFNA(VLOOKUP($A108,'HR Rep'!$A:$X,MATCH('1) For HR (FIX)'!H$1,'HR Rep'!$A$1:$X$1,0),0),""),""))</f>
        <v/>
      </c>
      <c r="I108" s="140" t="str">
        <f>IF(IFERROR(_xlfn.IFNA(VLOOKUP($A108,'HR Rep'!$A:$X,MATCH('1) For HR (FIX)'!I$1,'HR Rep'!$A$1:$X$1,0),0),""),"")="","",IFERROR(_xlfn.IFNA(VLOOKUP($A108,'HR Rep'!$A:$X,MATCH('1) For HR (FIX)'!I$1,'HR Rep'!$A$1:$X$1,0),0),""),""))</f>
        <v/>
      </c>
      <c r="J108" s="140" t="str">
        <f>IF(IFERROR(_xlfn.IFNA(VLOOKUP($A108,'HR Rep'!$A:$X,MATCH('1) For HR (FIX)'!J$1,'HR Rep'!$A$1:$X$1,0),0),""),"")="","",IFERROR(_xlfn.IFNA(VLOOKUP($A108,'HR Rep'!$A:$X,MATCH('1) For HR (FIX)'!J$1,'HR Rep'!$A$1:$X$1,0),0),""),""))</f>
        <v/>
      </c>
      <c r="K108" s="161">
        <f>_xlfn.XLOOKUP(G108,ค่าตอบแทนการขายในอัตราคงที่!A:A,ค่าตอบแทนการขายในอัตราคงที่!B:B)</f>
        <v>0</v>
      </c>
      <c r="L108" s="174">
        <f>Period!$A$2</f>
        <v>46113</v>
      </c>
      <c r="M108" s="175">
        <f>Period!$C$2</f>
        <v>46143</v>
      </c>
      <c r="N108" s="194" t="s">
        <v>279</v>
      </c>
    </row>
    <row r="109" spans="1:14" ht="11.4" x14ac:dyDescent="0.25">
      <c r="A109" s="138"/>
      <c r="B109" s="169" t="e">
        <f>IF(IF(VLOOKUP(A109,ASTBase!F:P,11,FALSE)="","",VLOOKUP(A109,ASTBase!F:P,11,FALSE))=0,"",IF(VLOOKUP(A109,ASTBase!F:P,11,FALSE)="","",VLOOKUP(A109,ASTBase!F:P,11,FALSE)))</f>
        <v>#N/A</v>
      </c>
      <c r="C109" s="140" t="str">
        <f>IF(IFERROR(_xlfn.IFNA(VLOOKUP($A109,'HR Rep'!$A:$X,MATCH('1) For HR (FIX)'!C$1,'HR Rep'!$A$1:$X$1,0),0),""),"")="","",IFERROR(_xlfn.IFNA(VLOOKUP($A109,'HR Rep'!$A:$X,MATCH('1) For HR (FIX)'!C$1,'HR Rep'!$A$1:$X$1,0),0),""),""))</f>
        <v/>
      </c>
      <c r="D109" s="140" t="str">
        <f>IF(IFERROR(_xlfn.IFNA(VLOOKUP($A109,'HR Rep'!$A:$X,MATCH('1) For HR (FIX)'!D$1,'HR Rep'!$A$1:$X$1,0),0),""),"")="","",IFERROR(_xlfn.IFNA(VLOOKUP($A109,'HR Rep'!$A:$X,MATCH('1) For HR (FIX)'!D$1,'HR Rep'!$A$1:$X$1,0),0),""),""))</f>
        <v/>
      </c>
      <c r="E109" s="140" t="str">
        <f>IF(IFERROR(_xlfn.IFNA(VLOOKUP($A109,'HR Rep'!$A:$X,MATCH('1) For HR (FIX)'!E$1,'HR Rep'!$A$1:$X$1,0),0),""),"")="","",IFERROR(_xlfn.IFNA(VLOOKUP($A109,'HR Rep'!$A:$X,MATCH('1) For HR (FIX)'!E$1,'HR Rep'!$A$1:$X$1,0),0),""),""))</f>
        <v/>
      </c>
      <c r="F109" s="140" t="str">
        <f>IF(IFERROR(_xlfn.IFNA(VLOOKUP($A109,'HR Rep'!$A:$X,MATCH('1) For HR (FIX)'!F$1,'HR Rep'!$A$1:$X$1,0),0),""),"")="","",IFERROR(_xlfn.IFNA(VLOOKUP($A109,'HR Rep'!$A:$X,MATCH('1) For HR (FIX)'!F$1,'HR Rep'!$A$1:$X$1,0),0),""),""))</f>
        <v/>
      </c>
      <c r="G109" s="196"/>
      <c r="H109" s="140" t="str">
        <f>IF(IFERROR(_xlfn.IFNA(VLOOKUP($A109,'HR Rep'!$A:$X,MATCH('1) For HR (FIX)'!H$1,'HR Rep'!$A$1:$X$1,0),0),""),"")="","",IFERROR(_xlfn.IFNA(VLOOKUP($A109,'HR Rep'!$A:$X,MATCH('1) For HR (FIX)'!H$1,'HR Rep'!$A$1:$X$1,0),0),""),""))</f>
        <v/>
      </c>
      <c r="I109" s="140" t="str">
        <f>IF(IFERROR(_xlfn.IFNA(VLOOKUP($A109,'HR Rep'!$A:$X,MATCH('1) For HR (FIX)'!I$1,'HR Rep'!$A$1:$X$1,0),0),""),"")="","",IFERROR(_xlfn.IFNA(VLOOKUP($A109,'HR Rep'!$A:$X,MATCH('1) For HR (FIX)'!I$1,'HR Rep'!$A$1:$X$1,0),0),""),""))</f>
        <v/>
      </c>
      <c r="J109" s="140" t="str">
        <f>IF(IFERROR(_xlfn.IFNA(VLOOKUP($A109,'HR Rep'!$A:$X,MATCH('1) For HR (FIX)'!J$1,'HR Rep'!$A$1:$X$1,0),0),""),"")="","",IFERROR(_xlfn.IFNA(VLOOKUP($A109,'HR Rep'!$A:$X,MATCH('1) For HR (FIX)'!J$1,'HR Rep'!$A$1:$X$1,0),0),""),""))</f>
        <v/>
      </c>
      <c r="K109" s="161">
        <f>_xlfn.XLOOKUP(G109,ค่าตอบแทนการขายในอัตราคงที่!A:A,ค่าตอบแทนการขายในอัตราคงที่!B:B)</f>
        <v>0</v>
      </c>
      <c r="L109" s="174">
        <f>Period!$A$2</f>
        <v>46113</v>
      </c>
      <c r="M109" s="175">
        <f>Period!$C$2</f>
        <v>46143</v>
      </c>
      <c r="N109" s="194" t="s">
        <v>279</v>
      </c>
    </row>
    <row r="110" spans="1:14" ht="11.4" x14ac:dyDescent="0.25">
      <c r="A110" s="138"/>
      <c r="B110" s="169" t="e">
        <f>IF(IF(VLOOKUP(A110,ASTBase!F:P,11,FALSE)="","",VLOOKUP(A110,ASTBase!F:P,11,FALSE))=0,"",IF(VLOOKUP(A110,ASTBase!F:P,11,FALSE)="","",VLOOKUP(A110,ASTBase!F:P,11,FALSE)))</f>
        <v>#N/A</v>
      </c>
      <c r="C110" s="140" t="str">
        <f>IF(IFERROR(_xlfn.IFNA(VLOOKUP($A110,'HR Rep'!$A:$X,MATCH('1) For HR (FIX)'!C$1,'HR Rep'!$A$1:$X$1,0),0),""),"")="","",IFERROR(_xlfn.IFNA(VLOOKUP($A110,'HR Rep'!$A:$X,MATCH('1) For HR (FIX)'!C$1,'HR Rep'!$A$1:$X$1,0),0),""),""))</f>
        <v/>
      </c>
      <c r="D110" s="140" t="str">
        <f>IF(IFERROR(_xlfn.IFNA(VLOOKUP($A110,'HR Rep'!$A:$X,MATCH('1) For HR (FIX)'!D$1,'HR Rep'!$A$1:$X$1,0),0),""),"")="","",IFERROR(_xlfn.IFNA(VLOOKUP($A110,'HR Rep'!$A:$X,MATCH('1) For HR (FIX)'!D$1,'HR Rep'!$A$1:$X$1,0),0),""),""))</f>
        <v/>
      </c>
      <c r="E110" s="140" t="str">
        <f>IF(IFERROR(_xlfn.IFNA(VLOOKUP($A110,'HR Rep'!$A:$X,MATCH('1) For HR (FIX)'!E$1,'HR Rep'!$A$1:$X$1,0),0),""),"")="","",IFERROR(_xlfn.IFNA(VLOOKUP($A110,'HR Rep'!$A:$X,MATCH('1) For HR (FIX)'!E$1,'HR Rep'!$A$1:$X$1,0),0),""),""))</f>
        <v/>
      </c>
      <c r="F110" s="140" t="str">
        <f>IF(IFERROR(_xlfn.IFNA(VLOOKUP($A110,'HR Rep'!$A:$X,MATCH('1) For HR (FIX)'!F$1,'HR Rep'!$A$1:$X$1,0),0),""),"")="","",IFERROR(_xlfn.IFNA(VLOOKUP($A110,'HR Rep'!$A:$X,MATCH('1) For HR (FIX)'!F$1,'HR Rep'!$A$1:$X$1,0),0),""),""))</f>
        <v/>
      </c>
      <c r="G110" s="196"/>
      <c r="H110" s="140" t="str">
        <f>IF(IFERROR(_xlfn.IFNA(VLOOKUP($A110,'HR Rep'!$A:$X,MATCH('1) For HR (FIX)'!H$1,'HR Rep'!$A$1:$X$1,0),0),""),"")="","",IFERROR(_xlfn.IFNA(VLOOKUP($A110,'HR Rep'!$A:$X,MATCH('1) For HR (FIX)'!H$1,'HR Rep'!$A$1:$X$1,0),0),""),""))</f>
        <v/>
      </c>
      <c r="I110" s="140" t="str">
        <f>IF(IFERROR(_xlfn.IFNA(VLOOKUP($A110,'HR Rep'!$A:$X,MATCH('1) For HR (FIX)'!I$1,'HR Rep'!$A$1:$X$1,0),0),""),"")="","",IFERROR(_xlfn.IFNA(VLOOKUP($A110,'HR Rep'!$A:$X,MATCH('1) For HR (FIX)'!I$1,'HR Rep'!$A$1:$X$1,0),0),""),""))</f>
        <v/>
      </c>
      <c r="J110" s="140" t="str">
        <f>IF(IFERROR(_xlfn.IFNA(VLOOKUP($A110,'HR Rep'!$A:$X,MATCH('1) For HR (FIX)'!J$1,'HR Rep'!$A$1:$X$1,0),0),""),"")="","",IFERROR(_xlfn.IFNA(VLOOKUP($A110,'HR Rep'!$A:$X,MATCH('1) For HR (FIX)'!J$1,'HR Rep'!$A$1:$X$1,0),0),""),""))</f>
        <v/>
      </c>
      <c r="K110" s="161">
        <f>_xlfn.XLOOKUP(G110,ค่าตอบแทนการขายในอัตราคงที่!A:A,ค่าตอบแทนการขายในอัตราคงที่!B:B)</f>
        <v>0</v>
      </c>
      <c r="L110" s="174">
        <f>Period!$A$2</f>
        <v>46113</v>
      </c>
      <c r="M110" s="175">
        <f>Period!$C$2</f>
        <v>46143</v>
      </c>
      <c r="N110" s="194" t="s">
        <v>279</v>
      </c>
    </row>
    <row r="111" spans="1:14" ht="11.4" x14ac:dyDescent="0.25">
      <c r="A111" s="138"/>
      <c r="B111" s="169" t="e">
        <f>IF(IF(VLOOKUP(A111,ASTBase!F:P,11,FALSE)="","",VLOOKUP(A111,ASTBase!F:P,11,FALSE))=0,"",IF(VLOOKUP(A111,ASTBase!F:P,11,FALSE)="","",VLOOKUP(A111,ASTBase!F:P,11,FALSE)))</f>
        <v>#N/A</v>
      </c>
      <c r="C111" s="140" t="str">
        <f>IF(IFERROR(_xlfn.IFNA(VLOOKUP($A111,'HR Rep'!$A:$X,MATCH('1) For HR (FIX)'!C$1,'HR Rep'!$A$1:$X$1,0),0),""),"")="","",IFERROR(_xlfn.IFNA(VLOOKUP($A111,'HR Rep'!$A:$X,MATCH('1) For HR (FIX)'!C$1,'HR Rep'!$A$1:$X$1,0),0),""),""))</f>
        <v/>
      </c>
      <c r="D111" s="140" t="str">
        <f>IF(IFERROR(_xlfn.IFNA(VLOOKUP($A111,'HR Rep'!$A:$X,MATCH('1) For HR (FIX)'!D$1,'HR Rep'!$A$1:$X$1,0),0),""),"")="","",IFERROR(_xlfn.IFNA(VLOOKUP($A111,'HR Rep'!$A:$X,MATCH('1) For HR (FIX)'!D$1,'HR Rep'!$A$1:$X$1,0),0),""),""))</f>
        <v/>
      </c>
      <c r="E111" s="140" t="str">
        <f>IF(IFERROR(_xlfn.IFNA(VLOOKUP($A111,'HR Rep'!$A:$X,MATCH('1) For HR (FIX)'!E$1,'HR Rep'!$A$1:$X$1,0),0),""),"")="","",IFERROR(_xlfn.IFNA(VLOOKUP($A111,'HR Rep'!$A:$X,MATCH('1) For HR (FIX)'!E$1,'HR Rep'!$A$1:$X$1,0),0),""),""))</f>
        <v/>
      </c>
      <c r="F111" s="140" t="str">
        <f>IF(IFERROR(_xlfn.IFNA(VLOOKUP($A111,'HR Rep'!$A:$X,MATCH('1) For HR (FIX)'!F$1,'HR Rep'!$A$1:$X$1,0),0),""),"")="","",IFERROR(_xlfn.IFNA(VLOOKUP($A111,'HR Rep'!$A:$X,MATCH('1) For HR (FIX)'!F$1,'HR Rep'!$A$1:$X$1,0),0),""),""))</f>
        <v/>
      </c>
      <c r="G111" s="196"/>
      <c r="H111" s="140" t="str">
        <f>IF(IFERROR(_xlfn.IFNA(VLOOKUP($A111,'HR Rep'!$A:$X,MATCH('1) For HR (FIX)'!H$1,'HR Rep'!$A$1:$X$1,0),0),""),"")="","",IFERROR(_xlfn.IFNA(VLOOKUP($A111,'HR Rep'!$A:$X,MATCH('1) For HR (FIX)'!H$1,'HR Rep'!$A$1:$X$1,0),0),""),""))</f>
        <v/>
      </c>
      <c r="I111" s="140" t="str">
        <f>IF(IFERROR(_xlfn.IFNA(VLOOKUP($A111,'HR Rep'!$A:$X,MATCH('1) For HR (FIX)'!I$1,'HR Rep'!$A$1:$X$1,0),0),""),"")="","",IFERROR(_xlfn.IFNA(VLOOKUP($A111,'HR Rep'!$A:$X,MATCH('1) For HR (FIX)'!I$1,'HR Rep'!$A$1:$X$1,0),0),""),""))</f>
        <v/>
      </c>
      <c r="J111" s="140" t="str">
        <f>IF(IFERROR(_xlfn.IFNA(VLOOKUP($A111,'HR Rep'!$A:$X,MATCH('1) For HR (FIX)'!J$1,'HR Rep'!$A$1:$X$1,0),0),""),"")="","",IFERROR(_xlfn.IFNA(VLOOKUP($A111,'HR Rep'!$A:$X,MATCH('1) For HR (FIX)'!J$1,'HR Rep'!$A$1:$X$1,0),0),""),""))</f>
        <v/>
      </c>
      <c r="K111" s="161">
        <f>_xlfn.XLOOKUP(G111,ค่าตอบแทนการขายในอัตราคงที่!A:A,ค่าตอบแทนการขายในอัตราคงที่!B:B)</f>
        <v>0</v>
      </c>
      <c r="L111" s="174">
        <f>Period!$A$2</f>
        <v>46113</v>
      </c>
      <c r="M111" s="175">
        <f>Period!$C$2</f>
        <v>46143</v>
      </c>
      <c r="N111" s="194" t="s">
        <v>279</v>
      </c>
    </row>
    <row r="112" spans="1:14" ht="11.4" x14ac:dyDescent="0.25">
      <c r="A112" s="138"/>
      <c r="B112" s="169" t="e">
        <f>IF(IF(VLOOKUP(A112,ASTBase!F:P,11,FALSE)="","",VLOOKUP(A112,ASTBase!F:P,11,FALSE))=0,"",IF(VLOOKUP(A112,ASTBase!F:P,11,FALSE)="","",VLOOKUP(A112,ASTBase!F:P,11,FALSE)))</f>
        <v>#N/A</v>
      </c>
      <c r="C112" s="140" t="str">
        <f>IF(IFERROR(_xlfn.IFNA(VLOOKUP($A112,'HR Rep'!$A:$X,MATCH('1) For HR (FIX)'!C$1,'HR Rep'!$A$1:$X$1,0),0),""),"")="","",IFERROR(_xlfn.IFNA(VLOOKUP($A112,'HR Rep'!$A:$X,MATCH('1) For HR (FIX)'!C$1,'HR Rep'!$A$1:$X$1,0),0),""),""))</f>
        <v/>
      </c>
      <c r="D112" s="140" t="str">
        <f>IF(IFERROR(_xlfn.IFNA(VLOOKUP($A112,'HR Rep'!$A:$X,MATCH('1) For HR (FIX)'!D$1,'HR Rep'!$A$1:$X$1,0),0),""),"")="","",IFERROR(_xlfn.IFNA(VLOOKUP($A112,'HR Rep'!$A:$X,MATCH('1) For HR (FIX)'!D$1,'HR Rep'!$A$1:$X$1,0),0),""),""))</f>
        <v/>
      </c>
      <c r="E112" s="140" t="str">
        <f>IF(IFERROR(_xlfn.IFNA(VLOOKUP($A112,'HR Rep'!$A:$X,MATCH('1) For HR (FIX)'!E$1,'HR Rep'!$A$1:$X$1,0),0),""),"")="","",IFERROR(_xlfn.IFNA(VLOOKUP($A112,'HR Rep'!$A:$X,MATCH('1) For HR (FIX)'!E$1,'HR Rep'!$A$1:$X$1,0),0),""),""))</f>
        <v/>
      </c>
      <c r="F112" s="140" t="str">
        <f>IF(IFERROR(_xlfn.IFNA(VLOOKUP($A112,'HR Rep'!$A:$X,MATCH('1) For HR (FIX)'!F$1,'HR Rep'!$A$1:$X$1,0),0),""),"")="","",IFERROR(_xlfn.IFNA(VLOOKUP($A112,'HR Rep'!$A:$X,MATCH('1) For HR (FIX)'!F$1,'HR Rep'!$A$1:$X$1,0),0),""),""))</f>
        <v/>
      </c>
      <c r="G112" s="196"/>
      <c r="H112" s="140" t="str">
        <f>IF(IFERROR(_xlfn.IFNA(VLOOKUP($A112,'HR Rep'!$A:$X,MATCH('1) For HR (FIX)'!H$1,'HR Rep'!$A$1:$X$1,0),0),""),"")="","",IFERROR(_xlfn.IFNA(VLOOKUP($A112,'HR Rep'!$A:$X,MATCH('1) For HR (FIX)'!H$1,'HR Rep'!$A$1:$X$1,0),0),""),""))</f>
        <v/>
      </c>
      <c r="I112" s="140" t="str">
        <f>IF(IFERROR(_xlfn.IFNA(VLOOKUP($A112,'HR Rep'!$A:$X,MATCH('1) For HR (FIX)'!I$1,'HR Rep'!$A$1:$X$1,0),0),""),"")="","",IFERROR(_xlfn.IFNA(VLOOKUP($A112,'HR Rep'!$A:$X,MATCH('1) For HR (FIX)'!I$1,'HR Rep'!$A$1:$X$1,0),0),""),""))</f>
        <v/>
      </c>
      <c r="J112" s="140" t="str">
        <f>IF(IFERROR(_xlfn.IFNA(VLOOKUP($A112,'HR Rep'!$A:$X,MATCH('1) For HR (FIX)'!J$1,'HR Rep'!$A$1:$X$1,0),0),""),"")="","",IFERROR(_xlfn.IFNA(VLOOKUP($A112,'HR Rep'!$A:$X,MATCH('1) For HR (FIX)'!J$1,'HR Rep'!$A$1:$X$1,0),0),""),""))</f>
        <v/>
      </c>
      <c r="K112" s="161">
        <f>_xlfn.XLOOKUP(G112,ค่าตอบแทนการขายในอัตราคงที่!A:A,ค่าตอบแทนการขายในอัตราคงที่!B:B)</f>
        <v>0</v>
      </c>
      <c r="L112" s="174">
        <f>Period!$A$2</f>
        <v>46113</v>
      </c>
      <c r="M112" s="175">
        <f>Period!$C$2</f>
        <v>46143</v>
      </c>
      <c r="N112" s="194" t="s">
        <v>279</v>
      </c>
    </row>
    <row r="113" spans="1:14" ht="11.4" x14ac:dyDescent="0.25">
      <c r="A113" s="138"/>
      <c r="B113" s="169" t="e">
        <f>IF(IF(VLOOKUP(A113,ASTBase!F:P,11,FALSE)="","",VLOOKUP(A113,ASTBase!F:P,11,FALSE))=0,"",IF(VLOOKUP(A113,ASTBase!F:P,11,FALSE)="","",VLOOKUP(A113,ASTBase!F:P,11,FALSE)))</f>
        <v>#N/A</v>
      </c>
      <c r="C113" s="140" t="str">
        <f>IF(IFERROR(_xlfn.IFNA(VLOOKUP($A113,'HR Rep'!$A:$X,MATCH('1) For HR (FIX)'!C$1,'HR Rep'!$A$1:$X$1,0),0),""),"")="","",IFERROR(_xlfn.IFNA(VLOOKUP($A113,'HR Rep'!$A:$X,MATCH('1) For HR (FIX)'!C$1,'HR Rep'!$A$1:$X$1,0),0),""),""))</f>
        <v/>
      </c>
      <c r="D113" s="140" t="str">
        <f>IF(IFERROR(_xlfn.IFNA(VLOOKUP($A113,'HR Rep'!$A:$X,MATCH('1) For HR (FIX)'!D$1,'HR Rep'!$A$1:$X$1,0),0),""),"")="","",IFERROR(_xlfn.IFNA(VLOOKUP($A113,'HR Rep'!$A:$X,MATCH('1) For HR (FIX)'!D$1,'HR Rep'!$A$1:$X$1,0),0),""),""))</f>
        <v/>
      </c>
      <c r="E113" s="140" t="str">
        <f>IF(IFERROR(_xlfn.IFNA(VLOOKUP($A113,'HR Rep'!$A:$X,MATCH('1) For HR (FIX)'!E$1,'HR Rep'!$A$1:$X$1,0),0),""),"")="","",IFERROR(_xlfn.IFNA(VLOOKUP($A113,'HR Rep'!$A:$X,MATCH('1) For HR (FIX)'!E$1,'HR Rep'!$A$1:$X$1,0),0),""),""))</f>
        <v/>
      </c>
      <c r="F113" s="140" t="str">
        <f>IF(IFERROR(_xlfn.IFNA(VLOOKUP($A113,'HR Rep'!$A:$X,MATCH('1) For HR (FIX)'!F$1,'HR Rep'!$A$1:$X$1,0),0),""),"")="","",IFERROR(_xlfn.IFNA(VLOOKUP($A113,'HR Rep'!$A:$X,MATCH('1) For HR (FIX)'!F$1,'HR Rep'!$A$1:$X$1,0),0),""),""))</f>
        <v/>
      </c>
      <c r="G113" s="196"/>
      <c r="H113" s="140" t="str">
        <f>IF(IFERROR(_xlfn.IFNA(VLOOKUP($A113,'HR Rep'!$A:$X,MATCH('1) For HR (FIX)'!H$1,'HR Rep'!$A$1:$X$1,0),0),""),"")="","",IFERROR(_xlfn.IFNA(VLOOKUP($A113,'HR Rep'!$A:$X,MATCH('1) For HR (FIX)'!H$1,'HR Rep'!$A$1:$X$1,0),0),""),""))</f>
        <v/>
      </c>
      <c r="I113" s="140" t="str">
        <f>IF(IFERROR(_xlfn.IFNA(VLOOKUP($A113,'HR Rep'!$A:$X,MATCH('1) For HR (FIX)'!I$1,'HR Rep'!$A$1:$X$1,0),0),""),"")="","",IFERROR(_xlfn.IFNA(VLOOKUP($A113,'HR Rep'!$A:$X,MATCH('1) For HR (FIX)'!I$1,'HR Rep'!$A$1:$X$1,0),0),""),""))</f>
        <v/>
      </c>
      <c r="J113" s="140" t="str">
        <f>IF(IFERROR(_xlfn.IFNA(VLOOKUP($A113,'HR Rep'!$A:$X,MATCH('1) For HR (FIX)'!J$1,'HR Rep'!$A$1:$X$1,0),0),""),"")="","",IFERROR(_xlfn.IFNA(VLOOKUP($A113,'HR Rep'!$A:$X,MATCH('1) For HR (FIX)'!J$1,'HR Rep'!$A$1:$X$1,0),0),""),""))</f>
        <v/>
      </c>
      <c r="K113" s="161">
        <f>_xlfn.XLOOKUP(G113,ค่าตอบแทนการขายในอัตราคงที่!A:A,ค่าตอบแทนการขายในอัตราคงที่!B:B)</f>
        <v>0</v>
      </c>
      <c r="L113" s="174">
        <f>Period!$A$2</f>
        <v>46113</v>
      </c>
      <c r="M113" s="175">
        <f>Period!$C$2</f>
        <v>46143</v>
      </c>
      <c r="N113" s="194" t="s">
        <v>279</v>
      </c>
    </row>
    <row r="114" spans="1:14" ht="11.4" x14ac:dyDescent="0.25">
      <c r="A114" s="137"/>
      <c r="B114" s="169" t="e">
        <f>IF(IF(VLOOKUP(A114,ASTBase!F:P,11,FALSE)="","",VLOOKUP(A114,ASTBase!F:P,11,FALSE))=0,"",IF(VLOOKUP(A114,ASTBase!F:P,11,FALSE)="","",VLOOKUP(A114,ASTBase!F:P,11,FALSE)))</f>
        <v>#N/A</v>
      </c>
      <c r="C114" s="140" t="str">
        <f>IF(IFERROR(_xlfn.IFNA(VLOOKUP($A114,'HR Rep'!$A:$X,MATCH('1) For HR (FIX)'!C$1,'HR Rep'!$A$1:$X$1,0),0),""),"")="","",IFERROR(_xlfn.IFNA(VLOOKUP($A114,'HR Rep'!$A:$X,MATCH('1) For HR (FIX)'!C$1,'HR Rep'!$A$1:$X$1,0),0),""),""))</f>
        <v/>
      </c>
      <c r="D114" s="140" t="str">
        <f>IF(IFERROR(_xlfn.IFNA(VLOOKUP($A114,'HR Rep'!$A:$X,MATCH('1) For HR (FIX)'!D$1,'HR Rep'!$A$1:$X$1,0),0),""),"")="","",IFERROR(_xlfn.IFNA(VLOOKUP($A114,'HR Rep'!$A:$X,MATCH('1) For HR (FIX)'!D$1,'HR Rep'!$A$1:$X$1,0),0),""),""))</f>
        <v/>
      </c>
      <c r="E114" s="140" t="str">
        <f>IF(IFERROR(_xlfn.IFNA(VLOOKUP($A114,'HR Rep'!$A:$X,MATCH('1) For HR (FIX)'!E$1,'HR Rep'!$A$1:$X$1,0),0),""),"")="","",IFERROR(_xlfn.IFNA(VLOOKUP($A114,'HR Rep'!$A:$X,MATCH('1) For HR (FIX)'!E$1,'HR Rep'!$A$1:$X$1,0),0),""),""))</f>
        <v/>
      </c>
      <c r="F114" s="140" t="str">
        <f>IF(IFERROR(_xlfn.IFNA(VLOOKUP($A114,'HR Rep'!$A:$X,MATCH('1) For HR (FIX)'!F$1,'HR Rep'!$A$1:$X$1,0),0),""),"")="","",IFERROR(_xlfn.IFNA(VLOOKUP($A114,'HR Rep'!$A:$X,MATCH('1) For HR (FIX)'!F$1,'HR Rep'!$A$1:$X$1,0),0),""),""))</f>
        <v/>
      </c>
      <c r="G114" s="196"/>
      <c r="H114" s="140" t="str">
        <f>IF(IFERROR(_xlfn.IFNA(VLOOKUP($A114,'HR Rep'!$A:$X,MATCH('1) For HR (FIX)'!H$1,'HR Rep'!$A$1:$X$1,0),0),""),"")="","",IFERROR(_xlfn.IFNA(VLOOKUP($A114,'HR Rep'!$A:$X,MATCH('1) For HR (FIX)'!H$1,'HR Rep'!$A$1:$X$1,0),0),""),""))</f>
        <v/>
      </c>
      <c r="I114" s="140" t="str">
        <f>IF(IFERROR(_xlfn.IFNA(VLOOKUP($A114,'HR Rep'!$A:$X,MATCH('1) For HR (FIX)'!I$1,'HR Rep'!$A$1:$X$1,0),0),""),"")="","",IFERROR(_xlfn.IFNA(VLOOKUP($A114,'HR Rep'!$A:$X,MATCH('1) For HR (FIX)'!I$1,'HR Rep'!$A$1:$X$1,0),0),""),""))</f>
        <v/>
      </c>
      <c r="J114" s="140" t="str">
        <f>IF(IFERROR(_xlfn.IFNA(VLOOKUP($A114,'HR Rep'!$A:$X,MATCH('1) For HR (FIX)'!J$1,'HR Rep'!$A$1:$X$1,0),0),""),"")="","",IFERROR(_xlfn.IFNA(VLOOKUP($A114,'HR Rep'!$A:$X,MATCH('1) For HR (FIX)'!J$1,'HR Rep'!$A$1:$X$1,0),0),""),""))</f>
        <v/>
      </c>
      <c r="K114" s="161">
        <f>_xlfn.XLOOKUP(G114,ค่าตอบแทนการขายในอัตราคงที่!A:A,ค่าตอบแทนการขายในอัตราคงที่!B:B)</f>
        <v>0</v>
      </c>
      <c r="L114" s="174">
        <f>Period!$A$2</f>
        <v>46113</v>
      </c>
      <c r="M114" s="175">
        <f>Period!$C$2</f>
        <v>46143</v>
      </c>
      <c r="N114" s="194" t="s">
        <v>279</v>
      </c>
    </row>
    <row r="115" spans="1:14" ht="11.4" x14ac:dyDescent="0.25">
      <c r="A115" s="137"/>
      <c r="B115" s="169" t="e">
        <f>IF(IF(VLOOKUP(A115,ASTBase!F:P,11,FALSE)="","",VLOOKUP(A115,ASTBase!F:P,11,FALSE))=0,"",IF(VLOOKUP(A115,ASTBase!F:P,11,FALSE)="","",VLOOKUP(A115,ASTBase!F:P,11,FALSE)))</f>
        <v>#N/A</v>
      </c>
      <c r="C115" s="140" t="str">
        <f>IF(IFERROR(_xlfn.IFNA(VLOOKUP($A115,'HR Rep'!$A:$X,MATCH('1) For HR (FIX)'!C$1,'HR Rep'!$A$1:$X$1,0),0),""),"")="","",IFERROR(_xlfn.IFNA(VLOOKUP($A115,'HR Rep'!$A:$X,MATCH('1) For HR (FIX)'!C$1,'HR Rep'!$A$1:$X$1,0),0),""),""))</f>
        <v/>
      </c>
      <c r="D115" s="140" t="str">
        <f>IF(IFERROR(_xlfn.IFNA(VLOOKUP($A115,'HR Rep'!$A:$X,MATCH('1) For HR (FIX)'!D$1,'HR Rep'!$A$1:$X$1,0),0),""),"")="","",IFERROR(_xlfn.IFNA(VLOOKUP($A115,'HR Rep'!$A:$X,MATCH('1) For HR (FIX)'!D$1,'HR Rep'!$A$1:$X$1,0),0),""),""))</f>
        <v/>
      </c>
      <c r="E115" s="140" t="str">
        <f>IF(IFERROR(_xlfn.IFNA(VLOOKUP($A115,'HR Rep'!$A:$X,MATCH('1) For HR (FIX)'!E$1,'HR Rep'!$A$1:$X$1,0),0),""),"")="","",IFERROR(_xlfn.IFNA(VLOOKUP($A115,'HR Rep'!$A:$X,MATCH('1) For HR (FIX)'!E$1,'HR Rep'!$A$1:$X$1,0),0),""),""))</f>
        <v/>
      </c>
      <c r="F115" s="140" t="str">
        <f>IF(IFERROR(_xlfn.IFNA(VLOOKUP($A115,'HR Rep'!$A:$X,MATCH('1) For HR (FIX)'!F$1,'HR Rep'!$A$1:$X$1,0),0),""),"")="","",IFERROR(_xlfn.IFNA(VLOOKUP($A115,'HR Rep'!$A:$X,MATCH('1) For HR (FIX)'!F$1,'HR Rep'!$A$1:$X$1,0),0),""),""))</f>
        <v/>
      </c>
      <c r="G115" s="196"/>
      <c r="H115" s="140" t="str">
        <f>IF(IFERROR(_xlfn.IFNA(VLOOKUP($A115,'HR Rep'!$A:$X,MATCH('1) For HR (FIX)'!H$1,'HR Rep'!$A$1:$X$1,0),0),""),"")="","",IFERROR(_xlfn.IFNA(VLOOKUP($A115,'HR Rep'!$A:$X,MATCH('1) For HR (FIX)'!H$1,'HR Rep'!$A$1:$X$1,0),0),""),""))</f>
        <v/>
      </c>
      <c r="I115" s="140" t="str">
        <f>IF(IFERROR(_xlfn.IFNA(VLOOKUP($A115,'HR Rep'!$A:$X,MATCH('1) For HR (FIX)'!I$1,'HR Rep'!$A$1:$X$1,0),0),""),"")="","",IFERROR(_xlfn.IFNA(VLOOKUP($A115,'HR Rep'!$A:$X,MATCH('1) For HR (FIX)'!I$1,'HR Rep'!$A$1:$X$1,0),0),""),""))</f>
        <v/>
      </c>
      <c r="J115" s="140" t="str">
        <f>IF(IFERROR(_xlfn.IFNA(VLOOKUP($A115,'HR Rep'!$A:$X,MATCH('1) For HR (FIX)'!J$1,'HR Rep'!$A$1:$X$1,0),0),""),"")="","",IFERROR(_xlfn.IFNA(VLOOKUP($A115,'HR Rep'!$A:$X,MATCH('1) For HR (FIX)'!J$1,'HR Rep'!$A$1:$X$1,0),0),""),""))</f>
        <v/>
      </c>
      <c r="K115" s="161">
        <f>_xlfn.XLOOKUP(G115,ค่าตอบแทนการขายในอัตราคงที่!A:A,ค่าตอบแทนการขายในอัตราคงที่!B:B)</f>
        <v>0</v>
      </c>
      <c r="L115" s="174">
        <f>Period!$A$2</f>
        <v>46113</v>
      </c>
      <c r="M115" s="175">
        <f>Period!$C$2</f>
        <v>46143</v>
      </c>
      <c r="N115" s="194" t="s">
        <v>279</v>
      </c>
    </row>
    <row r="116" spans="1:14" ht="11.4" x14ac:dyDescent="0.25">
      <c r="A116" s="137"/>
      <c r="B116" s="169" t="e">
        <f>IF(IF(VLOOKUP(A116,ASTBase!F:P,11,FALSE)="","",VLOOKUP(A116,ASTBase!F:P,11,FALSE))=0,"",IF(VLOOKUP(A116,ASTBase!F:P,11,FALSE)="","",VLOOKUP(A116,ASTBase!F:P,11,FALSE)))</f>
        <v>#N/A</v>
      </c>
      <c r="C116" s="140" t="str">
        <f>IF(IFERROR(_xlfn.IFNA(VLOOKUP($A116,'HR Rep'!$A:$X,MATCH('1) For HR (FIX)'!C$1,'HR Rep'!$A$1:$X$1,0),0),""),"")="","",IFERROR(_xlfn.IFNA(VLOOKUP($A116,'HR Rep'!$A:$X,MATCH('1) For HR (FIX)'!C$1,'HR Rep'!$A$1:$X$1,0),0),""),""))</f>
        <v/>
      </c>
      <c r="D116" s="140" t="str">
        <f>IF(IFERROR(_xlfn.IFNA(VLOOKUP($A116,'HR Rep'!$A:$X,MATCH('1) For HR (FIX)'!D$1,'HR Rep'!$A$1:$X$1,0),0),""),"")="","",IFERROR(_xlfn.IFNA(VLOOKUP($A116,'HR Rep'!$A:$X,MATCH('1) For HR (FIX)'!D$1,'HR Rep'!$A$1:$X$1,0),0),""),""))</f>
        <v/>
      </c>
      <c r="E116" s="140" t="str">
        <f>IF(IFERROR(_xlfn.IFNA(VLOOKUP($A116,'HR Rep'!$A:$X,MATCH('1) For HR (FIX)'!E$1,'HR Rep'!$A$1:$X$1,0),0),""),"")="","",IFERROR(_xlfn.IFNA(VLOOKUP($A116,'HR Rep'!$A:$X,MATCH('1) For HR (FIX)'!E$1,'HR Rep'!$A$1:$X$1,0),0),""),""))</f>
        <v/>
      </c>
      <c r="F116" s="140" t="str">
        <f>IF(IFERROR(_xlfn.IFNA(VLOOKUP($A116,'HR Rep'!$A:$X,MATCH('1) For HR (FIX)'!F$1,'HR Rep'!$A$1:$X$1,0),0),""),"")="","",IFERROR(_xlfn.IFNA(VLOOKUP($A116,'HR Rep'!$A:$X,MATCH('1) For HR (FIX)'!F$1,'HR Rep'!$A$1:$X$1,0),0),""),""))</f>
        <v/>
      </c>
      <c r="G116" s="196"/>
      <c r="H116" s="140" t="str">
        <f>IF(IFERROR(_xlfn.IFNA(VLOOKUP($A116,'HR Rep'!$A:$X,MATCH('1) For HR (FIX)'!H$1,'HR Rep'!$A$1:$X$1,0),0),""),"")="","",IFERROR(_xlfn.IFNA(VLOOKUP($A116,'HR Rep'!$A:$X,MATCH('1) For HR (FIX)'!H$1,'HR Rep'!$A$1:$X$1,0),0),""),""))</f>
        <v/>
      </c>
      <c r="I116" s="140" t="str">
        <f>IF(IFERROR(_xlfn.IFNA(VLOOKUP($A116,'HR Rep'!$A:$X,MATCH('1) For HR (FIX)'!I$1,'HR Rep'!$A$1:$X$1,0),0),""),"")="","",IFERROR(_xlfn.IFNA(VLOOKUP($A116,'HR Rep'!$A:$X,MATCH('1) For HR (FIX)'!I$1,'HR Rep'!$A$1:$X$1,0),0),""),""))</f>
        <v/>
      </c>
      <c r="J116" s="140" t="str">
        <f>IF(IFERROR(_xlfn.IFNA(VLOOKUP($A116,'HR Rep'!$A:$X,MATCH('1) For HR (FIX)'!J$1,'HR Rep'!$A$1:$X$1,0),0),""),"")="","",IFERROR(_xlfn.IFNA(VLOOKUP($A116,'HR Rep'!$A:$X,MATCH('1) For HR (FIX)'!J$1,'HR Rep'!$A$1:$X$1,0),0),""),""))</f>
        <v/>
      </c>
      <c r="K116" s="161">
        <f>_xlfn.XLOOKUP(G116,ค่าตอบแทนการขายในอัตราคงที่!A:A,ค่าตอบแทนการขายในอัตราคงที่!B:B)</f>
        <v>0</v>
      </c>
      <c r="L116" s="174">
        <f>Period!$A$2</f>
        <v>46113</v>
      </c>
      <c r="M116" s="175">
        <f>Period!$C$2</f>
        <v>46143</v>
      </c>
      <c r="N116" s="194" t="s">
        <v>279</v>
      </c>
    </row>
    <row r="117" spans="1:14" ht="11.4" x14ac:dyDescent="0.25">
      <c r="A117" s="137"/>
      <c r="B117" s="169" t="e">
        <f>IF(IF(VLOOKUP(A117,ASTBase!F:P,11,FALSE)="","",VLOOKUP(A117,ASTBase!F:P,11,FALSE))=0,"",IF(VLOOKUP(A117,ASTBase!F:P,11,FALSE)="","",VLOOKUP(A117,ASTBase!F:P,11,FALSE)))</f>
        <v>#N/A</v>
      </c>
      <c r="C117" s="140" t="str">
        <f>IF(IFERROR(_xlfn.IFNA(VLOOKUP($A117,'HR Rep'!$A:$X,MATCH('1) For HR (FIX)'!C$1,'HR Rep'!$A$1:$X$1,0),0),""),"")="","",IFERROR(_xlfn.IFNA(VLOOKUP($A117,'HR Rep'!$A:$X,MATCH('1) For HR (FIX)'!C$1,'HR Rep'!$A$1:$X$1,0),0),""),""))</f>
        <v/>
      </c>
      <c r="D117" s="140" t="str">
        <f>IF(IFERROR(_xlfn.IFNA(VLOOKUP($A117,'HR Rep'!$A:$X,MATCH('1) For HR (FIX)'!D$1,'HR Rep'!$A$1:$X$1,0),0),""),"")="","",IFERROR(_xlfn.IFNA(VLOOKUP($A117,'HR Rep'!$A:$X,MATCH('1) For HR (FIX)'!D$1,'HR Rep'!$A$1:$X$1,0),0),""),""))</f>
        <v/>
      </c>
      <c r="E117" s="140" t="str">
        <f>IF(IFERROR(_xlfn.IFNA(VLOOKUP($A117,'HR Rep'!$A:$X,MATCH('1) For HR (FIX)'!E$1,'HR Rep'!$A$1:$X$1,0),0),""),"")="","",IFERROR(_xlfn.IFNA(VLOOKUP($A117,'HR Rep'!$A:$X,MATCH('1) For HR (FIX)'!E$1,'HR Rep'!$A$1:$X$1,0),0),""),""))</f>
        <v/>
      </c>
      <c r="F117" s="140" t="str">
        <f>IF(IFERROR(_xlfn.IFNA(VLOOKUP($A117,'HR Rep'!$A:$X,MATCH('1) For HR (FIX)'!F$1,'HR Rep'!$A$1:$X$1,0),0),""),"")="","",IFERROR(_xlfn.IFNA(VLOOKUP($A117,'HR Rep'!$A:$X,MATCH('1) For HR (FIX)'!F$1,'HR Rep'!$A$1:$X$1,0),0),""),""))</f>
        <v/>
      </c>
      <c r="G117" s="196"/>
      <c r="H117" s="140" t="str">
        <f>IF(IFERROR(_xlfn.IFNA(VLOOKUP($A117,'HR Rep'!$A:$X,MATCH('1) For HR (FIX)'!H$1,'HR Rep'!$A$1:$X$1,0),0),""),"")="","",IFERROR(_xlfn.IFNA(VLOOKUP($A117,'HR Rep'!$A:$X,MATCH('1) For HR (FIX)'!H$1,'HR Rep'!$A$1:$X$1,0),0),""),""))</f>
        <v/>
      </c>
      <c r="I117" s="140" t="str">
        <f>IF(IFERROR(_xlfn.IFNA(VLOOKUP($A117,'HR Rep'!$A:$X,MATCH('1) For HR (FIX)'!I$1,'HR Rep'!$A$1:$X$1,0),0),""),"")="","",IFERROR(_xlfn.IFNA(VLOOKUP($A117,'HR Rep'!$A:$X,MATCH('1) For HR (FIX)'!I$1,'HR Rep'!$A$1:$X$1,0),0),""),""))</f>
        <v/>
      </c>
      <c r="J117" s="140" t="str">
        <f>IF(IFERROR(_xlfn.IFNA(VLOOKUP($A117,'HR Rep'!$A:$X,MATCH('1) For HR (FIX)'!J$1,'HR Rep'!$A$1:$X$1,0),0),""),"")="","",IFERROR(_xlfn.IFNA(VLOOKUP($A117,'HR Rep'!$A:$X,MATCH('1) For HR (FIX)'!J$1,'HR Rep'!$A$1:$X$1,0),0),""),""))</f>
        <v/>
      </c>
      <c r="K117" s="161">
        <f>_xlfn.XLOOKUP(G117,ค่าตอบแทนการขายในอัตราคงที่!A:A,ค่าตอบแทนการขายในอัตราคงที่!B:B)</f>
        <v>0</v>
      </c>
      <c r="L117" s="174">
        <f>Period!$A$2</f>
        <v>46113</v>
      </c>
      <c r="M117" s="175">
        <f>Period!$C$2</f>
        <v>46143</v>
      </c>
      <c r="N117" s="194" t="s">
        <v>279</v>
      </c>
    </row>
    <row r="118" spans="1:14" ht="11.4" x14ac:dyDescent="0.25">
      <c r="A118" s="137"/>
      <c r="B118" s="169" t="e">
        <f>IF(IF(VLOOKUP(A118,ASTBase!F:P,11,FALSE)="","",VLOOKUP(A118,ASTBase!F:P,11,FALSE))=0,"",IF(VLOOKUP(A118,ASTBase!F:P,11,FALSE)="","",VLOOKUP(A118,ASTBase!F:P,11,FALSE)))</f>
        <v>#N/A</v>
      </c>
      <c r="C118" s="140" t="str">
        <f>IF(IFERROR(_xlfn.IFNA(VLOOKUP($A118,'HR Rep'!$A:$X,MATCH('1) For HR (FIX)'!C$1,'HR Rep'!$A$1:$X$1,0),0),""),"")="","",IFERROR(_xlfn.IFNA(VLOOKUP($A118,'HR Rep'!$A:$X,MATCH('1) For HR (FIX)'!C$1,'HR Rep'!$A$1:$X$1,0),0),""),""))</f>
        <v/>
      </c>
      <c r="D118" s="140" t="str">
        <f>IF(IFERROR(_xlfn.IFNA(VLOOKUP($A118,'HR Rep'!$A:$X,MATCH('1) For HR (FIX)'!D$1,'HR Rep'!$A$1:$X$1,0),0),""),"")="","",IFERROR(_xlfn.IFNA(VLOOKUP($A118,'HR Rep'!$A:$X,MATCH('1) For HR (FIX)'!D$1,'HR Rep'!$A$1:$X$1,0),0),""),""))</f>
        <v/>
      </c>
      <c r="E118" s="140" t="str">
        <f>IF(IFERROR(_xlfn.IFNA(VLOOKUP($A118,'HR Rep'!$A:$X,MATCH('1) For HR (FIX)'!E$1,'HR Rep'!$A$1:$X$1,0),0),""),"")="","",IFERROR(_xlfn.IFNA(VLOOKUP($A118,'HR Rep'!$A:$X,MATCH('1) For HR (FIX)'!E$1,'HR Rep'!$A$1:$X$1,0),0),""),""))</f>
        <v/>
      </c>
      <c r="F118" s="140" t="str">
        <f>IF(IFERROR(_xlfn.IFNA(VLOOKUP($A118,'HR Rep'!$A:$X,MATCH('1) For HR (FIX)'!F$1,'HR Rep'!$A$1:$X$1,0),0),""),"")="","",IFERROR(_xlfn.IFNA(VLOOKUP($A118,'HR Rep'!$A:$X,MATCH('1) For HR (FIX)'!F$1,'HR Rep'!$A$1:$X$1,0),0),""),""))</f>
        <v/>
      </c>
      <c r="G118" s="196"/>
      <c r="H118" s="140" t="str">
        <f>IF(IFERROR(_xlfn.IFNA(VLOOKUP($A118,'HR Rep'!$A:$X,MATCH('1) For HR (FIX)'!H$1,'HR Rep'!$A$1:$X$1,0),0),""),"")="","",IFERROR(_xlfn.IFNA(VLOOKUP($A118,'HR Rep'!$A:$X,MATCH('1) For HR (FIX)'!H$1,'HR Rep'!$A$1:$X$1,0),0),""),""))</f>
        <v/>
      </c>
      <c r="I118" s="140" t="str">
        <f>IF(IFERROR(_xlfn.IFNA(VLOOKUP($A118,'HR Rep'!$A:$X,MATCH('1) For HR (FIX)'!I$1,'HR Rep'!$A$1:$X$1,0),0),""),"")="","",IFERROR(_xlfn.IFNA(VLOOKUP($A118,'HR Rep'!$A:$X,MATCH('1) For HR (FIX)'!I$1,'HR Rep'!$A$1:$X$1,0),0),""),""))</f>
        <v/>
      </c>
      <c r="J118" s="140" t="str">
        <f>IF(IFERROR(_xlfn.IFNA(VLOOKUP($A118,'HR Rep'!$A:$X,MATCH('1) For HR (FIX)'!J$1,'HR Rep'!$A$1:$X$1,0),0),""),"")="","",IFERROR(_xlfn.IFNA(VLOOKUP($A118,'HR Rep'!$A:$X,MATCH('1) For HR (FIX)'!J$1,'HR Rep'!$A$1:$X$1,0),0),""),""))</f>
        <v/>
      </c>
      <c r="K118" s="161">
        <f>_xlfn.XLOOKUP(G118,ค่าตอบแทนการขายในอัตราคงที่!A:A,ค่าตอบแทนการขายในอัตราคงที่!B:B)</f>
        <v>0</v>
      </c>
      <c r="L118" s="174">
        <f>Period!$A$2</f>
        <v>46113</v>
      </c>
      <c r="M118" s="175">
        <f>Period!$C$2</f>
        <v>46143</v>
      </c>
      <c r="N118" s="194" t="s">
        <v>279</v>
      </c>
    </row>
    <row r="119" spans="1:14" ht="11.4" x14ac:dyDescent="0.25">
      <c r="A119" s="137"/>
      <c r="B119" s="169" t="e">
        <f>IF(IF(VLOOKUP(A119,ASTBase!F:P,11,FALSE)="","",VLOOKUP(A119,ASTBase!F:P,11,FALSE))=0,"",IF(VLOOKUP(A119,ASTBase!F:P,11,FALSE)="","",VLOOKUP(A119,ASTBase!F:P,11,FALSE)))</f>
        <v>#N/A</v>
      </c>
      <c r="C119" s="140" t="str">
        <f>IF(IFERROR(_xlfn.IFNA(VLOOKUP($A119,'HR Rep'!$A:$X,MATCH('1) For HR (FIX)'!C$1,'HR Rep'!$A$1:$X$1,0),0),""),"")="","",IFERROR(_xlfn.IFNA(VLOOKUP($A119,'HR Rep'!$A:$X,MATCH('1) For HR (FIX)'!C$1,'HR Rep'!$A$1:$X$1,0),0),""),""))</f>
        <v/>
      </c>
      <c r="D119" s="140" t="str">
        <f>IF(IFERROR(_xlfn.IFNA(VLOOKUP($A119,'HR Rep'!$A:$X,MATCH('1) For HR (FIX)'!D$1,'HR Rep'!$A$1:$X$1,0),0),""),"")="","",IFERROR(_xlfn.IFNA(VLOOKUP($A119,'HR Rep'!$A:$X,MATCH('1) For HR (FIX)'!D$1,'HR Rep'!$A$1:$X$1,0),0),""),""))</f>
        <v/>
      </c>
      <c r="E119" s="140" t="str">
        <f>IF(IFERROR(_xlfn.IFNA(VLOOKUP($A119,'HR Rep'!$A:$X,MATCH('1) For HR (FIX)'!E$1,'HR Rep'!$A$1:$X$1,0),0),""),"")="","",IFERROR(_xlfn.IFNA(VLOOKUP($A119,'HR Rep'!$A:$X,MATCH('1) For HR (FIX)'!E$1,'HR Rep'!$A$1:$X$1,0),0),""),""))</f>
        <v/>
      </c>
      <c r="F119" s="140" t="str">
        <f>IF(IFERROR(_xlfn.IFNA(VLOOKUP($A119,'HR Rep'!$A:$X,MATCH('1) For HR (FIX)'!F$1,'HR Rep'!$A$1:$X$1,0),0),""),"")="","",IFERROR(_xlfn.IFNA(VLOOKUP($A119,'HR Rep'!$A:$X,MATCH('1) For HR (FIX)'!F$1,'HR Rep'!$A$1:$X$1,0),0),""),""))</f>
        <v/>
      </c>
      <c r="G119" s="196"/>
      <c r="H119" s="140" t="str">
        <f>IF(IFERROR(_xlfn.IFNA(VLOOKUP($A119,'HR Rep'!$A:$X,MATCH('1) For HR (FIX)'!H$1,'HR Rep'!$A$1:$X$1,0),0),""),"")="","",IFERROR(_xlfn.IFNA(VLOOKUP($A119,'HR Rep'!$A:$X,MATCH('1) For HR (FIX)'!H$1,'HR Rep'!$A$1:$X$1,0),0),""),""))</f>
        <v/>
      </c>
      <c r="I119" s="140" t="str">
        <f>IF(IFERROR(_xlfn.IFNA(VLOOKUP($A119,'HR Rep'!$A:$X,MATCH('1) For HR (FIX)'!I$1,'HR Rep'!$A$1:$X$1,0),0),""),"")="","",IFERROR(_xlfn.IFNA(VLOOKUP($A119,'HR Rep'!$A:$X,MATCH('1) For HR (FIX)'!I$1,'HR Rep'!$A$1:$X$1,0),0),""),""))</f>
        <v/>
      </c>
      <c r="J119" s="140" t="str">
        <f>IF(IFERROR(_xlfn.IFNA(VLOOKUP($A119,'HR Rep'!$A:$X,MATCH('1) For HR (FIX)'!J$1,'HR Rep'!$A$1:$X$1,0),0),""),"")="","",IFERROR(_xlfn.IFNA(VLOOKUP($A119,'HR Rep'!$A:$X,MATCH('1) For HR (FIX)'!J$1,'HR Rep'!$A$1:$X$1,0),0),""),""))</f>
        <v/>
      </c>
      <c r="K119" s="161">
        <f>_xlfn.XLOOKUP(G119,ค่าตอบแทนการขายในอัตราคงที่!A:A,ค่าตอบแทนการขายในอัตราคงที่!B:B)</f>
        <v>0</v>
      </c>
      <c r="L119" s="174">
        <f>Period!$A$2</f>
        <v>46113</v>
      </c>
      <c r="M119" s="175">
        <f>Period!$C$2</f>
        <v>46143</v>
      </c>
      <c r="N119" s="194" t="s">
        <v>279</v>
      </c>
    </row>
    <row r="120" spans="1:14" ht="11.4" x14ac:dyDescent="0.25">
      <c r="A120" s="137"/>
      <c r="B120" s="169" t="e">
        <f>IF(IF(VLOOKUP(A120,ASTBase!F:P,11,FALSE)="","",VLOOKUP(A120,ASTBase!F:P,11,FALSE))=0,"",IF(VLOOKUP(A120,ASTBase!F:P,11,FALSE)="","",VLOOKUP(A120,ASTBase!F:P,11,FALSE)))</f>
        <v>#N/A</v>
      </c>
      <c r="C120" s="140" t="str">
        <f>IF(IFERROR(_xlfn.IFNA(VLOOKUP($A120,'HR Rep'!$A:$X,MATCH('1) For HR (FIX)'!C$1,'HR Rep'!$A$1:$X$1,0),0),""),"")="","",IFERROR(_xlfn.IFNA(VLOOKUP($A120,'HR Rep'!$A:$X,MATCH('1) For HR (FIX)'!C$1,'HR Rep'!$A$1:$X$1,0),0),""),""))</f>
        <v/>
      </c>
      <c r="D120" s="140" t="str">
        <f>IF(IFERROR(_xlfn.IFNA(VLOOKUP($A120,'HR Rep'!$A:$X,MATCH('1) For HR (FIX)'!D$1,'HR Rep'!$A$1:$X$1,0),0),""),"")="","",IFERROR(_xlfn.IFNA(VLOOKUP($A120,'HR Rep'!$A:$X,MATCH('1) For HR (FIX)'!D$1,'HR Rep'!$A$1:$X$1,0),0),""),""))</f>
        <v/>
      </c>
      <c r="E120" s="140" t="str">
        <f>IF(IFERROR(_xlfn.IFNA(VLOOKUP($A120,'HR Rep'!$A:$X,MATCH('1) For HR (FIX)'!E$1,'HR Rep'!$A$1:$X$1,0),0),""),"")="","",IFERROR(_xlfn.IFNA(VLOOKUP($A120,'HR Rep'!$A:$X,MATCH('1) For HR (FIX)'!E$1,'HR Rep'!$A$1:$X$1,0),0),""),""))</f>
        <v/>
      </c>
      <c r="F120" s="140" t="str">
        <f>IF(IFERROR(_xlfn.IFNA(VLOOKUP($A120,'HR Rep'!$A:$X,MATCH('1) For HR (FIX)'!F$1,'HR Rep'!$A$1:$X$1,0),0),""),"")="","",IFERROR(_xlfn.IFNA(VLOOKUP($A120,'HR Rep'!$A:$X,MATCH('1) For HR (FIX)'!F$1,'HR Rep'!$A$1:$X$1,0),0),""),""))</f>
        <v/>
      </c>
      <c r="G120" s="196"/>
      <c r="H120" s="140" t="str">
        <f>IF(IFERROR(_xlfn.IFNA(VLOOKUP($A120,'HR Rep'!$A:$X,MATCH('1) For HR (FIX)'!H$1,'HR Rep'!$A$1:$X$1,0),0),""),"")="","",IFERROR(_xlfn.IFNA(VLOOKUP($A120,'HR Rep'!$A:$X,MATCH('1) For HR (FIX)'!H$1,'HR Rep'!$A$1:$X$1,0),0),""),""))</f>
        <v/>
      </c>
      <c r="I120" s="140" t="str">
        <f>IF(IFERROR(_xlfn.IFNA(VLOOKUP($A120,'HR Rep'!$A:$X,MATCH('1) For HR (FIX)'!I$1,'HR Rep'!$A$1:$X$1,0),0),""),"")="","",IFERROR(_xlfn.IFNA(VLOOKUP($A120,'HR Rep'!$A:$X,MATCH('1) For HR (FIX)'!I$1,'HR Rep'!$A$1:$X$1,0),0),""),""))</f>
        <v/>
      </c>
      <c r="J120" s="140" t="str">
        <f>IF(IFERROR(_xlfn.IFNA(VLOOKUP($A120,'HR Rep'!$A:$X,MATCH('1) For HR (FIX)'!J$1,'HR Rep'!$A$1:$X$1,0),0),""),"")="","",IFERROR(_xlfn.IFNA(VLOOKUP($A120,'HR Rep'!$A:$X,MATCH('1) For HR (FIX)'!J$1,'HR Rep'!$A$1:$X$1,0),0),""),""))</f>
        <v/>
      </c>
      <c r="K120" s="161">
        <f>_xlfn.XLOOKUP(G120,ค่าตอบแทนการขายในอัตราคงที่!A:A,ค่าตอบแทนการขายในอัตราคงที่!B:B)</f>
        <v>0</v>
      </c>
      <c r="L120" s="174">
        <f>Period!$A$2</f>
        <v>46113</v>
      </c>
      <c r="M120" s="175">
        <f>Period!$C$2</f>
        <v>46143</v>
      </c>
      <c r="N120" s="194" t="s">
        <v>279</v>
      </c>
    </row>
    <row r="121" spans="1:14" ht="11.4" x14ac:dyDescent="0.25">
      <c r="A121" s="137"/>
      <c r="B121" s="169" t="e">
        <f>IF(IF(VLOOKUP(A121,ASTBase!F:P,11,FALSE)="","",VLOOKUP(A121,ASTBase!F:P,11,FALSE))=0,"",IF(VLOOKUP(A121,ASTBase!F:P,11,FALSE)="","",VLOOKUP(A121,ASTBase!F:P,11,FALSE)))</f>
        <v>#N/A</v>
      </c>
      <c r="C121" s="140" t="str">
        <f>IF(IFERROR(_xlfn.IFNA(VLOOKUP($A121,'HR Rep'!$A:$X,MATCH('1) For HR (FIX)'!C$1,'HR Rep'!$A$1:$X$1,0),0),""),"")="","",IFERROR(_xlfn.IFNA(VLOOKUP($A121,'HR Rep'!$A:$X,MATCH('1) For HR (FIX)'!C$1,'HR Rep'!$A$1:$X$1,0),0),""),""))</f>
        <v/>
      </c>
      <c r="D121" s="140" t="str">
        <f>IF(IFERROR(_xlfn.IFNA(VLOOKUP($A121,'HR Rep'!$A:$X,MATCH('1) For HR (FIX)'!D$1,'HR Rep'!$A$1:$X$1,0),0),""),"")="","",IFERROR(_xlfn.IFNA(VLOOKUP($A121,'HR Rep'!$A:$X,MATCH('1) For HR (FIX)'!D$1,'HR Rep'!$A$1:$X$1,0),0),""),""))</f>
        <v/>
      </c>
      <c r="E121" s="140" t="str">
        <f>IF(IFERROR(_xlfn.IFNA(VLOOKUP($A121,'HR Rep'!$A:$X,MATCH('1) For HR (FIX)'!E$1,'HR Rep'!$A$1:$X$1,0),0),""),"")="","",IFERROR(_xlfn.IFNA(VLOOKUP($A121,'HR Rep'!$A:$X,MATCH('1) For HR (FIX)'!E$1,'HR Rep'!$A$1:$X$1,0),0),""),""))</f>
        <v/>
      </c>
      <c r="F121" s="140" t="str">
        <f>IF(IFERROR(_xlfn.IFNA(VLOOKUP($A121,'HR Rep'!$A:$X,MATCH('1) For HR (FIX)'!F$1,'HR Rep'!$A$1:$X$1,0),0),""),"")="","",IFERROR(_xlfn.IFNA(VLOOKUP($A121,'HR Rep'!$A:$X,MATCH('1) For HR (FIX)'!F$1,'HR Rep'!$A$1:$X$1,0),0),""),""))</f>
        <v/>
      </c>
      <c r="G121" s="196"/>
      <c r="H121" s="140" t="str">
        <f>IF(IFERROR(_xlfn.IFNA(VLOOKUP($A121,'HR Rep'!$A:$X,MATCH('1) For HR (FIX)'!H$1,'HR Rep'!$A$1:$X$1,0),0),""),"")="","",IFERROR(_xlfn.IFNA(VLOOKUP($A121,'HR Rep'!$A:$X,MATCH('1) For HR (FIX)'!H$1,'HR Rep'!$A$1:$X$1,0),0),""),""))</f>
        <v/>
      </c>
      <c r="I121" s="140" t="str">
        <f>IF(IFERROR(_xlfn.IFNA(VLOOKUP($A121,'HR Rep'!$A:$X,MATCH('1) For HR (FIX)'!I$1,'HR Rep'!$A$1:$X$1,0),0),""),"")="","",IFERROR(_xlfn.IFNA(VLOOKUP($A121,'HR Rep'!$A:$X,MATCH('1) For HR (FIX)'!I$1,'HR Rep'!$A$1:$X$1,0),0),""),""))</f>
        <v/>
      </c>
      <c r="J121" s="140" t="str">
        <f>IF(IFERROR(_xlfn.IFNA(VLOOKUP($A121,'HR Rep'!$A:$X,MATCH('1) For HR (FIX)'!J$1,'HR Rep'!$A$1:$X$1,0),0),""),"")="","",IFERROR(_xlfn.IFNA(VLOOKUP($A121,'HR Rep'!$A:$X,MATCH('1) For HR (FIX)'!J$1,'HR Rep'!$A$1:$X$1,0),0),""),""))</f>
        <v/>
      </c>
      <c r="K121" s="161">
        <f>_xlfn.XLOOKUP(G121,ค่าตอบแทนการขายในอัตราคงที่!A:A,ค่าตอบแทนการขายในอัตราคงที่!B:B)</f>
        <v>0</v>
      </c>
      <c r="L121" s="174">
        <f>Period!$A$2</f>
        <v>46113</v>
      </c>
      <c r="M121" s="175">
        <f>Period!$C$2</f>
        <v>46143</v>
      </c>
      <c r="N121" s="194" t="s">
        <v>279</v>
      </c>
    </row>
    <row r="122" spans="1:14" ht="11.4" x14ac:dyDescent="0.25">
      <c r="A122" s="137"/>
      <c r="B122" s="169" t="e">
        <f>IF(IF(VLOOKUP(A122,ASTBase!F:P,11,FALSE)="","",VLOOKUP(A122,ASTBase!F:P,11,FALSE))=0,"",IF(VLOOKUP(A122,ASTBase!F:P,11,FALSE)="","",VLOOKUP(A122,ASTBase!F:P,11,FALSE)))</f>
        <v>#N/A</v>
      </c>
      <c r="C122" s="140" t="str">
        <f>IF(IFERROR(_xlfn.IFNA(VLOOKUP($A122,'HR Rep'!$A:$X,MATCH('1) For HR (FIX)'!C$1,'HR Rep'!$A$1:$X$1,0),0),""),"")="","",IFERROR(_xlfn.IFNA(VLOOKUP($A122,'HR Rep'!$A:$X,MATCH('1) For HR (FIX)'!C$1,'HR Rep'!$A$1:$X$1,0),0),""),""))</f>
        <v/>
      </c>
      <c r="D122" s="140" t="str">
        <f>IF(IFERROR(_xlfn.IFNA(VLOOKUP($A122,'HR Rep'!$A:$X,MATCH('1) For HR (FIX)'!D$1,'HR Rep'!$A$1:$X$1,0),0),""),"")="","",IFERROR(_xlfn.IFNA(VLOOKUP($A122,'HR Rep'!$A:$X,MATCH('1) For HR (FIX)'!D$1,'HR Rep'!$A$1:$X$1,0),0),""),""))</f>
        <v/>
      </c>
      <c r="E122" s="140" t="str">
        <f>IF(IFERROR(_xlfn.IFNA(VLOOKUP($A122,'HR Rep'!$A:$X,MATCH('1) For HR (FIX)'!E$1,'HR Rep'!$A$1:$X$1,0),0),""),"")="","",IFERROR(_xlfn.IFNA(VLOOKUP($A122,'HR Rep'!$A:$X,MATCH('1) For HR (FIX)'!E$1,'HR Rep'!$A$1:$X$1,0),0),""),""))</f>
        <v/>
      </c>
      <c r="F122" s="140" t="str">
        <f>IF(IFERROR(_xlfn.IFNA(VLOOKUP($A122,'HR Rep'!$A:$X,MATCH('1) For HR (FIX)'!F$1,'HR Rep'!$A$1:$X$1,0),0),""),"")="","",IFERROR(_xlfn.IFNA(VLOOKUP($A122,'HR Rep'!$A:$X,MATCH('1) For HR (FIX)'!F$1,'HR Rep'!$A$1:$X$1,0),0),""),""))</f>
        <v/>
      </c>
      <c r="G122" s="196"/>
      <c r="H122" s="140" t="str">
        <f>IF(IFERROR(_xlfn.IFNA(VLOOKUP($A122,'HR Rep'!$A:$X,MATCH('1) For HR (FIX)'!H$1,'HR Rep'!$A$1:$X$1,0),0),""),"")="","",IFERROR(_xlfn.IFNA(VLOOKUP($A122,'HR Rep'!$A:$X,MATCH('1) For HR (FIX)'!H$1,'HR Rep'!$A$1:$X$1,0),0),""),""))</f>
        <v/>
      </c>
      <c r="I122" s="140" t="str">
        <f>IF(IFERROR(_xlfn.IFNA(VLOOKUP($A122,'HR Rep'!$A:$X,MATCH('1) For HR (FIX)'!I$1,'HR Rep'!$A$1:$X$1,0),0),""),"")="","",IFERROR(_xlfn.IFNA(VLOOKUP($A122,'HR Rep'!$A:$X,MATCH('1) For HR (FIX)'!I$1,'HR Rep'!$A$1:$X$1,0),0),""),""))</f>
        <v/>
      </c>
      <c r="J122" s="140" t="str">
        <f>IF(IFERROR(_xlfn.IFNA(VLOOKUP($A122,'HR Rep'!$A:$X,MATCH('1) For HR (FIX)'!J$1,'HR Rep'!$A$1:$X$1,0),0),""),"")="","",IFERROR(_xlfn.IFNA(VLOOKUP($A122,'HR Rep'!$A:$X,MATCH('1) For HR (FIX)'!J$1,'HR Rep'!$A$1:$X$1,0),0),""),""))</f>
        <v/>
      </c>
      <c r="K122" s="161">
        <f>_xlfn.XLOOKUP(G122,ค่าตอบแทนการขายในอัตราคงที่!A:A,ค่าตอบแทนการขายในอัตราคงที่!B:B)</f>
        <v>0</v>
      </c>
      <c r="L122" s="174">
        <f>Period!$A$2</f>
        <v>46113</v>
      </c>
      <c r="M122" s="175">
        <f>Period!$C$2</f>
        <v>46143</v>
      </c>
      <c r="N122" s="194" t="s">
        <v>279</v>
      </c>
    </row>
    <row r="123" spans="1:14" ht="11.4" x14ac:dyDescent="0.25">
      <c r="A123" s="137"/>
      <c r="B123" s="169" t="e">
        <f>IF(IF(VLOOKUP(A123,ASTBase!F:P,11,FALSE)="","",VLOOKUP(A123,ASTBase!F:P,11,FALSE))=0,"",IF(VLOOKUP(A123,ASTBase!F:P,11,FALSE)="","",VLOOKUP(A123,ASTBase!F:P,11,FALSE)))</f>
        <v>#N/A</v>
      </c>
      <c r="C123" s="140" t="str">
        <f>IF(IFERROR(_xlfn.IFNA(VLOOKUP($A123,'HR Rep'!$A:$X,MATCH('1) For HR (FIX)'!C$1,'HR Rep'!$A$1:$X$1,0),0),""),"")="","",IFERROR(_xlfn.IFNA(VLOOKUP($A123,'HR Rep'!$A:$X,MATCH('1) For HR (FIX)'!C$1,'HR Rep'!$A$1:$X$1,0),0),""),""))</f>
        <v/>
      </c>
      <c r="D123" s="140" t="str">
        <f>IF(IFERROR(_xlfn.IFNA(VLOOKUP($A123,'HR Rep'!$A:$X,MATCH('1) For HR (FIX)'!D$1,'HR Rep'!$A$1:$X$1,0),0),""),"")="","",IFERROR(_xlfn.IFNA(VLOOKUP($A123,'HR Rep'!$A:$X,MATCH('1) For HR (FIX)'!D$1,'HR Rep'!$A$1:$X$1,0),0),""),""))</f>
        <v/>
      </c>
      <c r="E123" s="140" t="str">
        <f>IF(IFERROR(_xlfn.IFNA(VLOOKUP($A123,'HR Rep'!$A:$X,MATCH('1) For HR (FIX)'!E$1,'HR Rep'!$A$1:$X$1,0),0),""),"")="","",IFERROR(_xlfn.IFNA(VLOOKUP($A123,'HR Rep'!$A:$X,MATCH('1) For HR (FIX)'!E$1,'HR Rep'!$A$1:$X$1,0),0),""),""))</f>
        <v/>
      </c>
      <c r="F123" s="140" t="str">
        <f>IF(IFERROR(_xlfn.IFNA(VLOOKUP($A123,'HR Rep'!$A:$X,MATCH('1) For HR (FIX)'!F$1,'HR Rep'!$A$1:$X$1,0),0),""),"")="","",IFERROR(_xlfn.IFNA(VLOOKUP($A123,'HR Rep'!$A:$X,MATCH('1) For HR (FIX)'!F$1,'HR Rep'!$A$1:$X$1,0),0),""),""))</f>
        <v/>
      </c>
      <c r="G123" s="196"/>
      <c r="H123" s="140" t="str">
        <f>IF(IFERROR(_xlfn.IFNA(VLOOKUP($A123,'HR Rep'!$A:$X,MATCH('1) For HR (FIX)'!H$1,'HR Rep'!$A$1:$X$1,0),0),""),"")="","",IFERROR(_xlfn.IFNA(VLOOKUP($A123,'HR Rep'!$A:$X,MATCH('1) For HR (FIX)'!H$1,'HR Rep'!$A$1:$X$1,0),0),""),""))</f>
        <v/>
      </c>
      <c r="I123" s="140" t="str">
        <f>IF(IFERROR(_xlfn.IFNA(VLOOKUP($A123,'HR Rep'!$A:$X,MATCH('1) For HR (FIX)'!I$1,'HR Rep'!$A$1:$X$1,0),0),""),"")="","",IFERROR(_xlfn.IFNA(VLOOKUP($A123,'HR Rep'!$A:$X,MATCH('1) For HR (FIX)'!I$1,'HR Rep'!$A$1:$X$1,0),0),""),""))</f>
        <v/>
      </c>
      <c r="J123" s="140" t="str">
        <f>IF(IFERROR(_xlfn.IFNA(VLOOKUP($A123,'HR Rep'!$A:$X,MATCH('1) For HR (FIX)'!J$1,'HR Rep'!$A$1:$X$1,0),0),""),"")="","",IFERROR(_xlfn.IFNA(VLOOKUP($A123,'HR Rep'!$A:$X,MATCH('1) For HR (FIX)'!J$1,'HR Rep'!$A$1:$X$1,0),0),""),""))</f>
        <v/>
      </c>
      <c r="K123" s="161">
        <f>_xlfn.XLOOKUP(G123,ค่าตอบแทนการขายในอัตราคงที่!A:A,ค่าตอบแทนการขายในอัตราคงที่!B:B)</f>
        <v>0</v>
      </c>
      <c r="L123" s="174">
        <f>Period!$A$2</f>
        <v>46113</v>
      </c>
      <c r="M123" s="175">
        <f>Period!$C$2</f>
        <v>46143</v>
      </c>
      <c r="N123" s="194" t="s">
        <v>279</v>
      </c>
    </row>
    <row r="124" spans="1:14" ht="11.4" x14ac:dyDescent="0.25">
      <c r="A124" s="137"/>
      <c r="B124" s="169" t="e">
        <f>IF(IF(VLOOKUP(A124,ASTBase!F:P,11,FALSE)="","",VLOOKUP(A124,ASTBase!F:P,11,FALSE))=0,"",IF(VLOOKUP(A124,ASTBase!F:P,11,FALSE)="","",VLOOKUP(A124,ASTBase!F:P,11,FALSE)))</f>
        <v>#N/A</v>
      </c>
      <c r="C124" s="140" t="str">
        <f>IF(IFERROR(_xlfn.IFNA(VLOOKUP($A124,'HR Rep'!$A:$X,MATCH('1) For HR (FIX)'!C$1,'HR Rep'!$A$1:$X$1,0),0),""),"")="","",IFERROR(_xlfn.IFNA(VLOOKUP($A124,'HR Rep'!$A:$X,MATCH('1) For HR (FIX)'!C$1,'HR Rep'!$A$1:$X$1,0),0),""),""))</f>
        <v/>
      </c>
      <c r="D124" s="140" t="str">
        <f>IF(IFERROR(_xlfn.IFNA(VLOOKUP($A124,'HR Rep'!$A:$X,MATCH('1) For HR (FIX)'!D$1,'HR Rep'!$A$1:$X$1,0),0),""),"")="","",IFERROR(_xlfn.IFNA(VLOOKUP($A124,'HR Rep'!$A:$X,MATCH('1) For HR (FIX)'!D$1,'HR Rep'!$A$1:$X$1,0),0),""),""))</f>
        <v/>
      </c>
      <c r="E124" s="140" t="str">
        <f>IF(IFERROR(_xlfn.IFNA(VLOOKUP($A124,'HR Rep'!$A:$X,MATCH('1) For HR (FIX)'!E$1,'HR Rep'!$A$1:$X$1,0),0),""),"")="","",IFERROR(_xlfn.IFNA(VLOOKUP($A124,'HR Rep'!$A:$X,MATCH('1) For HR (FIX)'!E$1,'HR Rep'!$A$1:$X$1,0),0),""),""))</f>
        <v/>
      </c>
      <c r="F124" s="140" t="str">
        <f>IF(IFERROR(_xlfn.IFNA(VLOOKUP($A124,'HR Rep'!$A:$X,MATCH('1) For HR (FIX)'!F$1,'HR Rep'!$A$1:$X$1,0),0),""),"")="","",IFERROR(_xlfn.IFNA(VLOOKUP($A124,'HR Rep'!$A:$X,MATCH('1) For HR (FIX)'!F$1,'HR Rep'!$A$1:$X$1,0),0),""),""))</f>
        <v/>
      </c>
      <c r="G124" s="196"/>
      <c r="H124" s="140" t="str">
        <f>IF(IFERROR(_xlfn.IFNA(VLOOKUP($A124,'HR Rep'!$A:$X,MATCH('1) For HR (FIX)'!H$1,'HR Rep'!$A$1:$X$1,0),0),""),"")="","",IFERROR(_xlfn.IFNA(VLOOKUP($A124,'HR Rep'!$A:$X,MATCH('1) For HR (FIX)'!H$1,'HR Rep'!$A$1:$X$1,0),0),""),""))</f>
        <v/>
      </c>
      <c r="I124" s="140" t="str">
        <f>IF(IFERROR(_xlfn.IFNA(VLOOKUP($A124,'HR Rep'!$A:$X,MATCH('1) For HR (FIX)'!I$1,'HR Rep'!$A$1:$X$1,0),0),""),"")="","",IFERROR(_xlfn.IFNA(VLOOKUP($A124,'HR Rep'!$A:$X,MATCH('1) For HR (FIX)'!I$1,'HR Rep'!$A$1:$X$1,0),0),""),""))</f>
        <v/>
      </c>
      <c r="J124" s="140" t="str">
        <f>IF(IFERROR(_xlfn.IFNA(VLOOKUP($A124,'HR Rep'!$A:$X,MATCH('1) For HR (FIX)'!J$1,'HR Rep'!$A$1:$X$1,0),0),""),"")="","",IFERROR(_xlfn.IFNA(VLOOKUP($A124,'HR Rep'!$A:$X,MATCH('1) For HR (FIX)'!J$1,'HR Rep'!$A$1:$X$1,0),0),""),""))</f>
        <v/>
      </c>
      <c r="K124" s="161">
        <f>_xlfn.XLOOKUP(G124,ค่าตอบแทนการขายในอัตราคงที่!A:A,ค่าตอบแทนการขายในอัตราคงที่!B:B)</f>
        <v>0</v>
      </c>
      <c r="L124" s="174">
        <f>Period!$A$2</f>
        <v>46113</v>
      </c>
      <c r="M124" s="175">
        <f>Period!$C$2</f>
        <v>46143</v>
      </c>
      <c r="N124" s="194" t="s">
        <v>279</v>
      </c>
    </row>
    <row r="125" spans="1:14" ht="11.4" x14ac:dyDescent="0.25">
      <c r="A125" s="138"/>
      <c r="B125" s="169" t="e">
        <f>IF(IF(VLOOKUP(A125,ASTBase!F:P,11,FALSE)="","",VLOOKUP(A125,ASTBase!F:P,11,FALSE))=0,"",IF(VLOOKUP(A125,ASTBase!F:P,11,FALSE)="","",VLOOKUP(A125,ASTBase!F:P,11,FALSE)))</f>
        <v>#N/A</v>
      </c>
      <c r="C125" s="140" t="str">
        <f>IF(IFERROR(_xlfn.IFNA(VLOOKUP($A125,'HR Rep'!$A:$X,MATCH('1) For HR (FIX)'!C$1,'HR Rep'!$A$1:$X$1,0),0),""),"")="","",IFERROR(_xlfn.IFNA(VLOOKUP($A125,'HR Rep'!$A:$X,MATCH('1) For HR (FIX)'!C$1,'HR Rep'!$A$1:$X$1,0),0),""),""))</f>
        <v/>
      </c>
      <c r="D125" s="140" t="str">
        <f>IF(IFERROR(_xlfn.IFNA(VLOOKUP($A125,'HR Rep'!$A:$X,MATCH('1) For HR (FIX)'!D$1,'HR Rep'!$A$1:$X$1,0),0),""),"")="","",IFERROR(_xlfn.IFNA(VLOOKUP($A125,'HR Rep'!$A:$X,MATCH('1) For HR (FIX)'!D$1,'HR Rep'!$A$1:$X$1,0),0),""),""))</f>
        <v/>
      </c>
      <c r="E125" s="140" t="str">
        <f>IF(IFERROR(_xlfn.IFNA(VLOOKUP($A125,'HR Rep'!$A:$X,MATCH('1) For HR (FIX)'!E$1,'HR Rep'!$A$1:$X$1,0),0),""),"")="","",IFERROR(_xlfn.IFNA(VLOOKUP($A125,'HR Rep'!$A:$X,MATCH('1) For HR (FIX)'!E$1,'HR Rep'!$A$1:$X$1,0),0),""),""))</f>
        <v/>
      </c>
      <c r="F125" s="140" t="str">
        <f>IF(IFERROR(_xlfn.IFNA(VLOOKUP($A125,'HR Rep'!$A:$X,MATCH('1) For HR (FIX)'!F$1,'HR Rep'!$A$1:$X$1,0),0),""),"")="","",IFERROR(_xlfn.IFNA(VLOOKUP($A125,'HR Rep'!$A:$X,MATCH('1) For HR (FIX)'!F$1,'HR Rep'!$A$1:$X$1,0),0),""),""))</f>
        <v/>
      </c>
      <c r="G125" s="196"/>
      <c r="H125" s="140" t="str">
        <f>IF(IFERROR(_xlfn.IFNA(VLOOKUP($A125,'HR Rep'!$A:$X,MATCH('1) For HR (FIX)'!H$1,'HR Rep'!$A$1:$X$1,0),0),""),"")="","",IFERROR(_xlfn.IFNA(VLOOKUP($A125,'HR Rep'!$A:$X,MATCH('1) For HR (FIX)'!H$1,'HR Rep'!$A$1:$X$1,0),0),""),""))</f>
        <v/>
      </c>
      <c r="I125" s="140" t="str">
        <f>IF(IFERROR(_xlfn.IFNA(VLOOKUP($A125,'HR Rep'!$A:$X,MATCH('1) For HR (FIX)'!I$1,'HR Rep'!$A$1:$X$1,0),0),""),"")="","",IFERROR(_xlfn.IFNA(VLOOKUP($A125,'HR Rep'!$A:$X,MATCH('1) For HR (FIX)'!I$1,'HR Rep'!$A$1:$X$1,0),0),""),""))</f>
        <v/>
      </c>
      <c r="J125" s="140" t="str">
        <f>IF(IFERROR(_xlfn.IFNA(VLOOKUP($A125,'HR Rep'!$A:$X,MATCH('1) For HR (FIX)'!J$1,'HR Rep'!$A$1:$X$1,0),0),""),"")="","",IFERROR(_xlfn.IFNA(VLOOKUP($A125,'HR Rep'!$A:$X,MATCH('1) For HR (FIX)'!J$1,'HR Rep'!$A$1:$X$1,0),0),""),""))</f>
        <v/>
      </c>
      <c r="K125" s="161">
        <f>_xlfn.XLOOKUP(G125,ค่าตอบแทนการขายในอัตราคงที่!A:A,ค่าตอบแทนการขายในอัตราคงที่!B:B)</f>
        <v>0</v>
      </c>
      <c r="L125" s="174">
        <f>Period!$A$2</f>
        <v>46113</v>
      </c>
      <c r="M125" s="175">
        <f>Period!$C$2</f>
        <v>46143</v>
      </c>
      <c r="N125" s="194" t="s">
        <v>279</v>
      </c>
    </row>
    <row r="126" spans="1:14" ht="11.4" x14ac:dyDescent="0.25">
      <c r="A126" s="138"/>
      <c r="B126" s="169" t="e">
        <f>IF(IF(VLOOKUP(A126,ASTBase!F:P,11,FALSE)="","",VLOOKUP(A126,ASTBase!F:P,11,FALSE))=0,"",IF(VLOOKUP(A126,ASTBase!F:P,11,FALSE)="","",VLOOKUP(A126,ASTBase!F:P,11,FALSE)))</f>
        <v>#N/A</v>
      </c>
      <c r="C126" s="140" t="str">
        <f>IF(IFERROR(_xlfn.IFNA(VLOOKUP($A126,'HR Rep'!$A:$X,MATCH('1) For HR (FIX)'!C$1,'HR Rep'!$A$1:$X$1,0),0),""),"")="","",IFERROR(_xlfn.IFNA(VLOOKUP($A126,'HR Rep'!$A:$X,MATCH('1) For HR (FIX)'!C$1,'HR Rep'!$A$1:$X$1,0),0),""),""))</f>
        <v/>
      </c>
      <c r="D126" s="140" t="str">
        <f>IF(IFERROR(_xlfn.IFNA(VLOOKUP($A126,'HR Rep'!$A:$X,MATCH('1) For HR (FIX)'!D$1,'HR Rep'!$A$1:$X$1,0),0),""),"")="","",IFERROR(_xlfn.IFNA(VLOOKUP($A126,'HR Rep'!$A:$X,MATCH('1) For HR (FIX)'!D$1,'HR Rep'!$A$1:$X$1,0),0),""),""))</f>
        <v/>
      </c>
      <c r="E126" s="140" t="str">
        <f>IF(IFERROR(_xlfn.IFNA(VLOOKUP($A126,'HR Rep'!$A:$X,MATCH('1) For HR (FIX)'!E$1,'HR Rep'!$A$1:$X$1,0),0),""),"")="","",IFERROR(_xlfn.IFNA(VLOOKUP($A126,'HR Rep'!$A:$X,MATCH('1) For HR (FIX)'!E$1,'HR Rep'!$A$1:$X$1,0),0),""),""))</f>
        <v/>
      </c>
      <c r="F126" s="140" t="str">
        <f>IF(IFERROR(_xlfn.IFNA(VLOOKUP($A126,'HR Rep'!$A:$X,MATCH('1) For HR (FIX)'!F$1,'HR Rep'!$A$1:$X$1,0),0),""),"")="","",IFERROR(_xlfn.IFNA(VLOOKUP($A126,'HR Rep'!$A:$X,MATCH('1) For HR (FIX)'!F$1,'HR Rep'!$A$1:$X$1,0),0),""),""))</f>
        <v/>
      </c>
      <c r="G126" s="196"/>
      <c r="H126" s="140" t="str">
        <f>IF(IFERROR(_xlfn.IFNA(VLOOKUP($A126,'HR Rep'!$A:$X,MATCH('1) For HR (FIX)'!H$1,'HR Rep'!$A$1:$X$1,0),0),""),"")="","",IFERROR(_xlfn.IFNA(VLOOKUP($A126,'HR Rep'!$A:$X,MATCH('1) For HR (FIX)'!H$1,'HR Rep'!$A$1:$X$1,0),0),""),""))</f>
        <v/>
      </c>
      <c r="I126" s="140" t="str">
        <f>IF(IFERROR(_xlfn.IFNA(VLOOKUP($A126,'HR Rep'!$A:$X,MATCH('1) For HR (FIX)'!I$1,'HR Rep'!$A$1:$X$1,0),0),""),"")="","",IFERROR(_xlfn.IFNA(VLOOKUP($A126,'HR Rep'!$A:$X,MATCH('1) For HR (FIX)'!I$1,'HR Rep'!$A$1:$X$1,0),0),""),""))</f>
        <v/>
      </c>
      <c r="J126" s="140" t="str">
        <f>IF(IFERROR(_xlfn.IFNA(VLOOKUP($A126,'HR Rep'!$A:$X,MATCH('1) For HR (FIX)'!J$1,'HR Rep'!$A$1:$X$1,0),0),""),"")="","",IFERROR(_xlfn.IFNA(VLOOKUP($A126,'HR Rep'!$A:$X,MATCH('1) For HR (FIX)'!J$1,'HR Rep'!$A$1:$X$1,0),0),""),""))</f>
        <v/>
      </c>
      <c r="K126" s="161">
        <f>_xlfn.XLOOKUP(G126,ค่าตอบแทนการขายในอัตราคงที่!A:A,ค่าตอบแทนการขายในอัตราคงที่!B:B)</f>
        <v>0</v>
      </c>
      <c r="L126" s="174">
        <f>Period!$A$2</f>
        <v>46113</v>
      </c>
      <c r="M126" s="175">
        <f>Period!$C$2</f>
        <v>46143</v>
      </c>
      <c r="N126" s="194" t="s">
        <v>279</v>
      </c>
    </row>
    <row r="127" spans="1:14" ht="11.4" x14ac:dyDescent="0.25">
      <c r="A127" s="137"/>
      <c r="B127" s="169" t="e">
        <f>IF(IF(VLOOKUP(A127,ASTBase!F:P,11,FALSE)="","",VLOOKUP(A127,ASTBase!F:P,11,FALSE))=0,"",IF(VLOOKUP(A127,ASTBase!F:P,11,FALSE)="","",VLOOKUP(A127,ASTBase!F:P,11,FALSE)))</f>
        <v>#N/A</v>
      </c>
      <c r="C127" s="140" t="str">
        <f>IF(IFERROR(_xlfn.IFNA(VLOOKUP($A127,'HR Rep'!$A:$X,MATCH('1) For HR (FIX)'!C$1,'HR Rep'!$A$1:$X$1,0),0),""),"")="","",IFERROR(_xlfn.IFNA(VLOOKUP($A127,'HR Rep'!$A:$X,MATCH('1) For HR (FIX)'!C$1,'HR Rep'!$A$1:$X$1,0),0),""),""))</f>
        <v/>
      </c>
      <c r="D127" s="140" t="str">
        <f>IF(IFERROR(_xlfn.IFNA(VLOOKUP($A127,'HR Rep'!$A:$X,MATCH('1) For HR (FIX)'!D$1,'HR Rep'!$A$1:$X$1,0),0),""),"")="","",IFERROR(_xlfn.IFNA(VLOOKUP($A127,'HR Rep'!$A:$X,MATCH('1) For HR (FIX)'!D$1,'HR Rep'!$A$1:$X$1,0),0),""),""))</f>
        <v/>
      </c>
      <c r="E127" s="140" t="str">
        <f>IF(IFERROR(_xlfn.IFNA(VLOOKUP($A127,'HR Rep'!$A:$X,MATCH('1) For HR (FIX)'!E$1,'HR Rep'!$A$1:$X$1,0),0),""),"")="","",IFERROR(_xlfn.IFNA(VLOOKUP($A127,'HR Rep'!$A:$X,MATCH('1) For HR (FIX)'!E$1,'HR Rep'!$A$1:$X$1,0),0),""),""))</f>
        <v/>
      </c>
      <c r="F127" s="140" t="str">
        <f>IF(IFERROR(_xlfn.IFNA(VLOOKUP($A127,'HR Rep'!$A:$X,MATCH('1) For HR (FIX)'!F$1,'HR Rep'!$A$1:$X$1,0),0),""),"")="","",IFERROR(_xlfn.IFNA(VLOOKUP($A127,'HR Rep'!$A:$X,MATCH('1) For HR (FIX)'!F$1,'HR Rep'!$A$1:$X$1,0),0),""),""))</f>
        <v/>
      </c>
      <c r="G127" s="196"/>
      <c r="H127" s="140" t="str">
        <f>IF(IFERROR(_xlfn.IFNA(VLOOKUP($A127,'HR Rep'!$A:$X,MATCH('1) For HR (FIX)'!H$1,'HR Rep'!$A$1:$X$1,0),0),""),"")="","",IFERROR(_xlfn.IFNA(VLOOKUP($A127,'HR Rep'!$A:$X,MATCH('1) For HR (FIX)'!H$1,'HR Rep'!$A$1:$X$1,0),0),""),""))</f>
        <v/>
      </c>
      <c r="I127" s="140" t="str">
        <f>IF(IFERROR(_xlfn.IFNA(VLOOKUP($A127,'HR Rep'!$A:$X,MATCH('1) For HR (FIX)'!I$1,'HR Rep'!$A$1:$X$1,0),0),""),"")="","",IFERROR(_xlfn.IFNA(VLOOKUP($A127,'HR Rep'!$A:$X,MATCH('1) For HR (FIX)'!I$1,'HR Rep'!$A$1:$X$1,0),0),""),""))</f>
        <v/>
      </c>
      <c r="J127" s="140" t="str">
        <f>IF(IFERROR(_xlfn.IFNA(VLOOKUP($A127,'HR Rep'!$A:$X,MATCH('1) For HR (FIX)'!J$1,'HR Rep'!$A$1:$X$1,0),0),""),"")="","",IFERROR(_xlfn.IFNA(VLOOKUP($A127,'HR Rep'!$A:$X,MATCH('1) For HR (FIX)'!J$1,'HR Rep'!$A$1:$X$1,0),0),""),""))</f>
        <v/>
      </c>
      <c r="K127" s="161">
        <f>_xlfn.XLOOKUP(G127,ค่าตอบแทนการขายในอัตราคงที่!A:A,ค่าตอบแทนการขายในอัตราคงที่!B:B)</f>
        <v>0</v>
      </c>
      <c r="L127" s="174">
        <f>Period!$A$2</f>
        <v>46113</v>
      </c>
      <c r="M127" s="175">
        <f>Period!$C$2</f>
        <v>46143</v>
      </c>
      <c r="N127" s="194" t="s">
        <v>279</v>
      </c>
    </row>
    <row r="128" spans="1:14" ht="11.4" x14ac:dyDescent="0.25">
      <c r="A128" s="137"/>
      <c r="B128" s="169" t="e">
        <f>IF(IF(VLOOKUP(A128,ASTBase!F:P,11,FALSE)="","",VLOOKUP(A128,ASTBase!F:P,11,FALSE))=0,"",IF(VLOOKUP(A128,ASTBase!F:P,11,FALSE)="","",VLOOKUP(A128,ASTBase!F:P,11,FALSE)))</f>
        <v>#N/A</v>
      </c>
      <c r="C128" s="140" t="str">
        <f>IF(IFERROR(_xlfn.IFNA(VLOOKUP($A128,'HR Rep'!$A:$X,MATCH('1) For HR (FIX)'!C$1,'HR Rep'!$A$1:$X$1,0),0),""),"")="","",IFERROR(_xlfn.IFNA(VLOOKUP($A128,'HR Rep'!$A:$X,MATCH('1) For HR (FIX)'!C$1,'HR Rep'!$A$1:$X$1,0),0),""),""))</f>
        <v/>
      </c>
      <c r="D128" s="140" t="str">
        <f>IF(IFERROR(_xlfn.IFNA(VLOOKUP($A128,'HR Rep'!$A:$X,MATCH('1) For HR (FIX)'!D$1,'HR Rep'!$A$1:$X$1,0),0),""),"")="","",IFERROR(_xlfn.IFNA(VLOOKUP($A128,'HR Rep'!$A:$X,MATCH('1) For HR (FIX)'!D$1,'HR Rep'!$A$1:$X$1,0),0),""),""))</f>
        <v/>
      </c>
      <c r="E128" s="140" t="str">
        <f>IF(IFERROR(_xlfn.IFNA(VLOOKUP($A128,'HR Rep'!$A:$X,MATCH('1) For HR (FIX)'!E$1,'HR Rep'!$A$1:$X$1,0),0),""),"")="","",IFERROR(_xlfn.IFNA(VLOOKUP($A128,'HR Rep'!$A:$X,MATCH('1) For HR (FIX)'!E$1,'HR Rep'!$A$1:$X$1,0),0),""),""))</f>
        <v/>
      </c>
      <c r="F128" s="140" t="str">
        <f>IF(IFERROR(_xlfn.IFNA(VLOOKUP($A128,'HR Rep'!$A:$X,MATCH('1) For HR (FIX)'!F$1,'HR Rep'!$A$1:$X$1,0),0),""),"")="","",IFERROR(_xlfn.IFNA(VLOOKUP($A128,'HR Rep'!$A:$X,MATCH('1) For HR (FIX)'!F$1,'HR Rep'!$A$1:$X$1,0),0),""),""))</f>
        <v/>
      </c>
      <c r="G128" s="196"/>
      <c r="H128" s="140" t="str">
        <f>IF(IFERROR(_xlfn.IFNA(VLOOKUP($A128,'HR Rep'!$A:$X,MATCH('1) For HR (FIX)'!H$1,'HR Rep'!$A$1:$X$1,0),0),""),"")="","",IFERROR(_xlfn.IFNA(VLOOKUP($A128,'HR Rep'!$A:$X,MATCH('1) For HR (FIX)'!H$1,'HR Rep'!$A$1:$X$1,0),0),""),""))</f>
        <v/>
      </c>
      <c r="I128" s="140" t="str">
        <f>IF(IFERROR(_xlfn.IFNA(VLOOKUP($A128,'HR Rep'!$A:$X,MATCH('1) For HR (FIX)'!I$1,'HR Rep'!$A$1:$X$1,0),0),""),"")="","",IFERROR(_xlfn.IFNA(VLOOKUP($A128,'HR Rep'!$A:$X,MATCH('1) For HR (FIX)'!I$1,'HR Rep'!$A$1:$X$1,0),0),""),""))</f>
        <v/>
      </c>
      <c r="J128" s="140" t="str">
        <f>IF(IFERROR(_xlfn.IFNA(VLOOKUP($A128,'HR Rep'!$A:$X,MATCH('1) For HR (FIX)'!J$1,'HR Rep'!$A$1:$X$1,0),0),""),"")="","",IFERROR(_xlfn.IFNA(VLOOKUP($A128,'HR Rep'!$A:$X,MATCH('1) For HR (FIX)'!J$1,'HR Rep'!$A$1:$X$1,0),0),""),""))</f>
        <v/>
      </c>
      <c r="K128" s="161">
        <f>_xlfn.XLOOKUP(G128,ค่าตอบแทนการขายในอัตราคงที่!A:A,ค่าตอบแทนการขายในอัตราคงที่!B:B)</f>
        <v>0</v>
      </c>
      <c r="L128" s="174">
        <f>Period!$A$2</f>
        <v>46113</v>
      </c>
      <c r="M128" s="175">
        <f>Period!$C$2</f>
        <v>46143</v>
      </c>
      <c r="N128" s="194" t="s">
        <v>279</v>
      </c>
    </row>
    <row r="129" spans="1:14" ht="11.4" x14ac:dyDescent="0.25">
      <c r="A129" s="137"/>
      <c r="B129" s="169" t="e">
        <f>IF(IF(VLOOKUP(A129,ASTBase!F:P,11,FALSE)="","",VLOOKUP(A129,ASTBase!F:P,11,FALSE))=0,"",IF(VLOOKUP(A129,ASTBase!F:P,11,FALSE)="","",VLOOKUP(A129,ASTBase!F:P,11,FALSE)))</f>
        <v>#N/A</v>
      </c>
      <c r="C129" s="140" t="str">
        <f>IF(IFERROR(_xlfn.IFNA(VLOOKUP($A129,'HR Rep'!$A:$X,MATCH('1) For HR (FIX)'!C$1,'HR Rep'!$A$1:$X$1,0),0),""),"")="","",IFERROR(_xlfn.IFNA(VLOOKUP($A129,'HR Rep'!$A:$X,MATCH('1) For HR (FIX)'!C$1,'HR Rep'!$A$1:$X$1,0),0),""),""))</f>
        <v/>
      </c>
      <c r="D129" s="140" t="str">
        <f>IF(IFERROR(_xlfn.IFNA(VLOOKUP($A129,'HR Rep'!$A:$X,MATCH('1) For HR (FIX)'!D$1,'HR Rep'!$A$1:$X$1,0),0),""),"")="","",IFERROR(_xlfn.IFNA(VLOOKUP($A129,'HR Rep'!$A:$X,MATCH('1) For HR (FIX)'!D$1,'HR Rep'!$A$1:$X$1,0),0),""),""))</f>
        <v/>
      </c>
      <c r="E129" s="140" t="str">
        <f>IF(IFERROR(_xlfn.IFNA(VLOOKUP($A129,'HR Rep'!$A:$X,MATCH('1) For HR (FIX)'!E$1,'HR Rep'!$A$1:$X$1,0),0),""),"")="","",IFERROR(_xlfn.IFNA(VLOOKUP($A129,'HR Rep'!$A:$X,MATCH('1) For HR (FIX)'!E$1,'HR Rep'!$A$1:$X$1,0),0),""),""))</f>
        <v/>
      </c>
      <c r="F129" s="140" t="str">
        <f>IF(IFERROR(_xlfn.IFNA(VLOOKUP($A129,'HR Rep'!$A:$X,MATCH('1) For HR (FIX)'!F$1,'HR Rep'!$A$1:$X$1,0),0),""),"")="","",IFERROR(_xlfn.IFNA(VLOOKUP($A129,'HR Rep'!$A:$X,MATCH('1) For HR (FIX)'!F$1,'HR Rep'!$A$1:$X$1,0),0),""),""))</f>
        <v/>
      </c>
      <c r="G129" s="196"/>
      <c r="H129" s="140" t="str">
        <f>IF(IFERROR(_xlfn.IFNA(VLOOKUP($A129,'HR Rep'!$A:$X,MATCH('1) For HR (FIX)'!H$1,'HR Rep'!$A$1:$X$1,0),0),""),"")="","",IFERROR(_xlfn.IFNA(VLOOKUP($A129,'HR Rep'!$A:$X,MATCH('1) For HR (FIX)'!H$1,'HR Rep'!$A$1:$X$1,0),0),""),""))</f>
        <v/>
      </c>
      <c r="I129" s="140" t="str">
        <f>IF(IFERROR(_xlfn.IFNA(VLOOKUP($A129,'HR Rep'!$A:$X,MATCH('1) For HR (FIX)'!I$1,'HR Rep'!$A$1:$X$1,0),0),""),"")="","",IFERROR(_xlfn.IFNA(VLOOKUP($A129,'HR Rep'!$A:$X,MATCH('1) For HR (FIX)'!I$1,'HR Rep'!$A$1:$X$1,0),0),""),""))</f>
        <v/>
      </c>
      <c r="J129" s="140" t="str">
        <f>IF(IFERROR(_xlfn.IFNA(VLOOKUP($A129,'HR Rep'!$A:$X,MATCH('1) For HR (FIX)'!J$1,'HR Rep'!$A$1:$X$1,0),0),""),"")="","",IFERROR(_xlfn.IFNA(VLOOKUP($A129,'HR Rep'!$A:$X,MATCH('1) For HR (FIX)'!J$1,'HR Rep'!$A$1:$X$1,0),0),""),""))</f>
        <v/>
      </c>
      <c r="K129" s="161">
        <f>_xlfn.XLOOKUP(G129,ค่าตอบแทนการขายในอัตราคงที่!A:A,ค่าตอบแทนการขายในอัตราคงที่!B:B)</f>
        <v>0</v>
      </c>
      <c r="L129" s="174">
        <f>Period!$A$2</f>
        <v>46113</v>
      </c>
      <c r="M129" s="175">
        <f>Period!$C$2</f>
        <v>46143</v>
      </c>
      <c r="N129" s="194" t="s">
        <v>279</v>
      </c>
    </row>
    <row r="130" spans="1:14" ht="11.4" x14ac:dyDescent="0.25">
      <c r="A130" s="137"/>
      <c r="B130" s="169" t="e">
        <f>IF(IF(VLOOKUP(A130,ASTBase!F:P,11,FALSE)="","",VLOOKUP(A130,ASTBase!F:P,11,FALSE))=0,"",IF(VLOOKUP(A130,ASTBase!F:P,11,FALSE)="","",VLOOKUP(A130,ASTBase!F:P,11,FALSE)))</f>
        <v>#N/A</v>
      </c>
      <c r="C130" s="140" t="str">
        <f>IF(IFERROR(_xlfn.IFNA(VLOOKUP($A130,'HR Rep'!$A:$X,MATCH('1) For HR (FIX)'!C$1,'HR Rep'!$A$1:$X$1,0),0),""),"")="","",IFERROR(_xlfn.IFNA(VLOOKUP($A130,'HR Rep'!$A:$X,MATCH('1) For HR (FIX)'!C$1,'HR Rep'!$A$1:$X$1,0),0),""),""))</f>
        <v/>
      </c>
      <c r="D130" s="140" t="str">
        <f>IF(IFERROR(_xlfn.IFNA(VLOOKUP($A130,'HR Rep'!$A:$X,MATCH('1) For HR (FIX)'!D$1,'HR Rep'!$A$1:$X$1,0),0),""),"")="","",IFERROR(_xlfn.IFNA(VLOOKUP($A130,'HR Rep'!$A:$X,MATCH('1) For HR (FIX)'!D$1,'HR Rep'!$A$1:$X$1,0),0),""),""))</f>
        <v/>
      </c>
      <c r="E130" s="140" t="str">
        <f>IF(IFERROR(_xlfn.IFNA(VLOOKUP($A130,'HR Rep'!$A:$X,MATCH('1) For HR (FIX)'!E$1,'HR Rep'!$A$1:$X$1,0),0),""),"")="","",IFERROR(_xlfn.IFNA(VLOOKUP($A130,'HR Rep'!$A:$X,MATCH('1) For HR (FIX)'!E$1,'HR Rep'!$A$1:$X$1,0),0),""),""))</f>
        <v/>
      </c>
      <c r="F130" s="140" t="str">
        <f>IF(IFERROR(_xlfn.IFNA(VLOOKUP($A130,'HR Rep'!$A:$X,MATCH('1) For HR (FIX)'!F$1,'HR Rep'!$A$1:$X$1,0),0),""),"")="","",IFERROR(_xlfn.IFNA(VLOOKUP($A130,'HR Rep'!$A:$X,MATCH('1) For HR (FIX)'!F$1,'HR Rep'!$A$1:$X$1,0),0),""),""))</f>
        <v/>
      </c>
      <c r="G130" s="196"/>
      <c r="H130" s="140" t="str">
        <f>IF(IFERROR(_xlfn.IFNA(VLOOKUP($A130,'HR Rep'!$A:$X,MATCH('1) For HR (FIX)'!H$1,'HR Rep'!$A$1:$X$1,0),0),""),"")="","",IFERROR(_xlfn.IFNA(VLOOKUP($A130,'HR Rep'!$A:$X,MATCH('1) For HR (FIX)'!H$1,'HR Rep'!$A$1:$X$1,0),0),""),""))</f>
        <v/>
      </c>
      <c r="I130" s="140" t="str">
        <f>IF(IFERROR(_xlfn.IFNA(VLOOKUP($A130,'HR Rep'!$A:$X,MATCH('1) For HR (FIX)'!I$1,'HR Rep'!$A$1:$X$1,0),0),""),"")="","",IFERROR(_xlfn.IFNA(VLOOKUP($A130,'HR Rep'!$A:$X,MATCH('1) For HR (FIX)'!I$1,'HR Rep'!$A$1:$X$1,0),0),""),""))</f>
        <v/>
      </c>
      <c r="J130" s="140" t="str">
        <f>IF(IFERROR(_xlfn.IFNA(VLOOKUP($A130,'HR Rep'!$A:$X,MATCH('1) For HR (FIX)'!J$1,'HR Rep'!$A$1:$X$1,0),0),""),"")="","",IFERROR(_xlfn.IFNA(VLOOKUP($A130,'HR Rep'!$A:$X,MATCH('1) For HR (FIX)'!J$1,'HR Rep'!$A$1:$X$1,0),0),""),""))</f>
        <v/>
      </c>
      <c r="K130" s="161">
        <f>_xlfn.XLOOKUP(G130,ค่าตอบแทนการขายในอัตราคงที่!A:A,ค่าตอบแทนการขายในอัตราคงที่!B:B)</f>
        <v>0</v>
      </c>
      <c r="L130" s="174">
        <f>Period!$A$2</f>
        <v>46113</v>
      </c>
      <c r="M130" s="175">
        <f>Period!$C$2</f>
        <v>46143</v>
      </c>
      <c r="N130" s="194" t="s">
        <v>279</v>
      </c>
    </row>
    <row r="131" spans="1:14" ht="11.4" x14ac:dyDescent="0.25">
      <c r="A131" s="137"/>
      <c r="B131" s="169" t="e">
        <f>IF(IF(VLOOKUP(A131,ASTBase!F:P,11,FALSE)="","",VLOOKUP(A131,ASTBase!F:P,11,FALSE))=0,"",IF(VLOOKUP(A131,ASTBase!F:P,11,FALSE)="","",VLOOKUP(A131,ASTBase!F:P,11,FALSE)))</f>
        <v>#N/A</v>
      </c>
      <c r="C131" s="140" t="str">
        <f>IF(IFERROR(_xlfn.IFNA(VLOOKUP($A131,'HR Rep'!$A:$X,MATCH('1) For HR (FIX)'!C$1,'HR Rep'!$A$1:$X$1,0),0),""),"")="","",IFERROR(_xlfn.IFNA(VLOOKUP($A131,'HR Rep'!$A:$X,MATCH('1) For HR (FIX)'!C$1,'HR Rep'!$A$1:$X$1,0),0),""),""))</f>
        <v/>
      </c>
      <c r="D131" s="140" t="str">
        <f>IF(IFERROR(_xlfn.IFNA(VLOOKUP($A131,'HR Rep'!$A:$X,MATCH('1) For HR (FIX)'!D$1,'HR Rep'!$A$1:$X$1,0),0),""),"")="","",IFERROR(_xlfn.IFNA(VLOOKUP($A131,'HR Rep'!$A:$X,MATCH('1) For HR (FIX)'!D$1,'HR Rep'!$A$1:$X$1,0),0),""),""))</f>
        <v/>
      </c>
      <c r="E131" s="140" t="str">
        <f>IF(IFERROR(_xlfn.IFNA(VLOOKUP($A131,'HR Rep'!$A:$X,MATCH('1) For HR (FIX)'!E$1,'HR Rep'!$A$1:$X$1,0),0),""),"")="","",IFERROR(_xlfn.IFNA(VLOOKUP($A131,'HR Rep'!$A:$X,MATCH('1) For HR (FIX)'!E$1,'HR Rep'!$A$1:$X$1,0),0),""),""))</f>
        <v/>
      </c>
      <c r="F131" s="140" t="str">
        <f>IF(IFERROR(_xlfn.IFNA(VLOOKUP($A131,'HR Rep'!$A:$X,MATCH('1) For HR (FIX)'!F$1,'HR Rep'!$A$1:$X$1,0),0),""),"")="","",IFERROR(_xlfn.IFNA(VLOOKUP($A131,'HR Rep'!$A:$X,MATCH('1) For HR (FIX)'!F$1,'HR Rep'!$A$1:$X$1,0),0),""),""))</f>
        <v/>
      </c>
      <c r="G131" s="196"/>
      <c r="H131" s="140" t="str">
        <f>IF(IFERROR(_xlfn.IFNA(VLOOKUP($A131,'HR Rep'!$A:$X,MATCH('1) For HR (FIX)'!H$1,'HR Rep'!$A$1:$X$1,0),0),""),"")="","",IFERROR(_xlfn.IFNA(VLOOKUP($A131,'HR Rep'!$A:$X,MATCH('1) For HR (FIX)'!H$1,'HR Rep'!$A$1:$X$1,0),0),""),""))</f>
        <v/>
      </c>
      <c r="I131" s="140" t="str">
        <f>IF(IFERROR(_xlfn.IFNA(VLOOKUP($A131,'HR Rep'!$A:$X,MATCH('1) For HR (FIX)'!I$1,'HR Rep'!$A$1:$X$1,0),0),""),"")="","",IFERROR(_xlfn.IFNA(VLOOKUP($A131,'HR Rep'!$A:$X,MATCH('1) For HR (FIX)'!I$1,'HR Rep'!$A$1:$X$1,0),0),""),""))</f>
        <v/>
      </c>
      <c r="J131" s="140" t="str">
        <f>IF(IFERROR(_xlfn.IFNA(VLOOKUP($A131,'HR Rep'!$A:$X,MATCH('1) For HR (FIX)'!J$1,'HR Rep'!$A$1:$X$1,0),0),""),"")="","",IFERROR(_xlfn.IFNA(VLOOKUP($A131,'HR Rep'!$A:$X,MATCH('1) For HR (FIX)'!J$1,'HR Rep'!$A$1:$X$1,0),0),""),""))</f>
        <v/>
      </c>
      <c r="K131" s="161">
        <f>_xlfn.XLOOKUP(G131,ค่าตอบแทนการขายในอัตราคงที่!A:A,ค่าตอบแทนการขายในอัตราคงที่!B:B)</f>
        <v>0</v>
      </c>
      <c r="L131" s="174">
        <f>Period!$A$2</f>
        <v>46113</v>
      </c>
      <c r="M131" s="175">
        <f>Period!$C$2</f>
        <v>46143</v>
      </c>
      <c r="N131" s="194" t="s">
        <v>279</v>
      </c>
    </row>
    <row r="132" spans="1:14" ht="11.4" x14ac:dyDescent="0.25">
      <c r="A132" s="137"/>
      <c r="B132" s="169" t="e">
        <f>IF(IF(VLOOKUP(A132,ASTBase!F:P,11,FALSE)="","",VLOOKUP(A132,ASTBase!F:P,11,FALSE))=0,"",IF(VLOOKUP(A132,ASTBase!F:P,11,FALSE)="","",VLOOKUP(A132,ASTBase!F:P,11,FALSE)))</f>
        <v>#N/A</v>
      </c>
      <c r="C132" s="140" t="str">
        <f>IF(IFERROR(_xlfn.IFNA(VLOOKUP($A132,'HR Rep'!$A:$X,MATCH('1) For HR (FIX)'!C$1,'HR Rep'!$A$1:$X$1,0),0),""),"")="","",IFERROR(_xlfn.IFNA(VLOOKUP($A132,'HR Rep'!$A:$X,MATCH('1) For HR (FIX)'!C$1,'HR Rep'!$A$1:$X$1,0),0),""),""))</f>
        <v/>
      </c>
      <c r="D132" s="140" t="str">
        <f>IF(IFERROR(_xlfn.IFNA(VLOOKUP($A132,'HR Rep'!$A:$X,MATCH('1) For HR (FIX)'!D$1,'HR Rep'!$A$1:$X$1,0),0),""),"")="","",IFERROR(_xlfn.IFNA(VLOOKUP($A132,'HR Rep'!$A:$X,MATCH('1) For HR (FIX)'!D$1,'HR Rep'!$A$1:$X$1,0),0),""),""))</f>
        <v/>
      </c>
      <c r="E132" s="140" t="str">
        <f>IF(IFERROR(_xlfn.IFNA(VLOOKUP($A132,'HR Rep'!$A:$X,MATCH('1) For HR (FIX)'!E$1,'HR Rep'!$A$1:$X$1,0),0),""),"")="","",IFERROR(_xlfn.IFNA(VLOOKUP($A132,'HR Rep'!$A:$X,MATCH('1) For HR (FIX)'!E$1,'HR Rep'!$A$1:$X$1,0),0),""),""))</f>
        <v/>
      </c>
      <c r="F132" s="140" t="str">
        <f>IF(IFERROR(_xlfn.IFNA(VLOOKUP($A132,'HR Rep'!$A:$X,MATCH('1) For HR (FIX)'!F$1,'HR Rep'!$A$1:$X$1,0),0),""),"")="","",IFERROR(_xlfn.IFNA(VLOOKUP($A132,'HR Rep'!$A:$X,MATCH('1) For HR (FIX)'!F$1,'HR Rep'!$A$1:$X$1,0),0),""),""))</f>
        <v/>
      </c>
      <c r="G132" s="196"/>
      <c r="H132" s="140" t="str">
        <f>IF(IFERROR(_xlfn.IFNA(VLOOKUP($A132,'HR Rep'!$A:$X,MATCH('1) For HR (FIX)'!H$1,'HR Rep'!$A$1:$X$1,0),0),""),"")="","",IFERROR(_xlfn.IFNA(VLOOKUP($A132,'HR Rep'!$A:$X,MATCH('1) For HR (FIX)'!H$1,'HR Rep'!$A$1:$X$1,0),0),""),""))</f>
        <v/>
      </c>
      <c r="I132" s="140" t="str">
        <f>IF(IFERROR(_xlfn.IFNA(VLOOKUP($A132,'HR Rep'!$A:$X,MATCH('1) For HR (FIX)'!I$1,'HR Rep'!$A$1:$X$1,0),0),""),"")="","",IFERROR(_xlfn.IFNA(VLOOKUP($A132,'HR Rep'!$A:$X,MATCH('1) For HR (FIX)'!I$1,'HR Rep'!$A$1:$X$1,0),0),""),""))</f>
        <v/>
      </c>
      <c r="J132" s="140" t="str">
        <f>IF(IFERROR(_xlfn.IFNA(VLOOKUP($A132,'HR Rep'!$A:$X,MATCH('1) For HR (FIX)'!J$1,'HR Rep'!$A$1:$X$1,0),0),""),"")="","",IFERROR(_xlfn.IFNA(VLOOKUP($A132,'HR Rep'!$A:$X,MATCH('1) For HR (FIX)'!J$1,'HR Rep'!$A$1:$X$1,0),0),""),""))</f>
        <v/>
      </c>
      <c r="K132" s="161">
        <f>_xlfn.XLOOKUP(G132,ค่าตอบแทนการขายในอัตราคงที่!A:A,ค่าตอบแทนการขายในอัตราคงที่!B:B)</f>
        <v>0</v>
      </c>
      <c r="L132" s="174">
        <f>Period!$A$2</f>
        <v>46113</v>
      </c>
      <c r="M132" s="175">
        <f>Period!$C$2</f>
        <v>46143</v>
      </c>
      <c r="N132" s="194" t="s">
        <v>279</v>
      </c>
    </row>
    <row r="133" spans="1:14" ht="11.4" x14ac:dyDescent="0.25">
      <c r="A133" s="137"/>
      <c r="B133" s="169" t="e">
        <f>IF(IF(VLOOKUP(A133,ASTBase!F:P,11,FALSE)="","",VLOOKUP(A133,ASTBase!F:P,11,FALSE))=0,"",IF(VLOOKUP(A133,ASTBase!F:P,11,FALSE)="","",VLOOKUP(A133,ASTBase!F:P,11,FALSE)))</f>
        <v>#N/A</v>
      </c>
      <c r="C133" s="140" t="str">
        <f>IF(IFERROR(_xlfn.IFNA(VLOOKUP($A133,'HR Rep'!$A:$X,MATCH('1) For HR (FIX)'!C$1,'HR Rep'!$A$1:$X$1,0),0),""),"")="","",IFERROR(_xlfn.IFNA(VLOOKUP($A133,'HR Rep'!$A:$X,MATCH('1) For HR (FIX)'!C$1,'HR Rep'!$A$1:$X$1,0),0),""),""))</f>
        <v/>
      </c>
      <c r="D133" s="140" t="str">
        <f>IF(IFERROR(_xlfn.IFNA(VLOOKUP($A133,'HR Rep'!$A:$X,MATCH('1) For HR (FIX)'!D$1,'HR Rep'!$A$1:$X$1,0),0),""),"")="","",IFERROR(_xlfn.IFNA(VLOOKUP($A133,'HR Rep'!$A:$X,MATCH('1) For HR (FIX)'!D$1,'HR Rep'!$A$1:$X$1,0),0),""),""))</f>
        <v/>
      </c>
      <c r="E133" s="140" t="str">
        <f>IF(IFERROR(_xlfn.IFNA(VLOOKUP($A133,'HR Rep'!$A:$X,MATCH('1) For HR (FIX)'!E$1,'HR Rep'!$A$1:$X$1,0),0),""),"")="","",IFERROR(_xlfn.IFNA(VLOOKUP($A133,'HR Rep'!$A:$X,MATCH('1) For HR (FIX)'!E$1,'HR Rep'!$A$1:$X$1,0),0),""),""))</f>
        <v/>
      </c>
      <c r="F133" s="140" t="str">
        <f>IF(IFERROR(_xlfn.IFNA(VLOOKUP($A133,'HR Rep'!$A:$X,MATCH('1) For HR (FIX)'!F$1,'HR Rep'!$A$1:$X$1,0),0),""),"")="","",IFERROR(_xlfn.IFNA(VLOOKUP($A133,'HR Rep'!$A:$X,MATCH('1) For HR (FIX)'!F$1,'HR Rep'!$A$1:$X$1,0),0),""),""))</f>
        <v/>
      </c>
      <c r="G133" s="196"/>
      <c r="H133" s="140" t="str">
        <f>IF(IFERROR(_xlfn.IFNA(VLOOKUP($A133,'HR Rep'!$A:$X,MATCH('1) For HR (FIX)'!H$1,'HR Rep'!$A$1:$X$1,0),0),""),"")="","",IFERROR(_xlfn.IFNA(VLOOKUP($A133,'HR Rep'!$A:$X,MATCH('1) For HR (FIX)'!H$1,'HR Rep'!$A$1:$X$1,0),0),""),""))</f>
        <v/>
      </c>
      <c r="I133" s="140" t="str">
        <f>IF(IFERROR(_xlfn.IFNA(VLOOKUP($A133,'HR Rep'!$A:$X,MATCH('1) For HR (FIX)'!I$1,'HR Rep'!$A$1:$X$1,0),0),""),"")="","",IFERROR(_xlfn.IFNA(VLOOKUP($A133,'HR Rep'!$A:$X,MATCH('1) For HR (FIX)'!I$1,'HR Rep'!$A$1:$X$1,0),0),""),""))</f>
        <v/>
      </c>
      <c r="J133" s="140" t="str">
        <f>IF(IFERROR(_xlfn.IFNA(VLOOKUP($A133,'HR Rep'!$A:$X,MATCH('1) For HR (FIX)'!J$1,'HR Rep'!$A$1:$X$1,0),0),""),"")="","",IFERROR(_xlfn.IFNA(VLOOKUP($A133,'HR Rep'!$A:$X,MATCH('1) For HR (FIX)'!J$1,'HR Rep'!$A$1:$X$1,0),0),""),""))</f>
        <v/>
      </c>
      <c r="K133" s="161">
        <f>_xlfn.XLOOKUP(G133,ค่าตอบแทนการขายในอัตราคงที่!A:A,ค่าตอบแทนการขายในอัตราคงที่!B:B)</f>
        <v>0</v>
      </c>
      <c r="L133" s="174">
        <f>Period!$A$2</f>
        <v>46113</v>
      </c>
      <c r="M133" s="175">
        <f>Period!$C$2</f>
        <v>46143</v>
      </c>
      <c r="N133" s="194" t="s">
        <v>279</v>
      </c>
    </row>
    <row r="134" spans="1:14" ht="11.4" x14ac:dyDescent="0.25">
      <c r="A134" s="137"/>
      <c r="B134" s="169" t="e">
        <f>IF(IF(VLOOKUP(A134,ASTBase!F:P,11,FALSE)="","",VLOOKUP(A134,ASTBase!F:P,11,FALSE))=0,"",IF(VLOOKUP(A134,ASTBase!F:P,11,FALSE)="","",VLOOKUP(A134,ASTBase!F:P,11,FALSE)))</f>
        <v>#N/A</v>
      </c>
      <c r="C134" s="140" t="str">
        <f>IF(IFERROR(_xlfn.IFNA(VLOOKUP($A134,'HR Rep'!$A:$X,MATCH('1) For HR (FIX)'!C$1,'HR Rep'!$A$1:$X$1,0),0),""),"")="","",IFERROR(_xlfn.IFNA(VLOOKUP($A134,'HR Rep'!$A:$X,MATCH('1) For HR (FIX)'!C$1,'HR Rep'!$A$1:$X$1,0),0),""),""))</f>
        <v/>
      </c>
      <c r="D134" s="140" t="str">
        <f>IF(IFERROR(_xlfn.IFNA(VLOOKUP($A134,'HR Rep'!$A:$X,MATCH('1) For HR (FIX)'!D$1,'HR Rep'!$A$1:$X$1,0),0),""),"")="","",IFERROR(_xlfn.IFNA(VLOOKUP($A134,'HR Rep'!$A:$X,MATCH('1) For HR (FIX)'!D$1,'HR Rep'!$A$1:$X$1,0),0),""),""))</f>
        <v/>
      </c>
      <c r="E134" s="140" t="str">
        <f>IF(IFERROR(_xlfn.IFNA(VLOOKUP($A134,'HR Rep'!$A:$X,MATCH('1) For HR (FIX)'!E$1,'HR Rep'!$A$1:$X$1,0),0),""),"")="","",IFERROR(_xlfn.IFNA(VLOOKUP($A134,'HR Rep'!$A:$X,MATCH('1) For HR (FIX)'!E$1,'HR Rep'!$A$1:$X$1,0),0),""),""))</f>
        <v/>
      </c>
      <c r="F134" s="140" t="str">
        <f>IF(IFERROR(_xlfn.IFNA(VLOOKUP($A134,'HR Rep'!$A:$X,MATCH('1) For HR (FIX)'!F$1,'HR Rep'!$A$1:$X$1,0),0),""),"")="","",IFERROR(_xlfn.IFNA(VLOOKUP($A134,'HR Rep'!$A:$X,MATCH('1) For HR (FIX)'!F$1,'HR Rep'!$A$1:$X$1,0),0),""),""))</f>
        <v/>
      </c>
      <c r="G134" s="196"/>
      <c r="H134" s="140" t="str">
        <f>IF(IFERROR(_xlfn.IFNA(VLOOKUP($A134,'HR Rep'!$A:$X,MATCH('1) For HR (FIX)'!H$1,'HR Rep'!$A$1:$X$1,0),0),""),"")="","",IFERROR(_xlfn.IFNA(VLOOKUP($A134,'HR Rep'!$A:$X,MATCH('1) For HR (FIX)'!H$1,'HR Rep'!$A$1:$X$1,0),0),""),""))</f>
        <v/>
      </c>
      <c r="I134" s="140" t="str">
        <f>IF(IFERROR(_xlfn.IFNA(VLOOKUP($A134,'HR Rep'!$A:$X,MATCH('1) For HR (FIX)'!I$1,'HR Rep'!$A$1:$X$1,0),0),""),"")="","",IFERROR(_xlfn.IFNA(VLOOKUP($A134,'HR Rep'!$A:$X,MATCH('1) For HR (FIX)'!I$1,'HR Rep'!$A$1:$X$1,0),0),""),""))</f>
        <v/>
      </c>
      <c r="J134" s="140" t="str">
        <f>IF(IFERROR(_xlfn.IFNA(VLOOKUP($A134,'HR Rep'!$A:$X,MATCH('1) For HR (FIX)'!J$1,'HR Rep'!$A$1:$X$1,0),0),""),"")="","",IFERROR(_xlfn.IFNA(VLOOKUP($A134,'HR Rep'!$A:$X,MATCH('1) For HR (FIX)'!J$1,'HR Rep'!$A$1:$X$1,0),0),""),""))</f>
        <v/>
      </c>
      <c r="K134" s="161">
        <f>_xlfn.XLOOKUP(G134,ค่าตอบแทนการขายในอัตราคงที่!A:A,ค่าตอบแทนการขายในอัตราคงที่!B:B)</f>
        <v>0</v>
      </c>
      <c r="L134" s="174">
        <f>Period!$A$2</f>
        <v>46113</v>
      </c>
      <c r="M134" s="175">
        <f>Period!$C$2</f>
        <v>46143</v>
      </c>
      <c r="N134" s="194" t="s">
        <v>279</v>
      </c>
    </row>
    <row r="135" spans="1:14" ht="11.4" x14ac:dyDescent="0.25">
      <c r="A135" s="137"/>
      <c r="B135" s="169" t="e">
        <f>IF(IF(VLOOKUP(A135,ASTBase!F:P,11,FALSE)="","",VLOOKUP(A135,ASTBase!F:P,11,FALSE))=0,"",IF(VLOOKUP(A135,ASTBase!F:P,11,FALSE)="","",VLOOKUP(A135,ASTBase!F:P,11,FALSE)))</f>
        <v>#N/A</v>
      </c>
      <c r="C135" s="140" t="str">
        <f>IF(IFERROR(_xlfn.IFNA(VLOOKUP($A135,'HR Rep'!$A:$X,MATCH('1) For HR (FIX)'!C$1,'HR Rep'!$A$1:$X$1,0),0),""),"")="","",IFERROR(_xlfn.IFNA(VLOOKUP($A135,'HR Rep'!$A:$X,MATCH('1) For HR (FIX)'!C$1,'HR Rep'!$A$1:$X$1,0),0),""),""))</f>
        <v/>
      </c>
      <c r="D135" s="140" t="str">
        <f>IF(IFERROR(_xlfn.IFNA(VLOOKUP($A135,'HR Rep'!$A:$X,MATCH('1) For HR (FIX)'!D$1,'HR Rep'!$A$1:$X$1,0),0),""),"")="","",IFERROR(_xlfn.IFNA(VLOOKUP($A135,'HR Rep'!$A:$X,MATCH('1) For HR (FIX)'!D$1,'HR Rep'!$A$1:$X$1,0),0),""),""))</f>
        <v/>
      </c>
      <c r="E135" s="140" t="str">
        <f>IF(IFERROR(_xlfn.IFNA(VLOOKUP($A135,'HR Rep'!$A:$X,MATCH('1) For HR (FIX)'!E$1,'HR Rep'!$A$1:$X$1,0),0),""),"")="","",IFERROR(_xlfn.IFNA(VLOOKUP($A135,'HR Rep'!$A:$X,MATCH('1) For HR (FIX)'!E$1,'HR Rep'!$A$1:$X$1,0),0),""),""))</f>
        <v/>
      </c>
      <c r="F135" s="140" t="str">
        <f>IF(IFERROR(_xlfn.IFNA(VLOOKUP($A135,'HR Rep'!$A:$X,MATCH('1) For HR (FIX)'!F$1,'HR Rep'!$A$1:$X$1,0),0),""),"")="","",IFERROR(_xlfn.IFNA(VLOOKUP($A135,'HR Rep'!$A:$X,MATCH('1) For HR (FIX)'!F$1,'HR Rep'!$A$1:$X$1,0),0),""),""))</f>
        <v/>
      </c>
      <c r="G135" s="196"/>
      <c r="H135" s="140" t="str">
        <f>IF(IFERROR(_xlfn.IFNA(VLOOKUP($A135,'HR Rep'!$A:$X,MATCH('1) For HR (FIX)'!H$1,'HR Rep'!$A$1:$X$1,0),0),""),"")="","",IFERROR(_xlfn.IFNA(VLOOKUP($A135,'HR Rep'!$A:$X,MATCH('1) For HR (FIX)'!H$1,'HR Rep'!$A$1:$X$1,0),0),""),""))</f>
        <v/>
      </c>
      <c r="I135" s="140" t="str">
        <f>IF(IFERROR(_xlfn.IFNA(VLOOKUP($A135,'HR Rep'!$A:$X,MATCH('1) For HR (FIX)'!I$1,'HR Rep'!$A$1:$X$1,0),0),""),"")="","",IFERROR(_xlfn.IFNA(VLOOKUP($A135,'HR Rep'!$A:$X,MATCH('1) For HR (FIX)'!I$1,'HR Rep'!$A$1:$X$1,0),0),""),""))</f>
        <v/>
      </c>
      <c r="J135" s="140" t="str">
        <f>IF(IFERROR(_xlfn.IFNA(VLOOKUP($A135,'HR Rep'!$A:$X,MATCH('1) For HR (FIX)'!J$1,'HR Rep'!$A$1:$X$1,0),0),""),"")="","",IFERROR(_xlfn.IFNA(VLOOKUP($A135,'HR Rep'!$A:$X,MATCH('1) For HR (FIX)'!J$1,'HR Rep'!$A$1:$X$1,0),0),""),""))</f>
        <v/>
      </c>
      <c r="K135" s="161">
        <f>_xlfn.XLOOKUP(G135,ค่าตอบแทนการขายในอัตราคงที่!A:A,ค่าตอบแทนการขายในอัตราคงที่!B:B)</f>
        <v>0</v>
      </c>
      <c r="L135" s="174">
        <f>Period!$A$2</f>
        <v>46113</v>
      </c>
      <c r="M135" s="175">
        <f>Period!$C$2</f>
        <v>46143</v>
      </c>
      <c r="N135" s="194" t="s">
        <v>279</v>
      </c>
    </row>
    <row r="136" spans="1:14" ht="11.4" x14ac:dyDescent="0.25">
      <c r="A136" s="137"/>
      <c r="B136" s="169" t="e">
        <f>IF(IF(VLOOKUP(A136,ASTBase!F:P,11,FALSE)="","",VLOOKUP(A136,ASTBase!F:P,11,FALSE))=0,"",IF(VLOOKUP(A136,ASTBase!F:P,11,FALSE)="","",VLOOKUP(A136,ASTBase!F:P,11,FALSE)))</f>
        <v>#N/A</v>
      </c>
      <c r="C136" s="140" t="str">
        <f>IF(IFERROR(_xlfn.IFNA(VLOOKUP($A136,'HR Rep'!$A:$X,MATCH('1) For HR (FIX)'!C$1,'HR Rep'!$A$1:$X$1,0),0),""),"")="","",IFERROR(_xlfn.IFNA(VLOOKUP($A136,'HR Rep'!$A:$X,MATCH('1) For HR (FIX)'!C$1,'HR Rep'!$A$1:$X$1,0),0),""),""))</f>
        <v/>
      </c>
      <c r="D136" s="140" t="str">
        <f>IF(IFERROR(_xlfn.IFNA(VLOOKUP($A136,'HR Rep'!$A:$X,MATCH('1) For HR (FIX)'!D$1,'HR Rep'!$A$1:$X$1,0),0),""),"")="","",IFERROR(_xlfn.IFNA(VLOOKUP($A136,'HR Rep'!$A:$X,MATCH('1) For HR (FIX)'!D$1,'HR Rep'!$A$1:$X$1,0),0),""),""))</f>
        <v/>
      </c>
      <c r="E136" s="140" t="str">
        <f>IF(IFERROR(_xlfn.IFNA(VLOOKUP($A136,'HR Rep'!$A:$X,MATCH('1) For HR (FIX)'!E$1,'HR Rep'!$A$1:$X$1,0),0),""),"")="","",IFERROR(_xlfn.IFNA(VLOOKUP($A136,'HR Rep'!$A:$X,MATCH('1) For HR (FIX)'!E$1,'HR Rep'!$A$1:$X$1,0),0),""),""))</f>
        <v/>
      </c>
      <c r="F136" s="140" t="str">
        <f>IF(IFERROR(_xlfn.IFNA(VLOOKUP($A136,'HR Rep'!$A:$X,MATCH('1) For HR (FIX)'!F$1,'HR Rep'!$A$1:$X$1,0),0),""),"")="","",IFERROR(_xlfn.IFNA(VLOOKUP($A136,'HR Rep'!$A:$X,MATCH('1) For HR (FIX)'!F$1,'HR Rep'!$A$1:$X$1,0),0),""),""))</f>
        <v/>
      </c>
      <c r="G136" s="196"/>
      <c r="H136" s="140" t="str">
        <f>IF(IFERROR(_xlfn.IFNA(VLOOKUP($A136,'HR Rep'!$A:$X,MATCH('1) For HR (FIX)'!H$1,'HR Rep'!$A$1:$X$1,0),0),""),"")="","",IFERROR(_xlfn.IFNA(VLOOKUP($A136,'HR Rep'!$A:$X,MATCH('1) For HR (FIX)'!H$1,'HR Rep'!$A$1:$X$1,0),0),""),""))</f>
        <v/>
      </c>
      <c r="I136" s="140" t="str">
        <f>IF(IFERROR(_xlfn.IFNA(VLOOKUP($A136,'HR Rep'!$A:$X,MATCH('1) For HR (FIX)'!I$1,'HR Rep'!$A$1:$X$1,0),0),""),"")="","",IFERROR(_xlfn.IFNA(VLOOKUP($A136,'HR Rep'!$A:$X,MATCH('1) For HR (FIX)'!I$1,'HR Rep'!$A$1:$X$1,0),0),""),""))</f>
        <v/>
      </c>
      <c r="J136" s="140" t="str">
        <f>IF(IFERROR(_xlfn.IFNA(VLOOKUP($A136,'HR Rep'!$A:$X,MATCH('1) For HR (FIX)'!J$1,'HR Rep'!$A$1:$X$1,0),0),""),"")="","",IFERROR(_xlfn.IFNA(VLOOKUP($A136,'HR Rep'!$A:$X,MATCH('1) For HR (FIX)'!J$1,'HR Rep'!$A$1:$X$1,0),0),""),""))</f>
        <v/>
      </c>
      <c r="K136" s="161">
        <f>_xlfn.XLOOKUP(G136,ค่าตอบแทนการขายในอัตราคงที่!A:A,ค่าตอบแทนการขายในอัตราคงที่!B:B)</f>
        <v>0</v>
      </c>
      <c r="L136" s="174">
        <f>Period!$A$2</f>
        <v>46113</v>
      </c>
      <c r="M136" s="175">
        <f>Period!$C$2</f>
        <v>46143</v>
      </c>
      <c r="N136" s="194" t="s">
        <v>279</v>
      </c>
    </row>
    <row r="137" spans="1:14" ht="11.4" x14ac:dyDescent="0.25">
      <c r="A137" s="137"/>
      <c r="B137" s="169" t="e">
        <f>IF(IF(VLOOKUP(A137,ASTBase!F:P,11,FALSE)="","",VLOOKUP(A137,ASTBase!F:P,11,FALSE))=0,"",IF(VLOOKUP(A137,ASTBase!F:P,11,FALSE)="","",VLOOKUP(A137,ASTBase!F:P,11,FALSE)))</f>
        <v>#N/A</v>
      </c>
      <c r="C137" s="140" t="str">
        <f>IF(IFERROR(_xlfn.IFNA(VLOOKUP($A137,'HR Rep'!$A:$X,MATCH('1) For HR (FIX)'!C$1,'HR Rep'!$A$1:$X$1,0),0),""),"")="","",IFERROR(_xlfn.IFNA(VLOOKUP($A137,'HR Rep'!$A:$X,MATCH('1) For HR (FIX)'!C$1,'HR Rep'!$A$1:$X$1,0),0),""),""))</f>
        <v/>
      </c>
      <c r="D137" s="140" t="str">
        <f>IF(IFERROR(_xlfn.IFNA(VLOOKUP($A137,'HR Rep'!$A:$X,MATCH('1) For HR (FIX)'!D$1,'HR Rep'!$A$1:$X$1,0),0),""),"")="","",IFERROR(_xlfn.IFNA(VLOOKUP($A137,'HR Rep'!$A:$X,MATCH('1) For HR (FIX)'!D$1,'HR Rep'!$A$1:$X$1,0),0),""),""))</f>
        <v/>
      </c>
      <c r="E137" s="140" t="str">
        <f>IF(IFERROR(_xlfn.IFNA(VLOOKUP($A137,'HR Rep'!$A:$X,MATCH('1) For HR (FIX)'!E$1,'HR Rep'!$A$1:$X$1,0),0),""),"")="","",IFERROR(_xlfn.IFNA(VLOOKUP($A137,'HR Rep'!$A:$X,MATCH('1) For HR (FIX)'!E$1,'HR Rep'!$A$1:$X$1,0),0),""),""))</f>
        <v/>
      </c>
      <c r="F137" s="140" t="str">
        <f>IF(IFERROR(_xlfn.IFNA(VLOOKUP($A137,'HR Rep'!$A:$X,MATCH('1) For HR (FIX)'!F$1,'HR Rep'!$A$1:$X$1,0),0),""),"")="","",IFERROR(_xlfn.IFNA(VLOOKUP($A137,'HR Rep'!$A:$X,MATCH('1) For HR (FIX)'!F$1,'HR Rep'!$A$1:$X$1,0),0),""),""))</f>
        <v/>
      </c>
      <c r="G137" s="196"/>
      <c r="H137" s="140" t="str">
        <f>IF(IFERROR(_xlfn.IFNA(VLOOKUP($A137,'HR Rep'!$A:$X,MATCH('1) For HR (FIX)'!H$1,'HR Rep'!$A$1:$X$1,0),0),""),"")="","",IFERROR(_xlfn.IFNA(VLOOKUP($A137,'HR Rep'!$A:$X,MATCH('1) For HR (FIX)'!H$1,'HR Rep'!$A$1:$X$1,0),0),""),""))</f>
        <v/>
      </c>
      <c r="I137" s="140" t="str">
        <f>IF(IFERROR(_xlfn.IFNA(VLOOKUP($A137,'HR Rep'!$A:$X,MATCH('1) For HR (FIX)'!I$1,'HR Rep'!$A$1:$X$1,0),0),""),"")="","",IFERROR(_xlfn.IFNA(VLOOKUP($A137,'HR Rep'!$A:$X,MATCH('1) For HR (FIX)'!I$1,'HR Rep'!$A$1:$X$1,0),0),""),""))</f>
        <v/>
      </c>
      <c r="J137" s="140" t="str">
        <f>IF(IFERROR(_xlfn.IFNA(VLOOKUP($A137,'HR Rep'!$A:$X,MATCH('1) For HR (FIX)'!J$1,'HR Rep'!$A$1:$X$1,0),0),""),"")="","",IFERROR(_xlfn.IFNA(VLOOKUP($A137,'HR Rep'!$A:$X,MATCH('1) For HR (FIX)'!J$1,'HR Rep'!$A$1:$X$1,0),0),""),""))</f>
        <v/>
      </c>
      <c r="K137" s="161">
        <f>_xlfn.XLOOKUP(G137,ค่าตอบแทนการขายในอัตราคงที่!A:A,ค่าตอบแทนการขายในอัตราคงที่!B:B)</f>
        <v>0</v>
      </c>
      <c r="L137" s="174">
        <f>Period!$A$2</f>
        <v>46113</v>
      </c>
      <c r="M137" s="175">
        <f>Period!$C$2</f>
        <v>46143</v>
      </c>
      <c r="N137" s="194" t="s">
        <v>279</v>
      </c>
    </row>
    <row r="138" spans="1:14" ht="11.4" x14ac:dyDescent="0.25">
      <c r="A138" s="137"/>
      <c r="B138" s="169" t="e">
        <f>IF(IF(VLOOKUP(A138,ASTBase!F:P,11,FALSE)="","",VLOOKUP(A138,ASTBase!F:P,11,FALSE))=0,"",IF(VLOOKUP(A138,ASTBase!F:P,11,FALSE)="","",VLOOKUP(A138,ASTBase!F:P,11,FALSE)))</f>
        <v>#N/A</v>
      </c>
      <c r="C138" s="140" t="str">
        <f>IF(IFERROR(_xlfn.IFNA(VLOOKUP($A138,'HR Rep'!$A:$X,MATCH('1) For HR (FIX)'!C$1,'HR Rep'!$A$1:$X$1,0),0),""),"")="","",IFERROR(_xlfn.IFNA(VLOOKUP($A138,'HR Rep'!$A:$X,MATCH('1) For HR (FIX)'!C$1,'HR Rep'!$A$1:$X$1,0),0),""),""))</f>
        <v/>
      </c>
      <c r="D138" s="140" t="str">
        <f>IF(IFERROR(_xlfn.IFNA(VLOOKUP($A138,'HR Rep'!$A:$X,MATCH('1) For HR (FIX)'!D$1,'HR Rep'!$A$1:$X$1,0),0),""),"")="","",IFERROR(_xlfn.IFNA(VLOOKUP($A138,'HR Rep'!$A:$X,MATCH('1) For HR (FIX)'!D$1,'HR Rep'!$A$1:$X$1,0),0),""),""))</f>
        <v/>
      </c>
      <c r="E138" s="140" t="str">
        <f>IF(IFERROR(_xlfn.IFNA(VLOOKUP($A138,'HR Rep'!$A:$X,MATCH('1) For HR (FIX)'!E$1,'HR Rep'!$A$1:$X$1,0),0),""),"")="","",IFERROR(_xlfn.IFNA(VLOOKUP($A138,'HR Rep'!$A:$X,MATCH('1) For HR (FIX)'!E$1,'HR Rep'!$A$1:$X$1,0),0),""),""))</f>
        <v/>
      </c>
      <c r="F138" s="140" t="str">
        <f>IF(IFERROR(_xlfn.IFNA(VLOOKUP($A138,'HR Rep'!$A:$X,MATCH('1) For HR (FIX)'!F$1,'HR Rep'!$A$1:$X$1,0),0),""),"")="","",IFERROR(_xlfn.IFNA(VLOOKUP($A138,'HR Rep'!$A:$X,MATCH('1) For HR (FIX)'!F$1,'HR Rep'!$A$1:$X$1,0),0),""),""))</f>
        <v/>
      </c>
      <c r="G138" s="196"/>
      <c r="H138" s="140" t="str">
        <f>IF(IFERROR(_xlfn.IFNA(VLOOKUP($A138,'HR Rep'!$A:$X,MATCH('1) For HR (FIX)'!H$1,'HR Rep'!$A$1:$X$1,0),0),""),"")="","",IFERROR(_xlfn.IFNA(VLOOKUP($A138,'HR Rep'!$A:$X,MATCH('1) For HR (FIX)'!H$1,'HR Rep'!$A$1:$X$1,0),0),""),""))</f>
        <v/>
      </c>
      <c r="I138" s="140" t="str">
        <f>IF(IFERROR(_xlfn.IFNA(VLOOKUP($A138,'HR Rep'!$A:$X,MATCH('1) For HR (FIX)'!I$1,'HR Rep'!$A$1:$X$1,0),0),""),"")="","",IFERROR(_xlfn.IFNA(VLOOKUP($A138,'HR Rep'!$A:$X,MATCH('1) For HR (FIX)'!I$1,'HR Rep'!$A$1:$X$1,0),0),""),""))</f>
        <v/>
      </c>
      <c r="J138" s="140" t="str">
        <f>IF(IFERROR(_xlfn.IFNA(VLOOKUP($A138,'HR Rep'!$A:$X,MATCH('1) For HR (FIX)'!J$1,'HR Rep'!$A$1:$X$1,0),0),""),"")="","",IFERROR(_xlfn.IFNA(VLOOKUP($A138,'HR Rep'!$A:$X,MATCH('1) For HR (FIX)'!J$1,'HR Rep'!$A$1:$X$1,0),0),""),""))</f>
        <v/>
      </c>
      <c r="K138" s="161">
        <f>_xlfn.XLOOKUP(G138,ค่าตอบแทนการขายในอัตราคงที่!A:A,ค่าตอบแทนการขายในอัตราคงที่!B:B)</f>
        <v>0</v>
      </c>
      <c r="L138" s="174">
        <f>Period!$A$2</f>
        <v>46113</v>
      </c>
      <c r="M138" s="175">
        <f>Period!$C$2</f>
        <v>46143</v>
      </c>
      <c r="N138" s="194" t="s">
        <v>279</v>
      </c>
    </row>
    <row r="139" spans="1:14" ht="11.4" x14ac:dyDescent="0.25">
      <c r="A139" s="137"/>
      <c r="B139" s="169" t="e">
        <f>IF(IF(VLOOKUP(A139,ASTBase!F:P,11,FALSE)="","",VLOOKUP(A139,ASTBase!F:P,11,FALSE))=0,"",IF(VLOOKUP(A139,ASTBase!F:P,11,FALSE)="","",VLOOKUP(A139,ASTBase!F:P,11,FALSE)))</f>
        <v>#N/A</v>
      </c>
      <c r="C139" s="140" t="str">
        <f>IF(IFERROR(_xlfn.IFNA(VLOOKUP($A139,'HR Rep'!$A:$X,MATCH('1) For HR (FIX)'!C$1,'HR Rep'!$A$1:$X$1,0),0),""),"")="","",IFERROR(_xlfn.IFNA(VLOOKUP($A139,'HR Rep'!$A:$X,MATCH('1) For HR (FIX)'!C$1,'HR Rep'!$A$1:$X$1,0),0),""),""))</f>
        <v/>
      </c>
      <c r="D139" s="140" t="str">
        <f>IF(IFERROR(_xlfn.IFNA(VLOOKUP($A139,'HR Rep'!$A:$X,MATCH('1) For HR (FIX)'!D$1,'HR Rep'!$A$1:$X$1,0),0),""),"")="","",IFERROR(_xlfn.IFNA(VLOOKUP($A139,'HR Rep'!$A:$X,MATCH('1) For HR (FIX)'!D$1,'HR Rep'!$A$1:$X$1,0),0),""),""))</f>
        <v/>
      </c>
      <c r="E139" s="140" t="str">
        <f>IF(IFERROR(_xlfn.IFNA(VLOOKUP($A139,'HR Rep'!$A:$X,MATCH('1) For HR (FIX)'!E$1,'HR Rep'!$A$1:$X$1,0),0),""),"")="","",IFERROR(_xlfn.IFNA(VLOOKUP($A139,'HR Rep'!$A:$X,MATCH('1) For HR (FIX)'!E$1,'HR Rep'!$A$1:$X$1,0),0),""),""))</f>
        <v/>
      </c>
      <c r="F139" s="140" t="str">
        <f>IF(IFERROR(_xlfn.IFNA(VLOOKUP($A139,'HR Rep'!$A:$X,MATCH('1) For HR (FIX)'!F$1,'HR Rep'!$A$1:$X$1,0),0),""),"")="","",IFERROR(_xlfn.IFNA(VLOOKUP($A139,'HR Rep'!$A:$X,MATCH('1) For HR (FIX)'!F$1,'HR Rep'!$A$1:$X$1,0),0),""),""))</f>
        <v/>
      </c>
      <c r="G139" s="196"/>
      <c r="H139" s="140" t="str">
        <f>IF(IFERROR(_xlfn.IFNA(VLOOKUP($A139,'HR Rep'!$A:$X,MATCH('1) For HR (FIX)'!H$1,'HR Rep'!$A$1:$X$1,0),0),""),"")="","",IFERROR(_xlfn.IFNA(VLOOKUP($A139,'HR Rep'!$A:$X,MATCH('1) For HR (FIX)'!H$1,'HR Rep'!$A$1:$X$1,0),0),""),""))</f>
        <v/>
      </c>
      <c r="I139" s="140" t="str">
        <f>IF(IFERROR(_xlfn.IFNA(VLOOKUP($A139,'HR Rep'!$A:$X,MATCH('1) For HR (FIX)'!I$1,'HR Rep'!$A$1:$X$1,0),0),""),"")="","",IFERROR(_xlfn.IFNA(VLOOKUP($A139,'HR Rep'!$A:$X,MATCH('1) For HR (FIX)'!I$1,'HR Rep'!$A$1:$X$1,0),0),""),""))</f>
        <v/>
      </c>
      <c r="J139" s="140" t="str">
        <f>IF(IFERROR(_xlfn.IFNA(VLOOKUP($A139,'HR Rep'!$A:$X,MATCH('1) For HR (FIX)'!J$1,'HR Rep'!$A$1:$X$1,0),0),""),"")="","",IFERROR(_xlfn.IFNA(VLOOKUP($A139,'HR Rep'!$A:$X,MATCH('1) For HR (FIX)'!J$1,'HR Rep'!$A$1:$X$1,0),0),""),""))</f>
        <v/>
      </c>
      <c r="K139" s="161">
        <f>_xlfn.XLOOKUP(G139,ค่าตอบแทนการขายในอัตราคงที่!A:A,ค่าตอบแทนการขายในอัตราคงที่!B:B)</f>
        <v>0</v>
      </c>
      <c r="L139" s="174">
        <f>Period!$A$2</f>
        <v>46113</v>
      </c>
      <c r="M139" s="175">
        <f>Period!$C$2</f>
        <v>46143</v>
      </c>
      <c r="N139" s="194" t="s">
        <v>279</v>
      </c>
    </row>
    <row r="140" spans="1:14" ht="11.4" x14ac:dyDescent="0.25">
      <c r="A140" s="137"/>
      <c r="B140" s="169" t="e">
        <f>IF(IF(VLOOKUP(A140,ASTBase!F:P,11,FALSE)="","",VLOOKUP(A140,ASTBase!F:P,11,FALSE))=0,"",IF(VLOOKUP(A140,ASTBase!F:P,11,FALSE)="","",VLOOKUP(A140,ASTBase!F:P,11,FALSE)))</f>
        <v>#N/A</v>
      </c>
      <c r="C140" s="140" t="str">
        <f>IF(IFERROR(_xlfn.IFNA(VLOOKUP($A140,'HR Rep'!$A:$X,MATCH('1) For HR (FIX)'!C$1,'HR Rep'!$A$1:$X$1,0),0),""),"")="","",IFERROR(_xlfn.IFNA(VLOOKUP($A140,'HR Rep'!$A:$X,MATCH('1) For HR (FIX)'!C$1,'HR Rep'!$A$1:$X$1,0),0),""),""))</f>
        <v/>
      </c>
      <c r="D140" s="140" t="str">
        <f>IF(IFERROR(_xlfn.IFNA(VLOOKUP($A140,'HR Rep'!$A:$X,MATCH('1) For HR (FIX)'!D$1,'HR Rep'!$A$1:$X$1,0),0),""),"")="","",IFERROR(_xlfn.IFNA(VLOOKUP($A140,'HR Rep'!$A:$X,MATCH('1) For HR (FIX)'!D$1,'HR Rep'!$A$1:$X$1,0),0),""),""))</f>
        <v/>
      </c>
      <c r="E140" s="140" t="str">
        <f>IF(IFERROR(_xlfn.IFNA(VLOOKUP($A140,'HR Rep'!$A:$X,MATCH('1) For HR (FIX)'!E$1,'HR Rep'!$A$1:$X$1,0),0),""),"")="","",IFERROR(_xlfn.IFNA(VLOOKUP($A140,'HR Rep'!$A:$X,MATCH('1) For HR (FIX)'!E$1,'HR Rep'!$A$1:$X$1,0),0),""),""))</f>
        <v/>
      </c>
      <c r="F140" s="140" t="str">
        <f>IF(IFERROR(_xlfn.IFNA(VLOOKUP($A140,'HR Rep'!$A:$X,MATCH('1) For HR (FIX)'!F$1,'HR Rep'!$A$1:$X$1,0),0),""),"")="","",IFERROR(_xlfn.IFNA(VLOOKUP($A140,'HR Rep'!$A:$X,MATCH('1) For HR (FIX)'!F$1,'HR Rep'!$A$1:$X$1,0),0),""),""))</f>
        <v/>
      </c>
      <c r="G140" s="196"/>
      <c r="H140" s="140" t="str">
        <f>IF(IFERROR(_xlfn.IFNA(VLOOKUP($A140,'HR Rep'!$A:$X,MATCH('1) For HR (FIX)'!H$1,'HR Rep'!$A$1:$X$1,0),0),""),"")="","",IFERROR(_xlfn.IFNA(VLOOKUP($A140,'HR Rep'!$A:$X,MATCH('1) For HR (FIX)'!H$1,'HR Rep'!$A$1:$X$1,0),0),""),""))</f>
        <v/>
      </c>
      <c r="I140" s="140" t="str">
        <f>IF(IFERROR(_xlfn.IFNA(VLOOKUP($A140,'HR Rep'!$A:$X,MATCH('1) For HR (FIX)'!I$1,'HR Rep'!$A$1:$X$1,0),0),""),"")="","",IFERROR(_xlfn.IFNA(VLOOKUP($A140,'HR Rep'!$A:$X,MATCH('1) For HR (FIX)'!I$1,'HR Rep'!$A$1:$X$1,0),0),""),""))</f>
        <v/>
      </c>
      <c r="J140" s="140" t="str">
        <f>IF(IFERROR(_xlfn.IFNA(VLOOKUP($A140,'HR Rep'!$A:$X,MATCH('1) For HR (FIX)'!J$1,'HR Rep'!$A$1:$X$1,0),0),""),"")="","",IFERROR(_xlfn.IFNA(VLOOKUP($A140,'HR Rep'!$A:$X,MATCH('1) For HR (FIX)'!J$1,'HR Rep'!$A$1:$X$1,0),0),""),""))</f>
        <v/>
      </c>
      <c r="K140" s="161">
        <f>_xlfn.XLOOKUP(G140,ค่าตอบแทนการขายในอัตราคงที่!A:A,ค่าตอบแทนการขายในอัตราคงที่!B:B)</f>
        <v>0</v>
      </c>
      <c r="L140" s="174">
        <f>Period!$A$2</f>
        <v>46113</v>
      </c>
      <c r="M140" s="175">
        <f>Period!$C$2</f>
        <v>46143</v>
      </c>
      <c r="N140" s="194" t="s">
        <v>279</v>
      </c>
    </row>
    <row r="141" spans="1:14" ht="11.4" x14ac:dyDescent="0.25">
      <c r="A141" s="137"/>
      <c r="B141" s="169" t="e">
        <f>IF(IF(VLOOKUP(A141,ASTBase!F:P,11,FALSE)="","",VLOOKUP(A141,ASTBase!F:P,11,FALSE))=0,"",IF(VLOOKUP(A141,ASTBase!F:P,11,FALSE)="","",VLOOKUP(A141,ASTBase!F:P,11,FALSE)))</f>
        <v>#N/A</v>
      </c>
      <c r="C141" s="140" t="str">
        <f>IF(IFERROR(_xlfn.IFNA(VLOOKUP($A141,'HR Rep'!$A:$X,MATCH('1) For HR (FIX)'!C$1,'HR Rep'!$A$1:$X$1,0),0),""),"")="","",IFERROR(_xlfn.IFNA(VLOOKUP($A141,'HR Rep'!$A:$X,MATCH('1) For HR (FIX)'!C$1,'HR Rep'!$A$1:$X$1,0),0),""),""))</f>
        <v/>
      </c>
      <c r="D141" s="140" t="str">
        <f>IF(IFERROR(_xlfn.IFNA(VLOOKUP($A141,'HR Rep'!$A:$X,MATCH('1) For HR (FIX)'!D$1,'HR Rep'!$A$1:$X$1,0),0),""),"")="","",IFERROR(_xlfn.IFNA(VLOOKUP($A141,'HR Rep'!$A:$X,MATCH('1) For HR (FIX)'!D$1,'HR Rep'!$A$1:$X$1,0),0),""),""))</f>
        <v/>
      </c>
      <c r="E141" s="140" t="str">
        <f>IF(IFERROR(_xlfn.IFNA(VLOOKUP($A141,'HR Rep'!$A:$X,MATCH('1) For HR (FIX)'!E$1,'HR Rep'!$A$1:$X$1,0),0),""),"")="","",IFERROR(_xlfn.IFNA(VLOOKUP($A141,'HR Rep'!$A:$X,MATCH('1) For HR (FIX)'!E$1,'HR Rep'!$A$1:$X$1,0),0),""),""))</f>
        <v/>
      </c>
      <c r="F141" s="140" t="str">
        <f>IF(IFERROR(_xlfn.IFNA(VLOOKUP($A141,'HR Rep'!$A:$X,MATCH('1) For HR (FIX)'!F$1,'HR Rep'!$A$1:$X$1,0),0),""),"")="","",IFERROR(_xlfn.IFNA(VLOOKUP($A141,'HR Rep'!$A:$X,MATCH('1) For HR (FIX)'!F$1,'HR Rep'!$A$1:$X$1,0),0),""),""))</f>
        <v/>
      </c>
      <c r="G141" s="196"/>
      <c r="H141" s="140" t="str">
        <f>IF(IFERROR(_xlfn.IFNA(VLOOKUP($A141,'HR Rep'!$A:$X,MATCH('1) For HR (FIX)'!H$1,'HR Rep'!$A$1:$X$1,0),0),""),"")="","",IFERROR(_xlfn.IFNA(VLOOKUP($A141,'HR Rep'!$A:$X,MATCH('1) For HR (FIX)'!H$1,'HR Rep'!$A$1:$X$1,0),0),""),""))</f>
        <v/>
      </c>
      <c r="I141" s="140" t="str">
        <f>IF(IFERROR(_xlfn.IFNA(VLOOKUP($A141,'HR Rep'!$A:$X,MATCH('1) For HR (FIX)'!I$1,'HR Rep'!$A$1:$X$1,0),0),""),"")="","",IFERROR(_xlfn.IFNA(VLOOKUP($A141,'HR Rep'!$A:$X,MATCH('1) For HR (FIX)'!I$1,'HR Rep'!$A$1:$X$1,0),0),""),""))</f>
        <v/>
      </c>
      <c r="J141" s="140" t="str">
        <f>IF(IFERROR(_xlfn.IFNA(VLOOKUP($A141,'HR Rep'!$A:$X,MATCH('1) For HR (FIX)'!J$1,'HR Rep'!$A$1:$X$1,0),0),""),"")="","",IFERROR(_xlfn.IFNA(VLOOKUP($A141,'HR Rep'!$A:$X,MATCH('1) For HR (FIX)'!J$1,'HR Rep'!$A$1:$X$1,0),0),""),""))</f>
        <v/>
      </c>
      <c r="K141" s="161">
        <f>_xlfn.XLOOKUP(G141,ค่าตอบแทนการขายในอัตราคงที่!A:A,ค่าตอบแทนการขายในอัตราคงที่!B:B)</f>
        <v>0</v>
      </c>
      <c r="L141" s="174">
        <f>Period!$A$2</f>
        <v>46113</v>
      </c>
      <c r="M141" s="175">
        <f>Period!$C$2</f>
        <v>46143</v>
      </c>
      <c r="N141" s="194" t="s">
        <v>279</v>
      </c>
    </row>
    <row r="142" spans="1:14" ht="11.4" x14ac:dyDescent="0.25">
      <c r="A142" s="137"/>
      <c r="B142" s="169" t="e">
        <f>IF(IF(VLOOKUP(A142,ASTBase!F:P,11,FALSE)="","",VLOOKUP(A142,ASTBase!F:P,11,FALSE))=0,"",IF(VLOOKUP(A142,ASTBase!F:P,11,FALSE)="","",VLOOKUP(A142,ASTBase!F:P,11,FALSE)))</f>
        <v>#N/A</v>
      </c>
      <c r="C142" s="140" t="str">
        <f>IF(IFERROR(_xlfn.IFNA(VLOOKUP($A142,'HR Rep'!$A:$X,MATCH('1) For HR (FIX)'!C$1,'HR Rep'!$A$1:$X$1,0),0),""),"")="","",IFERROR(_xlfn.IFNA(VLOOKUP($A142,'HR Rep'!$A:$X,MATCH('1) For HR (FIX)'!C$1,'HR Rep'!$A$1:$X$1,0),0),""),""))</f>
        <v/>
      </c>
      <c r="D142" s="140" t="str">
        <f>IF(IFERROR(_xlfn.IFNA(VLOOKUP($A142,'HR Rep'!$A:$X,MATCH('1) For HR (FIX)'!D$1,'HR Rep'!$A$1:$X$1,0),0),""),"")="","",IFERROR(_xlfn.IFNA(VLOOKUP($A142,'HR Rep'!$A:$X,MATCH('1) For HR (FIX)'!D$1,'HR Rep'!$A$1:$X$1,0),0),""),""))</f>
        <v/>
      </c>
      <c r="E142" s="140" t="str">
        <f>IF(IFERROR(_xlfn.IFNA(VLOOKUP($A142,'HR Rep'!$A:$X,MATCH('1) For HR (FIX)'!E$1,'HR Rep'!$A$1:$X$1,0),0),""),"")="","",IFERROR(_xlfn.IFNA(VLOOKUP($A142,'HR Rep'!$A:$X,MATCH('1) For HR (FIX)'!E$1,'HR Rep'!$A$1:$X$1,0),0),""),""))</f>
        <v/>
      </c>
      <c r="F142" s="140" t="str">
        <f>IF(IFERROR(_xlfn.IFNA(VLOOKUP($A142,'HR Rep'!$A:$X,MATCH('1) For HR (FIX)'!F$1,'HR Rep'!$A$1:$X$1,0),0),""),"")="","",IFERROR(_xlfn.IFNA(VLOOKUP($A142,'HR Rep'!$A:$X,MATCH('1) For HR (FIX)'!F$1,'HR Rep'!$A$1:$X$1,0),0),""),""))</f>
        <v/>
      </c>
      <c r="G142" s="196"/>
      <c r="H142" s="140" t="str">
        <f>IF(IFERROR(_xlfn.IFNA(VLOOKUP($A142,'HR Rep'!$A:$X,MATCH('1) For HR (FIX)'!H$1,'HR Rep'!$A$1:$X$1,0),0),""),"")="","",IFERROR(_xlfn.IFNA(VLOOKUP($A142,'HR Rep'!$A:$X,MATCH('1) For HR (FIX)'!H$1,'HR Rep'!$A$1:$X$1,0),0),""),""))</f>
        <v/>
      </c>
      <c r="I142" s="140" t="str">
        <f>IF(IFERROR(_xlfn.IFNA(VLOOKUP($A142,'HR Rep'!$A:$X,MATCH('1) For HR (FIX)'!I$1,'HR Rep'!$A$1:$X$1,0),0),""),"")="","",IFERROR(_xlfn.IFNA(VLOOKUP($A142,'HR Rep'!$A:$X,MATCH('1) For HR (FIX)'!I$1,'HR Rep'!$A$1:$X$1,0),0),""),""))</f>
        <v/>
      </c>
      <c r="J142" s="140" t="str">
        <f>IF(IFERROR(_xlfn.IFNA(VLOOKUP($A142,'HR Rep'!$A:$X,MATCH('1) For HR (FIX)'!J$1,'HR Rep'!$A$1:$X$1,0),0),""),"")="","",IFERROR(_xlfn.IFNA(VLOOKUP($A142,'HR Rep'!$A:$X,MATCH('1) For HR (FIX)'!J$1,'HR Rep'!$A$1:$X$1,0),0),""),""))</f>
        <v/>
      </c>
      <c r="K142" s="161">
        <f>_xlfn.XLOOKUP(G142,ค่าตอบแทนการขายในอัตราคงที่!A:A,ค่าตอบแทนการขายในอัตราคงที่!B:B)</f>
        <v>0</v>
      </c>
      <c r="L142" s="174">
        <f>Period!$A$2</f>
        <v>46113</v>
      </c>
      <c r="M142" s="175">
        <f>Period!$C$2</f>
        <v>46143</v>
      </c>
      <c r="N142" s="194" t="s">
        <v>279</v>
      </c>
    </row>
    <row r="143" spans="1:14" ht="11.4" x14ac:dyDescent="0.25">
      <c r="A143" s="137"/>
      <c r="B143" s="169" t="e">
        <f>IF(IF(VLOOKUP(A143,ASTBase!F:P,11,FALSE)="","",VLOOKUP(A143,ASTBase!F:P,11,FALSE))=0,"",IF(VLOOKUP(A143,ASTBase!F:P,11,FALSE)="","",VLOOKUP(A143,ASTBase!F:P,11,FALSE)))</f>
        <v>#N/A</v>
      </c>
      <c r="C143" s="140" t="str">
        <f>IF(IFERROR(_xlfn.IFNA(VLOOKUP($A143,'HR Rep'!$A:$X,MATCH('1) For HR (FIX)'!C$1,'HR Rep'!$A$1:$X$1,0),0),""),"")="","",IFERROR(_xlfn.IFNA(VLOOKUP($A143,'HR Rep'!$A:$X,MATCH('1) For HR (FIX)'!C$1,'HR Rep'!$A$1:$X$1,0),0),""),""))</f>
        <v/>
      </c>
      <c r="D143" s="140" t="str">
        <f>IF(IFERROR(_xlfn.IFNA(VLOOKUP($A143,'HR Rep'!$A:$X,MATCH('1) For HR (FIX)'!D$1,'HR Rep'!$A$1:$X$1,0),0),""),"")="","",IFERROR(_xlfn.IFNA(VLOOKUP($A143,'HR Rep'!$A:$X,MATCH('1) For HR (FIX)'!D$1,'HR Rep'!$A$1:$X$1,0),0),""),""))</f>
        <v/>
      </c>
      <c r="E143" s="140" t="str">
        <f>IF(IFERROR(_xlfn.IFNA(VLOOKUP($A143,'HR Rep'!$A:$X,MATCH('1) For HR (FIX)'!E$1,'HR Rep'!$A$1:$X$1,0),0),""),"")="","",IFERROR(_xlfn.IFNA(VLOOKUP($A143,'HR Rep'!$A:$X,MATCH('1) For HR (FIX)'!E$1,'HR Rep'!$A$1:$X$1,0),0),""),""))</f>
        <v/>
      </c>
      <c r="F143" s="140" t="str">
        <f>IF(IFERROR(_xlfn.IFNA(VLOOKUP($A143,'HR Rep'!$A:$X,MATCH('1) For HR (FIX)'!F$1,'HR Rep'!$A$1:$X$1,0),0),""),"")="","",IFERROR(_xlfn.IFNA(VLOOKUP($A143,'HR Rep'!$A:$X,MATCH('1) For HR (FIX)'!F$1,'HR Rep'!$A$1:$X$1,0),0),""),""))</f>
        <v/>
      </c>
      <c r="G143" s="196"/>
      <c r="H143" s="140" t="str">
        <f>IF(IFERROR(_xlfn.IFNA(VLOOKUP($A143,'HR Rep'!$A:$X,MATCH('1) For HR (FIX)'!H$1,'HR Rep'!$A$1:$X$1,0),0),""),"")="","",IFERROR(_xlfn.IFNA(VLOOKUP($A143,'HR Rep'!$A:$X,MATCH('1) For HR (FIX)'!H$1,'HR Rep'!$A$1:$X$1,0),0),""),""))</f>
        <v/>
      </c>
      <c r="I143" s="140" t="str">
        <f>IF(IFERROR(_xlfn.IFNA(VLOOKUP($A143,'HR Rep'!$A:$X,MATCH('1) For HR (FIX)'!I$1,'HR Rep'!$A$1:$X$1,0),0),""),"")="","",IFERROR(_xlfn.IFNA(VLOOKUP($A143,'HR Rep'!$A:$X,MATCH('1) For HR (FIX)'!I$1,'HR Rep'!$A$1:$X$1,0),0),""),""))</f>
        <v/>
      </c>
      <c r="J143" s="140" t="str">
        <f>IF(IFERROR(_xlfn.IFNA(VLOOKUP($A143,'HR Rep'!$A:$X,MATCH('1) For HR (FIX)'!J$1,'HR Rep'!$A$1:$X$1,0),0),""),"")="","",IFERROR(_xlfn.IFNA(VLOOKUP($A143,'HR Rep'!$A:$X,MATCH('1) For HR (FIX)'!J$1,'HR Rep'!$A$1:$X$1,0),0),""),""))</f>
        <v/>
      </c>
      <c r="K143" s="161">
        <f>_xlfn.XLOOKUP(G143,ค่าตอบแทนการขายในอัตราคงที่!A:A,ค่าตอบแทนการขายในอัตราคงที่!B:B)</f>
        <v>0</v>
      </c>
      <c r="L143" s="174">
        <f>Period!$A$2</f>
        <v>46113</v>
      </c>
      <c r="M143" s="175">
        <f>Period!$C$2</f>
        <v>46143</v>
      </c>
      <c r="N143" s="194" t="s">
        <v>279</v>
      </c>
    </row>
    <row r="144" spans="1:14" ht="11.4" x14ac:dyDescent="0.25">
      <c r="A144" s="137"/>
      <c r="B144" s="169" t="e">
        <f>IF(IF(VLOOKUP(A144,ASTBase!F:P,11,FALSE)="","",VLOOKUP(A144,ASTBase!F:P,11,FALSE))=0,"",IF(VLOOKUP(A144,ASTBase!F:P,11,FALSE)="","",VLOOKUP(A144,ASTBase!F:P,11,FALSE)))</f>
        <v>#N/A</v>
      </c>
      <c r="C144" s="140" t="str">
        <f>IF(IFERROR(_xlfn.IFNA(VLOOKUP($A144,'HR Rep'!$A:$X,MATCH('1) For HR (FIX)'!C$1,'HR Rep'!$A$1:$X$1,0),0),""),"")="","",IFERROR(_xlfn.IFNA(VLOOKUP($A144,'HR Rep'!$A:$X,MATCH('1) For HR (FIX)'!C$1,'HR Rep'!$A$1:$X$1,0),0),""),""))</f>
        <v/>
      </c>
      <c r="D144" s="140" t="str">
        <f>IF(IFERROR(_xlfn.IFNA(VLOOKUP($A144,'HR Rep'!$A:$X,MATCH('1) For HR (FIX)'!D$1,'HR Rep'!$A$1:$X$1,0),0),""),"")="","",IFERROR(_xlfn.IFNA(VLOOKUP($A144,'HR Rep'!$A:$X,MATCH('1) For HR (FIX)'!D$1,'HR Rep'!$A$1:$X$1,0),0),""),""))</f>
        <v/>
      </c>
      <c r="E144" s="140" t="str">
        <f>IF(IFERROR(_xlfn.IFNA(VLOOKUP($A144,'HR Rep'!$A:$X,MATCH('1) For HR (FIX)'!E$1,'HR Rep'!$A$1:$X$1,0),0),""),"")="","",IFERROR(_xlfn.IFNA(VLOOKUP($A144,'HR Rep'!$A:$X,MATCH('1) For HR (FIX)'!E$1,'HR Rep'!$A$1:$X$1,0),0),""),""))</f>
        <v/>
      </c>
      <c r="F144" s="140" t="str">
        <f>IF(IFERROR(_xlfn.IFNA(VLOOKUP($A144,'HR Rep'!$A:$X,MATCH('1) For HR (FIX)'!F$1,'HR Rep'!$A$1:$X$1,0),0),""),"")="","",IFERROR(_xlfn.IFNA(VLOOKUP($A144,'HR Rep'!$A:$X,MATCH('1) For HR (FIX)'!F$1,'HR Rep'!$A$1:$X$1,0),0),""),""))</f>
        <v/>
      </c>
      <c r="G144" s="196"/>
      <c r="H144" s="140" t="str">
        <f>IF(IFERROR(_xlfn.IFNA(VLOOKUP($A144,'HR Rep'!$A:$X,MATCH('1) For HR (FIX)'!H$1,'HR Rep'!$A$1:$X$1,0),0),""),"")="","",IFERROR(_xlfn.IFNA(VLOOKUP($A144,'HR Rep'!$A:$X,MATCH('1) For HR (FIX)'!H$1,'HR Rep'!$A$1:$X$1,0),0),""),""))</f>
        <v/>
      </c>
      <c r="I144" s="140" t="str">
        <f>IF(IFERROR(_xlfn.IFNA(VLOOKUP($A144,'HR Rep'!$A:$X,MATCH('1) For HR (FIX)'!I$1,'HR Rep'!$A$1:$X$1,0),0),""),"")="","",IFERROR(_xlfn.IFNA(VLOOKUP($A144,'HR Rep'!$A:$X,MATCH('1) For HR (FIX)'!I$1,'HR Rep'!$A$1:$X$1,0),0),""),""))</f>
        <v/>
      </c>
      <c r="J144" s="140" t="str">
        <f>IF(IFERROR(_xlfn.IFNA(VLOOKUP($A144,'HR Rep'!$A:$X,MATCH('1) For HR (FIX)'!J$1,'HR Rep'!$A$1:$X$1,0),0),""),"")="","",IFERROR(_xlfn.IFNA(VLOOKUP($A144,'HR Rep'!$A:$X,MATCH('1) For HR (FIX)'!J$1,'HR Rep'!$A$1:$X$1,0),0),""),""))</f>
        <v/>
      </c>
      <c r="K144" s="161">
        <f>_xlfn.XLOOKUP(G144,ค่าตอบแทนการขายในอัตราคงที่!A:A,ค่าตอบแทนการขายในอัตราคงที่!B:B)</f>
        <v>0</v>
      </c>
      <c r="L144" s="174">
        <f>Period!$A$2</f>
        <v>46113</v>
      </c>
      <c r="M144" s="175">
        <f>Period!$C$2</f>
        <v>46143</v>
      </c>
      <c r="N144" s="194" t="s">
        <v>279</v>
      </c>
    </row>
    <row r="145" spans="1:14" ht="11.4" x14ac:dyDescent="0.25">
      <c r="A145" s="137"/>
      <c r="B145" s="169" t="e">
        <f>IF(IF(VLOOKUP(A145,ASTBase!F:P,11,FALSE)="","",VLOOKUP(A145,ASTBase!F:P,11,FALSE))=0,"",IF(VLOOKUP(A145,ASTBase!F:P,11,FALSE)="","",VLOOKUP(A145,ASTBase!F:P,11,FALSE)))</f>
        <v>#N/A</v>
      </c>
      <c r="C145" s="140" t="str">
        <f>IF(IFERROR(_xlfn.IFNA(VLOOKUP($A145,'HR Rep'!$A:$X,MATCH('1) For HR (FIX)'!C$1,'HR Rep'!$A$1:$X$1,0),0),""),"")="","",IFERROR(_xlfn.IFNA(VLOOKUP($A145,'HR Rep'!$A:$X,MATCH('1) For HR (FIX)'!C$1,'HR Rep'!$A$1:$X$1,0),0),""),""))</f>
        <v/>
      </c>
      <c r="D145" s="140" t="str">
        <f>IF(IFERROR(_xlfn.IFNA(VLOOKUP($A145,'HR Rep'!$A:$X,MATCH('1) For HR (FIX)'!D$1,'HR Rep'!$A$1:$X$1,0),0),""),"")="","",IFERROR(_xlfn.IFNA(VLOOKUP($A145,'HR Rep'!$A:$X,MATCH('1) For HR (FIX)'!D$1,'HR Rep'!$A$1:$X$1,0),0),""),""))</f>
        <v/>
      </c>
      <c r="E145" s="140" t="str">
        <f>IF(IFERROR(_xlfn.IFNA(VLOOKUP($A145,'HR Rep'!$A:$X,MATCH('1) For HR (FIX)'!E$1,'HR Rep'!$A$1:$X$1,0),0),""),"")="","",IFERROR(_xlfn.IFNA(VLOOKUP($A145,'HR Rep'!$A:$X,MATCH('1) For HR (FIX)'!E$1,'HR Rep'!$A$1:$X$1,0),0),""),""))</f>
        <v/>
      </c>
      <c r="F145" s="140" t="str">
        <f>IF(IFERROR(_xlfn.IFNA(VLOOKUP($A145,'HR Rep'!$A:$X,MATCH('1) For HR (FIX)'!F$1,'HR Rep'!$A$1:$X$1,0),0),""),"")="","",IFERROR(_xlfn.IFNA(VLOOKUP($A145,'HR Rep'!$A:$X,MATCH('1) For HR (FIX)'!F$1,'HR Rep'!$A$1:$X$1,0),0),""),""))</f>
        <v/>
      </c>
      <c r="G145" s="196"/>
      <c r="H145" s="140" t="str">
        <f>IF(IFERROR(_xlfn.IFNA(VLOOKUP($A145,'HR Rep'!$A:$X,MATCH('1) For HR (FIX)'!H$1,'HR Rep'!$A$1:$X$1,0),0),""),"")="","",IFERROR(_xlfn.IFNA(VLOOKUP($A145,'HR Rep'!$A:$X,MATCH('1) For HR (FIX)'!H$1,'HR Rep'!$A$1:$X$1,0),0),""),""))</f>
        <v/>
      </c>
      <c r="I145" s="140" t="str">
        <f>IF(IFERROR(_xlfn.IFNA(VLOOKUP($A145,'HR Rep'!$A:$X,MATCH('1) For HR (FIX)'!I$1,'HR Rep'!$A$1:$X$1,0),0),""),"")="","",IFERROR(_xlfn.IFNA(VLOOKUP($A145,'HR Rep'!$A:$X,MATCH('1) For HR (FIX)'!I$1,'HR Rep'!$A$1:$X$1,0),0),""),""))</f>
        <v/>
      </c>
      <c r="J145" s="140" t="str">
        <f>IF(IFERROR(_xlfn.IFNA(VLOOKUP($A145,'HR Rep'!$A:$X,MATCH('1) For HR (FIX)'!J$1,'HR Rep'!$A$1:$X$1,0),0),""),"")="","",IFERROR(_xlfn.IFNA(VLOOKUP($A145,'HR Rep'!$A:$X,MATCH('1) For HR (FIX)'!J$1,'HR Rep'!$A$1:$X$1,0),0),""),""))</f>
        <v/>
      </c>
      <c r="K145" s="161">
        <f>_xlfn.XLOOKUP(G145,ค่าตอบแทนการขายในอัตราคงที่!A:A,ค่าตอบแทนการขายในอัตราคงที่!B:B)</f>
        <v>0</v>
      </c>
      <c r="L145" s="174">
        <f>Period!$A$2</f>
        <v>46113</v>
      </c>
      <c r="M145" s="175">
        <f>Period!$C$2</f>
        <v>46143</v>
      </c>
      <c r="N145" s="194" t="s">
        <v>279</v>
      </c>
    </row>
    <row r="146" spans="1:14" ht="11.4" x14ac:dyDescent="0.25">
      <c r="A146" s="137"/>
      <c r="B146" s="169" t="e">
        <f>IF(IF(VLOOKUP(A146,ASTBase!F:P,11,FALSE)="","",VLOOKUP(A146,ASTBase!F:P,11,FALSE))=0,"",IF(VLOOKUP(A146,ASTBase!F:P,11,FALSE)="","",VLOOKUP(A146,ASTBase!F:P,11,FALSE)))</f>
        <v>#N/A</v>
      </c>
      <c r="C146" s="140" t="str">
        <f>IF(IFERROR(_xlfn.IFNA(VLOOKUP($A146,'HR Rep'!$A:$X,MATCH('1) For HR (FIX)'!C$1,'HR Rep'!$A$1:$X$1,0),0),""),"")="","",IFERROR(_xlfn.IFNA(VLOOKUP($A146,'HR Rep'!$A:$X,MATCH('1) For HR (FIX)'!C$1,'HR Rep'!$A$1:$X$1,0),0),""),""))</f>
        <v/>
      </c>
      <c r="D146" s="140" t="str">
        <f>IF(IFERROR(_xlfn.IFNA(VLOOKUP($A146,'HR Rep'!$A:$X,MATCH('1) For HR (FIX)'!D$1,'HR Rep'!$A$1:$X$1,0),0),""),"")="","",IFERROR(_xlfn.IFNA(VLOOKUP($A146,'HR Rep'!$A:$X,MATCH('1) For HR (FIX)'!D$1,'HR Rep'!$A$1:$X$1,0),0),""),""))</f>
        <v/>
      </c>
      <c r="E146" s="140" t="str">
        <f>IF(IFERROR(_xlfn.IFNA(VLOOKUP($A146,'HR Rep'!$A:$X,MATCH('1) For HR (FIX)'!E$1,'HR Rep'!$A$1:$X$1,0),0),""),"")="","",IFERROR(_xlfn.IFNA(VLOOKUP($A146,'HR Rep'!$A:$X,MATCH('1) For HR (FIX)'!E$1,'HR Rep'!$A$1:$X$1,0),0),""),""))</f>
        <v/>
      </c>
      <c r="F146" s="140" t="str">
        <f>IF(IFERROR(_xlfn.IFNA(VLOOKUP($A146,'HR Rep'!$A:$X,MATCH('1) For HR (FIX)'!F$1,'HR Rep'!$A$1:$X$1,0),0),""),"")="","",IFERROR(_xlfn.IFNA(VLOOKUP($A146,'HR Rep'!$A:$X,MATCH('1) For HR (FIX)'!F$1,'HR Rep'!$A$1:$X$1,0),0),""),""))</f>
        <v/>
      </c>
      <c r="G146" s="196"/>
      <c r="H146" s="140" t="str">
        <f>IF(IFERROR(_xlfn.IFNA(VLOOKUP($A146,'HR Rep'!$A:$X,MATCH('1) For HR (FIX)'!H$1,'HR Rep'!$A$1:$X$1,0),0),""),"")="","",IFERROR(_xlfn.IFNA(VLOOKUP($A146,'HR Rep'!$A:$X,MATCH('1) For HR (FIX)'!H$1,'HR Rep'!$A$1:$X$1,0),0),""),""))</f>
        <v/>
      </c>
      <c r="I146" s="140" t="str">
        <f>IF(IFERROR(_xlfn.IFNA(VLOOKUP($A146,'HR Rep'!$A:$X,MATCH('1) For HR (FIX)'!I$1,'HR Rep'!$A$1:$X$1,0),0),""),"")="","",IFERROR(_xlfn.IFNA(VLOOKUP($A146,'HR Rep'!$A:$X,MATCH('1) For HR (FIX)'!I$1,'HR Rep'!$A$1:$X$1,0),0),""),""))</f>
        <v/>
      </c>
      <c r="J146" s="140" t="str">
        <f>IF(IFERROR(_xlfn.IFNA(VLOOKUP($A146,'HR Rep'!$A:$X,MATCH('1) For HR (FIX)'!J$1,'HR Rep'!$A$1:$X$1,0),0),""),"")="","",IFERROR(_xlfn.IFNA(VLOOKUP($A146,'HR Rep'!$A:$X,MATCH('1) For HR (FIX)'!J$1,'HR Rep'!$A$1:$X$1,0),0),""),""))</f>
        <v/>
      </c>
      <c r="K146" s="161">
        <f>_xlfn.XLOOKUP(G146,ค่าตอบแทนการขายในอัตราคงที่!A:A,ค่าตอบแทนการขายในอัตราคงที่!B:B)</f>
        <v>0</v>
      </c>
      <c r="L146" s="174">
        <f>Period!$A$2</f>
        <v>46113</v>
      </c>
      <c r="M146" s="175">
        <f>Period!$C$2</f>
        <v>46143</v>
      </c>
      <c r="N146" s="194" t="s">
        <v>279</v>
      </c>
    </row>
    <row r="147" spans="1:14" ht="11.4" x14ac:dyDescent="0.25">
      <c r="A147" s="137"/>
      <c r="B147" s="169" t="e">
        <f>IF(IF(VLOOKUP(A147,ASTBase!F:P,11,FALSE)="","",VLOOKUP(A147,ASTBase!F:P,11,FALSE))=0,"",IF(VLOOKUP(A147,ASTBase!F:P,11,FALSE)="","",VLOOKUP(A147,ASTBase!F:P,11,FALSE)))</f>
        <v>#N/A</v>
      </c>
      <c r="C147" s="140" t="str">
        <f>IF(IFERROR(_xlfn.IFNA(VLOOKUP($A147,'HR Rep'!$A:$X,MATCH('1) For HR (FIX)'!C$1,'HR Rep'!$A$1:$X$1,0),0),""),"")="","",IFERROR(_xlfn.IFNA(VLOOKUP($A147,'HR Rep'!$A:$X,MATCH('1) For HR (FIX)'!C$1,'HR Rep'!$A$1:$X$1,0),0),""),""))</f>
        <v/>
      </c>
      <c r="D147" s="140" t="str">
        <f>IF(IFERROR(_xlfn.IFNA(VLOOKUP($A147,'HR Rep'!$A:$X,MATCH('1) For HR (FIX)'!D$1,'HR Rep'!$A$1:$X$1,0),0),""),"")="","",IFERROR(_xlfn.IFNA(VLOOKUP($A147,'HR Rep'!$A:$X,MATCH('1) For HR (FIX)'!D$1,'HR Rep'!$A$1:$X$1,0),0),""),""))</f>
        <v/>
      </c>
      <c r="E147" s="140" t="str">
        <f>IF(IFERROR(_xlfn.IFNA(VLOOKUP($A147,'HR Rep'!$A:$X,MATCH('1) For HR (FIX)'!E$1,'HR Rep'!$A$1:$X$1,0),0),""),"")="","",IFERROR(_xlfn.IFNA(VLOOKUP($A147,'HR Rep'!$A:$X,MATCH('1) For HR (FIX)'!E$1,'HR Rep'!$A$1:$X$1,0),0),""),""))</f>
        <v/>
      </c>
      <c r="F147" s="140" t="str">
        <f>IF(IFERROR(_xlfn.IFNA(VLOOKUP($A147,'HR Rep'!$A:$X,MATCH('1) For HR (FIX)'!F$1,'HR Rep'!$A$1:$X$1,0),0),""),"")="","",IFERROR(_xlfn.IFNA(VLOOKUP($A147,'HR Rep'!$A:$X,MATCH('1) For HR (FIX)'!F$1,'HR Rep'!$A$1:$X$1,0),0),""),""))</f>
        <v/>
      </c>
      <c r="G147" s="196"/>
      <c r="H147" s="140" t="str">
        <f>IF(IFERROR(_xlfn.IFNA(VLOOKUP($A147,'HR Rep'!$A:$X,MATCH('1) For HR (FIX)'!H$1,'HR Rep'!$A$1:$X$1,0),0),""),"")="","",IFERROR(_xlfn.IFNA(VLOOKUP($A147,'HR Rep'!$A:$X,MATCH('1) For HR (FIX)'!H$1,'HR Rep'!$A$1:$X$1,0),0),""),""))</f>
        <v/>
      </c>
      <c r="I147" s="140" t="str">
        <f>IF(IFERROR(_xlfn.IFNA(VLOOKUP($A147,'HR Rep'!$A:$X,MATCH('1) For HR (FIX)'!I$1,'HR Rep'!$A$1:$X$1,0),0),""),"")="","",IFERROR(_xlfn.IFNA(VLOOKUP($A147,'HR Rep'!$A:$X,MATCH('1) For HR (FIX)'!I$1,'HR Rep'!$A$1:$X$1,0),0),""),""))</f>
        <v/>
      </c>
      <c r="J147" s="140" t="str">
        <f>IF(IFERROR(_xlfn.IFNA(VLOOKUP($A147,'HR Rep'!$A:$X,MATCH('1) For HR (FIX)'!J$1,'HR Rep'!$A$1:$X$1,0),0),""),"")="","",IFERROR(_xlfn.IFNA(VLOOKUP($A147,'HR Rep'!$A:$X,MATCH('1) For HR (FIX)'!J$1,'HR Rep'!$A$1:$X$1,0),0),""),""))</f>
        <v/>
      </c>
      <c r="K147" s="161">
        <f>_xlfn.XLOOKUP(G147,ค่าตอบแทนการขายในอัตราคงที่!A:A,ค่าตอบแทนการขายในอัตราคงที่!B:B)</f>
        <v>0</v>
      </c>
      <c r="L147" s="174">
        <f>Period!$A$2</f>
        <v>46113</v>
      </c>
      <c r="M147" s="175">
        <f>Period!$C$2</f>
        <v>46143</v>
      </c>
      <c r="N147" s="194" t="s">
        <v>279</v>
      </c>
    </row>
    <row r="148" spans="1:14" ht="11.4" x14ac:dyDescent="0.25">
      <c r="A148" s="137"/>
      <c r="B148" s="169" t="e">
        <f>IF(IF(VLOOKUP(A148,ASTBase!F:P,11,FALSE)="","",VLOOKUP(A148,ASTBase!F:P,11,FALSE))=0,"",IF(VLOOKUP(A148,ASTBase!F:P,11,FALSE)="","",VLOOKUP(A148,ASTBase!F:P,11,FALSE)))</f>
        <v>#N/A</v>
      </c>
      <c r="C148" s="140" t="str">
        <f>IF(IFERROR(_xlfn.IFNA(VLOOKUP($A148,'HR Rep'!$A:$X,MATCH('1) For HR (FIX)'!C$1,'HR Rep'!$A$1:$X$1,0),0),""),"")="","",IFERROR(_xlfn.IFNA(VLOOKUP($A148,'HR Rep'!$A:$X,MATCH('1) For HR (FIX)'!C$1,'HR Rep'!$A$1:$X$1,0),0),""),""))</f>
        <v/>
      </c>
      <c r="D148" s="140" t="str">
        <f>IF(IFERROR(_xlfn.IFNA(VLOOKUP($A148,'HR Rep'!$A:$X,MATCH('1) For HR (FIX)'!D$1,'HR Rep'!$A$1:$X$1,0),0),""),"")="","",IFERROR(_xlfn.IFNA(VLOOKUP($A148,'HR Rep'!$A:$X,MATCH('1) For HR (FIX)'!D$1,'HR Rep'!$A$1:$X$1,0),0),""),""))</f>
        <v/>
      </c>
      <c r="E148" s="140" t="str">
        <f>IF(IFERROR(_xlfn.IFNA(VLOOKUP($A148,'HR Rep'!$A:$X,MATCH('1) For HR (FIX)'!E$1,'HR Rep'!$A$1:$X$1,0),0),""),"")="","",IFERROR(_xlfn.IFNA(VLOOKUP($A148,'HR Rep'!$A:$X,MATCH('1) For HR (FIX)'!E$1,'HR Rep'!$A$1:$X$1,0),0),""),""))</f>
        <v/>
      </c>
      <c r="F148" s="140" t="str">
        <f>IF(IFERROR(_xlfn.IFNA(VLOOKUP($A148,'HR Rep'!$A:$X,MATCH('1) For HR (FIX)'!F$1,'HR Rep'!$A$1:$X$1,0),0),""),"")="","",IFERROR(_xlfn.IFNA(VLOOKUP($A148,'HR Rep'!$A:$X,MATCH('1) For HR (FIX)'!F$1,'HR Rep'!$A$1:$X$1,0),0),""),""))</f>
        <v/>
      </c>
      <c r="G148" s="196"/>
      <c r="H148" s="140" t="str">
        <f>IF(IFERROR(_xlfn.IFNA(VLOOKUP($A148,'HR Rep'!$A:$X,MATCH('1) For HR (FIX)'!H$1,'HR Rep'!$A$1:$X$1,0),0),""),"")="","",IFERROR(_xlfn.IFNA(VLOOKUP($A148,'HR Rep'!$A:$X,MATCH('1) For HR (FIX)'!H$1,'HR Rep'!$A$1:$X$1,0),0),""),""))</f>
        <v/>
      </c>
      <c r="I148" s="140" t="str">
        <f>IF(IFERROR(_xlfn.IFNA(VLOOKUP($A148,'HR Rep'!$A:$X,MATCH('1) For HR (FIX)'!I$1,'HR Rep'!$A$1:$X$1,0),0),""),"")="","",IFERROR(_xlfn.IFNA(VLOOKUP($A148,'HR Rep'!$A:$X,MATCH('1) For HR (FIX)'!I$1,'HR Rep'!$A$1:$X$1,0),0),""),""))</f>
        <v/>
      </c>
      <c r="J148" s="140" t="str">
        <f>IF(IFERROR(_xlfn.IFNA(VLOOKUP($A148,'HR Rep'!$A:$X,MATCH('1) For HR (FIX)'!J$1,'HR Rep'!$A$1:$X$1,0),0),""),"")="","",IFERROR(_xlfn.IFNA(VLOOKUP($A148,'HR Rep'!$A:$X,MATCH('1) For HR (FIX)'!J$1,'HR Rep'!$A$1:$X$1,0),0),""),""))</f>
        <v/>
      </c>
      <c r="K148" s="161">
        <f>_xlfn.XLOOKUP(G148,ค่าตอบแทนการขายในอัตราคงที่!A:A,ค่าตอบแทนการขายในอัตราคงที่!B:B)</f>
        <v>0</v>
      </c>
      <c r="L148" s="174">
        <f>Period!$A$2</f>
        <v>46113</v>
      </c>
      <c r="M148" s="175">
        <f>Period!$C$2</f>
        <v>46143</v>
      </c>
      <c r="N148" s="194" t="s">
        <v>279</v>
      </c>
    </row>
    <row r="149" spans="1:14" ht="11.4" x14ac:dyDescent="0.25">
      <c r="A149" s="137"/>
      <c r="B149" s="169" t="e">
        <f>IF(IF(VLOOKUP(A149,ASTBase!F:P,11,FALSE)="","",VLOOKUP(A149,ASTBase!F:P,11,FALSE))=0,"",IF(VLOOKUP(A149,ASTBase!F:P,11,FALSE)="","",VLOOKUP(A149,ASTBase!F:P,11,FALSE)))</f>
        <v>#N/A</v>
      </c>
      <c r="C149" s="140" t="str">
        <f>IF(IFERROR(_xlfn.IFNA(VLOOKUP($A149,'HR Rep'!$A:$X,MATCH('1) For HR (FIX)'!C$1,'HR Rep'!$A$1:$X$1,0),0),""),"")="","",IFERROR(_xlfn.IFNA(VLOOKUP($A149,'HR Rep'!$A:$X,MATCH('1) For HR (FIX)'!C$1,'HR Rep'!$A$1:$X$1,0),0),""),""))</f>
        <v/>
      </c>
      <c r="D149" s="140" t="str">
        <f>IF(IFERROR(_xlfn.IFNA(VLOOKUP($A149,'HR Rep'!$A:$X,MATCH('1) For HR (FIX)'!D$1,'HR Rep'!$A$1:$X$1,0),0),""),"")="","",IFERROR(_xlfn.IFNA(VLOOKUP($A149,'HR Rep'!$A:$X,MATCH('1) For HR (FIX)'!D$1,'HR Rep'!$A$1:$X$1,0),0),""),""))</f>
        <v/>
      </c>
      <c r="E149" s="140" t="str">
        <f>IF(IFERROR(_xlfn.IFNA(VLOOKUP($A149,'HR Rep'!$A:$X,MATCH('1) For HR (FIX)'!E$1,'HR Rep'!$A$1:$X$1,0),0),""),"")="","",IFERROR(_xlfn.IFNA(VLOOKUP($A149,'HR Rep'!$A:$X,MATCH('1) For HR (FIX)'!E$1,'HR Rep'!$A$1:$X$1,0),0),""),""))</f>
        <v/>
      </c>
      <c r="F149" s="140" t="str">
        <f>IF(IFERROR(_xlfn.IFNA(VLOOKUP($A149,'HR Rep'!$A:$X,MATCH('1) For HR (FIX)'!F$1,'HR Rep'!$A$1:$X$1,0),0),""),"")="","",IFERROR(_xlfn.IFNA(VLOOKUP($A149,'HR Rep'!$A:$X,MATCH('1) For HR (FIX)'!F$1,'HR Rep'!$A$1:$X$1,0),0),""),""))</f>
        <v/>
      </c>
      <c r="G149" s="196"/>
      <c r="H149" s="140" t="str">
        <f>IF(IFERROR(_xlfn.IFNA(VLOOKUP($A149,'HR Rep'!$A:$X,MATCH('1) For HR (FIX)'!H$1,'HR Rep'!$A$1:$X$1,0),0),""),"")="","",IFERROR(_xlfn.IFNA(VLOOKUP($A149,'HR Rep'!$A:$X,MATCH('1) For HR (FIX)'!H$1,'HR Rep'!$A$1:$X$1,0),0),""),""))</f>
        <v/>
      </c>
      <c r="I149" s="140" t="str">
        <f>IF(IFERROR(_xlfn.IFNA(VLOOKUP($A149,'HR Rep'!$A:$X,MATCH('1) For HR (FIX)'!I$1,'HR Rep'!$A$1:$X$1,0),0),""),"")="","",IFERROR(_xlfn.IFNA(VLOOKUP($A149,'HR Rep'!$A:$X,MATCH('1) For HR (FIX)'!I$1,'HR Rep'!$A$1:$X$1,0),0),""),""))</f>
        <v/>
      </c>
      <c r="J149" s="140" t="str">
        <f>IF(IFERROR(_xlfn.IFNA(VLOOKUP($A149,'HR Rep'!$A:$X,MATCH('1) For HR (FIX)'!J$1,'HR Rep'!$A$1:$X$1,0),0),""),"")="","",IFERROR(_xlfn.IFNA(VLOOKUP($A149,'HR Rep'!$A:$X,MATCH('1) For HR (FIX)'!J$1,'HR Rep'!$A$1:$X$1,0),0),""),""))</f>
        <v/>
      </c>
      <c r="K149" s="161">
        <f>_xlfn.XLOOKUP(G149,ค่าตอบแทนการขายในอัตราคงที่!A:A,ค่าตอบแทนการขายในอัตราคงที่!B:B)</f>
        <v>0</v>
      </c>
      <c r="L149" s="174">
        <f>Period!$A$2</f>
        <v>46113</v>
      </c>
      <c r="M149" s="175">
        <f>Period!$C$2</f>
        <v>46143</v>
      </c>
      <c r="N149" s="194" t="s">
        <v>279</v>
      </c>
    </row>
    <row r="150" spans="1:14" ht="11.4" x14ac:dyDescent="0.25">
      <c r="A150" s="138"/>
      <c r="B150" s="169" t="e">
        <f>IF(IF(VLOOKUP(A150,ASTBase!F:P,11,FALSE)="","",VLOOKUP(A150,ASTBase!F:P,11,FALSE))=0,"",IF(VLOOKUP(A150,ASTBase!F:P,11,FALSE)="","",VLOOKUP(A150,ASTBase!F:P,11,FALSE)))</f>
        <v>#N/A</v>
      </c>
      <c r="C150" s="140" t="str">
        <f>IF(IFERROR(_xlfn.IFNA(VLOOKUP($A150,'HR Rep'!$A:$X,MATCH('1) For HR (FIX)'!C$1,'HR Rep'!$A$1:$X$1,0),0),""),"")="","",IFERROR(_xlfn.IFNA(VLOOKUP($A150,'HR Rep'!$A:$X,MATCH('1) For HR (FIX)'!C$1,'HR Rep'!$A$1:$X$1,0),0),""),""))</f>
        <v/>
      </c>
      <c r="D150" s="140" t="str">
        <f>IF(IFERROR(_xlfn.IFNA(VLOOKUP($A150,'HR Rep'!$A:$X,MATCH('1) For HR (FIX)'!D$1,'HR Rep'!$A$1:$X$1,0),0),""),"")="","",IFERROR(_xlfn.IFNA(VLOOKUP($A150,'HR Rep'!$A:$X,MATCH('1) For HR (FIX)'!D$1,'HR Rep'!$A$1:$X$1,0),0),""),""))</f>
        <v/>
      </c>
      <c r="E150" s="140" t="str">
        <f>IF(IFERROR(_xlfn.IFNA(VLOOKUP($A150,'HR Rep'!$A:$X,MATCH('1) For HR (FIX)'!E$1,'HR Rep'!$A$1:$X$1,0),0),""),"")="","",IFERROR(_xlfn.IFNA(VLOOKUP($A150,'HR Rep'!$A:$X,MATCH('1) For HR (FIX)'!E$1,'HR Rep'!$A$1:$X$1,0),0),""),""))</f>
        <v/>
      </c>
      <c r="F150" s="140" t="str">
        <f>IF(IFERROR(_xlfn.IFNA(VLOOKUP($A150,'HR Rep'!$A:$X,MATCH('1) For HR (FIX)'!F$1,'HR Rep'!$A$1:$X$1,0),0),""),"")="","",IFERROR(_xlfn.IFNA(VLOOKUP($A150,'HR Rep'!$A:$X,MATCH('1) For HR (FIX)'!F$1,'HR Rep'!$A$1:$X$1,0),0),""),""))</f>
        <v/>
      </c>
      <c r="G150" s="196"/>
      <c r="H150" s="140" t="str">
        <f>IF(IFERROR(_xlfn.IFNA(VLOOKUP($A150,'HR Rep'!$A:$X,MATCH('1) For HR (FIX)'!H$1,'HR Rep'!$A$1:$X$1,0),0),""),"")="","",IFERROR(_xlfn.IFNA(VLOOKUP($A150,'HR Rep'!$A:$X,MATCH('1) For HR (FIX)'!H$1,'HR Rep'!$A$1:$X$1,0),0),""),""))</f>
        <v/>
      </c>
      <c r="I150" s="140" t="str">
        <f>IF(IFERROR(_xlfn.IFNA(VLOOKUP($A150,'HR Rep'!$A:$X,MATCH('1) For HR (FIX)'!I$1,'HR Rep'!$A$1:$X$1,0),0),""),"")="","",IFERROR(_xlfn.IFNA(VLOOKUP($A150,'HR Rep'!$A:$X,MATCH('1) For HR (FIX)'!I$1,'HR Rep'!$A$1:$X$1,0),0),""),""))</f>
        <v/>
      </c>
      <c r="J150" s="140" t="str">
        <f>IF(IFERROR(_xlfn.IFNA(VLOOKUP($A150,'HR Rep'!$A:$X,MATCH('1) For HR (FIX)'!J$1,'HR Rep'!$A$1:$X$1,0),0),""),"")="","",IFERROR(_xlfn.IFNA(VLOOKUP($A150,'HR Rep'!$A:$X,MATCH('1) For HR (FIX)'!J$1,'HR Rep'!$A$1:$X$1,0),0),""),""))</f>
        <v/>
      </c>
      <c r="K150" s="161">
        <f>_xlfn.XLOOKUP(G150,ค่าตอบแทนการขายในอัตราคงที่!A:A,ค่าตอบแทนการขายในอัตราคงที่!B:B)</f>
        <v>0</v>
      </c>
      <c r="L150" s="174">
        <f>Period!$A$2</f>
        <v>46113</v>
      </c>
      <c r="M150" s="175">
        <f>Period!$C$2</f>
        <v>46143</v>
      </c>
      <c r="N150" s="194" t="s">
        <v>279</v>
      </c>
    </row>
    <row r="151" spans="1:14" ht="11.4" x14ac:dyDescent="0.25">
      <c r="A151" s="137"/>
      <c r="B151" s="169" t="e">
        <f>IF(IF(VLOOKUP(A151,ASTBase!F:P,11,FALSE)="","",VLOOKUP(A151,ASTBase!F:P,11,FALSE))=0,"",IF(VLOOKUP(A151,ASTBase!F:P,11,FALSE)="","",VLOOKUP(A151,ASTBase!F:P,11,FALSE)))</f>
        <v>#N/A</v>
      </c>
      <c r="C151" s="140" t="str">
        <f>IF(IFERROR(_xlfn.IFNA(VLOOKUP($A151,'HR Rep'!$A:$X,MATCH('1) For HR (FIX)'!C$1,'HR Rep'!$A$1:$X$1,0),0),""),"")="","",IFERROR(_xlfn.IFNA(VLOOKUP($A151,'HR Rep'!$A:$X,MATCH('1) For HR (FIX)'!C$1,'HR Rep'!$A$1:$X$1,0),0),""),""))</f>
        <v/>
      </c>
      <c r="D151" s="140" t="str">
        <f>IF(IFERROR(_xlfn.IFNA(VLOOKUP($A151,'HR Rep'!$A:$X,MATCH('1) For HR (FIX)'!D$1,'HR Rep'!$A$1:$X$1,0),0),""),"")="","",IFERROR(_xlfn.IFNA(VLOOKUP($A151,'HR Rep'!$A:$X,MATCH('1) For HR (FIX)'!D$1,'HR Rep'!$A$1:$X$1,0),0),""),""))</f>
        <v/>
      </c>
      <c r="E151" s="140" t="str">
        <f>IF(IFERROR(_xlfn.IFNA(VLOOKUP($A151,'HR Rep'!$A:$X,MATCH('1) For HR (FIX)'!E$1,'HR Rep'!$A$1:$X$1,0),0),""),"")="","",IFERROR(_xlfn.IFNA(VLOOKUP($A151,'HR Rep'!$A:$X,MATCH('1) For HR (FIX)'!E$1,'HR Rep'!$A$1:$X$1,0),0),""),""))</f>
        <v/>
      </c>
      <c r="F151" s="140" t="str">
        <f>IF(IFERROR(_xlfn.IFNA(VLOOKUP($A151,'HR Rep'!$A:$X,MATCH('1) For HR (FIX)'!F$1,'HR Rep'!$A$1:$X$1,0),0),""),"")="","",IFERROR(_xlfn.IFNA(VLOOKUP($A151,'HR Rep'!$A:$X,MATCH('1) For HR (FIX)'!F$1,'HR Rep'!$A$1:$X$1,0),0),""),""))</f>
        <v/>
      </c>
      <c r="G151" s="196"/>
      <c r="H151" s="140" t="str">
        <f>IF(IFERROR(_xlfn.IFNA(VLOOKUP($A151,'HR Rep'!$A:$X,MATCH('1) For HR (FIX)'!H$1,'HR Rep'!$A$1:$X$1,0),0),""),"")="","",IFERROR(_xlfn.IFNA(VLOOKUP($A151,'HR Rep'!$A:$X,MATCH('1) For HR (FIX)'!H$1,'HR Rep'!$A$1:$X$1,0),0),""),""))</f>
        <v/>
      </c>
      <c r="I151" s="140" t="str">
        <f>IF(IFERROR(_xlfn.IFNA(VLOOKUP($A151,'HR Rep'!$A:$X,MATCH('1) For HR (FIX)'!I$1,'HR Rep'!$A$1:$X$1,0),0),""),"")="","",IFERROR(_xlfn.IFNA(VLOOKUP($A151,'HR Rep'!$A:$X,MATCH('1) For HR (FIX)'!I$1,'HR Rep'!$A$1:$X$1,0),0),""),""))</f>
        <v/>
      </c>
      <c r="J151" s="140" t="str">
        <f>IF(IFERROR(_xlfn.IFNA(VLOOKUP($A151,'HR Rep'!$A:$X,MATCH('1) For HR (FIX)'!J$1,'HR Rep'!$A$1:$X$1,0),0),""),"")="","",IFERROR(_xlfn.IFNA(VLOOKUP($A151,'HR Rep'!$A:$X,MATCH('1) For HR (FIX)'!J$1,'HR Rep'!$A$1:$X$1,0),0),""),""))</f>
        <v/>
      </c>
      <c r="K151" s="161">
        <f>_xlfn.XLOOKUP(G151,ค่าตอบแทนการขายในอัตราคงที่!A:A,ค่าตอบแทนการขายในอัตราคงที่!B:B)</f>
        <v>0</v>
      </c>
      <c r="L151" s="174">
        <f>Period!$A$2</f>
        <v>46113</v>
      </c>
      <c r="M151" s="175">
        <f>Period!$C$2</f>
        <v>46143</v>
      </c>
      <c r="N151" s="194" t="s">
        <v>279</v>
      </c>
    </row>
    <row r="152" spans="1:14" ht="11.4" x14ac:dyDescent="0.25">
      <c r="A152" s="137"/>
      <c r="B152" s="169" t="e">
        <f>IF(IF(VLOOKUP(A152,ASTBase!F:P,11,FALSE)="","",VLOOKUP(A152,ASTBase!F:P,11,FALSE))=0,"",IF(VLOOKUP(A152,ASTBase!F:P,11,FALSE)="","",VLOOKUP(A152,ASTBase!F:P,11,FALSE)))</f>
        <v>#N/A</v>
      </c>
      <c r="C152" s="140" t="str">
        <f>IF(IFERROR(_xlfn.IFNA(VLOOKUP($A152,'HR Rep'!$A:$X,MATCH('1) For HR (FIX)'!C$1,'HR Rep'!$A$1:$X$1,0),0),""),"")="","",IFERROR(_xlfn.IFNA(VLOOKUP($A152,'HR Rep'!$A:$X,MATCH('1) For HR (FIX)'!C$1,'HR Rep'!$A$1:$X$1,0),0),""),""))</f>
        <v/>
      </c>
      <c r="D152" s="140" t="str">
        <f>IF(IFERROR(_xlfn.IFNA(VLOOKUP($A152,'HR Rep'!$A:$X,MATCH('1) For HR (FIX)'!D$1,'HR Rep'!$A$1:$X$1,0),0),""),"")="","",IFERROR(_xlfn.IFNA(VLOOKUP($A152,'HR Rep'!$A:$X,MATCH('1) For HR (FIX)'!D$1,'HR Rep'!$A$1:$X$1,0),0),""),""))</f>
        <v/>
      </c>
      <c r="E152" s="140" t="str">
        <f>IF(IFERROR(_xlfn.IFNA(VLOOKUP($A152,'HR Rep'!$A:$X,MATCH('1) For HR (FIX)'!E$1,'HR Rep'!$A$1:$X$1,0),0),""),"")="","",IFERROR(_xlfn.IFNA(VLOOKUP($A152,'HR Rep'!$A:$X,MATCH('1) For HR (FIX)'!E$1,'HR Rep'!$A$1:$X$1,0),0),""),""))</f>
        <v/>
      </c>
      <c r="F152" s="140" t="str">
        <f>IF(IFERROR(_xlfn.IFNA(VLOOKUP($A152,'HR Rep'!$A:$X,MATCH('1) For HR (FIX)'!F$1,'HR Rep'!$A$1:$X$1,0),0),""),"")="","",IFERROR(_xlfn.IFNA(VLOOKUP($A152,'HR Rep'!$A:$X,MATCH('1) For HR (FIX)'!F$1,'HR Rep'!$A$1:$X$1,0),0),""),""))</f>
        <v/>
      </c>
      <c r="G152" s="196"/>
      <c r="H152" s="140" t="str">
        <f>IF(IFERROR(_xlfn.IFNA(VLOOKUP($A152,'HR Rep'!$A:$X,MATCH('1) For HR (FIX)'!H$1,'HR Rep'!$A$1:$X$1,0),0),""),"")="","",IFERROR(_xlfn.IFNA(VLOOKUP($A152,'HR Rep'!$A:$X,MATCH('1) For HR (FIX)'!H$1,'HR Rep'!$A$1:$X$1,0),0),""),""))</f>
        <v/>
      </c>
      <c r="I152" s="140" t="str">
        <f>IF(IFERROR(_xlfn.IFNA(VLOOKUP($A152,'HR Rep'!$A:$X,MATCH('1) For HR (FIX)'!I$1,'HR Rep'!$A$1:$X$1,0),0),""),"")="","",IFERROR(_xlfn.IFNA(VLOOKUP($A152,'HR Rep'!$A:$X,MATCH('1) For HR (FIX)'!I$1,'HR Rep'!$A$1:$X$1,0),0),""),""))</f>
        <v/>
      </c>
      <c r="J152" s="140" t="str">
        <f>IF(IFERROR(_xlfn.IFNA(VLOOKUP($A152,'HR Rep'!$A:$X,MATCH('1) For HR (FIX)'!J$1,'HR Rep'!$A$1:$X$1,0),0),""),"")="","",IFERROR(_xlfn.IFNA(VLOOKUP($A152,'HR Rep'!$A:$X,MATCH('1) For HR (FIX)'!J$1,'HR Rep'!$A$1:$X$1,0),0),""),""))</f>
        <v/>
      </c>
      <c r="K152" s="161">
        <f>_xlfn.XLOOKUP(G152,ค่าตอบแทนการขายในอัตราคงที่!A:A,ค่าตอบแทนการขายในอัตราคงที่!B:B)</f>
        <v>0</v>
      </c>
      <c r="L152" s="174">
        <f>Period!$A$2</f>
        <v>46113</v>
      </c>
      <c r="M152" s="175">
        <f>Period!$C$2</f>
        <v>46143</v>
      </c>
      <c r="N152" s="194" t="s">
        <v>279</v>
      </c>
    </row>
    <row r="153" spans="1:14" ht="11.4" x14ac:dyDescent="0.25">
      <c r="A153" s="138"/>
      <c r="B153" s="169" t="e">
        <f>IF(IF(VLOOKUP(A153,ASTBase!F:P,11,FALSE)="","",VLOOKUP(A153,ASTBase!F:P,11,FALSE))=0,"",IF(VLOOKUP(A153,ASTBase!F:P,11,FALSE)="","",VLOOKUP(A153,ASTBase!F:P,11,FALSE)))</f>
        <v>#N/A</v>
      </c>
      <c r="C153" s="140" t="str">
        <f>IF(IFERROR(_xlfn.IFNA(VLOOKUP($A153,'HR Rep'!$A:$X,MATCH('1) For HR (FIX)'!C$1,'HR Rep'!$A$1:$X$1,0),0),""),"")="","",IFERROR(_xlfn.IFNA(VLOOKUP($A153,'HR Rep'!$A:$X,MATCH('1) For HR (FIX)'!C$1,'HR Rep'!$A$1:$X$1,0),0),""),""))</f>
        <v/>
      </c>
      <c r="D153" s="140" t="str">
        <f>IF(IFERROR(_xlfn.IFNA(VLOOKUP($A153,'HR Rep'!$A:$X,MATCH('1) For HR (FIX)'!D$1,'HR Rep'!$A$1:$X$1,0),0),""),"")="","",IFERROR(_xlfn.IFNA(VLOOKUP($A153,'HR Rep'!$A:$X,MATCH('1) For HR (FIX)'!D$1,'HR Rep'!$A$1:$X$1,0),0),""),""))</f>
        <v/>
      </c>
      <c r="E153" s="140" t="str">
        <f>IF(IFERROR(_xlfn.IFNA(VLOOKUP($A153,'HR Rep'!$A:$X,MATCH('1) For HR (FIX)'!E$1,'HR Rep'!$A$1:$X$1,0),0),""),"")="","",IFERROR(_xlfn.IFNA(VLOOKUP($A153,'HR Rep'!$A:$X,MATCH('1) For HR (FIX)'!E$1,'HR Rep'!$A$1:$X$1,0),0),""),""))</f>
        <v/>
      </c>
      <c r="F153" s="140" t="str">
        <f>IF(IFERROR(_xlfn.IFNA(VLOOKUP($A153,'HR Rep'!$A:$X,MATCH('1) For HR (FIX)'!F$1,'HR Rep'!$A$1:$X$1,0),0),""),"")="","",IFERROR(_xlfn.IFNA(VLOOKUP($A153,'HR Rep'!$A:$X,MATCH('1) For HR (FIX)'!F$1,'HR Rep'!$A$1:$X$1,0),0),""),""))</f>
        <v/>
      </c>
      <c r="G153" s="196"/>
      <c r="H153" s="140" t="str">
        <f>IF(IFERROR(_xlfn.IFNA(VLOOKUP($A153,'HR Rep'!$A:$X,MATCH('1) For HR (FIX)'!H$1,'HR Rep'!$A$1:$X$1,0),0),""),"")="","",IFERROR(_xlfn.IFNA(VLOOKUP($A153,'HR Rep'!$A:$X,MATCH('1) For HR (FIX)'!H$1,'HR Rep'!$A$1:$X$1,0),0),""),""))</f>
        <v/>
      </c>
      <c r="I153" s="140" t="str">
        <f>IF(IFERROR(_xlfn.IFNA(VLOOKUP($A153,'HR Rep'!$A:$X,MATCH('1) For HR (FIX)'!I$1,'HR Rep'!$A$1:$X$1,0),0),""),"")="","",IFERROR(_xlfn.IFNA(VLOOKUP($A153,'HR Rep'!$A:$X,MATCH('1) For HR (FIX)'!I$1,'HR Rep'!$A$1:$X$1,0),0),""),""))</f>
        <v/>
      </c>
      <c r="J153" s="140" t="str">
        <f>IF(IFERROR(_xlfn.IFNA(VLOOKUP($A153,'HR Rep'!$A:$X,MATCH('1) For HR (FIX)'!J$1,'HR Rep'!$A$1:$X$1,0),0),""),"")="","",IFERROR(_xlfn.IFNA(VLOOKUP($A153,'HR Rep'!$A:$X,MATCH('1) For HR (FIX)'!J$1,'HR Rep'!$A$1:$X$1,0),0),""),""))</f>
        <v/>
      </c>
      <c r="K153" s="161">
        <f>_xlfn.XLOOKUP(G153,ค่าตอบแทนการขายในอัตราคงที่!A:A,ค่าตอบแทนการขายในอัตราคงที่!B:B)</f>
        <v>0</v>
      </c>
      <c r="L153" s="174">
        <f>Period!$A$2</f>
        <v>46113</v>
      </c>
      <c r="M153" s="175">
        <f>Period!$C$2</f>
        <v>46143</v>
      </c>
      <c r="N153" s="194" t="s">
        <v>279</v>
      </c>
    </row>
    <row r="154" spans="1:14" ht="11.4" x14ac:dyDescent="0.25">
      <c r="A154" s="137"/>
      <c r="B154" s="169" t="e">
        <f>IF(IF(VLOOKUP(A154,ASTBase!F:P,11,FALSE)="","",VLOOKUP(A154,ASTBase!F:P,11,FALSE))=0,"",IF(VLOOKUP(A154,ASTBase!F:P,11,FALSE)="","",VLOOKUP(A154,ASTBase!F:P,11,FALSE)))</f>
        <v>#N/A</v>
      </c>
      <c r="C154" s="140" t="str">
        <f>IF(IFERROR(_xlfn.IFNA(VLOOKUP($A154,'HR Rep'!$A:$X,MATCH('1) For HR (FIX)'!C$1,'HR Rep'!$A$1:$X$1,0),0),""),"")="","",IFERROR(_xlfn.IFNA(VLOOKUP($A154,'HR Rep'!$A:$X,MATCH('1) For HR (FIX)'!C$1,'HR Rep'!$A$1:$X$1,0),0),""),""))</f>
        <v/>
      </c>
      <c r="D154" s="140" t="str">
        <f>IF(IFERROR(_xlfn.IFNA(VLOOKUP($A154,'HR Rep'!$A:$X,MATCH('1) For HR (FIX)'!D$1,'HR Rep'!$A$1:$X$1,0),0),""),"")="","",IFERROR(_xlfn.IFNA(VLOOKUP($A154,'HR Rep'!$A:$X,MATCH('1) For HR (FIX)'!D$1,'HR Rep'!$A$1:$X$1,0),0),""),""))</f>
        <v/>
      </c>
      <c r="E154" s="140" t="str">
        <f>IF(IFERROR(_xlfn.IFNA(VLOOKUP($A154,'HR Rep'!$A:$X,MATCH('1) For HR (FIX)'!E$1,'HR Rep'!$A$1:$X$1,0),0),""),"")="","",IFERROR(_xlfn.IFNA(VLOOKUP($A154,'HR Rep'!$A:$X,MATCH('1) For HR (FIX)'!E$1,'HR Rep'!$A$1:$X$1,0),0),""),""))</f>
        <v/>
      </c>
      <c r="F154" s="140" t="str">
        <f>IF(IFERROR(_xlfn.IFNA(VLOOKUP($A154,'HR Rep'!$A:$X,MATCH('1) For HR (FIX)'!F$1,'HR Rep'!$A$1:$X$1,0),0),""),"")="","",IFERROR(_xlfn.IFNA(VLOOKUP($A154,'HR Rep'!$A:$X,MATCH('1) For HR (FIX)'!F$1,'HR Rep'!$A$1:$X$1,0),0),""),""))</f>
        <v/>
      </c>
      <c r="G154" s="196"/>
      <c r="H154" s="140" t="str">
        <f>IF(IFERROR(_xlfn.IFNA(VLOOKUP($A154,'HR Rep'!$A:$X,MATCH('1) For HR (FIX)'!H$1,'HR Rep'!$A$1:$X$1,0),0),""),"")="","",IFERROR(_xlfn.IFNA(VLOOKUP($A154,'HR Rep'!$A:$X,MATCH('1) For HR (FIX)'!H$1,'HR Rep'!$A$1:$X$1,0),0),""),""))</f>
        <v/>
      </c>
      <c r="I154" s="140" t="str">
        <f>IF(IFERROR(_xlfn.IFNA(VLOOKUP($A154,'HR Rep'!$A:$X,MATCH('1) For HR (FIX)'!I$1,'HR Rep'!$A$1:$X$1,0),0),""),"")="","",IFERROR(_xlfn.IFNA(VLOOKUP($A154,'HR Rep'!$A:$X,MATCH('1) For HR (FIX)'!I$1,'HR Rep'!$A$1:$X$1,0),0),""),""))</f>
        <v/>
      </c>
      <c r="J154" s="140" t="str">
        <f>IF(IFERROR(_xlfn.IFNA(VLOOKUP($A154,'HR Rep'!$A:$X,MATCH('1) For HR (FIX)'!J$1,'HR Rep'!$A$1:$X$1,0),0),""),"")="","",IFERROR(_xlfn.IFNA(VLOOKUP($A154,'HR Rep'!$A:$X,MATCH('1) For HR (FIX)'!J$1,'HR Rep'!$A$1:$X$1,0),0),""),""))</f>
        <v/>
      </c>
      <c r="K154" s="161">
        <f>_xlfn.XLOOKUP(G154,ค่าตอบแทนการขายในอัตราคงที่!A:A,ค่าตอบแทนการขายในอัตราคงที่!B:B)</f>
        <v>0</v>
      </c>
      <c r="L154" s="174">
        <f>Period!$A$2</f>
        <v>46113</v>
      </c>
      <c r="M154" s="175">
        <f>Period!$C$2</f>
        <v>46143</v>
      </c>
      <c r="N154" s="194" t="s">
        <v>279</v>
      </c>
    </row>
    <row r="155" spans="1:14" ht="11.4" x14ac:dyDescent="0.25">
      <c r="A155" s="137"/>
      <c r="B155" s="169" t="e">
        <f>IF(IF(VLOOKUP(A155,ASTBase!F:P,11,FALSE)="","",VLOOKUP(A155,ASTBase!F:P,11,FALSE))=0,"",IF(VLOOKUP(A155,ASTBase!F:P,11,FALSE)="","",VLOOKUP(A155,ASTBase!F:P,11,FALSE)))</f>
        <v>#N/A</v>
      </c>
      <c r="C155" s="140" t="str">
        <f>IF(IFERROR(_xlfn.IFNA(VLOOKUP($A155,'HR Rep'!$A:$X,MATCH('1) For HR (FIX)'!C$1,'HR Rep'!$A$1:$X$1,0),0),""),"")="","",IFERROR(_xlfn.IFNA(VLOOKUP($A155,'HR Rep'!$A:$X,MATCH('1) For HR (FIX)'!C$1,'HR Rep'!$A$1:$X$1,0),0),""),""))</f>
        <v/>
      </c>
      <c r="D155" s="140" t="str">
        <f>IF(IFERROR(_xlfn.IFNA(VLOOKUP($A155,'HR Rep'!$A:$X,MATCH('1) For HR (FIX)'!D$1,'HR Rep'!$A$1:$X$1,0),0),""),"")="","",IFERROR(_xlfn.IFNA(VLOOKUP($A155,'HR Rep'!$A:$X,MATCH('1) For HR (FIX)'!D$1,'HR Rep'!$A$1:$X$1,0),0),""),""))</f>
        <v/>
      </c>
      <c r="E155" s="140" t="str">
        <f>IF(IFERROR(_xlfn.IFNA(VLOOKUP($A155,'HR Rep'!$A:$X,MATCH('1) For HR (FIX)'!E$1,'HR Rep'!$A$1:$X$1,0),0),""),"")="","",IFERROR(_xlfn.IFNA(VLOOKUP($A155,'HR Rep'!$A:$X,MATCH('1) For HR (FIX)'!E$1,'HR Rep'!$A$1:$X$1,0),0),""),""))</f>
        <v/>
      </c>
      <c r="F155" s="140" t="str">
        <f>IF(IFERROR(_xlfn.IFNA(VLOOKUP($A155,'HR Rep'!$A:$X,MATCH('1) For HR (FIX)'!F$1,'HR Rep'!$A$1:$X$1,0),0),""),"")="","",IFERROR(_xlfn.IFNA(VLOOKUP($A155,'HR Rep'!$A:$X,MATCH('1) For HR (FIX)'!F$1,'HR Rep'!$A$1:$X$1,0),0),""),""))</f>
        <v/>
      </c>
      <c r="G155" s="196"/>
      <c r="H155" s="140" t="str">
        <f>IF(IFERROR(_xlfn.IFNA(VLOOKUP($A155,'HR Rep'!$A:$X,MATCH('1) For HR (FIX)'!H$1,'HR Rep'!$A$1:$X$1,0),0),""),"")="","",IFERROR(_xlfn.IFNA(VLOOKUP($A155,'HR Rep'!$A:$X,MATCH('1) For HR (FIX)'!H$1,'HR Rep'!$A$1:$X$1,0),0),""),""))</f>
        <v/>
      </c>
      <c r="I155" s="140" t="str">
        <f>IF(IFERROR(_xlfn.IFNA(VLOOKUP($A155,'HR Rep'!$A:$X,MATCH('1) For HR (FIX)'!I$1,'HR Rep'!$A$1:$X$1,0),0),""),"")="","",IFERROR(_xlfn.IFNA(VLOOKUP($A155,'HR Rep'!$A:$X,MATCH('1) For HR (FIX)'!I$1,'HR Rep'!$A$1:$X$1,0),0),""),""))</f>
        <v/>
      </c>
      <c r="J155" s="140" t="str">
        <f>IF(IFERROR(_xlfn.IFNA(VLOOKUP($A155,'HR Rep'!$A:$X,MATCH('1) For HR (FIX)'!J$1,'HR Rep'!$A$1:$X$1,0),0),""),"")="","",IFERROR(_xlfn.IFNA(VLOOKUP($A155,'HR Rep'!$A:$X,MATCH('1) For HR (FIX)'!J$1,'HR Rep'!$A$1:$X$1,0),0),""),""))</f>
        <v/>
      </c>
      <c r="K155" s="161">
        <f>_xlfn.XLOOKUP(G155,ค่าตอบแทนการขายในอัตราคงที่!A:A,ค่าตอบแทนการขายในอัตราคงที่!B:B)</f>
        <v>0</v>
      </c>
      <c r="L155" s="174">
        <f>Period!$A$2</f>
        <v>46113</v>
      </c>
      <c r="M155" s="175">
        <f>Period!$C$2</f>
        <v>46143</v>
      </c>
      <c r="N155" s="194" t="s">
        <v>279</v>
      </c>
    </row>
    <row r="156" spans="1:14" ht="11.4" x14ac:dyDescent="0.25">
      <c r="A156" s="137"/>
      <c r="B156" s="169" t="e">
        <f>IF(IF(VLOOKUP(A156,ASTBase!F:P,11,FALSE)="","",VLOOKUP(A156,ASTBase!F:P,11,FALSE))=0,"",IF(VLOOKUP(A156,ASTBase!F:P,11,FALSE)="","",VLOOKUP(A156,ASTBase!F:P,11,FALSE)))</f>
        <v>#N/A</v>
      </c>
      <c r="C156" s="140" t="str">
        <f>IF(IFERROR(_xlfn.IFNA(VLOOKUP($A156,'HR Rep'!$A:$X,MATCH('1) For HR (FIX)'!C$1,'HR Rep'!$A$1:$X$1,0),0),""),"")="","",IFERROR(_xlfn.IFNA(VLOOKUP($A156,'HR Rep'!$A:$X,MATCH('1) For HR (FIX)'!C$1,'HR Rep'!$A$1:$X$1,0),0),""),""))</f>
        <v/>
      </c>
      <c r="D156" s="140" t="str">
        <f>IF(IFERROR(_xlfn.IFNA(VLOOKUP($A156,'HR Rep'!$A:$X,MATCH('1) For HR (FIX)'!D$1,'HR Rep'!$A$1:$X$1,0),0),""),"")="","",IFERROR(_xlfn.IFNA(VLOOKUP($A156,'HR Rep'!$A:$X,MATCH('1) For HR (FIX)'!D$1,'HR Rep'!$A$1:$X$1,0),0),""),""))</f>
        <v/>
      </c>
      <c r="E156" s="140" t="str">
        <f>IF(IFERROR(_xlfn.IFNA(VLOOKUP($A156,'HR Rep'!$A:$X,MATCH('1) For HR (FIX)'!E$1,'HR Rep'!$A$1:$X$1,0),0),""),"")="","",IFERROR(_xlfn.IFNA(VLOOKUP($A156,'HR Rep'!$A:$X,MATCH('1) For HR (FIX)'!E$1,'HR Rep'!$A$1:$X$1,0),0),""),""))</f>
        <v/>
      </c>
      <c r="F156" s="140" t="str">
        <f>IF(IFERROR(_xlfn.IFNA(VLOOKUP($A156,'HR Rep'!$A:$X,MATCH('1) For HR (FIX)'!F$1,'HR Rep'!$A$1:$X$1,0),0),""),"")="","",IFERROR(_xlfn.IFNA(VLOOKUP($A156,'HR Rep'!$A:$X,MATCH('1) For HR (FIX)'!F$1,'HR Rep'!$A$1:$X$1,0),0),""),""))</f>
        <v/>
      </c>
      <c r="G156" s="196"/>
      <c r="H156" s="140" t="str">
        <f>IF(IFERROR(_xlfn.IFNA(VLOOKUP($A156,'HR Rep'!$A:$X,MATCH('1) For HR (FIX)'!H$1,'HR Rep'!$A$1:$X$1,0),0),""),"")="","",IFERROR(_xlfn.IFNA(VLOOKUP($A156,'HR Rep'!$A:$X,MATCH('1) For HR (FIX)'!H$1,'HR Rep'!$A$1:$X$1,0),0),""),""))</f>
        <v/>
      </c>
      <c r="I156" s="140" t="str">
        <f>IF(IFERROR(_xlfn.IFNA(VLOOKUP($A156,'HR Rep'!$A:$X,MATCH('1) For HR (FIX)'!I$1,'HR Rep'!$A$1:$X$1,0),0),""),"")="","",IFERROR(_xlfn.IFNA(VLOOKUP($A156,'HR Rep'!$A:$X,MATCH('1) For HR (FIX)'!I$1,'HR Rep'!$A$1:$X$1,0),0),""),""))</f>
        <v/>
      </c>
      <c r="J156" s="140" t="str">
        <f>IF(IFERROR(_xlfn.IFNA(VLOOKUP($A156,'HR Rep'!$A:$X,MATCH('1) For HR (FIX)'!J$1,'HR Rep'!$A$1:$X$1,0),0),""),"")="","",IFERROR(_xlfn.IFNA(VLOOKUP($A156,'HR Rep'!$A:$X,MATCH('1) For HR (FIX)'!J$1,'HR Rep'!$A$1:$X$1,0),0),""),""))</f>
        <v/>
      </c>
      <c r="K156" s="161">
        <f>_xlfn.XLOOKUP(G156,ค่าตอบแทนการขายในอัตราคงที่!A:A,ค่าตอบแทนการขายในอัตราคงที่!B:B)</f>
        <v>0</v>
      </c>
      <c r="L156" s="174">
        <f>Period!$A$2</f>
        <v>46113</v>
      </c>
      <c r="M156" s="175">
        <f>Period!$C$2</f>
        <v>46143</v>
      </c>
      <c r="N156" s="194" t="s">
        <v>279</v>
      </c>
    </row>
    <row r="157" spans="1:14" ht="11.4" x14ac:dyDescent="0.25">
      <c r="A157" s="137"/>
      <c r="B157" s="169" t="e">
        <f>IF(IF(VLOOKUP(A157,ASTBase!F:P,11,FALSE)="","",VLOOKUP(A157,ASTBase!F:P,11,FALSE))=0,"",IF(VLOOKUP(A157,ASTBase!F:P,11,FALSE)="","",VLOOKUP(A157,ASTBase!F:P,11,FALSE)))</f>
        <v>#N/A</v>
      </c>
      <c r="C157" s="140" t="str">
        <f>IF(IFERROR(_xlfn.IFNA(VLOOKUP($A157,'HR Rep'!$A:$X,MATCH('1) For HR (FIX)'!C$1,'HR Rep'!$A$1:$X$1,0),0),""),"")="","",IFERROR(_xlfn.IFNA(VLOOKUP($A157,'HR Rep'!$A:$X,MATCH('1) For HR (FIX)'!C$1,'HR Rep'!$A$1:$X$1,0),0),""),""))</f>
        <v/>
      </c>
      <c r="D157" s="140" t="str">
        <f>IF(IFERROR(_xlfn.IFNA(VLOOKUP($A157,'HR Rep'!$A:$X,MATCH('1) For HR (FIX)'!D$1,'HR Rep'!$A$1:$X$1,0),0),""),"")="","",IFERROR(_xlfn.IFNA(VLOOKUP($A157,'HR Rep'!$A:$X,MATCH('1) For HR (FIX)'!D$1,'HR Rep'!$A$1:$X$1,0),0),""),""))</f>
        <v/>
      </c>
      <c r="E157" s="140" t="str">
        <f>IF(IFERROR(_xlfn.IFNA(VLOOKUP($A157,'HR Rep'!$A:$X,MATCH('1) For HR (FIX)'!E$1,'HR Rep'!$A$1:$X$1,0),0),""),"")="","",IFERROR(_xlfn.IFNA(VLOOKUP($A157,'HR Rep'!$A:$X,MATCH('1) For HR (FIX)'!E$1,'HR Rep'!$A$1:$X$1,0),0),""),""))</f>
        <v/>
      </c>
      <c r="F157" s="140" t="str">
        <f>IF(IFERROR(_xlfn.IFNA(VLOOKUP($A157,'HR Rep'!$A:$X,MATCH('1) For HR (FIX)'!F$1,'HR Rep'!$A$1:$X$1,0),0),""),"")="","",IFERROR(_xlfn.IFNA(VLOOKUP($A157,'HR Rep'!$A:$X,MATCH('1) For HR (FIX)'!F$1,'HR Rep'!$A$1:$X$1,0),0),""),""))</f>
        <v/>
      </c>
      <c r="G157" s="196"/>
      <c r="H157" s="140" t="str">
        <f>IF(IFERROR(_xlfn.IFNA(VLOOKUP($A157,'HR Rep'!$A:$X,MATCH('1) For HR (FIX)'!H$1,'HR Rep'!$A$1:$X$1,0),0),""),"")="","",IFERROR(_xlfn.IFNA(VLOOKUP($A157,'HR Rep'!$A:$X,MATCH('1) For HR (FIX)'!H$1,'HR Rep'!$A$1:$X$1,0),0),""),""))</f>
        <v/>
      </c>
      <c r="I157" s="140" t="str">
        <f>IF(IFERROR(_xlfn.IFNA(VLOOKUP($A157,'HR Rep'!$A:$X,MATCH('1) For HR (FIX)'!I$1,'HR Rep'!$A$1:$X$1,0),0),""),"")="","",IFERROR(_xlfn.IFNA(VLOOKUP($A157,'HR Rep'!$A:$X,MATCH('1) For HR (FIX)'!I$1,'HR Rep'!$A$1:$X$1,0),0),""),""))</f>
        <v/>
      </c>
      <c r="J157" s="140" t="str">
        <f>IF(IFERROR(_xlfn.IFNA(VLOOKUP($A157,'HR Rep'!$A:$X,MATCH('1) For HR (FIX)'!J$1,'HR Rep'!$A$1:$X$1,0),0),""),"")="","",IFERROR(_xlfn.IFNA(VLOOKUP($A157,'HR Rep'!$A:$X,MATCH('1) For HR (FIX)'!J$1,'HR Rep'!$A$1:$X$1,0),0),""),""))</f>
        <v/>
      </c>
      <c r="K157" s="161">
        <f>_xlfn.XLOOKUP(G157,ค่าตอบแทนการขายในอัตราคงที่!A:A,ค่าตอบแทนการขายในอัตราคงที่!B:B)</f>
        <v>0</v>
      </c>
      <c r="L157" s="174">
        <f>Period!$A$2</f>
        <v>46113</v>
      </c>
      <c r="M157" s="175">
        <f>Period!$C$2</f>
        <v>46143</v>
      </c>
      <c r="N157" s="194" t="s">
        <v>279</v>
      </c>
    </row>
    <row r="158" spans="1:14" ht="11.4" x14ac:dyDescent="0.25">
      <c r="A158" s="137"/>
      <c r="B158" s="169" t="e">
        <f>IF(IF(VLOOKUP(A158,ASTBase!F:P,11,FALSE)="","",VLOOKUP(A158,ASTBase!F:P,11,FALSE))=0,"",IF(VLOOKUP(A158,ASTBase!F:P,11,FALSE)="","",VLOOKUP(A158,ASTBase!F:P,11,FALSE)))</f>
        <v>#N/A</v>
      </c>
      <c r="C158" s="140" t="str">
        <f>IF(IFERROR(_xlfn.IFNA(VLOOKUP($A158,'HR Rep'!$A:$X,MATCH('1) For HR (FIX)'!C$1,'HR Rep'!$A$1:$X$1,0),0),""),"")="","",IFERROR(_xlfn.IFNA(VLOOKUP($A158,'HR Rep'!$A:$X,MATCH('1) For HR (FIX)'!C$1,'HR Rep'!$A$1:$X$1,0),0),""),""))</f>
        <v/>
      </c>
      <c r="D158" s="140" t="str">
        <f>IF(IFERROR(_xlfn.IFNA(VLOOKUP($A158,'HR Rep'!$A:$X,MATCH('1) For HR (FIX)'!D$1,'HR Rep'!$A$1:$X$1,0),0),""),"")="","",IFERROR(_xlfn.IFNA(VLOOKUP($A158,'HR Rep'!$A:$X,MATCH('1) For HR (FIX)'!D$1,'HR Rep'!$A$1:$X$1,0),0),""),""))</f>
        <v/>
      </c>
      <c r="E158" s="140" t="str">
        <f>IF(IFERROR(_xlfn.IFNA(VLOOKUP($A158,'HR Rep'!$A:$X,MATCH('1) For HR (FIX)'!E$1,'HR Rep'!$A$1:$X$1,0),0),""),"")="","",IFERROR(_xlfn.IFNA(VLOOKUP($A158,'HR Rep'!$A:$X,MATCH('1) For HR (FIX)'!E$1,'HR Rep'!$A$1:$X$1,0),0),""),""))</f>
        <v/>
      </c>
      <c r="F158" s="140" t="str">
        <f>IF(IFERROR(_xlfn.IFNA(VLOOKUP($A158,'HR Rep'!$A:$X,MATCH('1) For HR (FIX)'!F$1,'HR Rep'!$A$1:$X$1,0),0),""),"")="","",IFERROR(_xlfn.IFNA(VLOOKUP($A158,'HR Rep'!$A:$X,MATCH('1) For HR (FIX)'!F$1,'HR Rep'!$A$1:$X$1,0),0),""),""))</f>
        <v/>
      </c>
      <c r="G158" s="196"/>
      <c r="H158" s="140" t="str">
        <f>IF(IFERROR(_xlfn.IFNA(VLOOKUP($A158,'HR Rep'!$A:$X,MATCH('1) For HR (FIX)'!H$1,'HR Rep'!$A$1:$X$1,0),0),""),"")="","",IFERROR(_xlfn.IFNA(VLOOKUP($A158,'HR Rep'!$A:$X,MATCH('1) For HR (FIX)'!H$1,'HR Rep'!$A$1:$X$1,0),0),""),""))</f>
        <v/>
      </c>
      <c r="I158" s="140" t="str">
        <f>IF(IFERROR(_xlfn.IFNA(VLOOKUP($A158,'HR Rep'!$A:$X,MATCH('1) For HR (FIX)'!I$1,'HR Rep'!$A$1:$X$1,0),0),""),"")="","",IFERROR(_xlfn.IFNA(VLOOKUP($A158,'HR Rep'!$A:$X,MATCH('1) For HR (FIX)'!I$1,'HR Rep'!$A$1:$X$1,0),0),""),""))</f>
        <v/>
      </c>
      <c r="J158" s="140" t="str">
        <f>IF(IFERROR(_xlfn.IFNA(VLOOKUP($A158,'HR Rep'!$A:$X,MATCH('1) For HR (FIX)'!J$1,'HR Rep'!$A$1:$X$1,0),0),""),"")="","",IFERROR(_xlfn.IFNA(VLOOKUP($A158,'HR Rep'!$A:$X,MATCH('1) For HR (FIX)'!J$1,'HR Rep'!$A$1:$X$1,0),0),""),""))</f>
        <v/>
      </c>
      <c r="K158" s="161">
        <f>_xlfn.XLOOKUP(G158,ค่าตอบแทนการขายในอัตราคงที่!A:A,ค่าตอบแทนการขายในอัตราคงที่!B:B)</f>
        <v>0</v>
      </c>
      <c r="L158" s="174">
        <f>Period!$A$2</f>
        <v>46113</v>
      </c>
      <c r="M158" s="175">
        <f>Period!$C$2</f>
        <v>46143</v>
      </c>
      <c r="N158" s="194" t="s">
        <v>279</v>
      </c>
    </row>
    <row r="159" spans="1:14" ht="11.4" x14ac:dyDescent="0.25">
      <c r="A159" s="137"/>
      <c r="B159" s="169" t="e">
        <f>IF(IF(VLOOKUP(A159,ASTBase!F:P,11,FALSE)="","",VLOOKUP(A159,ASTBase!F:P,11,FALSE))=0,"",IF(VLOOKUP(A159,ASTBase!F:P,11,FALSE)="","",VLOOKUP(A159,ASTBase!F:P,11,FALSE)))</f>
        <v>#N/A</v>
      </c>
      <c r="C159" s="140" t="str">
        <f>IF(IFERROR(_xlfn.IFNA(VLOOKUP($A159,'HR Rep'!$A:$X,MATCH('1) For HR (FIX)'!C$1,'HR Rep'!$A$1:$X$1,0),0),""),"")="","",IFERROR(_xlfn.IFNA(VLOOKUP($A159,'HR Rep'!$A:$X,MATCH('1) For HR (FIX)'!C$1,'HR Rep'!$A$1:$X$1,0),0),""),""))</f>
        <v/>
      </c>
      <c r="D159" s="140" t="str">
        <f>IF(IFERROR(_xlfn.IFNA(VLOOKUP($A159,'HR Rep'!$A:$X,MATCH('1) For HR (FIX)'!D$1,'HR Rep'!$A$1:$X$1,0),0),""),"")="","",IFERROR(_xlfn.IFNA(VLOOKUP($A159,'HR Rep'!$A:$X,MATCH('1) For HR (FIX)'!D$1,'HR Rep'!$A$1:$X$1,0),0),""),""))</f>
        <v/>
      </c>
      <c r="E159" s="140" t="str">
        <f>IF(IFERROR(_xlfn.IFNA(VLOOKUP($A159,'HR Rep'!$A:$X,MATCH('1) For HR (FIX)'!E$1,'HR Rep'!$A$1:$X$1,0),0),""),"")="","",IFERROR(_xlfn.IFNA(VLOOKUP($A159,'HR Rep'!$A:$X,MATCH('1) For HR (FIX)'!E$1,'HR Rep'!$A$1:$X$1,0),0),""),""))</f>
        <v/>
      </c>
      <c r="F159" s="140" t="str">
        <f>IF(IFERROR(_xlfn.IFNA(VLOOKUP($A159,'HR Rep'!$A:$X,MATCH('1) For HR (FIX)'!F$1,'HR Rep'!$A$1:$X$1,0),0),""),"")="","",IFERROR(_xlfn.IFNA(VLOOKUP($A159,'HR Rep'!$A:$X,MATCH('1) For HR (FIX)'!F$1,'HR Rep'!$A$1:$X$1,0),0),""),""))</f>
        <v/>
      </c>
      <c r="G159" s="196"/>
      <c r="H159" s="140" t="str">
        <f>IF(IFERROR(_xlfn.IFNA(VLOOKUP($A159,'HR Rep'!$A:$X,MATCH('1) For HR (FIX)'!H$1,'HR Rep'!$A$1:$X$1,0),0),""),"")="","",IFERROR(_xlfn.IFNA(VLOOKUP($A159,'HR Rep'!$A:$X,MATCH('1) For HR (FIX)'!H$1,'HR Rep'!$A$1:$X$1,0),0),""),""))</f>
        <v/>
      </c>
      <c r="I159" s="140" t="str">
        <f>IF(IFERROR(_xlfn.IFNA(VLOOKUP($A159,'HR Rep'!$A:$X,MATCH('1) For HR (FIX)'!I$1,'HR Rep'!$A$1:$X$1,0),0),""),"")="","",IFERROR(_xlfn.IFNA(VLOOKUP($A159,'HR Rep'!$A:$X,MATCH('1) For HR (FIX)'!I$1,'HR Rep'!$A$1:$X$1,0),0),""),""))</f>
        <v/>
      </c>
      <c r="J159" s="140" t="str">
        <f>IF(IFERROR(_xlfn.IFNA(VLOOKUP($A159,'HR Rep'!$A:$X,MATCH('1) For HR (FIX)'!J$1,'HR Rep'!$A$1:$X$1,0),0),""),"")="","",IFERROR(_xlfn.IFNA(VLOOKUP($A159,'HR Rep'!$A:$X,MATCH('1) For HR (FIX)'!J$1,'HR Rep'!$A$1:$X$1,0),0),""),""))</f>
        <v/>
      </c>
      <c r="K159" s="161">
        <f>_xlfn.XLOOKUP(G159,ค่าตอบแทนการขายในอัตราคงที่!A:A,ค่าตอบแทนการขายในอัตราคงที่!B:B)</f>
        <v>0</v>
      </c>
      <c r="L159" s="174">
        <f>Period!$A$2</f>
        <v>46113</v>
      </c>
      <c r="M159" s="175">
        <f>Period!$C$2</f>
        <v>46143</v>
      </c>
      <c r="N159" s="194" t="s">
        <v>279</v>
      </c>
    </row>
    <row r="160" spans="1:14" ht="11.4" x14ac:dyDescent="0.25">
      <c r="A160" s="137"/>
      <c r="B160" s="169" t="e">
        <f>IF(IF(VLOOKUP(A160,ASTBase!F:P,11,FALSE)="","",VLOOKUP(A160,ASTBase!F:P,11,FALSE))=0,"",IF(VLOOKUP(A160,ASTBase!F:P,11,FALSE)="","",VLOOKUP(A160,ASTBase!F:P,11,FALSE)))</f>
        <v>#N/A</v>
      </c>
      <c r="C160" s="140" t="str">
        <f>IF(IFERROR(_xlfn.IFNA(VLOOKUP($A160,'HR Rep'!$A:$X,MATCH('1) For HR (FIX)'!C$1,'HR Rep'!$A$1:$X$1,0),0),""),"")="","",IFERROR(_xlfn.IFNA(VLOOKUP($A160,'HR Rep'!$A:$X,MATCH('1) For HR (FIX)'!C$1,'HR Rep'!$A$1:$X$1,0),0),""),""))</f>
        <v/>
      </c>
      <c r="D160" s="140" t="str">
        <f>IF(IFERROR(_xlfn.IFNA(VLOOKUP($A160,'HR Rep'!$A:$X,MATCH('1) For HR (FIX)'!D$1,'HR Rep'!$A$1:$X$1,0),0),""),"")="","",IFERROR(_xlfn.IFNA(VLOOKUP($A160,'HR Rep'!$A:$X,MATCH('1) For HR (FIX)'!D$1,'HR Rep'!$A$1:$X$1,0),0),""),""))</f>
        <v/>
      </c>
      <c r="E160" s="140" t="str">
        <f>IF(IFERROR(_xlfn.IFNA(VLOOKUP($A160,'HR Rep'!$A:$X,MATCH('1) For HR (FIX)'!E$1,'HR Rep'!$A$1:$X$1,0),0),""),"")="","",IFERROR(_xlfn.IFNA(VLOOKUP($A160,'HR Rep'!$A:$X,MATCH('1) For HR (FIX)'!E$1,'HR Rep'!$A$1:$X$1,0),0),""),""))</f>
        <v/>
      </c>
      <c r="F160" s="140" t="str">
        <f>IF(IFERROR(_xlfn.IFNA(VLOOKUP($A160,'HR Rep'!$A:$X,MATCH('1) For HR (FIX)'!F$1,'HR Rep'!$A$1:$X$1,0),0),""),"")="","",IFERROR(_xlfn.IFNA(VLOOKUP($A160,'HR Rep'!$A:$X,MATCH('1) For HR (FIX)'!F$1,'HR Rep'!$A$1:$X$1,0),0),""),""))</f>
        <v/>
      </c>
      <c r="G160" s="196"/>
      <c r="H160" s="140" t="str">
        <f>IF(IFERROR(_xlfn.IFNA(VLOOKUP($A160,'HR Rep'!$A:$X,MATCH('1) For HR (FIX)'!H$1,'HR Rep'!$A$1:$X$1,0),0),""),"")="","",IFERROR(_xlfn.IFNA(VLOOKUP($A160,'HR Rep'!$A:$X,MATCH('1) For HR (FIX)'!H$1,'HR Rep'!$A$1:$X$1,0),0),""),""))</f>
        <v/>
      </c>
      <c r="I160" s="140" t="str">
        <f>IF(IFERROR(_xlfn.IFNA(VLOOKUP($A160,'HR Rep'!$A:$X,MATCH('1) For HR (FIX)'!I$1,'HR Rep'!$A$1:$X$1,0),0),""),"")="","",IFERROR(_xlfn.IFNA(VLOOKUP($A160,'HR Rep'!$A:$X,MATCH('1) For HR (FIX)'!I$1,'HR Rep'!$A$1:$X$1,0),0),""),""))</f>
        <v/>
      </c>
      <c r="J160" s="140" t="str">
        <f>IF(IFERROR(_xlfn.IFNA(VLOOKUP($A160,'HR Rep'!$A:$X,MATCH('1) For HR (FIX)'!J$1,'HR Rep'!$A$1:$X$1,0),0),""),"")="","",IFERROR(_xlfn.IFNA(VLOOKUP($A160,'HR Rep'!$A:$X,MATCH('1) For HR (FIX)'!J$1,'HR Rep'!$A$1:$X$1,0),0),""),""))</f>
        <v/>
      </c>
      <c r="K160" s="161">
        <f>_xlfn.XLOOKUP(G160,ค่าตอบแทนการขายในอัตราคงที่!A:A,ค่าตอบแทนการขายในอัตราคงที่!B:B)</f>
        <v>0</v>
      </c>
      <c r="L160" s="174">
        <f>Period!$A$2</f>
        <v>46113</v>
      </c>
      <c r="M160" s="175">
        <f>Period!$C$2</f>
        <v>46143</v>
      </c>
      <c r="N160" s="194" t="s">
        <v>279</v>
      </c>
    </row>
    <row r="161" spans="1:14" ht="11.4" x14ac:dyDescent="0.25">
      <c r="A161" s="137"/>
      <c r="B161" s="169" t="e">
        <f>IF(IF(VLOOKUP(A161,ASTBase!F:P,11,FALSE)="","",VLOOKUP(A161,ASTBase!F:P,11,FALSE))=0,"",IF(VLOOKUP(A161,ASTBase!F:P,11,FALSE)="","",VLOOKUP(A161,ASTBase!F:P,11,FALSE)))</f>
        <v>#N/A</v>
      </c>
      <c r="C161" s="140" t="str">
        <f>IF(IFERROR(_xlfn.IFNA(VLOOKUP($A161,'HR Rep'!$A:$X,MATCH('1) For HR (FIX)'!C$1,'HR Rep'!$A$1:$X$1,0),0),""),"")="","",IFERROR(_xlfn.IFNA(VLOOKUP($A161,'HR Rep'!$A:$X,MATCH('1) For HR (FIX)'!C$1,'HR Rep'!$A$1:$X$1,0),0),""),""))</f>
        <v/>
      </c>
      <c r="D161" s="140" t="str">
        <f>IF(IFERROR(_xlfn.IFNA(VLOOKUP($A161,'HR Rep'!$A:$X,MATCH('1) For HR (FIX)'!D$1,'HR Rep'!$A$1:$X$1,0),0),""),"")="","",IFERROR(_xlfn.IFNA(VLOOKUP($A161,'HR Rep'!$A:$X,MATCH('1) For HR (FIX)'!D$1,'HR Rep'!$A$1:$X$1,0),0),""),""))</f>
        <v/>
      </c>
      <c r="E161" s="140" t="str">
        <f>IF(IFERROR(_xlfn.IFNA(VLOOKUP($A161,'HR Rep'!$A:$X,MATCH('1) For HR (FIX)'!E$1,'HR Rep'!$A$1:$X$1,0),0),""),"")="","",IFERROR(_xlfn.IFNA(VLOOKUP($A161,'HR Rep'!$A:$X,MATCH('1) For HR (FIX)'!E$1,'HR Rep'!$A$1:$X$1,0),0),""),""))</f>
        <v/>
      </c>
      <c r="F161" s="140" t="str">
        <f>IF(IFERROR(_xlfn.IFNA(VLOOKUP($A161,'HR Rep'!$A:$X,MATCH('1) For HR (FIX)'!F$1,'HR Rep'!$A$1:$X$1,0),0),""),"")="","",IFERROR(_xlfn.IFNA(VLOOKUP($A161,'HR Rep'!$A:$X,MATCH('1) For HR (FIX)'!F$1,'HR Rep'!$A$1:$X$1,0),0),""),""))</f>
        <v/>
      </c>
      <c r="G161" s="196"/>
      <c r="H161" s="140" t="str">
        <f>IF(IFERROR(_xlfn.IFNA(VLOOKUP($A161,'HR Rep'!$A:$X,MATCH('1) For HR (FIX)'!H$1,'HR Rep'!$A$1:$X$1,0),0),""),"")="","",IFERROR(_xlfn.IFNA(VLOOKUP($A161,'HR Rep'!$A:$X,MATCH('1) For HR (FIX)'!H$1,'HR Rep'!$A$1:$X$1,0),0),""),""))</f>
        <v/>
      </c>
      <c r="I161" s="140" t="str">
        <f>IF(IFERROR(_xlfn.IFNA(VLOOKUP($A161,'HR Rep'!$A:$X,MATCH('1) For HR (FIX)'!I$1,'HR Rep'!$A$1:$X$1,0),0),""),"")="","",IFERROR(_xlfn.IFNA(VLOOKUP($A161,'HR Rep'!$A:$X,MATCH('1) For HR (FIX)'!I$1,'HR Rep'!$A$1:$X$1,0),0),""),""))</f>
        <v/>
      </c>
      <c r="J161" s="140" t="str">
        <f>IF(IFERROR(_xlfn.IFNA(VLOOKUP($A161,'HR Rep'!$A:$X,MATCH('1) For HR (FIX)'!J$1,'HR Rep'!$A$1:$X$1,0),0),""),"")="","",IFERROR(_xlfn.IFNA(VLOOKUP($A161,'HR Rep'!$A:$X,MATCH('1) For HR (FIX)'!J$1,'HR Rep'!$A$1:$X$1,0),0),""),""))</f>
        <v/>
      </c>
      <c r="K161" s="161">
        <f>_xlfn.XLOOKUP(G161,ค่าตอบแทนการขายในอัตราคงที่!A:A,ค่าตอบแทนการขายในอัตราคงที่!B:B)</f>
        <v>0</v>
      </c>
      <c r="L161" s="174">
        <f>Period!$A$2</f>
        <v>46113</v>
      </c>
      <c r="M161" s="175">
        <f>Period!$C$2</f>
        <v>46143</v>
      </c>
      <c r="N161" s="194" t="s">
        <v>279</v>
      </c>
    </row>
    <row r="162" spans="1:14" ht="11.4" x14ac:dyDescent="0.25">
      <c r="A162" s="137"/>
      <c r="B162" s="169" t="e">
        <f>IF(IF(VLOOKUP(A162,ASTBase!F:P,11,FALSE)="","",VLOOKUP(A162,ASTBase!F:P,11,FALSE))=0,"",IF(VLOOKUP(A162,ASTBase!F:P,11,FALSE)="","",VLOOKUP(A162,ASTBase!F:P,11,FALSE)))</f>
        <v>#N/A</v>
      </c>
      <c r="C162" s="140" t="str">
        <f>IF(IFERROR(_xlfn.IFNA(VLOOKUP($A162,'HR Rep'!$A:$X,MATCH('1) For HR (FIX)'!C$1,'HR Rep'!$A$1:$X$1,0),0),""),"")="","",IFERROR(_xlfn.IFNA(VLOOKUP($A162,'HR Rep'!$A:$X,MATCH('1) For HR (FIX)'!C$1,'HR Rep'!$A$1:$X$1,0),0),""),""))</f>
        <v/>
      </c>
      <c r="D162" s="140" t="str">
        <f>IF(IFERROR(_xlfn.IFNA(VLOOKUP($A162,'HR Rep'!$A:$X,MATCH('1) For HR (FIX)'!D$1,'HR Rep'!$A$1:$X$1,0),0),""),"")="","",IFERROR(_xlfn.IFNA(VLOOKUP($A162,'HR Rep'!$A:$X,MATCH('1) For HR (FIX)'!D$1,'HR Rep'!$A$1:$X$1,0),0),""),""))</f>
        <v/>
      </c>
      <c r="E162" s="140" t="str">
        <f>IF(IFERROR(_xlfn.IFNA(VLOOKUP($A162,'HR Rep'!$A:$X,MATCH('1) For HR (FIX)'!E$1,'HR Rep'!$A$1:$X$1,0),0),""),"")="","",IFERROR(_xlfn.IFNA(VLOOKUP($A162,'HR Rep'!$A:$X,MATCH('1) For HR (FIX)'!E$1,'HR Rep'!$A$1:$X$1,0),0),""),""))</f>
        <v/>
      </c>
      <c r="F162" s="140" t="str">
        <f>IF(IFERROR(_xlfn.IFNA(VLOOKUP($A162,'HR Rep'!$A:$X,MATCH('1) For HR (FIX)'!F$1,'HR Rep'!$A$1:$X$1,0),0),""),"")="","",IFERROR(_xlfn.IFNA(VLOOKUP($A162,'HR Rep'!$A:$X,MATCH('1) For HR (FIX)'!F$1,'HR Rep'!$A$1:$X$1,0),0),""),""))</f>
        <v/>
      </c>
      <c r="G162" s="196"/>
      <c r="H162" s="140" t="str">
        <f>IF(IFERROR(_xlfn.IFNA(VLOOKUP($A162,'HR Rep'!$A:$X,MATCH('1) For HR (FIX)'!H$1,'HR Rep'!$A$1:$X$1,0),0),""),"")="","",IFERROR(_xlfn.IFNA(VLOOKUP($A162,'HR Rep'!$A:$X,MATCH('1) For HR (FIX)'!H$1,'HR Rep'!$A$1:$X$1,0),0),""),""))</f>
        <v/>
      </c>
      <c r="I162" s="140" t="str">
        <f>IF(IFERROR(_xlfn.IFNA(VLOOKUP($A162,'HR Rep'!$A:$X,MATCH('1) For HR (FIX)'!I$1,'HR Rep'!$A$1:$X$1,0),0),""),"")="","",IFERROR(_xlfn.IFNA(VLOOKUP($A162,'HR Rep'!$A:$X,MATCH('1) For HR (FIX)'!I$1,'HR Rep'!$A$1:$X$1,0),0),""),""))</f>
        <v/>
      </c>
      <c r="J162" s="140" t="str">
        <f>IF(IFERROR(_xlfn.IFNA(VLOOKUP($A162,'HR Rep'!$A:$X,MATCH('1) For HR (FIX)'!J$1,'HR Rep'!$A$1:$X$1,0),0),""),"")="","",IFERROR(_xlfn.IFNA(VLOOKUP($A162,'HR Rep'!$A:$X,MATCH('1) For HR (FIX)'!J$1,'HR Rep'!$A$1:$X$1,0),0),""),""))</f>
        <v/>
      </c>
      <c r="K162" s="161">
        <f>_xlfn.XLOOKUP(G162,ค่าตอบแทนการขายในอัตราคงที่!A:A,ค่าตอบแทนการขายในอัตราคงที่!B:B)</f>
        <v>0</v>
      </c>
      <c r="L162" s="174">
        <f>Period!$A$2</f>
        <v>46113</v>
      </c>
      <c r="M162" s="175">
        <f>Period!$C$2</f>
        <v>46143</v>
      </c>
      <c r="N162" s="194" t="s">
        <v>279</v>
      </c>
    </row>
    <row r="163" spans="1:14" ht="11.4" x14ac:dyDescent="0.25">
      <c r="A163" s="137"/>
      <c r="B163" s="169" t="e">
        <f>IF(IF(VLOOKUP(A163,ASTBase!F:P,11,FALSE)="","",VLOOKUP(A163,ASTBase!F:P,11,FALSE))=0,"",IF(VLOOKUP(A163,ASTBase!F:P,11,FALSE)="","",VLOOKUP(A163,ASTBase!F:P,11,FALSE)))</f>
        <v>#N/A</v>
      </c>
      <c r="C163" s="140" t="str">
        <f>IF(IFERROR(_xlfn.IFNA(VLOOKUP($A163,'HR Rep'!$A:$X,MATCH('1) For HR (FIX)'!C$1,'HR Rep'!$A$1:$X$1,0),0),""),"")="","",IFERROR(_xlfn.IFNA(VLOOKUP($A163,'HR Rep'!$A:$X,MATCH('1) For HR (FIX)'!C$1,'HR Rep'!$A$1:$X$1,0),0),""),""))</f>
        <v/>
      </c>
      <c r="D163" s="140" t="str">
        <f>IF(IFERROR(_xlfn.IFNA(VLOOKUP($A163,'HR Rep'!$A:$X,MATCH('1) For HR (FIX)'!D$1,'HR Rep'!$A$1:$X$1,0),0),""),"")="","",IFERROR(_xlfn.IFNA(VLOOKUP($A163,'HR Rep'!$A:$X,MATCH('1) For HR (FIX)'!D$1,'HR Rep'!$A$1:$X$1,0),0),""),""))</f>
        <v/>
      </c>
      <c r="E163" s="140" t="str">
        <f>IF(IFERROR(_xlfn.IFNA(VLOOKUP($A163,'HR Rep'!$A:$X,MATCH('1) For HR (FIX)'!E$1,'HR Rep'!$A$1:$X$1,0),0),""),"")="","",IFERROR(_xlfn.IFNA(VLOOKUP($A163,'HR Rep'!$A:$X,MATCH('1) For HR (FIX)'!E$1,'HR Rep'!$A$1:$X$1,0),0),""),""))</f>
        <v/>
      </c>
      <c r="F163" s="140" t="str">
        <f>IF(IFERROR(_xlfn.IFNA(VLOOKUP($A163,'HR Rep'!$A:$X,MATCH('1) For HR (FIX)'!F$1,'HR Rep'!$A$1:$X$1,0),0),""),"")="","",IFERROR(_xlfn.IFNA(VLOOKUP($A163,'HR Rep'!$A:$X,MATCH('1) For HR (FIX)'!F$1,'HR Rep'!$A$1:$X$1,0),0),""),""))</f>
        <v/>
      </c>
      <c r="G163" s="196"/>
      <c r="H163" s="140" t="str">
        <f>IF(IFERROR(_xlfn.IFNA(VLOOKUP($A163,'HR Rep'!$A:$X,MATCH('1) For HR (FIX)'!H$1,'HR Rep'!$A$1:$X$1,0),0),""),"")="","",IFERROR(_xlfn.IFNA(VLOOKUP($A163,'HR Rep'!$A:$X,MATCH('1) For HR (FIX)'!H$1,'HR Rep'!$A$1:$X$1,0),0),""),""))</f>
        <v/>
      </c>
      <c r="I163" s="140" t="str">
        <f>IF(IFERROR(_xlfn.IFNA(VLOOKUP($A163,'HR Rep'!$A:$X,MATCH('1) For HR (FIX)'!I$1,'HR Rep'!$A$1:$X$1,0),0),""),"")="","",IFERROR(_xlfn.IFNA(VLOOKUP($A163,'HR Rep'!$A:$X,MATCH('1) For HR (FIX)'!I$1,'HR Rep'!$A$1:$X$1,0),0),""),""))</f>
        <v/>
      </c>
      <c r="J163" s="140" t="str">
        <f>IF(IFERROR(_xlfn.IFNA(VLOOKUP($A163,'HR Rep'!$A:$X,MATCH('1) For HR (FIX)'!J$1,'HR Rep'!$A$1:$X$1,0),0),""),"")="","",IFERROR(_xlfn.IFNA(VLOOKUP($A163,'HR Rep'!$A:$X,MATCH('1) For HR (FIX)'!J$1,'HR Rep'!$A$1:$X$1,0),0),""),""))</f>
        <v/>
      </c>
      <c r="K163" s="161">
        <f>_xlfn.XLOOKUP(G163,ค่าตอบแทนการขายในอัตราคงที่!A:A,ค่าตอบแทนการขายในอัตราคงที่!B:B)</f>
        <v>0</v>
      </c>
      <c r="L163" s="174">
        <f>Period!$A$2</f>
        <v>46113</v>
      </c>
      <c r="M163" s="175">
        <f>Period!$C$2</f>
        <v>46143</v>
      </c>
      <c r="N163" s="194" t="s">
        <v>279</v>
      </c>
    </row>
    <row r="164" spans="1:14" ht="11.4" x14ac:dyDescent="0.25">
      <c r="A164" s="137"/>
      <c r="B164" s="169" t="e">
        <f>IF(IF(VLOOKUP(A164,ASTBase!F:P,11,FALSE)="","",VLOOKUP(A164,ASTBase!F:P,11,FALSE))=0,"",IF(VLOOKUP(A164,ASTBase!F:P,11,FALSE)="","",VLOOKUP(A164,ASTBase!F:P,11,FALSE)))</f>
        <v>#N/A</v>
      </c>
      <c r="C164" s="140" t="str">
        <f>IF(IFERROR(_xlfn.IFNA(VLOOKUP($A164,'HR Rep'!$A:$X,MATCH('1) For HR (FIX)'!C$1,'HR Rep'!$A$1:$X$1,0),0),""),"")="","",IFERROR(_xlfn.IFNA(VLOOKUP($A164,'HR Rep'!$A:$X,MATCH('1) For HR (FIX)'!C$1,'HR Rep'!$A$1:$X$1,0),0),""),""))</f>
        <v/>
      </c>
      <c r="D164" s="140" t="str">
        <f>IF(IFERROR(_xlfn.IFNA(VLOOKUP($A164,'HR Rep'!$A:$X,MATCH('1) For HR (FIX)'!D$1,'HR Rep'!$A$1:$X$1,0),0),""),"")="","",IFERROR(_xlfn.IFNA(VLOOKUP($A164,'HR Rep'!$A:$X,MATCH('1) For HR (FIX)'!D$1,'HR Rep'!$A$1:$X$1,0),0),""),""))</f>
        <v/>
      </c>
      <c r="E164" s="140" t="str">
        <f>IF(IFERROR(_xlfn.IFNA(VLOOKUP($A164,'HR Rep'!$A:$X,MATCH('1) For HR (FIX)'!E$1,'HR Rep'!$A$1:$X$1,0),0),""),"")="","",IFERROR(_xlfn.IFNA(VLOOKUP($A164,'HR Rep'!$A:$X,MATCH('1) For HR (FIX)'!E$1,'HR Rep'!$A$1:$X$1,0),0),""),""))</f>
        <v/>
      </c>
      <c r="F164" s="140" t="str">
        <f>IF(IFERROR(_xlfn.IFNA(VLOOKUP($A164,'HR Rep'!$A:$X,MATCH('1) For HR (FIX)'!F$1,'HR Rep'!$A$1:$X$1,0),0),""),"")="","",IFERROR(_xlfn.IFNA(VLOOKUP($A164,'HR Rep'!$A:$X,MATCH('1) For HR (FIX)'!F$1,'HR Rep'!$A$1:$X$1,0),0),""),""))</f>
        <v/>
      </c>
      <c r="G164" s="196"/>
      <c r="H164" s="140" t="str">
        <f>IF(IFERROR(_xlfn.IFNA(VLOOKUP($A164,'HR Rep'!$A:$X,MATCH('1) For HR (FIX)'!H$1,'HR Rep'!$A$1:$X$1,0),0),""),"")="","",IFERROR(_xlfn.IFNA(VLOOKUP($A164,'HR Rep'!$A:$X,MATCH('1) For HR (FIX)'!H$1,'HR Rep'!$A$1:$X$1,0),0),""),""))</f>
        <v/>
      </c>
      <c r="I164" s="140" t="str">
        <f>IF(IFERROR(_xlfn.IFNA(VLOOKUP($A164,'HR Rep'!$A:$X,MATCH('1) For HR (FIX)'!I$1,'HR Rep'!$A$1:$X$1,0),0),""),"")="","",IFERROR(_xlfn.IFNA(VLOOKUP($A164,'HR Rep'!$A:$X,MATCH('1) For HR (FIX)'!I$1,'HR Rep'!$A$1:$X$1,0),0),""),""))</f>
        <v/>
      </c>
      <c r="J164" s="140" t="str">
        <f>IF(IFERROR(_xlfn.IFNA(VLOOKUP($A164,'HR Rep'!$A:$X,MATCH('1) For HR (FIX)'!J$1,'HR Rep'!$A$1:$X$1,0),0),""),"")="","",IFERROR(_xlfn.IFNA(VLOOKUP($A164,'HR Rep'!$A:$X,MATCH('1) For HR (FIX)'!J$1,'HR Rep'!$A$1:$X$1,0),0),""),""))</f>
        <v/>
      </c>
      <c r="K164" s="161">
        <f>_xlfn.XLOOKUP(G164,ค่าตอบแทนการขายในอัตราคงที่!A:A,ค่าตอบแทนการขายในอัตราคงที่!B:B)</f>
        <v>0</v>
      </c>
      <c r="L164" s="174">
        <f>Period!$A$2</f>
        <v>46113</v>
      </c>
      <c r="M164" s="175">
        <f>Period!$C$2</f>
        <v>46143</v>
      </c>
      <c r="N164" s="194" t="s">
        <v>279</v>
      </c>
    </row>
    <row r="165" spans="1:14" ht="11.4" x14ac:dyDescent="0.25">
      <c r="A165" s="137"/>
      <c r="B165" s="169" t="e">
        <f>IF(IF(VLOOKUP(A165,ASTBase!F:P,11,FALSE)="","",VLOOKUP(A165,ASTBase!F:P,11,FALSE))=0,"",IF(VLOOKUP(A165,ASTBase!F:P,11,FALSE)="","",VLOOKUP(A165,ASTBase!F:P,11,FALSE)))</f>
        <v>#N/A</v>
      </c>
      <c r="C165" s="140" t="str">
        <f>IF(IFERROR(_xlfn.IFNA(VLOOKUP($A165,'HR Rep'!$A:$X,MATCH('1) For HR (FIX)'!C$1,'HR Rep'!$A$1:$X$1,0),0),""),"")="","",IFERROR(_xlfn.IFNA(VLOOKUP($A165,'HR Rep'!$A:$X,MATCH('1) For HR (FIX)'!C$1,'HR Rep'!$A$1:$X$1,0),0),""),""))</f>
        <v/>
      </c>
      <c r="D165" s="140" t="str">
        <f>IF(IFERROR(_xlfn.IFNA(VLOOKUP($A165,'HR Rep'!$A:$X,MATCH('1) For HR (FIX)'!D$1,'HR Rep'!$A$1:$X$1,0),0),""),"")="","",IFERROR(_xlfn.IFNA(VLOOKUP($A165,'HR Rep'!$A:$X,MATCH('1) For HR (FIX)'!D$1,'HR Rep'!$A$1:$X$1,0),0),""),""))</f>
        <v/>
      </c>
      <c r="E165" s="140" t="str">
        <f>IF(IFERROR(_xlfn.IFNA(VLOOKUP($A165,'HR Rep'!$A:$X,MATCH('1) For HR (FIX)'!E$1,'HR Rep'!$A$1:$X$1,0),0),""),"")="","",IFERROR(_xlfn.IFNA(VLOOKUP($A165,'HR Rep'!$A:$X,MATCH('1) For HR (FIX)'!E$1,'HR Rep'!$A$1:$X$1,0),0),""),""))</f>
        <v/>
      </c>
      <c r="F165" s="140" t="str">
        <f>IF(IFERROR(_xlfn.IFNA(VLOOKUP($A165,'HR Rep'!$A:$X,MATCH('1) For HR (FIX)'!F$1,'HR Rep'!$A$1:$X$1,0),0),""),"")="","",IFERROR(_xlfn.IFNA(VLOOKUP($A165,'HR Rep'!$A:$X,MATCH('1) For HR (FIX)'!F$1,'HR Rep'!$A$1:$X$1,0),0),""),""))</f>
        <v/>
      </c>
      <c r="G165" s="196"/>
      <c r="H165" s="140" t="str">
        <f>IF(IFERROR(_xlfn.IFNA(VLOOKUP($A165,'HR Rep'!$A:$X,MATCH('1) For HR (FIX)'!H$1,'HR Rep'!$A$1:$X$1,0),0),""),"")="","",IFERROR(_xlfn.IFNA(VLOOKUP($A165,'HR Rep'!$A:$X,MATCH('1) For HR (FIX)'!H$1,'HR Rep'!$A$1:$X$1,0),0),""),""))</f>
        <v/>
      </c>
      <c r="I165" s="140" t="str">
        <f>IF(IFERROR(_xlfn.IFNA(VLOOKUP($A165,'HR Rep'!$A:$X,MATCH('1) For HR (FIX)'!I$1,'HR Rep'!$A$1:$X$1,0),0),""),"")="","",IFERROR(_xlfn.IFNA(VLOOKUP($A165,'HR Rep'!$A:$X,MATCH('1) For HR (FIX)'!I$1,'HR Rep'!$A$1:$X$1,0),0),""),""))</f>
        <v/>
      </c>
      <c r="J165" s="140" t="str">
        <f>IF(IFERROR(_xlfn.IFNA(VLOOKUP($A165,'HR Rep'!$A:$X,MATCH('1) For HR (FIX)'!J$1,'HR Rep'!$A$1:$X$1,0),0),""),"")="","",IFERROR(_xlfn.IFNA(VLOOKUP($A165,'HR Rep'!$A:$X,MATCH('1) For HR (FIX)'!J$1,'HR Rep'!$A$1:$X$1,0),0),""),""))</f>
        <v/>
      </c>
      <c r="K165" s="161">
        <f>_xlfn.XLOOKUP(G165,ค่าตอบแทนการขายในอัตราคงที่!A:A,ค่าตอบแทนการขายในอัตราคงที่!B:B)</f>
        <v>0</v>
      </c>
      <c r="L165" s="174">
        <f>Period!$A$2</f>
        <v>46113</v>
      </c>
      <c r="M165" s="175">
        <f>Period!$C$2</f>
        <v>46143</v>
      </c>
      <c r="N165" s="194" t="s">
        <v>279</v>
      </c>
    </row>
    <row r="166" spans="1:14" ht="11.4" x14ac:dyDescent="0.25">
      <c r="A166" s="137"/>
      <c r="B166" s="169" t="e">
        <f>IF(IF(VLOOKUP(A166,ASTBase!F:P,11,FALSE)="","",VLOOKUP(A166,ASTBase!F:P,11,FALSE))=0,"",IF(VLOOKUP(A166,ASTBase!F:P,11,FALSE)="","",VLOOKUP(A166,ASTBase!F:P,11,FALSE)))</f>
        <v>#N/A</v>
      </c>
      <c r="C166" s="140" t="str">
        <f>IF(IFERROR(_xlfn.IFNA(VLOOKUP($A166,'HR Rep'!$A:$X,MATCH('1) For HR (FIX)'!C$1,'HR Rep'!$A$1:$X$1,0),0),""),"")="","",IFERROR(_xlfn.IFNA(VLOOKUP($A166,'HR Rep'!$A:$X,MATCH('1) For HR (FIX)'!C$1,'HR Rep'!$A$1:$X$1,0),0),""),""))</f>
        <v/>
      </c>
      <c r="D166" s="140" t="str">
        <f>IF(IFERROR(_xlfn.IFNA(VLOOKUP($A166,'HR Rep'!$A:$X,MATCH('1) For HR (FIX)'!D$1,'HR Rep'!$A$1:$X$1,0),0),""),"")="","",IFERROR(_xlfn.IFNA(VLOOKUP($A166,'HR Rep'!$A:$X,MATCH('1) For HR (FIX)'!D$1,'HR Rep'!$A$1:$X$1,0),0),""),""))</f>
        <v/>
      </c>
      <c r="E166" s="140" t="str">
        <f>IF(IFERROR(_xlfn.IFNA(VLOOKUP($A166,'HR Rep'!$A:$X,MATCH('1) For HR (FIX)'!E$1,'HR Rep'!$A$1:$X$1,0),0),""),"")="","",IFERROR(_xlfn.IFNA(VLOOKUP($A166,'HR Rep'!$A:$X,MATCH('1) For HR (FIX)'!E$1,'HR Rep'!$A$1:$X$1,0),0),""),""))</f>
        <v/>
      </c>
      <c r="F166" s="140" t="str">
        <f>IF(IFERROR(_xlfn.IFNA(VLOOKUP($A166,'HR Rep'!$A:$X,MATCH('1) For HR (FIX)'!F$1,'HR Rep'!$A$1:$X$1,0),0),""),"")="","",IFERROR(_xlfn.IFNA(VLOOKUP($A166,'HR Rep'!$A:$X,MATCH('1) For HR (FIX)'!F$1,'HR Rep'!$A$1:$X$1,0),0),""),""))</f>
        <v/>
      </c>
      <c r="G166" s="196"/>
      <c r="H166" s="140" t="str">
        <f>IF(IFERROR(_xlfn.IFNA(VLOOKUP($A166,'HR Rep'!$A:$X,MATCH('1) For HR (FIX)'!H$1,'HR Rep'!$A$1:$X$1,0),0),""),"")="","",IFERROR(_xlfn.IFNA(VLOOKUP($A166,'HR Rep'!$A:$X,MATCH('1) For HR (FIX)'!H$1,'HR Rep'!$A$1:$X$1,0),0),""),""))</f>
        <v/>
      </c>
      <c r="I166" s="140" t="str">
        <f>IF(IFERROR(_xlfn.IFNA(VLOOKUP($A166,'HR Rep'!$A:$X,MATCH('1) For HR (FIX)'!I$1,'HR Rep'!$A$1:$X$1,0),0),""),"")="","",IFERROR(_xlfn.IFNA(VLOOKUP($A166,'HR Rep'!$A:$X,MATCH('1) For HR (FIX)'!I$1,'HR Rep'!$A$1:$X$1,0),0),""),""))</f>
        <v/>
      </c>
      <c r="J166" s="140" t="str">
        <f>IF(IFERROR(_xlfn.IFNA(VLOOKUP($A166,'HR Rep'!$A:$X,MATCH('1) For HR (FIX)'!J$1,'HR Rep'!$A$1:$X$1,0),0),""),"")="","",IFERROR(_xlfn.IFNA(VLOOKUP($A166,'HR Rep'!$A:$X,MATCH('1) For HR (FIX)'!J$1,'HR Rep'!$A$1:$X$1,0),0),""),""))</f>
        <v/>
      </c>
      <c r="K166" s="161">
        <f>_xlfn.XLOOKUP(G166,ค่าตอบแทนการขายในอัตราคงที่!A:A,ค่าตอบแทนการขายในอัตราคงที่!B:B)</f>
        <v>0</v>
      </c>
      <c r="L166" s="174">
        <f>Period!$A$2</f>
        <v>46113</v>
      </c>
      <c r="M166" s="175">
        <f>Period!$C$2</f>
        <v>46143</v>
      </c>
      <c r="N166" s="194" t="s">
        <v>279</v>
      </c>
    </row>
    <row r="167" spans="1:14" ht="11.4" x14ac:dyDescent="0.25">
      <c r="A167" s="137"/>
      <c r="B167" s="169" t="e">
        <f>IF(IF(VLOOKUP(A167,ASTBase!F:P,11,FALSE)="","",VLOOKUP(A167,ASTBase!F:P,11,FALSE))=0,"",IF(VLOOKUP(A167,ASTBase!F:P,11,FALSE)="","",VLOOKUP(A167,ASTBase!F:P,11,FALSE)))</f>
        <v>#N/A</v>
      </c>
      <c r="C167" s="140" t="str">
        <f>IF(IFERROR(_xlfn.IFNA(VLOOKUP($A167,'HR Rep'!$A:$X,MATCH('1) For HR (FIX)'!C$1,'HR Rep'!$A$1:$X$1,0),0),""),"")="","",IFERROR(_xlfn.IFNA(VLOOKUP($A167,'HR Rep'!$A:$X,MATCH('1) For HR (FIX)'!C$1,'HR Rep'!$A$1:$X$1,0),0),""),""))</f>
        <v/>
      </c>
      <c r="D167" s="140" t="str">
        <f>IF(IFERROR(_xlfn.IFNA(VLOOKUP($A167,'HR Rep'!$A:$X,MATCH('1) For HR (FIX)'!D$1,'HR Rep'!$A$1:$X$1,0),0),""),"")="","",IFERROR(_xlfn.IFNA(VLOOKUP($A167,'HR Rep'!$A:$X,MATCH('1) For HR (FIX)'!D$1,'HR Rep'!$A$1:$X$1,0),0),""),""))</f>
        <v/>
      </c>
      <c r="E167" s="140" t="str">
        <f>IF(IFERROR(_xlfn.IFNA(VLOOKUP($A167,'HR Rep'!$A:$X,MATCH('1) For HR (FIX)'!E$1,'HR Rep'!$A$1:$X$1,0),0),""),"")="","",IFERROR(_xlfn.IFNA(VLOOKUP($A167,'HR Rep'!$A:$X,MATCH('1) For HR (FIX)'!E$1,'HR Rep'!$A$1:$X$1,0),0),""),""))</f>
        <v/>
      </c>
      <c r="F167" s="140" t="str">
        <f>IF(IFERROR(_xlfn.IFNA(VLOOKUP($A167,'HR Rep'!$A:$X,MATCH('1) For HR (FIX)'!F$1,'HR Rep'!$A$1:$X$1,0),0),""),"")="","",IFERROR(_xlfn.IFNA(VLOOKUP($A167,'HR Rep'!$A:$X,MATCH('1) For HR (FIX)'!F$1,'HR Rep'!$A$1:$X$1,0),0),""),""))</f>
        <v/>
      </c>
      <c r="G167" s="196"/>
      <c r="H167" s="140" t="str">
        <f>IF(IFERROR(_xlfn.IFNA(VLOOKUP($A167,'HR Rep'!$A:$X,MATCH('1) For HR (FIX)'!H$1,'HR Rep'!$A$1:$X$1,0),0),""),"")="","",IFERROR(_xlfn.IFNA(VLOOKUP($A167,'HR Rep'!$A:$X,MATCH('1) For HR (FIX)'!H$1,'HR Rep'!$A$1:$X$1,0),0),""),""))</f>
        <v/>
      </c>
      <c r="I167" s="140" t="str">
        <f>IF(IFERROR(_xlfn.IFNA(VLOOKUP($A167,'HR Rep'!$A:$X,MATCH('1) For HR (FIX)'!I$1,'HR Rep'!$A$1:$X$1,0),0),""),"")="","",IFERROR(_xlfn.IFNA(VLOOKUP($A167,'HR Rep'!$A:$X,MATCH('1) For HR (FIX)'!I$1,'HR Rep'!$A$1:$X$1,0),0),""),""))</f>
        <v/>
      </c>
      <c r="J167" s="140" t="str">
        <f>IF(IFERROR(_xlfn.IFNA(VLOOKUP($A167,'HR Rep'!$A:$X,MATCH('1) For HR (FIX)'!J$1,'HR Rep'!$A$1:$X$1,0),0),""),"")="","",IFERROR(_xlfn.IFNA(VLOOKUP($A167,'HR Rep'!$A:$X,MATCH('1) For HR (FIX)'!J$1,'HR Rep'!$A$1:$X$1,0),0),""),""))</f>
        <v/>
      </c>
      <c r="K167" s="161">
        <f>_xlfn.XLOOKUP(G167,ค่าตอบแทนการขายในอัตราคงที่!A:A,ค่าตอบแทนการขายในอัตราคงที่!B:B)</f>
        <v>0</v>
      </c>
      <c r="L167" s="174">
        <f>Period!$A$2</f>
        <v>46113</v>
      </c>
      <c r="M167" s="175">
        <f>Period!$C$2</f>
        <v>46143</v>
      </c>
      <c r="N167" s="194" t="s">
        <v>279</v>
      </c>
    </row>
    <row r="168" spans="1:14" ht="11.4" x14ac:dyDescent="0.25">
      <c r="A168" s="137"/>
      <c r="B168" s="169" t="e">
        <f>IF(IF(VLOOKUP(A168,ASTBase!F:P,11,FALSE)="","",VLOOKUP(A168,ASTBase!F:P,11,FALSE))=0,"",IF(VLOOKUP(A168,ASTBase!F:P,11,FALSE)="","",VLOOKUP(A168,ASTBase!F:P,11,FALSE)))</f>
        <v>#N/A</v>
      </c>
      <c r="C168" s="140" t="str">
        <f>IF(IFERROR(_xlfn.IFNA(VLOOKUP($A168,'HR Rep'!$A:$X,MATCH('1) For HR (FIX)'!C$1,'HR Rep'!$A$1:$X$1,0),0),""),"")="","",IFERROR(_xlfn.IFNA(VLOOKUP($A168,'HR Rep'!$A:$X,MATCH('1) For HR (FIX)'!C$1,'HR Rep'!$A$1:$X$1,0),0),""),""))</f>
        <v/>
      </c>
      <c r="D168" s="140" t="str">
        <f>IF(IFERROR(_xlfn.IFNA(VLOOKUP($A168,'HR Rep'!$A:$X,MATCH('1) For HR (FIX)'!D$1,'HR Rep'!$A$1:$X$1,0),0),""),"")="","",IFERROR(_xlfn.IFNA(VLOOKUP($A168,'HR Rep'!$A:$X,MATCH('1) For HR (FIX)'!D$1,'HR Rep'!$A$1:$X$1,0),0),""),""))</f>
        <v/>
      </c>
      <c r="E168" s="140" t="str">
        <f>IF(IFERROR(_xlfn.IFNA(VLOOKUP($A168,'HR Rep'!$A:$X,MATCH('1) For HR (FIX)'!E$1,'HR Rep'!$A$1:$X$1,0),0),""),"")="","",IFERROR(_xlfn.IFNA(VLOOKUP($A168,'HR Rep'!$A:$X,MATCH('1) For HR (FIX)'!E$1,'HR Rep'!$A$1:$X$1,0),0),""),""))</f>
        <v/>
      </c>
      <c r="F168" s="140" t="str">
        <f>IF(IFERROR(_xlfn.IFNA(VLOOKUP($A168,'HR Rep'!$A:$X,MATCH('1) For HR (FIX)'!F$1,'HR Rep'!$A$1:$X$1,0),0),""),"")="","",IFERROR(_xlfn.IFNA(VLOOKUP($A168,'HR Rep'!$A:$X,MATCH('1) For HR (FIX)'!F$1,'HR Rep'!$A$1:$X$1,0),0),""),""))</f>
        <v/>
      </c>
      <c r="G168" s="196"/>
      <c r="H168" s="140" t="str">
        <f>IF(IFERROR(_xlfn.IFNA(VLOOKUP($A168,'HR Rep'!$A:$X,MATCH('1) For HR (FIX)'!H$1,'HR Rep'!$A$1:$X$1,0),0),""),"")="","",IFERROR(_xlfn.IFNA(VLOOKUP($A168,'HR Rep'!$A:$X,MATCH('1) For HR (FIX)'!H$1,'HR Rep'!$A$1:$X$1,0),0),""),""))</f>
        <v/>
      </c>
      <c r="I168" s="140" t="str">
        <f>IF(IFERROR(_xlfn.IFNA(VLOOKUP($A168,'HR Rep'!$A:$X,MATCH('1) For HR (FIX)'!I$1,'HR Rep'!$A$1:$X$1,0),0),""),"")="","",IFERROR(_xlfn.IFNA(VLOOKUP($A168,'HR Rep'!$A:$X,MATCH('1) For HR (FIX)'!I$1,'HR Rep'!$A$1:$X$1,0),0),""),""))</f>
        <v/>
      </c>
      <c r="J168" s="140" t="str">
        <f>IF(IFERROR(_xlfn.IFNA(VLOOKUP($A168,'HR Rep'!$A:$X,MATCH('1) For HR (FIX)'!J$1,'HR Rep'!$A$1:$X$1,0),0),""),"")="","",IFERROR(_xlfn.IFNA(VLOOKUP($A168,'HR Rep'!$A:$X,MATCH('1) For HR (FIX)'!J$1,'HR Rep'!$A$1:$X$1,0),0),""),""))</f>
        <v/>
      </c>
      <c r="K168" s="161">
        <f>_xlfn.XLOOKUP(G168,ค่าตอบแทนการขายในอัตราคงที่!A:A,ค่าตอบแทนการขายในอัตราคงที่!B:B)</f>
        <v>0</v>
      </c>
      <c r="L168" s="174">
        <f>Period!$A$2</f>
        <v>46113</v>
      </c>
      <c r="M168" s="175">
        <f>Period!$C$2</f>
        <v>46143</v>
      </c>
      <c r="N168" s="194" t="s">
        <v>279</v>
      </c>
    </row>
    <row r="169" spans="1:14" ht="11.4" x14ac:dyDescent="0.25">
      <c r="A169" s="137"/>
      <c r="B169" s="169" t="e">
        <f>IF(IF(VLOOKUP(A169,ASTBase!F:P,11,FALSE)="","",VLOOKUP(A169,ASTBase!F:P,11,FALSE))=0,"",IF(VLOOKUP(A169,ASTBase!F:P,11,FALSE)="","",VLOOKUP(A169,ASTBase!F:P,11,FALSE)))</f>
        <v>#N/A</v>
      </c>
      <c r="C169" s="140" t="str">
        <f>IF(IFERROR(_xlfn.IFNA(VLOOKUP($A169,'HR Rep'!$A:$X,MATCH('1) For HR (FIX)'!C$1,'HR Rep'!$A$1:$X$1,0),0),""),"")="","",IFERROR(_xlfn.IFNA(VLOOKUP($A169,'HR Rep'!$A:$X,MATCH('1) For HR (FIX)'!C$1,'HR Rep'!$A$1:$X$1,0),0),""),""))</f>
        <v/>
      </c>
      <c r="D169" s="140" t="str">
        <f>IF(IFERROR(_xlfn.IFNA(VLOOKUP($A169,'HR Rep'!$A:$X,MATCH('1) For HR (FIX)'!D$1,'HR Rep'!$A$1:$X$1,0),0),""),"")="","",IFERROR(_xlfn.IFNA(VLOOKUP($A169,'HR Rep'!$A:$X,MATCH('1) For HR (FIX)'!D$1,'HR Rep'!$A$1:$X$1,0),0),""),""))</f>
        <v/>
      </c>
      <c r="E169" s="140" t="str">
        <f>IF(IFERROR(_xlfn.IFNA(VLOOKUP($A169,'HR Rep'!$A:$X,MATCH('1) For HR (FIX)'!E$1,'HR Rep'!$A$1:$X$1,0),0),""),"")="","",IFERROR(_xlfn.IFNA(VLOOKUP($A169,'HR Rep'!$A:$X,MATCH('1) For HR (FIX)'!E$1,'HR Rep'!$A$1:$X$1,0),0),""),""))</f>
        <v/>
      </c>
      <c r="F169" s="140" t="str">
        <f>IF(IFERROR(_xlfn.IFNA(VLOOKUP($A169,'HR Rep'!$A:$X,MATCH('1) For HR (FIX)'!F$1,'HR Rep'!$A$1:$X$1,0),0),""),"")="","",IFERROR(_xlfn.IFNA(VLOOKUP($A169,'HR Rep'!$A:$X,MATCH('1) For HR (FIX)'!F$1,'HR Rep'!$A$1:$X$1,0),0),""),""))</f>
        <v/>
      </c>
      <c r="G169" s="196"/>
      <c r="H169" s="140" t="str">
        <f>IF(IFERROR(_xlfn.IFNA(VLOOKUP($A169,'HR Rep'!$A:$X,MATCH('1) For HR (FIX)'!H$1,'HR Rep'!$A$1:$X$1,0),0),""),"")="","",IFERROR(_xlfn.IFNA(VLOOKUP($A169,'HR Rep'!$A:$X,MATCH('1) For HR (FIX)'!H$1,'HR Rep'!$A$1:$X$1,0),0),""),""))</f>
        <v/>
      </c>
      <c r="I169" s="140" t="str">
        <f>IF(IFERROR(_xlfn.IFNA(VLOOKUP($A169,'HR Rep'!$A:$X,MATCH('1) For HR (FIX)'!I$1,'HR Rep'!$A$1:$X$1,0),0),""),"")="","",IFERROR(_xlfn.IFNA(VLOOKUP($A169,'HR Rep'!$A:$X,MATCH('1) For HR (FIX)'!I$1,'HR Rep'!$A$1:$X$1,0),0),""),""))</f>
        <v/>
      </c>
      <c r="J169" s="140" t="str">
        <f>IF(IFERROR(_xlfn.IFNA(VLOOKUP($A169,'HR Rep'!$A:$X,MATCH('1) For HR (FIX)'!J$1,'HR Rep'!$A$1:$X$1,0),0),""),"")="","",IFERROR(_xlfn.IFNA(VLOOKUP($A169,'HR Rep'!$A:$X,MATCH('1) For HR (FIX)'!J$1,'HR Rep'!$A$1:$X$1,0),0),""),""))</f>
        <v/>
      </c>
      <c r="K169" s="161">
        <f>_xlfn.XLOOKUP(G169,ค่าตอบแทนการขายในอัตราคงที่!A:A,ค่าตอบแทนการขายในอัตราคงที่!B:B)</f>
        <v>0</v>
      </c>
      <c r="L169" s="174">
        <f>Period!$A$2</f>
        <v>46113</v>
      </c>
      <c r="M169" s="175">
        <f>Period!$C$2</f>
        <v>46143</v>
      </c>
      <c r="N169" s="194" t="s">
        <v>279</v>
      </c>
    </row>
    <row r="170" spans="1:14" ht="11.4" x14ac:dyDescent="0.25">
      <c r="A170" s="137"/>
      <c r="B170" s="169" t="e">
        <f>IF(IF(VLOOKUP(A170,ASTBase!F:P,11,FALSE)="","",VLOOKUP(A170,ASTBase!F:P,11,FALSE))=0,"",IF(VLOOKUP(A170,ASTBase!F:P,11,FALSE)="","",VLOOKUP(A170,ASTBase!F:P,11,FALSE)))</f>
        <v>#N/A</v>
      </c>
      <c r="C170" s="140" t="str">
        <f>IF(IFERROR(_xlfn.IFNA(VLOOKUP($A170,'HR Rep'!$A:$X,MATCH('1) For HR (FIX)'!C$1,'HR Rep'!$A$1:$X$1,0),0),""),"")="","",IFERROR(_xlfn.IFNA(VLOOKUP($A170,'HR Rep'!$A:$X,MATCH('1) For HR (FIX)'!C$1,'HR Rep'!$A$1:$X$1,0),0),""),""))</f>
        <v/>
      </c>
      <c r="D170" s="140" t="str">
        <f>IF(IFERROR(_xlfn.IFNA(VLOOKUP($A170,'HR Rep'!$A:$X,MATCH('1) For HR (FIX)'!D$1,'HR Rep'!$A$1:$X$1,0),0),""),"")="","",IFERROR(_xlfn.IFNA(VLOOKUP($A170,'HR Rep'!$A:$X,MATCH('1) For HR (FIX)'!D$1,'HR Rep'!$A$1:$X$1,0),0),""),""))</f>
        <v/>
      </c>
      <c r="E170" s="140" t="str">
        <f>IF(IFERROR(_xlfn.IFNA(VLOOKUP($A170,'HR Rep'!$A:$X,MATCH('1) For HR (FIX)'!E$1,'HR Rep'!$A$1:$X$1,0),0),""),"")="","",IFERROR(_xlfn.IFNA(VLOOKUP($A170,'HR Rep'!$A:$X,MATCH('1) For HR (FIX)'!E$1,'HR Rep'!$A$1:$X$1,0),0),""),""))</f>
        <v/>
      </c>
      <c r="F170" s="140" t="str">
        <f>IF(IFERROR(_xlfn.IFNA(VLOOKUP($A170,'HR Rep'!$A:$X,MATCH('1) For HR (FIX)'!F$1,'HR Rep'!$A$1:$X$1,0),0),""),"")="","",IFERROR(_xlfn.IFNA(VLOOKUP($A170,'HR Rep'!$A:$X,MATCH('1) For HR (FIX)'!F$1,'HR Rep'!$A$1:$X$1,0),0),""),""))</f>
        <v/>
      </c>
      <c r="G170" s="196"/>
      <c r="H170" s="140" t="str">
        <f>IF(IFERROR(_xlfn.IFNA(VLOOKUP($A170,'HR Rep'!$A:$X,MATCH('1) For HR (FIX)'!H$1,'HR Rep'!$A$1:$X$1,0),0),""),"")="","",IFERROR(_xlfn.IFNA(VLOOKUP($A170,'HR Rep'!$A:$X,MATCH('1) For HR (FIX)'!H$1,'HR Rep'!$A$1:$X$1,0),0),""),""))</f>
        <v/>
      </c>
      <c r="I170" s="140" t="str">
        <f>IF(IFERROR(_xlfn.IFNA(VLOOKUP($A170,'HR Rep'!$A:$X,MATCH('1) For HR (FIX)'!I$1,'HR Rep'!$A$1:$X$1,0),0),""),"")="","",IFERROR(_xlfn.IFNA(VLOOKUP($A170,'HR Rep'!$A:$X,MATCH('1) For HR (FIX)'!I$1,'HR Rep'!$A$1:$X$1,0),0),""),""))</f>
        <v/>
      </c>
      <c r="J170" s="140" t="str">
        <f>IF(IFERROR(_xlfn.IFNA(VLOOKUP($A170,'HR Rep'!$A:$X,MATCH('1) For HR (FIX)'!J$1,'HR Rep'!$A$1:$X$1,0),0),""),"")="","",IFERROR(_xlfn.IFNA(VLOOKUP($A170,'HR Rep'!$A:$X,MATCH('1) For HR (FIX)'!J$1,'HR Rep'!$A$1:$X$1,0),0),""),""))</f>
        <v/>
      </c>
      <c r="K170" s="161">
        <f>_xlfn.XLOOKUP(G170,ค่าตอบแทนการขายในอัตราคงที่!A:A,ค่าตอบแทนการขายในอัตราคงที่!B:B)</f>
        <v>0</v>
      </c>
      <c r="L170" s="174">
        <f>Period!$A$2</f>
        <v>46113</v>
      </c>
      <c r="M170" s="175">
        <f>Period!$C$2</f>
        <v>46143</v>
      </c>
      <c r="N170" s="194" t="s">
        <v>279</v>
      </c>
    </row>
    <row r="171" spans="1:14" ht="11.4" x14ac:dyDescent="0.25">
      <c r="A171" s="137"/>
      <c r="B171" s="169" t="e">
        <f>IF(IF(VLOOKUP(A171,ASTBase!F:P,11,FALSE)="","",VLOOKUP(A171,ASTBase!F:P,11,FALSE))=0,"",IF(VLOOKUP(A171,ASTBase!F:P,11,FALSE)="","",VLOOKUP(A171,ASTBase!F:P,11,FALSE)))</f>
        <v>#N/A</v>
      </c>
      <c r="C171" s="140" t="str">
        <f>IF(IFERROR(_xlfn.IFNA(VLOOKUP($A171,'HR Rep'!$A:$X,MATCH('1) For HR (FIX)'!C$1,'HR Rep'!$A$1:$X$1,0),0),""),"")="","",IFERROR(_xlfn.IFNA(VLOOKUP($A171,'HR Rep'!$A:$X,MATCH('1) For HR (FIX)'!C$1,'HR Rep'!$A$1:$X$1,0),0),""),""))</f>
        <v/>
      </c>
      <c r="D171" s="140" t="str">
        <f>IF(IFERROR(_xlfn.IFNA(VLOOKUP($A171,'HR Rep'!$A:$X,MATCH('1) For HR (FIX)'!D$1,'HR Rep'!$A$1:$X$1,0),0),""),"")="","",IFERROR(_xlfn.IFNA(VLOOKUP($A171,'HR Rep'!$A:$X,MATCH('1) For HR (FIX)'!D$1,'HR Rep'!$A$1:$X$1,0),0),""),""))</f>
        <v/>
      </c>
      <c r="E171" s="140" t="str">
        <f>IF(IFERROR(_xlfn.IFNA(VLOOKUP($A171,'HR Rep'!$A:$X,MATCH('1) For HR (FIX)'!E$1,'HR Rep'!$A$1:$X$1,0),0),""),"")="","",IFERROR(_xlfn.IFNA(VLOOKUP($A171,'HR Rep'!$A:$X,MATCH('1) For HR (FIX)'!E$1,'HR Rep'!$A$1:$X$1,0),0),""),""))</f>
        <v/>
      </c>
      <c r="F171" s="140" t="str">
        <f>IF(IFERROR(_xlfn.IFNA(VLOOKUP($A171,'HR Rep'!$A:$X,MATCH('1) For HR (FIX)'!F$1,'HR Rep'!$A$1:$X$1,0),0),""),"")="","",IFERROR(_xlfn.IFNA(VLOOKUP($A171,'HR Rep'!$A:$X,MATCH('1) For HR (FIX)'!F$1,'HR Rep'!$A$1:$X$1,0),0),""),""))</f>
        <v/>
      </c>
      <c r="G171" s="196"/>
      <c r="H171" s="140" t="str">
        <f>IF(IFERROR(_xlfn.IFNA(VLOOKUP($A171,'HR Rep'!$A:$X,MATCH('1) For HR (FIX)'!H$1,'HR Rep'!$A$1:$X$1,0),0),""),"")="","",IFERROR(_xlfn.IFNA(VLOOKUP($A171,'HR Rep'!$A:$X,MATCH('1) For HR (FIX)'!H$1,'HR Rep'!$A$1:$X$1,0),0),""),""))</f>
        <v/>
      </c>
      <c r="I171" s="140" t="str">
        <f>IF(IFERROR(_xlfn.IFNA(VLOOKUP($A171,'HR Rep'!$A:$X,MATCH('1) For HR (FIX)'!I$1,'HR Rep'!$A$1:$X$1,0),0),""),"")="","",IFERROR(_xlfn.IFNA(VLOOKUP($A171,'HR Rep'!$A:$X,MATCH('1) For HR (FIX)'!I$1,'HR Rep'!$A$1:$X$1,0),0),""),""))</f>
        <v/>
      </c>
      <c r="J171" s="140" t="str">
        <f>IF(IFERROR(_xlfn.IFNA(VLOOKUP($A171,'HR Rep'!$A:$X,MATCH('1) For HR (FIX)'!J$1,'HR Rep'!$A$1:$X$1,0),0),""),"")="","",IFERROR(_xlfn.IFNA(VLOOKUP($A171,'HR Rep'!$A:$X,MATCH('1) For HR (FIX)'!J$1,'HR Rep'!$A$1:$X$1,0),0),""),""))</f>
        <v/>
      </c>
      <c r="K171" s="161">
        <f>_xlfn.XLOOKUP(G171,ค่าตอบแทนการขายในอัตราคงที่!A:A,ค่าตอบแทนการขายในอัตราคงที่!B:B)</f>
        <v>0</v>
      </c>
      <c r="L171" s="174">
        <f>Period!$A$2</f>
        <v>46113</v>
      </c>
      <c r="M171" s="175">
        <f>Period!$C$2</f>
        <v>46143</v>
      </c>
      <c r="N171" s="194" t="s">
        <v>279</v>
      </c>
    </row>
    <row r="172" spans="1:14" ht="11.4" x14ac:dyDescent="0.25">
      <c r="A172" s="137"/>
      <c r="B172" s="169" t="e">
        <f>IF(IF(VLOOKUP(A172,ASTBase!F:P,11,FALSE)="","",VLOOKUP(A172,ASTBase!F:P,11,FALSE))=0,"",IF(VLOOKUP(A172,ASTBase!F:P,11,FALSE)="","",VLOOKUP(A172,ASTBase!F:P,11,FALSE)))</f>
        <v>#N/A</v>
      </c>
      <c r="C172" s="140" t="str">
        <f>IF(IFERROR(_xlfn.IFNA(VLOOKUP($A172,'HR Rep'!$A:$X,MATCH('1) For HR (FIX)'!C$1,'HR Rep'!$A$1:$X$1,0),0),""),"")="","",IFERROR(_xlfn.IFNA(VLOOKUP($A172,'HR Rep'!$A:$X,MATCH('1) For HR (FIX)'!C$1,'HR Rep'!$A$1:$X$1,0),0),""),""))</f>
        <v/>
      </c>
      <c r="D172" s="140" t="str">
        <f>IF(IFERROR(_xlfn.IFNA(VLOOKUP($A172,'HR Rep'!$A:$X,MATCH('1) For HR (FIX)'!D$1,'HR Rep'!$A$1:$X$1,0),0),""),"")="","",IFERROR(_xlfn.IFNA(VLOOKUP($A172,'HR Rep'!$A:$X,MATCH('1) For HR (FIX)'!D$1,'HR Rep'!$A$1:$X$1,0),0),""),""))</f>
        <v/>
      </c>
      <c r="E172" s="140" t="str">
        <f>IF(IFERROR(_xlfn.IFNA(VLOOKUP($A172,'HR Rep'!$A:$X,MATCH('1) For HR (FIX)'!E$1,'HR Rep'!$A$1:$X$1,0),0),""),"")="","",IFERROR(_xlfn.IFNA(VLOOKUP($A172,'HR Rep'!$A:$X,MATCH('1) For HR (FIX)'!E$1,'HR Rep'!$A$1:$X$1,0),0),""),""))</f>
        <v/>
      </c>
      <c r="F172" s="140" t="str">
        <f>IF(IFERROR(_xlfn.IFNA(VLOOKUP($A172,'HR Rep'!$A:$X,MATCH('1) For HR (FIX)'!F$1,'HR Rep'!$A$1:$X$1,0),0),""),"")="","",IFERROR(_xlfn.IFNA(VLOOKUP($A172,'HR Rep'!$A:$X,MATCH('1) For HR (FIX)'!F$1,'HR Rep'!$A$1:$X$1,0),0),""),""))</f>
        <v/>
      </c>
      <c r="G172" s="196"/>
      <c r="H172" s="140" t="str">
        <f>IF(IFERROR(_xlfn.IFNA(VLOOKUP($A172,'HR Rep'!$A:$X,MATCH('1) For HR (FIX)'!H$1,'HR Rep'!$A$1:$X$1,0),0),""),"")="","",IFERROR(_xlfn.IFNA(VLOOKUP($A172,'HR Rep'!$A:$X,MATCH('1) For HR (FIX)'!H$1,'HR Rep'!$A$1:$X$1,0),0),""),""))</f>
        <v/>
      </c>
      <c r="I172" s="140" t="str">
        <f>IF(IFERROR(_xlfn.IFNA(VLOOKUP($A172,'HR Rep'!$A:$X,MATCH('1) For HR (FIX)'!I$1,'HR Rep'!$A$1:$X$1,0),0),""),"")="","",IFERROR(_xlfn.IFNA(VLOOKUP($A172,'HR Rep'!$A:$X,MATCH('1) For HR (FIX)'!I$1,'HR Rep'!$A$1:$X$1,0),0),""),""))</f>
        <v/>
      </c>
      <c r="J172" s="140" t="str">
        <f>IF(IFERROR(_xlfn.IFNA(VLOOKUP($A172,'HR Rep'!$A:$X,MATCH('1) For HR (FIX)'!J$1,'HR Rep'!$A$1:$X$1,0),0),""),"")="","",IFERROR(_xlfn.IFNA(VLOOKUP($A172,'HR Rep'!$A:$X,MATCH('1) For HR (FIX)'!J$1,'HR Rep'!$A$1:$X$1,0),0),""),""))</f>
        <v/>
      </c>
      <c r="K172" s="161">
        <f>_xlfn.XLOOKUP(G172,ค่าตอบแทนการขายในอัตราคงที่!A:A,ค่าตอบแทนการขายในอัตราคงที่!B:B)</f>
        <v>0</v>
      </c>
      <c r="L172" s="174">
        <f>Period!$A$2</f>
        <v>46113</v>
      </c>
      <c r="M172" s="175">
        <f>Period!$C$2</f>
        <v>46143</v>
      </c>
      <c r="N172" s="194" t="s">
        <v>279</v>
      </c>
    </row>
    <row r="173" spans="1:14" ht="11.4" x14ac:dyDescent="0.25">
      <c r="A173" s="137"/>
      <c r="B173" s="169" t="e">
        <f>IF(IF(VLOOKUP(A173,ASTBase!F:P,11,FALSE)="","",VLOOKUP(A173,ASTBase!F:P,11,FALSE))=0,"",IF(VLOOKUP(A173,ASTBase!F:P,11,FALSE)="","",VLOOKUP(A173,ASTBase!F:P,11,FALSE)))</f>
        <v>#N/A</v>
      </c>
      <c r="C173" s="140" t="str">
        <f>IF(IFERROR(_xlfn.IFNA(VLOOKUP($A173,'HR Rep'!$A:$X,MATCH('1) For HR (FIX)'!C$1,'HR Rep'!$A$1:$X$1,0),0),""),"")="","",IFERROR(_xlfn.IFNA(VLOOKUP($A173,'HR Rep'!$A:$X,MATCH('1) For HR (FIX)'!C$1,'HR Rep'!$A$1:$X$1,0),0),""),""))</f>
        <v/>
      </c>
      <c r="D173" s="140" t="str">
        <f>IF(IFERROR(_xlfn.IFNA(VLOOKUP($A173,'HR Rep'!$A:$X,MATCH('1) For HR (FIX)'!D$1,'HR Rep'!$A$1:$X$1,0),0),""),"")="","",IFERROR(_xlfn.IFNA(VLOOKUP($A173,'HR Rep'!$A:$X,MATCH('1) For HR (FIX)'!D$1,'HR Rep'!$A$1:$X$1,0),0),""),""))</f>
        <v/>
      </c>
      <c r="E173" s="140" t="str">
        <f>IF(IFERROR(_xlfn.IFNA(VLOOKUP($A173,'HR Rep'!$A:$X,MATCH('1) For HR (FIX)'!E$1,'HR Rep'!$A$1:$X$1,0),0),""),"")="","",IFERROR(_xlfn.IFNA(VLOOKUP($A173,'HR Rep'!$A:$X,MATCH('1) For HR (FIX)'!E$1,'HR Rep'!$A$1:$X$1,0),0),""),""))</f>
        <v/>
      </c>
      <c r="F173" s="140" t="str">
        <f>IF(IFERROR(_xlfn.IFNA(VLOOKUP($A173,'HR Rep'!$A:$X,MATCH('1) For HR (FIX)'!F$1,'HR Rep'!$A$1:$X$1,0),0),""),"")="","",IFERROR(_xlfn.IFNA(VLOOKUP($A173,'HR Rep'!$A:$X,MATCH('1) For HR (FIX)'!F$1,'HR Rep'!$A$1:$X$1,0),0),""),""))</f>
        <v/>
      </c>
      <c r="G173" s="196"/>
      <c r="H173" s="140" t="str">
        <f>IF(IFERROR(_xlfn.IFNA(VLOOKUP($A173,'HR Rep'!$A:$X,MATCH('1) For HR (FIX)'!H$1,'HR Rep'!$A$1:$X$1,0),0),""),"")="","",IFERROR(_xlfn.IFNA(VLOOKUP($A173,'HR Rep'!$A:$X,MATCH('1) For HR (FIX)'!H$1,'HR Rep'!$A$1:$X$1,0),0),""),""))</f>
        <v/>
      </c>
      <c r="I173" s="140" t="str">
        <f>IF(IFERROR(_xlfn.IFNA(VLOOKUP($A173,'HR Rep'!$A:$X,MATCH('1) For HR (FIX)'!I$1,'HR Rep'!$A$1:$X$1,0),0),""),"")="","",IFERROR(_xlfn.IFNA(VLOOKUP($A173,'HR Rep'!$A:$X,MATCH('1) For HR (FIX)'!I$1,'HR Rep'!$A$1:$X$1,0),0),""),""))</f>
        <v/>
      </c>
      <c r="J173" s="140" t="str">
        <f>IF(IFERROR(_xlfn.IFNA(VLOOKUP($A173,'HR Rep'!$A:$X,MATCH('1) For HR (FIX)'!J$1,'HR Rep'!$A$1:$X$1,0),0),""),"")="","",IFERROR(_xlfn.IFNA(VLOOKUP($A173,'HR Rep'!$A:$X,MATCH('1) For HR (FIX)'!J$1,'HR Rep'!$A$1:$X$1,0),0),""),""))</f>
        <v/>
      </c>
      <c r="K173" s="161">
        <f>_xlfn.XLOOKUP(G173,ค่าตอบแทนการขายในอัตราคงที่!A:A,ค่าตอบแทนการขายในอัตราคงที่!B:B)</f>
        <v>0</v>
      </c>
      <c r="L173" s="174">
        <f>Period!$A$2</f>
        <v>46113</v>
      </c>
      <c r="M173" s="175">
        <f>Period!$C$2</f>
        <v>46143</v>
      </c>
      <c r="N173" s="194" t="s">
        <v>279</v>
      </c>
    </row>
    <row r="174" spans="1:14" ht="11.4" x14ac:dyDescent="0.25">
      <c r="A174" s="138"/>
      <c r="B174" s="169" t="e">
        <f>IF(IF(VLOOKUP(A174,ASTBase!F:P,11,FALSE)="","",VLOOKUP(A174,ASTBase!F:P,11,FALSE))=0,"",IF(VLOOKUP(A174,ASTBase!F:P,11,FALSE)="","",VLOOKUP(A174,ASTBase!F:P,11,FALSE)))</f>
        <v>#N/A</v>
      </c>
      <c r="C174" s="140" t="str">
        <f>IF(IFERROR(_xlfn.IFNA(VLOOKUP($A174,'HR Rep'!$A:$X,MATCH('1) For HR (FIX)'!C$1,'HR Rep'!$A$1:$X$1,0),0),""),"")="","",IFERROR(_xlfn.IFNA(VLOOKUP($A174,'HR Rep'!$A:$X,MATCH('1) For HR (FIX)'!C$1,'HR Rep'!$A$1:$X$1,0),0),""),""))</f>
        <v/>
      </c>
      <c r="D174" s="140" t="str">
        <f>IF(IFERROR(_xlfn.IFNA(VLOOKUP($A174,'HR Rep'!$A:$X,MATCH('1) For HR (FIX)'!D$1,'HR Rep'!$A$1:$X$1,0),0),""),"")="","",IFERROR(_xlfn.IFNA(VLOOKUP($A174,'HR Rep'!$A:$X,MATCH('1) For HR (FIX)'!D$1,'HR Rep'!$A$1:$X$1,0),0),""),""))</f>
        <v/>
      </c>
      <c r="E174" s="140" t="str">
        <f>IF(IFERROR(_xlfn.IFNA(VLOOKUP($A174,'HR Rep'!$A:$X,MATCH('1) For HR (FIX)'!E$1,'HR Rep'!$A$1:$X$1,0),0),""),"")="","",IFERROR(_xlfn.IFNA(VLOOKUP($A174,'HR Rep'!$A:$X,MATCH('1) For HR (FIX)'!E$1,'HR Rep'!$A$1:$X$1,0),0),""),""))</f>
        <v/>
      </c>
      <c r="F174" s="140" t="str">
        <f>IF(IFERROR(_xlfn.IFNA(VLOOKUP($A174,'HR Rep'!$A:$X,MATCH('1) For HR (FIX)'!F$1,'HR Rep'!$A$1:$X$1,0),0),""),"")="","",IFERROR(_xlfn.IFNA(VLOOKUP($A174,'HR Rep'!$A:$X,MATCH('1) For HR (FIX)'!F$1,'HR Rep'!$A$1:$X$1,0),0),""),""))</f>
        <v/>
      </c>
      <c r="G174" s="196"/>
      <c r="H174" s="140" t="str">
        <f>IF(IFERROR(_xlfn.IFNA(VLOOKUP($A174,'HR Rep'!$A:$X,MATCH('1) For HR (FIX)'!H$1,'HR Rep'!$A$1:$X$1,0),0),""),"")="","",IFERROR(_xlfn.IFNA(VLOOKUP($A174,'HR Rep'!$A:$X,MATCH('1) For HR (FIX)'!H$1,'HR Rep'!$A$1:$X$1,0),0),""),""))</f>
        <v/>
      </c>
      <c r="I174" s="140" t="str">
        <f>IF(IFERROR(_xlfn.IFNA(VLOOKUP($A174,'HR Rep'!$A:$X,MATCH('1) For HR (FIX)'!I$1,'HR Rep'!$A$1:$X$1,0),0),""),"")="","",IFERROR(_xlfn.IFNA(VLOOKUP($A174,'HR Rep'!$A:$X,MATCH('1) For HR (FIX)'!I$1,'HR Rep'!$A$1:$X$1,0),0),""),""))</f>
        <v/>
      </c>
      <c r="J174" s="140" t="str">
        <f>IF(IFERROR(_xlfn.IFNA(VLOOKUP($A174,'HR Rep'!$A:$X,MATCH('1) For HR (FIX)'!J$1,'HR Rep'!$A$1:$X$1,0),0),""),"")="","",IFERROR(_xlfn.IFNA(VLOOKUP($A174,'HR Rep'!$A:$X,MATCH('1) For HR (FIX)'!J$1,'HR Rep'!$A$1:$X$1,0),0),""),""))</f>
        <v/>
      </c>
      <c r="K174" s="161">
        <f>_xlfn.XLOOKUP(G174,ค่าตอบแทนการขายในอัตราคงที่!A:A,ค่าตอบแทนการขายในอัตราคงที่!B:B)</f>
        <v>0</v>
      </c>
      <c r="L174" s="174">
        <f>Period!$A$2</f>
        <v>46113</v>
      </c>
      <c r="M174" s="175">
        <f>Period!$C$2</f>
        <v>46143</v>
      </c>
      <c r="N174" s="194" t="s">
        <v>279</v>
      </c>
    </row>
    <row r="175" spans="1:14" ht="11.4" x14ac:dyDescent="0.25">
      <c r="A175" s="138"/>
      <c r="B175" s="169" t="e">
        <f>IF(IF(VLOOKUP(A175,ASTBase!F:P,11,FALSE)="","",VLOOKUP(A175,ASTBase!F:P,11,FALSE))=0,"",IF(VLOOKUP(A175,ASTBase!F:P,11,FALSE)="","",VLOOKUP(A175,ASTBase!F:P,11,FALSE)))</f>
        <v>#N/A</v>
      </c>
      <c r="C175" s="140" t="str">
        <f>IF(IFERROR(_xlfn.IFNA(VLOOKUP($A175,'HR Rep'!$A:$X,MATCH('1) For HR (FIX)'!C$1,'HR Rep'!$A$1:$X$1,0),0),""),"")="","",IFERROR(_xlfn.IFNA(VLOOKUP($A175,'HR Rep'!$A:$X,MATCH('1) For HR (FIX)'!C$1,'HR Rep'!$A$1:$X$1,0),0),""),""))</f>
        <v/>
      </c>
      <c r="D175" s="140" t="str">
        <f>IF(IFERROR(_xlfn.IFNA(VLOOKUP($A175,'HR Rep'!$A:$X,MATCH('1) For HR (FIX)'!D$1,'HR Rep'!$A$1:$X$1,0),0),""),"")="","",IFERROR(_xlfn.IFNA(VLOOKUP($A175,'HR Rep'!$A:$X,MATCH('1) For HR (FIX)'!D$1,'HR Rep'!$A$1:$X$1,0),0),""),""))</f>
        <v/>
      </c>
      <c r="E175" s="140" t="str">
        <f>IF(IFERROR(_xlfn.IFNA(VLOOKUP($A175,'HR Rep'!$A:$X,MATCH('1) For HR (FIX)'!E$1,'HR Rep'!$A$1:$X$1,0),0),""),"")="","",IFERROR(_xlfn.IFNA(VLOOKUP($A175,'HR Rep'!$A:$X,MATCH('1) For HR (FIX)'!E$1,'HR Rep'!$A$1:$X$1,0),0),""),""))</f>
        <v/>
      </c>
      <c r="F175" s="140" t="str">
        <f>IF(IFERROR(_xlfn.IFNA(VLOOKUP($A175,'HR Rep'!$A:$X,MATCH('1) For HR (FIX)'!F$1,'HR Rep'!$A$1:$X$1,0),0),""),"")="","",IFERROR(_xlfn.IFNA(VLOOKUP($A175,'HR Rep'!$A:$X,MATCH('1) For HR (FIX)'!F$1,'HR Rep'!$A$1:$X$1,0),0),""),""))</f>
        <v/>
      </c>
      <c r="G175" s="196"/>
      <c r="H175" s="140" t="str">
        <f>IF(IFERROR(_xlfn.IFNA(VLOOKUP($A175,'HR Rep'!$A:$X,MATCH('1) For HR (FIX)'!H$1,'HR Rep'!$A$1:$X$1,0),0),""),"")="","",IFERROR(_xlfn.IFNA(VLOOKUP($A175,'HR Rep'!$A:$X,MATCH('1) For HR (FIX)'!H$1,'HR Rep'!$A$1:$X$1,0),0),""),""))</f>
        <v/>
      </c>
      <c r="I175" s="140" t="str">
        <f>IF(IFERROR(_xlfn.IFNA(VLOOKUP($A175,'HR Rep'!$A:$X,MATCH('1) For HR (FIX)'!I$1,'HR Rep'!$A$1:$X$1,0),0),""),"")="","",IFERROR(_xlfn.IFNA(VLOOKUP($A175,'HR Rep'!$A:$X,MATCH('1) For HR (FIX)'!I$1,'HR Rep'!$A$1:$X$1,0),0),""),""))</f>
        <v/>
      </c>
      <c r="J175" s="140" t="str">
        <f>IF(IFERROR(_xlfn.IFNA(VLOOKUP($A175,'HR Rep'!$A:$X,MATCH('1) For HR (FIX)'!J$1,'HR Rep'!$A$1:$X$1,0),0),""),"")="","",IFERROR(_xlfn.IFNA(VLOOKUP($A175,'HR Rep'!$A:$X,MATCH('1) For HR (FIX)'!J$1,'HR Rep'!$A$1:$X$1,0),0),""),""))</f>
        <v/>
      </c>
      <c r="K175" s="161">
        <f>_xlfn.XLOOKUP(G175,ค่าตอบแทนการขายในอัตราคงที่!A:A,ค่าตอบแทนการขายในอัตราคงที่!B:B)</f>
        <v>0</v>
      </c>
      <c r="L175" s="174">
        <f>Period!$A$2</f>
        <v>46113</v>
      </c>
      <c r="M175" s="175">
        <f>Period!$C$2</f>
        <v>46143</v>
      </c>
      <c r="N175" s="194" t="s">
        <v>279</v>
      </c>
    </row>
    <row r="176" spans="1:14" ht="11.4" x14ac:dyDescent="0.25">
      <c r="A176" s="138"/>
      <c r="B176" s="169" t="e">
        <f>IF(IF(VLOOKUP(A176,ASTBase!F:P,11,FALSE)="","",VLOOKUP(A176,ASTBase!F:P,11,FALSE))=0,"",IF(VLOOKUP(A176,ASTBase!F:P,11,FALSE)="","",VLOOKUP(A176,ASTBase!F:P,11,FALSE)))</f>
        <v>#N/A</v>
      </c>
      <c r="C176" s="140" t="str">
        <f>IF(IFERROR(_xlfn.IFNA(VLOOKUP($A176,'HR Rep'!$A:$X,MATCH('1) For HR (FIX)'!C$1,'HR Rep'!$A$1:$X$1,0),0),""),"")="","",IFERROR(_xlfn.IFNA(VLOOKUP($A176,'HR Rep'!$A:$X,MATCH('1) For HR (FIX)'!C$1,'HR Rep'!$A$1:$X$1,0),0),""),""))</f>
        <v/>
      </c>
      <c r="D176" s="140" t="str">
        <f>IF(IFERROR(_xlfn.IFNA(VLOOKUP($A176,'HR Rep'!$A:$X,MATCH('1) For HR (FIX)'!D$1,'HR Rep'!$A$1:$X$1,0),0),""),"")="","",IFERROR(_xlfn.IFNA(VLOOKUP($A176,'HR Rep'!$A:$X,MATCH('1) For HR (FIX)'!D$1,'HR Rep'!$A$1:$X$1,0),0),""),""))</f>
        <v/>
      </c>
      <c r="E176" s="140" t="str">
        <f>IF(IFERROR(_xlfn.IFNA(VLOOKUP($A176,'HR Rep'!$A:$X,MATCH('1) For HR (FIX)'!E$1,'HR Rep'!$A$1:$X$1,0),0),""),"")="","",IFERROR(_xlfn.IFNA(VLOOKUP($A176,'HR Rep'!$A:$X,MATCH('1) For HR (FIX)'!E$1,'HR Rep'!$A$1:$X$1,0),0),""),""))</f>
        <v/>
      </c>
      <c r="F176" s="140" t="str">
        <f>IF(IFERROR(_xlfn.IFNA(VLOOKUP($A176,'HR Rep'!$A:$X,MATCH('1) For HR (FIX)'!F$1,'HR Rep'!$A$1:$X$1,0),0),""),"")="","",IFERROR(_xlfn.IFNA(VLOOKUP($A176,'HR Rep'!$A:$X,MATCH('1) For HR (FIX)'!F$1,'HR Rep'!$A$1:$X$1,0),0),""),""))</f>
        <v/>
      </c>
      <c r="G176" s="196"/>
      <c r="H176" s="140" t="str">
        <f>IF(IFERROR(_xlfn.IFNA(VLOOKUP($A176,'HR Rep'!$A:$X,MATCH('1) For HR (FIX)'!H$1,'HR Rep'!$A$1:$X$1,0),0),""),"")="","",IFERROR(_xlfn.IFNA(VLOOKUP($A176,'HR Rep'!$A:$X,MATCH('1) For HR (FIX)'!H$1,'HR Rep'!$A$1:$X$1,0),0),""),""))</f>
        <v/>
      </c>
      <c r="I176" s="140" t="str">
        <f>IF(IFERROR(_xlfn.IFNA(VLOOKUP($A176,'HR Rep'!$A:$X,MATCH('1) For HR (FIX)'!I$1,'HR Rep'!$A$1:$X$1,0),0),""),"")="","",IFERROR(_xlfn.IFNA(VLOOKUP($A176,'HR Rep'!$A:$X,MATCH('1) For HR (FIX)'!I$1,'HR Rep'!$A$1:$X$1,0),0),""),""))</f>
        <v/>
      </c>
      <c r="J176" s="140" t="str">
        <f>IF(IFERROR(_xlfn.IFNA(VLOOKUP($A176,'HR Rep'!$A:$X,MATCH('1) For HR (FIX)'!J$1,'HR Rep'!$A$1:$X$1,0),0),""),"")="","",IFERROR(_xlfn.IFNA(VLOOKUP($A176,'HR Rep'!$A:$X,MATCH('1) For HR (FIX)'!J$1,'HR Rep'!$A$1:$X$1,0),0),""),""))</f>
        <v/>
      </c>
      <c r="K176" s="161">
        <f>_xlfn.XLOOKUP(G176,ค่าตอบแทนการขายในอัตราคงที่!A:A,ค่าตอบแทนการขายในอัตราคงที่!B:B)</f>
        <v>0</v>
      </c>
      <c r="L176" s="174">
        <f>Period!$A$2</f>
        <v>46113</v>
      </c>
      <c r="M176" s="175">
        <f>Period!$C$2</f>
        <v>46143</v>
      </c>
      <c r="N176" s="194" t="s">
        <v>279</v>
      </c>
    </row>
    <row r="177" spans="1:14" ht="11.4" x14ac:dyDescent="0.25">
      <c r="A177" s="137"/>
      <c r="B177" s="169" t="e">
        <f>IF(IF(VLOOKUP(A177,ASTBase!F:P,11,FALSE)="","",VLOOKUP(A177,ASTBase!F:P,11,FALSE))=0,"",IF(VLOOKUP(A177,ASTBase!F:P,11,FALSE)="","",VLOOKUP(A177,ASTBase!F:P,11,FALSE)))</f>
        <v>#N/A</v>
      </c>
      <c r="C177" s="140" t="str">
        <f>IF(IFERROR(_xlfn.IFNA(VLOOKUP($A177,'HR Rep'!$A:$X,MATCH('1) For HR (FIX)'!C$1,'HR Rep'!$A$1:$X$1,0),0),""),"")="","",IFERROR(_xlfn.IFNA(VLOOKUP($A177,'HR Rep'!$A:$X,MATCH('1) For HR (FIX)'!C$1,'HR Rep'!$A$1:$X$1,0),0),""),""))</f>
        <v/>
      </c>
      <c r="D177" s="140" t="str">
        <f>IF(IFERROR(_xlfn.IFNA(VLOOKUP($A177,'HR Rep'!$A:$X,MATCH('1) For HR (FIX)'!D$1,'HR Rep'!$A$1:$X$1,0),0),""),"")="","",IFERROR(_xlfn.IFNA(VLOOKUP($A177,'HR Rep'!$A:$X,MATCH('1) For HR (FIX)'!D$1,'HR Rep'!$A$1:$X$1,0),0),""),""))</f>
        <v/>
      </c>
      <c r="E177" s="140" t="str">
        <f>IF(IFERROR(_xlfn.IFNA(VLOOKUP($A177,'HR Rep'!$A:$X,MATCH('1) For HR (FIX)'!E$1,'HR Rep'!$A$1:$X$1,0),0),""),"")="","",IFERROR(_xlfn.IFNA(VLOOKUP($A177,'HR Rep'!$A:$X,MATCH('1) For HR (FIX)'!E$1,'HR Rep'!$A$1:$X$1,0),0),""),""))</f>
        <v/>
      </c>
      <c r="F177" s="140" t="str">
        <f>IF(IFERROR(_xlfn.IFNA(VLOOKUP($A177,'HR Rep'!$A:$X,MATCH('1) For HR (FIX)'!F$1,'HR Rep'!$A$1:$X$1,0),0),""),"")="","",IFERROR(_xlfn.IFNA(VLOOKUP($A177,'HR Rep'!$A:$X,MATCH('1) For HR (FIX)'!F$1,'HR Rep'!$A$1:$X$1,0),0),""),""))</f>
        <v/>
      </c>
      <c r="G177" s="196"/>
      <c r="H177" s="140" t="str">
        <f>IF(IFERROR(_xlfn.IFNA(VLOOKUP($A177,'HR Rep'!$A:$X,MATCH('1) For HR (FIX)'!H$1,'HR Rep'!$A$1:$X$1,0),0),""),"")="","",IFERROR(_xlfn.IFNA(VLOOKUP($A177,'HR Rep'!$A:$X,MATCH('1) For HR (FIX)'!H$1,'HR Rep'!$A$1:$X$1,0),0),""),""))</f>
        <v/>
      </c>
      <c r="I177" s="140" t="str">
        <f>IF(IFERROR(_xlfn.IFNA(VLOOKUP($A177,'HR Rep'!$A:$X,MATCH('1) For HR (FIX)'!I$1,'HR Rep'!$A$1:$X$1,0),0),""),"")="","",IFERROR(_xlfn.IFNA(VLOOKUP($A177,'HR Rep'!$A:$X,MATCH('1) For HR (FIX)'!I$1,'HR Rep'!$A$1:$X$1,0),0),""),""))</f>
        <v/>
      </c>
      <c r="J177" s="140" t="str">
        <f>IF(IFERROR(_xlfn.IFNA(VLOOKUP($A177,'HR Rep'!$A:$X,MATCH('1) For HR (FIX)'!J$1,'HR Rep'!$A$1:$X$1,0),0),""),"")="","",IFERROR(_xlfn.IFNA(VLOOKUP($A177,'HR Rep'!$A:$X,MATCH('1) For HR (FIX)'!J$1,'HR Rep'!$A$1:$X$1,0),0),""),""))</f>
        <v/>
      </c>
      <c r="K177" s="161">
        <f>_xlfn.XLOOKUP(G177,ค่าตอบแทนการขายในอัตราคงที่!A:A,ค่าตอบแทนการขายในอัตราคงที่!B:B)</f>
        <v>0</v>
      </c>
      <c r="L177" s="174">
        <f>Period!$A$2</f>
        <v>46113</v>
      </c>
      <c r="M177" s="175">
        <f>Period!$C$2</f>
        <v>46143</v>
      </c>
      <c r="N177" s="194" t="s">
        <v>279</v>
      </c>
    </row>
    <row r="178" spans="1:14" ht="11.4" x14ac:dyDescent="0.25">
      <c r="A178" s="137"/>
      <c r="B178" s="169" t="e">
        <f>IF(IF(VLOOKUP(A178,ASTBase!F:P,11,FALSE)="","",VLOOKUP(A178,ASTBase!F:P,11,FALSE))=0,"",IF(VLOOKUP(A178,ASTBase!F:P,11,FALSE)="","",VLOOKUP(A178,ASTBase!F:P,11,FALSE)))</f>
        <v>#N/A</v>
      </c>
      <c r="C178" s="140" t="str">
        <f>IF(IFERROR(_xlfn.IFNA(VLOOKUP($A178,'HR Rep'!$A:$X,MATCH('1) For HR (FIX)'!C$1,'HR Rep'!$A$1:$X$1,0),0),""),"")="","",IFERROR(_xlfn.IFNA(VLOOKUP($A178,'HR Rep'!$A:$X,MATCH('1) For HR (FIX)'!C$1,'HR Rep'!$A$1:$X$1,0),0),""),""))</f>
        <v/>
      </c>
      <c r="D178" s="140" t="str">
        <f>IF(IFERROR(_xlfn.IFNA(VLOOKUP($A178,'HR Rep'!$A:$X,MATCH('1) For HR (FIX)'!D$1,'HR Rep'!$A$1:$X$1,0),0),""),"")="","",IFERROR(_xlfn.IFNA(VLOOKUP($A178,'HR Rep'!$A:$X,MATCH('1) For HR (FIX)'!D$1,'HR Rep'!$A$1:$X$1,0),0),""),""))</f>
        <v/>
      </c>
      <c r="E178" s="140" t="str">
        <f>IF(IFERROR(_xlfn.IFNA(VLOOKUP($A178,'HR Rep'!$A:$X,MATCH('1) For HR (FIX)'!E$1,'HR Rep'!$A$1:$X$1,0),0),""),"")="","",IFERROR(_xlfn.IFNA(VLOOKUP($A178,'HR Rep'!$A:$X,MATCH('1) For HR (FIX)'!E$1,'HR Rep'!$A$1:$X$1,0),0),""),""))</f>
        <v/>
      </c>
      <c r="F178" s="140" t="str">
        <f>IF(IFERROR(_xlfn.IFNA(VLOOKUP($A178,'HR Rep'!$A:$X,MATCH('1) For HR (FIX)'!F$1,'HR Rep'!$A$1:$X$1,0),0),""),"")="","",IFERROR(_xlfn.IFNA(VLOOKUP($A178,'HR Rep'!$A:$X,MATCH('1) For HR (FIX)'!F$1,'HR Rep'!$A$1:$X$1,0),0),""),""))</f>
        <v/>
      </c>
      <c r="G178" s="196"/>
      <c r="H178" s="140" t="str">
        <f>IF(IFERROR(_xlfn.IFNA(VLOOKUP($A178,'HR Rep'!$A:$X,MATCH('1) For HR (FIX)'!H$1,'HR Rep'!$A$1:$X$1,0),0),""),"")="","",IFERROR(_xlfn.IFNA(VLOOKUP($A178,'HR Rep'!$A:$X,MATCH('1) For HR (FIX)'!H$1,'HR Rep'!$A$1:$X$1,0),0),""),""))</f>
        <v/>
      </c>
      <c r="I178" s="140" t="str">
        <f>IF(IFERROR(_xlfn.IFNA(VLOOKUP($A178,'HR Rep'!$A:$X,MATCH('1) For HR (FIX)'!I$1,'HR Rep'!$A$1:$X$1,0),0),""),"")="","",IFERROR(_xlfn.IFNA(VLOOKUP($A178,'HR Rep'!$A:$X,MATCH('1) For HR (FIX)'!I$1,'HR Rep'!$A$1:$X$1,0),0),""),""))</f>
        <v/>
      </c>
      <c r="J178" s="140" t="str">
        <f>IF(IFERROR(_xlfn.IFNA(VLOOKUP($A178,'HR Rep'!$A:$X,MATCH('1) For HR (FIX)'!J$1,'HR Rep'!$A$1:$X$1,0),0),""),"")="","",IFERROR(_xlfn.IFNA(VLOOKUP($A178,'HR Rep'!$A:$X,MATCH('1) For HR (FIX)'!J$1,'HR Rep'!$A$1:$X$1,0),0),""),""))</f>
        <v/>
      </c>
      <c r="K178" s="161">
        <f>_xlfn.XLOOKUP(G178,ค่าตอบแทนการขายในอัตราคงที่!A:A,ค่าตอบแทนการขายในอัตราคงที่!B:B)</f>
        <v>0</v>
      </c>
      <c r="L178" s="174">
        <f>Period!$A$2</f>
        <v>46113</v>
      </c>
      <c r="M178" s="175">
        <f>Period!$C$2</f>
        <v>46143</v>
      </c>
      <c r="N178" s="194" t="s">
        <v>279</v>
      </c>
    </row>
    <row r="179" spans="1:14" ht="11.4" x14ac:dyDescent="0.25">
      <c r="A179" s="137"/>
      <c r="B179" s="169" t="e">
        <f>IF(IF(VLOOKUP(A179,ASTBase!F:P,11,FALSE)="","",VLOOKUP(A179,ASTBase!F:P,11,FALSE))=0,"",IF(VLOOKUP(A179,ASTBase!F:P,11,FALSE)="","",VLOOKUP(A179,ASTBase!F:P,11,FALSE)))</f>
        <v>#N/A</v>
      </c>
      <c r="C179" s="140" t="str">
        <f>IF(IFERROR(_xlfn.IFNA(VLOOKUP($A179,'HR Rep'!$A:$X,MATCH('1) For HR (FIX)'!C$1,'HR Rep'!$A$1:$X$1,0),0),""),"")="","",IFERROR(_xlfn.IFNA(VLOOKUP($A179,'HR Rep'!$A:$X,MATCH('1) For HR (FIX)'!C$1,'HR Rep'!$A$1:$X$1,0),0),""),""))</f>
        <v/>
      </c>
      <c r="D179" s="140" t="str">
        <f>IF(IFERROR(_xlfn.IFNA(VLOOKUP($A179,'HR Rep'!$A:$X,MATCH('1) For HR (FIX)'!D$1,'HR Rep'!$A$1:$X$1,0),0),""),"")="","",IFERROR(_xlfn.IFNA(VLOOKUP($A179,'HR Rep'!$A:$X,MATCH('1) For HR (FIX)'!D$1,'HR Rep'!$A$1:$X$1,0),0),""),""))</f>
        <v/>
      </c>
      <c r="E179" s="140" t="str">
        <f>IF(IFERROR(_xlfn.IFNA(VLOOKUP($A179,'HR Rep'!$A:$X,MATCH('1) For HR (FIX)'!E$1,'HR Rep'!$A$1:$X$1,0),0),""),"")="","",IFERROR(_xlfn.IFNA(VLOOKUP($A179,'HR Rep'!$A:$X,MATCH('1) For HR (FIX)'!E$1,'HR Rep'!$A$1:$X$1,0),0),""),""))</f>
        <v/>
      </c>
      <c r="F179" s="140" t="str">
        <f>IF(IFERROR(_xlfn.IFNA(VLOOKUP($A179,'HR Rep'!$A:$X,MATCH('1) For HR (FIX)'!F$1,'HR Rep'!$A$1:$X$1,0),0),""),"")="","",IFERROR(_xlfn.IFNA(VLOOKUP($A179,'HR Rep'!$A:$X,MATCH('1) For HR (FIX)'!F$1,'HR Rep'!$A$1:$X$1,0),0),""),""))</f>
        <v/>
      </c>
      <c r="G179" s="196"/>
      <c r="H179" s="140" t="str">
        <f>IF(IFERROR(_xlfn.IFNA(VLOOKUP($A179,'HR Rep'!$A:$X,MATCH('1) For HR (FIX)'!H$1,'HR Rep'!$A$1:$X$1,0),0),""),"")="","",IFERROR(_xlfn.IFNA(VLOOKUP($A179,'HR Rep'!$A:$X,MATCH('1) For HR (FIX)'!H$1,'HR Rep'!$A$1:$X$1,0),0),""),""))</f>
        <v/>
      </c>
      <c r="I179" s="140" t="str">
        <f>IF(IFERROR(_xlfn.IFNA(VLOOKUP($A179,'HR Rep'!$A:$X,MATCH('1) For HR (FIX)'!I$1,'HR Rep'!$A$1:$X$1,0),0),""),"")="","",IFERROR(_xlfn.IFNA(VLOOKUP($A179,'HR Rep'!$A:$X,MATCH('1) For HR (FIX)'!I$1,'HR Rep'!$A$1:$X$1,0),0),""),""))</f>
        <v/>
      </c>
      <c r="J179" s="140" t="str">
        <f>IF(IFERROR(_xlfn.IFNA(VLOOKUP($A179,'HR Rep'!$A:$X,MATCH('1) For HR (FIX)'!J$1,'HR Rep'!$A$1:$X$1,0),0),""),"")="","",IFERROR(_xlfn.IFNA(VLOOKUP($A179,'HR Rep'!$A:$X,MATCH('1) For HR (FIX)'!J$1,'HR Rep'!$A$1:$X$1,0),0),""),""))</f>
        <v/>
      </c>
      <c r="K179" s="161">
        <f>_xlfn.XLOOKUP(G179,ค่าตอบแทนการขายในอัตราคงที่!A:A,ค่าตอบแทนการขายในอัตราคงที่!B:B)</f>
        <v>0</v>
      </c>
      <c r="L179" s="174">
        <f>Period!$A$2</f>
        <v>46113</v>
      </c>
      <c r="M179" s="175">
        <f>Period!$C$2</f>
        <v>46143</v>
      </c>
      <c r="N179" s="194" t="s">
        <v>279</v>
      </c>
    </row>
    <row r="180" spans="1:14" ht="11.4" x14ac:dyDescent="0.25">
      <c r="A180" s="137"/>
      <c r="B180" s="169" t="e">
        <f>IF(IF(VLOOKUP(A180,ASTBase!F:P,11,FALSE)="","",VLOOKUP(A180,ASTBase!F:P,11,FALSE))=0,"",IF(VLOOKUP(A180,ASTBase!F:P,11,FALSE)="","",VLOOKUP(A180,ASTBase!F:P,11,FALSE)))</f>
        <v>#N/A</v>
      </c>
      <c r="C180" s="140" t="str">
        <f>IF(IFERROR(_xlfn.IFNA(VLOOKUP($A180,'HR Rep'!$A:$X,MATCH('1) For HR (FIX)'!C$1,'HR Rep'!$A$1:$X$1,0),0),""),"")="","",IFERROR(_xlfn.IFNA(VLOOKUP($A180,'HR Rep'!$A:$X,MATCH('1) For HR (FIX)'!C$1,'HR Rep'!$A$1:$X$1,0),0),""),""))</f>
        <v/>
      </c>
      <c r="D180" s="140" t="str">
        <f>IF(IFERROR(_xlfn.IFNA(VLOOKUP($A180,'HR Rep'!$A:$X,MATCH('1) For HR (FIX)'!D$1,'HR Rep'!$A$1:$X$1,0),0),""),"")="","",IFERROR(_xlfn.IFNA(VLOOKUP($A180,'HR Rep'!$A:$X,MATCH('1) For HR (FIX)'!D$1,'HR Rep'!$A$1:$X$1,0),0),""),""))</f>
        <v/>
      </c>
      <c r="E180" s="140" t="str">
        <f>IF(IFERROR(_xlfn.IFNA(VLOOKUP($A180,'HR Rep'!$A:$X,MATCH('1) For HR (FIX)'!E$1,'HR Rep'!$A$1:$X$1,0),0),""),"")="","",IFERROR(_xlfn.IFNA(VLOOKUP($A180,'HR Rep'!$A:$X,MATCH('1) For HR (FIX)'!E$1,'HR Rep'!$A$1:$X$1,0),0),""),""))</f>
        <v/>
      </c>
      <c r="F180" s="140" t="str">
        <f>IF(IFERROR(_xlfn.IFNA(VLOOKUP($A180,'HR Rep'!$A:$X,MATCH('1) For HR (FIX)'!F$1,'HR Rep'!$A$1:$X$1,0),0),""),"")="","",IFERROR(_xlfn.IFNA(VLOOKUP($A180,'HR Rep'!$A:$X,MATCH('1) For HR (FIX)'!F$1,'HR Rep'!$A$1:$X$1,0),0),""),""))</f>
        <v/>
      </c>
      <c r="G180" s="196"/>
      <c r="H180" s="140" t="str">
        <f>IF(IFERROR(_xlfn.IFNA(VLOOKUP($A180,'HR Rep'!$A:$X,MATCH('1) For HR (FIX)'!H$1,'HR Rep'!$A$1:$X$1,0),0),""),"")="","",IFERROR(_xlfn.IFNA(VLOOKUP($A180,'HR Rep'!$A:$X,MATCH('1) For HR (FIX)'!H$1,'HR Rep'!$A$1:$X$1,0),0),""),""))</f>
        <v/>
      </c>
      <c r="I180" s="140" t="str">
        <f>IF(IFERROR(_xlfn.IFNA(VLOOKUP($A180,'HR Rep'!$A:$X,MATCH('1) For HR (FIX)'!I$1,'HR Rep'!$A$1:$X$1,0),0),""),"")="","",IFERROR(_xlfn.IFNA(VLOOKUP($A180,'HR Rep'!$A:$X,MATCH('1) For HR (FIX)'!I$1,'HR Rep'!$A$1:$X$1,0),0),""),""))</f>
        <v/>
      </c>
      <c r="J180" s="140" t="str">
        <f>IF(IFERROR(_xlfn.IFNA(VLOOKUP($A180,'HR Rep'!$A:$X,MATCH('1) For HR (FIX)'!J$1,'HR Rep'!$A$1:$X$1,0),0),""),"")="","",IFERROR(_xlfn.IFNA(VLOOKUP($A180,'HR Rep'!$A:$X,MATCH('1) For HR (FIX)'!J$1,'HR Rep'!$A$1:$X$1,0),0),""),""))</f>
        <v/>
      </c>
      <c r="K180" s="161">
        <f>_xlfn.XLOOKUP(G180,ค่าตอบแทนการขายในอัตราคงที่!A:A,ค่าตอบแทนการขายในอัตราคงที่!B:B)</f>
        <v>0</v>
      </c>
      <c r="L180" s="174">
        <f>Period!$A$2</f>
        <v>46113</v>
      </c>
      <c r="M180" s="175">
        <f>Period!$C$2</f>
        <v>46143</v>
      </c>
      <c r="N180" s="194" t="s">
        <v>279</v>
      </c>
    </row>
    <row r="181" spans="1:14" ht="11.4" x14ac:dyDescent="0.25">
      <c r="A181" s="137"/>
      <c r="B181" s="169" t="e">
        <f>IF(IF(VLOOKUP(A181,ASTBase!F:P,11,FALSE)="","",VLOOKUP(A181,ASTBase!F:P,11,FALSE))=0,"",IF(VLOOKUP(A181,ASTBase!F:P,11,FALSE)="","",VLOOKUP(A181,ASTBase!F:P,11,FALSE)))</f>
        <v>#N/A</v>
      </c>
      <c r="C181" s="140" t="str">
        <f>IF(IFERROR(_xlfn.IFNA(VLOOKUP($A181,'HR Rep'!$A:$X,MATCH('1) For HR (FIX)'!C$1,'HR Rep'!$A$1:$X$1,0),0),""),"")="","",IFERROR(_xlfn.IFNA(VLOOKUP($A181,'HR Rep'!$A:$X,MATCH('1) For HR (FIX)'!C$1,'HR Rep'!$A$1:$X$1,0),0),""),""))</f>
        <v/>
      </c>
      <c r="D181" s="140" t="str">
        <f>IF(IFERROR(_xlfn.IFNA(VLOOKUP($A181,'HR Rep'!$A:$X,MATCH('1) For HR (FIX)'!D$1,'HR Rep'!$A$1:$X$1,0),0),""),"")="","",IFERROR(_xlfn.IFNA(VLOOKUP($A181,'HR Rep'!$A:$X,MATCH('1) For HR (FIX)'!D$1,'HR Rep'!$A$1:$X$1,0),0),""),""))</f>
        <v/>
      </c>
      <c r="E181" s="140" t="str">
        <f>IF(IFERROR(_xlfn.IFNA(VLOOKUP($A181,'HR Rep'!$A:$X,MATCH('1) For HR (FIX)'!E$1,'HR Rep'!$A$1:$X$1,0),0),""),"")="","",IFERROR(_xlfn.IFNA(VLOOKUP($A181,'HR Rep'!$A:$X,MATCH('1) For HR (FIX)'!E$1,'HR Rep'!$A$1:$X$1,0),0),""),""))</f>
        <v/>
      </c>
      <c r="F181" s="140" t="str">
        <f>IF(IFERROR(_xlfn.IFNA(VLOOKUP($A181,'HR Rep'!$A:$X,MATCH('1) For HR (FIX)'!F$1,'HR Rep'!$A$1:$X$1,0),0),""),"")="","",IFERROR(_xlfn.IFNA(VLOOKUP($A181,'HR Rep'!$A:$X,MATCH('1) For HR (FIX)'!F$1,'HR Rep'!$A$1:$X$1,0),0),""),""))</f>
        <v/>
      </c>
      <c r="G181" s="196"/>
      <c r="H181" s="140" t="str">
        <f>IF(IFERROR(_xlfn.IFNA(VLOOKUP($A181,'HR Rep'!$A:$X,MATCH('1) For HR (FIX)'!H$1,'HR Rep'!$A$1:$X$1,0),0),""),"")="","",IFERROR(_xlfn.IFNA(VLOOKUP($A181,'HR Rep'!$A:$X,MATCH('1) For HR (FIX)'!H$1,'HR Rep'!$A$1:$X$1,0),0),""),""))</f>
        <v/>
      </c>
      <c r="I181" s="140" t="str">
        <f>IF(IFERROR(_xlfn.IFNA(VLOOKUP($A181,'HR Rep'!$A:$X,MATCH('1) For HR (FIX)'!I$1,'HR Rep'!$A$1:$X$1,0),0),""),"")="","",IFERROR(_xlfn.IFNA(VLOOKUP($A181,'HR Rep'!$A:$X,MATCH('1) For HR (FIX)'!I$1,'HR Rep'!$A$1:$X$1,0),0),""),""))</f>
        <v/>
      </c>
      <c r="J181" s="140" t="str">
        <f>IF(IFERROR(_xlfn.IFNA(VLOOKUP($A181,'HR Rep'!$A:$X,MATCH('1) For HR (FIX)'!J$1,'HR Rep'!$A$1:$X$1,0),0),""),"")="","",IFERROR(_xlfn.IFNA(VLOOKUP($A181,'HR Rep'!$A:$X,MATCH('1) For HR (FIX)'!J$1,'HR Rep'!$A$1:$X$1,0),0),""),""))</f>
        <v/>
      </c>
      <c r="K181" s="161">
        <f>_xlfn.XLOOKUP(G181,ค่าตอบแทนการขายในอัตราคงที่!A:A,ค่าตอบแทนการขายในอัตราคงที่!B:B)</f>
        <v>0</v>
      </c>
      <c r="L181" s="174">
        <f>Period!$A$2</f>
        <v>46113</v>
      </c>
      <c r="M181" s="175">
        <f>Period!$C$2</f>
        <v>46143</v>
      </c>
      <c r="N181" s="194" t="s">
        <v>279</v>
      </c>
    </row>
    <row r="182" spans="1:14" ht="11.4" x14ac:dyDescent="0.25">
      <c r="A182" s="137"/>
      <c r="B182" s="169" t="e">
        <f>IF(IF(VLOOKUP(A182,ASTBase!F:P,11,FALSE)="","",VLOOKUP(A182,ASTBase!F:P,11,FALSE))=0,"",IF(VLOOKUP(A182,ASTBase!F:P,11,FALSE)="","",VLOOKUP(A182,ASTBase!F:P,11,FALSE)))</f>
        <v>#N/A</v>
      </c>
      <c r="C182" s="140" t="str">
        <f>IF(IFERROR(_xlfn.IFNA(VLOOKUP($A182,'HR Rep'!$A:$X,MATCH('1) For HR (FIX)'!C$1,'HR Rep'!$A$1:$X$1,0),0),""),"")="","",IFERROR(_xlfn.IFNA(VLOOKUP($A182,'HR Rep'!$A:$X,MATCH('1) For HR (FIX)'!C$1,'HR Rep'!$A$1:$X$1,0),0),""),""))</f>
        <v/>
      </c>
      <c r="D182" s="140" t="str">
        <f>IF(IFERROR(_xlfn.IFNA(VLOOKUP($A182,'HR Rep'!$A:$X,MATCH('1) For HR (FIX)'!D$1,'HR Rep'!$A$1:$X$1,0),0),""),"")="","",IFERROR(_xlfn.IFNA(VLOOKUP($A182,'HR Rep'!$A:$X,MATCH('1) For HR (FIX)'!D$1,'HR Rep'!$A$1:$X$1,0),0),""),""))</f>
        <v/>
      </c>
      <c r="E182" s="140" t="str">
        <f>IF(IFERROR(_xlfn.IFNA(VLOOKUP($A182,'HR Rep'!$A:$X,MATCH('1) For HR (FIX)'!E$1,'HR Rep'!$A$1:$X$1,0),0),""),"")="","",IFERROR(_xlfn.IFNA(VLOOKUP($A182,'HR Rep'!$A:$X,MATCH('1) For HR (FIX)'!E$1,'HR Rep'!$A$1:$X$1,0),0),""),""))</f>
        <v/>
      </c>
      <c r="F182" s="140" t="str">
        <f>IF(IFERROR(_xlfn.IFNA(VLOOKUP($A182,'HR Rep'!$A:$X,MATCH('1) For HR (FIX)'!F$1,'HR Rep'!$A$1:$X$1,0),0),""),"")="","",IFERROR(_xlfn.IFNA(VLOOKUP($A182,'HR Rep'!$A:$X,MATCH('1) For HR (FIX)'!F$1,'HR Rep'!$A$1:$X$1,0),0),""),""))</f>
        <v/>
      </c>
      <c r="G182" s="196"/>
      <c r="H182" s="140" t="str">
        <f>IF(IFERROR(_xlfn.IFNA(VLOOKUP($A182,'HR Rep'!$A:$X,MATCH('1) For HR (FIX)'!H$1,'HR Rep'!$A$1:$X$1,0),0),""),"")="","",IFERROR(_xlfn.IFNA(VLOOKUP($A182,'HR Rep'!$A:$X,MATCH('1) For HR (FIX)'!H$1,'HR Rep'!$A$1:$X$1,0),0),""),""))</f>
        <v/>
      </c>
      <c r="I182" s="140" t="str">
        <f>IF(IFERROR(_xlfn.IFNA(VLOOKUP($A182,'HR Rep'!$A:$X,MATCH('1) For HR (FIX)'!I$1,'HR Rep'!$A$1:$X$1,0),0),""),"")="","",IFERROR(_xlfn.IFNA(VLOOKUP($A182,'HR Rep'!$A:$X,MATCH('1) For HR (FIX)'!I$1,'HR Rep'!$A$1:$X$1,0),0),""),""))</f>
        <v/>
      </c>
      <c r="J182" s="140" t="str">
        <f>IF(IFERROR(_xlfn.IFNA(VLOOKUP($A182,'HR Rep'!$A:$X,MATCH('1) For HR (FIX)'!J$1,'HR Rep'!$A$1:$X$1,0),0),""),"")="","",IFERROR(_xlfn.IFNA(VLOOKUP($A182,'HR Rep'!$A:$X,MATCH('1) For HR (FIX)'!J$1,'HR Rep'!$A$1:$X$1,0),0),""),""))</f>
        <v/>
      </c>
      <c r="K182" s="161">
        <f>_xlfn.XLOOKUP(G182,ค่าตอบแทนการขายในอัตราคงที่!A:A,ค่าตอบแทนการขายในอัตราคงที่!B:B)</f>
        <v>0</v>
      </c>
      <c r="L182" s="174">
        <f>Period!$A$2</f>
        <v>46113</v>
      </c>
      <c r="M182" s="175">
        <f>Period!$C$2</f>
        <v>46143</v>
      </c>
      <c r="N182" s="194" t="s">
        <v>279</v>
      </c>
    </row>
    <row r="183" spans="1:14" ht="11.4" x14ac:dyDescent="0.25">
      <c r="A183" s="137"/>
      <c r="B183" s="169" t="e">
        <f>IF(IF(VLOOKUP(A183,ASTBase!F:P,11,FALSE)="","",VLOOKUP(A183,ASTBase!F:P,11,FALSE))=0,"",IF(VLOOKUP(A183,ASTBase!F:P,11,FALSE)="","",VLOOKUP(A183,ASTBase!F:P,11,FALSE)))</f>
        <v>#N/A</v>
      </c>
      <c r="C183" s="140" t="str">
        <f>IF(IFERROR(_xlfn.IFNA(VLOOKUP($A183,'HR Rep'!$A:$X,MATCH('1) For HR (FIX)'!C$1,'HR Rep'!$A$1:$X$1,0),0),""),"")="","",IFERROR(_xlfn.IFNA(VLOOKUP($A183,'HR Rep'!$A:$X,MATCH('1) For HR (FIX)'!C$1,'HR Rep'!$A$1:$X$1,0),0),""),""))</f>
        <v/>
      </c>
      <c r="D183" s="140" t="str">
        <f>IF(IFERROR(_xlfn.IFNA(VLOOKUP($A183,'HR Rep'!$A:$X,MATCH('1) For HR (FIX)'!D$1,'HR Rep'!$A$1:$X$1,0),0),""),"")="","",IFERROR(_xlfn.IFNA(VLOOKUP($A183,'HR Rep'!$A:$X,MATCH('1) For HR (FIX)'!D$1,'HR Rep'!$A$1:$X$1,0),0),""),""))</f>
        <v/>
      </c>
      <c r="E183" s="140" t="str">
        <f>IF(IFERROR(_xlfn.IFNA(VLOOKUP($A183,'HR Rep'!$A:$X,MATCH('1) For HR (FIX)'!E$1,'HR Rep'!$A$1:$X$1,0),0),""),"")="","",IFERROR(_xlfn.IFNA(VLOOKUP($A183,'HR Rep'!$A:$X,MATCH('1) For HR (FIX)'!E$1,'HR Rep'!$A$1:$X$1,0),0),""),""))</f>
        <v/>
      </c>
      <c r="F183" s="140" t="str">
        <f>IF(IFERROR(_xlfn.IFNA(VLOOKUP($A183,'HR Rep'!$A:$X,MATCH('1) For HR (FIX)'!F$1,'HR Rep'!$A$1:$X$1,0),0),""),"")="","",IFERROR(_xlfn.IFNA(VLOOKUP($A183,'HR Rep'!$A:$X,MATCH('1) For HR (FIX)'!F$1,'HR Rep'!$A$1:$X$1,0),0),""),""))</f>
        <v/>
      </c>
      <c r="G183" s="196"/>
      <c r="H183" s="140" t="str">
        <f>IF(IFERROR(_xlfn.IFNA(VLOOKUP($A183,'HR Rep'!$A:$X,MATCH('1) For HR (FIX)'!H$1,'HR Rep'!$A$1:$X$1,0),0),""),"")="","",IFERROR(_xlfn.IFNA(VLOOKUP($A183,'HR Rep'!$A:$X,MATCH('1) For HR (FIX)'!H$1,'HR Rep'!$A$1:$X$1,0),0),""),""))</f>
        <v/>
      </c>
      <c r="I183" s="140" t="str">
        <f>IF(IFERROR(_xlfn.IFNA(VLOOKUP($A183,'HR Rep'!$A:$X,MATCH('1) For HR (FIX)'!I$1,'HR Rep'!$A$1:$X$1,0),0),""),"")="","",IFERROR(_xlfn.IFNA(VLOOKUP($A183,'HR Rep'!$A:$X,MATCH('1) For HR (FIX)'!I$1,'HR Rep'!$A$1:$X$1,0),0),""),""))</f>
        <v/>
      </c>
      <c r="J183" s="140" t="str">
        <f>IF(IFERROR(_xlfn.IFNA(VLOOKUP($A183,'HR Rep'!$A:$X,MATCH('1) For HR (FIX)'!J$1,'HR Rep'!$A$1:$X$1,0),0),""),"")="","",IFERROR(_xlfn.IFNA(VLOOKUP($A183,'HR Rep'!$A:$X,MATCH('1) For HR (FIX)'!J$1,'HR Rep'!$A$1:$X$1,0),0),""),""))</f>
        <v/>
      </c>
      <c r="K183" s="161">
        <f>_xlfn.XLOOKUP(G183,ค่าตอบแทนการขายในอัตราคงที่!A:A,ค่าตอบแทนการขายในอัตราคงที่!B:B)</f>
        <v>0</v>
      </c>
      <c r="L183" s="174">
        <f>Period!$A$2</f>
        <v>46113</v>
      </c>
      <c r="M183" s="175">
        <f>Period!$C$2</f>
        <v>46143</v>
      </c>
      <c r="N183" s="194" t="s">
        <v>279</v>
      </c>
    </row>
    <row r="184" spans="1:14" ht="11.4" x14ac:dyDescent="0.25">
      <c r="A184" s="137"/>
      <c r="B184" s="169" t="e">
        <f>IF(IF(VLOOKUP(A184,ASTBase!F:P,11,FALSE)="","",VLOOKUP(A184,ASTBase!F:P,11,FALSE))=0,"",IF(VLOOKUP(A184,ASTBase!F:P,11,FALSE)="","",VLOOKUP(A184,ASTBase!F:P,11,FALSE)))</f>
        <v>#N/A</v>
      </c>
      <c r="C184" s="140" t="str">
        <f>IF(IFERROR(_xlfn.IFNA(VLOOKUP($A184,'HR Rep'!$A:$X,MATCH('1) For HR (FIX)'!C$1,'HR Rep'!$A$1:$X$1,0),0),""),"")="","",IFERROR(_xlfn.IFNA(VLOOKUP($A184,'HR Rep'!$A:$X,MATCH('1) For HR (FIX)'!C$1,'HR Rep'!$A$1:$X$1,0),0),""),""))</f>
        <v/>
      </c>
      <c r="D184" s="140" t="str">
        <f>IF(IFERROR(_xlfn.IFNA(VLOOKUP($A184,'HR Rep'!$A:$X,MATCH('1) For HR (FIX)'!D$1,'HR Rep'!$A$1:$X$1,0),0),""),"")="","",IFERROR(_xlfn.IFNA(VLOOKUP($A184,'HR Rep'!$A:$X,MATCH('1) For HR (FIX)'!D$1,'HR Rep'!$A$1:$X$1,0),0),""),""))</f>
        <v/>
      </c>
      <c r="E184" s="140" t="str">
        <f>IF(IFERROR(_xlfn.IFNA(VLOOKUP($A184,'HR Rep'!$A:$X,MATCH('1) For HR (FIX)'!E$1,'HR Rep'!$A$1:$X$1,0),0),""),"")="","",IFERROR(_xlfn.IFNA(VLOOKUP($A184,'HR Rep'!$A:$X,MATCH('1) For HR (FIX)'!E$1,'HR Rep'!$A$1:$X$1,0),0),""),""))</f>
        <v/>
      </c>
      <c r="F184" s="140" t="str">
        <f>IF(IFERROR(_xlfn.IFNA(VLOOKUP($A184,'HR Rep'!$A:$X,MATCH('1) For HR (FIX)'!F$1,'HR Rep'!$A$1:$X$1,0),0),""),"")="","",IFERROR(_xlfn.IFNA(VLOOKUP($A184,'HR Rep'!$A:$X,MATCH('1) For HR (FIX)'!F$1,'HR Rep'!$A$1:$X$1,0),0),""),""))</f>
        <v/>
      </c>
      <c r="G184" s="196"/>
      <c r="H184" s="140" t="str">
        <f>IF(IFERROR(_xlfn.IFNA(VLOOKUP($A184,'HR Rep'!$A:$X,MATCH('1) For HR (FIX)'!H$1,'HR Rep'!$A$1:$X$1,0),0),""),"")="","",IFERROR(_xlfn.IFNA(VLOOKUP($A184,'HR Rep'!$A:$X,MATCH('1) For HR (FIX)'!H$1,'HR Rep'!$A$1:$X$1,0),0),""),""))</f>
        <v/>
      </c>
      <c r="I184" s="140" t="str">
        <f>IF(IFERROR(_xlfn.IFNA(VLOOKUP($A184,'HR Rep'!$A:$X,MATCH('1) For HR (FIX)'!I$1,'HR Rep'!$A$1:$X$1,0),0),""),"")="","",IFERROR(_xlfn.IFNA(VLOOKUP($A184,'HR Rep'!$A:$X,MATCH('1) For HR (FIX)'!I$1,'HR Rep'!$A$1:$X$1,0),0),""),""))</f>
        <v/>
      </c>
      <c r="J184" s="140" t="str">
        <f>IF(IFERROR(_xlfn.IFNA(VLOOKUP($A184,'HR Rep'!$A:$X,MATCH('1) For HR (FIX)'!J$1,'HR Rep'!$A$1:$X$1,0),0),""),"")="","",IFERROR(_xlfn.IFNA(VLOOKUP($A184,'HR Rep'!$A:$X,MATCH('1) For HR (FIX)'!J$1,'HR Rep'!$A$1:$X$1,0),0),""),""))</f>
        <v/>
      </c>
      <c r="K184" s="161">
        <f>_xlfn.XLOOKUP(G184,ค่าตอบแทนการขายในอัตราคงที่!A:A,ค่าตอบแทนการขายในอัตราคงที่!B:B)</f>
        <v>0</v>
      </c>
      <c r="L184" s="174">
        <f>Period!$A$2</f>
        <v>46113</v>
      </c>
      <c r="M184" s="175">
        <f>Period!$C$2</f>
        <v>46143</v>
      </c>
      <c r="N184" s="194" t="s">
        <v>279</v>
      </c>
    </row>
    <row r="185" spans="1:14" ht="11.4" x14ac:dyDescent="0.25">
      <c r="A185" s="137"/>
      <c r="B185" s="169" t="e">
        <f>IF(IF(VLOOKUP(A185,ASTBase!F:P,11,FALSE)="","",VLOOKUP(A185,ASTBase!F:P,11,FALSE))=0,"",IF(VLOOKUP(A185,ASTBase!F:P,11,FALSE)="","",VLOOKUP(A185,ASTBase!F:P,11,FALSE)))</f>
        <v>#N/A</v>
      </c>
      <c r="C185" s="140" t="str">
        <f>IF(IFERROR(_xlfn.IFNA(VLOOKUP($A185,'HR Rep'!$A:$X,MATCH('1) For HR (FIX)'!C$1,'HR Rep'!$A$1:$X$1,0),0),""),"")="","",IFERROR(_xlfn.IFNA(VLOOKUP($A185,'HR Rep'!$A:$X,MATCH('1) For HR (FIX)'!C$1,'HR Rep'!$A$1:$X$1,0),0),""),""))</f>
        <v/>
      </c>
      <c r="D185" s="140" t="str">
        <f>IF(IFERROR(_xlfn.IFNA(VLOOKUP($A185,'HR Rep'!$A:$X,MATCH('1) For HR (FIX)'!D$1,'HR Rep'!$A$1:$X$1,0),0),""),"")="","",IFERROR(_xlfn.IFNA(VLOOKUP($A185,'HR Rep'!$A:$X,MATCH('1) For HR (FIX)'!D$1,'HR Rep'!$A$1:$X$1,0),0),""),""))</f>
        <v/>
      </c>
      <c r="E185" s="140" t="str">
        <f>IF(IFERROR(_xlfn.IFNA(VLOOKUP($A185,'HR Rep'!$A:$X,MATCH('1) For HR (FIX)'!E$1,'HR Rep'!$A$1:$X$1,0),0),""),"")="","",IFERROR(_xlfn.IFNA(VLOOKUP($A185,'HR Rep'!$A:$X,MATCH('1) For HR (FIX)'!E$1,'HR Rep'!$A$1:$X$1,0),0),""),""))</f>
        <v/>
      </c>
      <c r="F185" s="140" t="str">
        <f>IF(IFERROR(_xlfn.IFNA(VLOOKUP($A185,'HR Rep'!$A:$X,MATCH('1) For HR (FIX)'!F$1,'HR Rep'!$A$1:$X$1,0),0),""),"")="","",IFERROR(_xlfn.IFNA(VLOOKUP($A185,'HR Rep'!$A:$X,MATCH('1) For HR (FIX)'!F$1,'HR Rep'!$A$1:$X$1,0),0),""),""))</f>
        <v/>
      </c>
      <c r="G185" s="196"/>
      <c r="H185" s="140" t="str">
        <f>IF(IFERROR(_xlfn.IFNA(VLOOKUP($A185,'HR Rep'!$A:$X,MATCH('1) For HR (FIX)'!H$1,'HR Rep'!$A$1:$X$1,0),0),""),"")="","",IFERROR(_xlfn.IFNA(VLOOKUP($A185,'HR Rep'!$A:$X,MATCH('1) For HR (FIX)'!H$1,'HR Rep'!$A$1:$X$1,0),0),""),""))</f>
        <v/>
      </c>
      <c r="I185" s="140" t="str">
        <f>IF(IFERROR(_xlfn.IFNA(VLOOKUP($A185,'HR Rep'!$A:$X,MATCH('1) For HR (FIX)'!I$1,'HR Rep'!$A$1:$X$1,0),0),""),"")="","",IFERROR(_xlfn.IFNA(VLOOKUP($A185,'HR Rep'!$A:$X,MATCH('1) For HR (FIX)'!I$1,'HR Rep'!$A$1:$X$1,0),0),""),""))</f>
        <v/>
      </c>
      <c r="J185" s="140" t="str">
        <f>IF(IFERROR(_xlfn.IFNA(VLOOKUP($A185,'HR Rep'!$A:$X,MATCH('1) For HR (FIX)'!J$1,'HR Rep'!$A$1:$X$1,0),0),""),"")="","",IFERROR(_xlfn.IFNA(VLOOKUP($A185,'HR Rep'!$A:$X,MATCH('1) For HR (FIX)'!J$1,'HR Rep'!$A$1:$X$1,0),0),""),""))</f>
        <v/>
      </c>
      <c r="K185" s="161">
        <f>_xlfn.XLOOKUP(G185,ค่าตอบแทนการขายในอัตราคงที่!A:A,ค่าตอบแทนการขายในอัตราคงที่!B:B)</f>
        <v>0</v>
      </c>
      <c r="L185" s="174">
        <f>Period!$A$2</f>
        <v>46113</v>
      </c>
      <c r="M185" s="175">
        <f>Period!$C$2</f>
        <v>46143</v>
      </c>
      <c r="N185" s="194" t="s">
        <v>279</v>
      </c>
    </row>
    <row r="186" spans="1:14" ht="11.4" x14ac:dyDescent="0.25">
      <c r="A186" s="137"/>
      <c r="B186" s="169" t="e">
        <f>IF(IF(VLOOKUP(A186,ASTBase!F:P,11,FALSE)="","",VLOOKUP(A186,ASTBase!F:P,11,FALSE))=0,"",IF(VLOOKUP(A186,ASTBase!F:P,11,FALSE)="","",VLOOKUP(A186,ASTBase!F:P,11,FALSE)))</f>
        <v>#N/A</v>
      </c>
      <c r="C186" s="140" t="str">
        <f>IF(IFERROR(_xlfn.IFNA(VLOOKUP($A186,'HR Rep'!$A:$X,MATCH('1) For HR (FIX)'!C$1,'HR Rep'!$A$1:$X$1,0),0),""),"")="","",IFERROR(_xlfn.IFNA(VLOOKUP($A186,'HR Rep'!$A:$X,MATCH('1) For HR (FIX)'!C$1,'HR Rep'!$A$1:$X$1,0),0),""),""))</f>
        <v/>
      </c>
      <c r="D186" s="140" t="str">
        <f>IF(IFERROR(_xlfn.IFNA(VLOOKUP($A186,'HR Rep'!$A:$X,MATCH('1) For HR (FIX)'!D$1,'HR Rep'!$A$1:$X$1,0),0),""),"")="","",IFERROR(_xlfn.IFNA(VLOOKUP($A186,'HR Rep'!$A:$X,MATCH('1) For HR (FIX)'!D$1,'HR Rep'!$A$1:$X$1,0),0),""),""))</f>
        <v/>
      </c>
      <c r="E186" s="140" t="str">
        <f>IF(IFERROR(_xlfn.IFNA(VLOOKUP($A186,'HR Rep'!$A:$X,MATCH('1) For HR (FIX)'!E$1,'HR Rep'!$A$1:$X$1,0),0),""),"")="","",IFERROR(_xlfn.IFNA(VLOOKUP($A186,'HR Rep'!$A:$X,MATCH('1) For HR (FIX)'!E$1,'HR Rep'!$A$1:$X$1,0),0),""),""))</f>
        <v/>
      </c>
      <c r="F186" s="140" t="str">
        <f>IF(IFERROR(_xlfn.IFNA(VLOOKUP($A186,'HR Rep'!$A:$X,MATCH('1) For HR (FIX)'!F$1,'HR Rep'!$A$1:$X$1,0),0),""),"")="","",IFERROR(_xlfn.IFNA(VLOOKUP($A186,'HR Rep'!$A:$X,MATCH('1) For HR (FIX)'!F$1,'HR Rep'!$A$1:$X$1,0),0),""),""))</f>
        <v/>
      </c>
      <c r="G186" s="196"/>
      <c r="H186" s="140" t="str">
        <f>IF(IFERROR(_xlfn.IFNA(VLOOKUP($A186,'HR Rep'!$A:$X,MATCH('1) For HR (FIX)'!H$1,'HR Rep'!$A$1:$X$1,0),0),""),"")="","",IFERROR(_xlfn.IFNA(VLOOKUP($A186,'HR Rep'!$A:$X,MATCH('1) For HR (FIX)'!H$1,'HR Rep'!$A$1:$X$1,0),0),""),""))</f>
        <v/>
      </c>
      <c r="I186" s="140" t="str">
        <f>IF(IFERROR(_xlfn.IFNA(VLOOKUP($A186,'HR Rep'!$A:$X,MATCH('1) For HR (FIX)'!I$1,'HR Rep'!$A$1:$X$1,0),0),""),"")="","",IFERROR(_xlfn.IFNA(VLOOKUP($A186,'HR Rep'!$A:$X,MATCH('1) For HR (FIX)'!I$1,'HR Rep'!$A$1:$X$1,0),0),""),""))</f>
        <v/>
      </c>
      <c r="J186" s="140" t="str">
        <f>IF(IFERROR(_xlfn.IFNA(VLOOKUP($A186,'HR Rep'!$A:$X,MATCH('1) For HR (FIX)'!J$1,'HR Rep'!$A$1:$X$1,0),0),""),"")="","",IFERROR(_xlfn.IFNA(VLOOKUP($A186,'HR Rep'!$A:$X,MATCH('1) For HR (FIX)'!J$1,'HR Rep'!$A$1:$X$1,0),0),""),""))</f>
        <v/>
      </c>
      <c r="K186" s="161">
        <f>_xlfn.XLOOKUP(G186,ค่าตอบแทนการขายในอัตราคงที่!A:A,ค่าตอบแทนการขายในอัตราคงที่!B:B)</f>
        <v>0</v>
      </c>
      <c r="L186" s="174">
        <f>Period!$A$2</f>
        <v>46113</v>
      </c>
      <c r="M186" s="175">
        <f>Period!$C$2</f>
        <v>46143</v>
      </c>
      <c r="N186" s="194" t="s">
        <v>279</v>
      </c>
    </row>
    <row r="187" spans="1:14" ht="11.4" x14ac:dyDescent="0.25">
      <c r="A187" s="137"/>
      <c r="B187" s="169" t="e">
        <f>IF(IF(VLOOKUP(A187,ASTBase!F:P,11,FALSE)="","",VLOOKUP(A187,ASTBase!F:P,11,FALSE))=0,"",IF(VLOOKUP(A187,ASTBase!F:P,11,FALSE)="","",VLOOKUP(A187,ASTBase!F:P,11,FALSE)))</f>
        <v>#N/A</v>
      </c>
      <c r="C187" s="140" t="str">
        <f>IF(IFERROR(_xlfn.IFNA(VLOOKUP($A187,'HR Rep'!$A:$X,MATCH('1) For HR (FIX)'!C$1,'HR Rep'!$A$1:$X$1,0),0),""),"")="","",IFERROR(_xlfn.IFNA(VLOOKUP($A187,'HR Rep'!$A:$X,MATCH('1) For HR (FIX)'!C$1,'HR Rep'!$A$1:$X$1,0),0),""),""))</f>
        <v/>
      </c>
      <c r="D187" s="140" t="str">
        <f>IF(IFERROR(_xlfn.IFNA(VLOOKUP($A187,'HR Rep'!$A:$X,MATCH('1) For HR (FIX)'!D$1,'HR Rep'!$A$1:$X$1,0),0),""),"")="","",IFERROR(_xlfn.IFNA(VLOOKUP($A187,'HR Rep'!$A:$X,MATCH('1) For HR (FIX)'!D$1,'HR Rep'!$A$1:$X$1,0),0),""),""))</f>
        <v/>
      </c>
      <c r="E187" s="140" t="str">
        <f>IF(IFERROR(_xlfn.IFNA(VLOOKUP($A187,'HR Rep'!$A:$X,MATCH('1) For HR (FIX)'!E$1,'HR Rep'!$A$1:$X$1,0),0),""),"")="","",IFERROR(_xlfn.IFNA(VLOOKUP($A187,'HR Rep'!$A:$X,MATCH('1) For HR (FIX)'!E$1,'HR Rep'!$A$1:$X$1,0),0),""),""))</f>
        <v/>
      </c>
      <c r="F187" s="140" t="str">
        <f>IF(IFERROR(_xlfn.IFNA(VLOOKUP($A187,'HR Rep'!$A:$X,MATCH('1) For HR (FIX)'!F$1,'HR Rep'!$A$1:$X$1,0),0),""),"")="","",IFERROR(_xlfn.IFNA(VLOOKUP($A187,'HR Rep'!$A:$X,MATCH('1) For HR (FIX)'!F$1,'HR Rep'!$A$1:$X$1,0),0),""),""))</f>
        <v/>
      </c>
      <c r="G187" s="196"/>
      <c r="H187" s="140" t="str">
        <f>IF(IFERROR(_xlfn.IFNA(VLOOKUP($A187,'HR Rep'!$A:$X,MATCH('1) For HR (FIX)'!H$1,'HR Rep'!$A$1:$X$1,0),0),""),"")="","",IFERROR(_xlfn.IFNA(VLOOKUP($A187,'HR Rep'!$A:$X,MATCH('1) For HR (FIX)'!H$1,'HR Rep'!$A$1:$X$1,0),0),""),""))</f>
        <v/>
      </c>
      <c r="I187" s="140" t="str">
        <f>IF(IFERROR(_xlfn.IFNA(VLOOKUP($A187,'HR Rep'!$A:$X,MATCH('1) For HR (FIX)'!I$1,'HR Rep'!$A$1:$X$1,0),0),""),"")="","",IFERROR(_xlfn.IFNA(VLOOKUP($A187,'HR Rep'!$A:$X,MATCH('1) For HR (FIX)'!I$1,'HR Rep'!$A$1:$X$1,0),0),""),""))</f>
        <v/>
      </c>
      <c r="J187" s="140" t="str">
        <f>IF(IFERROR(_xlfn.IFNA(VLOOKUP($A187,'HR Rep'!$A:$X,MATCH('1) For HR (FIX)'!J$1,'HR Rep'!$A$1:$X$1,0),0),""),"")="","",IFERROR(_xlfn.IFNA(VLOOKUP($A187,'HR Rep'!$A:$X,MATCH('1) For HR (FIX)'!J$1,'HR Rep'!$A$1:$X$1,0),0),""),""))</f>
        <v/>
      </c>
      <c r="K187" s="161">
        <f>_xlfn.XLOOKUP(G187,ค่าตอบแทนการขายในอัตราคงที่!A:A,ค่าตอบแทนการขายในอัตราคงที่!B:B)</f>
        <v>0</v>
      </c>
      <c r="L187" s="174">
        <f>Period!$A$2</f>
        <v>46113</v>
      </c>
      <c r="M187" s="175">
        <f>Period!$C$2</f>
        <v>46143</v>
      </c>
      <c r="N187" s="194" t="s">
        <v>279</v>
      </c>
    </row>
    <row r="188" spans="1:14" ht="11.4" x14ac:dyDescent="0.25">
      <c r="A188" s="137"/>
      <c r="B188" s="169" t="e">
        <f>IF(IF(VLOOKUP(A188,ASTBase!F:P,11,FALSE)="","",VLOOKUP(A188,ASTBase!F:P,11,FALSE))=0,"",IF(VLOOKUP(A188,ASTBase!F:P,11,FALSE)="","",VLOOKUP(A188,ASTBase!F:P,11,FALSE)))</f>
        <v>#N/A</v>
      </c>
      <c r="C188" s="140" t="str">
        <f>IF(IFERROR(_xlfn.IFNA(VLOOKUP($A188,'HR Rep'!$A:$X,MATCH('1) For HR (FIX)'!C$1,'HR Rep'!$A$1:$X$1,0),0),""),"")="","",IFERROR(_xlfn.IFNA(VLOOKUP($A188,'HR Rep'!$A:$X,MATCH('1) For HR (FIX)'!C$1,'HR Rep'!$A$1:$X$1,0),0),""),""))</f>
        <v/>
      </c>
      <c r="D188" s="140" t="str">
        <f>IF(IFERROR(_xlfn.IFNA(VLOOKUP($A188,'HR Rep'!$A:$X,MATCH('1) For HR (FIX)'!D$1,'HR Rep'!$A$1:$X$1,0),0),""),"")="","",IFERROR(_xlfn.IFNA(VLOOKUP($A188,'HR Rep'!$A:$X,MATCH('1) For HR (FIX)'!D$1,'HR Rep'!$A$1:$X$1,0),0),""),""))</f>
        <v/>
      </c>
      <c r="E188" s="140" t="str">
        <f>IF(IFERROR(_xlfn.IFNA(VLOOKUP($A188,'HR Rep'!$A:$X,MATCH('1) For HR (FIX)'!E$1,'HR Rep'!$A$1:$X$1,0),0),""),"")="","",IFERROR(_xlfn.IFNA(VLOOKUP($A188,'HR Rep'!$A:$X,MATCH('1) For HR (FIX)'!E$1,'HR Rep'!$A$1:$X$1,0),0),""),""))</f>
        <v/>
      </c>
      <c r="F188" s="140" t="str">
        <f>IF(IFERROR(_xlfn.IFNA(VLOOKUP($A188,'HR Rep'!$A:$X,MATCH('1) For HR (FIX)'!F$1,'HR Rep'!$A$1:$X$1,0),0),""),"")="","",IFERROR(_xlfn.IFNA(VLOOKUP($A188,'HR Rep'!$A:$X,MATCH('1) For HR (FIX)'!F$1,'HR Rep'!$A$1:$X$1,0),0),""),""))</f>
        <v/>
      </c>
      <c r="G188" s="196"/>
      <c r="H188" s="140" t="str">
        <f>IF(IFERROR(_xlfn.IFNA(VLOOKUP($A188,'HR Rep'!$A:$X,MATCH('1) For HR (FIX)'!H$1,'HR Rep'!$A$1:$X$1,0),0),""),"")="","",IFERROR(_xlfn.IFNA(VLOOKUP($A188,'HR Rep'!$A:$X,MATCH('1) For HR (FIX)'!H$1,'HR Rep'!$A$1:$X$1,0),0),""),""))</f>
        <v/>
      </c>
      <c r="I188" s="140" t="str">
        <f>IF(IFERROR(_xlfn.IFNA(VLOOKUP($A188,'HR Rep'!$A:$X,MATCH('1) For HR (FIX)'!I$1,'HR Rep'!$A$1:$X$1,0),0),""),"")="","",IFERROR(_xlfn.IFNA(VLOOKUP($A188,'HR Rep'!$A:$X,MATCH('1) For HR (FIX)'!I$1,'HR Rep'!$A$1:$X$1,0),0),""),""))</f>
        <v/>
      </c>
      <c r="J188" s="140" t="str">
        <f>IF(IFERROR(_xlfn.IFNA(VLOOKUP($A188,'HR Rep'!$A:$X,MATCH('1) For HR (FIX)'!J$1,'HR Rep'!$A$1:$X$1,0),0),""),"")="","",IFERROR(_xlfn.IFNA(VLOOKUP($A188,'HR Rep'!$A:$X,MATCH('1) For HR (FIX)'!J$1,'HR Rep'!$A$1:$X$1,0),0),""),""))</f>
        <v/>
      </c>
      <c r="K188" s="161">
        <f>_xlfn.XLOOKUP(G188,ค่าตอบแทนการขายในอัตราคงที่!A:A,ค่าตอบแทนการขายในอัตราคงที่!B:B)</f>
        <v>0</v>
      </c>
      <c r="L188" s="174">
        <f>Period!$A$2</f>
        <v>46113</v>
      </c>
      <c r="M188" s="175">
        <f>Period!$C$2</f>
        <v>46143</v>
      </c>
      <c r="N188" s="194" t="s">
        <v>279</v>
      </c>
    </row>
    <row r="189" spans="1:14" ht="11.4" x14ac:dyDescent="0.25">
      <c r="A189" s="137"/>
      <c r="B189" s="169" t="e">
        <f>IF(IF(VLOOKUP(A189,ASTBase!F:P,11,FALSE)="","",VLOOKUP(A189,ASTBase!F:P,11,FALSE))=0,"",IF(VLOOKUP(A189,ASTBase!F:P,11,FALSE)="","",VLOOKUP(A189,ASTBase!F:P,11,FALSE)))</f>
        <v>#N/A</v>
      </c>
      <c r="C189" s="140" t="str">
        <f>IF(IFERROR(_xlfn.IFNA(VLOOKUP($A189,'HR Rep'!$A:$X,MATCH('1) For HR (FIX)'!C$1,'HR Rep'!$A$1:$X$1,0),0),""),"")="","",IFERROR(_xlfn.IFNA(VLOOKUP($A189,'HR Rep'!$A:$X,MATCH('1) For HR (FIX)'!C$1,'HR Rep'!$A$1:$X$1,0),0),""),""))</f>
        <v/>
      </c>
      <c r="D189" s="140" t="str">
        <f>IF(IFERROR(_xlfn.IFNA(VLOOKUP($A189,'HR Rep'!$A:$X,MATCH('1) For HR (FIX)'!D$1,'HR Rep'!$A$1:$X$1,0),0),""),"")="","",IFERROR(_xlfn.IFNA(VLOOKUP($A189,'HR Rep'!$A:$X,MATCH('1) For HR (FIX)'!D$1,'HR Rep'!$A$1:$X$1,0),0),""),""))</f>
        <v/>
      </c>
      <c r="E189" s="140" t="str">
        <f>IF(IFERROR(_xlfn.IFNA(VLOOKUP($A189,'HR Rep'!$A:$X,MATCH('1) For HR (FIX)'!E$1,'HR Rep'!$A$1:$X$1,0),0),""),"")="","",IFERROR(_xlfn.IFNA(VLOOKUP($A189,'HR Rep'!$A:$X,MATCH('1) For HR (FIX)'!E$1,'HR Rep'!$A$1:$X$1,0),0),""),""))</f>
        <v/>
      </c>
      <c r="F189" s="140" t="str">
        <f>IF(IFERROR(_xlfn.IFNA(VLOOKUP($A189,'HR Rep'!$A:$X,MATCH('1) For HR (FIX)'!F$1,'HR Rep'!$A$1:$X$1,0),0),""),"")="","",IFERROR(_xlfn.IFNA(VLOOKUP($A189,'HR Rep'!$A:$X,MATCH('1) For HR (FIX)'!F$1,'HR Rep'!$A$1:$X$1,0),0),""),""))</f>
        <v/>
      </c>
      <c r="G189" s="196"/>
      <c r="H189" s="140" t="str">
        <f>IF(IFERROR(_xlfn.IFNA(VLOOKUP($A189,'HR Rep'!$A:$X,MATCH('1) For HR (FIX)'!H$1,'HR Rep'!$A$1:$X$1,0),0),""),"")="","",IFERROR(_xlfn.IFNA(VLOOKUP($A189,'HR Rep'!$A:$X,MATCH('1) For HR (FIX)'!H$1,'HR Rep'!$A$1:$X$1,0),0),""),""))</f>
        <v/>
      </c>
      <c r="I189" s="140" t="str">
        <f>IF(IFERROR(_xlfn.IFNA(VLOOKUP($A189,'HR Rep'!$A:$X,MATCH('1) For HR (FIX)'!I$1,'HR Rep'!$A$1:$X$1,0),0),""),"")="","",IFERROR(_xlfn.IFNA(VLOOKUP($A189,'HR Rep'!$A:$X,MATCH('1) For HR (FIX)'!I$1,'HR Rep'!$A$1:$X$1,0),0),""),""))</f>
        <v/>
      </c>
      <c r="J189" s="140" t="str">
        <f>IF(IFERROR(_xlfn.IFNA(VLOOKUP($A189,'HR Rep'!$A:$X,MATCH('1) For HR (FIX)'!J$1,'HR Rep'!$A$1:$X$1,0),0),""),"")="","",IFERROR(_xlfn.IFNA(VLOOKUP($A189,'HR Rep'!$A:$X,MATCH('1) For HR (FIX)'!J$1,'HR Rep'!$A$1:$X$1,0),0),""),""))</f>
        <v/>
      </c>
      <c r="K189" s="161">
        <f>_xlfn.XLOOKUP(G189,ค่าตอบแทนการขายในอัตราคงที่!A:A,ค่าตอบแทนการขายในอัตราคงที่!B:B)</f>
        <v>0</v>
      </c>
      <c r="L189" s="174">
        <f>Period!$A$2</f>
        <v>46113</v>
      </c>
      <c r="M189" s="175">
        <f>Period!$C$2</f>
        <v>46143</v>
      </c>
      <c r="N189" s="194" t="s">
        <v>279</v>
      </c>
    </row>
    <row r="190" spans="1:14" ht="11.4" x14ac:dyDescent="0.25">
      <c r="A190" s="137"/>
      <c r="B190" s="169" t="e">
        <f>IF(IF(VLOOKUP(A190,ASTBase!F:P,11,FALSE)="","",VLOOKUP(A190,ASTBase!F:P,11,FALSE))=0,"",IF(VLOOKUP(A190,ASTBase!F:P,11,FALSE)="","",VLOOKUP(A190,ASTBase!F:P,11,FALSE)))</f>
        <v>#N/A</v>
      </c>
      <c r="C190" s="140" t="str">
        <f>IF(IFERROR(_xlfn.IFNA(VLOOKUP($A190,'HR Rep'!$A:$X,MATCH('1) For HR (FIX)'!C$1,'HR Rep'!$A$1:$X$1,0),0),""),"")="","",IFERROR(_xlfn.IFNA(VLOOKUP($A190,'HR Rep'!$A:$X,MATCH('1) For HR (FIX)'!C$1,'HR Rep'!$A$1:$X$1,0),0),""),""))</f>
        <v/>
      </c>
      <c r="D190" s="140" t="str">
        <f>IF(IFERROR(_xlfn.IFNA(VLOOKUP($A190,'HR Rep'!$A:$X,MATCH('1) For HR (FIX)'!D$1,'HR Rep'!$A$1:$X$1,0),0),""),"")="","",IFERROR(_xlfn.IFNA(VLOOKUP($A190,'HR Rep'!$A:$X,MATCH('1) For HR (FIX)'!D$1,'HR Rep'!$A$1:$X$1,0),0),""),""))</f>
        <v/>
      </c>
      <c r="E190" s="140" t="str">
        <f>IF(IFERROR(_xlfn.IFNA(VLOOKUP($A190,'HR Rep'!$A:$X,MATCH('1) For HR (FIX)'!E$1,'HR Rep'!$A$1:$X$1,0),0),""),"")="","",IFERROR(_xlfn.IFNA(VLOOKUP($A190,'HR Rep'!$A:$X,MATCH('1) For HR (FIX)'!E$1,'HR Rep'!$A$1:$X$1,0),0),""),""))</f>
        <v/>
      </c>
      <c r="F190" s="140" t="str">
        <f>IF(IFERROR(_xlfn.IFNA(VLOOKUP($A190,'HR Rep'!$A:$X,MATCH('1) For HR (FIX)'!F$1,'HR Rep'!$A$1:$X$1,0),0),""),"")="","",IFERROR(_xlfn.IFNA(VLOOKUP($A190,'HR Rep'!$A:$X,MATCH('1) For HR (FIX)'!F$1,'HR Rep'!$A$1:$X$1,0),0),""),""))</f>
        <v/>
      </c>
      <c r="G190" s="196"/>
      <c r="H190" s="140" t="str">
        <f>IF(IFERROR(_xlfn.IFNA(VLOOKUP($A190,'HR Rep'!$A:$X,MATCH('1) For HR (FIX)'!H$1,'HR Rep'!$A$1:$X$1,0),0),""),"")="","",IFERROR(_xlfn.IFNA(VLOOKUP($A190,'HR Rep'!$A:$X,MATCH('1) For HR (FIX)'!H$1,'HR Rep'!$A$1:$X$1,0),0),""),""))</f>
        <v/>
      </c>
      <c r="I190" s="140" t="str">
        <f>IF(IFERROR(_xlfn.IFNA(VLOOKUP($A190,'HR Rep'!$A:$X,MATCH('1) For HR (FIX)'!I$1,'HR Rep'!$A$1:$X$1,0),0),""),"")="","",IFERROR(_xlfn.IFNA(VLOOKUP($A190,'HR Rep'!$A:$X,MATCH('1) For HR (FIX)'!I$1,'HR Rep'!$A$1:$X$1,0),0),""),""))</f>
        <v/>
      </c>
      <c r="J190" s="140" t="str">
        <f>IF(IFERROR(_xlfn.IFNA(VLOOKUP($A190,'HR Rep'!$A:$X,MATCH('1) For HR (FIX)'!J$1,'HR Rep'!$A$1:$X$1,0),0),""),"")="","",IFERROR(_xlfn.IFNA(VLOOKUP($A190,'HR Rep'!$A:$X,MATCH('1) For HR (FIX)'!J$1,'HR Rep'!$A$1:$X$1,0),0),""),""))</f>
        <v/>
      </c>
      <c r="K190" s="161">
        <f>_xlfn.XLOOKUP(G190,ค่าตอบแทนการขายในอัตราคงที่!A:A,ค่าตอบแทนการขายในอัตราคงที่!B:B)</f>
        <v>0</v>
      </c>
      <c r="L190" s="174">
        <f>Period!$A$2</f>
        <v>46113</v>
      </c>
      <c r="M190" s="175">
        <f>Period!$C$2</f>
        <v>46143</v>
      </c>
      <c r="N190" s="194" t="s">
        <v>279</v>
      </c>
    </row>
    <row r="191" spans="1:14" ht="11.4" x14ac:dyDescent="0.25">
      <c r="A191" s="137"/>
      <c r="B191" s="169" t="e">
        <f>IF(IF(VLOOKUP(A191,ASTBase!F:P,11,FALSE)="","",VLOOKUP(A191,ASTBase!F:P,11,FALSE))=0,"",IF(VLOOKUP(A191,ASTBase!F:P,11,FALSE)="","",VLOOKUP(A191,ASTBase!F:P,11,FALSE)))</f>
        <v>#N/A</v>
      </c>
      <c r="C191" s="140" t="str">
        <f>IF(IFERROR(_xlfn.IFNA(VLOOKUP($A191,'HR Rep'!$A:$X,MATCH('1) For HR (FIX)'!C$1,'HR Rep'!$A$1:$X$1,0),0),""),"")="","",IFERROR(_xlfn.IFNA(VLOOKUP($A191,'HR Rep'!$A:$X,MATCH('1) For HR (FIX)'!C$1,'HR Rep'!$A$1:$X$1,0),0),""),""))</f>
        <v/>
      </c>
      <c r="D191" s="140" t="str">
        <f>IF(IFERROR(_xlfn.IFNA(VLOOKUP($A191,'HR Rep'!$A:$X,MATCH('1) For HR (FIX)'!D$1,'HR Rep'!$A$1:$X$1,0),0),""),"")="","",IFERROR(_xlfn.IFNA(VLOOKUP($A191,'HR Rep'!$A:$X,MATCH('1) For HR (FIX)'!D$1,'HR Rep'!$A$1:$X$1,0),0),""),""))</f>
        <v/>
      </c>
      <c r="E191" s="140" t="str">
        <f>IF(IFERROR(_xlfn.IFNA(VLOOKUP($A191,'HR Rep'!$A:$X,MATCH('1) For HR (FIX)'!E$1,'HR Rep'!$A$1:$X$1,0),0),""),"")="","",IFERROR(_xlfn.IFNA(VLOOKUP($A191,'HR Rep'!$A:$X,MATCH('1) For HR (FIX)'!E$1,'HR Rep'!$A$1:$X$1,0),0),""),""))</f>
        <v/>
      </c>
      <c r="F191" s="140" t="str">
        <f>IF(IFERROR(_xlfn.IFNA(VLOOKUP($A191,'HR Rep'!$A:$X,MATCH('1) For HR (FIX)'!F$1,'HR Rep'!$A$1:$X$1,0),0),""),"")="","",IFERROR(_xlfn.IFNA(VLOOKUP($A191,'HR Rep'!$A:$X,MATCH('1) For HR (FIX)'!F$1,'HR Rep'!$A$1:$X$1,0),0),""),""))</f>
        <v/>
      </c>
      <c r="G191" s="196"/>
      <c r="H191" s="140" t="str">
        <f>IF(IFERROR(_xlfn.IFNA(VLOOKUP($A191,'HR Rep'!$A:$X,MATCH('1) For HR (FIX)'!H$1,'HR Rep'!$A$1:$X$1,0),0),""),"")="","",IFERROR(_xlfn.IFNA(VLOOKUP($A191,'HR Rep'!$A:$X,MATCH('1) For HR (FIX)'!H$1,'HR Rep'!$A$1:$X$1,0),0),""),""))</f>
        <v/>
      </c>
      <c r="I191" s="140" t="str">
        <f>IF(IFERROR(_xlfn.IFNA(VLOOKUP($A191,'HR Rep'!$A:$X,MATCH('1) For HR (FIX)'!I$1,'HR Rep'!$A$1:$X$1,0),0),""),"")="","",IFERROR(_xlfn.IFNA(VLOOKUP($A191,'HR Rep'!$A:$X,MATCH('1) For HR (FIX)'!I$1,'HR Rep'!$A$1:$X$1,0),0),""),""))</f>
        <v/>
      </c>
      <c r="J191" s="140" t="str">
        <f>IF(IFERROR(_xlfn.IFNA(VLOOKUP($A191,'HR Rep'!$A:$X,MATCH('1) For HR (FIX)'!J$1,'HR Rep'!$A$1:$X$1,0),0),""),"")="","",IFERROR(_xlfn.IFNA(VLOOKUP($A191,'HR Rep'!$A:$X,MATCH('1) For HR (FIX)'!J$1,'HR Rep'!$A$1:$X$1,0),0),""),""))</f>
        <v/>
      </c>
      <c r="K191" s="161">
        <f>_xlfn.XLOOKUP(G191,ค่าตอบแทนการขายในอัตราคงที่!A:A,ค่าตอบแทนการขายในอัตราคงที่!B:B)</f>
        <v>0</v>
      </c>
      <c r="L191" s="174">
        <f>Period!$A$2</f>
        <v>46113</v>
      </c>
      <c r="M191" s="175">
        <f>Period!$C$2</f>
        <v>46143</v>
      </c>
      <c r="N191" s="194" t="s">
        <v>279</v>
      </c>
    </row>
    <row r="192" spans="1:14" ht="11.4" x14ac:dyDescent="0.25">
      <c r="A192" s="137"/>
      <c r="B192" s="169" t="e">
        <f>IF(IF(VLOOKUP(A192,ASTBase!F:P,11,FALSE)="","",VLOOKUP(A192,ASTBase!F:P,11,FALSE))=0,"",IF(VLOOKUP(A192,ASTBase!F:P,11,FALSE)="","",VLOOKUP(A192,ASTBase!F:P,11,FALSE)))</f>
        <v>#N/A</v>
      </c>
      <c r="C192" s="140" t="str">
        <f>IF(IFERROR(_xlfn.IFNA(VLOOKUP($A192,'HR Rep'!$A:$X,MATCH('1) For HR (FIX)'!C$1,'HR Rep'!$A$1:$X$1,0),0),""),"")="","",IFERROR(_xlfn.IFNA(VLOOKUP($A192,'HR Rep'!$A:$X,MATCH('1) For HR (FIX)'!C$1,'HR Rep'!$A$1:$X$1,0),0),""),""))</f>
        <v/>
      </c>
      <c r="D192" s="140" t="str">
        <f>IF(IFERROR(_xlfn.IFNA(VLOOKUP($A192,'HR Rep'!$A:$X,MATCH('1) For HR (FIX)'!D$1,'HR Rep'!$A$1:$X$1,0),0),""),"")="","",IFERROR(_xlfn.IFNA(VLOOKUP($A192,'HR Rep'!$A:$X,MATCH('1) For HR (FIX)'!D$1,'HR Rep'!$A$1:$X$1,0),0),""),""))</f>
        <v/>
      </c>
      <c r="E192" s="140" t="str">
        <f>IF(IFERROR(_xlfn.IFNA(VLOOKUP($A192,'HR Rep'!$A:$X,MATCH('1) For HR (FIX)'!E$1,'HR Rep'!$A$1:$X$1,0),0),""),"")="","",IFERROR(_xlfn.IFNA(VLOOKUP($A192,'HR Rep'!$A:$X,MATCH('1) For HR (FIX)'!E$1,'HR Rep'!$A$1:$X$1,0),0),""),""))</f>
        <v/>
      </c>
      <c r="F192" s="140" t="str">
        <f>IF(IFERROR(_xlfn.IFNA(VLOOKUP($A192,'HR Rep'!$A:$X,MATCH('1) For HR (FIX)'!F$1,'HR Rep'!$A$1:$X$1,0),0),""),"")="","",IFERROR(_xlfn.IFNA(VLOOKUP($A192,'HR Rep'!$A:$X,MATCH('1) For HR (FIX)'!F$1,'HR Rep'!$A$1:$X$1,0),0),""),""))</f>
        <v/>
      </c>
      <c r="G192" s="196"/>
      <c r="H192" s="140" t="str">
        <f>IF(IFERROR(_xlfn.IFNA(VLOOKUP($A192,'HR Rep'!$A:$X,MATCH('1) For HR (FIX)'!H$1,'HR Rep'!$A$1:$X$1,0),0),""),"")="","",IFERROR(_xlfn.IFNA(VLOOKUP($A192,'HR Rep'!$A:$X,MATCH('1) For HR (FIX)'!H$1,'HR Rep'!$A$1:$X$1,0),0),""),""))</f>
        <v/>
      </c>
      <c r="I192" s="140" t="str">
        <f>IF(IFERROR(_xlfn.IFNA(VLOOKUP($A192,'HR Rep'!$A:$X,MATCH('1) For HR (FIX)'!I$1,'HR Rep'!$A$1:$X$1,0),0),""),"")="","",IFERROR(_xlfn.IFNA(VLOOKUP($A192,'HR Rep'!$A:$X,MATCH('1) For HR (FIX)'!I$1,'HR Rep'!$A$1:$X$1,0),0),""),""))</f>
        <v/>
      </c>
      <c r="J192" s="140" t="str">
        <f>IF(IFERROR(_xlfn.IFNA(VLOOKUP($A192,'HR Rep'!$A:$X,MATCH('1) For HR (FIX)'!J$1,'HR Rep'!$A$1:$X$1,0),0),""),"")="","",IFERROR(_xlfn.IFNA(VLOOKUP($A192,'HR Rep'!$A:$X,MATCH('1) For HR (FIX)'!J$1,'HR Rep'!$A$1:$X$1,0),0),""),""))</f>
        <v/>
      </c>
      <c r="K192" s="161">
        <f>_xlfn.XLOOKUP(G192,ค่าตอบแทนการขายในอัตราคงที่!A:A,ค่าตอบแทนการขายในอัตราคงที่!B:B)</f>
        <v>0</v>
      </c>
      <c r="L192" s="174">
        <f>Period!$A$2</f>
        <v>46113</v>
      </c>
      <c r="M192" s="175">
        <f>Period!$C$2</f>
        <v>46143</v>
      </c>
      <c r="N192" s="194" t="s">
        <v>279</v>
      </c>
    </row>
    <row r="193" spans="1:14" ht="11.4" x14ac:dyDescent="0.25">
      <c r="A193" s="137"/>
      <c r="B193" s="169" t="e">
        <f>IF(IF(VLOOKUP(A193,ASTBase!F:P,11,FALSE)="","",VLOOKUP(A193,ASTBase!F:P,11,FALSE))=0,"",IF(VLOOKUP(A193,ASTBase!F:P,11,FALSE)="","",VLOOKUP(A193,ASTBase!F:P,11,FALSE)))</f>
        <v>#N/A</v>
      </c>
      <c r="C193" s="140" t="str">
        <f>IF(IFERROR(_xlfn.IFNA(VLOOKUP($A193,'HR Rep'!$A:$X,MATCH('1) For HR (FIX)'!C$1,'HR Rep'!$A$1:$X$1,0),0),""),"")="","",IFERROR(_xlfn.IFNA(VLOOKUP($A193,'HR Rep'!$A:$X,MATCH('1) For HR (FIX)'!C$1,'HR Rep'!$A$1:$X$1,0),0),""),""))</f>
        <v/>
      </c>
      <c r="D193" s="140" t="str">
        <f>IF(IFERROR(_xlfn.IFNA(VLOOKUP($A193,'HR Rep'!$A:$X,MATCH('1) For HR (FIX)'!D$1,'HR Rep'!$A$1:$X$1,0),0),""),"")="","",IFERROR(_xlfn.IFNA(VLOOKUP($A193,'HR Rep'!$A:$X,MATCH('1) For HR (FIX)'!D$1,'HR Rep'!$A$1:$X$1,0),0),""),""))</f>
        <v/>
      </c>
      <c r="E193" s="140" t="str">
        <f>IF(IFERROR(_xlfn.IFNA(VLOOKUP($A193,'HR Rep'!$A:$X,MATCH('1) For HR (FIX)'!E$1,'HR Rep'!$A$1:$X$1,0),0),""),"")="","",IFERROR(_xlfn.IFNA(VLOOKUP($A193,'HR Rep'!$A:$X,MATCH('1) For HR (FIX)'!E$1,'HR Rep'!$A$1:$X$1,0),0),""),""))</f>
        <v/>
      </c>
      <c r="F193" s="140" t="str">
        <f>IF(IFERROR(_xlfn.IFNA(VLOOKUP($A193,'HR Rep'!$A:$X,MATCH('1) For HR (FIX)'!F$1,'HR Rep'!$A$1:$X$1,0),0),""),"")="","",IFERROR(_xlfn.IFNA(VLOOKUP($A193,'HR Rep'!$A:$X,MATCH('1) For HR (FIX)'!F$1,'HR Rep'!$A$1:$X$1,0),0),""),""))</f>
        <v/>
      </c>
      <c r="G193" s="196"/>
      <c r="H193" s="140" t="str">
        <f>IF(IFERROR(_xlfn.IFNA(VLOOKUP($A193,'HR Rep'!$A:$X,MATCH('1) For HR (FIX)'!H$1,'HR Rep'!$A$1:$X$1,0),0),""),"")="","",IFERROR(_xlfn.IFNA(VLOOKUP($A193,'HR Rep'!$A:$X,MATCH('1) For HR (FIX)'!H$1,'HR Rep'!$A$1:$X$1,0),0),""),""))</f>
        <v/>
      </c>
      <c r="I193" s="140" t="str">
        <f>IF(IFERROR(_xlfn.IFNA(VLOOKUP($A193,'HR Rep'!$A:$X,MATCH('1) For HR (FIX)'!I$1,'HR Rep'!$A$1:$X$1,0),0),""),"")="","",IFERROR(_xlfn.IFNA(VLOOKUP($A193,'HR Rep'!$A:$X,MATCH('1) For HR (FIX)'!I$1,'HR Rep'!$A$1:$X$1,0),0),""),""))</f>
        <v/>
      </c>
      <c r="J193" s="140" t="str">
        <f>IF(IFERROR(_xlfn.IFNA(VLOOKUP($A193,'HR Rep'!$A:$X,MATCH('1) For HR (FIX)'!J$1,'HR Rep'!$A$1:$X$1,0),0),""),"")="","",IFERROR(_xlfn.IFNA(VLOOKUP($A193,'HR Rep'!$A:$X,MATCH('1) For HR (FIX)'!J$1,'HR Rep'!$A$1:$X$1,0),0),""),""))</f>
        <v/>
      </c>
      <c r="K193" s="161">
        <f>_xlfn.XLOOKUP(G193,ค่าตอบแทนการขายในอัตราคงที่!A:A,ค่าตอบแทนการขายในอัตราคงที่!B:B)</f>
        <v>0</v>
      </c>
      <c r="L193" s="174">
        <f>Period!$A$2</f>
        <v>46113</v>
      </c>
      <c r="M193" s="175">
        <f>Period!$C$2</f>
        <v>46143</v>
      </c>
      <c r="N193" s="194" t="s">
        <v>279</v>
      </c>
    </row>
    <row r="194" spans="1:14" ht="11.4" x14ac:dyDescent="0.25">
      <c r="A194" s="137"/>
      <c r="B194" s="169" t="e">
        <f>IF(IF(VLOOKUP(A194,ASTBase!F:P,11,FALSE)="","",VLOOKUP(A194,ASTBase!F:P,11,FALSE))=0,"",IF(VLOOKUP(A194,ASTBase!F:P,11,FALSE)="","",VLOOKUP(A194,ASTBase!F:P,11,FALSE)))</f>
        <v>#N/A</v>
      </c>
      <c r="C194" s="140" t="str">
        <f>IF(IFERROR(_xlfn.IFNA(VLOOKUP($A194,'HR Rep'!$A:$X,MATCH('1) For HR (FIX)'!C$1,'HR Rep'!$A$1:$X$1,0),0),""),"")="","",IFERROR(_xlfn.IFNA(VLOOKUP($A194,'HR Rep'!$A:$X,MATCH('1) For HR (FIX)'!C$1,'HR Rep'!$A$1:$X$1,0),0),""),""))</f>
        <v/>
      </c>
      <c r="D194" s="140" t="str">
        <f>IF(IFERROR(_xlfn.IFNA(VLOOKUP($A194,'HR Rep'!$A:$X,MATCH('1) For HR (FIX)'!D$1,'HR Rep'!$A$1:$X$1,0),0),""),"")="","",IFERROR(_xlfn.IFNA(VLOOKUP($A194,'HR Rep'!$A:$X,MATCH('1) For HR (FIX)'!D$1,'HR Rep'!$A$1:$X$1,0),0),""),""))</f>
        <v/>
      </c>
      <c r="E194" s="140" t="str">
        <f>IF(IFERROR(_xlfn.IFNA(VLOOKUP($A194,'HR Rep'!$A:$X,MATCH('1) For HR (FIX)'!E$1,'HR Rep'!$A$1:$X$1,0),0),""),"")="","",IFERROR(_xlfn.IFNA(VLOOKUP($A194,'HR Rep'!$A:$X,MATCH('1) For HR (FIX)'!E$1,'HR Rep'!$A$1:$X$1,0),0),""),""))</f>
        <v/>
      </c>
      <c r="F194" s="140" t="str">
        <f>IF(IFERROR(_xlfn.IFNA(VLOOKUP($A194,'HR Rep'!$A:$X,MATCH('1) For HR (FIX)'!F$1,'HR Rep'!$A$1:$X$1,0),0),""),"")="","",IFERROR(_xlfn.IFNA(VLOOKUP($A194,'HR Rep'!$A:$X,MATCH('1) For HR (FIX)'!F$1,'HR Rep'!$A$1:$X$1,0),0),""),""))</f>
        <v/>
      </c>
      <c r="G194" s="196"/>
      <c r="H194" s="140" t="str">
        <f>IF(IFERROR(_xlfn.IFNA(VLOOKUP($A194,'HR Rep'!$A:$X,MATCH('1) For HR (FIX)'!H$1,'HR Rep'!$A$1:$X$1,0),0),""),"")="","",IFERROR(_xlfn.IFNA(VLOOKUP($A194,'HR Rep'!$A:$X,MATCH('1) For HR (FIX)'!H$1,'HR Rep'!$A$1:$X$1,0),0),""),""))</f>
        <v/>
      </c>
      <c r="I194" s="140" t="str">
        <f>IF(IFERROR(_xlfn.IFNA(VLOOKUP($A194,'HR Rep'!$A:$X,MATCH('1) For HR (FIX)'!I$1,'HR Rep'!$A$1:$X$1,0),0),""),"")="","",IFERROR(_xlfn.IFNA(VLOOKUP($A194,'HR Rep'!$A:$X,MATCH('1) For HR (FIX)'!I$1,'HR Rep'!$A$1:$X$1,0),0),""),""))</f>
        <v/>
      </c>
      <c r="J194" s="140" t="str">
        <f>IF(IFERROR(_xlfn.IFNA(VLOOKUP($A194,'HR Rep'!$A:$X,MATCH('1) For HR (FIX)'!J$1,'HR Rep'!$A$1:$X$1,0),0),""),"")="","",IFERROR(_xlfn.IFNA(VLOOKUP($A194,'HR Rep'!$A:$X,MATCH('1) For HR (FIX)'!J$1,'HR Rep'!$A$1:$X$1,0),0),""),""))</f>
        <v/>
      </c>
      <c r="K194" s="161">
        <f>_xlfn.XLOOKUP(G194,ค่าตอบแทนการขายในอัตราคงที่!A:A,ค่าตอบแทนการขายในอัตราคงที่!B:B)</f>
        <v>0</v>
      </c>
      <c r="L194" s="174">
        <f>Period!$A$2</f>
        <v>46113</v>
      </c>
      <c r="M194" s="175">
        <f>Period!$C$2</f>
        <v>46143</v>
      </c>
      <c r="N194" s="194" t="s">
        <v>279</v>
      </c>
    </row>
    <row r="195" spans="1:14" ht="11.4" x14ac:dyDescent="0.25">
      <c r="A195" s="137"/>
      <c r="B195" s="169" t="e">
        <f>IF(IF(VLOOKUP(A195,ASTBase!F:P,11,FALSE)="","",VLOOKUP(A195,ASTBase!F:P,11,FALSE))=0,"",IF(VLOOKUP(A195,ASTBase!F:P,11,FALSE)="","",VLOOKUP(A195,ASTBase!F:P,11,FALSE)))</f>
        <v>#N/A</v>
      </c>
      <c r="C195" s="140" t="str">
        <f>IF(IFERROR(_xlfn.IFNA(VLOOKUP($A195,'HR Rep'!$A:$X,MATCH('1) For HR (FIX)'!C$1,'HR Rep'!$A$1:$X$1,0),0),""),"")="","",IFERROR(_xlfn.IFNA(VLOOKUP($A195,'HR Rep'!$A:$X,MATCH('1) For HR (FIX)'!C$1,'HR Rep'!$A$1:$X$1,0),0),""),""))</f>
        <v/>
      </c>
      <c r="D195" s="140" t="str">
        <f>IF(IFERROR(_xlfn.IFNA(VLOOKUP($A195,'HR Rep'!$A:$X,MATCH('1) For HR (FIX)'!D$1,'HR Rep'!$A$1:$X$1,0),0),""),"")="","",IFERROR(_xlfn.IFNA(VLOOKUP($A195,'HR Rep'!$A:$X,MATCH('1) For HR (FIX)'!D$1,'HR Rep'!$A$1:$X$1,0),0),""),""))</f>
        <v/>
      </c>
      <c r="E195" s="140" t="str">
        <f>IF(IFERROR(_xlfn.IFNA(VLOOKUP($A195,'HR Rep'!$A:$X,MATCH('1) For HR (FIX)'!E$1,'HR Rep'!$A$1:$X$1,0),0),""),"")="","",IFERROR(_xlfn.IFNA(VLOOKUP($A195,'HR Rep'!$A:$X,MATCH('1) For HR (FIX)'!E$1,'HR Rep'!$A$1:$X$1,0),0),""),""))</f>
        <v/>
      </c>
      <c r="F195" s="140" t="str">
        <f>IF(IFERROR(_xlfn.IFNA(VLOOKUP($A195,'HR Rep'!$A:$X,MATCH('1) For HR (FIX)'!F$1,'HR Rep'!$A$1:$X$1,0),0),""),"")="","",IFERROR(_xlfn.IFNA(VLOOKUP($A195,'HR Rep'!$A:$X,MATCH('1) For HR (FIX)'!F$1,'HR Rep'!$A$1:$X$1,0),0),""),""))</f>
        <v/>
      </c>
      <c r="G195" s="196"/>
      <c r="H195" s="140" t="str">
        <f>IF(IFERROR(_xlfn.IFNA(VLOOKUP($A195,'HR Rep'!$A:$X,MATCH('1) For HR (FIX)'!H$1,'HR Rep'!$A$1:$X$1,0),0),""),"")="","",IFERROR(_xlfn.IFNA(VLOOKUP($A195,'HR Rep'!$A:$X,MATCH('1) For HR (FIX)'!H$1,'HR Rep'!$A$1:$X$1,0),0),""),""))</f>
        <v/>
      </c>
      <c r="I195" s="140" t="str">
        <f>IF(IFERROR(_xlfn.IFNA(VLOOKUP($A195,'HR Rep'!$A:$X,MATCH('1) For HR (FIX)'!I$1,'HR Rep'!$A$1:$X$1,0),0),""),"")="","",IFERROR(_xlfn.IFNA(VLOOKUP($A195,'HR Rep'!$A:$X,MATCH('1) For HR (FIX)'!I$1,'HR Rep'!$A$1:$X$1,0),0),""),""))</f>
        <v/>
      </c>
      <c r="J195" s="140" t="str">
        <f>IF(IFERROR(_xlfn.IFNA(VLOOKUP($A195,'HR Rep'!$A:$X,MATCH('1) For HR (FIX)'!J$1,'HR Rep'!$A$1:$X$1,0),0),""),"")="","",IFERROR(_xlfn.IFNA(VLOOKUP($A195,'HR Rep'!$A:$X,MATCH('1) For HR (FIX)'!J$1,'HR Rep'!$A$1:$X$1,0),0),""),""))</f>
        <v/>
      </c>
      <c r="K195" s="161">
        <f>_xlfn.XLOOKUP(G195,ค่าตอบแทนการขายในอัตราคงที่!A:A,ค่าตอบแทนการขายในอัตราคงที่!B:B)</f>
        <v>0</v>
      </c>
      <c r="L195" s="174">
        <f>Period!$A$2</f>
        <v>46113</v>
      </c>
      <c r="M195" s="175">
        <f>Period!$C$2</f>
        <v>46143</v>
      </c>
      <c r="N195" s="194" t="s">
        <v>279</v>
      </c>
    </row>
    <row r="196" spans="1:14" ht="11.4" x14ac:dyDescent="0.25">
      <c r="A196" s="138"/>
      <c r="B196" s="169" t="e">
        <f>IF(IF(VLOOKUP(A196,ASTBase!F:P,11,FALSE)="","",VLOOKUP(A196,ASTBase!F:P,11,FALSE))=0,"",IF(VLOOKUP(A196,ASTBase!F:P,11,FALSE)="","",VLOOKUP(A196,ASTBase!F:P,11,FALSE)))</f>
        <v>#N/A</v>
      </c>
      <c r="C196" s="140" t="str">
        <f>IF(IFERROR(_xlfn.IFNA(VLOOKUP($A196,'HR Rep'!$A:$X,MATCH('1) For HR (FIX)'!C$1,'HR Rep'!$A$1:$X$1,0),0),""),"")="","",IFERROR(_xlfn.IFNA(VLOOKUP($A196,'HR Rep'!$A:$X,MATCH('1) For HR (FIX)'!C$1,'HR Rep'!$A$1:$X$1,0),0),""),""))</f>
        <v/>
      </c>
      <c r="D196" s="140" t="str">
        <f>IF(IFERROR(_xlfn.IFNA(VLOOKUP($A196,'HR Rep'!$A:$X,MATCH('1) For HR (FIX)'!D$1,'HR Rep'!$A$1:$X$1,0),0),""),"")="","",IFERROR(_xlfn.IFNA(VLOOKUP($A196,'HR Rep'!$A:$X,MATCH('1) For HR (FIX)'!D$1,'HR Rep'!$A$1:$X$1,0),0),""),""))</f>
        <v/>
      </c>
      <c r="E196" s="140" t="str">
        <f>IF(IFERROR(_xlfn.IFNA(VLOOKUP($A196,'HR Rep'!$A:$X,MATCH('1) For HR (FIX)'!E$1,'HR Rep'!$A$1:$X$1,0),0),""),"")="","",IFERROR(_xlfn.IFNA(VLOOKUP($A196,'HR Rep'!$A:$X,MATCH('1) For HR (FIX)'!E$1,'HR Rep'!$A$1:$X$1,0),0),""),""))</f>
        <v/>
      </c>
      <c r="F196" s="140" t="str">
        <f>IF(IFERROR(_xlfn.IFNA(VLOOKUP($A196,'HR Rep'!$A:$X,MATCH('1) For HR (FIX)'!F$1,'HR Rep'!$A$1:$X$1,0),0),""),"")="","",IFERROR(_xlfn.IFNA(VLOOKUP($A196,'HR Rep'!$A:$X,MATCH('1) For HR (FIX)'!F$1,'HR Rep'!$A$1:$X$1,0),0),""),""))</f>
        <v/>
      </c>
      <c r="G196" s="196"/>
      <c r="H196" s="140" t="str">
        <f>IF(IFERROR(_xlfn.IFNA(VLOOKUP($A196,'HR Rep'!$A:$X,MATCH('1) For HR (FIX)'!H$1,'HR Rep'!$A$1:$X$1,0),0),""),"")="","",IFERROR(_xlfn.IFNA(VLOOKUP($A196,'HR Rep'!$A:$X,MATCH('1) For HR (FIX)'!H$1,'HR Rep'!$A$1:$X$1,0),0),""),""))</f>
        <v/>
      </c>
      <c r="I196" s="140" t="str">
        <f>IF(IFERROR(_xlfn.IFNA(VLOOKUP($A196,'HR Rep'!$A:$X,MATCH('1) For HR (FIX)'!I$1,'HR Rep'!$A$1:$X$1,0),0),""),"")="","",IFERROR(_xlfn.IFNA(VLOOKUP($A196,'HR Rep'!$A:$X,MATCH('1) For HR (FIX)'!I$1,'HR Rep'!$A$1:$X$1,0),0),""),""))</f>
        <v/>
      </c>
      <c r="J196" s="140" t="str">
        <f>IF(IFERROR(_xlfn.IFNA(VLOOKUP($A196,'HR Rep'!$A:$X,MATCH('1) For HR (FIX)'!J$1,'HR Rep'!$A$1:$X$1,0),0),""),"")="","",IFERROR(_xlfn.IFNA(VLOOKUP($A196,'HR Rep'!$A:$X,MATCH('1) For HR (FIX)'!J$1,'HR Rep'!$A$1:$X$1,0),0),""),""))</f>
        <v/>
      </c>
      <c r="K196" s="161">
        <f>_xlfn.XLOOKUP(G196,ค่าตอบแทนการขายในอัตราคงที่!A:A,ค่าตอบแทนการขายในอัตราคงที่!B:B)</f>
        <v>0</v>
      </c>
      <c r="L196" s="174">
        <f>Period!$A$2</f>
        <v>46113</v>
      </c>
      <c r="M196" s="175">
        <f>Period!$C$2</f>
        <v>46143</v>
      </c>
      <c r="N196" s="194" t="s">
        <v>279</v>
      </c>
    </row>
    <row r="197" spans="1:14" ht="11.4" x14ac:dyDescent="0.25">
      <c r="A197" s="138"/>
      <c r="B197" s="169" t="e">
        <f>IF(IF(VLOOKUP(A197,ASTBase!F:P,11,FALSE)="","",VLOOKUP(A197,ASTBase!F:P,11,FALSE))=0,"",IF(VLOOKUP(A197,ASTBase!F:P,11,FALSE)="","",VLOOKUP(A197,ASTBase!F:P,11,FALSE)))</f>
        <v>#N/A</v>
      </c>
      <c r="C197" s="140" t="str">
        <f>IF(IFERROR(_xlfn.IFNA(VLOOKUP($A197,'HR Rep'!$A:$X,MATCH('1) For HR (FIX)'!C$1,'HR Rep'!$A$1:$X$1,0),0),""),"")="","",IFERROR(_xlfn.IFNA(VLOOKUP($A197,'HR Rep'!$A:$X,MATCH('1) For HR (FIX)'!C$1,'HR Rep'!$A$1:$X$1,0),0),""),""))</f>
        <v/>
      </c>
      <c r="D197" s="140" t="str">
        <f>IF(IFERROR(_xlfn.IFNA(VLOOKUP($A197,'HR Rep'!$A:$X,MATCH('1) For HR (FIX)'!D$1,'HR Rep'!$A$1:$X$1,0),0),""),"")="","",IFERROR(_xlfn.IFNA(VLOOKUP($A197,'HR Rep'!$A:$X,MATCH('1) For HR (FIX)'!D$1,'HR Rep'!$A$1:$X$1,0),0),""),""))</f>
        <v/>
      </c>
      <c r="E197" s="140" t="str">
        <f>IF(IFERROR(_xlfn.IFNA(VLOOKUP($A197,'HR Rep'!$A:$X,MATCH('1) For HR (FIX)'!E$1,'HR Rep'!$A$1:$X$1,0),0),""),"")="","",IFERROR(_xlfn.IFNA(VLOOKUP($A197,'HR Rep'!$A:$X,MATCH('1) For HR (FIX)'!E$1,'HR Rep'!$A$1:$X$1,0),0),""),""))</f>
        <v/>
      </c>
      <c r="F197" s="140" t="str">
        <f>IF(IFERROR(_xlfn.IFNA(VLOOKUP($A197,'HR Rep'!$A:$X,MATCH('1) For HR (FIX)'!F$1,'HR Rep'!$A$1:$X$1,0),0),""),"")="","",IFERROR(_xlfn.IFNA(VLOOKUP($A197,'HR Rep'!$A:$X,MATCH('1) For HR (FIX)'!F$1,'HR Rep'!$A$1:$X$1,0),0),""),""))</f>
        <v/>
      </c>
      <c r="G197" s="196"/>
      <c r="H197" s="140" t="str">
        <f>IF(IFERROR(_xlfn.IFNA(VLOOKUP($A197,'HR Rep'!$A:$X,MATCH('1) For HR (FIX)'!H$1,'HR Rep'!$A$1:$X$1,0),0),""),"")="","",IFERROR(_xlfn.IFNA(VLOOKUP($A197,'HR Rep'!$A:$X,MATCH('1) For HR (FIX)'!H$1,'HR Rep'!$A$1:$X$1,0),0),""),""))</f>
        <v/>
      </c>
      <c r="I197" s="140" t="str">
        <f>IF(IFERROR(_xlfn.IFNA(VLOOKUP($A197,'HR Rep'!$A:$X,MATCH('1) For HR (FIX)'!I$1,'HR Rep'!$A$1:$X$1,0),0),""),"")="","",IFERROR(_xlfn.IFNA(VLOOKUP($A197,'HR Rep'!$A:$X,MATCH('1) For HR (FIX)'!I$1,'HR Rep'!$A$1:$X$1,0),0),""),""))</f>
        <v/>
      </c>
      <c r="J197" s="140" t="str">
        <f>IF(IFERROR(_xlfn.IFNA(VLOOKUP($A197,'HR Rep'!$A:$X,MATCH('1) For HR (FIX)'!J$1,'HR Rep'!$A$1:$X$1,0),0),""),"")="","",IFERROR(_xlfn.IFNA(VLOOKUP($A197,'HR Rep'!$A:$X,MATCH('1) For HR (FIX)'!J$1,'HR Rep'!$A$1:$X$1,0),0),""),""))</f>
        <v/>
      </c>
      <c r="K197" s="161">
        <f>_xlfn.XLOOKUP(G197,ค่าตอบแทนการขายในอัตราคงที่!A:A,ค่าตอบแทนการขายในอัตราคงที่!B:B)</f>
        <v>0</v>
      </c>
      <c r="L197" s="174">
        <f>Period!$A$2</f>
        <v>46113</v>
      </c>
      <c r="M197" s="175">
        <f>Period!$C$2</f>
        <v>46143</v>
      </c>
      <c r="N197" s="194" t="s">
        <v>279</v>
      </c>
    </row>
    <row r="198" spans="1:14" ht="11.4" x14ac:dyDescent="0.25">
      <c r="A198" s="138"/>
      <c r="B198" s="169" t="e">
        <f>IF(IF(VLOOKUP(A198,ASTBase!F:P,11,FALSE)="","",VLOOKUP(A198,ASTBase!F:P,11,FALSE))=0,"",IF(VLOOKUP(A198,ASTBase!F:P,11,FALSE)="","",VLOOKUP(A198,ASTBase!F:P,11,FALSE)))</f>
        <v>#N/A</v>
      </c>
      <c r="C198" s="140" t="str">
        <f>IF(IFERROR(_xlfn.IFNA(VLOOKUP($A198,'HR Rep'!$A:$X,MATCH('1) For HR (FIX)'!C$1,'HR Rep'!$A$1:$X$1,0),0),""),"")="","",IFERROR(_xlfn.IFNA(VLOOKUP($A198,'HR Rep'!$A:$X,MATCH('1) For HR (FIX)'!C$1,'HR Rep'!$A$1:$X$1,0),0),""),""))</f>
        <v/>
      </c>
      <c r="D198" s="140" t="str">
        <f>IF(IFERROR(_xlfn.IFNA(VLOOKUP($A198,'HR Rep'!$A:$X,MATCH('1) For HR (FIX)'!D$1,'HR Rep'!$A$1:$X$1,0),0),""),"")="","",IFERROR(_xlfn.IFNA(VLOOKUP($A198,'HR Rep'!$A:$X,MATCH('1) For HR (FIX)'!D$1,'HR Rep'!$A$1:$X$1,0),0),""),""))</f>
        <v/>
      </c>
      <c r="E198" s="140" t="str">
        <f>IF(IFERROR(_xlfn.IFNA(VLOOKUP($A198,'HR Rep'!$A:$X,MATCH('1) For HR (FIX)'!E$1,'HR Rep'!$A$1:$X$1,0),0),""),"")="","",IFERROR(_xlfn.IFNA(VLOOKUP($A198,'HR Rep'!$A:$X,MATCH('1) For HR (FIX)'!E$1,'HR Rep'!$A$1:$X$1,0),0),""),""))</f>
        <v/>
      </c>
      <c r="F198" s="140" t="str">
        <f>IF(IFERROR(_xlfn.IFNA(VLOOKUP($A198,'HR Rep'!$A:$X,MATCH('1) For HR (FIX)'!F$1,'HR Rep'!$A$1:$X$1,0),0),""),"")="","",IFERROR(_xlfn.IFNA(VLOOKUP($A198,'HR Rep'!$A:$X,MATCH('1) For HR (FIX)'!F$1,'HR Rep'!$A$1:$X$1,0),0),""),""))</f>
        <v/>
      </c>
      <c r="G198" s="196"/>
      <c r="H198" s="140" t="str">
        <f>IF(IFERROR(_xlfn.IFNA(VLOOKUP($A198,'HR Rep'!$A:$X,MATCH('1) For HR (FIX)'!H$1,'HR Rep'!$A$1:$X$1,0),0),""),"")="","",IFERROR(_xlfn.IFNA(VLOOKUP($A198,'HR Rep'!$A:$X,MATCH('1) For HR (FIX)'!H$1,'HR Rep'!$A$1:$X$1,0),0),""),""))</f>
        <v/>
      </c>
      <c r="I198" s="140" t="str">
        <f>IF(IFERROR(_xlfn.IFNA(VLOOKUP($A198,'HR Rep'!$A:$X,MATCH('1) For HR (FIX)'!I$1,'HR Rep'!$A$1:$X$1,0),0),""),"")="","",IFERROR(_xlfn.IFNA(VLOOKUP($A198,'HR Rep'!$A:$X,MATCH('1) For HR (FIX)'!I$1,'HR Rep'!$A$1:$X$1,0),0),""),""))</f>
        <v/>
      </c>
      <c r="J198" s="140" t="str">
        <f>IF(IFERROR(_xlfn.IFNA(VLOOKUP($A198,'HR Rep'!$A:$X,MATCH('1) For HR (FIX)'!J$1,'HR Rep'!$A$1:$X$1,0),0),""),"")="","",IFERROR(_xlfn.IFNA(VLOOKUP($A198,'HR Rep'!$A:$X,MATCH('1) For HR (FIX)'!J$1,'HR Rep'!$A$1:$X$1,0),0),""),""))</f>
        <v/>
      </c>
      <c r="K198" s="161">
        <f>_xlfn.XLOOKUP(G198,ค่าตอบแทนการขายในอัตราคงที่!A:A,ค่าตอบแทนการขายในอัตราคงที่!B:B)</f>
        <v>0</v>
      </c>
      <c r="L198" s="174">
        <f>Period!$A$2</f>
        <v>46113</v>
      </c>
      <c r="M198" s="175">
        <f>Period!$C$2</f>
        <v>46143</v>
      </c>
      <c r="N198" s="194" t="s">
        <v>279</v>
      </c>
    </row>
    <row r="199" spans="1:14" ht="11.4" x14ac:dyDescent="0.25">
      <c r="A199" s="138"/>
      <c r="B199" s="169" t="e">
        <f>IF(IF(VLOOKUP(A199,ASTBase!F:P,11,FALSE)="","",VLOOKUP(A199,ASTBase!F:P,11,FALSE))=0,"",IF(VLOOKUP(A199,ASTBase!F:P,11,FALSE)="","",VLOOKUP(A199,ASTBase!F:P,11,FALSE)))</f>
        <v>#N/A</v>
      </c>
      <c r="C199" s="140" t="str">
        <f>IF(IFERROR(_xlfn.IFNA(VLOOKUP($A199,'HR Rep'!$A:$X,MATCH('1) For HR (FIX)'!C$1,'HR Rep'!$A$1:$X$1,0),0),""),"")="","",IFERROR(_xlfn.IFNA(VLOOKUP($A199,'HR Rep'!$A:$X,MATCH('1) For HR (FIX)'!C$1,'HR Rep'!$A$1:$X$1,0),0),""),""))</f>
        <v/>
      </c>
      <c r="D199" s="140" t="str">
        <f>IF(IFERROR(_xlfn.IFNA(VLOOKUP($A199,'HR Rep'!$A:$X,MATCH('1) For HR (FIX)'!D$1,'HR Rep'!$A$1:$X$1,0),0),""),"")="","",IFERROR(_xlfn.IFNA(VLOOKUP($A199,'HR Rep'!$A:$X,MATCH('1) For HR (FIX)'!D$1,'HR Rep'!$A$1:$X$1,0),0),""),""))</f>
        <v/>
      </c>
      <c r="E199" s="140" t="str">
        <f>IF(IFERROR(_xlfn.IFNA(VLOOKUP($A199,'HR Rep'!$A:$X,MATCH('1) For HR (FIX)'!E$1,'HR Rep'!$A$1:$X$1,0),0),""),"")="","",IFERROR(_xlfn.IFNA(VLOOKUP($A199,'HR Rep'!$A:$X,MATCH('1) For HR (FIX)'!E$1,'HR Rep'!$A$1:$X$1,0),0),""),""))</f>
        <v/>
      </c>
      <c r="F199" s="140" t="str">
        <f>IF(IFERROR(_xlfn.IFNA(VLOOKUP($A199,'HR Rep'!$A:$X,MATCH('1) For HR (FIX)'!F$1,'HR Rep'!$A$1:$X$1,0),0),""),"")="","",IFERROR(_xlfn.IFNA(VLOOKUP($A199,'HR Rep'!$A:$X,MATCH('1) For HR (FIX)'!F$1,'HR Rep'!$A$1:$X$1,0),0),""),""))</f>
        <v/>
      </c>
      <c r="G199" s="196"/>
      <c r="H199" s="140" t="str">
        <f>IF(IFERROR(_xlfn.IFNA(VLOOKUP($A199,'HR Rep'!$A:$X,MATCH('1) For HR (FIX)'!H$1,'HR Rep'!$A$1:$X$1,0),0),""),"")="","",IFERROR(_xlfn.IFNA(VLOOKUP($A199,'HR Rep'!$A:$X,MATCH('1) For HR (FIX)'!H$1,'HR Rep'!$A$1:$X$1,0),0),""),""))</f>
        <v/>
      </c>
      <c r="I199" s="140" t="str">
        <f>IF(IFERROR(_xlfn.IFNA(VLOOKUP($A199,'HR Rep'!$A:$X,MATCH('1) For HR (FIX)'!I$1,'HR Rep'!$A$1:$X$1,0),0),""),"")="","",IFERROR(_xlfn.IFNA(VLOOKUP($A199,'HR Rep'!$A:$X,MATCH('1) For HR (FIX)'!I$1,'HR Rep'!$A$1:$X$1,0),0),""),""))</f>
        <v/>
      </c>
      <c r="J199" s="140" t="str">
        <f>IF(IFERROR(_xlfn.IFNA(VLOOKUP($A199,'HR Rep'!$A:$X,MATCH('1) For HR (FIX)'!J$1,'HR Rep'!$A$1:$X$1,0),0),""),"")="","",IFERROR(_xlfn.IFNA(VLOOKUP($A199,'HR Rep'!$A:$X,MATCH('1) For HR (FIX)'!J$1,'HR Rep'!$A$1:$X$1,0),0),""),""))</f>
        <v/>
      </c>
      <c r="K199" s="161">
        <f>_xlfn.XLOOKUP(G199,ค่าตอบแทนการขายในอัตราคงที่!A:A,ค่าตอบแทนการขายในอัตราคงที่!B:B)</f>
        <v>0</v>
      </c>
      <c r="L199" s="174">
        <f>Period!$A$2</f>
        <v>46113</v>
      </c>
      <c r="M199" s="175">
        <f>Period!$C$2</f>
        <v>46143</v>
      </c>
      <c r="N199" s="194" t="s">
        <v>279</v>
      </c>
    </row>
    <row r="200" spans="1:14" ht="11.4" x14ac:dyDescent="0.25">
      <c r="A200" s="138"/>
      <c r="B200" s="169" t="e">
        <f>IF(IF(VLOOKUP(A200,ASTBase!F:P,11,FALSE)="","",VLOOKUP(A200,ASTBase!F:P,11,FALSE))=0,"",IF(VLOOKUP(A200,ASTBase!F:P,11,FALSE)="","",VLOOKUP(A200,ASTBase!F:P,11,FALSE)))</f>
        <v>#N/A</v>
      </c>
      <c r="C200" s="140" t="str">
        <f>IF(IFERROR(_xlfn.IFNA(VLOOKUP($A200,'HR Rep'!$A:$X,MATCH('1) For HR (FIX)'!C$1,'HR Rep'!$A$1:$X$1,0),0),""),"")="","",IFERROR(_xlfn.IFNA(VLOOKUP($A200,'HR Rep'!$A:$X,MATCH('1) For HR (FIX)'!C$1,'HR Rep'!$A$1:$X$1,0),0),""),""))</f>
        <v/>
      </c>
      <c r="D200" s="140" t="str">
        <f>IF(IFERROR(_xlfn.IFNA(VLOOKUP($A200,'HR Rep'!$A:$X,MATCH('1) For HR (FIX)'!D$1,'HR Rep'!$A$1:$X$1,0),0),""),"")="","",IFERROR(_xlfn.IFNA(VLOOKUP($A200,'HR Rep'!$A:$X,MATCH('1) For HR (FIX)'!D$1,'HR Rep'!$A$1:$X$1,0),0),""),""))</f>
        <v/>
      </c>
      <c r="E200" s="140" t="str">
        <f>IF(IFERROR(_xlfn.IFNA(VLOOKUP($A200,'HR Rep'!$A:$X,MATCH('1) For HR (FIX)'!E$1,'HR Rep'!$A$1:$X$1,0),0),""),"")="","",IFERROR(_xlfn.IFNA(VLOOKUP($A200,'HR Rep'!$A:$X,MATCH('1) For HR (FIX)'!E$1,'HR Rep'!$A$1:$X$1,0),0),""),""))</f>
        <v/>
      </c>
      <c r="F200" s="140" t="str">
        <f>IF(IFERROR(_xlfn.IFNA(VLOOKUP($A200,'HR Rep'!$A:$X,MATCH('1) For HR (FIX)'!F$1,'HR Rep'!$A$1:$X$1,0),0),""),"")="","",IFERROR(_xlfn.IFNA(VLOOKUP($A200,'HR Rep'!$A:$X,MATCH('1) For HR (FIX)'!F$1,'HR Rep'!$A$1:$X$1,0),0),""),""))</f>
        <v/>
      </c>
      <c r="G200" s="196"/>
      <c r="H200" s="140" t="str">
        <f>IF(IFERROR(_xlfn.IFNA(VLOOKUP($A200,'HR Rep'!$A:$X,MATCH('1) For HR (FIX)'!H$1,'HR Rep'!$A$1:$X$1,0),0),""),"")="","",IFERROR(_xlfn.IFNA(VLOOKUP($A200,'HR Rep'!$A:$X,MATCH('1) For HR (FIX)'!H$1,'HR Rep'!$A$1:$X$1,0),0),""),""))</f>
        <v/>
      </c>
      <c r="I200" s="140" t="str">
        <f>IF(IFERROR(_xlfn.IFNA(VLOOKUP($A200,'HR Rep'!$A:$X,MATCH('1) For HR (FIX)'!I$1,'HR Rep'!$A$1:$X$1,0),0),""),"")="","",IFERROR(_xlfn.IFNA(VLOOKUP($A200,'HR Rep'!$A:$X,MATCH('1) For HR (FIX)'!I$1,'HR Rep'!$A$1:$X$1,0),0),""),""))</f>
        <v/>
      </c>
      <c r="J200" s="140" t="str">
        <f>IF(IFERROR(_xlfn.IFNA(VLOOKUP($A200,'HR Rep'!$A:$X,MATCH('1) For HR (FIX)'!J$1,'HR Rep'!$A$1:$X$1,0),0),""),"")="","",IFERROR(_xlfn.IFNA(VLOOKUP($A200,'HR Rep'!$A:$X,MATCH('1) For HR (FIX)'!J$1,'HR Rep'!$A$1:$X$1,0),0),""),""))</f>
        <v/>
      </c>
      <c r="K200" s="161">
        <f>_xlfn.XLOOKUP(G200,ค่าตอบแทนการขายในอัตราคงที่!A:A,ค่าตอบแทนการขายในอัตราคงที่!B:B)</f>
        <v>0</v>
      </c>
      <c r="L200" s="174">
        <f>Period!$A$2</f>
        <v>46113</v>
      </c>
      <c r="M200" s="175">
        <f>Period!$C$2</f>
        <v>46143</v>
      </c>
      <c r="N200" s="194" t="s">
        <v>279</v>
      </c>
    </row>
    <row r="201" spans="1:14" ht="11.4" x14ac:dyDescent="0.25">
      <c r="A201" s="139"/>
      <c r="B201" s="169" t="e">
        <f>IF(IF(VLOOKUP(A201,ASTBase!F:P,11,FALSE)="","",VLOOKUP(A201,ASTBase!F:P,11,FALSE))=0,"",IF(VLOOKUP(A201,ASTBase!F:P,11,FALSE)="","",VLOOKUP(A201,ASTBase!F:P,11,FALSE)))</f>
        <v>#N/A</v>
      </c>
      <c r="C201" s="140" t="str">
        <f>IF(IFERROR(_xlfn.IFNA(VLOOKUP($A201,'HR Rep'!$A:$X,MATCH('1) For HR (FIX)'!C$1,'HR Rep'!$A$1:$X$1,0),0),""),"")="","",IFERROR(_xlfn.IFNA(VLOOKUP($A201,'HR Rep'!$A:$X,MATCH('1) For HR (FIX)'!C$1,'HR Rep'!$A$1:$X$1,0),0),""),""))</f>
        <v/>
      </c>
      <c r="D201" s="140" t="str">
        <f>IF(IFERROR(_xlfn.IFNA(VLOOKUP($A201,'HR Rep'!$A:$X,MATCH('1) For HR (FIX)'!D$1,'HR Rep'!$A$1:$X$1,0),0),""),"")="","",IFERROR(_xlfn.IFNA(VLOOKUP($A201,'HR Rep'!$A:$X,MATCH('1) For HR (FIX)'!D$1,'HR Rep'!$A$1:$X$1,0),0),""),""))</f>
        <v/>
      </c>
      <c r="E201" s="140" t="str">
        <f>IF(IFERROR(_xlfn.IFNA(VLOOKUP($A201,'HR Rep'!$A:$X,MATCH('1) For HR (FIX)'!E$1,'HR Rep'!$A$1:$X$1,0),0),""),"")="","",IFERROR(_xlfn.IFNA(VLOOKUP($A201,'HR Rep'!$A:$X,MATCH('1) For HR (FIX)'!E$1,'HR Rep'!$A$1:$X$1,0),0),""),""))</f>
        <v/>
      </c>
      <c r="F201" s="140" t="str">
        <f>IF(IFERROR(_xlfn.IFNA(VLOOKUP($A201,'HR Rep'!$A:$X,MATCH('1) For HR (FIX)'!F$1,'HR Rep'!$A$1:$X$1,0),0),""),"")="","",IFERROR(_xlfn.IFNA(VLOOKUP($A201,'HR Rep'!$A:$X,MATCH('1) For HR (FIX)'!F$1,'HR Rep'!$A$1:$X$1,0),0),""),""))</f>
        <v/>
      </c>
      <c r="G201" s="196"/>
      <c r="H201" s="140" t="str">
        <f>IF(IFERROR(_xlfn.IFNA(VLOOKUP($A201,'HR Rep'!$A:$X,MATCH('1) For HR (FIX)'!H$1,'HR Rep'!$A$1:$X$1,0),0),""),"")="","",IFERROR(_xlfn.IFNA(VLOOKUP($A201,'HR Rep'!$A:$X,MATCH('1) For HR (FIX)'!H$1,'HR Rep'!$A$1:$X$1,0),0),""),""))</f>
        <v/>
      </c>
      <c r="I201" s="140" t="str">
        <f>IF(IFERROR(_xlfn.IFNA(VLOOKUP($A201,'HR Rep'!$A:$X,MATCH('1) For HR (FIX)'!I$1,'HR Rep'!$A$1:$X$1,0),0),""),"")="","",IFERROR(_xlfn.IFNA(VLOOKUP($A201,'HR Rep'!$A:$X,MATCH('1) For HR (FIX)'!I$1,'HR Rep'!$A$1:$X$1,0),0),""),""))</f>
        <v/>
      </c>
      <c r="J201" s="140" t="str">
        <f>IF(IFERROR(_xlfn.IFNA(VLOOKUP($A201,'HR Rep'!$A:$X,MATCH('1) For HR (FIX)'!J$1,'HR Rep'!$A$1:$X$1,0),0),""),"")="","",IFERROR(_xlfn.IFNA(VLOOKUP($A201,'HR Rep'!$A:$X,MATCH('1) For HR (FIX)'!J$1,'HR Rep'!$A$1:$X$1,0),0),""),""))</f>
        <v/>
      </c>
      <c r="K201" s="161">
        <f>_xlfn.XLOOKUP(G201,ค่าตอบแทนการขายในอัตราคงที่!A:A,ค่าตอบแทนการขายในอัตราคงที่!B:B)</f>
        <v>0</v>
      </c>
      <c r="L201" s="174">
        <f>Period!$A$2</f>
        <v>46113</v>
      </c>
      <c r="M201" s="175">
        <f>Period!$C$2</f>
        <v>46143</v>
      </c>
      <c r="N201" s="194" t="s">
        <v>279</v>
      </c>
    </row>
    <row r="202" spans="1:14" ht="11.4" x14ac:dyDescent="0.25">
      <c r="A202" s="139"/>
      <c r="B202" s="169" t="e">
        <f>IF(IF(VLOOKUP(A202,ASTBase!F:P,11,FALSE)="","",VLOOKUP(A202,ASTBase!F:P,11,FALSE))=0,"",IF(VLOOKUP(A202,ASTBase!F:P,11,FALSE)="","",VLOOKUP(A202,ASTBase!F:P,11,FALSE)))</f>
        <v>#N/A</v>
      </c>
      <c r="C202" s="140" t="str">
        <f>IF(IFERROR(_xlfn.IFNA(VLOOKUP($A202,'HR Rep'!$A:$X,MATCH('1) For HR (FIX)'!C$1,'HR Rep'!$A$1:$X$1,0),0),""),"")="","",IFERROR(_xlfn.IFNA(VLOOKUP($A202,'HR Rep'!$A:$X,MATCH('1) For HR (FIX)'!C$1,'HR Rep'!$A$1:$X$1,0),0),""),""))</f>
        <v/>
      </c>
      <c r="D202" s="140" t="str">
        <f>IF(IFERROR(_xlfn.IFNA(VLOOKUP($A202,'HR Rep'!$A:$X,MATCH('1) For HR (FIX)'!D$1,'HR Rep'!$A$1:$X$1,0),0),""),"")="","",IFERROR(_xlfn.IFNA(VLOOKUP($A202,'HR Rep'!$A:$X,MATCH('1) For HR (FIX)'!D$1,'HR Rep'!$A$1:$X$1,0),0),""),""))</f>
        <v/>
      </c>
      <c r="E202" s="140" t="str">
        <f>IF(IFERROR(_xlfn.IFNA(VLOOKUP($A202,'HR Rep'!$A:$X,MATCH('1) For HR (FIX)'!E$1,'HR Rep'!$A$1:$X$1,0),0),""),"")="","",IFERROR(_xlfn.IFNA(VLOOKUP($A202,'HR Rep'!$A:$X,MATCH('1) For HR (FIX)'!E$1,'HR Rep'!$A$1:$X$1,0),0),""),""))</f>
        <v/>
      </c>
      <c r="F202" s="140" t="str">
        <f>IF(IFERROR(_xlfn.IFNA(VLOOKUP($A202,'HR Rep'!$A:$X,MATCH('1) For HR (FIX)'!F$1,'HR Rep'!$A$1:$X$1,0),0),""),"")="","",IFERROR(_xlfn.IFNA(VLOOKUP($A202,'HR Rep'!$A:$X,MATCH('1) For HR (FIX)'!F$1,'HR Rep'!$A$1:$X$1,0),0),""),""))</f>
        <v/>
      </c>
      <c r="G202" s="196"/>
      <c r="H202" s="140" t="str">
        <f>IF(IFERROR(_xlfn.IFNA(VLOOKUP($A202,'HR Rep'!$A:$X,MATCH('1) For HR (FIX)'!H$1,'HR Rep'!$A$1:$X$1,0),0),""),"")="","",IFERROR(_xlfn.IFNA(VLOOKUP($A202,'HR Rep'!$A:$X,MATCH('1) For HR (FIX)'!H$1,'HR Rep'!$A$1:$X$1,0),0),""),""))</f>
        <v/>
      </c>
      <c r="I202" s="140" t="str">
        <f>IF(IFERROR(_xlfn.IFNA(VLOOKUP($A202,'HR Rep'!$A:$X,MATCH('1) For HR (FIX)'!I$1,'HR Rep'!$A$1:$X$1,0),0),""),"")="","",IFERROR(_xlfn.IFNA(VLOOKUP($A202,'HR Rep'!$A:$X,MATCH('1) For HR (FIX)'!I$1,'HR Rep'!$A$1:$X$1,0),0),""),""))</f>
        <v/>
      </c>
      <c r="J202" s="140" t="str">
        <f>IF(IFERROR(_xlfn.IFNA(VLOOKUP($A202,'HR Rep'!$A:$X,MATCH('1) For HR (FIX)'!J$1,'HR Rep'!$A$1:$X$1,0),0),""),"")="","",IFERROR(_xlfn.IFNA(VLOOKUP($A202,'HR Rep'!$A:$X,MATCH('1) For HR (FIX)'!J$1,'HR Rep'!$A$1:$X$1,0),0),""),""))</f>
        <v/>
      </c>
      <c r="K202" s="161">
        <f>_xlfn.XLOOKUP(G202,ค่าตอบแทนการขายในอัตราคงที่!A:A,ค่าตอบแทนการขายในอัตราคงที่!B:B)</f>
        <v>0</v>
      </c>
      <c r="L202" s="174">
        <f>Period!$A$2</f>
        <v>46113</v>
      </c>
      <c r="M202" s="175">
        <f>Period!$C$2</f>
        <v>46143</v>
      </c>
      <c r="N202" s="194" t="s">
        <v>279</v>
      </c>
    </row>
    <row r="203" spans="1:14" ht="11.4" x14ac:dyDescent="0.25">
      <c r="A203" s="139"/>
      <c r="B203" s="169" t="e">
        <f>IF(IF(VLOOKUP(A203,ASTBase!F:P,11,FALSE)="","",VLOOKUP(A203,ASTBase!F:P,11,FALSE))=0,"",IF(VLOOKUP(A203,ASTBase!F:P,11,FALSE)="","",VLOOKUP(A203,ASTBase!F:P,11,FALSE)))</f>
        <v>#N/A</v>
      </c>
      <c r="C203" s="140" t="str">
        <f>IF(IFERROR(_xlfn.IFNA(VLOOKUP($A203,'HR Rep'!$A:$X,MATCH('1) For HR (FIX)'!C$1,'HR Rep'!$A$1:$X$1,0),0),""),"")="","",IFERROR(_xlfn.IFNA(VLOOKUP($A203,'HR Rep'!$A:$X,MATCH('1) For HR (FIX)'!C$1,'HR Rep'!$A$1:$X$1,0),0),""),""))</f>
        <v/>
      </c>
      <c r="D203" s="140" t="str">
        <f>IF(IFERROR(_xlfn.IFNA(VLOOKUP($A203,'HR Rep'!$A:$X,MATCH('1) For HR (FIX)'!D$1,'HR Rep'!$A$1:$X$1,0),0),""),"")="","",IFERROR(_xlfn.IFNA(VLOOKUP($A203,'HR Rep'!$A:$X,MATCH('1) For HR (FIX)'!D$1,'HR Rep'!$A$1:$X$1,0),0),""),""))</f>
        <v/>
      </c>
      <c r="E203" s="140" t="str">
        <f>IF(IFERROR(_xlfn.IFNA(VLOOKUP($A203,'HR Rep'!$A:$X,MATCH('1) For HR (FIX)'!E$1,'HR Rep'!$A$1:$X$1,0),0),""),"")="","",IFERROR(_xlfn.IFNA(VLOOKUP($A203,'HR Rep'!$A:$X,MATCH('1) For HR (FIX)'!E$1,'HR Rep'!$A$1:$X$1,0),0),""),""))</f>
        <v/>
      </c>
      <c r="F203" s="140" t="str">
        <f>IF(IFERROR(_xlfn.IFNA(VLOOKUP($A203,'HR Rep'!$A:$X,MATCH('1) For HR (FIX)'!F$1,'HR Rep'!$A$1:$X$1,0),0),""),"")="","",IFERROR(_xlfn.IFNA(VLOOKUP($A203,'HR Rep'!$A:$X,MATCH('1) For HR (FIX)'!F$1,'HR Rep'!$A$1:$X$1,0),0),""),""))</f>
        <v/>
      </c>
      <c r="G203" s="196"/>
      <c r="H203" s="140" t="str">
        <f>IF(IFERROR(_xlfn.IFNA(VLOOKUP($A203,'HR Rep'!$A:$X,MATCH('1) For HR (FIX)'!H$1,'HR Rep'!$A$1:$X$1,0),0),""),"")="","",IFERROR(_xlfn.IFNA(VLOOKUP($A203,'HR Rep'!$A:$X,MATCH('1) For HR (FIX)'!H$1,'HR Rep'!$A$1:$X$1,0),0),""),""))</f>
        <v/>
      </c>
      <c r="I203" s="140" t="str">
        <f>IF(IFERROR(_xlfn.IFNA(VLOOKUP($A203,'HR Rep'!$A:$X,MATCH('1) For HR (FIX)'!I$1,'HR Rep'!$A$1:$X$1,0),0),""),"")="","",IFERROR(_xlfn.IFNA(VLOOKUP($A203,'HR Rep'!$A:$X,MATCH('1) For HR (FIX)'!I$1,'HR Rep'!$A$1:$X$1,0),0),""),""))</f>
        <v/>
      </c>
      <c r="J203" s="140" t="str">
        <f>IF(IFERROR(_xlfn.IFNA(VLOOKUP($A203,'HR Rep'!$A:$X,MATCH('1) For HR (FIX)'!J$1,'HR Rep'!$A$1:$X$1,0),0),""),"")="","",IFERROR(_xlfn.IFNA(VLOOKUP($A203,'HR Rep'!$A:$X,MATCH('1) For HR (FIX)'!J$1,'HR Rep'!$A$1:$X$1,0),0),""),""))</f>
        <v/>
      </c>
      <c r="K203" s="161">
        <f>_xlfn.XLOOKUP(G203,ค่าตอบแทนการขายในอัตราคงที่!A:A,ค่าตอบแทนการขายในอัตราคงที่!B:B)</f>
        <v>0</v>
      </c>
      <c r="L203" s="174">
        <f>Period!$A$2</f>
        <v>46113</v>
      </c>
      <c r="M203" s="175">
        <f>Period!$C$2</f>
        <v>46143</v>
      </c>
      <c r="N203" s="194" t="s">
        <v>279</v>
      </c>
    </row>
    <row r="204" spans="1:14" ht="11.4" x14ac:dyDescent="0.25">
      <c r="A204" s="137"/>
      <c r="B204" s="169" t="e">
        <f>IF(IF(VLOOKUP(A204,ASTBase!F:P,11,FALSE)="","",VLOOKUP(A204,ASTBase!F:P,11,FALSE))=0,"",IF(VLOOKUP(A204,ASTBase!F:P,11,FALSE)="","",VLOOKUP(A204,ASTBase!F:P,11,FALSE)))</f>
        <v>#N/A</v>
      </c>
      <c r="C204" s="140" t="str">
        <f>IF(IFERROR(_xlfn.IFNA(VLOOKUP($A204,'HR Rep'!$A:$X,MATCH('1) For HR (FIX)'!C$1,'HR Rep'!$A$1:$X$1,0),0),""),"")="","",IFERROR(_xlfn.IFNA(VLOOKUP($A204,'HR Rep'!$A:$X,MATCH('1) For HR (FIX)'!C$1,'HR Rep'!$A$1:$X$1,0),0),""),""))</f>
        <v/>
      </c>
      <c r="D204" s="140" t="str">
        <f>IF(IFERROR(_xlfn.IFNA(VLOOKUP($A204,'HR Rep'!$A:$X,MATCH('1) For HR (FIX)'!D$1,'HR Rep'!$A$1:$X$1,0),0),""),"")="","",IFERROR(_xlfn.IFNA(VLOOKUP($A204,'HR Rep'!$A:$X,MATCH('1) For HR (FIX)'!D$1,'HR Rep'!$A$1:$X$1,0),0),""),""))</f>
        <v/>
      </c>
      <c r="E204" s="140" t="str">
        <f>IF(IFERROR(_xlfn.IFNA(VLOOKUP($A204,'HR Rep'!$A:$X,MATCH('1) For HR (FIX)'!E$1,'HR Rep'!$A$1:$X$1,0),0),""),"")="","",IFERROR(_xlfn.IFNA(VLOOKUP($A204,'HR Rep'!$A:$X,MATCH('1) For HR (FIX)'!E$1,'HR Rep'!$A$1:$X$1,0),0),""),""))</f>
        <v/>
      </c>
      <c r="F204" s="140" t="str">
        <f>IF(IFERROR(_xlfn.IFNA(VLOOKUP($A204,'HR Rep'!$A:$X,MATCH('1) For HR (FIX)'!F$1,'HR Rep'!$A$1:$X$1,0),0),""),"")="","",IFERROR(_xlfn.IFNA(VLOOKUP($A204,'HR Rep'!$A:$X,MATCH('1) For HR (FIX)'!F$1,'HR Rep'!$A$1:$X$1,0),0),""),""))</f>
        <v/>
      </c>
      <c r="G204" s="196"/>
      <c r="H204" s="140" t="str">
        <f>IF(IFERROR(_xlfn.IFNA(VLOOKUP($A204,'HR Rep'!$A:$X,MATCH('1) For HR (FIX)'!H$1,'HR Rep'!$A$1:$X$1,0),0),""),"")="","",IFERROR(_xlfn.IFNA(VLOOKUP($A204,'HR Rep'!$A:$X,MATCH('1) For HR (FIX)'!H$1,'HR Rep'!$A$1:$X$1,0),0),""),""))</f>
        <v/>
      </c>
      <c r="I204" s="140" t="str">
        <f>IF(IFERROR(_xlfn.IFNA(VLOOKUP($A204,'HR Rep'!$A:$X,MATCH('1) For HR (FIX)'!I$1,'HR Rep'!$A$1:$X$1,0),0),""),"")="","",IFERROR(_xlfn.IFNA(VLOOKUP($A204,'HR Rep'!$A:$X,MATCH('1) For HR (FIX)'!I$1,'HR Rep'!$A$1:$X$1,0),0),""),""))</f>
        <v/>
      </c>
      <c r="J204" s="140" t="str">
        <f>IF(IFERROR(_xlfn.IFNA(VLOOKUP($A204,'HR Rep'!$A:$X,MATCH('1) For HR (FIX)'!J$1,'HR Rep'!$A$1:$X$1,0),0),""),"")="","",IFERROR(_xlfn.IFNA(VLOOKUP($A204,'HR Rep'!$A:$X,MATCH('1) For HR (FIX)'!J$1,'HR Rep'!$A$1:$X$1,0),0),""),""))</f>
        <v/>
      </c>
      <c r="K204" s="161">
        <f>_xlfn.XLOOKUP(G204,ค่าตอบแทนการขายในอัตราคงที่!A:A,ค่าตอบแทนการขายในอัตราคงที่!B:B)</f>
        <v>0</v>
      </c>
      <c r="L204" s="174">
        <f>Period!$A$2</f>
        <v>46113</v>
      </c>
      <c r="M204" s="175">
        <f>Period!$C$2</f>
        <v>46143</v>
      </c>
      <c r="N204" s="194" t="s">
        <v>279</v>
      </c>
    </row>
    <row r="205" spans="1:14" ht="11.4" x14ac:dyDescent="0.25">
      <c r="A205" s="137"/>
      <c r="B205" s="169" t="e">
        <f>IF(IF(VLOOKUP(A205,ASTBase!F:P,11,FALSE)="","",VLOOKUP(A205,ASTBase!F:P,11,FALSE))=0,"",IF(VLOOKUP(A205,ASTBase!F:P,11,FALSE)="","",VLOOKUP(A205,ASTBase!F:P,11,FALSE)))</f>
        <v>#N/A</v>
      </c>
      <c r="C205" s="140" t="str">
        <f>IF(IFERROR(_xlfn.IFNA(VLOOKUP($A205,'HR Rep'!$A:$X,MATCH('1) For HR (FIX)'!C$1,'HR Rep'!$A$1:$X$1,0),0),""),"")="","",IFERROR(_xlfn.IFNA(VLOOKUP($A205,'HR Rep'!$A:$X,MATCH('1) For HR (FIX)'!C$1,'HR Rep'!$A$1:$X$1,0),0),""),""))</f>
        <v/>
      </c>
      <c r="D205" s="140" t="str">
        <f>IF(IFERROR(_xlfn.IFNA(VLOOKUP($A205,'HR Rep'!$A:$X,MATCH('1) For HR (FIX)'!D$1,'HR Rep'!$A$1:$X$1,0),0),""),"")="","",IFERROR(_xlfn.IFNA(VLOOKUP($A205,'HR Rep'!$A:$X,MATCH('1) For HR (FIX)'!D$1,'HR Rep'!$A$1:$X$1,0),0),""),""))</f>
        <v/>
      </c>
      <c r="E205" s="140" t="str">
        <f>IF(IFERROR(_xlfn.IFNA(VLOOKUP($A205,'HR Rep'!$A:$X,MATCH('1) For HR (FIX)'!E$1,'HR Rep'!$A$1:$X$1,0),0),""),"")="","",IFERROR(_xlfn.IFNA(VLOOKUP($A205,'HR Rep'!$A:$X,MATCH('1) For HR (FIX)'!E$1,'HR Rep'!$A$1:$X$1,0),0),""),""))</f>
        <v/>
      </c>
      <c r="F205" s="140" t="str">
        <f>IF(IFERROR(_xlfn.IFNA(VLOOKUP($A205,'HR Rep'!$A:$X,MATCH('1) For HR (FIX)'!F$1,'HR Rep'!$A$1:$X$1,0),0),""),"")="","",IFERROR(_xlfn.IFNA(VLOOKUP($A205,'HR Rep'!$A:$X,MATCH('1) For HR (FIX)'!F$1,'HR Rep'!$A$1:$X$1,0),0),""),""))</f>
        <v/>
      </c>
      <c r="G205" s="196"/>
      <c r="H205" s="140" t="str">
        <f>IF(IFERROR(_xlfn.IFNA(VLOOKUP($A205,'HR Rep'!$A:$X,MATCH('1) For HR (FIX)'!H$1,'HR Rep'!$A$1:$X$1,0),0),""),"")="","",IFERROR(_xlfn.IFNA(VLOOKUP($A205,'HR Rep'!$A:$X,MATCH('1) For HR (FIX)'!H$1,'HR Rep'!$A$1:$X$1,0),0),""),""))</f>
        <v/>
      </c>
      <c r="I205" s="140" t="str">
        <f>IF(IFERROR(_xlfn.IFNA(VLOOKUP($A205,'HR Rep'!$A:$X,MATCH('1) For HR (FIX)'!I$1,'HR Rep'!$A$1:$X$1,0),0),""),"")="","",IFERROR(_xlfn.IFNA(VLOOKUP($A205,'HR Rep'!$A:$X,MATCH('1) For HR (FIX)'!I$1,'HR Rep'!$A$1:$X$1,0),0),""),""))</f>
        <v/>
      </c>
      <c r="J205" s="140" t="str">
        <f>IF(IFERROR(_xlfn.IFNA(VLOOKUP($A205,'HR Rep'!$A:$X,MATCH('1) For HR (FIX)'!J$1,'HR Rep'!$A$1:$X$1,0),0),""),"")="","",IFERROR(_xlfn.IFNA(VLOOKUP($A205,'HR Rep'!$A:$X,MATCH('1) For HR (FIX)'!J$1,'HR Rep'!$A$1:$X$1,0),0),""),""))</f>
        <v/>
      </c>
      <c r="K205" s="161">
        <f>_xlfn.XLOOKUP(G205,ค่าตอบแทนการขายในอัตราคงที่!A:A,ค่าตอบแทนการขายในอัตราคงที่!B:B)</f>
        <v>0</v>
      </c>
      <c r="L205" s="174">
        <f>Period!$A$2</f>
        <v>46113</v>
      </c>
      <c r="M205" s="175">
        <f>Period!$C$2</f>
        <v>46143</v>
      </c>
      <c r="N205" s="194" t="s">
        <v>279</v>
      </c>
    </row>
    <row r="206" spans="1:14" ht="11.4" x14ac:dyDescent="0.25">
      <c r="A206" s="137"/>
      <c r="B206" s="169" t="e">
        <f>IF(IF(VLOOKUP(A206,ASTBase!F:P,11,FALSE)="","",VLOOKUP(A206,ASTBase!F:P,11,FALSE))=0,"",IF(VLOOKUP(A206,ASTBase!F:P,11,FALSE)="","",VLOOKUP(A206,ASTBase!F:P,11,FALSE)))</f>
        <v>#N/A</v>
      </c>
      <c r="C206" s="140" t="str">
        <f>IF(IFERROR(_xlfn.IFNA(VLOOKUP($A206,'HR Rep'!$A:$X,MATCH('1) For HR (FIX)'!C$1,'HR Rep'!$A$1:$X$1,0),0),""),"")="","",IFERROR(_xlfn.IFNA(VLOOKUP($A206,'HR Rep'!$A:$X,MATCH('1) For HR (FIX)'!C$1,'HR Rep'!$A$1:$X$1,0),0),""),""))</f>
        <v/>
      </c>
      <c r="D206" s="140" t="str">
        <f>IF(IFERROR(_xlfn.IFNA(VLOOKUP($A206,'HR Rep'!$A:$X,MATCH('1) For HR (FIX)'!D$1,'HR Rep'!$A$1:$X$1,0),0),""),"")="","",IFERROR(_xlfn.IFNA(VLOOKUP($A206,'HR Rep'!$A:$X,MATCH('1) For HR (FIX)'!D$1,'HR Rep'!$A$1:$X$1,0),0),""),""))</f>
        <v/>
      </c>
      <c r="E206" s="140" t="str">
        <f>IF(IFERROR(_xlfn.IFNA(VLOOKUP($A206,'HR Rep'!$A:$X,MATCH('1) For HR (FIX)'!E$1,'HR Rep'!$A$1:$X$1,0),0),""),"")="","",IFERROR(_xlfn.IFNA(VLOOKUP($A206,'HR Rep'!$A:$X,MATCH('1) For HR (FIX)'!E$1,'HR Rep'!$A$1:$X$1,0),0),""),""))</f>
        <v/>
      </c>
      <c r="F206" s="140" t="str">
        <f>IF(IFERROR(_xlfn.IFNA(VLOOKUP($A206,'HR Rep'!$A:$X,MATCH('1) For HR (FIX)'!F$1,'HR Rep'!$A$1:$X$1,0),0),""),"")="","",IFERROR(_xlfn.IFNA(VLOOKUP($A206,'HR Rep'!$A:$X,MATCH('1) For HR (FIX)'!F$1,'HR Rep'!$A$1:$X$1,0),0),""),""))</f>
        <v/>
      </c>
      <c r="G206" s="196"/>
      <c r="H206" s="140" t="str">
        <f>IF(IFERROR(_xlfn.IFNA(VLOOKUP($A206,'HR Rep'!$A:$X,MATCH('1) For HR (FIX)'!H$1,'HR Rep'!$A$1:$X$1,0),0),""),"")="","",IFERROR(_xlfn.IFNA(VLOOKUP($A206,'HR Rep'!$A:$X,MATCH('1) For HR (FIX)'!H$1,'HR Rep'!$A$1:$X$1,0),0),""),""))</f>
        <v/>
      </c>
      <c r="I206" s="140" t="str">
        <f>IF(IFERROR(_xlfn.IFNA(VLOOKUP($A206,'HR Rep'!$A:$X,MATCH('1) For HR (FIX)'!I$1,'HR Rep'!$A$1:$X$1,0),0),""),"")="","",IFERROR(_xlfn.IFNA(VLOOKUP($A206,'HR Rep'!$A:$X,MATCH('1) For HR (FIX)'!I$1,'HR Rep'!$A$1:$X$1,0),0),""),""))</f>
        <v/>
      </c>
      <c r="J206" s="140" t="str">
        <f>IF(IFERROR(_xlfn.IFNA(VLOOKUP($A206,'HR Rep'!$A:$X,MATCH('1) For HR (FIX)'!J$1,'HR Rep'!$A$1:$X$1,0),0),""),"")="","",IFERROR(_xlfn.IFNA(VLOOKUP($A206,'HR Rep'!$A:$X,MATCH('1) For HR (FIX)'!J$1,'HR Rep'!$A$1:$X$1,0),0),""),""))</f>
        <v/>
      </c>
      <c r="K206" s="161">
        <f>_xlfn.XLOOKUP(G206,ค่าตอบแทนการขายในอัตราคงที่!A:A,ค่าตอบแทนการขายในอัตราคงที่!B:B)</f>
        <v>0</v>
      </c>
      <c r="L206" s="174">
        <f>Period!$A$2</f>
        <v>46113</v>
      </c>
      <c r="M206" s="175">
        <f>Period!$C$2</f>
        <v>46143</v>
      </c>
      <c r="N206" s="194" t="s">
        <v>279</v>
      </c>
    </row>
    <row r="207" spans="1:14" ht="11.4" x14ac:dyDescent="0.25">
      <c r="A207" s="137"/>
      <c r="B207" s="169" t="e">
        <f>IF(IF(VLOOKUP(A207,ASTBase!F:P,11,FALSE)="","",VLOOKUP(A207,ASTBase!F:P,11,FALSE))=0,"",IF(VLOOKUP(A207,ASTBase!F:P,11,FALSE)="","",VLOOKUP(A207,ASTBase!F:P,11,FALSE)))</f>
        <v>#N/A</v>
      </c>
      <c r="C207" s="140" t="str">
        <f>IF(IFERROR(_xlfn.IFNA(VLOOKUP($A207,'HR Rep'!$A:$X,MATCH('1) For HR (FIX)'!C$1,'HR Rep'!$A$1:$X$1,0),0),""),"")="","",IFERROR(_xlfn.IFNA(VLOOKUP($A207,'HR Rep'!$A:$X,MATCH('1) For HR (FIX)'!C$1,'HR Rep'!$A$1:$X$1,0),0),""),""))</f>
        <v/>
      </c>
      <c r="D207" s="140" t="str">
        <f>IF(IFERROR(_xlfn.IFNA(VLOOKUP($A207,'HR Rep'!$A:$X,MATCH('1) For HR (FIX)'!D$1,'HR Rep'!$A$1:$X$1,0),0),""),"")="","",IFERROR(_xlfn.IFNA(VLOOKUP($A207,'HR Rep'!$A:$X,MATCH('1) For HR (FIX)'!D$1,'HR Rep'!$A$1:$X$1,0),0),""),""))</f>
        <v/>
      </c>
      <c r="E207" s="140" t="str">
        <f>IF(IFERROR(_xlfn.IFNA(VLOOKUP($A207,'HR Rep'!$A:$X,MATCH('1) For HR (FIX)'!E$1,'HR Rep'!$A$1:$X$1,0),0),""),"")="","",IFERROR(_xlfn.IFNA(VLOOKUP($A207,'HR Rep'!$A:$X,MATCH('1) For HR (FIX)'!E$1,'HR Rep'!$A$1:$X$1,0),0),""),""))</f>
        <v/>
      </c>
      <c r="F207" s="140" t="str">
        <f>IF(IFERROR(_xlfn.IFNA(VLOOKUP($A207,'HR Rep'!$A:$X,MATCH('1) For HR (FIX)'!F$1,'HR Rep'!$A$1:$X$1,0),0),""),"")="","",IFERROR(_xlfn.IFNA(VLOOKUP($A207,'HR Rep'!$A:$X,MATCH('1) For HR (FIX)'!F$1,'HR Rep'!$A$1:$X$1,0),0),""),""))</f>
        <v/>
      </c>
      <c r="G207" s="196"/>
      <c r="H207" s="140" t="str">
        <f>IF(IFERROR(_xlfn.IFNA(VLOOKUP($A207,'HR Rep'!$A:$X,MATCH('1) For HR (FIX)'!H$1,'HR Rep'!$A$1:$X$1,0),0),""),"")="","",IFERROR(_xlfn.IFNA(VLOOKUP($A207,'HR Rep'!$A:$X,MATCH('1) For HR (FIX)'!H$1,'HR Rep'!$A$1:$X$1,0),0),""),""))</f>
        <v/>
      </c>
      <c r="I207" s="140" t="str">
        <f>IF(IFERROR(_xlfn.IFNA(VLOOKUP($A207,'HR Rep'!$A:$X,MATCH('1) For HR (FIX)'!I$1,'HR Rep'!$A$1:$X$1,0),0),""),"")="","",IFERROR(_xlfn.IFNA(VLOOKUP($A207,'HR Rep'!$A:$X,MATCH('1) For HR (FIX)'!I$1,'HR Rep'!$A$1:$X$1,0),0),""),""))</f>
        <v/>
      </c>
      <c r="J207" s="140" t="str">
        <f>IF(IFERROR(_xlfn.IFNA(VLOOKUP($A207,'HR Rep'!$A:$X,MATCH('1) For HR (FIX)'!J$1,'HR Rep'!$A$1:$X$1,0),0),""),"")="","",IFERROR(_xlfn.IFNA(VLOOKUP($A207,'HR Rep'!$A:$X,MATCH('1) For HR (FIX)'!J$1,'HR Rep'!$A$1:$X$1,0),0),""),""))</f>
        <v/>
      </c>
      <c r="K207" s="161">
        <f>_xlfn.XLOOKUP(G207,ค่าตอบแทนการขายในอัตราคงที่!A:A,ค่าตอบแทนการขายในอัตราคงที่!B:B)</f>
        <v>0</v>
      </c>
      <c r="L207" s="174">
        <f>Period!$A$2</f>
        <v>46113</v>
      </c>
      <c r="M207" s="175">
        <f>Period!$C$2</f>
        <v>46143</v>
      </c>
      <c r="N207" s="194" t="s">
        <v>279</v>
      </c>
    </row>
    <row r="208" spans="1:14" ht="11.4" x14ac:dyDescent="0.25">
      <c r="A208" s="137"/>
      <c r="B208" s="169" t="e">
        <f>IF(IF(VLOOKUP(A208,ASTBase!F:P,11,FALSE)="","",VLOOKUP(A208,ASTBase!F:P,11,FALSE))=0,"",IF(VLOOKUP(A208,ASTBase!F:P,11,FALSE)="","",VLOOKUP(A208,ASTBase!F:P,11,FALSE)))</f>
        <v>#N/A</v>
      </c>
      <c r="C208" s="140" t="str">
        <f>IF(IFERROR(_xlfn.IFNA(VLOOKUP($A208,'HR Rep'!$A:$X,MATCH('1) For HR (FIX)'!C$1,'HR Rep'!$A$1:$X$1,0),0),""),"")="","",IFERROR(_xlfn.IFNA(VLOOKUP($A208,'HR Rep'!$A:$X,MATCH('1) For HR (FIX)'!C$1,'HR Rep'!$A$1:$X$1,0),0),""),""))</f>
        <v/>
      </c>
      <c r="D208" s="140" t="str">
        <f>IF(IFERROR(_xlfn.IFNA(VLOOKUP($A208,'HR Rep'!$A:$X,MATCH('1) For HR (FIX)'!D$1,'HR Rep'!$A$1:$X$1,0),0),""),"")="","",IFERROR(_xlfn.IFNA(VLOOKUP($A208,'HR Rep'!$A:$X,MATCH('1) For HR (FIX)'!D$1,'HR Rep'!$A$1:$X$1,0),0),""),""))</f>
        <v/>
      </c>
      <c r="E208" s="140" t="str">
        <f>IF(IFERROR(_xlfn.IFNA(VLOOKUP($A208,'HR Rep'!$A:$X,MATCH('1) For HR (FIX)'!E$1,'HR Rep'!$A$1:$X$1,0),0),""),"")="","",IFERROR(_xlfn.IFNA(VLOOKUP($A208,'HR Rep'!$A:$X,MATCH('1) For HR (FIX)'!E$1,'HR Rep'!$A$1:$X$1,0),0),""),""))</f>
        <v/>
      </c>
      <c r="F208" s="140" t="str">
        <f>IF(IFERROR(_xlfn.IFNA(VLOOKUP($A208,'HR Rep'!$A:$X,MATCH('1) For HR (FIX)'!F$1,'HR Rep'!$A$1:$X$1,0),0),""),"")="","",IFERROR(_xlfn.IFNA(VLOOKUP($A208,'HR Rep'!$A:$X,MATCH('1) For HR (FIX)'!F$1,'HR Rep'!$A$1:$X$1,0),0),""),""))</f>
        <v/>
      </c>
      <c r="G208" s="196"/>
      <c r="H208" s="140" t="str">
        <f>IF(IFERROR(_xlfn.IFNA(VLOOKUP($A208,'HR Rep'!$A:$X,MATCH('1) For HR (FIX)'!H$1,'HR Rep'!$A$1:$X$1,0),0),""),"")="","",IFERROR(_xlfn.IFNA(VLOOKUP($A208,'HR Rep'!$A:$X,MATCH('1) For HR (FIX)'!H$1,'HR Rep'!$A$1:$X$1,0),0),""),""))</f>
        <v/>
      </c>
      <c r="I208" s="140" t="str">
        <f>IF(IFERROR(_xlfn.IFNA(VLOOKUP($A208,'HR Rep'!$A:$X,MATCH('1) For HR (FIX)'!I$1,'HR Rep'!$A$1:$X$1,0),0),""),"")="","",IFERROR(_xlfn.IFNA(VLOOKUP($A208,'HR Rep'!$A:$X,MATCH('1) For HR (FIX)'!I$1,'HR Rep'!$A$1:$X$1,0),0),""),""))</f>
        <v/>
      </c>
      <c r="J208" s="140" t="str">
        <f>IF(IFERROR(_xlfn.IFNA(VLOOKUP($A208,'HR Rep'!$A:$X,MATCH('1) For HR (FIX)'!J$1,'HR Rep'!$A$1:$X$1,0),0),""),"")="","",IFERROR(_xlfn.IFNA(VLOOKUP($A208,'HR Rep'!$A:$X,MATCH('1) For HR (FIX)'!J$1,'HR Rep'!$A$1:$X$1,0),0),""),""))</f>
        <v/>
      </c>
      <c r="K208" s="161">
        <f>_xlfn.XLOOKUP(G208,ค่าตอบแทนการขายในอัตราคงที่!A:A,ค่าตอบแทนการขายในอัตราคงที่!B:B)</f>
        <v>0</v>
      </c>
      <c r="L208" s="174">
        <f>Period!$A$2</f>
        <v>46113</v>
      </c>
      <c r="M208" s="175">
        <f>Period!$C$2</f>
        <v>46143</v>
      </c>
      <c r="N208" s="194" t="s">
        <v>279</v>
      </c>
    </row>
    <row r="209" spans="1:14" ht="11.4" x14ac:dyDescent="0.25">
      <c r="A209" s="137"/>
      <c r="B209" s="169" t="e">
        <f>IF(IF(VLOOKUP(A209,ASTBase!F:P,11,FALSE)="","",VLOOKUP(A209,ASTBase!F:P,11,FALSE))=0,"",IF(VLOOKUP(A209,ASTBase!F:P,11,FALSE)="","",VLOOKUP(A209,ASTBase!F:P,11,FALSE)))</f>
        <v>#N/A</v>
      </c>
      <c r="C209" s="140" t="str">
        <f>IF(IFERROR(_xlfn.IFNA(VLOOKUP($A209,'HR Rep'!$A:$X,MATCH('1) For HR (FIX)'!C$1,'HR Rep'!$A$1:$X$1,0),0),""),"")="","",IFERROR(_xlfn.IFNA(VLOOKUP($A209,'HR Rep'!$A:$X,MATCH('1) For HR (FIX)'!C$1,'HR Rep'!$A$1:$X$1,0),0),""),""))</f>
        <v/>
      </c>
      <c r="D209" s="140" t="str">
        <f>IF(IFERROR(_xlfn.IFNA(VLOOKUP($A209,'HR Rep'!$A:$X,MATCH('1) For HR (FIX)'!D$1,'HR Rep'!$A$1:$X$1,0),0),""),"")="","",IFERROR(_xlfn.IFNA(VLOOKUP($A209,'HR Rep'!$A:$X,MATCH('1) For HR (FIX)'!D$1,'HR Rep'!$A$1:$X$1,0),0),""),""))</f>
        <v/>
      </c>
      <c r="E209" s="140" t="str">
        <f>IF(IFERROR(_xlfn.IFNA(VLOOKUP($A209,'HR Rep'!$A:$X,MATCH('1) For HR (FIX)'!E$1,'HR Rep'!$A$1:$X$1,0),0),""),"")="","",IFERROR(_xlfn.IFNA(VLOOKUP($A209,'HR Rep'!$A:$X,MATCH('1) For HR (FIX)'!E$1,'HR Rep'!$A$1:$X$1,0),0),""),""))</f>
        <v/>
      </c>
      <c r="F209" s="140" t="str">
        <f>IF(IFERROR(_xlfn.IFNA(VLOOKUP($A209,'HR Rep'!$A:$X,MATCH('1) For HR (FIX)'!F$1,'HR Rep'!$A$1:$X$1,0),0),""),"")="","",IFERROR(_xlfn.IFNA(VLOOKUP($A209,'HR Rep'!$A:$X,MATCH('1) For HR (FIX)'!F$1,'HR Rep'!$A$1:$X$1,0),0),""),""))</f>
        <v/>
      </c>
      <c r="G209" s="196"/>
      <c r="H209" s="140" t="str">
        <f>IF(IFERROR(_xlfn.IFNA(VLOOKUP($A209,'HR Rep'!$A:$X,MATCH('1) For HR (FIX)'!H$1,'HR Rep'!$A$1:$X$1,0),0),""),"")="","",IFERROR(_xlfn.IFNA(VLOOKUP($A209,'HR Rep'!$A:$X,MATCH('1) For HR (FIX)'!H$1,'HR Rep'!$A$1:$X$1,0),0),""),""))</f>
        <v/>
      </c>
      <c r="I209" s="140" t="str">
        <f>IF(IFERROR(_xlfn.IFNA(VLOOKUP($A209,'HR Rep'!$A:$X,MATCH('1) For HR (FIX)'!I$1,'HR Rep'!$A$1:$X$1,0),0),""),"")="","",IFERROR(_xlfn.IFNA(VLOOKUP($A209,'HR Rep'!$A:$X,MATCH('1) For HR (FIX)'!I$1,'HR Rep'!$A$1:$X$1,0),0),""),""))</f>
        <v/>
      </c>
      <c r="J209" s="140" t="str">
        <f>IF(IFERROR(_xlfn.IFNA(VLOOKUP($A209,'HR Rep'!$A:$X,MATCH('1) For HR (FIX)'!J$1,'HR Rep'!$A$1:$X$1,0),0),""),"")="","",IFERROR(_xlfn.IFNA(VLOOKUP($A209,'HR Rep'!$A:$X,MATCH('1) For HR (FIX)'!J$1,'HR Rep'!$A$1:$X$1,0),0),""),""))</f>
        <v/>
      </c>
      <c r="K209" s="161">
        <f>_xlfn.XLOOKUP(G209,ค่าตอบแทนการขายในอัตราคงที่!A:A,ค่าตอบแทนการขายในอัตราคงที่!B:B)</f>
        <v>0</v>
      </c>
      <c r="L209" s="174">
        <f>Period!$A$2</f>
        <v>46113</v>
      </c>
      <c r="M209" s="175">
        <f>Period!$C$2</f>
        <v>46143</v>
      </c>
      <c r="N209" s="194" t="s">
        <v>279</v>
      </c>
    </row>
    <row r="210" spans="1:14" ht="11.4" x14ac:dyDescent="0.25">
      <c r="A210" s="137"/>
      <c r="B210" s="169" t="e">
        <f>IF(IF(VLOOKUP(A210,ASTBase!F:P,11,FALSE)="","",VLOOKUP(A210,ASTBase!F:P,11,FALSE))=0,"",IF(VLOOKUP(A210,ASTBase!F:P,11,FALSE)="","",VLOOKUP(A210,ASTBase!F:P,11,FALSE)))</f>
        <v>#N/A</v>
      </c>
      <c r="C210" s="140" t="str">
        <f>IF(IFERROR(_xlfn.IFNA(VLOOKUP($A210,'HR Rep'!$A:$X,MATCH('1) For HR (FIX)'!C$1,'HR Rep'!$A$1:$X$1,0),0),""),"")="","",IFERROR(_xlfn.IFNA(VLOOKUP($A210,'HR Rep'!$A:$X,MATCH('1) For HR (FIX)'!C$1,'HR Rep'!$A$1:$X$1,0),0),""),""))</f>
        <v/>
      </c>
      <c r="D210" s="140" t="str">
        <f>IF(IFERROR(_xlfn.IFNA(VLOOKUP($A210,'HR Rep'!$A:$X,MATCH('1) For HR (FIX)'!D$1,'HR Rep'!$A$1:$X$1,0),0),""),"")="","",IFERROR(_xlfn.IFNA(VLOOKUP($A210,'HR Rep'!$A:$X,MATCH('1) For HR (FIX)'!D$1,'HR Rep'!$A$1:$X$1,0),0),""),""))</f>
        <v/>
      </c>
      <c r="E210" s="140" t="str">
        <f>IF(IFERROR(_xlfn.IFNA(VLOOKUP($A210,'HR Rep'!$A:$X,MATCH('1) For HR (FIX)'!E$1,'HR Rep'!$A$1:$X$1,0),0),""),"")="","",IFERROR(_xlfn.IFNA(VLOOKUP($A210,'HR Rep'!$A:$X,MATCH('1) For HR (FIX)'!E$1,'HR Rep'!$A$1:$X$1,0),0),""),""))</f>
        <v/>
      </c>
      <c r="F210" s="140" t="str">
        <f>IF(IFERROR(_xlfn.IFNA(VLOOKUP($A210,'HR Rep'!$A:$X,MATCH('1) For HR (FIX)'!F$1,'HR Rep'!$A$1:$X$1,0),0),""),"")="","",IFERROR(_xlfn.IFNA(VLOOKUP($A210,'HR Rep'!$A:$X,MATCH('1) For HR (FIX)'!F$1,'HR Rep'!$A$1:$X$1,0),0),""),""))</f>
        <v/>
      </c>
      <c r="G210" s="196"/>
      <c r="H210" s="140" t="str">
        <f>IF(IFERROR(_xlfn.IFNA(VLOOKUP($A210,'HR Rep'!$A:$X,MATCH('1) For HR (FIX)'!H$1,'HR Rep'!$A$1:$X$1,0),0),""),"")="","",IFERROR(_xlfn.IFNA(VLOOKUP($A210,'HR Rep'!$A:$X,MATCH('1) For HR (FIX)'!H$1,'HR Rep'!$A$1:$X$1,0),0),""),""))</f>
        <v/>
      </c>
      <c r="I210" s="140" t="str">
        <f>IF(IFERROR(_xlfn.IFNA(VLOOKUP($A210,'HR Rep'!$A:$X,MATCH('1) For HR (FIX)'!I$1,'HR Rep'!$A$1:$X$1,0),0),""),"")="","",IFERROR(_xlfn.IFNA(VLOOKUP($A210,'HR Rep'!$A:$X,MATCH('1) For HR (FIX)'!I$1,'HR Rep'!$A$1:$X$1,0),0),""),""))</f>
        <v/>
      </c>
      <c r="J210" s="140" t="str">
        <f>IF(IFERROR(_xlfn.IFNA(VLOOKUP($A210,'HR Rep'!$A:$X,MATCH('1) For HR (FIX)'!J$1,'HR Rep'!$A$1:$X$1,0),0),""),"")="","",IFERROR(_xlfn.IFNA(VLOOKUP($A210,'HR Rep'!$A:$X,MATCH('1) For HR (FIX)'!J$1,'HR Rep'!$A$1:$X$1,0),0),""),""))</f>
        <v/>
      </c>
      <c r="K210" s="161">
        <f>_xlfn.XLOOKUP(G210,ค่าตอบแทนการขายในอัตราคงที่!A:A,ค่าตอบแทนการขายในอัตราคงที่!B:B)</f>
        <v>0</v>
      </c>
      <c r="L210" s="174">
        <f>Period!$A$2</f>
        <v>46113</v>
      </c>
      <c r="M210" s="175">
        <f>Period!$C$2</f>
        <v>46143</v>
      </c>
      <c r="N210" s="194" t="s">
        <v>279</v>
      </c>
    </row>
    <row r="211" spans="1:14" ht="11.4" x14ac:dyDescent="0.25">
      <c r="A211" s="137"/>
      <c r="B211" s="169" t="e">
        <f>IF(IF(VLOOKUP(A211,ASTBase!F:P,11,FALSE)="","",VLOOKUP(A211,ASTBase!F:P,11,FALSE))=0,"",IF(VLOOKUP(A211,ASTBase!F:P,11,FALSE)="","",VLOOKUP(A211,ASTBase!F:P,11,FALSE)))</f>
        <v>#N/A</v>
      </c>
      <c r="C211" s="140" t="str">
        <f>IF(IFERROR(_xlfn.IFNA(VLOOKUP($A211,'HR Rep'!$A:$X,MATCH('1) For HR (FIX)'!C$1,'HR Rep'!$A$1:$X$1,0),0),""),"")="","",IFERROR(_xlfn.IFNA(VLOOKUP($A211,'HR Rep'!$A:$X,MATCH('1) For HR (FIX)'!C$1,'HR Rep'!$A$1:$X$1,0),0),""),""))</f>
        <v/>
      </c>
      <c r="D211" s="140" t="str">
        <f>IF(IFERROR(_xlfn.IFNA(VLOOKUP($A211,'HR Rep'!$A:$X,MATCH('1) For HR (FIX)'!D$1,'HR Rep'!$A$1:$X$1,0),0),""),"")="","",IFERROR(_xlfn.IFNA(VLOOKUP($A211,'HR Rep'!$A:$X,MATCH('1) For HR (FIX)'!D$1,'HR Rep'!$A$1:$X$1,0),0),""),""))</f>
        <v/>
      </c>
      <c r="E211" s="140" t="str">
        <f>IF(IFERROR(_xlfn.IFNA(VLOOKUP($A211,'HR Rep'!$A:$X,MATCH('1) For HR (FIX)'!E$1,'HR Rep'!$A$1:$X$1,0),0),""),"")="","",IFERROR(_xlfn.IFNA(VLOOKUP($A211,'HR Rep'!$A:$X,MATCH('1) For HR (FIX)'!E$1,'HR Rep'!$A$1:$X$1,0),0),""),""))</f>
        <v/>
      </c>
      <c r="F211" s="140" t="str">
        <f>IF(IFERROR(_xlfn.IFNA(VLOOKUP($A211,'HR Rep'!$A:$X,MATCH('1) For HR (FIX)'!F$1,'HR Rep'!$A$1:$X$1,0),0),""),"")="","",IFERROR(_xlfn.IFNA(VLOOKUP($A211,'HR Rep'!$A:$X,MATCH('1) For HR (FIX)'!F$1,'HR Rep'!$A$1:$X$1,0),0),""),""))</f>
        <v/>
      </c>
      <c r="G211" s="196"/>
      <c r="H211" s="140" t="str">
        <f>IF(IFERROR(_xlfn.IFNA(VLOOKUP($A211,'HR Rep'!$A:$X,MATCH('1) For HR (FIX)'!H$1,'HR Rep'!$A$1:$X$1,0),0),""),"")="","",IFERROR(_xlfn.IFNA(VLOOKUP($A211,'HR Rep'!$A:$X,MATCH('1) For HR (FIX)'!H$1,'HR Rep'!$A$1:$X$1,0),0),""),""))</f>
        <v/>
      </c>
      <c r="I211" s="140" t="str">
        <f>IF(IFERROR(_xlfn.IFNA(VLOOKUP($A211,'HR Rep'!$A:$X,MATCH('1) For HR (FIX)'!I$1,'HR Rep'!$A$1:$X$1,0),0),""),"")="","",IFERROR(_xlfn.IFNA(VLOOKUP($A211,'HR Rep'!$A:$X,MATCH('1) For HR (FIX)'!I$1,'HR Rep'!$A$1:$X$1,0),0),""),""))</f>
        <v/>
      </c>
      <c r="J211" s="140" t="str">
        <f>IF(IFERROR(_xlfn.IFNA(VLOOKUP($A211,'HR Rep'!$A:$X,MATCH('1) For HR (FIX)'!J$1,'HR Rep'!$A$1:$X$1,0),0),""),"")="","",IFERROR(_xlfn.IFNA(VLOOKUP($A211,'HR Rep'!$A:$X,MATCH('1) For HR (FIX)'!J$1,'HR Rep'!$A$1:$X$1,0),0),""),""))</f>
        <v/>
      </c>
      <c r="K211" s="161">
        <f>_xlfn.XLOOKUP(G211,ค่าตอบแทนการขายในอัตราคงที่!A:A,ค่าตอบแทนการขายในอัตราคงที่!B:B)</f>
        <v>0</v>
      </c>
      <c r="L211" s="174">
        <f>Period!$A$2</f>
        <v>46113</v>
      </c>
      <c r="M211" s="175">
        <f>Period!$C$2</f>
        <v>46143</v>
      </c>
      <c r="N211" s="194" t="s">
        <v>279</v>
      </c>
    </row>
    <row r="212" spans="1:14" ht="11.4" x14ac:dyDescent="0.25">
      <c r="A212" s="137"/>
      <c r="B212" s="169" t="e">
        <f>IF(IF(VLOOKUP(A212,ASTBase!F:P,11,FALSE)="","",VLOOKUP(A212,ASTBase!F:P,11,FALSE))=0,"",IF(VLOOKUP(A212,ASTBase!F:P,11,FALSE)="","",VLOOKUP(A212,ASTBase!F:P,11,FALSE)))</f>
        <v>#N/A</v>
      </c>
      <c r="C212" s="140" t="str">
        <f>IF(IFERROR(_xlfn.IFNA(VLOOKUP($A212,'HR Rep'!$A:$X,MATCH('1) For HR (FIX)'!C$1,'HR Rep'!$A$1:$X$1,0),0),""),"")="","",IFERROR(_xlfn.IFNA(VLOOKUP($A212,'HR Rep'!$A:$X,MATCH('1) For HR (FIX)'!C$1,'HR Rep'!$A$1:$X$1,0),0),""),""))</f>
        <v/>
      </c>
      <c r="D212" s="140" t="str">
        <f>IF(IFERROR(_xlfn.IFNA(VLOOKUP($A212,'HR Rep'!$A:$X,MATCH('1) For HR (FIX)'!D$1,'HR Rep'!$A$1:$X$1,0),0),""),"")="","",IFERROR(_xlfn.IFNA(VLOOKUP($A212,'HR Rep'!$A:$X,MATCH('1) For HR (FIX)'!D$1,'HR Rep'!$A$1:$X$1,0),0),""),""))</f>
        <v/>
      </c>
      <c r="E212" s="140" t="str">
        <f>IF(IFERROR(_xlfn.IFNA(VLOOKUP($A212,'HR Rep'!$A:$X,MATCH('1) For HR (FIX)'!E$1,'HR Rep'!$A$1:$X$1,0),0),""),"")="","",IFERROR(_xlfn.IFNA(VLOOKUP($A212,'HR Rep'!$A:$X,MATCH('1) For HR (FIX)'!E$1,'HR Rep'!$A$1:$X$1,0),0),""),""))</f>
        <v/>
      </c>
      <c r="F212" s="140" t="str">
        <f>IF(IFERROR(_xlfn.IFNA(VLOOKUP($A212,'HR Rep'!$A:$X,MATCH('1) For HR (FIX)'!F$1,'HR Rep'!$A$1:$X$1,0),0),""),"")="","",IFERROR(_xlfn.IFNA(VLOOKUP($A212,'HR Rep'!$A:$X,MATCH('1) For HR (FIX)'!F$1,'HR Rep'!$A$1:$X$1,0),0),""),""))</f>
        <v/>
      </c>
      <c r="G212" s="196"/>
      <c r="H212" s="140" t="str">
        <f>IF(IFERROR(_xlfn.IFNA(VLOOKUP($A212,'HR Rep'!$A:$X,MATCH('1) For HR (FIX)'!H$1,'HR Rep'!$A$1:$X$1,0),0),""),"")="","",IFERROR(_xlfn.IFNA(VLOOKUP($A212,'HR Rep'!$A:$X,MATCH('1) For HR (FIX)'!H$1,'HR Rep'!$A$1:$X$1,0),0),""),""))</f>
        <v/>
      </c>
      <c r="I212" s="140" t="str">
        <f>IF(IFERROR(_xlfn.IFNA(VLOOKUP($A212,'HR Rep'!$A:$X,MATCH('1) For HR (FIX)'!I$1,'HR Rep'!$A$1:$X$1,0),0),""),"")="","",IFERROR(_xlfn.IFNA(VLOOKUP($A212,'HR Rep'!$A:$X,MATCH('1) For HR (FIX)'!I$1,'HR Rep'!$A$1:$X$1,0),0),""),""))</f>
        <v/>
      </c>
      <c r="J212" s="140" t="str">
        <f>IF(IFERROR(_xlfn.IFNA(VLOOKUP($A212,'HR Rep'!$A:$X,MATCH('1) For HR (FIX)'!J$1,'HR Rep'!$A$1:$X$1,0),0),""),"")="","",IFERROR(_xlfn.IFNA(VLOOKUP($A212,'HR Rep'!$A:$X,MATCH('1) For HR (FIX)'!J$1,'HR Rep'!$A$1:$X$1,0),0),""),""))</f>
        <v/>
      </c>
      <c r="K212" s="161">
        <f>_xlfn.XLOOKUP(G212,ค่าตอบแทนการขายในอัตราคงที่!A:A,ค่าตอบแทนการขายในอัตราคงที่!B:B)</f>
        <v>0</v>
      </c>
      <c r="L212" s="174">
        <f>Period!$A$2</f>
        <v>46113</v>
      </c>
      <c r="M212" s="175">
        <f>Period!$C$2</f>
        <v>46143</v>
      </c>
      <c r="N212" s="194" t="s">
        <v>279</v>
      </c>
    </row>
    <row r="213" spans="1:14" ht="11.4" x14ac:dyDescent="0.25">
      <c r="A213" s="137"/>
      <c r="B213" s="169" t="e">
        <f>IF(IF(VLOOKUP(A213,ASTBase!F:P,11,FALSE)="","",VLOOKUP(A213,ASTBase!F:P,11,FALSE))=0,"",IF(VLOOKUP(A213,ASTBase!F:P,11,FALSE)="","",VLOOKUP(A213,ASTBase!F:P,11,FALSE)))</f>
        <v>#N/A</v>
      </c>
      <c r="C213" s="140" t="str">
        <f>IF(IFERROR(_xlfn.IFNA(VLOOKUP($A213,'HR Rep'!$A:$X,MATCH('1) For HR (FIX)'!C$1,'HR Rep'!$A$1:$X$1,0),0),""),"")="","",IFERROR(_xlfn.IFNA(VLOOKUP($A213,'HR Rep'!$A:$X,MATCH('1) For HR (FIX)'!C$1,'HR Rep'!$A$1:$X$1,0),0),""),""))</f>
        <v/>
      </c>
      <c r="D213" s="140" t="str">
        <f>IF(IFERROR(_xlfn.IFNA(VLOOKUP($A213,'HR Rep'!$A:$X,MATCH('1) For HR (FIX)'!D$1,'HR Rep'!$A$1:$X$1,0),0),""),"")="","",IFERROR(_xlfn.IFNA(VLOOKUP($A213,'HR Rep'!$A:$X,MATCH('1) For HR (FIX)'!D$1,'HR Rep'!$A$1:$X$1,0),0),""),""))</f>
        <v/>
      </c>
      <c r="E213" s="140" t="str">
        <f>IF(IFERROR(_xlfn.IFNA(VLOOKUP($A213,'HR Rep'!$A:$X,MATCH('1) For HR (FIX)'!E$1,'HR Rep'!$A$1:$X$1,0),0),""),"")="","",IFERROR(_xlfn.IFNA(VLOOKUP($A213,'HR Rep'!$A:$X,MATCH('1) For HR (FIX)'!E$1,'HR Rep'!$A$1:$X$1,0),0),""),""))</f>
        <v/>
      </c>
      <c r="F213" s="140" t="str">
        <f>IF(IFERROR(_xlfn.IFNA(VLOOKUP($A213,'HR Rep'!$A:$X,MATCH('1) For HR (FIX)'!F$1,'HR Rep'!$A$1:$X$1,0),0),""),"")="","",IFERROR(_xlfn.IFNA(VLOOKUP($A213,'HR Rep'!$A:$X,MATCH('1) For HR (FIX)'!F$1,'HR Rep'!$A$1:$X$1,0),0),""),""))</f>
        <v/>
      </c>
      <c r="G213" s="196"/>
      <c r="H213" s="140" t="str">
        <f>IF(IFERROR(_xlfn.IFNA(VLOOKUP($A213,'HR Rep'!$A:$X,MATCH('1) For HR (FIX)'!H$1,'HR Rep'!$A$1:$X$1,0),0),""),"")="","",IFERROR(_xlfn.IFNA(VLOOKUP($A213,'HR Rep'!$A:$X,MATCH('1) For HR (FIX)'!H$1,'HR Rep'!$A$1:$X$1,0),0),""),""))</f>
        <v/>
      </c>
      <c r="I213" s="140" t="str">
        <f>IF(IFERROR(_xlfn.IFNA(VLOOKUP($A213,'HR Rep'!$A:$X,MATCH('1) For HR (FIX)'!I$1,'HR Rep'!$A$1:$X$1,0),0),""),"")="","",IFERROR(_xlfn.IFNA(VLOOKUP($A213,'HR Rep'!$A:$X,MATCH('1) For HR (FIX)'!I$1,'HR Rep'!$A$1:$X$1,0),0),""),""))</f>
        <v/>
      </c>
      <c r="J213" s="140" t="str">
        <f>IF(IFERROR(_xlfn.IFNA(VLOOKUP($A213,'HR Rep'!$A:$X,MATCH('1) For HR (FIX)'!J$1,'HR Rep'!$A$1:$X$1,0),0),""),"")="","",IFERROR(_xlfn.IFNA(VLOOKUP($A213,'HR Rep'!$A:$X,MATCH('1) For HR (FIX)'!J$1,'HR Rep'!$A$1:$X$1,0),0),""),""))</f>
        <v/>
      </c>
      <c r="K213" s="161">
        <f>_xlfn.XLOOKUP(G213,ค่าตอบแทนการขายในอัตราคงที่!A:A,ค่าตอบแทนการขายในอัตราคงที่!B:B)</f>
        <v>0</v>
      </c>
      <c r="L213" s="174">
        <f>Period!$A$2</f>
        <v>46113</v>
      </c>
      <c r="M213" s="175">
        <f>Period!$C$2</f>
        <v>46143</v>
      </c>
      <c r="N213" s="194" t="s">
        <v>279</v>
      </c>
    </row>
    <row r="214" spans="1:14" ht="11.4" x14ac:dyDescent="0.25">
      <c r="A214" s="137"/>
      <c r="B214" s="169" t="e">
        <f>IF(IF(VLOOKUP(A214,ASTBase!F:P,11,FALSE)="","",VLOOKUP(A214,ASTBase!F:P,11,FALSE))=0,"",IF(VLOOKUP(A214,ASTBase!F:P,11,FALSE)="","",VLOOKUP(A214,ASTBase!F:P,11,FALSE)))</f>
        <v>#N/A</v>
      </c>
      <c r="C214" s="140" t="str">
        <f>IF(IFERROR(_xlfn.IFNA(VLOOKUP($A214,'HR Rep'!$A:$X,MATCH('1) For HR (FIX)'!C$1,'HR Rep'!$A$1:$X$1,0),0),""),"")="","",IFERROR(_xlfn.IFNA(VLOOKUP($A214,'HR Rep'!$A:$X,MATCH('1) For HR (FIX)'!C$1,'HR Rep'!$A$1:$X$1,0),0),""),""))</f>
        <v/>
      </c>
      <c r="D214" s="140" t="str">
        <f>IF(IFERROR(_xlfn.IFNA(VLOOKUP($A214,'HR Rep'!$A:$X,MATCH('1) For HR (FIX)'!D$1,'HR Rep'!$A$1:$X$1,0),0),""),"")="","",IFERROR(_xlfn.IFNA(VLOOKUP($A214,'HR Rep'!$A:$X,MATCH('1) For HR (FIX)'!D$1,'HR Rep'!$A$1:$X$1,0),0),""),""))</f>
        <v/>
      </c>
      <c r="E214" s="140" t="str">
        <f>IF(IFERROR(_xlfn.IFNA(VLOOKUP($A214,'HR Rep'!$A:$X,MATCH('1) For HR (FIX)'!E$1,'HR Rep'!$A$1:$X$1,0),0),""),"")="","",IFERROR(_xlfn.IFNA(VLOOKUP($A214,'HR Rep'!$A:$X,MATCH('1) For HR (FIX)'!E$1,'HR Rep'!$A$1:$X$1,0),0),""),""))</f>
        <v/>
      </c>
      <c r="F214" s="140" t="str">
        <f>IF(IFERROR(_xlfn.IFNA(VLOOKUP($A214,'HR Rep'!$A:$X,MATCH('1) For HR (FIX)'!F$1,'HR Rep'!$A$1:$X$1,0),0),""),"")="","",IFERROR(_xlfn.IFNA(VLOOKUP($A214,'HR Rep'!$A:$X,MATCH('1) For HR (FIX)'!F$1,'HR Rep'!$A$1:$X$1,0),0),""),""))</f>
        <v/>
      </c>
      <c r="G214" s="196"/>
      <c r="H214" s="140" t="str">
        <f>IF(IFERROR(_xlfn.IFNA(VLOOKUP($A214,'HR Rep'!$A:$X,MATCH('1) For HR (FIX)'!H$1,'HR Rep'!$A$1:$X$1,0),0),""),"")="","",IFERROR(_xlfn.IFNA(VLOOKUP($A214,'HR Rep'!$A:$X,MATCH('1) For HR (FIX)'!H$1,'HR Rep'!$A$1:$X$1,0),0),""),""))</f>
        <v/>
      </c>
      <c r="I214" s="140" t="str">
        <f>IF(IFERROR(_xlfn.IFNA(VLOOKUP($A214,'HR Rep'!$A:$X,MATCH('1) For HR (FIX)'!I$1,'HR Rep'!$A$1:$X$1,0),0),""),"")="","",IFERROR(_xlfn.IFNA(VLOOKUP($A214,'HR Rep'!$A:$X,MATCH('1) For HR (FIX)'!I$1,'HR Rep'!$A$1:$X$1,0),0),""),""))</f>
        <v/>
      </c>
      <c r="J214" s="140" t="str">
        <f>IF(IFERROR(_xlfn.IFNA(VLOOKUP($A214,'HR Rep'!$A:$X,MATCH('1) For HR (FIX)'!J$1,'HR Rep'!$A$1:$X$1,0),0),""),"")="","",IFERROR(_xlfn.IFNA(VLOOKUP($A214,'HR Rep'!$A:$X,MATCH('1) For HR (FIX)'!J$1,'HR Rep'!$A$1:$X$1,0),0),""),""))</f>
        <v/>
      </c>
      <c r="K214" s="161">
        <f>_xlfn.XLOOKUP(G214,ค่าตอบแทนการขายในอัตราคงที่!A:A,ค่าตอบแทนการขายในอัตราคงที่!B:B)</f>
        <v>0</v>
      </c>
      <c r="L214" s="174">
        <f>Period!$A$2</f>
        <v>46113</v>
      </c>
      <c r="M214" s="175">
        <f>Period!$C$2</f>
        <v>46143</v>
      </c>
      <c r="N214" s="194" t="s">
        <v>279</v>
      </c>
    </row>
    <row r="215" spans="1:14" ht="11.4" x14ac:dyDescent="0.25">
      <c r="A215" s="137"/>
      <c r="B215" s="169" t="e">
        <f>IF(IF(VLOOKUP(A215,ASTBase!F:P,11,FALSE)="","",VLOOKUP(A215,ASTBase!F:P,11,FALSE))=0,"",IF(VLOOKUP(A215,ASTBase!F:P,11,FALSE)="","",VLOOKUP(A215,ASTBase!F:P,11,FALSE)))</f>
        <v>#N/A</v>
      </c>
      <c r="C215" s="140" t="str">
        <f>IF(IFERROR(_xlfn.IFNA(VLOOKUP($A215,'HR Rep'!$A:$X,MATCH('1) For HR (FIX)'!C$1,'HR Rep'!$A$1:$X$1,0),0),""),"")="","",IFERROR(_xlfn.IFNA(VLOOKUP($A215,'HR Rep'!$A:$X,MATCH('1) For HR (FIX)'!C$1,'HR Rep'!$A$1:$X$1,0),0),""),""))</f>
        <v/>
      </c>
      <c r="D215" s="140" t="str">
        <f>IF(IFERROR(_xlfn.IFNA(VLOOKUP($A215,'HR Rep'!$A:$X,MATCH('1) For HR (FIX)'!D$1,'HR Rep'!$A$1:$X$1,0),0),""),"")="","",IFERROR(_xlfn.IFNA(VLOOKUP($A215,'HR Rep'!$A:$X,MATCH('1) For HR (FIX)'!D$1,'HR Rep'!$A$1:$X$1,0),0),""),""))</f>
        <v/>
      </c>
      <c r="E215" s="140" t="str">
        <f>IF(IFERROR(_xlfn.IFNA(VLOOKUP($A215,'HR Rep'!$A:$X,MATCH('1) For HR (FIX)'!E$1,'HR Rep'!$A$1:$X$1,0),0),""),"")="","",IFERROR(_xlfn.IFNA(VLOOKUP($A215,'HR Rep'!$A:$X,MATCH('1) For HR (FIX)'!E$1,'HR Rep'!$A$1:$X$1,0),0),""),""))</f>
        <v/>
      </c>
      <c r="F215" s="140" t="str">
        <f>IF(IFERROR(_xlfn.IFNA(VLOOKUP($A215,'HR Rep'!$A:$X,MATCH('1) For HR (FIX)'!F$1,'HR Rep'!$A$1:$X$1,0),0),""),"")="","",IFERROR(_xlfn.IFNA(VLOOKUP($A215,'HR Rep'!$A:$X,MATCH('1) For HR (FIX)'!F$1,'HR Rep'!$A$1:$X$1,0),0),""),""))</f>
        <v/>
      </c>
      <c r="G215" s="196"/>
      <c r="H215" s="140" t="str">
        <f>IF(IFERROR(_xlfn.IFNA(VLOOKUP($A215,'HR Rep'!$A:$X,MATCH('1) For HR (FIX)'!H$1,'HR Rep'!$A$1:$X$1,0),0),""),"")="","",IFERROR(_xlfn.IFNA(VLOOKUP($A215,'HR Rep'!$A:$X,MATCH('1) For HR (FIX)'!H$1,'HR Rep'!$A$1:$X$1,0),0),""),""))</f>
        <v/>
      </c>
      <c r="I215" s="140" t="str">
        <f>IF(IFERROR(_xlfn.IFNA(VLOOKUP($A215,'HR Rep'!$A:$X,MATCH('1) For HR (FIX)'!I$1,'HR Rep'!$A$1:$X$1,0),0),""),"")="","",IFERROR(_xlfn.IFNA(VLOOKUP($A215,'HR Rep'!$A:$X,MATCH('1) For HR (FIX)'!I$1,'HR Rep'!$A$1:$X$1,0),0),""),""))</f>
        <v/>
      </c>
      <c r="J215" s="140" t="str">
        <f>IF(IFERROR(_xlfn.IFNA(VLOOKUP($A215,'HR Rep'!$A:$X,MATCH('1) For HR (FIX)'!J$1,'HR Rep'!$A$1:$X$1,0),0),""),"")="","",IFERROR(_xlfn.IFNA(VLOOKUP($A215,'HR Rep'!$A:$X,MATCH('1) For HR (FIX)'!J$1,'HR Rep'!$A$1:$X$1,0),0),""),""))</f>
        <v/>
      </c>
      <c r="K215" s="161">
        <f>_xlfn.XLOOKUP(G215,ค่าตอบแทนการขายในอัตราคงที่!A:A,ค่าตอบแทนการขายในอัตราคงที่!B:B)</f>
        <v>0</v>
      </c>
      <c r="L215" s="174">
        <f>Period!$A$2</f>
        <v>46113</v>
      </c>
      <c r="M215" s="175">
        <f>Period!$C$2</f>
        <v>46143</v>
      </c>
      <c r="N215" s="194" t="s">
        <v>279</v>
      </c>
    </row>
    <row r="216" spans="1:14" ht="11.4" x14ac:dyDescent="0.25">
      <c r="A216" s="137"/>
      <c r="B216" s="169" t="e">
        <f>IF(IF(VLOOKUP(A216,ASTBase!F:P,11,FALSE)="","",VLOOKUP(A216,ASTBase!F:P,11,FALSE))=0,"",IF(VLOOKUP(A216,ASTBase!F:P,11,FALSE)="","",VLOOKUP(A216,ASTBase!F:P,11,FALSE)))</f>
        <v>#N/A</v>
      </c>
      <c r="C216" s="140" t="str">
        <f>IF(IFERROR(_xlfn.IFNA(VLOOKUP($A216,'HR Rep'!$A:$X,MATCH('1) For HR (FIX)'!C$1,'HR Rep'!$A$1:$X$1,0),0),""),"")="","",IFERROR(_xlfn.IFNA(VLOOKUP($A216,'HR Rep'!$A:$X,MATCH('1) For HR (FIX)'!C$1,'HR Rep'!$A$1:$X$1,0),0),""),""))</f>
        <v/>
      </c>
      <c r="D216" s="140" t="str">
        <f>IF(IFERROR(_xlfn.IFNA(VLOOKUP($A216,'HR Rep'!$A:$X,MATCH('1) For HR (FIX)'!D$1,'HR Rep'!$A$1:$X$1,0),0),""),"")="","",IFERROR(_xlfn.IFNA(VLOOKUP($A216,'HR Rep'!$A:$X,MATCH('1) For HR (FIX)'!D$1,'HR Rep'!$A$1:$X$1,0),0),""),""))</f>
        <v/>
      </c>
      <c r="E216" s="140" t="str">
        <f>IF(IFERROR(_xlfn.IFNA(VLOOKUP($A216,'HR Rep'!$A:$X,MATCH('1) For HR (FIX)'!E$1,'HR Rep'!$A$1:$X$1,0),0),""),"")="","",IFERROR(_xlfn.IFNA(VLOOKUP($A216,'HR Rep'!$A:$X,MATCH('1) For HR (FIX)'!E$1,'HR Rep'!$A$1:$X$1,0),0),""),""))</f>
        <v/>
      </c>
      <c r="F216" s="140" t="str">
        <f>IF(IFERROR(_xlfn.IFNA(VLOOKUP($A216,'HR Rep'!$A:$X,MATCH('1) For HR (FIX)'!F$1,'HR Rep'!$A$1:$X$1,0),0),""),"")="","",IFERROR(_xlfn.IFNA(VLOOKUP($A216,'HR Rep'!$A:$X,MATCH('1) For HR (FIX)'!F$1,'HR Rep'!$A$1:$X$1,0),0),""),""))</f>
        <v/>
      </c>
      <c r="G216" s="196"/>
      <c r="H216" s="140" t="str">
        <f>IF(IFERROR(_xlfn.IFNA(VLOOKUP($A216,'HR Rep'!$A:$X,MATCH('1) For HR (FIX)'!H$1,'HR Rep'!$A$1:$X$1,0),0),""),"")="","",IFERROR(_xlfn.IFNA(VLOOKUP($A216,'HR Rep'!$A:$X,MATCH('1) For HR (FIX)'!H$1,'HR Rep'!$A$1:$X$1,0),0),""),""))</f>
        <v/>
      </c>
      <c r="I216" s="140" t="str">
        <f>IF(IFERROR(_xlfn.IFNA(VLOOKUP($A216,'HR Rep'!$A:$X,MATCH('1) For HR (FIX)'!I$1,'HR Rep'!$A$1:$X$1,0),0),""),"")="","",IFERROR(_xlfn.IFNA(VLOOKUP($A216,'HR Rep'!$A:$X,MATCH('1) For HR (FIX)'!I$1,'HR Rep'!$A$1:$X$1,0),0),""),""))</f>
        <v/>
      </c>
      <c r="J216" s="140" t="str">
        <f>IF(IFERROR(_xlfn.IFNA(VLOOKUP($A216,'HR Rep'!$A:$X,MATCH('1) For HR (FIX)'!J$1,'HR Rep'!$A$1:$X$1,0),0),""),"")="","",IFERROR(_xlfn.IFNA(VLOOKUP($A216,'HR Rep'!$A:$X,MATCH('1) For HR (FIX)'!J$1,'HR Rep'!$A$1:$X$1,0),0),""),""))</f>
        <v/>
      </c>
      <c r="K216" s="161">
        <f>_xlfn.XLOOKUP(G216,ค่าตอบแทนการขายในอัตราคงที่!A:A,ค่าตอบแทนการขายในอัตราคงที่!B:B)</f>
        <v>0</v>
      </c>
      <c r="L216" s="174">
        <f>Period!$A$2</f>
        <v>46113</v>
      </c>
      <c r="M216" s="175">
        <f>Period!$C$2</f>
        <v>46143</v>
      </c>
      <c r="N216" s="194" t="s">
        <v>279</v>
      </c>
    </row>
    <row r="217" spans="1:14" ht="11.4" x14ac:dyDescent="0.25">
      <c r="A217" s="137"/>
      <c r="B217" s="169" t="e">
        <f>IF(IF(VLOOKUP(A217,ASTBase!F:P,11,FALSE)="","",VLOOKUP(A217,ASTBase!F:P,11,FALSE))=0,"",IF(VLOOKUP(A217,ASTBase!F:P,11,FALSE)="","",VLOOKUP(A217,ASTBase!F:P,11,FALSE)))</f>
        <v>#N/A</v>
      </c>
      <c r="C217" s="140" t="str">
        <f>IF(IFERROR(_xlfn.IFNA(VLOOKUP($A217,'HR Rep'!$A:$X,MATCH('1) For HR (FIX)'!C$1,'HR Rep'!$A$1:$X$1,0),0),""),"")="","",IFERROR(_xlfn.IFNA(VLOOKUP($A217,'HR Rep'!$A:$X,MATCH('1) For HR (FIX)'!C$1,'HR Rep'!$A$1:$X$1,0),0),""),""))</f>
        <v/>
      </c>
      <c r="D217" s="140" t="str">
        <f>IF(IFERROR(_xlfn.IFNA(VLOOKUP($A217,'HR Rep'!$A:$X,MATCH('1) For HR (FIX)'!D$1,'HR Rep'!$A$1:$X$1,0),0),""),"")="","",IFERROR(_xlfn.IFNA(VLOOKUP($A217,'HR Rep'!$A:$X,MATCH('1) For HR (FIX)'!D$1,'HR Rep'!$A$1:$X$1,0),0),""),""))</f>
        <v/>
      </c>
      <c r="E217" s="140" t="str">
        <f>IF(IFERROR(_xlfn.IFNA(VLOOKUP($A217,'HR Rep'!$A:$X,MATCH('1) For HR (FIX)'!E$1,'HR Rep'!$A$1:$X$1,0),0),""),"")="","",IFERROR(_xlfn.IFNA(VLOOKUP($A217,'HR Rep'!$A:$X,MATCH('1) For HR (FIX)'!E$1,'HR Rep'!$A$1:$X$1,0),0),""),""))</f>
        <v/>
      </c>
      <c r="F217" s="140" t="str">
        <f>IF(IFERROR(_xlfn.IFNA(VLOOKUP($A217,'HR Rep'!$A:$X,MATCH('1) For HR (FIX)'!F$1,'HR Rep'!$A$1:$X$1,0),0),""),"")="","",IFERROR(_xlfn.IFNA(VLOOKUP($A217,'HR Rep'!$A:$X,MATCH('1) For HR (FIX)'!F$1,'HR Rep'!$A$1:$X$1,0),0),""),""))</f>
        <v/>
      </c>
      <c r="G217" s="196"/>
      <c r="H217" s="140" t="str">
        <f>IF(IFERROR(_xlfn.IFNA(VLOOKUP($A217,'HR Rep'!$A:$X,MATCH('1) For HR (FIX)'!H$1,'HR Rep'!$A$1:$X$1,0),0),""),"")="","",IFERROR(_xlfn.IFNA(VLOOKUP($A217,'HR Rep'!$A:$X,MATCH('1) For HR (FIX)'!H$1,'HR Rep'!$A$1:$X$1,0),0),""),""))</f>
        <v/>
      </c>
      <c r="I217" s="140" t="str">
        <f>IF(IFERROR(_xlfn.IFNA(VLOOKUP($A217,'HR Rep'!$A:$X,MATCH('1) For HR (FIX)'!I$1,'HR Rep'!$A$1:$X$1,0),0),""),"")="","",IFERROR(_xlfn.IFNA(VLOOKUP($A217,'HR Rep'!$A:$X,MATCH('1) For HR (FIX)'!I$1,'HR Rep'!$A$1:$X$1,0),0),""),""))</f>
        <v/>
      </c>
      <c r="J217" s="140" t="str">
        <f>IF(IFERROR(_xlfn.IFNA(VLOOKUP($A217,'HR Rep'!$A:$X,MATCH('1) For HR (FIX)'!J$1,'HR Rep'!$A$1:$X$1,0),0),""),"")="","",IFERROR(_xlfn.IFNA(VLOOKUP($A217,'HR Rep'!$A:$X,MATCH('1) For HR (FIX)'!J$1,'HR Rep'!$A$1:$X$1,0),0),""),""))</f>
        <v/>
      </c>
      <c r="K217" s="161">
        <f>_xlfn.XLOOKUP(G217,ค่าตอบแทนการขายในอัตราคงที่!A:A,ค่าตอบแทนการขายในอัตราคงที่!B:B)</f>
        <v>0</v>
      </c>
      <c r="L217" s="174">
        <f>Period!$A$2</f>
        <v>46113</v>
      </c>
      <c r="M217" s="175">
        <f>Period!$C$2</f>
        <v>46143</v>
      </c>
      <c r="N217" s="194" t="s">
        <v>279</v>
      </c>
    </row>
    <row r="218" spans="1:14" ht="11.4" x14ac:dyDescent="0.25">
      <c r="A218" s="137"/>
      <c r="B218" s="169" t="e">
        <f>IF(IF(VLOOKUP(A218,ASTBase!F:P,11,FALSE)="","",VLOOKUP(A218,ASTBase!F:P,11,FALSE))=0,"",IF(VLOOKUP(A218,ASTBase!F:P,11,FALSE)="","",VLOOKUP(A218,ASTBase!F:P,11,FALSE)))</f>
        <v>#N/A</v>
      </c>
      <c r="C218" s="140" t="str">
        <f>IF(IFERROR(_xlfn.IFNA(VLOOKUP($A218,'HR Rep'!$A:$X,MATCH('1) For HR (FIX)'!C$1,'HR Rep'!$A$1:$X$1,0),0),""),"")="","",IFERROR(_xlfn.IFNA(VLOOKUP($A218,'HR Rep'!$A:$X,MATCH('1) For HR (FIX)'!C$1,'HR Rep'!$A$1:$X$1,0),0),""),""))</f>
        <v/>
      </c>
      <c r="D218" s="140" t="str">
        <f>IF(IFERROR(_xlfn.IFNA(VLOOKUP($A218,'HR Rep'!$A:$X,MATCH('1) For HR (FIX)'!D$1,'HR Rep'!$A$1:$X$1,0),0),""),"")="","",IFERROR(_xlfn.IFNA(VLOOKUP($A218,'HR Rep'!$A:$X,MATCH('1) For HR (FIX)'!D$1,'HR Rep'!$A$1:$X$1,0),0),""),""))</f>
        <v/>
      </c>
      <c r="E218" s="140" t="str">
        <f>IF(IFERROR(_xlfn.IFNA(VLOOKUP($A218,'HR Rep'!$A:$X,MATCH('1) For HR (FIX)'!E$1,'HR Rep'!$A$1:$X$1,0),0),""),"")="","",IFERROR(_xlfn.IFNA(VLOOKUP($A218,'HR Rep'!$A:$X,MATCH('1) For HR (FIX)'!E$1,'HR Rep'!$A$1:$X$1,0),0),""),""))</f>
        <v/>
      </c>
      <c r="F218" s="140" t="str">
        <f>IF(IFERROR(_xlfn.IFNA(VLOOKUP($A218,'HR Rep'!$A:$X,MATCH('1) For HR (FIX)'!F$1,'HR Rep'!$A$1:$X$1,0),0),""),"")="","",IFERROR(_xlfn.IFNA(VLOOKUP($A218,'HR Rep'!$A:$X,MATCH('1) For HR (FIX)'!F$1,'HR Rep'!$A$1:$X$1,0),0),""),""))</f>
        <v/>
      </c>
      <c r="G218" s="196"/>
      <c r="H218" s="140" t="str">
        <f>IF(IFERROR(_xlfn.IFNA(VLOOKUP($A218,'HR Rep'!$A:$X,MATCH('1) For HR (FIX)'!H$1,'HR Rep'!$A$1:$X$1,0),0),""),"")="","",IFERROR(_xlfn.IFNA(VLOOKUP($A218,'HR Rep'!$A:$X,MATCH('1) For HR (FIX)'!H$1,'HR Rep'!$A$1:$X$1,0),0),""),""))</f>
        <v/>
      </c>
      <c r="I218" s="140" t="str">
        <f>IF(IFERROR(_xlfn.IFNA(VLOOKUP($A218,'HR Rep'!$A:$X,MATCH('1) For HR (FIX)'!I$1,'HR Rep'!$A$1:$X$1,0),0),""),"")="","",IFERROR(_xlfn.IFNA(VLOOKUP($A218,'HR Rep'!$A:$X,MATCH('1) For HR (FIX)'!I$1,'HR Rep'!$A$1:$X$1,0),0),""),""))</f>
        <v/>
      </c>
      <c r="J218" s="140" t="str">
        <f>IF(IFERROR(_xlfn.IFNA(VLOOKUP($A218,'HR Rep'!$A:$X,MATCH('1) For HR (FIX)'!J$1,'HR Rep'!$A$1:$X$1,0),0),""),"")="","",IFERROR(_xlfn.IFNA(VLOOKUP($A218,'HR Rep'!$A:$X,MATCH('1) For HR (FIX)'!J$1,'HR Rep'!$A$1:$X$1,0),0),""),""))</f>
        <v/>
      </c>
      <c r="K218" s="161">
        <f>_xlfn.XLOOKUP(G218,ค่าตอบแทนการขายในอัตราคงที่!A:A,ค่าตอบแทนการขายในอัตราคงที่!B:B)</f>
        <v>0</v>
      </c>
      <c r="L218" s="174">
        <f>Period!$A$2</f>
        <v>46113</v>
      </c>
      <c r="M218" s="175">
        <f>Period!$C$2</f>
        <v>46143</v>
      </c>
      <c r="N218" s="194" t="s">
        <v>279</v>
      </c>
    </row>
    <row r="219" spans="1:14" ht="11.4" x14ac:dyDescent="0.25">
      <c r="A219" s="137"/>
      <c r="B219" s="169" t="e">
        <f>IF(IF(VLOOKUP(A219,ASTBase!F:P,11,FALSE)="","",VLOOKUP(A219,ASTBase!F:P,11,FALSE))=0,"",IF(VLOOKUP(A219,ASTBase!F:P,11,FALSE)="","",VLOOKUP(A219,ASTBase!F:P,11,FALSE)))</f>
        <v>#N/A</v>
      </c>
      <c r="C219" s="140" t="str">
        <f>IF(IFERROR(_xlfn.IFNA(VLOOKUP($A219,'HR Rep'!$A:$X,MATCH('1) For HR (FIX)'!C$1,'HR Rep'!$A$1:$X$1,0),0),""),"")="","",IFERROR(_xlfn.IFNA(VLOOKUP($A219,'HR Rep'!$A:$X,MATCH('1) For HR (FIX)'!C$1,'HR Rep'!$A$1:$X$1,0),0),""),""))</f>
        <v/>
      </c>
      <c r="D219" s="140" t="str">
        <f>IF(IFERROR(_xlfn.IFNA(VLOOKUP($A219,'HR Rep'!$A:$X,MATCH('1) For HR (FIX)'!D$1,'HR Rep'!$A$1:$X$1,0),0),""),"")="","",IFERROR(_xlfn.IFNA(VLOOKUP($A219,'HR Rep'!$A:$X,MATCH('1) For HR (FIX)'!D$1,'HR Rep'!$A$1:$X$1,0),0),""),""))</f>
        <v/>
      </c>
      <c r="E219" s="140" t="str">
        <f>IF(IFERROR(_xlfn.IFNA(VLOOKUP($A219,'HR Rep'!$A:$X,MATCH('1) For HR (FIX)'!E$1,'HR Rep'!$A$1:$X$1,0),0),""),"")="","",IFERROR(_xlfn.IFNA(VLOOKUP($A219,'HR Rep'!$A:$X,MATCH('1) For HR (FIX)'!E$1,'HR Rep'!$A$1:$X$1,0),0),""),""))</f>
        <v/>
      </c>
      <c r="F219" s="140" t="str">
        <f>IF(IFERROR(_xlfn.IFNA(VLOOKUP($A219,'HR Rep'!$A:$X,MATCH('1) For HR (FIX)'!F$1,'HR Rep'!$A$1:$X$1,0),0),""),"")="","",IFERROR(_xlfn.IFNA(VLOOKUP($A219,'HR Rep'!$A:$X,MATCH('1) For HR (FIX)'!F$1,'HR Rep'!$A$1:$X$1,0),0),""),""))</f>
        <v/>
      </c>
      <c r="G219" s="196"/>
      <c r="H219" s="140" t="str">
        <f>IF(IFERROR(_xlfn.IFNA(VLOOKUP($A219,'HR Rep'!$A:$X,MATCH('1) For HR (FIX)'!H$1,'HR Rep'!$A$1:$X$1,0),0),""),"")="","",IFERROR(_xlfn.IFNA(VLOOKUP($A219,'HR Rep'!$A:$X,MATCH('1) For HR (FIX)'!H$1,'HR Rep'!$A$1:$X$1,0),0),""),""))</f>
        <v/>
      </c>
      <c r="I219" s="140" t="str">
        <f>IF(IFERROR(_xlfn.IFNA(VLOOKUP($A219,'HR Rep'!$A:$X,MATCH('1) For HR (FIX)'!I$1,'HR Rep'!$A$1:$X$1,0),0),""),"")="","",IFERROR(_xlfn.IFNA(VLOOKUP($A219,'HR Rep'!$A:$X,MATCH('1) For HR (FIX)'!I$1,'HR Rep'!$A$1:$X$1,0),0),""),""))</f>
        <v/>
      </c>
      <c r="J219" s="140" t="str">
        <f>IF(IFERROR(_xlfn.IFNA(VLOOKUP($A219,'HR Rep'!$A:$X,MATCH('1) For HR (FIX)'!J$1,'HR Rep'!$A$1:$X$1,0),0),""),"")="","",IFERROR(_xlfn.IFNA(VLOOKUP($A219,'HR Rep'!$A:$X,MATCH('1) For HR (FIX)'!J$1,'HR Rep'!$A$1:$X$1,0),0),""),""))</f>
        <v/>
      </c>
      <c r="K219" s="161">
        <f>_xlfn.XLOOKUP(G219,ค่าตอบแทนการขายในอัตราคงที่!A:A,ค่าตอบแทนการขายในอัตราคงที่!B:B)</f>
        <v>0</v>
      </c>
      <c r="L219" s="174">
        <f>Period!$A$2</f>
        <v>46113</v>
      </c>
      <c r="M219" s="175">
        <f>Period!$C$2</f>
        <v>46143</v>
      </c>
      <c r="N219" s="194" t="s">
        <v>279</v>
      </c>
    </row>
    <row r="220" spans="1:14" ht="11.4" x14ac:dyDescent="0.25">
      <c r="A220" s="137"/>
      <c r="B220" s="169" t="e">
        <f>IF(IF(VLOOKUP(A220,ASTBase!F:P,11,FALSE)="","",VLOOKUP(A220,ASTBase!F:P,11,FALSE))=0,"",IF(VLOOKUP(A220,ASTBase!F:P,11,FALSE)="","",VLOOKUP(A220,ASTBase!F:P,11,FALSE)))</f>
        <v>#N/A</v>
      </c>
      <c r="C220" s="140" t="str">
        <f>IF(IFERROR(_xlfn.IFNA(VLOOKUP($A220,'HR Rep'!$A:$X,MATCH('1) For HR (FIX)'!C$1,'HR Rep'!$A$1:$X$1,0),0),""),"")="","",IFERROR(_xlfn.IFNA(VLOOKUP($A220,'HR Rep'!$A:$X,MATCH('1) For HR (FIX)'!C$1,'HR Rep'!$A$1:$X$1,0),0),""),""))</f>
        <v/>
      </c>
      <c r="D220" s="140" t="str">
        <f>IF(IFERROR(_xlfn.IFNA(VLOOKUP($A220,'HR Rep'!$A:$X,MATCH('1) For HR (FIX)'!D$1,'HR Rep'!$A$1:$X$1,0),0),""),"")="","",IFERROR(_xlfn.IFNA(VLOOKUP($A220,'HR Rep'!$A:$X,MATCH('1) For HR (FIX)'!D$1,'HR Rep'!$A$1:$X$1,0),0),""),""))</f>
        <v/>
      </c>
      <c r="E220" s="140" t="str">
        <f>IF(IFERROR(_xlfn.IFNA(VLOOKUP($A220,'HR Rep'!$A:$X,MATCH('1) For HR (FIX)'!E$1,'HR Rep'!$A$1:$X$1,0),0),""),"")="","",IFERROR(_xlfn.IFNA(VLOOKUP($A220,'HR Rep'!$A:$X,MATCH('1) For HR (FIX)'!E$1,'HR Rep'!$A$1:$X$1,0),0),""),""))</f>
        <v/>
      </c>
      <c r="F220" s="140" t="str">
        <f>IF(IFERROR(_xlfn.IFNA(VLOOKUP($A220,'HR Rep'!$A:$X,MATCH('1) For HR (FIX)'!F$1,'HR Rep'!$A$1:$X$1,0),0),""),"")="","",IFERROR(_xlfn.IFNA(VLOOKUP($A220,'HR Rep'!$A:$X,MATCH('1) For HR (FIX)'!F$1,'HR Rep'!$A$1:$X$1,0),0),""),""))</f>
        <v/>
      </c>
      <c r="G220" s="196"/>
      <c r="H220" s="140" t="str">
        <f>IF(IFERROR(_xlfn.IFNA(VLOOKUP($A220,'HR Rep'!$A:$X,MATCH('1) For HR (FIX)'!H$1,'HR Rep'!$A$1:$X$1,0),0),""),"")="","",IFERROR(_xlfn.IFNA(VLOOKUP($A220,'HR Rep'!$A:$X,MATCH('1) For HR (FIX)'!H$1,'HR Rep'!$A$1:$X$1,0),0),""),""))</f>
        <v/>
      </c>
      <c r="I220" s="140" t="str">
        <f>IF(IFERROR(_xlfn.IFNA(VLOOKUP($A220,'HR Rep'!$A:$X,MATCH('1) For HR (FIX)'!I$1,'HR Rep'!$A$1:$X$1,0),0),""),"")="","",IFERROR(_xlfn.IFNA(VLOOKUP($A220,'HR Rep'!$A:$X,MATCH('1) For HR (FIX)'!I$1,'HR Rep'!$A$1:$X$1,0),0),""),""))</f>
        <v/>
      </c>
      <c r="J220" s="140" t="str">
        <f>IF(IFERROR(_xlfn.IFNA(VLOOKUP($A220,'HR Rep'!$A:$X,MATCH('1) For HR (FIX)'!J$1,'HR Rep'!$A$1:$X$1,0),0),""),"")="","",IFERROR(_xlfn.IFNA(VLOOKUP($A220,'HR Rep'!$A:$X,MATCH('1) For HR (FIX)'!J$1,'HR Rep'!$A$1:$X$1,0),0),""),""))</f>
        <v/>
      </c>
      <c r="K220" s="161">
        <f>_xlfn.XLOOKUP(G220,ค่าตอบแทนการขายในอัตราคงที่!A:A,ค่าตอบแทนการขายในอัตราคงที่!B:B)</f>
        <v>0</v>
      </c>
      <c r="L220" s="174">
        <f>Period!$A$2</f>
        <v>46113</v>
      </c>
      <c r="M220" s="175">
        <f>Period!$C$2</f>
        <v>46143</v>
      </c>
      <c r="N220" s="194" t="s">
        <v>279</v>
      </c>
    </row>
    <row r="221" spans="1:14" ht="11.4" x14ac:dyDescent="0.25">
      <c r="A221" s="137"/>
      <c r="B221" s="169" t="e">
        <f>IF(IF(VLOOKUP(A221,ASTBase!F:P,11,FALSE)="","",VLOOKUP(A221,ASTBase!F:P,11,FALSE))=0,"",IF(VLOOKUP(A221,ASTBase!F:P,11,FALSE)="","",VLOOKUP(A221,ASTBase!F:P,11,FALSE)))</f>
        <v>#N/A</v>
      </c>
      <c r="C221" s="140" t="str">
        <f>IF(IFERROR(_xlfn.IFNA(VLOOKUP($A221,'HR Rep'!$A:$X,MATCH('1) For HR (FIX)'!C$1,'HR Rep'!$A$1:$X$1,0),0),""),"")="","",IFERROR(_xlfn.IFNA(VLOOKUP($A221,'HR Rep'!$A:$X,MATCH('1) For HR (FIX)'!C$1,'HR Rep'!$A$1:$X$1,0),0),""),""))</f>
        <v/>
      </c>
      <c r="D221" s="140" t="str">
        <f>IF(IFERROR(_xlfn.IFNA(VLOOKUP($A221,'HR Rep'!$A:$X,MATCH('1) For HR (FIX)'!D$1,'HR Rep'!$A$1:$X$1,0),0),""),"")="","",IFERROR(_xlfn.IFNA(VLOOKUP($A221,'HR Rep'!$A:$X,MATCH('1) For HR (FIX)'!D$1,'HR Rep'!$A$1:$X$1,0),0),""),""))</f>
        <v/>
      </c>
      <c r="E221" s="140" t="str">
        <f>IF(IFERROR(_xlfn.IFNA(VLOOKUP($A221,'HR Rep'!$A:$X,MATCH('1) For HR (FIX)'!E$1,'HR Rep'!$A$1:$X$1,0),0),""),"")="","",IFERROR(_xlfn.IFNA(VLOOKUP($A221,'HR Rep'!$A:$X,MATCH('1) For HR (FIX)'!E$1,'HR Rep'!$A$1:$X$1,0),0),""),""))</f>
        <v/>
      </c>
      <c r="F221" s="140" t="str">
        <f>IF(IFERROR(_xlfn.IFNA(VLOOKUP($A221,'HR Rep'!$A:$X,MATCH('1) For HR (FIX)'!F$1,'HR Rep'!$A$1:$X$1,0),0),""),"")="","",IFERROR(_xlfn.IFNA(VLOOKUP($A221,'HR Rep'!$A:$X,MATCH('1) For HR (FIX)'!F$1,'HR Rep'!$A$1:$X$1,0),0),""),""))</f>
        <v/>
      </c>
      <c r="G221" s="196"/>
      <c r="H221" s="140" t="str">
        <f>IF(IFERROR(_xlfn.IFNA(VLOOKUP($A221,'HR Rep'!$A:$X,MATCH('1) For HR (FIX)'!H$1,'HR Rep'!$A$1:$X$1,0),0),""),"")="","",IFERROR(_xlfn.IFNA(VLOOKUP($A221,'HR Rep'!$A:$X,MATCH('1) For HR (FIX)'!H$1,'HR Rep'!$A$1:$X$1,0),0),""),""))</f>
        <v/>
      </c>
      <c r="I221" s="140" t="str">
        <f>IF(IFERROR(_xlfn.IFNA(VLOOKUP($A221,'HR Rep'!$A:$X,MATCH('1) For HR (FIX)'!I$1,'HR Rep'!$A$1:$X$1,0),0),""),"")="","",IFERROR(_xlfn.IFNA(VLOOKUP($A221,'HR Rep'!$A:$X,MATCH('1) For HR (FIX)'!I$1,'HR Rep'!$A$1:$X$1,0),0),""),""))</f>
        <v/>
      </c>
      <c r="J221" s="140" t="str">
        <f>IF(IFERROR(_xlfn.IFNA(VLOOKUP($A221,'HR Rep'!$A:$X,MATCH('1) For HR (FIX)'!J$1,'HR Rep'!$A$1:$X$1,0),0),""),"")="","",IFERROR(_xlfn.IFNA(VLOOKUP($A221,'HR Rep'!$A:$X,MATCH('1) For HR (FIX)'!J$1,'HR Rep'!$A$1:$X$1,0),0),""),""))</f>
        <v/>
      </c>
      <c r="K221" s="161">
        <f>_xlfn.XLOOKUP(G221,ค่าตอบแทนการขายในอัตราคงที่!A:A,ค่าตอบแทนการขายในอัตราคงที่!B:B)</f>
        <v>0</v>
      </c>
      <c r="L221" s="174">
        <f>Period!$A$2</f>
        <v>46113</v>
      </c>
      <c r="M221" s="175">
        <f>Period!$C$2</f>
        <v>46143</v>
      </c>
      <c r="N221" s="194" t="s">
        <v>279</v>
      </c>
    </row>
    <row r="222" spans="1:14" ht="11.4" x14ac:dyDescent="0.25">
      <c r="A222" s="137"/>
      <c r="B222" s="169" t="e">
        <f>IF(IF(VLOOKUP(A222,ASTBase!F:P,11,FALSE)="","",VLOOKUP(A222,ASTBase!F:P,11,FALSE))=0,"",IF(VLOOKUP(A222,ASTBase!F:P,11,FALSE)="","",VLOOKUP(A222,ASTBase!F:P,11,FALSE)))</f>
        <v>#N/A</v>
      </c>
      <c r="C222" s="140" t="str">
        <f>IF(IFERROR(_xlfn.IFNA(VLOOKUP($A222,'HR Rep'!$A:$X,MATCH('1) For HR (FIX)'!C$1,'HR Rep'!$A$1:$X$1,0),0),""),"")="","",IFERROR(_xlfn.IFNA(VLOOKUP($A222,'HR Rep'!$A:$X,MATCH('1) For HR (FIX)'!C$1,'HR Rep'!$A$1:$X$1,0),0),""),""))</f>
        <v/>
      </c>
      <c r="D222" s="140" t="str">
        <f>IF(IFERROR(_xlfn.IFNA(VLOOKUP($A222,'HR Rep'!$A:$X,MATCH('1) For HR (FIX)'!D$1,'HR Rep'!$A$1:$X$1,0),0),""),"")="","",IFERROR(_xlfn.IFNA(VLOOKUP($A222,'HR Rep'!$A:$X,MATCH('1) For HR (FIX)'!D$1,'HR Rep'!$A$1:$X$1,0),0),""),""))</f>
        <v/>
      </c>
      <c r="E222" s="140" t="str">
        <f>IF(IFERROR(_xlfn.IFNA(VLOOKUP($A222,'HR Rep'!$A:$X,MATCH('1) For HR (FIX)'!E$1,'HR Rep'!$A$1:$X$1,0),0),""),"")="","",IFERROR(_xlfn.IFNA(VLOOKUP($A222,'HR Rep'!$A:$X,MATCH('1) For HR (FIX)'!E$1,'HR Rep'!$A$1:$X$1,0),0),""),""))</f>
        <v/>
      </c>
      <c r="F222" s="140" t="str">
        <f>IF(IFERROR(_xlfn.IFNA(VLOOKUP($A222,'HR Rep'!$A:$X,MATCH('1) For HR (FIX)'!F$1,'HR Rep'!$A$1:$X$1,0),0),""),"")="","",IFERROR(_xlfn.IFNA(VLOOKUP($A222,'HR Rep'!$A:$X,MATCH('1) For HR (FIX)'!F$1,'HR Rep'!$A$1:$X$1,0),0),""),""))</f>
        <v/>
      </c>
      <c r="G222" s="196"/>
      <c r="H222" s="140" t="str">
        <f>IF(IFERROR(_xlfn.IFNA(VLOOKUP($A222,'HR Rep'!$A:$X,MATCH('1) For HR (FIX)'!H$1,'HR Rep'!$A$1:$X$1,0),0),""),"")="","",IFERROR(_xlfn.IFNA(VLOOKUP($A222,'HR Rep'!$A:$X,MATCH('1) For HR (FIX)'!H$1,'HR Rep'!$A$1:$X$1,0),0),""),""))</f>
        <v/>
      </c>
      <c r="I222" s="140" t="str">
        <f>IF(IFERROR(_xlfn.IFNA(VLOOKUP($A222,'HR Rep'!$A:$X,MATCH('1) For HR (FIX)'!I$1,'HR Rep'!$A$1:$X$1,0),0),""),"")="","",IFERROR(_xlfn.IFNA(VLOOKUP($A222,'HR Rep'!$A:$X,MATCH('1) For HR (FIX)'!I$1,'HR Rep'!$A$1:$X$1,0),0),""),""))</f>
        <v/>
      </c>
      <c r="J222" s="140" t="str">
        <f>IF(IFERROR(_xlfn.IFNA(VLOOKUP($A222,'HR Rep'!$A:$X,MATCH('1) For HR (FIX)'!J$1,'HR Rep'!$A$1:$X$1,0),0),""),"")="","",IFERROR(_xlfn.IFNA(VLOOKUP($A222,'HR Rep'!$A:$X,MATCH('1) For HR (FIX)'!J$1,'HR Rep'!$A$1:$X$1,0),0),""),""))</f>
        <v/>
      </c>
      <c r="K222" s="161">
        <f>_xlfn.XLOOKUP(G222,ค่าตอบแทนการขายในอัตราคงที่!A:A,ค่าตอบแทนการขายในอัตราคงที่!B:B)</f>
        <v>0</v>
      </c>
      <c r="L222" s="174">
        <f>Period!$A$2</f>
        <v>46113</v>
      </c>
      <c r="M222" s="175">
        <f>Period!$C$2</f>
        <v>46143</v>
      </c>
      <c r="N222" s="194" t="s">
        <v>279</v>
      </c>
    </row>
    <row r="223" spans="1:14" ht="11.4" x14ac:dyDescent="0.25">
      <c r="A223" s="137"/>
      <c r="B223" s="169" t="e">
        <f>IF(IF(VLOOKUP(A223,ASTBase!F:P,11,FALSE)="","",VLOOKUP(A223,ASTBase!F:P,11,FALSE))=0,"",IF(VLOOKUP(A223,ASTBase!F:P,11,FALSE)="","",VLOOKUP(A223,ASTBase!F:P,11,FALSE)))</f>
        <v>#N/A</v>
      </c>
      <c r="C223" s="140" t="str">
        <f>IF(IFERROR(_xlfn.IFNA(VLOOKUP($A223,'HR Rep'!$A:$X,MATCH('1) For HR (FIX)'!C$1,'HR Rep'!$A$1:$X$1,0),0),""),"")="","",IFERROR(_xlfn.IFNA(VLOOKUP($A223,'HR Rep'!$A:$X,MATCH('1) For HR (FIX)'!C$1,'HR Rep'!$A$1:$X$1,0),0),""),""))</f>
        <v/>
      </c>
      <c r="D223" s="140" t="str">
        <f>IF(IFERROR(_xlfn.IFNA(VLOOKUP($A223,'HR Rep'!$A:$X,MATCH('1) For HR (FIX)'!D$1,'HR Rep'!$A$1:$X$1,0),0),""),"")="","",IFERROR(_xlfn.IFNA(VLOOKUP($A223,'HR Rep'!$A:$X,MATCH('1) For HR (FIX)'!D$1,'HR Rep'!$A$1:$X$1,0),0),""),""))</f>
        <v/>
      </c>
      <c r="E223" s="140" t="str">
        <f>IF(IFERROR(_xlfn.IFNA(VLOOKUP($A223,'HR Rep'!$A:$X,MATCH('1) For HR (FIX)'!E$1,'HR Rep'!$A$1:$X$1,0),0),""),"")="","",IFERROR(_xlfn.IFNA(VLOOKUP($A223,'HR Rep'!$A:$X,MATCH('1) For HR (FIX)'!E$1,'HR Rep'!$A$1:$X$1,0),0),""),""))</f>
        <v/>
      </c>
      <c r="F223" s="140" t="str">
        <f>IF(IFERROR(_xlfn.IFNA(VLOOKUP($A223,'HR Rep'!$A:$X,MATCH('1) For HR (FIX)'!F$1,'HR Rep'!$A$1:$X$1,0),0),""),"")="","",IFERROR(_xlfn.IFNA(VLOOKUP($A223,'HR Rep'!$A:$X,MATCH('1) For HR (FIX)'!F$1,'HR Rep'!$A$1:$X$1,0),0),""),""))</f>
        <v/>
      </c>
      <c r="G223" s="196"/>
      <c r="H223" s="140" t="str">
        <f>IF(IFERROR(_xlfn.IFNA(VLOOKUP($A223,'HR Rep'!$A:$X,MATCH('1) For HR (FIX)'!H$1,'HR Rep'!$A$1:$X$1,0),0),""),"")="","",IFERROR(_xlfn.IFNA(VLOOKUP($A223,'HR Rep'!$A:$X,MATCH('1) For HR (FIX)'!H$1,'HR Rep'!$A$1:$X$1,0),0),""),""))</f>
        <v/>
      </c>
      <c r="I223" s="140" t="str">
        <f>IF(IFERROR(_xlfn.IFNA(VLOOKUP($A223,'HR Rep'!$A:$X,MATCH('1) For HR (FIX)'!I$1,'HR Rep'!$A$1:$X$1,0),0),""),"")="","",IFERROR(_xlfn.IFNA(VLOOKUP($A223,'HR Rep'!$A:$X,MATCH('1) For HR (FIX)'!I$1,'HR Rep'!$A$1:$X$1,0),0),""),""))</f>
        <v/>
      </c>
      <c r="J223" s="140" t="str">
        <f>IF(IFERROR(_xlfn.IFNA(VLOOKUP($A223,'HR Rep'!$A:$X,MATCH('1) For HR (FIX)'!J$1,'HR Rep'!$A$1:$X$1,0),0),""),"")="","",IFERROR(_xlfn.IFNA(VLOOKUP($A223,'HR Rep'!$A:$X,MATCH('1) For HR (FIX)'!J$1,'HR Rep'!$A$1:$X$1,0),0),""),""))</f>
        <v/>
      </c>
      <c r="K223" s="161">
        <f>_xlfn.XLOOKUP(G223,ค่าตอบแทนการขายในอัตราคงที่!A:A,ค่าตอบแทนการขายในอัตราคงที่!B:B)</f>
        <v>0</v>
      </c>
      <c r="L223" s="174">
        <f>Period!$A$2</f>
        <v>46113</v>
      </c>
      <c r="M223" s="175">
        <f>Period!$C$2</f>
        <v>46143</v>
      </c>
      <c r="N223" s="194" t="s">
        <v>279</v>
      </c>
    </row>
    <row r="224" spans="1:14" ht="11.4" x14ac:dyDescent="0.25">
      <c r="A224" s="137"/>
      <c r="B224" s="169" t="e">
        <f>IF(IF(VLOOKUP(A224,ASTBase!F:P,11,FALSE)="","",VLOOKUP(A224,ASTBase!F:P,11,FALSE))=0,"",IF(VLOOKUP(A224,ASTBase!F:P,11,FALSE)="","",VLOOKUP(A224,ASTBase!F:P,11,FALSE)))</f>
        <v>#N/A</v>
      </c>
      <c r="C224" s="140" t="str">
        <f>IF(IFERROR(_xlfn.IFNA(VLOOKUP($A224,'HR Rep'!$A:$X,MATCH('1) For HR (FIX)'!C$1,'HR Rep'!$A$1:$X$1,0),0),""),"")="","",IFERROR(_xlfn.IFNA(VLOOKUP($A224,'HR Rep'!$A:$X,MATCH('1) For HR (FIX)'!C$1,'HR Rep'!$A$1:$X$1,0),0),""),""))</f>
        <v/>
      </c>
      <c r="D224" s="140" t="str">
        <f>IF(IFERROR(_xlfn.IFNA(VLOOKUP($A224,'HR Rep'!$A:$X,MATCH('1) For HR (FIX)'!D$1,'HR Rep'!$A$1:$X$1,0),0),""),"")="","",IFERROR(_xlfn.IFNA(VLOOKUP($A224,'HR Rep'!$A:$X,MATCH('1) For HR (FIX)'!D$1,'HR Rep'!$A$1:$X$1,0),0),""),""))</f>
        <v/>
      </c>
      <c r="E224" s="140" t="str">
        <f>IF(IFERROR(_xlfn.IFNA(VLOOKUP($A224,'HR Rep'!$A:$X,MATCH('1) For HR (FIX)'!E$1,'HR Rep'!$A$1:$X$1,0),0),""),"")="","",IFERROR(_xlfn.IFNA(VLOOKUP($A224,'HR Rep'!$A:$X,MATCH('1) For HR (FIX)'!E$1,'HR Rep'!$A$1:$X$1,0),0),""),""))</f>
        <v/>
      </c>
      <c r="F224" s="140" t="str">
        <f>IF(IFERROR(_xlfn.IFNA(VLOOKUP($A224,'HR Rep'!$A:$X,MATCH('1) For HR (FIX)'!F$1,'HR Rep'!$A$1:$X$1,0),0),""),"")="","",IFERROR(_xlfn.IFNA(VLOOKUP($A224,'HR Rep'!$A:$X,MATCH('1) For HR (FIX)'!F$1,'HR Rep'!$A$1:$X$1,0),0),""),""))</f>
        <v/>
      </c>
      <c r="G224" s="196"/>
      <c r="H224" s="140" t="str">
        <f>IF(IFERROR(_xlfn.IFNA(VLOOKUP($A224,'HR Rep'!$A:$X,MATCH('1) For HR (FIX)'!H$1,'HR Rep'!$A$1:$X$1,0),0),""),"")="","",IFERROR(_xlfn.IFNA(VLOOKUP($A224,'HR Rep'!$A:$X,MATCH('1) For HR (FIX)'!H$1,'HR Rep'!$A$1:$X$1,0),0),""),""))</f>
        <v/>
      </c>
      <c r="I224" s="140" t="str">
        <f>IF(IFERROR(_xlfn.IFNA(VLOOKUP($A224,'HR Rep'!$A:$X,MATCH('1) For HR (FIX)'!I$1,'HR Rep'!$A$1:$X$1,0),0),""),"")="","",IFERROR(_xlfn.IFNA(VLOOKUP($A224,'HR Rep'!$A:$X,MATCH('1) For HR (FIX)'!I$1,'HR Rep'!$A$1:$X$1,0),0),""),""))</f>
        <v/>
      </c>
      <c r="J224" s="140" t="str">
        <f>IF(IFERROR(_xlfn.IFNA(VLOOKUP($A224,'HR Rep'!$A:$X,MATCH('1) For HR (FIX)'!J$1,'HR Rep'!$A$1:$X$1,0),0),""),"")="","",IFERROR(_xlfn.IFNA(VLOOKUP($A224,'HR Rep'!$A:$X,MATCH('1) For HR (FIX)'!J$1,'HR Rep'!$A$1:$X$1,0),0),""),""))</f>
        <v/>
      </c>
      <c r="K224" s="161">
        <f>_xlfn.XLOOKUP(G224,ค่าตอบแทนการขายในอัตราคงที่!A:A,ค่าตอบแทนการขายในอัตราคงที่!B:B)</f>
        <v>0</v>
      </c>
      <c r="L224" s="174">
        <f>Period!$A$2</f>
        <v>46113</v>
      </c>
      <c r="M224" s="175">
        <f>Period!$C$2</f>
        <v>46143</v>
      </c>
      <c r="N224" s="194" t="s">
        <v>279</v>
      </c>
    </row>
    <row r="225" spans="1:14" ht="11.4" x14ac:dyDescent="0.25">
      <c r="A225" s="137"/>
      <c r="B225" s="169" t="e">
        <f>IF(IF(VLOOKUP(A225,ASTBase!F:P,11,FALSE)="","",VLOOKUP(A225,ASTBase!F:P,11,FALSE))=0,"",IF(VLOOKUP(A225,ASTBase!F:P,11,FALSE)="","",VLOOKUP(A225,ASTBase!F:P,11,FALSE)))</f>
        <v>#N/A</v>
      </c>
      <c r="C225" s="140" t="str">
        <f>IF(IFERROR(_xlfn.IFNA(VLOOKUP($A225,'HR Rep'!$A:$X,MATCH('1) For HR (FIX)'!C$1,'HR Rep'!$A$1:$X$1,0),0),""),"")="","",IFERROR(_xlfn.IFNA(VLOOKUP($A225,'HR Rep'!$A:$X,MATCH('1) For HR (FIX)'!C$1,'HR Rep'!$A$1:$X$1,0),0),""),""))</f>
        <v/>
      </c>
      <c r="D225" s="140" t="str">
        <f>IF(IFERROR(_xlfn.IFNA(VLOOKUP($A225,'HR Rep'!$A:$X,MATCH('1) For HR (FIX)'!D$1,'HR Rep'!$A$1:$X$1,0),0),""),"")="","",IFERROR(_xlfn.IFNA(VLOOKUP($A225,'HR Rep'!$A:$X,MATCH('1) For HR (FIX)'!D$1,'HR Rep'!$A$1:$X$1,0),0),""),""))</f>
        <v/>
      </c>
      <c r="E225" s="140" t="str">
        <f>IF(IFERROR(_xlfn.IFNA(VLOOKUP($A225,'HR Rep'!$A:$X,MATCH('1) For HR (FIX)'!E$1,'HR Rep'!$A$1:$X$1,0),0),""),"")="","",IFERROR(_xlfn.IFNA(VLOOKUP($A225,'HR Rep'!$A:$X,MATCH('1) For HR (FIX)'!E$1,'HR Rep'!$A$1:$X$1,0),0),""),""))</f>
        <v/>
      </c>
      <c r="F225" s="140" t="str">
        <f>IF(IFERROR(_xlfn.IFNA(VLOOKUP($A225,'HR Rep'!$A:$X,MATCH('1) For HR (FIX)'!F$1,'HR Rep'!$A$1:$X$1,0),0),""),"")="","",IFERROR(_xlfn.IFNA(VLOOKUP($A225,'HR Rep'!$A:$X,MATCH('1) For HR (FIX)'!F$1,'HR Rep'!$A$1:$X$1,0),0),""),""))</f>
        <v/>
      </c>
      <c r="G225" s="196"/>
      <c r="H225" s="140" t="str">
        <f>IF(IFERROR(_xlfn.IFNA(VLOOKUP($A225,'HR Rep'!$A:$X,MATCH('1) For HR (FIX)'!H$1,'HR Rep'!$A$1:$X$1,0),0),""),"")="","",IFERROR(_xlfn.IFNA(VLOOKUP($A225,'HR Rep'!$A:$X,MATCH('1) For HR (FIX)'!H$1,'HR Rep'!$A$1:$X$1,0),0),""),""))</f>
        <v/>
      </c>
      <c r="I225" s="140" t="str">
        <f>IF(IFERROR(_xlfn.IFNA(VLOOKUP($A225,'HR Rep'!$A:$X,MATCH('1) For HR (FIX)'!I$1,'HR Rep'!$A$1:$X$1,0),0),""),"")="","",IFERROR(_xlfn.IFNA(VLOOKUP($A225,'HR Rep'!$A:$X,MATCH('1) For HR (FIX)'!I$1,'HR Rep'!$A$1:$X$1,0),0),""),""))</f>
        <v/>
      </c>
      <c r="J225" s="140" t="str">
        <f>IF(IFERROR(_xlfn.IFNA(VLOOKUP($A225,'HR Rep'!$A:$X,MATCH('1) For HR (FIX)'!J$1,'HR Rep'!$A$1:$X$1,0),0),""),"")="","",IFERROR(_xlfn.IFNA(VLOOKUP($A225,'HR Rep'!$A:$X,MATCH('1) For HR (FIX)'!J$1,'HR Rep'!$A$1:$X$1,0),0),""),""))</f>
        <v/>
      </c>
      <c r="K225" s="161">
        <f>_xlfn.XLOOKUP(G225,ค่าตอบแทนการขายในอัตราคงที่!A:A,ค่าตอบแทนการขายในอัตราคงที่!B:B)</f>
        <v>0</v>
      </c>
      <c r="L225" s="174">
        <f>Period!$A$2</f>
        <v>46113</v>
      </c>
      <c r="M225" s="175">
        <f>Period!$C$2</f>
        <v>46143</v>
      </c>
      <c r="N225" s="194" t="s">
        <v>279</v>
      </c>
    </row>
    <row r="226" spans="1:14" ht="11.4" x14ac:dyDescent="0.25">
      <c r="A226" s="137"/>
      <c r="B226" s="169" t="e">
        <f>IF(IF(VLOOKUP(A226,ASTBase!F:P,11,FALSE)="","",VLOOKUP(A226,ASTBase!F:P,11,FALSE))=0,"",IF(VLOOKUP(A226,ASTBase!F:P,11,FALSE)="","",VLOOKUP(A226,ASTBase!F:P,11,FALSE)))</f>
        <v>#N/A</v>
      </c>
      <c r="C226" s="140" t="str">
        <f>IF(IFERROR(_xlfn.IFNA(VLOOKUP($A226,'HR Rep'!$A:$X,MATCH('1) For HR (FIX)'!C$1,'HR Rep'!$A$1:$X$1,0),0),""),"")="","",IFERROR(_xlfn.IFNA(VLOOKUP($A226,'HR Rep'!$A:$X,MATCH('1) For HR (FIX)'!C$1,'HR Rep'!$A$1:$X$1,0),0),""),""))</f>
        <v/>
      </c>
      <c r="D226" s="140" t="str">
        <f>IF(IFERROR(_xlfn.IFNA(VLOOKUP($A226,'HR Rep'!$A:$X,MATCH('1) For HR (FIX)'!D$1,'HR Rep'!$A$1:$X$1,0),0),""),"")="","",IFERROR(_xlfn.IFNA(VLOOKUP($A226,'HR Rep'!$A:$X,MATCH('1) For HR (FIX)'!D$1,'HR Rep'!$A$1:$X$1,0),0),""),""))</f>
        <v/>
      </c>
      <c r="E226" s="140" t="str">
        <f>IF(IFERROR(_xlfn.IFNA(VLOOKUP($A226,'HR Rep'!$A:$X,MATCH('1) For HR (FIX)'!E$1,'HR Rep'!$A$1:$X$1,0),0),""),"")="","",IFERROR(_xlfn.IFNA(VLOOKUP($A226,'HR Rep'!$A:$X,MATCH('1) For HR (FIX)'!E$1,'HR Rep'!$A$1:$X$1,0),0),""),""))</f>
        <v/>
      </c>
      <c r="F226" s="140" t="str">
        <f>IF(IFERROR(_xlfn.IFNA(VLOOKUP($A226,'HR Rep'!$A:$X,MATCH('1) For HR (FIX)'!F$1,'HR Rep'!$A$1:$X$1,0),0),""),"")="","",IFERROR(_xlfn.IFNA(VLOOKUP($A226,'HR Rep'!$A:$X,MATCH('1) For HR (FIX)'!F$1,'HR Rep'!$A$1:$X$1,0),0),""),""))</f>
        <v/>
      </c>
      <c r="G226" s="196"/>
      <c r="H226" s="140" t="str">
        <f>IF(IFERROR(_xlfn.IFNA(VLOOKUP($A226,'HR Rep'!$A:$X,MATCH('1) For HR (FIX)'!H$1,'HR Rep'!$A$1:$X$1,0),0),""),"")="","",IFERROR(_xlfn.IFNA(VLOOKUP($A226,'HR Rep'!$A:$X,MATCH('1) For HR (FIX)'!H$1,'HR Rep'!$A$1:$X$1,0),0),""),""))</f>
        <v/>
      </c>
      <c r="I226" s="140" t="str">
        <f>IF(IFERROR(_xlfn.IFNA(VLOOKUP($A226,'HR Rep'!$A:$X,MATCH('1) For HR (FIX)'!I$1,'HR Rep'!$A$1:$X$1,0),0),""),"")="","",IFERROR(_xlfn.IFNA(VLOOKUP($A226,'HR Rep'!$A:$X,MATCH('1) For HR (FIX)'!I$1,'HR Rep'!$A$1:$X$1,0),0),""),""))</f>
        <v/>
      </c>
      <c r="J226" s="140" t="str">
        <f>IF(IFERROR(_xlfn.IFNA(VLOOKUP($A226,'HR Rep'!$A:$X,MATCH('1) For HR (FIX)'!J$1,'HR Rep'!$A$1:$X$1,0),0),""),"")="","",IFERROR(_xlfn.IFNA(VLOOKUP($A226,'HR Rep'!$A:$X,MATCH('1) For HR (FIX)'!J$1,'HR Rep'!$A$1:$X$1,0),0),""),""))</f>
        <v/>
      </c>
      <c r="K226" s="161">
        <f>_xlfn.XLOOKUP(G226,ค่าตอบแทนการขายในอัตราคงที่!A:A,ค่าตอบแทนการขายในอัตราคงที่!B:B)</f>
        <v>0</v>
      </c>
      <c r="L226" s="174">
        <f>Period!$A$2</f>
        <v>46113</v>
      </c>
      <c r="M226" s="175">
        <f>Period!$C$2</f>
        <v>46143</v>
      </c>
      <c r="N226" s="194" t="s">
        <v>279</v>
      </c>
    </row>
    <row r="227" spans="1:14" ht="11.4" x14ac:dyDescent="0.25">
      <c r="A227" s="137"/>
      <c r="B227" s="169" t="e">
        <f>IF(IF(VLOOKUP(A227,ASTBase!F:P,11,FALSE)="","",VLOOKUP(A227,ASTBase!F:P,11,FALSE))=0,"",IF(VLOOKUP(A227,ASTBase!F:P,11,FALSE)="","",VLOOKUP(A227,ASTBase!F:P,11,FALSE)))</f>
        <v>#N/A</v>
      </c>
      <c r="C227" s="140" t="str">
        <f>IF(IFERROR(_xlfn.IFNA(VLOOKUP($A227,'HR Rep'!$A:$X,MATCH('1) For HR (FIX)'!C$1,'HR Rep'!$A$1:$X$1,0),0),""),"")="","",IFERROR(_xlfn.IFNA(VLOOKUP($A227,'HR Rep'!$A:$X,MATCH('1) For HR (FIX)'!C$1,'HR Rep'!$A$1:$X$1,0),0),""),""))</f>
        <v/>
      </c>
      <c r="D227" s="140" t="str">
        <f>IF(IFERROR(_xlfn.IFNA(VLOOKUP($A227,'HR Rep'!$A:$X,MATCH('1) For HR (FIX)'!D$1,'HR Rep'!$A$1:$X$1,0),0),""),"")="","",IFERROR(_xlfn.IFNA(VLOOKUP($A227,'HR Rep'!$A:$X,MATCH('1) For HR (FIX)'!D$1,'HR Rep'!$A$1:$X$1,0),0),""),""))</f>
        <v/>
      </c>
      <c r="E227" s="140" t="str">
        <f>IF(IFERROR(_xlfn.IFNA(VLOOKUP($A227,'HR Rep'!$A:$X,MATCH('1) For HR (FIX)'!E$1,'HR Rep'!$A$1:$X$1,0),0),""),"")="","",IFERROR(_xlfn.IFNA(VLOOKUP($A227,'HR Rep'!$A:$X,MATCH('1) For HR (FIX)'!E$1,'HR Rep'!$A$1:$X$1,0),0),""),""))</f>
        <v/>
      </c>
      <c r="F227" s="140" t="str">
        <f>IF(IFERROR(_xlfn.IFNA(VLOOKUP($A227,'HR Rep'!$A:$X,MATCH('1) For HR (FIX)'!F$1,'HR Rep'!$A$1:$X$1,0),0),""),"")="","",IFERROR(_xlfn.IFNA(VLOOKUP($A227,'HR Rep'!$A:$X,MATCH('1) For HR (FIX)'!F$1,'HR Rep'!$A$1:$X$1,0),0),""),""))</f>
        <v/>
      </c>
      <c r="G227" s="196"/>
      <c r="H227" s="140" t="str">
        <f>IF(IFERROR(_xlfn.IFNA(VLOOKUP($A227,'HR Rep'!$A:$X,MATCH('1) For HR (FIX)'!H$1,'HR Rep'!$A$1:$X$1,0),0),""),"")="","",IFERROR(_xlfn.IFNA(VLOOKUP($A227,'HR Rep'!$A:$X,MATCH('1) For HR (FIX)'!H$1,'HR Rep'!$A$1:$X$1,0),0),""),""))</f>
        <v/>
      </c>
      <c r="I227" s="140" t="str">
        <f>IF(IFERROR(_xlfn.IFNA(VLOOKUP($A227,'HR Rep'!$A:$X,MATCH('1) For HR (FIX)'!I$1,'HR Rep'!$A$1:$X$1,0),0),""),"")="","",IFERROR(_xlfn.IFNA(VLOOKUP($A227,'HR Rep'!$A:$X,MATCH('1) For HR (FIX)'!I$1,'HR Rep'!$A$1:$X$1,0),0),""),""))</f>
        <v/>
      </c>
      <c r="J227" s="140" t="str">
        <f>IF(IFERROR(_xlfn.IFNA(VLOOKUP($A227,'HR Rep'!$A:$X,MATCH('1) For HR (FIX)'!J$1,'HR Rep'!$A$1:$X$1,0),0),""),"")="","",IFERROR(_xlfn.IFNA(VLOOKUP($A227,'HR Rep'!$A:$X,MATCH('1) For HR (FIX)'!J$1,'HR Rep'!$A$1:$X$1,0),0),""),""))</f>
        <v/>
      </c>
      <c r="K227" s="161">
        <f>_xlfn.XLOOKUP(G227,ค่าตอบแทนการขายในอัตราคงที่!A:A,ค่าตอบแทนการขายในอัตราคงที่!B:B)</f>
        <v>0</v>
      </c>
      <c r="L227" s="174">
        <f>Period!$A$2</f>
        <v>46113</v>
      </c>
      <c r="M227" s="175">
        <f>Period!$C$2</f>
        <v>46143</v>
      </c>
      <c r="N227" s="194" t="s">
        <v>279</v>
      </c>
    </row>
    <row r="228" spans="1:14" ht="11.4" x14ac:dyDescent="0.25">
      <c r="A228" s="137"/>
      <c r="B228" s="169" t="e">
        <f>IF(IF(VLOOKUP(A228,ASTBase!F:P,11,FALSE)="","",VLOOKUP(A228,ASTBase!F:P,11,FALSE))=0,"",IF(VLOOKUP(A228,ASTBase!F:P,11,FALSE)="","",VLOOKUP(A228,ASTBase!F:P,11,FALSE)))</f>
        <v>#N/A</v>
      </c>
      <c r="C228" s="140" t="str">
        <f>IF(IFERROR(_xlfn.IFNA(VLOOKUP($A228,'HR Rep'!$A:$X,MATCH('1) For HR (FIX)'!C$1,'HR Rep'!$A$1:$X$1,0),0),""),"")="","",IFERROR(_xlfn.IFNA(VLOOKUP($A228,'HR Rep'!$A:$X,MATCH('1) For HR (FIX)'!C$1,'HR Rep'!$A$1:$X$1,0),0),""),""))</f>
        <v/>
      </c>
      <c r="D228" s="140" t="str">
        <f>IF(IFERROR(_xlfn.IFNA(VLOOKUP($A228,'HR Rep'!$A:$X,MATCH('1) For HR (FIX)'!D$1,'HR Rep'!$A$1:$X$1,0),0),""),"")="","",IFERROR(_xlfn.IFNA(VLOOKUP($A228,'HR Rep'!$A:$X,MATCH('1) For HR (FIX)'!D$1,'HR Rep'!$A$1:$X$1,0),0),""),""))</f>
        <v/>
      </c>
      <c r="E228" s="140" t="str">
        <f>IF(IFERROR(_xlfn.IFNA(VLOOKUP($A228,'HR Rep'!$A:$X,MATCH('1) For HR (FIX)'!E$1,'HR Rep'!$A$1:$X$1,0),0),""),"")="","",IFERROR(_xlfn.IFNA(VLOOKUP($A228,'HR Rep'!$A:$X,MATCH('1) For HR (FIX)'!E$1,'HR Rep'!$A$1:$X$1,0),0),""),""))</f>
        <v/>
      </c>
      <c r="F228" s="140" t="str">
        <f>IF(IFERROR(_xlfn.IFNA(VLOOKUP($A228,'HR Rep'!$A:$X,MATCH('1) For HR (FIX)'!F$1,'HR Rep'!$A$1:$X$1,0),0),""),"")="","",IFERROR(_xlfn.IFNA(VLOOKUP($A228,'HR Rep'!$A:$X,MATCH('1) For HR (FIX)'!F$1,'HR Rep'!$A$1:$X$1,0),0),""),""))</f>
        <v/>
      </c>
      <c r="G228" s="196"/>
      <c r="H228" s="140" t="str">
        <f>IF(IFERROR(_xlfn.IFNA(VLOOKUP($A228,'HR Rep'!$A:$X,MATCH('1) For HR (FIX)'!H$1,'HR Rep'!$A$1:$X$1,0),0),""),"")="","",IFERROR(_xlfn.IFNA(VLOOKUP($A228,'HR Rep'!$A:$X,MATCH('1) For HR (FIX)'!H$1,'HR Rep'!$A$1:$X$1,0),0),""),""))</f>
        <v/>
      </c>
      <c r="I228" s="140" t="str">
        <f>IF(IFERROR(_xlfn.IFNA(VLOOKUP($A228,'HR Rep'!$A:$X,MATCH('1) For HR (FIX)'!I$1,'HR Rep'!$A$1:$X$1,0),0),""),"")="","",IFERROR(_xlfn.IFNA(VLOOKUP($A228,'HR Rep'!$A:$X,MATCH('1) For HR (FIX)'!I$1,'HR Rep'!$A$1:$X$1,0),0),""),""))</f>
        <v/>
      </c>
      <c r="J228" s="140" t="str">
        <f>IF(IFERROR(_xlfn.IFNA(VLOOKUP($A228,'HR Rep'!$A:$X,MATCH('1) For HR (FIX)'!J$1,'HR Rep'!$A$1:$X$1,0),0),""),"")="","",IFERROR(_xlfn.IFNA(VLOOKUP($A228,'HR Rep'!$A:$X,MATCH('1) For HR (FIX)'!J$1,'HR Rep'!$A$1:$X$1,0),0),""),""))</f>
        <v/>
      </c>
      <c r="K228" s="161">
        <f>_xlfn.XLOOKUP(G228,ค่าตอบแทนการขายในอัตราคงที่!A:A,ค่าตอบแทนการขายในอัตราคงที่!B:B)</f>
        <v>0</v>
      </c>
      <c r="L228" s="174">
        <f>Period!$A$2</f>
        <v>46113</v>
      </c>
      <c r="M228" s="175">
        <f>Period!$C$2</f>
        <v>46143</v>
      </c>
      <c r="N228" s="194" t="s">
        <v>279</v>
      </c>
    </row>
    <row r="229" spans="1:14" ht="11.4" x14ac:dyDescent="0.25">
      <c r="A229" s="138"/>
      <c r="B229" s="169" t="e">
        <f>IF(IF(VLOOKUP(A229,ASTBase!F:P,11,FALSE)="","",VLOOKUP(A229,ASTBase!F:P,11,FALSE))=0,"",IF(VLOOKUP(A229,ASTBase!F:P,11,FALSE)="","",VLOOKUP(A229,ASTBase!F:P,11,FALSE)))</f>
        <v>#N/A</v>
      </c>
      <c r="C229" s="140" t="str">
        <f>IF(IFERROR(_xlfn.IFNA(VLOOKUP($A229,'HR Rep'!$A:$X,MATCH('1) For HR (FIX)'!C$1,'HR Rep'!$A$1:$X$1,0),0),""),"")="","",IFERROR(_xlfn.IFNA(VLOOKUP($A229,'HR Rep'!$A:$X,MATCH('1) For HR (FIX)'!C$1,'HR Rep'!$A$1:$X$1,0),0),""),""))</f>
        <v/>
      </c>
      <c r="D229" s="140" t="str">
        <f>IF(IFERROR(_xlfn.IFNA(VLOOKUP($A229,'HR Rep'!$A:$X,MATCH('1) For HR (FIX)'!D$1,'HR Rep'!$A$1:$X$1,0),0),""),"")="","",IFERROR(_xlfn.IFNA(VLOOKUP($A229,'HR Rep'!$A:$X,MATCH('1) For HR (FIX)'!D$1,'HR Rep'!$A$1:$X$1,0),0),""),""))</f>
        <v/>
      </c>
      <c r="E229" s="140" t="str">
        <f>IF(IFERROR(_xlfn.IFNA(VLOOKUP($A229,'HR Rep'!$A:$X,MATCH('1) For HR (FIX)'!E$1,'HR Rep'!$A$1:$X$1,0),0),""),"")="","",IFERROR(_xlfn.IFNA(VLOOKUP($A229,'HR Rep'!$A:$X,MATCH('1) For HR (FIX)'!E$1,'HR Rep'!$A$1:$X$1,0),0),""),""))</f>
        <v/>
      </c>
      <c r="F229" s="140" t="str">
        <f>IF(IFERROR(_xlfn.IFNA(VLOOKUP($A229,'HR Rep'!$A:$X,MATCH('1) For HR (FIX)'!F$1,'HR Rep'!$A$1:$X$1,0),0),""),"")="","",IFERROR(_xlfn.IFNA(VLOOKUP($A229,'HR Rep'!$A:$X,MATCH('1) For HR (FIX)'!F$1,'HR Rep'!$A$1:$X$1,0),0),""),""))</f>
        <v/>
      </c>
      <c r="G229" s="196"/>
      <c r="H229" s="140" t="str">
        <f>IF(IFERROR(_xlfn.IFNA(VLOOKUP($A229,'HR Rep'!$A:$X,MATCH('1) For HR (FIX)'!H$1,'HR Rep'!$A$1:$X$1,0),0),""),"")="","",IFERROR(_xlfn.IFNA(VLOOKUP($A229,'HR Rep'!$A:$X,MATCH('1) For HR (FIX)'!H$1,'HR Rep'!$A$1:$X$1,0),0),""),""))</f>
        <v/>
      </c>
      <c r="I229" s="140" t="str">
        <f>IF(IFERROR(_xlfn.IFNA(VLOOKUP($A229,'HR Rep'!$A:$X,MATCH('1) For HR (FIX)'!I$1,'HR Rep'!$A$1:$X$1,0),0),""),"")="","",IFERROR(_xlfn.IFNA(VLOOKUP($A229,'HR Rep'!$A:$X,MATCH('1) For HR (FIX)'!I$1,'HR Rep'!$A$1:$X$1,0),0),""),""))</f>
        <v/>
      </c>
      <c r="J229" s="140" t="str">
        <f>IF(IFERROR(_xlfn.IFNA(VLOOKUP($A229,'HR Rep'!$A:$X,MATCH('1) For HR (FIX)'!J$1,'HR Rep'!$A$1:$X$1,0),0),""),"")="","",IFERROR(_xlfn.IFNA(VLOOKUP($A229,'HR Rep'!$A:$X,MATCH('1) For HR (FIX)'!J$1,'HR Rep'!$A$1:$X$1,0),0),""),""))</f>
        <v/>
      </c>
      <c r="K229" s="161">
        <f>_xlfn.XLOOKUP(G229,ค่าตอบแทนการขายในอัตราคงที่!A:A,ค่าตอบแทนการขายในอัตราคงที่!B:B)</f>
        <v>0</v>
      </c>
      <c r="L229" s="174">
        <f>Period!$A$2</f>
        <v>46113</v>
      </c>
      <c r="M229" s="175">
        <f>Period!$C$2</f>
        <v>46143</v>
      </c>
      <c r="N229" s="194" t="s">
        <v>279</v>
      </c>
    </row>
    <row r="230" spans="1:14" ht="11.4" x14ac:dyDescent="0.25">
      <c r="A230" s="138"/>
      <c r="B230" s="169" t="e">
        <f>IF(IF(VLOOKUP(A230,ASTBase!F:P,11,FALSE)="","",VLOOKUP(A230,ASTBase!F:P,11,FALSE))=0,"",IF(VLOOKUP(A230,ASTBase!F:P,11,FALSE)="","",VLOOKUP(A230,ASTBase!F:P,11,FALSE)))</f>
        <v>#N/A</v>
      </c>
      <c r="C230" s="140" t="str">
        <f>IF(IFERROR(_xlfn.IFNA(VLOOKUP($A230,'HR Rep'!$A:$X,MATCH('1) For HR (FIX)'!C$1,'HR Rep'!$A$1:$X$1,0),0),""),"")="","",IFERROR(_xlfn.IFNA(VLOOKUP($A230,'HR Rep'!$A:$X,MATCH('1) For HR (FIX)'!C$1,'HR Rep'!$A$1:$X$1,0),0),""),""))</f>
        <v/>
      </c>
      <c r="D230" s="140" t="str">
        <f>IF(IFERROR(_xlfn.IFNA(VLOOKUP($A230,'HR Rep'!$A:$X,MATCH('1) For HR (FIX)'!D$1,'HR Rep'!$A$1:$X$1,0),0),""),"")="","",IFERROR(_xlfn.IFNA(VLOOKUP($A230,'HR Rep'!$A:$X,MATCH('1) For HR (FIX)'!D$1,'HR Rep'!$A$1:$X$1,0),0),""),""))</f>
        <v/>
      </c>
      <c r="E230" s="140" t="str">
        <f>IF(IFERROR(_xlfn.IFNA(VLOOKUP($A230,'HR Rep'!$A:$X,MATCH('1) For HR (FIX)'!E$1,'HR Rep'!$A$1:$X$1,0),0),""),"")="","",IFERROR(_xlfn.IFNA(VLOOKUP($A230,'HR Rep'!$A:$X,MATCH('1) For HR (FIX)'!E$1,'HR Rep'!$A$1:$X$1,0),0),""),""))</f>
        <v/>
      </c>
      <c r="F230" s="140" t="str">
        <f>IF(IFERROR(_xlfn.IFNA(VLOOKUP($A230,'HR Rep'!$A:$X,MATCH('1) For HR (FIX)'!F$1,'HR Rep'!$A$1:$X$1,0),0),""),"")="","",IFERROR(_xlfn.IFNA(VLOOKUP($A230,'HR Rep'!$A:$X,MATCH('1) For HR (FIX)'!F$1,'HR Rep'!$A$1:$X$1,0),0),""),""))</f>
        <v/>
      </c>
      <c r="G230" s="196"/>
      <c r="H230" s="140" t="str">
        <f>IF(IFERROR(_xlfn.IFNA(VLOOKUP($A230,'HR Rep'!$A:$X,MATCH('1) For HR (FIX)'!H$1,'HR Rep'!$A$1:$X$1,0),0),""),"")="","",IFERROR(_xlfn.IFNA(VLOOKUP($A230,'HR Rep'!$A:$X,MATCH('1) For HR (FIX)'!H$1,'HR Rep'!$A$1:$X$1,0),0),""),""))</f>
        <v/>
      </c>
      <c r="I230" s="140" t="str">
        <f>IF(IFERROR(_xlfn.IFNA(VLOOKUP($A230,'HR Rep'!$A:$X,MATCH('1) For HR (FIX)'!I$1,'HR Rep'!$A$1:$X$1,0),0),""),"")="","",IFERROR(_xlfn.IFNA(VLOOKUP($A230,'HR Rep'!$A:$X,MATCH('1) For HR (FIX)'!I$1,'HR Rep'!$A$1:$X$1,0),0),""),""))</f>
        <v/>
      </c>
      <c r="J230" s="140" t="str">
        <f>IF(IFERROR(_xlfn.IFNA(VLOOKUP($A230,'HR Rep'!$A:$X,MATCH('1) For HR (FIX)'!J$1,'HR Rep'!$A$1:$X$1,0),0),""),"")="","",IFERROR(_xlfn.IFNA(VLOOKUP($A230,'HR Rep'!$A:$X,MATCH('1) For HR (FIX)'!J$1,'HR Rep'!$A$1:$X$1,0),0),""),""))</f>
        <v/>
      </c>
      <c r="K230" s="161">
        <f>_xlfn.XLOOKUP(G230,ค่าตอบแทนการขายในอัตราคงที่!A:A,ค่าตอบแทนการขายในอัตราคงที่!B:B)</f>
        <v>0</v>
      </c>
      <c r="L230" s="174">
        <f>Period!$A$2</f>
        <v>46113</v>
      </c>
      <c r="M230" s="175">
        <f>Period!$C$2</f>
        <v>46143</v>
      </c>
      <c r="N230" s="194" t="s">
        <v>279</v>
      </c>
    </row>
    <row r="231" spans="1:14" ht="11.4" x14ac:dyDescent="0.25">
      <c r="A231" s="138"/>
      <c r="B231" s="169" t="e">
        <f>IF(IF(VLOOKUP(A231,ASTBase!F:P,11,FALSE)="","",VLOOKUP(A231,ASTBase!F:P,11,FALSE))=0,"",IF(VLOOKUP(A231,ASTBase!F:P,11,FALSE)="","",VLOOKUP(A231,ASTBase!F:P,11,FALSE)))</f>
        <v>#N/A</v>
      </c>
      <c r="C231" s="140" t="str">
        <f>IF(IFERROR(_xlfn.IFNA(VLOOKUP($A231,'HR Rep'!$A:$X,MATCH('1) For HR (FIX)'!C$1,'HR Rep'!$A$1:$X$1,0),0),""),"")="","",IFERROR(_xlfn.IFNA(VLOOKUP($A231,'HR Rep'!$A:$X,MATCH('1) For HR (FIX)'!C$1,'HR Rep'!$A$1:$X$1,0),0),""),""))</f>
        <v/>
      </c>
      <c r="D231" s="140" t="str">
        <f>IF(IFERROR(_xlfn.IFNA(VLOOKUP($A231,'HR Rep'!$A:$X,MATCH('1) For HR (FIX)'!D$1,'HR Rep'!$A$1:$X$1,0),0),""),"")="","",IFERROR(_xlfn.IFNA(VLOOKUP($A231,'HR Rep'!$A:$X,MATCH('1) For HR (FIX)'!D$1,'HR Rep'!$A$1:$X$1,0),0),""),""))</f>
        <v/>
      </c>
      <c r="E231" s="140" t="str">
        <f>IF(IFERROR(_xlfn.IFNA(VLOOKUP($A231,'HR Rep'!$A:$X,MATCH('1) For HR (FIX)'!E$1,'HR Rep'!$A$1:$X$1,0),0),""),"")="","",IFERROR(_xlfn.IFNA(VLOOKUP($A231,'HR Rep'!$A:$X,MATCH('1) For HR (FIX)'!E$1,'HR Rep'!$A$1:$X$1,0),0),""),""))</f>
        <v/>
      </c>
      <c r="F231" s="140" t="str">
        <f>IF(IFERROR(_xlfn.IFNA(VLOOKUP($A231,'HR Rep'!$A:$X,MATCH('1) For HR (FIX)'!F$1,'HR Rep'!$A$1:$X$1,0),0),""),"")="","",IFERROR(_xlfn.IFNA(VLOOKUP($A231,'HR Rep'!$A:$X,MATCH('1) For HR (FIX)'!F$1,'HR Rep'!$A$1:$X$1,0),0),""),""))</f>
        <v/>
      </c>
      <c r="G231" s="196"/>
      <c r="H231" s="140" t="str">
        <f>IF(IFERROR(_xlfn.IFNA(VLOOKUP($A231,'HR Rep'!$A:$X,MATCH('1) For HR (FIX)'!H$1,'HR Rep'!$A$1:$X$1,0),0),""),"")="","",IFERROR(_xlfn.IFNA(VLOOKUP($A231,'HR Rep'!$A:$X,MATCH('1) For HR (FIX)'!H$1,'HR Rep'!$A$1:$X$1,0),0),""),""))</f>
        <v/>
      </c>
      <c r="I231" s="140" t="str">
        <f>IF(IFERROR(_xlfn.IFNA(VLOOKUP($A231,'HR Rep'!$A:$X,MATCH('1) For HR (FIX)'!I$1,'HR Rep'!$A$1:$X$1,0),0),""),"")="","",IFERROR(_xlfn.IFNA(VLOOKUP($A231,'HR Rep'!$A:$X,MATCH('1) For HR (FIX)'!I$1,'HR Rep'!$A$1:$X$1,0),0),""),""))</f>
        <v/>
      </c>
      <c r="J231" s="140" t="str">
        <f>IF(IFERROR(_xlfn.IFNA(VLOOKUP($A231,'HR Rep'!$A:$X,MATCH('1) For HR (FIX)'!J$1,'HR Rep'!$A$1:$X$1,0),0),""),"")="","",IFERROR(_xlfn.IFNA(VLOOKUP($A231,'HR Rep'!$A:$X,MATCH('1) For HR (FIX)'!J$1,'HR Rep'!$A$1:$X$1,0),0),""),""))</f>
        <v/>
      </c>
      <c r="K231" s="161">
        <f>_xlfn.XLOOKUP(G231,ค่าตอบแทนการขายในอัตราคงที่!A:A,ค่าตอบแทนการขายในอัตราคงที่!B:B)</f>
        <v>0</v>
      </c>
      <c r="L231" s="174">
        <f>Period!$A$2</f>
        <v>46113</v>
      </c>
      <c r="M231" s="175">
        <f>Period!$C$2</f>
        <v>46143</v>
      </c>
      <c r="N231" s="194" t="s">
        <v>279</v>
      </c>
    </row>
    <row r="232" spans="1:14" ht="11.4" x14ac:dyDescent="0.25">
      <c r="A232" s="138"/>
      <c r="B232" s="169" t="e">
        <f>IF(IF(VLOOKUP(A232,ASTBase!F:P,11,FALSE)="","",VLOOKUP(A232,ASTBase!F:P,11,FALSE))=0,"",IF(VLOOKUP(A232,ASTBase!F:P,11,FALSE)="","",VLOOKUP(A232,ASTBase!F:P,11,FALSE)))</f>
        <v>#N/A</v>
      </c>
      <c r="C232" s="140" t="str">
        <f>IF(IFERROR(_xlfn.IFNA(VLOOKUP($A232,'HR Rep'!$A:$X,MATCH('1) For HR (FIX)'!C$1,'HR Rep'!$A$1:$X$1,0),0),""),"")="","",IFERROR(_xlfn.IFNA(VLOOKUP($A232,'HR Rep'!$A:$X,MATCH('1) For HR (FIX)'!C$1,'HR Rep'!$A$1:$X$1,0),0),""),""))</f>
        <v/>
      </c>
      <c r="D232" s="140" t="str">
        <f>IF(IFERROR(_xlfn.IFNA(VLOOKUP($A232,'HR Rep'!$A:$X,MATCH('1) For HR (FIX)'!D$1,'HR Rep'!$A$1:$X$1,0),0),""),"")="","",IFERROR(_xlfn.IFNA(VLOOKUP($A232,'HR Rep'!$A:$X,MATCH('1) For HR (FIX)'!D$1,'HR Rep'!$A$1:$X$1,0),0),""),""))</f>
        <v/>
      </c>
      <c r="E232" s="140" t="str">
        <f>IF(IFERROR(_xlfn.IFNA(VLOOKUP($A232,'HR Rep'!$A:$X,MATCH('1) For HR (FIX)'!E$1,'HR Rep'!$A$1:$X$1,0),0),""),"")="","",IFERROR(_xlfn.IFNA(VLOOKUP($A232,'HR Rep'!$A:$X,MATCH('1) For HR (FIX)'!E$1,'HR Rep'!$A$1:$X$1,0),0),""),""))</f>
        <v/>
      </c>
      <c r="F232" s="140" t="str">
        <f>IF(IFERROR(_xlfn.IFNA(VLOOKUP($A232,'HR Rep'!$A:$X,MATCH('1) For HR (FIX)'!F$1,'HR Rep'!$A$1:$X$1,0),0),""),"")="","",IFERROR(_xlfn.IFNA(VLOOKUP($A232,'HR Rep'!$A:$X,MATCH('1) For HR (FIX)'!F$1,'HR Rep'!$A$1:$X$1,0),0),""),""))</f>
        <v/>
      </c>
      <c r="G232" s="196"/>
      <c r="H232" s="140" t="str">
        <f>IF(IFERROR(_xlfn.IFNA(VLOOKUP($A232,'HR Rep'!$A:$X,MATCH('1) For HR (FIX)'!H$1,'HR Rep'!$A$1:$X$1,0),0),""),"")="","",IFERROR(_xlfn.IFNA(VLOOKUP($A232,'HR Rep'!$A:$X,MATCH('1) For HR (FIX)'!H$1,'HR Rep'!$A$1:$X$1,0),0),""),""))</f>
        <v/>
      </c>
      <c r="I232" s="140" t="str">
        <f>IF(IFERROR(_xlfn.IFNA(VLOOKUP($A232,'HR Rep'!$A:$X,MATCH('1) For HR (FIX)'!I$1,'HR Rep'!$A$1:$X$1,0),0),""),"")="","",IFERROR(_xlfn.IFNA(VLOOKUP($A232,'HR Rep'!$A:$X,MATCH('1) For HR (FIX)'!I$1,'HR Rep'!$A$1:$X$1,0),0),""),""))</f>
        <v/>
      </c>
      <c r="J232" s="140" t="str">
        <f>IF(IFERROR(_xlfn.IFNA(VLOOKUP($A232,'HR Rep'!$A:$X,MATCH('1) For HR (FIX)'!J$1,'HR Rep'!$A$1:$X$1,0),0),""),"")="","",IFERROR(_xlfn.IFNA(VLOOKUP($A232,'HR Rep'!$A:$X,MATCH('1) For HR (FIX)'!J$1,'HR Rep'!$A$1:$X$1,0),0),""),""))</f>
        <v/>
      </c>
      <c r="K232" s="161">
        <f>_xlfn.XLOOKUP(G232,ค่าตอบแทนการขายในอัตราคงที่!A:A,ค่าตอบแทนการขายในอัตราคงที่!B:B)</f>
        <v>0</v>
      </c>
      <c r="L232" s="174">
        <f>Period!$A$2</f>
        <v>46113</v>
      </c>
      <c r="M232" s="175">
        <f>Period!$C$2</f>
        <v>46143</v>
      </c>
      <c r="N232" s="194" t="s">
        <v>279</v>
      </c>
    </row>
    <row r="233" spans="1:14" ht="11.4" x14ac:dyDescent="0.25">
      <c r="A233" s="139"/>
      <c r="B233" s="169" t="e">
        <f>IF(IF(VLOOKUP(A233,ASTBase!F:P,11,FALSE)="","",VLOOKUP(A233,ASTBase!F:P,11,FALSE))=0,"",IF(VLOOKUP(A233,ASTBase!F:P,11,FALSE)="","",VLOOKUP(A233,ASTBase!F:P,11,FALSE)))</f>
        <v>#N/A</v>
      </c>
      <c r="C233" s="140" t="str">
        <f>IF(IFERROR(_xlfn.IFNA(VLOOKUP($A233,'HR Rep'!$A:$X,MATCH('1) For HR (FIX)'!C$1,'HR Rep'!$A$1:$X$1,0),0),""),"")="","",IFERROR(_xlfn.IFNA(VLOOKUP($A233,'HR Rep'!$A:$X,MATCH('1) For HR (FIX)'!C$1,'HR Rep'!$A$1:$X$1,0),0),""),""))</f>
        <v/>
      </c>
      <c r="D233" s="140" t="str">
        <f>IF(IFERROR(_xlfn.IFNA(VLOOKUP($A233,'HR Rep'!$A:$X,MATCH('1) For HR (FIX)'!D$1,'HR Rep'!$A$1:$X$1,0),0),""),"")="","",IFERROR(_xlfn.IFNA(VLOOKUP($A233,'HR Rep'!$A:$X,MATCH('1) For HR (FIX)'!D$1,'HR Rep'!$A$1:$X$1,0),0),""),""))</f>
        <v/>
      </c>
      <c r="E233" s="140" t="str">
        <f>IF(IFERROR(_xlfn.IFNA(VLOOKUP($A233,'HR Rep'!$A:$X,MATCH('1) For HR (FIX)'!E$1,'HR Rep'!$A$1:$X$1,0),0),""),"")="","",IFERROR(_xlfn.IFNA(VLOOKUP($A233,'HR Rep'!$A:$X,MATCH('1) For HR (FIX)'!E$1,'HR Rep'!$A$1:$X$1,0),0),""),""))</f>
        <v/>
      </c>
      <c r="F233" s="140" t="str">
        <f>IF(IFERROR(_xlfn.IFNA(VLOOKUP($A233,'HR Rep'!$A:$X,MATCH('1) For HR (FIX)'!F$1,'HR Rep'!$A$1:$X$1,0),0),""),"")="","",IFERROR(_xlfn.IFNA(VLOOKUP($A233,'HR Rep'!$A:$X,MATCH('1) For HR (FIX)'!F$1,'HR Rep'!$A$1:$X$1,0),0),""),""))</f>
        <v/>
      </c>
      <c r="G233" s="196"/>
      <c r="H233" s="140" t="str">
        <f>IF(IFERROR(_xlfn.IFNA(VLOOKUP($A233,'HR Rep'!$A:$X,MATCH('1) For HR (FIX)'!H$1,'HR Rep'!$A$1:$X$1,0),0),""),"")="","",IFERROR(_xlfn.IFNA(VLOOKUP($A233,'HR Rep'!$A:$X,MATCH('1) For HR (FIX)'!H$1,'HR Rep'!$A$1:$X$1,0),0),""),""))</f>
        <v/>
      </c>
      <c r="I233" s="140" t="str">
        <f>IF(IFERROR(_xlfn.IFNA(VLOOKUP($A233,'HR Rep'!$A:$X,MATCH('1) For HR (FIX)'!I$1,'HR Rep'!$A$1:$X$1,0),0),""),"")="","",IFERROR(_xlfn.IFNA(VLOOKUP($A233,'HR Rep'!$A:$X,MATCH('1) For HR (FIX)'!I$1,'HR Rep'!$A$1:$X$1,0),0),""),""))</f>
        <v/>
      </c>
      <c r="J233" s="140" t="str">
        <f>IF(IFERROR(_xlfn.IFNA(VLOOKUP($A233,'HR Rep'!$A:$X,MATCH('1) For HR (FIX)'!J$1,'HR Rep'!$A$1:$X$1,0),0),""),"")="","",IFERROR(_xlfn.IFNA(VLOOKUP($A233,'HR Rep'!$A:$X,MATCH('1) For HR (FIX)'!J$1,'HR Rep'!$A$1:$X$1,0),0),""),""))</f>
        <v/>
      </c>
      <c r="K233" s="161">
        <f>_xlfn.XLOOKUP(G233,ค่าตอบแทนการขายในอัตราคงที่!A:A,ค่าตอบแทนการขายในอัตราคงที่!B:B)</f>
        <v>0</v>
      </c>
      <c r="L233" s="174">
        <f>Period!$A$2</f>
        <v>46113</v>
      </c>
      <c r="M233" s="175">
        <f>Period!$C$2</f>
        <v>46143</v>
      </c>
      <c r="N233" s="194" t="s">
        <v>279</v>
      </c>
    </row>
    <row r="234" spans="1:14" ht="11.4" x14ac:dyDescent="0.25">
      <c r="A234" s="139"/>
      <c r="B234" s="169" t="e">
        <f>IF(IF(VLOOKUP(A234,ASTBase!F:P,11,FALSE)="","",VLOOKUP(A234,ASTBase!F:P,11,FALSE))=0,"",IF(VLOOKUP(A234,ASTBase!F:P,11,FALSE)="","",VLOOKUP(A234,ASTBase!F:P,11,FALSE)))</f>
        <v>#N/A</v>
      </c>
      <c r="C234" s="140" t="str">
        <f>IF(IFERROR(_xlfn.IFNA(VLOOKUP($A234,'HR Rep'!$A:$X,MATCH('1) For HR (FIX)'!C$1,'HR Rep'!$A$1:$X$1,0),0),""),"")="","",IFERROR(_xlfn.IFNA(VLOOKUP($A234,'HR Rep'!$A:$X,MATCH('1) For HR (FIX)'!C$1,'HR Rep'!$A$1:$X$1,0),0),""),""))</f>
        <v/>
      </c>
      <c r="D234" s="140" t="str">
        <f>IF(IFERROR(_xlfn.IFNA(VLOOKUP($A234,'HR Rep'!$A:$X,MATCH('1) For HR (FIX)'!D$1,'HR Rep'!$A$1:$X$1,0),0),""),"")="","",IFERROR(_xlfn.IFNA(VLOOKUP($A234,'HR Rep'!$A:$X,MATCH('1) For HR (FIX)'!D$1,'HR Rep'!$A$1:$X$1,0),0),""),""))</f>
        <v/>
      </c>
      <c r="E234" s="140" t="str">
        <f>IF(IFERROR(_xlfn.IFNA(VLOOKUP($A234,'HR Rep'!$A:$X,MATCH('1) For HR (FIX)'!E$1,'HR Rep'!$A$1:$X$1,0),0),""),"")="","",IFERROR(_xlfn.IFNA(VLOOKUP($A234,'HR Rep'!$A:$X,MATCH('1) For HR (FIX)'!E$1,'HR Rep'!$A$1:$X$1,0),0),""),""))</f>
        <v/>
      </c>
      <c r="F234" s="140" t="str">
        <f>IF(IFERROR(_xlfn.IFNA(VLOOKUP($A234,'HR Rep'!$A:$X,MATCH('1) For HR (FIX)'!F$1,'HR Rep'!$A$1:$X$1,0),0),""),"")="","",IFERROR(_xlfn.IFNA(VLOOKUP($A234,'HR Rep'!$A:$X,MATCH('1) For HR (FIX)'!F$1,'HR Rep'!$A$1:$X$1,0),0),""),""))</f>
        <v/>
      </c>
      <c r="G234" s="196"/>
      <c r="H234" s="140" t="str">
        <f>IF(IFERROR(_xlfn.IFNA(VLOOKUP($A234,'HR Rep'!$A:$X,MATCH('1) For HR (FIX)'!H$1,'HR Rep'!$A$1:$X$1,0),0),""),"")="","",IFERROR(_xlfn.IFNA(VLOOKUP($A234,'HR Rep'!$A:$X,MATCH('1) For HR (FIX)'!H$1,'HR Rep'!$A$1:$X$1,0),0),""),""))</f>
        <v/>
      </c>
      <c r="I234" s="140" t="str">
        <f>IF(IFERROR(_xlfn.IFNA(VLOOKUP($A234,'HR Rep'!$A:$X,MATCH('1) For HR (FIX)'!I$1,'HR Rep'!$A$1:$X$1,0),0),""),"")="","",IFERROR(_xlfn.IFNA(VLOOKUP($A234,'HR Rep'!$A:$X,MATCH('1) For HR (FIX)'!I$1,'HR Rep'!$A$1:$X$1,0),0),""),""))</f>
        <v/>
      </c>
      <c r="J234" s="140" t="str">
        <f>IF(IFERROR(_xlfn.IFNA(VLOOKUP($A234,'HR Rep'!$A:$X,MATCH('1) For HR (FIX)'!J$1,'HR Rep'!$A$1:$X$1,0),0),""),"")="","",IFERROR(_xlfn.IFNA(VLOOKUP($A234,'HR Rep'!$A:$X,MATCH('1) For HR (FIX)'!J$1,'HR Rep'!$A$1:$X$1,0),0),""),""))</f>
        <v/>
      </c>
      <c r="K234" s="161">
        <f>_xlfn.XLOOKUP(G234,ค่าตอบแทนการขายในอัตราคงที่!A:A,ค่าตอบแทนการขายในอัตราคงที่!B:B)</f>
        <v>0</v>
      </c>
      <c r="L234" s="174">
        <f>Period!$A$2</f>
        <v>46113</v>
      </c>
      <c r="M234" s="175">
        <f>Period!$C$2</f>
        <v>46143</v>
      </c>
      <c r="N234" s="194" t="s">
        <v>279</v>
      </c>
    </row>
    <row r="235" spans="1:14" ht="11.4" x14ac:dyDescent="0.25">
      <c r="A235" s="139"/>
      <c r="B235" s="169" t="e">
        <f>IF(IF(VLOOKUP(A235,ASTBase!F:P,11,FALSE)="","",VLOOKUP(A235,ASTBase!F:P,11,FALSE))=0,"",IF(VLOOKUP(A235,ASTBase!F:P,11,FALSE)="","",VLOOKUP(A235,ASTBase!F:P,11,FALSE)))</f>
        <v>#N/A</v>
      </c>
      <c r="C235" s="140" t="str">
        <f>IF(IFERROR(_xlfn.IFNA(VLOOKUP($A235,'HR Rep'!$A:$X,MATCH('1) For HR (FIX)'!C$1,'HR Rep'!$A$1:$X$1,0),0),""),"")="","",IFERROR(_xlfn.IFNA(VLOOKUP($A235,'HR Rep'!$A:$X,MATCH('1) For HR (FIX)'!C$1,'HR Rep'!$A$1:$X$1,0),0),""),""))</f>
        <v/>
      </c>
      <c r="D235" s="140" t="str">
        <f>IF(IFERROR(_xlfn.IFNA(VLOOKUP($A235,'HR Rep'!$A:$X,MATCH('1) For HR (FIX)'!D$1,'HR Rep'!$A$1:$X$1,0),0),""),"")="","",IFERROR(_xlfn.IFNA(VLOOKUP($A235,'HR Rep'!$A:$X,MATCH('1) For HR (FIX)'!D$1,'HR Rep'!$A$1:$X$1,0),0),""),""))</f>
        <v/>
      </c>
      <c r="E235" s="140" t="str">
        <f>IF(IFERROR(_xlfn.IFNA(VLOOKUP($A235,'HR Rep'!$A:$X,MATCH('1) For HR (FIX)'!E$1,'HR Rep'!$A$1:$X$1,0),0),""),"")="","",IFERROR(_xlfn.IFNA(VLOOKUP($A235,'HR Rep'!$A:$X,MATCH('1) For HR (FIX)'!E$1,'HR Rep'!$A$1:$X$1,0),0),""),""))</f>
        <v/>
      </c>
      <c r="F235" s="140" t="str">
        <f>IF(IFERROR(_xlfn.IFNA(VLOOKUP($A235,'HR Rep'!$A:$X,MATCH('1) For HR (FIX)'!F$1,'HR Rep'!$A$1:$X$1,0),0),""),"")="","",IFERROR(_xlfn.IFNA(VLOOKUP($A235,'HR Rep'!$A:$X,MATCH('1) For HR (FIX)'!F$1,'HR Rep'!$A$1:$X$1,0),0),""),""))</f>
        <v/>
      </c>
      <c r="G235" s="196"/>
      <c r="H235" s="140" t="str">
        <f>IF(IFERROR(_xlfn.IFNA(VLOOKUP($A235,'HR Rep'!$A:$X,MATCH('1) For HR (FIX)'!H$1,'HR Rep'!$A$1:$X$1,0),0),""),"")="","",IFERROR(_xlfn.IFNA(VLOOKUP($A235,'HR Rep'!$A:$X,MATCH('1) For HR (FIX)'!H$1,'HR Rep'!$A$1:$X$1,0),0),""),""))</f>
        <v/>
      </c>
      <c r="I235" s="140" t="str">
        <f>IF(IFERROR(_xlfn.IFNA(VLOOKUP($A235,'HR Rep'!$A:$X,MATCH('1) For HR (FIX)'!I$1,'HR Rep'!$A$1:$X$1,0),0),""),"")="","",IFERROR(_xlfn.IFNA(VLOOKUP($A235,'HR Rep'!$A:$X,MATCH('1) For HR (FIX)'!I$1,'HR Rep'!$A$1:$X$1,0),0),""),""))</f>
        <v/>
      </c>
      <c r="J235" s="140" t="str">
        <f>IF(IFERROR(_xlfn.IFNA(VLOOKUP($A235,'HR Rep'!$A:$X,MATCH('1) For HR (FIX)'!J$1,'HR Rep'!$A$1:$X$1,0),0),""),"")="","",IFERROR(_xlfn.IFNA(VLOOKUP($A235,'HR Rep'!$A:$X,MATCH('1) For HR (FIX)'!J$1,'HR Rep'!$A$1:$X$1,0),0),""),""))</f>
        <v/>
      </c>
      <c r="K235" s="161">
        <f>_xlfn.XLOOKUP(G235,ค่าตอบแทนการขายในอัตราคงที่!A:A,ค่าตอบแทนการขายในอัตราคงที่!B:B)</f>
        <v>0</v>
      </c>
      <c r="L235" s="174">
        <f>Period!$A$2</f>
        <v>46113</v>
      </c>
      <c r="M235" s="175">
        <f>Period!$C$2</f>
        <v>46143</v>
      </c>
      <c r="N235" s="194" t="s">
        <v>279</v>
      </c>
    </row>
    <row r="236" spans="1:14" ht="11.4" x14ac:dyDescent="0.25">
      <c r="A236" s="137"/>
      <c r="B236" s="169" t="e">
        <f>IF(IF(VLOOKUP(A236,ASTBase!F:P,11,FALSE)="","",VLOOKUP(A236,ASTBase!F:P,11,FALSE))=0,"",IF(VLOOKUP(A236,ASTBase!F:P,11,FALSE)="","",VLOOKUP(A236,ASTBase!F:P,11,FALSE)))</f>
        <v>#N/A</v>
      </c>
      <c r="C236" s="140" t="str">
        <f>IF(IFERROR(_xlfn.IFNA(VLOOKUP($A236,'HR Rep'!$A:$X,MATCH('1) For HR (FIX)'!C$1,'HR Rep'!$A$1:$X$1,0),0),""),"")="","",IFERROR(_xlfn.IFNA(VLOOKUP($A236,'HR Rep'!$A:$X,MATCH('1) For HR (FIX)'!C$1,'HR Rep'!$A$1:$X$1,0),0),""),""))</f>
        <v/>
      </c>
      <c r="D236" s="140" t="str">
        <f>IF(IFERROR(_xlfn.IFNA(VLOOKUP($A236,'HR Rep'!$A:$X,MATCH('1) For HR (FIX)'!D$1,'HR Rep'!$A$1:$X$1,0),0),""),"")="","",IFERROR(_xlfn.IFNA(VLOOKUP($A236,'HR Rep'!$A:$X,MATCH('1) For HR (FIX)'!D$1,'HR Rep'!$A$1:$X$1,0),0),""),""))</f>
        <v/>
      </c>
      <c r="E236" s="140" t="str">
        <f>IF(IFERROR(_xlfn.IFNA(VLOOKUP($A236,'HR Rep'!$A:$X,MATCH('1) For HR (FIX)'!E$1,'HR Rep'!$A$1:$X$1,0),0),""),"")="","",IFERROR(_xlfn.IFNA(VLOOKUP($A236,'HR Rep'!$A:$X,MATCH('1) For HR (FIX)'!E$1,'HR Rep'!$A$1:$X$1,0),0),""),""))</f>
        <v/>
      </c>
      <c r="F236" s="140" t="str">
        <f>IF(IFERROR(_xlfn.IFNA(VLOOKUP($A236,'HR Rep'!$A:$X,MATCH('1) For HR (FIX)'!F$1,'HR Rep'!$A$1:$X$1,0),0),""),"")="","",IFERROR(_xlfn.IFNA(VLOOKUP($A236,'HR Rep'!$A:$X,MATCH('1) For HR (FIX)'!F$1,'HR Rep'!$A$1:$X$1,0),0),""),""))</f>
        <v/>
      </c>
      <c r="G236" s="196"/>
      <c r="H236" s="140" t="str">
        <f>IF(IFERROR(_xlfn.IFNA(VLOOKUP($A236,'HR Rep'!$A:$X,MATCH('1) For HR (FIX)'!H$1,'HR Rep'!$A$1:$X$1,0),0),""),"")="","",IFERROR(_xlfn.IFNA(VLOOKUP($A236,'HR Rep'!$A:$X,MATCH('1) For HR (FIX)'!H$1,'HR Rep'!$A$1:$X$1,0),0),""),""))</f>
        <v/>
      </c>
      <c r="I236" s="140" t="str">
        <f>IF(IFERROR(_xlfn.IFNA(VLOOKUP($A236,'HR Rep'!$A:$X,MATCH('1) For HR (FIX)'!I$1,'HR Rep'!$A$1:$X$1,0),0),""),"")="","",IFERROR(_xlfn.IFNA(VLOOKUP($A236,'HR Rep'!$A:$X,MATCH('1) For HR (FIX)'!I$1,'HR Rep'!$A$1:$X$1,0),0),""),""))</f>
        <v/>
      </c>
      <c r="J236" s="140" t="str">
        <f>IF(IFERROR(_xlfn.IFNA(VLOOKUP($A236,'HR Rep'!$A:$X,MATCH('1) For HR (FIX)'!J$1,'HR Rep'!$A$1:$X$1,0),0),""),"")="","",IFERROR(_xlfn.IFNA(VLOOKUP($A236,'HR Rep'!$A:$X,MATCH('1) For HR (FIX)'!J$1,'HR Rep'!$A$1:$X$1,0),0),""),""))</f>
        <v/>
      </c>
      <c r="K236" s="161">
        <f>_xlfn.XLOOKUP(G236,ค่าตอบแทนการขายในอัตราคงที่!A:A,ค่าตอบแทนการขายในอัตราคงที่!B:B)</f>
        <v>0</v>
      </c>
      <c r="L236" s="174">
        <f>Period!$A$2</f>
        <v>46113</v>
      </c>
      <c r="M236" s="175">
        <f>Period!$C$2</f>
        <v>46143</v>
      </c>
      <c r="N236" s="194" t="s">
        <v>279</v>
      </c>
    </row>
    <row r="237" spans="1:14" ht="11.4" x14ac:dyDescent="0.25">
      <c r="A237" s="137"/>
      <c r="B237" s="169" t="e">
        <f>IF(IF(VLOOKUP(A237,ASTBase!F:P,11,FALSE)="","",VLOOKUP(A237,ASTBase!F:P,11,FALSE))=0,"",IF(VLOOKUP(A237,ASTBase!F:P,11,FALSE)="","",VLOOKUP(A237,ASTBase!F:P,11,FALSE)))</f>
        <v>#N/A</v>
      </c>
      <c r="C237" s="140" t="str">
        <f>IF(IFERROR(_xlfn.IFNA(VLOOKUP($A237,'HR Rep'!$A:$X,MATCH('1) For HR (FIX)'!C$1,'HR Rep'!$A$1:$X$1,0),0),""),"")="","",IFERROR(_xlfn.IFNA(VLOOKUP($A237,'HR Rep'!$A:$X,MATCH('1) For HR (FIX)'!C$1,'HR Rep'!$A$1:$X$1,0),0),""),""))</f>
        <v/>
      </c>
      <c r="D237" s="140" t="str">
        <f>IF(IFERROR(_xlfn.IFNA(VLOOKUP($A237,'HR Rep'!$A:$X,MATCH('1) For HR (FIX)'!D$1,'HR Rep'!$A$1:$X$1,0),0),""),"")="","",IFERROR(_xlfn.IFNA(VLOOKUP($A237,'HR Rep'!$A:$X,MATCH('1) For HR (FIX)'!D$1,'HR Rep'!$A$1:$X$1,0),0),""),""))</f>
        <v/>
      </c>
      <c r="E237" s="140" t="str">
        <f>IF(IFERROR(_xlfn.IFNA(VLOOKUP($A237,'HR Rep'!$A:$X,MATCH('1) For HR (FIX)'!E$1,'HR Rep'!$A$1:$X$1,0),0),""),"")="","",IFERROR(_xlfn.IFNA(VLOOKUP($A237,'HR Rep'!$A:$X,MATCH('1) For HR (FIX)'!E$1,'HR Rep'!$A$1:$X$1,0),0),""),""))</f>
        <v/>
      </c>
      <c r="F237" s="140" t="str">
        <f>IF(IFERROR(_xlfn.IFNA(VLOOKUP($A237,'HR Rep'!$A:$X,MATCH('1) For HR (FIX)'!F$1,'HR Rep'!$A$1:$X$1,0),0),""),"")="","",IFERROR(_xlfn.IFNA(VLOOKUP($A237,'HR Rep'!$A:$X,MATCH('1) For HR (FIX)'!F$1,'HR Rep'!$A$1:$X$1,0),0),""),""))</f>
        <v/>
      </c>
      <c r="G237" s="196"/>
      <c r="H237" s="140" t="str">
        <f>IF(IFERROR(_xlfn.IFNA(VLOOKUP($A237,'HR Rep'!$A:$X,MATCH('1) For HR (FIX)'!H$1,'HR Rep'!$A$1:$X$1,0),0),""),"")="","",IFERROR(_xlfn.IFNA(VLOOKUP($A237,'HR Rep'!$A:$X,MATCH('1) For HR (FIX)'!H$1,'HR Rep'!$A$1:$X$1,0),0),""),""))</f>
        <v/>
      </c>
      <c r="I237" s="140" t="str">
        <f>IF(IFERROR(_xlfn.IFNA(VLOOKUP($A237,'HR Rep'!$A:$X,MATCH('1) For HR (FIX)'!I$1,'HR Rep'!$A$1:$X$1,0),0),""),"")="","",IFERROR(_xlfn.IFNA(VLOOKUP($A237,'HR Rep'!$A:$X,MATCH('1) For HR (FIX)'!I$1,'HR Rep'!$A$1:$X$1,0),0),""),""))</f>
        <v/>
      </c>
      <c r="J237" s="140" t="str">
        <f>IF(IFERROR(_xlfn.IFNA(VLOOKUP($A237,'HR Rep'!$A:$X,MATCH('1) For HR (FIX)'!J$1,'HR Rep'!$A$1:$X$1,0),0),""),"")="","",IFERROR(_xlfn.IFNA(VLOOKUP($A237,'HR Rep'!$A:$X,MATCH('1) For HR (FIX)'!J$1,'HR Rep'!$A$1:$X$1,0),0),""),""))</f>
        <v/>
      </c>
      <c r="K237" s="161">
        <f>_xlfn.XLOOKUP(G237,ค่าตอบแทนการขายในอัตราคงที่!A:A,ค่าตอบแทนการขายในอัตราคงที่!B:B)</f>
        <v>0</v>
      </c>
      <c r="L237" s="174">
        <f>Period!$A$2</f>
        <v>46113</v>
      </c>
      <c r="M237" s="175">
        <f>Period!$C$2</f>
        <v>46143</v>
      </c>
      <c r="N237" s="194" t="s">
        <v>279</v>
      </c>
    </row>
    <row r="238" spans="1:14" ht="11.4" x14ac:dyDescent="0.25">
      <c r="A238" s="137"/>
      <c r="B238" s="169" t="e">
        <f>IF(IF(VLOOKUP(A238,ASTBase!F:P,11,FALSE)="","",VLOOKUP(A238,ASTBase!F:P,11,FALSE))=0,"",IF(VLOOKUP(A238,ASTBase!F:P,11,FALSE)="","",VLOOKUP(A238,ASTBase!F:P,11,FALSE)))</f>
        <v>#N/A</v>
      </c>
      <c r="C238" s="140" t="str">
        <f>IF(IFERROR(_xlfn.IFNA(VLOOKUP($A238,'HR Rep'!$A:$X,MATCH('1) For HR (FIX)'!C$1,'HR Rep'!$A$1:$X$1,0),0),""),"")="","",IFERROR(_xlfn.IFNA(VLOOKUP($A238,'HR Rep'!$A:$X,MATCH('1) For HR (FIX)'!C$1,'HR Rep'!$A$1:$X$1,0),0),""),""))</f>
        <v/>
      </c>
      <c r="D238" s="140" t="str">
        <f>IF(IFERROR(_xlfn.IFNA(VLOOKUP($A238,'HR Rep'!$A:$X,MATCH('1) For HR (FIX)'!D$1,'HR Rep'!$A$1:$X$1,0),0),""),"")="","",IFERROR(_xlfn.IFNA(VLOOKUP($A238,'HR Rep'!$A:$X,MATCH('1) For HR (FIX)'!D$1,'HR Rep'!$A$1:$X$1,0),0),""),""))</f>
        <v/>
      </c>
      <c r="E238" s="140" t="str">
        <f>IF(IFERROR(_xlfn.IFNA(VLOOKUP($A238,'HR Rep'!$A:$X,MATCH('1) For HR (FIX)'!E$1,'HR Rep'!$A$1:$X$1,0),0),""),"")="","",IFERROR(_xlfn.IFNA(VLOOKUP($A238,'HR Rep'!$A:$X,MATCH('1) For HR (FIX)'!E$1,'HR Rep'!$A$1:$X$1,0),0),""),""))</f>
        <v/>
      </c>
      <c r="F238" s="140" t="str">
        <f>IF(IFERROR(_xlfn.IFNA(VLOOKUP($A238,'HR Rep'!$A:$X,MATCH('1) For HR (FIX)'!F$1,'HR Rep'!$A$1:$X$1,0),0),""),"")="","",IFERROR(_xlfn.IFNA(VLOOKUP($A238,'HR Rep'!$A:$X,MATCH('1) For HR (FIX)'!F$1,'HR Rep'!$A$1:$X$1,0),0),""),""))</f>
        <v/>
      </c>
      <c r="G238" s="196"/>
      <c r="H238" s="140" t="str">
        <f>IF(IFERROR(_xlfn.IFNA(VLOOKUP($A238,'HR Rep'!$A:$X,MATCH('1) For HR (FIX)'!H$1,'HR Rep'!$A$1:$X$1,0),0),""),"")="","",IFERROR(_xlfn.IFNA(VLOOKUP($A238,'HR Rep'!$A:$X,MATCH('1) For HR (FIX)'!H$1,'HR Rep'!$A$1:$X$1,0),0),""),""))</f>
        <v/>
      </c>
      <c r="I238" s="140" t="str">
        <f>IF(IFERROR(_xlfn.IFNA(VLOOKUP($A238,'HR Rep'!$A:$X,MATCH('1) For HR (FIX)'!I$1,'HR Rep'!$A$1:$X$1,0),0),""),"")="","",IFERROR(_xlfn.IFNA(VLOOKUP($A238,'HR Rep'!$A:$X,MATCH('1) For HR (FIX)'!I$1,'HR Rep'!$A$1:$X$1,0),0),""),""))</f>
        <v/>
      </c>
      <c r="J238" s="140" t="str">
        <f>IF(IFERROR(_xlfn.IFNA(VLOOKUP($A238,'HR Rep'!$A:$X,MATCH('1) For HR (FIX)'!J$1,'HR Rep'!$A$1:$X$1,0),0),""),"")="","",IFERROR(_xlfn.IFNA(VLOOKUP($A238,'HR Rep'!$A:$X,MATCH('1) For HR (FIX)'!J$1,'HR Rep'!$A$1:$X$1,0),0),""),""))</f>
        <v/>
      </c>
      <c r="K238" s="161">
        <f>_xlfn.XLOOKUP(G238,ค่าตอบแทนการขายในอัตราคงที่!A:A,ค่าตอบแทนการขายในอัตราคงที่!B:B)</f>
        <v>0</v>
      </c>
      <c r="L238" s="174">
        <f>Period!$A$2</f>
        <v>46113</v>
      </c>
      <c r="M238" s="175">
        <f>Period!$C$2</f>
        <v>46143</v>
      </c>
      <c r="N238" s="194" t="s">
        <v>279</v>
      </c>
    </row>
    <row r="239" spans="1:14" ht="11.4" x14ac:dyDescent="0.25">
      <c r="A239" s="137"/>
      <c r="B239" s="169" t="e">
        <f>IF(IF(VLOOKUP(A239,ASTBase!F:P,11,FALSE)="","",VLOOKUP(A239,ASTBase!F:P,11,FALSE))=0,"",IF(VLOOKUP(A239,ASTBase!F:P,11,FALSE)="","",VLOOKUP(A239,ASTBase!F:P,11,FALSE)))</f>
        <v>#N/A</v>
      </c>
      <c r="C239" s="140" t="str">
        <f>IF(IFERROR(_xlfn.IFNA(VLOOKUP($A239,'HR Rep'!$A:$X,MATCH('1) For HR (FIX)'!C$1,'HR Rep'!$A$1:$X$1,0),0),""),"")="","",IFERROR(_xlfn.IFNA(VLOOKUP($A239,'HR Rep'!$A:$X,MATCH('1) For HR (FIX)'!C$1,'HR Rep'!$A$1:$X$1,0),0),""),""))</f>
        <v/>
      </c>
      <c r="D239" s="140" t="str">
        <f>IF(IFERROR(_xlfn.IFNA(VLOOKUP($A239,'HR Rep'!$A:$X,MATCH('1) For HR (FIX)'!D$1,'HR Rep'!$A$1:$X$1,0),0),""),"")="","",IFERROR(_xlfn.IFNA(VLOOKUP($A239,'HR Rep'!$A:$X,MATCH('1) For HR (FIX)'!D$1,'HR Rep'!$A$1:$X$1,0),0),""),""))</f>
        <v/>
      </c>
      <c r="E239" s="140" t="str">
        <f>IF(IFERROR(_xlfn.IFNA(VLOOKUP($A239,'HR Rep'!$A:$X,MATCH('1) For HR (FIX)'!E$1,'HR Rep'!$A$1:$X$1,0),0),""),"")="","",IFERROR(_xlfn.IFNA(VLOOKUP($A239,'HR Rep'!$A:$X,MATCH('1) For HR (FIX)'!E$1,'HR Rep'!$A$1:$X$1,0),0),""),""))</f>
        <v/>
      </c>
      <c r="F239" s="140" t="str">
        <f>IF(IFERROR(_xlfn.IFNA(VLOOKUP($A239,'HR Rep'!$A:$X,MATCH('1) For HR (FIX)'!F$1,'HR Rep'!$A$1:$X$1,0),0),""),"")="","",IFERROR(_xlfn.IFNA(VLOOKUP($A239,'HR Rep'!$A:$X,MATCH('1) For HR (FIX)'!F$1,'HR Rep'!$A$1:$X$1,0),0),""),""))</f>
        <v/>
      </c>
      <c r="G239" s="196"/>
      <c r="H239" s="140" t="str">
        <f>IF(IFERROR(_xlfn.IFNA(VLOOKUP($A239,'HR Rep'!$A:$X,MATCH('1) For HR (FIX)'!H$1,'HR Rep'!$A$1:$X$1,0),0),""),"")="","",IFERROR(_xlfn.IFNA(VLOOKUP($A239,'HR Rep'!$A:$X,MATCH('1) For HR (FIX)'!H$1,'HR Rep'!$A$1:$X$1,0),0),""),""))</f>
        <v/>
      </c>
      <c r="I239" s="140" t="str">
        <f>IF(IFERROR(_xlfn.IFNA(VLOOKUP($A239,'HR Rep'!$A:$X,MATCH('1) For HR (FIX)'!I$1,'HR Rep'!$A$1:$X$1,0),0),""),"")="","",IFERROR(_xlfn.IFNA(VLOOKUP($A239,'HR Rep'!$A:$X,MATCH('1) For HR (FIX)'!I$1,'HR Rep'!$A$1:$X$1,0),0),""),""))</f>
        <v/>
      </c>
      <c r="J239" s="140" t="str">
        <f>IF(IFERROR(_xlfn.IFNA(VLOOKUP($A239,'HR Rep'!$A:$X,MATCH('1) For HR (FIX)'!J$1,'HR Rep'!$A$1:$X$1,0),0),""),"")="","",IFERROR(_xlfn.IFNA(VLOOKUP($A239,'HR Rep'!$A:$X,MATCH('1) For HR (FIX)'!J$1,'HR Rep'!$A$1:$X$1,0),0),""),""))</f>
        <v/>
      </c>
      <c r="K239" s="161">
        <f>_xlfn.XLOOKUP(G239,ค่าตอบแทนการขายในอัตราคงที่!A:A,ค่าตอบแทนการขายในอัตราคงที่!B:B)</f>
        <v>0</v>
      </c>
      <c r="L239" s="174">
        <f>Period!$A$2</f>
        <v>46113</v>
      </c>
      <c r="M239" s="175">
        <f>Period!$C$2</f>
        <v>46143</v>
      </c>
      <c r="N239" s="194" t="s">
        <v>279</v>
      </c>
    </row>
    <row r="240" spans="1:14" ht="11.4" x14ac:dyDescent="0.25">
      <c r="A240" s="137"/>
      <c r="B240" s="169" t="e">
        <f>IF(IF(VLOOKUP(A240,ASTBase!F:P,11,FALSE)="","",VLOOKUP(A240,ASTBase!F:P,11,FALSE))=0,"",IF(VLOOKUP(A240,ASTBase!F:P,11,FALSE)="","",VLOOKUP(A240,ASTBase!F:P,11,FALSE)))</f>
        <v>#N/A</v>
      </c>
      <c r="C240" s="140" t="str">
        <f>IF(IFERROR(_xlfn.IFNA(VLOOKUP($A240,'HR Rep'!$A:$X,MATCH('1) For HR (FIX)'!C$1,'HR Rep'!$A$1:$X$1,0),0),""),"")="","",IFERROR(_xlfn.IFNA(VLOOKUP($A240,'HR Rep'!$A:$X,MATCH('1) For HR (FIX)'!C$1,'HR Rep'!$A$1:$X$1,0),0),""),""))</f>
        <v/>
      </c>
      <c r="D240" s="140" t="str">
        <f>IF(IFERROR(_xlfn.IFNA(VLOOKUP($A240,'HR Rep'!$A:$X,MATCH('1) For HR (FIX)'!D$1,'HR Rep'!$A$1:$X$1,0),0),""),"")="","",IFERROR(_xlfn.IFNA(VLOOKUP($A240,'HR Rep'!$A:$X,MATCH('1) For HR (FIX)'!D$1,'HR Rep'!$A$1:$X$1,0),0),""),""))</f>
        <v/>
      </c>
      <c r="E240" s="140" t="str">
        <f>IF(IFERROR(_xlfn.IFNA(VLOOKUP($A240,'HR Rep'!$A:$X,MATCH('1) For HR (FIX)'!E$1,'HR Rep'!$A$1:$X$1,0),0),""),"")="","",IFERROR(_xlfn.IFNA(VLOOKUP($A240,'HR Rep'!$A:$X,MATCH('1) For HR (FIX)'!E$1,'HR Rep'!$A$1:$X$1,0),0),""),""))</f>
        <v/>
      </c>
      <c r="F240" s="140" t="str">
        <f>IF(IFERROR(_xlfn.IFNA(VLOOKUP($A240,'HR Rep'!$A:$X,MATCH('1) For HR (FIX)'!F$1,'HR Rep'!$A$1:$X$1,0),0),""),"")="","",IFERROR(_xlfn.IFNA(VLOOKUP($A240,'HR Rep'!$A:$X,MATCH('1) For HR (FIX)'!F$1,'HR Rep'!$A$1:$X$1,0),0),""),""))</f>
        <v/>
      </c>
      <c r="G240" s="196"/>
      <c r="H240" s="140" t="str">
        <f>IF(IFERROR(_xlfn.IFNA(VLOOKUP($A240,'HR Rep'!$A:$X,MATCH('1) For HR (FIX)'!H$1,'HR Rep'!$A$1:$X$1,0),0),""),"")="","",IFERROR(_xlfn.IFNA(VLOOKUP($A240,'HR Rep'!$A:$X,MATCH('1) For HR (FIX)'!H$1,'HR Rep'!$A$1:$X$1,0),0),""),""))</f>
        <v/>
      </c>
      <c r="I240" s="140" t="str">
        <f>IF(IFERROR(_xlfn.IFNA(VLOOKUP($A240,'HR Rep'!$A:$X,MATCH('1) For HR (FIX)'!I$1,'HR Rep'!$A$1:$X$1,0),0),""),"")="","",IFERROR(_xlfn.IFNA(VLOOKUP($A240,'HR Rep'!$A:$X,MATCH('1) For HR (FIX)'!I$1,'HR Rep'!$A$1:$X$1,0),0),""),""))</f>
        <v/>
      </c>
      <c r="J240" s="140" t="str">
        <f>IF(IFERROR(_xlfn.IFNA(VLOOKUP($A240,'HR Rep'!$A:$X,MATCH('1) For HR (FIX)'!J$1,'HR Rep'!$A$1:$X$1,0),0),""),"")="","",IFERROR(_xlfn.IFNA(VLOOKUP($A240,'HR Rep'!$A:$X,MATCH('1) For HR (FIX)'!J$1,'HR Rep'!$A$1:$X$1,0),0),""),""))</f>
        <v/>
      </c>
      <c r="K240" s="161">
        <f>_xlfn.XLOOKUP(G240,ค่าตอบแทนการขายในอัตราคงที่!A:A,ค่าตอบแทนการขายในอัตราคงที่!B:B)</f>
        <v>0</v>
      </c>
      <c r="L240" s="174">
        <f>Period!$A$2</f>
        <v>46113</v>
      </c>
      <c r="M240" s="175">
        <f>Period!$C$2</f>
        <v>46143</v>
      </c>
      <c r="N240" s="194" t="s">
        <v>279</v>
      </c>
    </row>
    <row r="241" spans="1:14" ht="11.4" x14ac:dyDescent="0.25">
      <c r="A241" s="137"/>
      <c r="B241" s="169" t="e">
        <f>IF(IF(VLOOKUP(A241,ASTBase!F:P,11,FALSE)="","",VLOOKUP(A241,ASTBase!F:P,11,FALSE))=0,"",IF(VLOOKUP(A241,ASTBase!F:P,11,FALSE)="","",VLOOKUP(A241,ASTBase!F:P,11,FALSE)))</f>
        <v>#N/A</v>
      </c>
      <c r="C241" s="140" t="str">
        <f>IF(IFERROR(_xlfn.IFNA(VLOOKUP($A241,'HR Rep'!$A:$X,MATCH('1) For HR (FIX)'!C$1,'HR Rep'!$A$1:$X$1,0),0),""),"")="","",IFERROR(_xlfn.IFNA(VLOOKUP($A241,'HR Rep'!$A:$X,MATCH('1) For HR (FIX)'!C$1,'HR Rep'!$A$1:$X$1,0),0),""),""))</f>
        <v/>
      </c>
      <c r="D241" s="140" t="str">
        <f>IF(IFERROR(_xlfn.IFNA(VLOOKUP($A241,'HR Rep'!$A:$X,MATCH('1) For HR (FIX)'!D$1,'HR Rep'!$A$1:$X$1,0),0),""),"")="","",IFERROR(_xlfn.IFNA(VLOOKUP($A241,'HR Rep'!$A:$X,MATCH('1) For HR (FIX)'!D$1,'HR Rep'!$A$1:$X$1,0),0),""),""))</f>
        <v/>
      </c>
      <c r="E241" s="140" t="str">
        <f>IF(IFERROR(_xlfn.IFNA(VLOOKUP($A241,'HR Rep'!$A:$X,MATCH('1) For HR (FIX)'!E$1,'HR Rep'!$A$1:$X$1,0),0),""),"")="","",IFERROR(_xlfn.IFNA(VLOOKUP($A241,'HR Rep'!$A:$X,MATCH('1) For HR (FIX)'!E$1,'HR Rep'!$A$1:$X$1,0),0),""),""))</f>
        <v/>
      </c>
      <c r="F241" s="140" t="str">
        <f>IF(IFERROR(_xlfn.IFNA(VLOOKUP($A241,'HR Rep'!$A:$X,MATCH('1) For HR (FIX)'!F$1,'HR Rep'!$A$1:$X$1,0),0),""),"")="","",IFERROR(_xlfn.IFNA(VLOOKUP($A241,'HR Rep'!$A:$X,MATCH('1) For HR (FIX)'!F$1,'HR Rep'!$A$1:$X$1,0),0),""),""))</f>
        <v/>
      </c>
      <c r="G241" s="196"/>
      <c r="H241" s="140" t="str">
        <f>IF(IFERROR(_xlfn.IFNA(VLOOKUP($A241,'HR Rep'!$A:$X,MATCH('1) For HR (FIX)'!H$1,'HR Rep'!$A$1:$X$1,0),0),""),"")="","",IFERROR(_xlfn.IFNA(VLOOKUP($A241,'HR Rep'!$A:$X,MATCH('1) For HR (FIX)'!H$1,'HR Rep'!$A$1:$X$1,0),0),""),""))</f>
        <v/>
      </c>
      <c r="I241" s="140" t="str">
        <f>IF(IFERROR(_xlfn.IFNA(VLOOKUP($A241,'HR Rep'!$A:$X,MATCH('1) For HR (FIX)'!I$1,'HR Rep'!$A$1:$X$1,0),0),""),"")="","",IFERROR(_xlfn.IFNA(VLOOKUP($A241,'HR Rep'!$A:$X,MATCH('1) For HR (FIX)'!I$1,'HR Rep'!$A$1:$X$1,0),0),""),""))</f>
        <v/>
      </c>
      <c r="J241" s="140" t="str">
        <f>IF(IFERROR(_xlfn.IFNA(VLOOKUP($A241,'HR Rep'!$A:$X,MATCH('1) For HR (FIX)'!J$1,'HR Rep'!$A$1:$X$1,0),0),""),"")="","",IFERROR(_xlfn.IFNA(VLOOKUP($A241,'HR Rep'!$A:$X,MATCH('1) For HR (FIX)'!J$1,'HR Rep'!$A$1:$X$1,0),0),""),""))</f>
        <v/>
      </c>
      <c r="K241" s="161">
        <f>_xlfn.XLOOKUP(G241,ค่าตอบแทนการขายในอัตราคงที่!A:A,ค่าตอบแทนการขายในอัตราคงที่!B:B)</f>
        <v>0</v>
      </c>
      <c r="L241" s="174">
        <f>Period!$A$2</f>
        <v>46113</v>
      </c>
      <c r="M241" s="175">
        <f>Period!$C$2</f>
        <v>46143</v>
      </c>
      <c r="N241" s="194" t="s">
        <v>279</v>
      </c>
    </row>
    <row r="242" spans="1:14" ht="11.4" x14ac:dyDescent="0.25">
      <c r="A242" s="137"/>
      <c r="B242" s="169" t="e">
        <f>IF(IF(VLOOKUP(A242,ASTBase!F:P,11,FALSE)="","",VLOOKUP(A242,ASTBase!F:P,11,FALSE))=0,"",IF(VLOOKUP(A242,ASTBase!F:P,11,FALSE)="","",VLOOKUP(A242,ASTBase!F:P,11,FALSE)))</f>
        <v>#N/A</v>
      </c>
      <c r="C242" s="140" t="str">
        <f>IF(IFERROR(_xlfn.IFNA(VLOOKUP($A242,'HR Rep'!$A:$X,MATCH('1) For HR (FIX)'!C$1,'HR Rep'!$A$1:$X$1,0),0),""),"")="","",IFERROR(_xlfn.IFNA(VLOOKUP($A242,'HR Rep'!$A:$X,MATCH('1) For HR (FIX)'!C$1,'HR Rep'!$A$1:$X$1,0),0),""),""))</f>
        <v/>
      </c>
      <c r="D242" s="140" t="str">
        <f>IF(IFERROR(_xlfn.IFNA(VLOOKUP($A242,'HR Rep'!$A:$X,MATCH('1) For HR (FIX)'!D$1,'HR Rep'!$A$1:$X$1,0),0),""),"")="","",IFERROR(_xlfn.IFNA(VLOOKUP($A242,'HR Rep'!$A:$X,MATCH('1) For HR (FIX)'!D$1,'HR Rep'!$A$1:$X$1,0),0),""),""))</f>
        <v/>
      </c>
      <c r="E242" s="140" t="str">
        <f>IF(IFERROR(_xlfn.IFNA(VLOOKUP($A242,'HR Rep'!$A:$X,MATCH('1) For HR (FIX)'!E$1,'HR Rep'!$A$1:$X$1,0),0),""),"")="","",IFERROR(_xlfn.IFNA(VLOOKUP($A242,'HR Rep'!$A:$X,MATCH('1) For HR (FIX)'!E$1,'HR Rep'!$A$1:$X$1,0),0),""),""))</f>
        <v/>
      </c>
      <c r="F242" s="140" t="str">
        <f>IF(IFERROR(_xlfn.IFNA(VLOOKUP($A242,'HR Rep'!$A:$X,MATCH('1) For HR (FIX)'!F$1,'HR Rep'!$A$1:$X$1,0),0),""),"")="","",IFERROR(_xlfn.IFNA(VLOOKUP($A242,'HR Rep'!$A:$X,MATCH('1) For HR (FIX)'!F$1,'HR Rep'!$A$1:$X$1,0),0),""),""))</f>
        <v/>
      </c>
      <c r="G242" s="196"/>
      <c r="H242" s="140" t="str">
        <f>IF(IFERROR(_xlfn.IFNA(VLOOKUP($A242,'HR Rep'!$A:$X,MATCH('1) For HR (FIX)'!H$1,'HR Rep'!$A$1:$X$1,0),0),""),"")="","",IFERROR(_xlfn.IFNA(VLOOKUP($A242,'HR Rep'!$A:$X,MATCH('1) For HR (FIX)'!H$1,'HR Rep'!$A$1:$X$1,0),0),""),""))</f>
        <v/>
      </c>
      <c r="I242" s="140" t="str">
        <f>IF(IFERROR(_xlfn.IFNA(VLOOKUP($A242,'HR Rep'!$A:$X,MATCH('1) For HR (FIX)'!I$1,'HR Rep'!$A$1:$X$1,0),0),""),"")="","",IFERROR(_xlfn.IFNA(VLOOKUP($A242,'HR Rep'!$A:$X,MATCH('1) For HR (FIX)'!I$1,'HR Rep'!$A$1:$X$1,0),0),""),""))</f>
        <v/>
      </c>
      <c r="J242" s="140" t="str">
        <f>IF(IFERROR(_xlfn.IFNA(VLOOKUP($A242,'HR Rep'!$A:$X,MATCH('1) For HR (FIX)'!J$1,'HR Rep'!$A$1:$X$1,0),0),""),"")="","",IFERROR(_xlfn.IFNA(VLOOKUP($A242,'HR Rep'!$A:$X,MATCH('1) For HR (FIX)'!J$1,'HR Rep'!$A$1:$X$1,0),0),""),""))</f>
        <v/>
      </c>
      <c r="K242" s="161">
        <f>_xlfn.XLOOKUP(G242,ค่าตอบแทนการขายในอัตราคงที่!A:A,ค่าตอบแทนการขายในอัตราคงที่!B:B)</f>
        <v>0</v>
      </c>
      <c r="L242" s="174">
        <f>Period!$A$2</f>
        <v>46113</v>
      </c>
      <c r="M242" s="175">
        <f>Period!$C$2</f>
        <v>46143</v>
      </c>
      <c r="N242" s="194" t="s">
        <v>279</v>
      </c>
    </row>
    <row r="243" spans="1:14" ht="11.4" x14ac:dyDescent="0.25">
      <c r="A243" s="137"/>
      <c r="B243" s="169" t="e">
        <f>IF(IF(VLOOKUP(A243,ASTBase!F:P,11,FALSE)="","",VLOOKUP(A243,ASTBase!F:P,11,FALSE))=0,"",IF(VLOOKUP(A243,ASTBase!F:P,11,FALSE)="","",VLOOKUP(A243,ASTBase!F:P,11,FALSE)))</f>
        <v>#N/A</v>
      </c>
      <c r="C243" s="140" t="str">
        <f>IF(IFERROR(_xlfn.IFNA(VLOOKUP($A243,'HR Rep'!$A:$X,MATCH('1) For HR (FIX)'!C$1,'HR Rep'!$A$1:$X$1,0),0),""),"")="","",IFERROR(_xlfn.IFNA(VLOOKUP($A243,'HR Rep'!$A:$X,MATCH('1) For HR (FIX)'!C$1,'HR Rep'!$A$1:$X$1,0),0),""),""))</f>
        <v/>
      </c>
      <c r="D243" s="140" t="str">
        <f>IF(IFERROR(_xlfn.IFNA(VLOOKUP($A243,'HR Rep'!$A:$X,MATCH('1) For HR (FIX)'!D$1,'HR Rep'!$A$1:$X$1,0),0),""),"")="","",IFERROR(_xlfn.IFNA(VLOOKUP($A243,'HR Rep'!$A:$X,MATCH('1) For HR (FIX)'!D$1,'HR Rep'!$A$1:$X$1,0),0),""),""))</f>
        <v/>
      </c>
      <c r="E243" s="140" t="str">
        <f>IF(IFERROR(_xlfn.IFNA(VLOOKUP($A243,'HR Rep'!$A:$X,MATCH('1) For HR (FIX)'!E$1,'HR Rep'!$A$1:$X$1,0),0),""),"")="","",IFERROR(_xlfn.IFNA(VLOOKUP($A243,'HR Rep'!$A:$X,MATCH('1) For HR (FIX)'!E$1,'HR Rep'!$A$1:$X$1,0),0),""),""))</f>
        <v/>
      </c>
      <c r="F243" s="140" t="str">
        <f>IF(IFERROR(_xlfn.IFNA(VLOOKUP($A243,'HR Rep'!$A:$X,MATCH('1) For HR (FIX)'!F$1,'HR Rep'!$A$1:$X$1,0),0),""),"")="","",IFERROR(_xlfn.IFNA(VLOOKUP($A243,'HR Rep'!$A:$X,MATCH('1) For HR (FIX)'!F$1,'HR Rep'!$A$1:$X$1,0),0),""),""))</f>
        <v/>
      </c>
      <c r="G243" s="196"/>
      <c r="H243" s="140" t="str">
        <f>IF(IFERROR(_xlfn.IFNA(VLOOKUP($A243,'HR Rep'!$A:$X,MATCH('1) For HR (FIX)'!H$1,'HR Rep'!$A$1:$X$1,0),0),""),"")="","",IFERROR(_xlfn.IFNA(VLOOKUP($A243,'HR Rep'!$A:$X,MATCH('1) For HR (FIX)'!H$1,'HR Rep'!$A$1:$X$1,0),0),""),""))</f>
        <v/>
      </c>
      <c r="I243" s="140" t="str">
        <f>IF(IFERROR(_xlfn.IFNA(VLOOKUP($A243,'HR Rep'!$A:$X,MATCH('1) For HR (FIX)'!I$1,'HR Rep'!$A$1:$X$1,0),0),""),"")="","",IFERROR(_xlfn.IFNA(VLOOKUP($A243,'HR Rep'!$A:$X,MATCH('1) For HR (FIX)'!I$1,'HR Rep'!$A$1:$X$1,0),0),""),""))</f>
        <v/>
      </c>
      <c r="J243" s="140" t="str">
        <f>IF(IFERROR(_xlfn.IFNA(VLOOKUP($A243,'HR Rep'!$A:$X,MATCH('1) For HR (FIX)'!J$1,'HR Rep'!$A$1:$X$1,0),0),""),"")="","",IFERROR(_xlfn.IFNA(VLOOKUP($A243,'HR Rep'!$A:$X,MATCH('1) For HR (FIX)'!J$1,'HR Rep'!$A$1:$X$1,0),0),""),""))</f>
        <v/>
      </c>
      <c r="K243" s="161">
        <f>_xlfn.XLOOKUP(G243,ค่าตอบแทนการขายในอัตราคงที่!A:A,ค่าตอบแทนการขายในอัตราคงที่!B:B)</f>
        <v>0</v>
      </c>
      <c r="L243" s="174">
        <f>Period!$A$2</f>
        <v>46113</v>
      </c>
      <c r="M243" s="175">
        <f>Period!$C$2</f>
        <v>46143</v>
      </c>
      <c r="N243" s="194" t="s">
        <v>279</v>
      </c>
    </row>
    <row r="244" spans="1:14" ht="11.4" x14ac:dyDescent="0.25">
      <c r="A244" s="137"/>
      <c r="B244" s="169" t="e">
        <f>IF(IF(VLOOKUP(A244,ASTBase!F:P,11,FALSE)="","",VLOOKUP(A244,ASTBase!F:P,11,FALSE))=0,"",IF(VLOOKUP(A244,ASTBase!F:P,11,FALSE)="","",VLOOKUP(A244,ASTBase!F:P,11,FALSE)))</f>
        <v>#N/A</v>
      </c>
      <c r="C244" s="140" t="str">
        <f>IF(IFERROR(_xlfn.IFNA(VLOOKUP($A244,'HR Rep'!$A:$X,MATCH('1) For HR (FIX)'!C$1,'HR Rep'!$A$1:$X$1,0),0),""),"")="","",IFERROR(_xlfn.IFNA(VLOOKUP($A244,'HR Rep'!$A:$X,MATCH('1) For HR (FIX)'!C$1,'HR Rep'!$A$1:$X$1,0),0),""),""))</f>
        <v/>
      </c>
      <c r="D244" s="140" t="str">
        <f>IF(IFERROR(_xlfn.IFNA(VLOOKUP($A244,'HR Rep'!$A:$X,MATCH('1) For HR (FIX)'!D$1,'HR Rep'!$A$1:$X$1,0),0),""),"")="","",IFERROR(_xlfn.IFNA(VLOOKUP($A244,'HR Rep'!$A:$X,MATCH('1) For HR (FIX)'!D$1,'HR Rep'!$A$1:$X$1,0),0),""),""))</f>
        <v/>
      </c>
      <c r="E244" s="140" t="str">
        <f>IF(IFERROR(_xlfn.IFNA(VLOOKUP($A244,'HR Rep'!$A:$X,MATCH('1) For HR (FIX)'!E$1,'HR Rep'!$A$1:$X$1,0),0),""),"")="","",IFERROR(_xlfn.IFNA(VLOOKUP($A244,'HR Rep'!$A:$X,MATCH('1) For HR (FIX)'!E$1,'HR Rep'!$A$1:$X$1,0),0),""),""))</f>
        <v/>
      </c>
      <c r="F244" s="140" t="str">
        <f>IF(IFERROR(_xlfn.IFNA(VLOOKUP($A244,'HR Rep'!$A:$X,MATCH('1) For HR (FIX)'!F$1,'HR Rep'!$A$1:$X$1,0),0),""),"")="","",IFERROR(_xlfn.IFNA(VLOOKUP($A244,'HR Rep'!$A:$X,MATCH('1) For HR (FIX)'!F$1,'HR Rep'!$A$1:$X$1,0),0),""),""))</f>
        <v/>
      </c>
      <c r="G244" s="196"/>
      <c r="H244" s="140" t="str">
        <f>IF(IFERROR(_xlfn.IFNA(VLOOKUP($A244,'HR Rep'!$A:$X,MATCH('1) For HR (FIX)'!H$1,'HR Rep'!$A$1:$X$1,0),0),""),"")="","",IFERROR(_xlfn.IFNA(VLOOKUP($A244,'HR Rep'!$A:$X,MATCH('1) For HR (FIX)'!H$1,'HR Rep'!$A$1:$X$1,0),0),""),""))</f>
        <v/>
      </c>
      <c r="I244" s="140" t="str">
        <f>IF(IFERROR(_xlfn.IFNA(VLOOKUP($A244,'HR Rep'!$A:$X,MATCH('1) For HR (FIX)'!I$1,'HR Rep'!$A$1:$X$1,0),0),""),"")="","",IFERROR(_xlfn.IFNA(VLOOKUP($A244,'HR Rep'!$A:$X,MATCH('1) For HR (FIX)'!I$1,'HR Rep'!$A$1:$X$1,0),0),""),""))</f>
        <v/>
      </c>
      <c r="J244" s="140" t="str">
        <f>IF(IFERROR(_xlfn.IFNA(VLOOKUP($A244,'HR Rep'!$A:$X,MATCH('1) For HR (FIX)'!J$1,'HR Rep'!$A$1:$X$1,0),0),""),"")="","",IFERROR(_xlfn.IFNA(VLOOKUP($A244,'HR Rep'!$A:$X,MATCH('1) For HR (FIX)'!J$1,'HR Rep'!$A$1:$X$1,0),0),""),""))</f>
        <v/>
      </c>
      <c r="K244" s="161">
        <f>_xlfn.XLOOKUP(G244,ค่าตอบแทนการขายในอัตราคงที่!A:A,ค่าตอบแทนการขายในอัตราคงที่!B:B)</f>
        <v>0</v>
      </c>
      <c r="L244" s="174">
        <f>Period!$A$2</f>
        <v>46113</v>
      </c>
      <c r="M244" s="175">
        <f>Period!$C$2</f>
        <v>46143</v>
      </c>
      <c r="N244" s="194" t="s">
        <v>279</v>
      </c>
    </row>
    <row r="245" spans="1:14" ht="11.4" x14ac:dyDescent="0.25">
      <c r="A245" s="137"/>
      <c r="B245" s="169" t="e">
        <f>IF(IF(VLOOKUP(A245,ASTBase!F:P,11,FALSE)="","",VLOOKUP(A245,ASTBase!F:P,11,FALSE))=0,"",IF(VLOOKUP(A245,ASTBase!F:P,11,FALSE)="","",VLOOKUP(A245,ASTBase!F:P,11,FALSE)))</f>
        <v>#N/A</v>
      </c>
      <c r="C245" s="140" t="str">
        <f>IF(IFERROR(_xlfn.IFNA(VLOOKUP($A245,'HR Rep'!$A:$X,MATCH('1) For HR (FIX)'!C$1,'HR Rep'!$A$1:$X$1,0),0),""),"")="","",IFERROR(_xlfn.IFNA(VLOOKUP($A245,'HR Rep'!$A:$X,MATCH('1) For HR (FIX)'!C$1,'HR Rep'!$A$1:$X$1,0),0),""),""))</f>
        <v/>
      </c>
      <c r="D245" s="140" t="str">
        <f>IF(IFERROR(_xlfn.IFNA(VLOOKUP($A245,'HR Rep'!$A:$X,MATCH('1) For HR (FIX)'!D$1,'HR Rep'!$A$1:$X$1,0),0),""),"")="","",IFERROR(_xlfn.IFNA(VLOOKUP($A245,'HR Rep'!$A:$X,MATCH('1) For HR (FIX)'!D$1,'HR Rep'!$A$1:$X$1,0),0),""),""))</f>
        <v/>
      </c>
      <c r="E245" s="140" t="str">
        <f>IF(IFERROR(_xlfn.IFNA(VLOOKUP($A245,'HR Rep'!$A:$X,MATCH('1) For HR (FIX)'!E$1,'HR Rep'!$A$1:$X$1,0),0),""),"")="","",IFERROR(_xlfn.IFNA(VLOOKUP($A245,'HR Rep'!$A:$X,MATCH('1) For HR (FIX)'!E$1,'HR Rep'!$A$1:$X$1,0),0),""),""))</f>
        <v/>
      </c>
      <c r="F245" s="140" t="str">
        <f>IF(IFERROR(_xlfn.IFNA(VLOOKUP($A245,'HR Rep'!$A:$X,MATCH('1) For HR (FIX)'!F$1,'HR Rep'!$A$1:$X$1,0),0),""),"")="","",IFERROR(_xlfn.IFNA(VLOOKUP($A245,'HR Rep'!$A:$X,MATCH('1) For HR (FIX)'!F$1,'HR Rep'!$A$1:$X$1,0),0),""),""))</f>
        <v/>
      </c>
      <c r="G245" s="196"/>
      <c r="H245" s="140" t="str">
        <f>IF(IFERROR(_xlfn.IFNA(VLOOKUP($A245,'HR Rep'!$A:$X,MATCH('1) For HR (FIX)'!H$1,'HR Rep'!$A$1:$X$1,0),0),""),"")="","",IFERROR(_xlfn.IFNA(VLOOKUP($A245,'HR Rep'!$A:$X,MATCH('1) For HR (FIX)'!H$1,'HR Rep'!$A$1:$X$1,0),0),""),""))</f>
        <v/>
      </c>
      <c r="I245" s="140" t="str">
        <f>IF(IFERROR(_xlfn.IFNA(VLOOKUP($A245,'HR Rep'!$A:$X,MATCH('1) For HR (FIX)'!I$1,'HR Rep'!$A$1:$X$1,0),0),""),"")="","",IFERROR(_xlfn.IFNA(VLOOKUP($A245,'HR Rep'!$A:$X,MATCH('1) For HR (FIX)'!I$1,'HR Rep'!$A$1:$X$1,0),0),""),""))</f>
        <v/>
      </c>
      <c r="J245" s="140" t="str">
        <f>IF(IFERROR(_xlfn.IFNA(VLOOKUP($A245,'HR Rep'!$A:$X,MATCH('1) For HR (FIX)'!J$1,'HR Rep'!$A$1:$X$1,0),0),""),"")="","",IFERROR(_xlfn.IFNA(VLOOKUP($A245,'HR Rep'!$A:$X,MATCH('1) For HR (FIX)'!J$1,'HR Rep'!$A$1:$X$1,0),0),""),""))</f>
        <v/>
      </c>
      <c r="K245" s="161">
        <f>_xlfn.XLOOKUP(G245,ค่าตอบแทนการขายในอัตราคงที่!A:A,ค่าตอบแทนการขายในอัตราคงที่!B:B)</f>
        <v>0</v>
      </c>
      <c r="L245" s="174">
        <f>Period!$A$2</f>
        <v>46113</v>
      </c>
      <c r="M245" s="175">
        <f>Period!$C$2</f>
        <v>46143</v>
      </c>
      <c r="N245" s="194" t="s">
        <v>279</v>
      </c>
    </row>
    <row r="246" spans="1:14" ht="11.4" x14ac:dyDescent="0.25">
      <c r="A246" s="137"/>
      <c r="B246" s="169" t="e">
        <f>IF(IF(VLOOKUP(A246,ASTBase!F:P,11,FALSE)="","",VLOOKUP(A246,ASTBase!F:P,11,FALSE))=0,"",IF(VLOOKUP(A246,ASTBase!F:P,11,FALSE)="","",VLOOKUP(A246,ASTBase!F:P,11,FALSE)))</f>
        <v>#N/A</v>
      </c>
      <c r="C246" s="140" t="str">
        <f>IF(IFERROR(_xlfn.IFNA(VLOOKUP($A246,'HR Rep'!$A:$X,MATCH('1) For HR (FIX)'!C$1,'HR Rep'!$A$1:$X$1,0),0),""),"")="","",IFERROR(_xlfn.IFNA(VLOOKUP($A246,'HR Rep'!$A:$X,MATCH('1) For HR (FIX)'!C$1,'HR Rep'!$A$1:$X$1,0),0),""),""))</f>
        <v/>
      </c>
      <c r="D246" s="140" t="str">
        <f>IF(IFERROR(_xlfn.IFNA(VLOOKUP($A246,'HR Rep'!$A:$X,MATCH('1) For HR (FIX)'!D$1,'HR Rep'!$A$1:$X$1,0),0),""),"")="","",IFERROR(_xlfn.IFNA(VLOOKUP($A246,'HR Rep'!$A:$X,MATCH('1) For HR (FIX)'!D$1,'HR Rep'!$A$1:$X$1,0),0),""),""))</f>
        <v/>
      </c>
      <c r="E246" s="140" t="str">
        <f>IF(IFERROR(_xlfn.IFNA(VLOOKUP($A246,'HR Rep'!$A:$X,MATCH('1) For HR (FIX)'!E$1,'HR Rep'!$A$1:$X$1,0),0),""),"")="","",IFERROR(_xlfn.IFNA(VLOOKUP($A246,'HR Rep'!$A:$X,MATCH('1) For HR (FIX)'!E$1,'HR Rep'!$A$1:$X$1,0),0),""),""))</f>
        <v/>
      </c>
      <c r="F246" s="140" t="str">
        <f>IF(IFERROR(_xlfn.IFNA(VLOOKUP($A246,'HR Rep'!$A:$X,MATCH('1) For HR (FIX)'!F$1,'HR Rep'!$A$1:$X$1,0),0),""),"")="","",IFERROR(_xlfn.IFNA(VLOOKUP($A246,'HR Rep'!$A:$X,MATCH('1) For HR (FIX)'!F$1,'HR Rep'!$A$1:$X$1,0),0),""),""))</f>
        <v/>
      </c>
      <c r="G246" s="196"/>
      <c r="H246" s="140" t="str">
        <f>IF(IFERROR(_xlfn.IFNA(VLOOKUP($A246,'HR Rep'!$A:$X,MATCH('1) For HR (FIX)'!H$1,'HR Rep'!$A$1:$X$1,0),0),""),"")="","",IFERROR(_xlfn.IFNA(VLOOKUP($A246,'HR Rep'!$A:$X,MATCH('1) For HR (FIX)'!H$1,'HR Rep'!$A$1:$X$1,0),0),""),""))</f>
        <v/>
      </c>
      <c r="I246" s="140" t="str">
        <f>IF(IFERROR(_xlfn.IFNA(VLOOKUP($A246,'HR Rep'!$A:$X,MATCH('1) For HR (FIX)'!I$1,'HR Rep'!$A$1:$X$1,0),0),""),"")="","",IFERROR(_xlfn.IFNA(VLOOKUP($A246,'HR Rep'!$A:$X,MATCH('1) For HR (FIX)'!I$1,'HR Rep'!$A$1:$X$1,0),0),""),""))</f>
        <v/>
      </c>
      <c r="J246" s="140" t="str">
        <f>IF(IFERROR(_xlfn.IFNA(VLOOKUP($A246,'HR Rep'!$A:$X,MATCH('1) For HR (FIX)'!J$1,'HR Rep'!$A$1:$X$1,0),0),""),"")="","",IFERROR(_xlfn.IFNA(VLOOKUP($A246,'HR Rep'!$A:$X,MATCH('1) For HR (FIX)'!J$1,'HR Rep'!$A$1:$X$1,0),0),""),""))</f>
        <v/>
      </c>
      <c r="K246" s="161">
        <f>_xlfn.XLOOKUP(G246,ค่าตอบแทนการขายในอัตราคงที่!A:A,ค่าตอบแทนการขายในอัตราคงที่!B:B)</f>
        <v>0</v>
      </c>
      <c r="L246" s="174">
        <f>Period!$A$2</f>
        <v>46113</v>
      </c>
      <c r="M246" s="175">
        <f>Period!$C$2</f>
        <v>46143</v>
      </c>
      <c r="N246" s="194" t="s">
        <v>279</v>
      </c>
    </row>
    <row r="247" spans="1:14" ht="11.4" x14ac:dyDescent="0.25">
      <c r="A247" s="137"/>
      <c r="B247" s="169" t="e">
        <f>IF(IF(VLOOKUP(A247,ASTBase!F:P,11,FALSE)="","",VLOOKUP(A247,ASTBase!F:P,11,FALSE))=0,"",IF(VLOOKUP(A247,ASTBase!F:P,11,FALSE)="","",VLOOKUP(A247,ASTBase!F:P,11,FALSE)))</f>
        <v>#N/A</v>
      </c>
      <c r="C247" s="140" t="str">
        <f>IF(IFERROR(_xlfn.IFNA(VLOOKUP($A247,'HR Rep'!$A:$X,MATCH('1) For HR (FIX)'!C$1,'HR Rep'!$A$1:$X$1,0),0),""),"")="","",IFERROR(_xlfn.IFNA(VLOOKUP($A247,'HR Rep'!$A:$X,MATCH('1) For HR (FIX)'!C$1,'HR Rep'!$A$1:$X$1,0),0),""),""))</f>
        <v/>
      </c>
      <c r="D247" s="140" t="str">
        <f>IF(IFERROR(_xlfn.IFNA(VLOOKUP($A247,'HR Rep'!$A:$X,MATCH('1) For HR (FIX)'!D$1,'HR Rep'!$A$1:$X$1,0),0),""),"")="","",IFERROR(_xlfn.IFNA(VLOOKUP($A247,'HR Rep'!$A:$X,MATCH('1) For HR (FIX)'!D$1,'HR Rep'!$A$1:$X$1,0),0),""),""))</f>
        <v/>
      </c>
      <c r="E247" s="140" t="str">
        <f>IF(IFERROR(_xlfn.IFNA(VLOOKUP($A247,'HR Rep'!$A:$X,MATCH('1) For HR (FIX)'!E$1,'HR Rep'!$A$1:$X$1,0),0),""),"")="","",IFERROR(_xlfn.IFNA(VLOOKUP($A247,'HR Rep'!$A:$X,MATCH('1) For HR (FIX)'!E$1,'HR Rep'!$A$1:$X$1,0),0),""),""))</f>
        <v/>
      </c>
      <c r="F247" s="140" t="str">
        <f>IF(IFERROR(_xlfn.IFNA(VLOOKUP($A247,'HR Rep'!$A:$X,MATCH('1) For HR (FIX)'!F$1,'HR Rep'!$A$1:$X$1,0),0),""),"")="","",IFERROR(_xlfn.IFNA(VLOOKUP($A247,'HR Rep'!$A:$X,MATCH('1) For HR (FIX)'!F$1,'HR Rep'!$A$1:$X$1,0),0),""),""))</f>
        <v/>
      </c>
      <c r="G247" s="196"/>
      <c r="H247" s="140" t="str">
        <f>IF(IFERROR(_xlfn.IFNA(VLOOKUP($A247,'HR Rep'!$A:$X,MATCH('1) For HR (FIX)'!H$1,'HR Rep'!$A$1:$X$1,0),0),""),"")="","",IFERROR(_xlfn.IFNA(VLOOKUP($A247,'HR Rep'!$A:$X,MATCH('1) For HR (FIX)'!H$1,'HR Rep'!$A$1:$X$1,0),0),""),""))</f>
        <v/>
      </c>
      <c r="I247" s="140" t="str">
        <f>IF(IFERROR(_xlfn.IFNA(VLOOKUP($A247,'HR Rep'!$A:$X,MATCH('1) For HR (FIX)'!I$1,'HR Rep'!$A$1:$X$1,0),0),""),"")="","",IFERROR(_xlfn.IFNA(VLOOKUP($A247,'HR Rep'!$A:$X,MATCH('1) For HR (FIX)'!I$1,'HR Rep'!$A$1:$X$1,0),0),""),""))</f>
        <v/>
      </c>
      <c r="J247" s="140" t="str">
        <f>IF(IFERROR(_xlfn.IFNA(VLOOKUP($A247,'HR Rep'!$A:$X,MATCH('1) For HR (FIX)'!J$1,'HR Rep'!$A$1:$X$1,0),0),""),"")="","",IFERROR(_xlfn.IFNA(VLOOKUP($A247,'HR Rep'!$A:$X,MATCH('1) For HR (FIX)'!J$1,'HR Rep'!$A$1:$X$1,0),0),""),""))</f>
        <v/>
      </c>
      <c r="K247" s="161">
        <f>_xlfn.XLOOKUP(G247,ค่าตอบแทนการขายในอัตราคงที่!A:A,ค่าตอบแทนการขายในอัตราคงที่!B:B)</f>
        <v>0</v>
      </c>
      <c r="L247" s="174">
        <f>Period!$A$2</f>
        <v>46113</v>
      </c>
      <c r="M247" s="175">
        <f>Period!$C$2</f>
        <v>46143</v>
      </c>
      <c r="N247" s="194" t="s">
        <v>279</v>
      </c>
    </row>
    <row r="248" spans="1:14" ht="11.4" x14ac:dyDescent="0.25">
      <c r="A248" s="138"/>
      <c r="B248" s="169" t="e">
        <f>IF(IF(VLOOKUP(A248,ASTBase!F:P,11,FALSE)="","",VLOOKUP(A248,ASTBase!F:P,11,FALSE))=0,"",IF(VLOOKUP(A248,ASTBase!F:P,11,FALSE)="","",VLOOKUP(A248,ASTBase!F:P,11,FALSE)))</f>
        <v>#N/A</v>
      </c>
      <c r="C248" s="140" t="str">
        <f>IF(IFERROR(_xlfn.IFNA(VLOOKUP($A248,'HR Rep'!$A:$X,MATCH('1) For HR (FIX)'!C$1,'HR Rep'!$A$1:$X$1,0),0),""),"")="","",IFERROR(_xlfn.IFNA(VLOOKUP($A248,'HR Rep'!$A:$X,MATCH('1) For HR (FIX)'!C$1,'HR Rep'!$A$1:$X$1,0),0),""),""))</f>
        <v/>
      </c>
      <c r="D248" s="140" t="str">
        <f>IF(IFERROR(_xlfn.IFNA(VLOOKUP($A248,'HR Rep'!$A:$X,MATCH('1) For HR (FIX)'!D$1,'HR Rep'!$A$1:$X$1,0),0),""),"")="","",IFERROR(_xlfn.IFNA(VLOOKUP($A248,'HR Rep'!$A:$X,MATCH('1) For HR (FIX)'!D$1,'HR Rep'!$A$1:$X$1,0),0),""),""))</f>
        <v/>
      </c>
      <c r="E248" s="140" t="str">
        <f>IF(IFERROR(_xlfn.IFNA(VLOOKUP($A248,'HR Rep'!$A:$X,MATCH('1) For HR (FIX)'!E$1,'HR Rep'!$A$1:$X$1,0),0),""),"")="","",IFERROR(_xlfn.IFNA(VLOOKUP($A248,'HR Rep'!$A:$X,MATCH('1) For HR (FIX)'!E$1,'HR Rep'!$A$1:$X$1,0),0),""),""))</f>
        <v/>
      </c>
      <c r="F248" s="140" t="str">
        <f>IF(IFERROR(_xlfn.IFNA(VLOOKUP($A248,'HR Rep'!$A:$X,MATCH('1) For HR (FIX)'!F$1,'HR Rep'!$A$1:$X$1,0),0),""),"")="","",IFERROR(_xlfn.IFNA(VLOOKUP($A248,'HR Rep'!$A:$X,MATCH('1) For HR (FIX)'!F$1,'HR Rep'!$A$1:$X$1,0),0),""),""))</f>
        <v/>
      </c>
      <c r="G248" s="196"/>
      <c r="H248" s="140" t="str">
        <f>IF(IFERROR(_xlfn.IFNA(VLOOKUP($A248,'HR Rep'!$A:$X,MATCH('1) For HR (FIX)'!H$1,'HR Rep'!$A$1:$X$1,0),0),""),"")="","",IFERROR(_xlfn.IFNA(VLOOKUP($A248,'HR Rep'!$A:$X,MATCH('1) For HR (FIX)'!H$1,'HR Rep'!$A$1:$X$1,0),0),""),""))</f>
        <v/>
      </c>
      <c r="I248" s="140" t="str">
        <f>IF(IFERROR(_xlfn.IFNA(VLOOKUP($A248,'HR Rep'!$A:$X,MATCH('1) For HR (FIX)'!I$1,'HR Rep'!$A$1:$X$1,0),0),""),"")="","",IFERROR(_xlfn.IFNA(VLOOKUP($A248,'HR Rep'!$A:$X,MATCH('1) For HR (FIX)'!I$1,'HR Rep'!$A$1:$X$1,0),0),""),""))</f>
        <v/>
      </c>
      <c r="J248" s="140" t="str">
        <f>IF(IFERROR(_xlfn.IFNA(VLOOKUP($A248,'HR Rep'!$A:$X,MATCH('1) For HR (FIX)'!J$1,'HR Rep'!$A$1:$X$1,0),0),""),"")="","",IFERROR(_xlfn.IFNA(VLOOKUP($A248,'HR Rep'!$A:$X,MATCH('1) For HR (FIX)'!J$1,'HR Rep'!$A$1:$X$1,0),0),""),""))</f>
        <v/>
      </c>
      <c r="K248" s="161">
        <f>_xlfn.XLOOKUP(G248,ค่าตอบแทนการขายในอัตราคงที่!A:A,ค่าตอบแทนการขายในอัตราคงที่!B:B)</f>
        <v>0</v>
      </c>
      <c r="L248" s="174">
        <f>Period!$A$2</f>
        <v>46113</v>
      </c>
      <c r="M248" s="175">
        <f>Period!$C$2</f>
        <v>46143</v>
      </c>
      <c r="N248" s="194" t="s">
        <v>279</v>
      </c>
    </row>
    <row r="249" spans="1:14" ht="11.4" x14ac:dyDescent="0.25">
      <c r="A249" s="138"/>
      <c r="B249" s="169" t="e">
        <f>IF(IF(VLOOKUP(A249,ASTBase!F:P,11,FALSE)="","",VLOOKUP(A249,ASTBase!F:P,11,FALSE))=0,"",IF(VLOOKUP(A249,ASTBase!F:P,11,FALSE)="","",VLOOKUP(A249,ASTBase!F:P,11,FALSE)))</f>
        <v>#N/A</v>
      </c>
      <c r="C249" s="140" t="str">
        <f>IF(IFERROR(_xlfn.IFNA(VLOOKUP($A249,'HR Rep'!$A:$X,MATCH('1) For HR (FIX)'!C$1,'HR Rep'!$A$1:$X$1,0),0),""),"")="","",IFERROR(_xlfn.IFNA(VLOOKUP($A249,'HR Rep'!$A:$X,MATCH('1) For HR (FIX)'!C$1,'HR Rep'!$A$1:$X$1,0),0),""),""))</f>
        <v/>
      </c>
      <c r="D249" s="140" t="str">
        <f>IF(IFERROR(_xlfn.IFNA(VLOOKUP($A249,'HR Rep'!$A:$X,MATCH('1) For HR (FIX)'!D$1,'HR Rep'!$A$1:$X$1,0),0),""),"")="","",IFERROR(_xlfn.IFNA(VLOOKUP($A249,'HR Rep'!$A:$X,MATCH('1) For HR (FIX)'!D$1,'HR Rep'!$A$1:$X$1,0),0),""),""))</f>
        <v/>
      </c>
      <c r="E249" s="140" t="str">
        <f>IF(IFERROR(_xlfn.IFNA(VLOOKUP($A249,'HR Rep'!$A:$X,MATCH('1) For HR (FIX)'!E$1,'HR Rep'!$A$1:$X$1,0),0),""),"")="","",IFERROR(_xlfn.IFNA(VLOOKUP($A249,'HR Rep'!$A:$X,MATCH('1) For HR (FIX)'!E$1,'HR Rep'!$A$1:$X$1,0),0),""),""))</f>
        <v/>
      </c>
      <c r="F249" s="140" t="str">
        <f>IF(IFERROR(_xlfn.IFNA(VLOOKUP($A249,'HR Rep'!$A:$X,MATCH('1) For HR (FIX)'!F$1,'HR Rep'!$A$1:$X$1,0),0),""),"")="","",IFERROR(_xlfn.IFNA(VLOOKUP($A249,'HR Rep'!$A:$X,MATCH('1) For HR (FIX)'!F$1,'HR Rep'!$A$1:$X$1,0),0),""),""))</f>
        <v/>
      </c>
      <c r="G249" s="196"/>
      <c r="H249" s="140" t="str">
        <f>IF(IFERROR(_xlfn.IFNA(VLOOKUP($A249,'HR Rep'!$A:$X,MATCH('1) For HR (FIX)'!H$1,'HR Rep'!$A$1:$X$1,0),0),""),"")="","",IFERROR(_xlfn.IFNA(VLOOKUP($A249,'HR Rep'!$A:$X,MATCH('1) For HR (FIX)'!H$1,'HR Rep'!$A$1:$X$1,0),0),""),""))</f>
        <v/>
      </c>
      <c r="I249" s="140" t="str">
        <f>IF(IFERROR(_xlfn.IFNA(VLOOKUP($A249,'HR Rep'!$A:$X,MATCH('1) For HR (FIX)'!I$1,'HR Rep'!$A$1:$X$1,0),0),""),"")="","",IFERROR(_xlfn.IFNA(VLOOKUP($A249,'HR Rep'!$A:$X,MATCH('1) For HR (FIX)'!I$1,'HR Rep'!$A$1:$X$1,0),0),""),""))</f>
        <v/>
      </c>
      <c r="J249" s="140" t="str">
        <f>IF(IFERROR(_xlfn.IFNA(VLOOKUP($A249,'HR Rep'!$A:$X,MATCH('1) For HR (FIX)'!J$1,'HR Rep'!$A$1:$X$1,0),0),""),"")="","",IFERROR(_xlfn.IFNA(VLOOKUP($A249,'HR Rep'!$A:$X,MATCH('1) For HR (FIX)'!J$1,'HR Rep'!$A$1:$X$1,0),0),""),""))</f>
        <v/>
      </c>
      <c r="K249" s="161">
        <f>_xlfn.XLOOKUP(G249,ค่าตอบแทนการขายในอัตราคงที่!A:A,ค่าตอบแทนการขายในอัตราคงที่!B:B)</f>
        <v>0</v>
      </c>
      <c r="L249" s="174">
        <f>Period!$A$2</f>
        <v>46113</v>
      </c>
      <c r="M249" s="175">
        <f>Period!$C$2</f>
        <v>46143</v>
      </c>
      <c r="N249" s="194" t="s">
        <v>279</v>
      </c>
    </row>
    <row r="250" spans="1:14" ht="11.4" x14ac:dyDescent="0.25">
      <c r="A250" s="138"/>
      <c r="B250" s="169" t="e">
        <f>IF(IF(VLOOKUP(A250,ASTBase!F:P,11,FALSE)="","",VLOOKUP(A250,ASTBase!F:P,11,FALSE))=0,"",IF(VLOOKUP(A250,ASTBase!F:P,11,FALSE)="","",VLOOKUP(A250,ASTBase!F:P,11,FALSE)))</f>
        <v>#N/A</v>
      </c>
      <c r="C250" s="140" t="str">
        <f>IF(IFERROR(_xlfn.IFNA(VLOOKUP($A250,'HR Rep'!$A:$X,MATCH('1) For HR (FIX)'!C$1,'HR Rep'!$A$1:$X$1,0),0),""),"")="","",IFERROR(_xlfn.IFNA(VLOOKUP($A250,'HR Rep'!$A:$X,MATCH('1) For HR (FIX)'!C$1,'HR Rep'!$A$1:$X$1,0),0),""),""))</f>
        <v/>
      </c>
      <c r="D250" s="140" t="str">
        <f>IF(IFERROR(_xlfn.IFNA(VLOOKUP($A250,'HR Rep'!$A:$X,MATCH('1) For HR (FIX)'!D$1,'HR Rep'!$A$1:$X$1,0),0),""),"")="","",IFERROR(_xlfn.IFNA(VLOOKUP($A250,'HR Rep'!$A:$X,MATCH('1) For HR (FIX)'!D$1,'HR Rep'!$A$1:$X$1,0),0),""),""))</f>
        <v/>
      </c>
      <c r="E250" s="140" t="str">
        <f>IF(IFERROR(_xlfn.IFNA(VLOOKUP($A250,'HR Rep'!$A:$X,MATCH('1) For HR (FIX)'!E$1,'HR Rep'!$A$1:$X$1,0),0),""),"")="","",IFERROR(_xlfn.IFNA(VLOOKUP($A250,'HR Rep'!$A:$X,MATCH('1) For HR (FIX)'!E$1,'HR Rep'!$A$1:$X$1,0),0),""),""))</f>
        <v/>
      </c>
      <c r="F250" s="140" t="str">
        <f>IF(IFERROR(_xlfn.IFNA(VLOOKUP($A250,'HR Rep'!$A:$X,MATCH('1) For HR (FIX)'!F$1,'HR Rep'!$A$1:$X$1,0),0),""),"")="","",IFERROR(_xlfn.IFNA(VLOOKUP($A250,'HR Rep'!$A:$X,MATCH('1) For HR (FIX)'!F$1,'HR Rep'!$A$1:$X$1,0),0),""),""))</f>
        <v/>
      </c>
      <c r="G250" s="196"/>
      <c r="H250" s="140" t="str">
        <f>IF(IFERROR(_xlfn.IFNA(VLOOKUP($A250,'HR Rep'!$A:$X,MATCH('1) For HR (FIX)'!H$1,'HR Rep'!$A$1:$X$1,0),0),""),"")="","",IFERROR(_xlfn.IFNA(VLOOKUP($A250,'HR Rep'!$A:$X,MATCH('1) For HR (FIX)'!H$1,'HR Rep'!$A$1:$X$1,0),0),""),""))</f>
        <v/>
      </c>
      <c r="I250" s="140" t="str">
        <f>IF(IFERROR(_xlfn.IFNA(VLOOKUP($A250,'HR Rep'!$A:$X,MATCH('1) For HR (FIX)'!I$1,'HR Rep'!$A$1:$X$1,0),0),""),"")="","",IFERROR(_xlfn.IFNA(VLOOKUP($A250,'HR Rep'!$A:$X,MATCH('1) For HR (FIX)'!I$1,'HR Rep'!$A$1:$X$1,0),0),""),""))</f>
        <v/>
      </c>
      <c r="J250" s="140" t="str">
        <f>IF(IFERROR(_xlfn.IFNA(VLOOKUP($A250,'HR Rep'!$A:$X,MATCH('1) For HR (FIX)'!J$1,'HR Rep'!$A$1:$X$1,0),0),""),"")="","",IFERROR(_xlfn.IFNA(VLOOKUP($A250,'HR Rep'!$A:$X,MATCH('1) For HR (FIX)'!J$1,'HR Rep'!$A$1:$X$1,0),0),""),""))</f>
        <v/>
      </c>
      <c r="K250" s="161">
        <f>_xlfn.XLOOKUP(G250,ค่าตอบแทนการขายในอัตราคงที่!A:A,ค่าตอบแทนการขายในอัตราคงที่!B:B)</f>
        <v>0</v>
      </c>
      <c r="L250" s="174">
        <f>Period!$A$2</f>
        <v>46113</v>
      </c>
      <c r="M250" s="175">
        <f>Period!$C$2</f>
        <v>46143</v>
      </c>
      <c r="N250" s="194" t="s">
        <v>279</v>
      </c>
    </row>
    <row r="251" spans="1:14" ht="11.4" x14ac:dyDescent="0.25">
      <c r="A251" s="138"/>
      <c r="B251" s="169" t="e">
        <f>IF(IF(VLOOKUP(A251,ASTBase!F:P,11,FALSE)="","",VLOOKUP(A251,ASTBase!F:P,11,FALSE))=0,"",IF(VLOOKUP(A251,ASTBase!F:P,11,FALSE)="","",VLOOKUP(A251,ASTBase!F:P,11,FALSE)))</f>
        <v>#N/A</v>
      </c>
      <c r="C251" s="140" t="str">
        <f>IF(IFERROR(_xlfn.IFNA(VLOOKUP($A251,'HR Rep'!$A:$X,MATCH('1) For HR (FIX)'!C$1,'HR Rep'!$A$1:$X$1,0),0),""),"")="","",IFERROR(_xlfn.IFNA(VLOOKUP($A251,'HR Rep'!$A:$X,MATCH('1) For HR (FIX)'!C$1,'HR Rep'!$A$1:$X$1,0),0),""),""))</f>
        <v/>
      </c>
      <c r="D251" s="140" t="str">
        <f>IF(IFERROR(_xlfn.IFNA(VLOOKUP($A251,'HR Rep'!$A:$X,MATCH('1) For HR (FIX)'!D$1,'HR Rep'!$A$1:$X$1,0),0),""),"")="","",IFERROR(_xlfn.IFNA(VLOOKUP($A251,'HR Rep'!$A:$X,MATCH('1) For HR (FIX)'!D$1,'HR Rep'!$A$1:$X$1,0),0),""),""))</f>
        <v/>
      </c>
      <c r="E251" s="140" t="str">
        <f>IF(IFERROR(_xlfn.IFNA(VLOOKUP($A251,'HR Rep'!$A:$X,MATCH('1) For HR (FIX)'!E$1,'HR Rep'!$A$1:$X$1,0),0),""),"")="","",IFERROR(_xlfn.IFNA(VLOOKUP($A251,'HR Rep'!$A:$X,MATCH('1) For HR (FIX)'!E$1,'HR Rep'!$A$1:$X$1,0),0),""),""))</f>
        <v/>
      </c>
      <c r="F251" s="140" t="str">
        <f>IF(IFERROR(_xlfn.IFNA(VLOOKUP($A251,'HR Rep'!$A:$X,MATCH('1) For HR (FIX)'!F$1,'HR Rep'!$A$1:$X$1,0),0),""),"")="","",IFERROR(_xlfn.IFNA(VLOOKUP($A251,'HR Rep'!$A:$X,MATCH('1) For HR (FIX)'!F$1,'HR Rep'!$A$1:$X$1,0),0),""),""))</f>
        <v/>
      </c>
      <c r="G251" s="196"/>
      <c r="H251" s="140" t="str">
        <f>IF(IFERROR(_xlfn.IFNA(VLOOKUP($A251,'HR Rep'!$A:$X,MATCH('1) For HR (FIX)'!H$1,'HR Rep'!$A$1:$X$1,0),0),""),"")="","",IFERROR(_xlfn.IFNA(VLOOKUP($A251,'HR Rep'!$A:$X,MATCH('1) For HR (FIX)'!H$1,'HR Rep'!$A$1:$X$1,0),0),""),""))</f>
        <v/>
      </c>
      <c r="I251" s="140" t="str">
        <f>IF(IFERROR(_xlfn.IFNA(VLOOKUP($A251,'HR Rep'!$A:$X,MATCH('1) For HR (FIX)'!I$1,'HR Rep'!$A$1:$X$1,0),0),""),"")="","",IFERROR(_xlfn.IFNA(VLOOKUP($A251,'HR Rep'!$A:$X,MATCH('1) For HR (FIX)'!I$1,'HR Rep'!$A$1:$X$1,0),0),""),""))</f>
        <v/>
      </c>
      <c r="J251" s="140" t="str">
        <f>IF(IFERROR(_xlfn.IFNA(VLOOKUP($A251,'HR Rep'!$A:$X,MATCH('1) For HR (FIX)'!J$1,'HR Rep'!$A$1:$X$1,0),0),""),"")="","",IFERROR(_xlfn.IFNA(VLOOKUP($A251,'HR Rep'!$A:$X,MATCH('1) For HR (FIX)'!J$1,'HR Rep'!$A$1:$X$1,0),0),""),""))</f>
        <v/>
      </c>
      <c r="K251" s="161">
        <f>_xlfn.XLOOKUP(G251,ค่าตอบแทนการขายในอัตราคงที่!A:A,ค่าตอบแทนการขายในอัตราคงที่!B:B)</f>
        <v>0</v>
      </c>
      <c r="L251" s="174">
        <f>Period!$A$2</f>
        <v>46113</v>
      </c>
      <c r="M251" s="175">
        <f>Period!$C$2</f>
        <v>46143</v>
      </c>
      <c r="N251" s="194" t="s">
        <v>279</v>
      </c>
    </row>
    <row r="252" spans="1:14" ht="11.4" x14ac:dyDescent="0.25">
      <c r="A252" s="138"/>
      <c r="B252" s="169" t="e">
        <f>IF(IF(VLOOKUP(A252,ASTBase!F:P,11,FALSE)="","",VLOOKUP(A252,ASTBase!F:P,11,FALSE))=0,"",IF(VLOOKUP(A252,ASTBase!F:P,11,FALSE)="","",VLOOKUP(A252,ASTBase!F:P,11,FALSE)))</f>
        <v>#N/A</v>
      </c>
      <c r="C252" s="140" t="str">
        <f>IF(IFERROR(_xlfn.IFNA(VLOOKUP($A252,'HR Rep'!$A:$X,MATCH('1) For HR (FIX)'!C$1,'HR Rep'!$A$1:$X$1,0),0),""),"")="","",IFERROR(_xlfn.IFNA(VLOOKUP($A252,'HR Rep'!$A:$X,MATCH('1) For HR (FIX)'!C$1,'HR Rep'!$A$1:$X$1,0),0),""),""))</f>
        <v/>
      </c>
      <c r="D252" s="140" t="str">
        <f>IF(IFERROR(_xlfn.IFNA(VLOOKUP($A252,'HR Rep'!$A:$X,MATCH('1) For HR (FIX)'!D$1,'HR Rep'!$A$1:$X$1,0),0),""),"")="","",IFERROR(_xlfn.IFNA(VLOOKUP($A252,'HR Rep'!$A:$X,MATCH('1) For HR (FIX)'!D$1,'HR Rep'!$A$1:$X$1,0),0),""),""))</f>
        <v/>
      </c>
      <c r="E252" s="140" t="str">
        <f>IF(IFERROR(_xlfn.IFNA(VLOOKUP($A252,'HR Rep'!$A:$X,MATCH('1) For HR (FIX)'!E$1,'HR Rep'!$A$1:$X$1,0),0),""),"")="","",IFERROR(_xlfn.IFNA(VLOOKUP($A252,'HR Rep'!$A:$X,MATCH('1) For HR (FIX)'!E$1,'HR Rep'!$A$1:$X$1,0),0),""),""))</f>
        <v/>
      </c>
      <c r="F252" s="140" t="str">
        <f>IF(IFERROR(_xlfn.IFNA(VLOOKUP($A252,'HR Rep'!$A:$X,MATCH('1) For HR (FIX)'!F$1,'HR Rep'!$A$1:$X$1,0),0),""),"")="","",IFERROR(_xlfn.IFNA(VLOOKUP($A252,'HR Rep'!$A:$X,MATCH('1) For HR (FIX)'!F$1,'HR Rep'!$A$1:$X$1,0),0),""),""))</f>
        <v/>
      </c>
      <c r="G252" s="196"/>
      <c r="H252" s="140" t="str">
        <f>IF(IFERROR(_xlfn.IFNA(VLOOKUP($A252,'HR Rep'!$A:$X,MATCH('1) For HR (FIX)'!H$1,'HR Rep'!$A$1:$X$1,0),0),""),"")="","",IFERROR(_xlfn.IFNA(VLOOKUP($A252,'HR Rep'!$A:$X,MATCH('1) For HR (FIX)'!H$1,'HR Rep'!$A$1:$X$1,0),0),""),""))</f>
        <v/>
      </c>
      <c r="I252" s="140" t="str">
        <f>IF(IFERROR(_xlfn.IFNA(VLOOKUP($A252,'HR Rep'!$A:$X,MATCH('1) For HR (FIX)'!I$1,'HR Rep'!$A$1:$X$1,0),0),""),"")="","",IFERROR(_xlfn.IFNA(VLOOKUP($A252,'HR Rep'!$A:$X,MATCH('1) For HR (FIX)'!I$1,'HR Rep'!$A$1:$X$1,0),0),""),""))</f>
        <v/>
      </c>
      <c r="J252" s="140" t="str">
        <f>IF(IFERROR(_xlfn.IFNA(VLOOKUP($A252,'HR Rep'!$A:$X,MATCH('1) For HR (FIX)'!J$1,'HR Rep'!$A$1:$X$1,0),0),""),"")="","",IFERROR(_xlfn.IFNA(VLOOKUP($A252,'HR Rep'!$A:$X,MATCH('1) For HR (FIX)'!J$1,'HR Rep'!$A$1:$X$1,0),0),""),""))</f>
        <v/>
      </c>
      <c r="K252" s="161">
        <f>_xlfn.XLOOKUP(G252,ค่าตอบแทนการขายในอัตราคงที่!A:A,ค่าตอบแทนการขายในอัตราคงที่!B:B)</f>
        <v>0</v>
      </c>
      <c r="L252" s="174">
        <f>Period!$A$2</f>
        <v>46113</v>
      </c>
      <c r="M252" s="175">
        <f>Period!$C$2</f>
        <v>46143</v>
      </c>
      <c r="N252" s="194" t="s">
        <v>279</v>
      </c>
    </row>
    <row r="253" spans="1:14" ht="11.4" x14ac:dyDescent="0.25">
      <c r="A253" s="139"/>
      <c r="B253" s="169" t="e">
        <f>IF(IF(VLOOKUP(A253,ASTBase!F:P,11,FALSE)="","",VLOOKUP(A253,ASTBase!F:P,11,FALSE))=0,"",IF(VLOOKUP(A253,ASTBase!F:P,11,FALSE)="","",VLOOKUP(A253,ASTBase!F:P,11,FALSE)))</f>
        <v>#N/A</v>
      </c>
      <c r="C253" s="140" t="str">
        <f>IF(IFERROR(_xlfn.IFNA(VLOOKUP($A253,'HR Rep'!$A:$X,MATCH('1) For HR (FIX)'!C$1,'HR Rep'!$A$1:$X$1,0),0),""),"")="","",IFERROR(_xlfn.IFNA(VLOOKUP($A253,'HR Rep'!$A:$X,MATCH('1) For HR (FIX)'!C$1,'HR Rep'!$A$1:$X$1,0),0),""),""))</f>
        <v/>
      </c>
      <c r="D253" s="140" t="str">
        <f>IF(IFERROR(_xlfn.IFNA(VLOOKUP($A253,'HR Rep'!$A:$X,MATCH('1) For HR (FIX)'!D$1,'HR Rep'!$A$1:$X$1,0),0),""),"")="","",IFERROR(_xlfn.IFNA(VLOOKUP($A253,'HR Rep'!$A:$X,MATCH('1) For HR (FIX)'!D$1,'HR Rep'!$A$1:$X$1,0),0),""),""))</f>
        <v/>
      </c>
      <c r="E253" s="140" t="str">
        <f>IF(IFERROR(_xlfn.IFNA(VLOOKUP($A253,'HR Rep'!$A:$X,MATCH('1) For HR (FIX)'!E$1,'HR Rep'!$A$1:$X$1,0),0),""),"")="","",IFERROR(_xlfn.IFNA(VLOOKUP($A253,'HR Rep'!$A:$X,MATCH('1) For HR (FIX)'!E$1,'HR Rep'!$A$1:$X$1,0),0),""),""))</f>
        <v/>
      </c>
      <c r="F253" s="140" t="str">
        <f>IF(IFERROR(_xlfn.IFNA(VLOOKUP($A253,'HR Rep'!$A:$X,MATCH('1) For HR (FIX)'!F$1,'HR Rep'!$A$1:$X$1,0),0),""),"")="","",IFERROR(_xlfn.IFNA(VLOOKUP($A253,'HR Rep'!$A:$X,MATCH('1) For HR (FIX)'!F$1,'HR Rep'!$A$1:$X$1,0),0),""),""))</f>
        <v/>
      </c>
      <c r="G253" s="196"/>
      <c r="H253" s="140" t="str">
        <f>IF(IFERROR(_xlfn.IFNA(VLOOKUP($A253,'HR Rep'!$A:$X,MATCH('1) For HR (FIX)'!H$1,'HR Rep'!$A$1:$X$1,0),0),""),"")="","",IFERROR(_xlfn.IFNA(VLOOKUP($A253,'HR Rep'!$A:$X,MATCH('1) For HR (FIX)'!H$1,'HR Rep'!$A$1:$X$1,0),0),""),""))</f>
        <v/>
      </c>
      <c r="I253" s="140" t="str">
        <f>IF(IFERROR(_xlfn.IFNA(VLOOKUP($A253,'HR Rep'!$A:$X,MATCH('1) For HR (FIX)'!I$1,'HR Rep'!$A$1:$X$1,0),0),""),"")="","",IFERROR(_xlfn.IFNA(VLOOKUP($A253,'HR Rep'!$A:$X,MATCH('1) For HR (FIX)'!I$1,'HR Rep'!$A$1:$X$1,0),0),""),""))</f>
        <v/>
      </c>
      <c r="J253" s="140" t="str">
        <f>IF(IFERROR(_xlfn.IFNA(VLOOKUP($A253,'HR Rep'!$A:$X,MATCH('1) For HR (FIX)'!J$1,'HR Rep'!$A$1:$X$1,0),0),""),"")="","",IFERROR(_xlfn.IFNA(VLOOKUP($A253,'HR Rep'!$A:$X,MATCH('1) For HR (FIX)'!J$1,'HR Rep'!$A$1:$X$1,0),0),""),""))</f>
        <v/>
      </c>
      <c r="K253" s="161">
        <f>_xlfn.XLOOKUP(G253,ค่าตอบแทนการขายในอัตราคงที่!A:A,ค่าตอบแทนการขายในอัตราคงที่!B:B)</f>
        <v>0</v>
      </c>
      <c r="L253" s="174">
        <f>Period!$A$2</f>
        <v>46113</v>
      </c>
      <c r="M253" s="175">
        <f>Period!$C$2</f>
        <v>46143</v>
      </c>
      <c r="N253" s="194" t="s">
        <v>279</v>
      </c>
    </row>
    <row r="254" spans="1:14" ht="11.4" x14ac:dyDescent="0.25">
      <c r="A254" s="139"/>
      <c r="B254" s="169" t="e">
        <f>IF(IF(VLOOKUP(A254,ASTBase!F:P,11,FALSE)="","",VLOOKUP(A254,ASTBase!F:P,11,FALSE))=0,"",IF(VLOOKUP(A254,ASTBase!F:P,11,FALSE)="","",VLOOKUP(A254,ASTBase!F:P,11,FALSE)))</f>
        <v>#N/A</v>
      </c>
      <c r="C254" s="140" t="str">
        <f>IF(IFERROR(_xlfn.IFNA(VLOOKUP($A254,'HR Rep'!$A:$X,MATCH('1) For HR (FIX)'!C$1,'HR Rep'!$A$1:$X$1,0),0),""),"")="","",IFERROR(_xlfn.IFNA(VLOOKUP($A254,'HR Rep'!$A:$X,MATCH('1) For HR (FIX)'!C$1,'HR Rep'!$A$1:$X$1,0),0),""),""))</f>
        <v/>
      </c>
      <c r="D254" s="140" t="str">
        <f>IF(IFERROR(_xlfn.IFNA(VLOOKUP($A254,'HR Rep'!$A:$X,MATCH('1) For HR (FIX)'!D$1,'HR Rep'!$A$1:$X$1,0),0),""),"")="","",IFERROR(_xlfn.IFNA(VLOOKUP($A254,'HR Rep'!$A:$X,MATCH('1) For HR (FIX)'!D$1,'HR Rep'!$A$1:$X$1,0),0),""),""))</f>
        <v/>
      </c>
      <c r="E254" s="140" t="str">
        <f>IF(IFERROR(_xlfn.IFNA(VLOOKUP($A254,'HR Rep'!$A:$X,MATCH('1) For HR (FIX)'!E$1,'HR Rep'!$A$1:$X$1,0),0),""),"")="","",IFERROR(_xlfn.IFNA(VLOOKUP($A254,'HR Rep'!$A:$X,MATCH('1) For HR (FIX)'!E$1,'HR Rep'!$A$1:$X$1,0),0),""),""))</f>
        <v/>
      </c>
      <c r="F254" s="140" t="str">
        <f>IF(IFERROR(_xlfn.IFNA(VLOOKUP($A254,'HR Rep'!$A:$X,MATCH('1) For HR (FIX)'!F$1,'HR Rep'!$A$1:$X$1,0),0),""),"")="","",IFERROR(_xlfn.IFNA(VLOOKUP($A254,'HR Rep'!$A:$X,MATCH('1) For HR (FIX)'!F$1,'HR Rep'!$A$1:$X$1,0),0),""),""))</f>
        <v/>
      </c>
      <c r="G254" s="196"/>
      <c r="H254" s="140" t="str">
        <f>IF(IFERROR(_xlfn.IFNA(VLOOKUP($A254,'HR Rep'!$A:$X,MATCH('1) For HR (FIX)'!H$1,'HR Rep'!$A$1:$X$1,0),0),""),"")="","",IFERROR(_xlfn.IFNA(VLOOKUP($A254,'HR Rep'!$A:$X,MATCH('1) For HR (FIX)'!H$1,'HR Rep'!$A$1:$X$1,0),0),""),""))</f>
        <v/>
      </c>
      <c r="I254" s="140" t="str">
        <f>IF(IFERROR(_xlfn.IFNA(VLOOKUP($A254,'HR Rep'!$A:$X,MATCH('1) For HR (FIX)'!I$1,'HR Rep'!$A$1:$X$1,0),0),""),"")="","",IFERROR(_xlfn.IFNA(VLOOKUP($A254,'HR Rep'!$A:$X,MATCH('1) For HR (FIX)'!I$1,'HR Rep'!$A$1:$X$1,0),0),""),""))</f>
        <v/>
      </c>
      <c r="J254" s="140" t="str">
        <f>IF(IFERROR(_xlfn.IFNA(VLOOKUP($A254,'HR Rep'!$A:$X,MATCH('1) For HR (FIX)'!J$1,'HR Rep'!$A$1:$X$1,0),0),""),"")="","",IFERROR(_xlfn.IFNA(VLOOKUP($A254,'HR Rep'!$A:$X,MATCH('1) For HR (FIX)'!J$1,'HR Rep'!$A$1:$X$1,0),0),""),""))</f>
        <v/>
      </c>
      <c r="K254" s="161">
        <f>_xlfn.XLOOKUP(G254,ค่าตอบแทนการขายในอัตราคงที่!A:A,ค่าตอบแทนการขายในอัตราคงที่!B:B)</f>
        <v>0</v>
      </c>
      <c r="L254" s="174">
        <f>Period!$A$2</f>
        <v>46113</v>
      </c>
      <c r="M254" s="175">
        <f>Period!$C$2</f>
        <v>46143</v>
      </c>
      <c r="N254" s="194" t="s">
        <v>279</v>
      </c>
    </row>
    <row r="255" spans="1:14" ht="11.4" x14ac:dyDescent="0.25">
      <c r="A255" s="139"/>
      <c r="B255" s="169" t="e">
        <f>IF(IF(VLOOKUP(A255,ASTBase!F:P,11,FALSE)="","",VLOOKUP(A255,ASTBase!F:P,11,FALSE))=0,"",IF(VLOOKUP(A255,ASTBase!F:P,11,FALSE)="","",VLOOKUP(A255,ASTBase!F:P,11,FALSE)))</f>
        <v>#N/A</v>
      </c>
      <c r="C255" s="140" t="str">
        <f>IF(IFERROR(_xlfn.IFNA(VLOOKUP($A255,'HR Rep'!$A:$X,MATCH('1) For HR (FIX)'!C$1,'HR Rep'!$A$1:$X$1,0),0),""),"")="","",IFERROR(_xlfn.IFNA(VLOOKUP($A255,'HR Rep'!$A:$X,MATCH('1) For HR (FIX)'!C$1,'HR Rep'!$A$1:$X$1,0),0),""),""))</f>
        <v/>
      </c>
      <c r="D255" s="140" t="str">
        <f>IF(IFERROR(_xlfn.IFNA(VLOOKUP($A255,'HR Rep'!$A:$X,MATCH('1) For HR (FIX)'!D$1,'HR Rep'!$A$1:$X$1,0),0),""),"")="","",IFERROR(_xlfn.IFNA(VLOOKUP($A255,'HR Rep'!$A:$X,MATCH('1) For HR (FIX)'!D$1,'HR Rep'!$A$1:$X$1,0),0),""),""))</f>
        <v/>
      </c>
      <c r="E255" s="140" t="str">
        <f>IF(IFERROR(_xlfn.IFNA(VLOOKUP($A255,'HR Rep'!$A:$X,MATCH('1) For HR (FIX)'!E$1,'HR Rep'!$A$1:$X$1,0),0),""),"")="","",IFERROR(_xlfn.IFNA(VLOOKUP($A255,'HR Rep'!$A:$X,MATCH('1) For HR (FIX)'!E$1,'HR Rep'!$A$1:$X$1,0),0),""),""))</f>
        <v/>
      </c>
      <c r="F255" s="140" t="str">
        <f>IF(IFERROR(_xlfn.IFNA(VLOOKUP($A255,'HR Rep'!$A:$X,MATCH('1) For HR (FIX)'!F$1,'HR Rep'!$A$1:$X$1,0),0),""),"")="","",IFERROR(_xlfn.IFNA(VLOOKUP($A255,'HR Rep'!$A:$X,MATCH('1) For HR (FIX)'!F$1,'HR Rep'!$A$1:$X$1,0),0),""),""))</f>
        <v/>
      </c>
      <c r="G255" s="196"/>
      <c r="H255" s="140" t="str">
        <f>IF(IFERROR(_xlfn.IFNA(VLOOKUP($A255,'HR Rep'!$A:$X,MATCH('1) For HR (FIX)'!H$1,'HR Rep'!$A$1:$X$1,0),0),""),"")="","",IFERROR(_xlfn.IFNA(VLOOKUP($A255,'HR Rep'!$A:$X,MATCH('1) For HR (FIX)'!H$1,'HR Rep'!$A$1:$X$1,0),0),""),""))</f>
        <v/>
      </c>
      <c r="I255" s="140" t="str">
        <f>IF(IFERROR(_xlfn.IFNA(VLOOKUP($A255,'HR Rep'!$A:$X,MATCH('1) For HR (FIX)'!I$1,'HR Rep'!$A$1:$X$1,0),0),""),"")="","",IFERROR(_xlfn.IFNA(VLOOKUP($A255,'HR Rep'!$A:$X,MATCH('1) For HR (FIX)'!I$1,'HR Rep'!$A$1:$X$1,0),0),""),""))</f>
        <v/>
      </c>
      <c r="J255" s="140" t="str">
        <f>IF(IFERROR(_xlfn.IFNA(VLOOKUP($A255,'HR Rep'!$A:$X,MATCH('1) For HR (FIX)'!J$1,'HR Rep'!$A$1:$X$1,0),0),""),"")="","",IFERROR(_xlfn.IFNA(VLOOKUP($A255,'HR Rep'!$A:$X,MATCH('1) For HR (FIX)'!J$1,'HR Rep'!$A$1:$X$1,0),0),""),""))</f>
        <v/>
      </c>
      <c r="K255" s="161">
        <f>_xlfn.XLOOKUP(G255,ค่าตอบแทนการขายในอัตราคงที่!A:A,ค่าตอบแทนการขายในอัตราคงที่!B:B)</f>
        <v>0</v>
      </c>
      <c r="L255" s="174">
        <f>Period!$A$2</f>
        <v>46113</v>
      </c>
      <c r="M255" s="175">
        <f>Period!$C$2</f>
        <v>46143</v>
      </c>
      <c r="N255" s="194" t="s">
        <v>279</v>
      </c>
    </row>
    <row r="256" spans="1:14" ht="11.4" x14ac:dyDescent="0.25">
      <c r="A256" s="137"/>
      <c r="B256" s="169" t="e">
        <f>IF(IF(VLOOKUP(A256,ASTBase!F:P,11,FALSE)="","",VLOOKUP(A256,ASTBase!F:P,11,FALSE))=0,"",IF(VLOOKUP(A256,ASTBase!F:P,11,FALSE)="","",VLOOKUP(A256,ASTBase!F:P,11,FALSE)))</f>
        <v>#N/A</v>
      </c>
      <c r="C256" s="140" t="str">
        <f>IF(IFERROR(_xlfn.IFNA(VLOOKUP($A256,'HR Rep'!$A:$X,MATCH('1) For HR (FIX)'!C$1,'HR Rep'!$A$1:$X$1,0),0),""),"")="","",IFERROR(_xlfn.IFNA(VLOOKUP($A256,'HR Rep'!$A:$X,MATCH('1) For HR (FIX)'!C$1,'HR Rep'!$A$1:$X$1,0),0),""),""))</f>
        <v/>
      </c>
      <c r="D256" s="140" t="str">
        <f>IF(IFERROR(_xlfn.IFNA(VLOOKUP($A256,'HR Rep'!$A:$X,MATCH('1) For HR (FIX)'!D$1,'HR Rep'!$A$1:$X$1,0),0),""),"")="","",IFERROR(_xlfn.IFNA(VLOOKUP($A256,'HR Rep'!$A:$X,MATCH('1) For HR (FIX)'!D$1,'HR Rep'!$A$1:$X$1,0),0),""),""))</f>
        <v/>
      </c>
      <c r="E256" s="140" t="str">
        <f>IF(IFERROR(_xlfn.IFNA(VLOOKUP($A256,'HR Rep'!$A:$X,MATCH('1) For HR (FIX)'!E$1,'HR Rep'!$A$1:$X$1,0),0),""),"")="","",IFERROR(_xlfn.IFNA(VLOOKUP($A256,'HR Rep'!$A:$X,MATCH('1) For HR (FIX)'!E$1,'HR Rep'!$A$1:$X$1,0),0),""),""))</f>
        <v/>
      </c>
      <c r="F256" s="140" t="str">
        <f>IF(IFERROR(_xlfn.IFNA(VLOOKUP($A256,'HR Rep'!$A:$X,MATCH('1) For HR (FIX)'!F$1,'HR Rep'!$A$1:$X$1,0),0),""),"")="","",IFERROR(_xlfn.IFNA(VLOOKUP($A256,'HR Rep'!$A:$X,MATCH('1) For HR (FIX)'!F$1,'HR Rep'!$A$1:$X$1,0),0),""),""))</f>
        <v/>
      </c>
      <c r="G256" s="196"/>
      <c r="H256" s="140" t="str">
        <f>IF(IFERROR(_xlfn.IFNA(VLOOKUP($A256,'HR Rep'!$A:$X,MATCH('1) For HR (FIX)'!H$1,'HR Rep'!$A$1:$X$1,0),0),""),"")="","",IFERROR(_xlfn.IFNA(VLOOKUP($A256,'HR Rep'!$A:$X,MATCH('1) For HR (FIX)'!H$1,'HR Rep'!$A$1:$X$1,0),0),""),""))</f>
        <v/>
      </c>
      <c r="I256" s="140" t="str">
        <f>IF(IFERROR(_xlfn.IFNA(VLOOKUP($A256,'HR Rep'!$A:$X,MATCH('1) For HR (FIX)'!I$1,'HR Rep'!$A$1:$X$1,0),0),""),"")="","",IFERROR(_xlfn.IFNA(VLOOKUP($A256,'HR Rep'!$A:$X,MATCH('1) For HR (FIX)'!I$1,'HR Rep'!$A$1:$X$1,0),0),""),""))</f>
        <v/>
      </c>
      <c r="J256" s="140" t="str">
        <f>IF(IFERROR(_xlfn.IFNA(VLOOKUP($A256,'HR Rep'!$A:$X,MATCH('1) For HR (FIX)'!J$1,'HR Rep'!$A$1:$X$1,0),0),""),"")="","",IFERROR(_xlfn.IFNA(VLOOKUP($A256,'HR Rep'!$A:$X,MATCH('1) For HR (FIX)'!J$1,'HR Rep'!$A$1:$X$1,0),0),""),""))</f>
        <v/>
      </c>
      <c r="K256" s="161">
        <f>_xlfn.XLOOKUP(G256,ค่าตอบแทนการขายในอัตราคงที่!A:A,ค่าตอบแทนการขายในอัตราคงที่!B:B)</f>
        <v>0</v>
      </c>
      <c r="L256" s="174">
        <f>Period!$A$2</f>
        <v>46113</v>
      </c>
      <c r="M256" s="175">
        <f>Period!$C$2</f>
        <v>46143</v>
      </c>
      <c r="N256" s="194" t="s">
        <v>279</v>
      </c>
    </row>
    <row r="257" spans="1:14" ht="11.4" x14ac:dyDescent="0.25">
      <c r="A257" s="137"/>
      <c r="B257" s="169" t="e">
        <f>IF(IF(VLOOKUP(A257,ASTBase!F:P,11,FALSE)="","",VLOOKUP(A257,ASTBase!F:P,11,FALSE))=0,"",IF(VLOOKUP(A257,ASTBase!F:P,11,FALSE)="","",VLOOKUP(A257,ASTBase!F:P,11,FALSE)))</f>
        <v>#N/A</v>
      </c>
      <c r="C257" s="140" t="str">
        <f>IF(IFERROR(_xlfn.IFNA(VLOOKUP($A257,'HR Rep'!$A:$X,MATCH('1) For HR (FIX)'!C$1,'HR Rep'!$A$1:$X$1,0),0),""),"")="","",IFERROR(_xlfn.IFNA(VLOOKUP($A257,'HR Rep'!$A:$X,MATCH('1) For HR (FIX)'!C$1,'HR Rep'!$A$1:$X$1,0),0),""),""))</f>
        <v/>
      </c>
      <c r="D257" s="140" t="str">
        <f>IF(IFERROR(_xlfn.IFNA(VLOOKUP($A257,'HR Rep'!$A:$X,MATCH('1) For HR (FIX)'!D$1,'HR Rep'!$A$1:$X$1,0),0),""),"")="","",IFERROR(_xlfn.IFNA(VLOOKUP($A257,'HR Rep'!$A:$X,MATCH('1) For HR (FIX)'!D$1,'HR Rep'!$A$1:$X$1,0),0),""),""))</f>
        <v/>
      </c>
      <c r="E257" s="140" t="str">
        <f>IF(IFERROR(_xlfn.IFNA(VLOOKUP($A257,'HR Rep'!$A:$X,MATCH('1) For HR (FIX)'!E$1,'HR Rep'!$A$1:$X$1,0),0),""),"")="","",IFERROR(_xlfn.IFNA(VLOOKUP($A257,'HR Rep'!$A:$X,MATCH('1) For HR (FIX)'!E$1,'HR Rep'!$A$1:$X$1,0),0),""),""))</f>
        <v/>
      </c>
      <c r="F257" s="140" t="str">
        <f>IF(IFERROR(_xlfn.IFNA(VLOOKUP($A257,'HR Rep'!$A:$X,MATCH('1) For HR (FIX)'!F$1,'HR Rep'!$A$1:$X$1,0),0),""),"")="","",IFERROR(_xlfn.IFNA(VLOOKUP($A257,'HR Rep'!$A:$X,MATCH('1) For HR (FIX)'!F$1,'HR Rep'!$A$1:$X$1,0),0),""),""))</f>
        <v/>
      </c>
      <c r="G257" s="196"/>
      <c r="H257" s="140" t="str">
        <f>IF(IFERROR(_xlfn.IFNA(VLOOKUP($A257,'HR Rep'!$A:$X,MATCH('1) For HR (FIX)'!H$1,'HR Rep'!$A$1:$X$1,0),0),""),"")="","",IFERROR(_xlfn.IFNA(VLOOKUP($A257,'HR Rep'!$A:$X,MATCH('1) For HR (FIX)'!H$1,'HR Rep'!$A$1:$X$1,0),0),""),""))</f>
        <v/>
      </c>
      <c r="I257" s="140" t="str">
        <f>IF(IFERROR(_xlfn.IFNA(VLOOKUP($A257,'HR Rep'!$A:$X,MATCH('1) For HR (FIX)'!I$1,'HR Rep'!$A$1:$X$1,0),0),""),"")="","",IFERROR(_xlfn.IFNA(VLOOKUP($A257,'HR Rep'!$A:$X,MATCH('1) For HR (FIX)'!I$1,'HR Rep'!$A$1:$X$1,0),0),""),""))</f>
        <v/>
      </c>
      <c r="J257" s="140" t="str">
        <f>IF(IFERROR(_xlfn.IFNA(VLOOKUP($A257,'HR Rep'!$A:$X,MATCH('1) For HR (FIX)'!J$1,'HR Rep'!$A$1:$X$1,0),0),""),"")="","",IFERROR(_xlfn.IFNA(VLOOKUP($A257,'HR Rep'!$A:$X,MATCH('1) For HR (FIX)'!J$1,'HR Rep'!$A$1:$X$1,0),0),""),""))</f>
        <v/>
      </c>
      <c r="K257" s="161">
        <f>_xlfn.XLOOKUP(G257,ค่าตอบแทนการขายในอัตราคงที่!A:A,ค่าตอบแทนการขายในอัตราคงที่!B:B)</f>
        <v>0</v>
      </c>
      <c r="L257" s="174">
        <f>Period!$A$2</f>
        <v>46113</v>
      </c>
      <c r="M257" s="175">
        <f>Period!$C$2</f>
        <v>46143</v>
      </c>
      <c r="N257" s="194" t="s">
        <v>279</v>
      </c>
    </row>
    <row r="258" spans="1:14" ht="11.4" x14ac:dyDescent="0.25">
      <c r="A258" s="137"/>
      <c r="B258" s="169" t="e">
        <f>IF(IF(VLOOKUP(A258,ASTBase!F:P,11,FALSE)="","",VLOOKUP(A258,ASTBase!F:P,11,FALSE))=0,"",IF(VLOOKUP(A258,ASTBase!F:P,11,FALSE)="","",VLOOKUP(A258,ASTBase!F:P,11,FALSE)))</f>
        <v>#N/A</v>
      </c>
      <c r="C258" s="140" t="str">
        <f>IF(IFERROR(_xlfn.IFNA(VLOOKUP($A258,'HR Rep'!$A:$X,MATCH('1) For HR (FIX)'!C$1,'HR Rep'!$A$1:$X$1,0),0),""),"")="","",IFERROR(_xlfn.IFNA(VLOOKUP($A258,'HR Rep'!$A:$X,MATCH('1) For HR (FIX)'!C$1,'HR Rep'!$A$1:$X$1,0),0),""),""))</f>
        <v/>
      </c>
      <c r="D258" s="140" t="str">
        <f>IF(IFERROR(_xlfn.IFNA(VLOOKUP($A258,'HR Rep'!$A:$X,MATCH('1) For HR (FIX)'!D$1,'HR Rep'!$A$1:$X$1,0),0),""),"")="","",IFERROR(_xlfn.IFNA(VLOOKUP($A258,'HR Rep'!$A:$X,MATCH('1) For HR (FIX)'!D$1,'HR Rep'!$A$1:$X$1,0),0),""),""))</f>
        <v/>
      </c>
      <c r="E258" s="140" t="str">
        <f>IF(IFERROR(_xlfn.IFNA(VLOOKUP($A258,'HR Rep'!$A:$X,MATCH('1) For HR (FIX)'!E$1,'HR Rep'!$A$1:$X$1,0),0),""),"")="","",IFERROR(_xlfn.IFNA(VLOOKUP($A258,'HR Rep'!$A:$X,MATCH('1) For HR (FIX)'!E$1,'HR Rep'!$A$1:$X$1,0),0),""),""))</f>
        <v/>
      </c>
      <c r="F258" s="140" t="str">
        <f>IF(IFERROR(_xlfn.IFNA(VLOOKUP($A258,'HR Rep'!$A:$X,MATCH('1) For HR (FIX)'!F$1,'HR Rep'!$A$1:$X$1,0),0),""),"")="","",IFERROR(_xlfn.IFNA(VLOOKUP($A258,'HR Rep'!$A:$X,MATCH('1) For HR (FIX)'!F$1,'HR Rep'!$A$1:$X$1,0),0),""),""))</f>
        <v/>
      </c>
      <c r="G258" s="196"/>
      <c r="H258" s="140" t="str">
        <f>IF(IFERROR(_xlfn.IFNA(VLOOKUP($A258,'HR Rep'!$A:$X,MATCH('1) For HR (FIX)'!H$1,'HR Rep'!$A$1:$X$1,0),0),""),"")="","",IFERROR(_xlfn.IFNA(VLOOKUP($A258,'HR Rep'!$A:$X,MATCH('1) For HR (FIX)'!H$1,'HR Rep'!$A$1:$X$1,0),0),""),""))</f>
        <v/>
      </c>
      <c r="I258" s="140" t="str">
        <f>IF(IFERROR(_xlfn.IFNA(VLOOKUP($A258,'HR Rep'!$A:$X,MATCH('1) For HR (FIX)'!I$1,'HR Rep'!$A$1:$X$1,0),0),""),"")="","",IFERROR(_xlfn.IFNA(VLOOKUP($A258,'HR Rep'!$A:$X,MATCH('1) For HR (FIX)'!I$1,'HR Rep'!$A$1:$X$1,0),0),""),""))</f>
        <v/>
      </c>
      <c r="J258" s="140" t="str">
        <f>IF(IFERROR(_xlfn.IFNA(VLOOKUP($A258,'HR Rep'!$A:$X,MATCH('1) For HR (FIX)'!J$1,'HR Rep'!$A$1:$X$1,0),0),""),"")="","",IFERROR(_xlfn.IFNA(VLOOKUP($A258,'HR Rep'!$A:$X,MATCH('1) For HR (FIX)'!J$1,'HR Rep'!$A$1:$X$1,0),0),""),""))</f>
        <v/>
      </c>
      <c r="K258" s="161">
        <f>_xlfn.XLOOKUP(G258,ค่าตอบแทนการขายในอัตราคงที่!A:A,ค่าตอบแทนการขายในอัตราคงที่!B:B)</f>
        <v>0</v>
      </c>
      <c r="L258" s="174">
        <f>Period!$A$2</f>
        <v>46113</v>
      </c>
      <c r="M258" s="175">
        <f>Period!$C$2</f>
        <v>46143</v>
      </c>
      <c r="N258" s="194" t="s">
        <v>279</v>
      </c>
    </row>
    <row r="259" spans="1:14" ht="11.4" x14ac:dyDescent="0.25">
      <c r="A259" s="137"/>
      <c r="B259" s="169" t="e">
        <f>IF(IF(VLOOKUP(A259,ASTBase!F:P,11,FALSE)="","",VLOOKUP(A259,ASTBase!F:P,11,FALSE))=0,"",IF(VLOOKUP(A259,ASTBase!F:P,11,FALSE)="","",VLOOKUP(A259,ASTBase!F:P,11,FALSE)))</f>
        <v>#N/A</v>
      </c>
      <c r="C259" s="140" t="str">
        <f>IF(IFERROR(_xlfn.IFNA(VLOOKUP($A259,'HR Rep'!$A:$X,MATCH('1) For HR (FIX)'!C$1,'HR Rep'!$A$1:$X$1,0),0),""),"")="","",IFERROR(_xlfn.IFNA(VLOOKUP($A259,'HR Rep'!$A:$X,MATCH('1) For HR (FIX)'!C$1,'HR Rep'!$A$1:$X$1,0),0),""),""))</f>
        <v/>
      </c>
      <c r="D259" s="140" t="str">
        <f>IF(IFERROR(_xlfn.IFNA(VLOOKUP($A259,'HR Rep'!$A:$X,MATCH('1) For HR (FIX)'!D$1,'HR Rep'!$A$1:$X$1,0),0),""),"")="","",IFERROR(_xlfn.IFNA(VLOOKUP($A259,'HR Rep'!$A:$X,MATCH('1) For HR (FIX)'!D$1,'HR Rep'!$A$1:$X$1,0),0),""),""))</f>
        <v/>
      </c>
      <c r="E259" s="140" t="str">
        <f>IF(IFERROR(_xlfn.IFNA(VLOOKUP($A259,'HR Rep'!$A:$X,MATCH('1) For HR (FIX)'!E$1,'HR Rep'!$A$1:$X$1,0),0),""),"")="","",IFERROR(_xlfn.IFNA(VLOOKUP($A259,'HR Rep'!$A:$X,MATCH('1) For HR (FIX)'!E$1,'HR Rep'!$A$1:$X$1,0),0),""),""))</f>
        <v/>
      </c>
      <c r="F259" s="140" t="str">
        <f>IF(IFERROR(_xlfn.IFNA(VLOOKUP($A259,'HR Rep'!$A:$X,MATCH('1) For HR (FIX)'!F$1,'HR Rep'!$A$1:$X$1,0),0),""),"")="","",IFERROR(_xlfn.IFNA(VLOOKUP($A259,'HR Rep'!$A:$X,MATCH('1) For HR (FIX)'!F$1,'HR Rep'!$A$1:$X$1,0),0),""),""))</f>
        <v/>
      </c>
      <c r="G259" s="196"/>
      <c r="H259" s="140" t="str">
        <f>IF(IFERROR(_xlfn.IFNA(VLOOKUP($A259,'HR Rep'!$A:$X,MATCH('1) For HR (FIX)'!H$1,'HR Rep'!$A$1:$X$1,0),0),""),"")="","",IFERROR(_xlfn.IFNA(VLOOKUP($A259,'HR Rep'!$A:$X,MATCH('1) For HR (FIX)'!H$1,'HR Rep'!$A$1:$X$1,0),0),""),""))</f>
        <v/>
      </c>
      <c r="I259" s="140" t="str">
        <f>IF(IFERROR(_xlfn.IFNA(VLOOKUP($A259,'HR Rep'!$A:$X,MATCH('1) For HR (FIX)'!I$1,'HR Rep'!$A$1:$X$1,0),0),""),"")="","",IFERROR(_xlfn.IFNA(VLOOKUP($A259,'HR Rep'!$A:$X,MATCH('1) For HR (FIX)'!I$1,'HR Rep'!$A$1:$X$1,0),0),""),""))</f>
        <v/>
      </c>
      <c r="J259" s="140" t="str">
        <f>IF(IFERROR(_xlfn.IFNA(VLOOKUP($A259,'HR Rep'!$A:$X,MATCH('1) For HR (FIX)'!J$1,'HR Rep'!$A$1:$X$1,0),0),""),"")="","",IFERROR(_xlfn.IFNA(VLOOKUP($A259,'HR Rep'!$A:$X,MATCH('1) For HR (FIX)'!J$1,'HR Rep'!$A$1:$X$1,0),0),""),""))</f>
        <v/>
      </c>
      <c r="K259" s="161">
        <f>_xlfn.XLOOKUP(G259,ค่าตอบแทนการขายในอัตราคงที่!A:A,ค่าตอบแทนการขายในอัตราคงที่!B:B)</f>
        <v>0</v>
      </c>
      <c r="L259" s="174">
        <f>Period!$A$2</f>
        <v>46113</v>
      </c>
      <c r="M259" s="175">
        <f>Period!$C$2</f>
        <v>46143</v>
      </c>
      <c r="N259" s="194" t="s">
        <v>279</v>
      </c>
    </row>
    <row r="260" spans="1:14" ht="11.4" x14ac:dyDescent="0.25">
      <c r="A260" s="137"/>
      <c r="B260" s="169" t="e">
        <f>IF(IF(VLOOKUP(A260,ASTBase!F:P,11,FALSE)="","",VLOOKUP(A260,ASTBase!F:P,11,FALSE))=0,"",IF(VLOOKUP(A260,ASTBase!F:P,11,FALSE)="","",VLOOKUP(A260,ASTBase!F:P,11,FALSE)))</f>
        <v>#N/A</v>
      </c>
      <c r="C260" s="140" t="str">
        <f>IF(IFERROR(_xlfn.IFNA(VLOOKUP($A260,'HR Rep'!$A:$X,MATCH('1) For HR (FIX)'!C$1,'HR Rep'!$A$1:$X$1,0),0),""),"")="","",IFERROR(_xlfn.IFNA(VLOOKUP($A260,'HR Rep'!$A:$X,MATCH('1) For HR (FIX)'!C$1,'HR Rep'!$A$1:$X$1,0),0),""),""))</f>
        <v/>
      </c>
      <c r="D260" s="140" t="str">
        <f>IF(IFERROR(_xlfn.IFNA(VLOOKUP($A260,'HR Rep'!$A:$X,MATCH('1) For HR (FIX)'!D$1,'HR Rep'!$A$1:$X$1,0),0),""),"")="","",IFERROR(_xlfn.IFNA(VLOOKUP($A260,'HR Rep'!$A:$X,MATCH('1) For HR (FIX)'!D$1,'HR Rep'!$A$1:$X$1,0),0),""),""))</f>
        <v/>
      </c>
      <c r="E260" s="140" t="str">
        <f>IF(IFERROR(_xlfn.IFNA(VLOOKUP($A260,'HR Rep'!$A:$X,MATCH('1) For HR (FIX)'!E$1,'HR Rep'!$A$1:$X$1,0),0),""),"")="","",IFERROR(_xlfn.IFNA(VLOOKUP($A260,'HR Rep'!$A:$X,MATCH('1) For HR (FIX)'!E$1,'HR Rep'!$A$1:$X$1,0),0),""),""))</f>
        <v/>
      </c>
      <c r="F260" s="140" t="str">
        <f>IF(IFERROR(_xlfn.IFNA(VLOOKUP($A260,'HR Rep'!$A:$X,MATCH('1) For HR (FIX)'!F$1,'HR Rep'!$A$1:$X$1,0),0),""),"")="","",IFERROR(_xlfn.IFNA(VLOOKUP($A260,'HR Rep'!$A:$X,MATCH('1) For HR (FIX)'!F$1,'HR Rep'!$A$1:$X$1,0),0),""),""))</f>
        <v/>
      </c>
      <c r="G260" s="196"/>
      <c r="H260" s="140" t="str">
        <f>IF(IFERROR(_xlfn.IFNA(VLOOKUP($A260,'HR Rep'!$A:$X,MATCH('1) For HR (FIX)'!H$1,'HR Rep'!$A$1:$X$1,0),0),""),"")="","",IFERROR(_xlfn.IFNA(VLOOKUP($A260,'HR Rep'!$A:$X,MATCH('1) For HR (FIX)'!H$1,'HR Rep'!$A$1:$X$1,0),0),""),""))</f>
        <v/>
      </c>
      <c r="I260" s="140" t="str">
        <f>IF(IFERROR(_xlfn.IFNA(VLOOKUP($A260,'HR Rep'!$A:$X,MATCH('1) For HR (FIX)'!I$1,'HR Rep'!$A$1:$X$1,0),0),""),"")="","",IFERROR(_xlfn.IFNA(VLOOKUP($A260,'HR Rep'!$A:$X,MATCH('1) For HR (FIX)'!I$1,'HR Rep'!$A$1:$X$1,0),0),""),""))</f>
        <v/>
      </c>
      <c r="J260" s="140" t="str">
        <f>IF(IFERROR(_xlfn.IFNA(VLOOKUP($A260,'HR Rep'!$A:$X,MATCH('1) For HR (FIX)'!J$1,'HR Rep'!$A$1:$X$1,0),0),""),"")="","",IFERROR(_xlfn.IFNA(VLOOKUP($A260,'HR Rep'!$A:$X,MATCH('1) For HR (FIX)'!J$1,'HR Rep'!$A$1:$X$1,0),0),""),""))</f>
        <v/>
      </c>
      <c r="K260" s="161">
        <f>_xlfn.XLOOKUP(G260,ค่าตอบแทนการขายในอัตราคงที่!A:A,ค่าตอบแทนการขายในอัตราคงที่!B:B)</f>
        <v>0</v>
      </c>
      <c r="L260" s="174">
        <f>Period!$A$2</f>
        <v>46113</v>
      </c>
      <c r="M260" s="175">
        <f>Period!$C$2</f>
        <v>46143</v>
      </c>
      <c r="N260" s="194" t="s">
        <v>279</v>
      </c>
    </row>
    <row r="261" spans="1:14" ht="11.4" x14ac:dyDescent="0.25">
      <c r="A261" s="137"/>
      <c r="B261" s="169" t="e">
        <f>IF(IF(VLOOKUP(A261,ASTBase!F:P,11,FALSE)="","",VLOOKUP(A261,ASTBase!F:P,11,FALSE))=0,"",IF(VLOOKUP(A261,ASTBase!F:P,11,FALSE)="","",VLOOKUP(A261,ASTBase!F:P,11,FALSE)))</f>
        <v>#N/A</v>
      </c>
      <c r="C261" s="140" t="str">
        <f>IF(IFERROR(_xlfn.IFNA(VLOOKUP($A261,'HR Rep'!$A:$X,MATCH('1) For HR (FIX)'!C$1,'HR Rep'!$A$1:$X$1,0),0),""),"")="","",IFERROR(_xlfn.IFNA(VLOOKUP($A261,'HR Rep'!$A:$X,MATCH('1) For HR (FIX)'!C$1,'HR Rep'!$A$1:$X$1,0),0),""),""))</f>
        <v/>
      </c>
      <c r="D261" s="140" t="str">
        <f>IF(IFERROR(_xlfn.IFNA(VLOOKUP($A261,'HR Rep'!$A:$X,MATCH('1) For HR (FIX)'!D$1,'HR Rep'!$A$1:$X$1,0),0),""),"")="","",IFERROR(_xlfn.IFNA(VLOOKUP($A261,'HR Rep'!$A:$X,MATCH('1) For HR (FIX)'!D$1,'HR Rep'!$A$1:$X$1,0),0),""),""))</f>
        <v/>
      </c>
      <c r="E261" s="140" t="str">
        <f>IF(IFERROR(_xlfn.IFNA(VLOOKUP($A261,'HR Rep'!$A:$X,MATCH('1) For HR (FIX)'!E$1,'HR Rep'!$A$1:$X$1,0),0),""),"")="","",IFERROR(_xlfn.IFNA(VLOOKUP($A261,'HR Rep'!$A:$X,MATCH('1) For HR (FIX)'!E$1,'HR Rep'!$A$1:$X$1,0),0),""),""))</f>
        <v/>
      </c>
      <c r="F261" s="140" t="str">
        <f>IF(IFERROR(_xlfn.IFNA(VLOOKUP($A261,'HR Rep'!$A:$X,MATCH('1) For HR (FIX)'!F$1,'HR Rep'!$A$1:$X$1,0),0),""),"")="","",IFERROR(_xlfn.IFNA(VLOOKUP($A261,'HR Rep'!$A:$X,MATCH('1) For HR (FIX)'!F$1,'HR Rep'!$A$1:$X$1,0),0),""),""))</f>
        <v/>
      </c>
      <c r="G261" s="196"/>
      <c r="H261" s="140" t="str">
        <f>IF(IFERROR(_xlfn.IFNA(VLOOKUP($A261,'HR Rep'!$A:$X,MATCH('1) For HR (FIX)'!H$1,'HR Rep'!$A$1:$X$1,0),0),""),"")="","",IFERROR(_xlfn.IFNA(VLOOKUP($A261,'HR Rep'!$A:$X,MATCH('1) For HR (FIX)'!H$1,'HR Rep'!$A$1:$X$1,0),0),""),""))</f>
        <v/>
      </c>
      <c r="I261" s="140" t="str">
        <f>IF(IFERROR(_xlfn.IFNA(VLOOKUP($A261,'HR Rep'!$A:$X,MATCH('1) For HR (FIX)'!I$1,'HR Rep'!$A$1:$X$1,0),0),""),"")="","",IFERROR(_xlfn.IFNA(VLOOKUP($A261,'HR Rep'!$A:$X,MATCH('1) For HR (FIX)'!I$1,'HR Rep'!$A$1:$X$1,0),0),""),""))</f>
        <v/>
      </c>
      <c r="J261" s="140" t="str">
        <f>IF(IFERROR(_xlfn.IFNA(VLOOKUP($A261,'HR Rep'!$A:$X,MATCH('1) For HR (FIX)'!J$1,'HR Rep'!$A$1:$X$1,0),0),""),"")="","",IFERROR(_xlfn.IFNA(VLOOKUP($A261,'HR Rep'!$A:$X,MATCH('1) For HR (FIX)'!J$1,'HR Rep'!$A$1:$X$1,0),0),""),""))</f>
        <v/>
      </c>
      <c r="K261" s="161">
        <f>_xlfn.XLOOKUP(G261,ค่าตอบแทนการขายในอัตราคงที่!A:A,ค่าตอบแทนการขายในอัตราคงที่!B:B)</f>
        <v>0</v>
      </c>
      <c r="L261" s="174">
        <f>Period!$A$2</f>
        <v>46113</v>
      </c>
      <c r="M261" s="175">
        <f>Period!$C$2</f>
        <v>46143</v>
      </c>
      <c r="N261" s="194" t="s">
        <v>279</v>
      </c>
    </row>
    <row r="262" spans="1:14" ht="11.4" x14ac:dyDescent="0.25">
      <c r="A262" s="137"/>
      <c r="B262" s="169" t="e">
        <f>IF(IF(VLOOKUP(A262,ASTBase!F:P,11,FALSE)="","",VLOOKUP(A262,ASTBase!F:P,11,FALSE))=0,"",IF(VLOOKUP(A262,ASTBase!F:P,11,FALSE)="","",VLOOKUP(A262,ASTBase!F:P,11,FALSE)))</f>
        <v>#N/A</v>
      </c>
      <c r="C262" s="140" t="str">
        <f>IF(IFERROR(_xlfn.IFNA(VLOOKUP($A262,'HR Rep'!$A:$X,MATCH('1) For HR (FIX)'!C$1,'HR Rep'!$A$1:$X$1,0),0),""),"")="","",IFERROR(_xlfn.IFNA(VLOOKUP($A262,'HR Rep'!$A:$X,MATCH('1) For HR (FIX)'!C$1,'HR Rep'!$A$1:$X$1,0),0),""),""))</f>
        <v/>
      </c>
      <c r="D262" s="140" t="str">
        <f>IF(IFERROR(_xlfn.IFNA(VLOOKUP($A262,'HR Rep'!$A:$X,MATCH('1) For HR (FIX)'!D$1,'HR Rep'!$A$1:$X$1,0),0),""),"")="","",IFERROR(_xlfn.IFNA(VLOOKUP($A262,'HR Rep'!$A:$X,MATCH('1) For HR (FIX)'!D$1,'HR Rep'!$A$1:$X$1,0),0),""),""))</f>
        <v/>
      </c>
      <c r="E262" s="140" t="str">
        <f>IF(IFERROR(_xlfn.IFNA(VLOOKUP($A262,'HR Rep'!$A:$X,MATCH('1) For HR (FIX)'!E$1,'HR Rep'!$A$1:$X$1,0),0),""),"")="","",IFERROR(_xlfn.IFNA(VLOOKUP($A262,'HR Rep'!$A:$X,MATCH('1) For HR (FIX)'!E$1,'HR Rep'!$A$1:$X$1,0),0),""),""))</f>
        <v/>
      </c>
      <c r="F262" s="140" t="str">
        <f>IF(IFERROR(_xlfn.IFNA(VLOOKUP($A262,'HR Rep'!$A:$X,MATCH('1) For HR (FIX)'!F$1,'HR Rep'!$A$1:$X$1,0),0),""),"")="","",IFERROR(_xlfn.IFNA(VLOOKUP($A262,'HR Rep'!$A:$X,MATCH('1) For HR (FIX)'!F$1,'HR Rep'!$A$1:$X$1,0),0),""),""))</f>
        <v/>
      </c>
      <c r="G262" s="196"/>
      <c r="H262" s="140" t="str">
        <f>IF(IFERROR(_xlfn.IFNA(VLOOKUP($A262,'HR Rep'!$A:$X,MATCH('1) For HR (FIX)'!H$1,'HR Rep'!$A$1:$X$1,0),0),""),"")="","",IFERROR(_xlfn.IFNA(VLOOKUP($A262,'HR Rep'!$A:$X,MATCH('1) For HR (FIX)'!H$1,'HR Rep'!$A$1:$X$1,0),0),""),""))</f>
        <v/>
      </c>
      <c r="I262" s="140" t="str">
        <f>IF(IFERROR(_xlfn.IFNA(VLOOKUP($A262,'HR Rep'!$A:$X,MATCH('1) For HR (FIX)'!I$1,'HR Rep'!$A$1:$X$1,0),0),""),"")="","",IFERROR(_xlfn.IFNA(VLOOKUP($A262,'HR Rep'!$A:$X,MATCH('1) For HR (FIX)'!I$1,'HR Rep'!$A$1:$X$1,0),0),""),""))</f>
        <v/>
      </c>
      <c r="J262" s="140" t="str">
        <f>IF(IFERROR(_xlfn.IFNA(VLOOKUP($A262,'HR Rep'!$A:$X,MATCH('1) For HR (FIX)'!J$1,'HR Rep'!$A$1:$X$1,0),0),""),"")="","",IFERROR(_xlfn.IFNA(VLOOKUP($A262,'HR Rep'!$A:$X,MATCH('1) For HR (FIX)'!J$1,'HR Rep'!$A$1:$X$1,0),0),""),""))</f>
        <v/>
      </c>
      <c r="K262" s="161">
        <f>_xlfn.XLOOKUP(G262,ค่าตอบแทนการขายในอัตราคงที่!A:A,ค่าตอบแทนการขายในอัตราคงที่!B:B)</f>
        <v>0</v>
      </c>
      <c r="L262" s="174">
        <f>Period!$A$2</f>
        <v>46113</v>
      </c>
      <c r="M262" s="175">
        <f>Period!$C$2</f>
        <v>46143</v>
      </c>
      <c r="N262" s="194" t="s">
        <v>279</v>
      </c>
    </row>
    <row r="263" spans="1:14" ht="11.4" x14ac:dyDescent="0.25">
      <c r="A263" s="137"/>
      <c r="B263" s="169" t="e">
        <f>IF(IF(VLOOKUP(A263,ASTBase!F:P,11,FALSE)="","",VLOOKUP(A263,ASTBase!F:P,11,FALSE))=0,"",IF(VLOOKUP(A263,ASTBase!F:P,11,FALSE)="","",VLOOKUP(A263,ASTBase!F:P,11,FALSE)))</f>
        <v>#N/A</v>
      </c>
      <c r="C263" s="140" t="str">
        <f>IF(IFERROR(_xlfn.IFNA(VLOOKUP($A263,'HR Rep'!$A:$X,MATCH('1) For HR (FIX)'!C$1,'HR Rep'!$A$1:$X$1,0),0),""),"")="","",IFERROR(_xlfn.IFNA(VLOOKUP($A263,'HR Rep'!$A:$X,MATCH('1) For HR (FIX)'!C$1,'HR Rep'!$A$1:$X$1,0),0),""),""))</f>
        <v/>
      </c>
      <c r="D263" s="140" t="str">
        <f>IF(IFERROR(_xlfn.IFNA(VLOOKUP($A263,'HR Rep'!$A:$X,MATCH('1) For HR (FIX)'!D$1,'HR Rep'!$A$1:$X$1,0),0),""),"")="","",IFERROR(_xlfn.IFNA(VLOOKUP($A263,'HR Rep'!$A:$X,MATCH('1) For HR (FIX)'!D$1,'HR Rep'!$A$1:$X$1,0),0),""),""))</f>
        <v/>
      </c>
      <c r="E263" s="140" t="str">
        <f>IF(IFERROR(_xlfn.IFNA(VLOOKUP($A263,'HR Rep'!$A:$X,MATCH('1) For HR (FIX)'!E$1,'HR Rep'!$A$1:$X$1,0),0),""),"")="","",IFERROR(_xlfn.IFNA(VLOOKUP($A263,'HR Rep'!$A:$X,MATCH('1) For HR (FIX)'!E$1,'HR Rep'!$A$1:$X$1,0),0),""),""))</f>
        <v/>
      </c>
      <c r="F263" s="140" t="str">
        <f>IF(IFERROR(_xlfn.IFNA(VLOOKUP($A263,'HR Rep'!$A:$X,MATCH('1) For HR (FIX)'!F$1,'HR Rep'!$A$1:$X$1,0),0),""),"")="","",IFERROR(_xlfn.IFNA(VLOOKUP($A263,'HR Rep'!$A:$X,MATCH('1) For HR (FIX)'!F$1,'HR Rep'!$A$1:$X$1,0),0),""),""))</f>
        <v/>
      </c>
      <c r="G263" s="196"/>
      <c r="H263" s="140" t="str">
        <f>IF(IFERROR(_xlfn.IFNA(VLOOKUP($A263,'HR Rep'!$A:$X,MATCH('1) For HR (FIX)'!H$1,'HR Rep'!$A$1:$X$1,0),0),""),"")="","",IFERROR(_xlfn.IFNA(VLOOKUP($A263,'HR Rep'!$A:$X,MATCH('1) For HR (FIX)'!H$1,'HR Rep'!$A$1:$X$1,0),0),""),""))</f>
        <v/>
      </c>
      <c r="I263" s="140" t="str">
        <f>IF(IFERROR(_xlfn.IFNA(VLOOKUP($A263,'HR Rep'!$A:$X,MATCH('1) For HR (FIX)'!I$1,'HR Rep'!$A$1:$X$1,0),0),""),"")="","",IFERROR(_xlfn.IFNA(VLOOKUP($A263,'HR Rep'!$A:$X,MATCH('1) For HR (FIX)'!I$1,'HR Rep'!$A$1:$X$1,0),0),""),""))</f>
        <v/>
      </c>
      <c r="J263" s="140" t="str">
        <f>IF(IFERROR(_xlfn.IFNA(VLOOKUP($A263,'HR Rep'!$A:$X,MATCH('1) For HR (FIX)'!J$1,'HR Rep'!$A$1:$X$1,0),0),""),"")="","",IFERROR(_xlfn.IFNA(VLOOKUP($A263,'HR Rep'!$A:$X,MATCH('1) For HR (FIX)'!J$1,'HR Rep'!$A$1:$X$1,0),0),""),""))</f>
        <v/>
      </c>
      <c r="K263" s="161">
        <f>_xlfn.XLOOKUP(G263,ค่าตอบแทนการขายในอัตราคงที่!A:A,ค่าตอบแทนการขายในอัตราคงที่!B:B)</f>
        <v>0</v>
      </c>
      <c r="L263" s="174">
        <f>Period!$A$2</f>
        <v>46113</v>
      </c>
      <c r="M263" s="175">
        <f>Period!$C$2</f>
        <v>46143</v>
      </c>
      <c r="N263" s="194" t="s">
        <v>279</v>
      </c>
    </row>
    <row r="264" spans="1:14" ht="11.4" x14ac:dyDescent="0.25">
      <c r="A264" s="137"/>
      <c r="B264" s="169" t="e">
        <f>IF(IF(VLOOKUP(A264,ASTBase!F:P,11,FALSE)="","",VLOOKUP(A264,ASTBase!F:P,11,FALSE))=0,"",IF(VLOOKUP(A264,ASTBase!F:P,11,FALSE)="","",VLOOKUP(A264,ASTBase!F:P,11,FALSE)))</f>
        <v>#N/A</v>
      </c>
      <c r="C264" s="140" t="str">
        <f>IF(IFERROR(_xlfn.IFNA(VLOOKUP($A264,'HR Rep'!$A:$X,MATCH('1) For HR (FIX)'!C$1,'HR Rep'!$A$1:$X$1,0),0),""),"")="","",IFERROR(_xlfn.IFNA(VLOOKUP($A264,'HR Rep'!$A:$X,MATCH('1) For HR (FIX)'!C$1,'HR Rep'!$A$1:$X$1,0),0),""),""))</f>
        <v/>
      </c>
      <c r="D264" s="140" t="str">
        <f>IF(IFERROR(_xlfn.IFNA(VLOOKUP($A264,'HR Rep'!$A:$X,MATCH('1) For HR (FIX)'!D$1,'HR Rep'!$A$1:$X$1,0),0),""),"")="","",IFERROR(_xlfn.IFNA(VLOOKUP($A264,'HR Rep'!$A:$X,MATCH('1) For HR (FIX)'!D$1,'HR Rep'!$A$1:$X$1,0),0),""),""))</f>
        <v/>
      </c>
      <c r="E264" s="140" t="str">
        <f>IF(IFERROR(_xlfn.IFNA(VLOOKUP($A264,'HR Rep'!$A:$X,MATCH('1) For HR (FIX)'!E$1,'HR Rep'!$A$1:$X$1,0),0),""),"")="","",IFERROR(_xlfn.IFNA(VLOOKUP($A264,'HR Rep'!$A:$X,MATCH('1) For HR (FIX)'!E$1,'HR Rep'!$A$1:$X$1,0),0),""),""))</f>
        <v/>
      </c>
      <c r="F264" s="140" t="str">
        <f>IF(IFERROR(_xlfn.IFNA(VLOOKUP($A264,'HR Rep'!$A:$X,MATCH('1) For HR (FIX)'!F$1,'HR Rep'!$A$1:$X$1,0),0),""),"")="","",IFERROR(_xlfn.IFNA(VLOOKUP($A264,'HR Rep'!$A:$X,MATCH('1) For HR (FIX)'!F$1,'HR Rep'!$A$1:$X$1,0),0),""),""))</f>
        <v/>
      </c>
      <c r="G264" s="196"/>
      <c r="H264" s="140" t="str">
        <f>IF(IFERROR(_xlfn.IFNA(VLOOKUP($A264,'HR Rep'!$A:$X,MATCH('1) For HR (FIX)'!H$1,'HR Rep'!$A$1:$X$1,0),0),""),"")="","",IFERROR(_xlfn.IFNA(VLOOKUP($A264,'HR Rep'!$A:$X,MATCH('1) For HR (FIX)'!H$1,'HR Rep'!$A$1:$X$1,0),0),""),""))</f>
        <v/>
      </c>
      <c r="I264" s="140" t="str">
        <f>IF(IFERROR(_xlfn.IFNA(VLOOKUP($A264,'HR Rep'!$A:$X,MATCH('1) For HR (FIX)'!I$1,'HR Rep'!$A$1:$X$1,0),0),""),"")="","",IFERROR(_xlfn.IFNA(VLOOKUP($A264,'HR Rep'!$A:$X,MATCH('1) For HR (FIX)'!I$1,'HR Rep'!$A$1:$X$1,0),0),""),""))</f>
        <v/>
      </c>
      <c r="J264" s="140" t="str">
        <f>IF(IFERROR(_xlfn.IFNA(VLOOKUP($A264,'HR Rep'!$A:$X,MATCH('1) For HR (FIX)'!J$1,'HR Rep'!$A$1:$X$1,0),0),""),"")="","",IFERROR(_xlfn.IFNA(VLOOKUP($A264,'HR Rep'!$A:$X,MATCH('1) For HR (FIX)'!J$1,'HR Rep'!$A$1:$X$1,0),0),""),""))</f>
        <v/>
      </c>
      <c r="K264" s="161">
        <f>_xlfn.XLOOKUP(G264,ค่าตอบแทนการขายในอัตราคงที่!A:A,ค่าตอบแทนการขายในอัตราคงที่!B:B)</f>
        <v>0</v>
      </c>
      <c r="L264" s="174">
        <f>Period!$A$2</f>
        <v>46113</v>
      </c>
      <c r="M264" s="175">
        <f>Period!$C$2</f>
        <v>46143</v>
      </c>
      <c r="N264" s="194" t="s">
        <v>279</v>
      </c>
    </row>
    <row r="265" spans="1:14" ht="11.4" x14ac:dyDescent="0.25">
      <c r="A265" s="137"/>
      <c r="B265" s="169" t="e">
        <f>IF(IF(VLOOKUP(A265,ASTBase!F:P,11,FALSE)="","",VLOOKUP(A265,ASTBase!F:P,11,FALSE))=0,"",IF(VLOOKUP(A265,ASTBase!F:P,11,FALSE)="","",VLOOKUP(A265,ASTBase!F:P,11,FALSE)))</f>
        <v>#N/A</v>
      </c>
      <c r="C265" s="140" t="str">
        <f>IF(IFERROR(_xlfn.IFNA(VLOOKUP($A265,'HR Rep'!$A:$X,MATCH('1) For HR (FIX)'!C$1,'HR Rep'!$A$1:$X$1,0),0),""),"")="","",IFERROR(_xlfn.IFNA(VLOOKUP($A265,'HR Rep'!$A:$X,MATCH('1) For HR (FIX)'!C$1,'HR Rep'!$A$1:$X$1,0),0),""),""))</f>
        <v/>
      </c>
      <c r="D265" s="140" t="str">
        <f>IF(IFERROR(_xlfn.IFNA(VLOOKUP($A265,'HR Rep'!$A:$X,MATCH('1) For HR (FIX)'!D$1,'HR Rep'!$A$1:$X$1,0),0),""),"")="","",IFERROR(_xlfn.IFNA(VLOOKUP($A265,'HR Rep'!$A:$X,MATCH('1) For HR (FIX)'!D$1,'HR Rep'!$A$1:$X$1,0),0),""),""))</f>
        <v/>
      </c>
      <c r="E265" s="140" t="str">
        <f>IF(IFERROR(_xlfn.IFNA(VLOOKUP($A265,'HR Rep'!$A:$X,MATCH('1) For HR (FIX)'!E$1,'HR Rep'!$A$1:$X$1,0),0),""),"")="","",IFERROR(_xlfn.IFNA(VLOOKUP($A265,'HR Rep'!$A:$X,MATCH('1) For HR (FIX)'!E$1,'HR Rep'!$A$1:$X$1,0),0),""),""))</f>
        <v/>
      </c>
      <c r="F265" s="140" t="str">
        <f>IF(IFERROR(_xlfn.IFNA(VLOOKUP($A265,'HR Rep'!$A:$X,MATCH('1) For HR (FIX)'!F$1,'HR Rep'!$A$1:$X$1,0),0),""),"")="","",IFERROR(_xlfn.IFNA(VLOOKUP($A265,'HR Rep'!$A:$X,MATCH('1) For HR (FIX)'!F$1,'HR Rep'!$A$1:$X$1,0),0),""),""))</f>
        <v/>
      </c>
      <c r="G265" s="196"/>
      <c r="H265" s="140" t="str">
        <f>IF(IFERROR(_xlfn.IFNA(VLOOKUP($A265,'HR Rep'!$A:$X,MATCH('1) For HR (FIX)'!H$1,'HR Rep'!$A$1:$X$1,0),0),""),"")="","",IFERROR(_xlfn.IFNA(VLOOKUP($A265,'HR Rep'!$A:$X,MATCH('1) For HR (FIX)'!H$1,'HR Rep'!$A$1:$X$1,0),0),""),""))</f>
        <v/>
      </c>
      <c r="I265" s="140" t="str">
        <f>IF(IFERROR(_xlfn.IFNA(VLOOKUP($A265,'HR Rep'!$A:$X,MATCH('1) For HR (FIX)'!I$1,'HR Rep'!$A$1:$X$1,0),0),""),"")="","",IFERROR(_xlfn.IFNA(VLOOKUP($A265,'HR Rep'!$A:$X,MATCH('1) For HR (FIX)'!I$1,'HR Rep'!$A$1:$X$1,0),0),""),""))</f>
        <v/>
      </c>
      <c r="J265" s="140" t="str">
        <f>IF(IFERROR(_xlfn.IFNA(VLOOKUP($A265,'HR Rep'!$A:$X,MATCH('1) For HR (FIX)'!J$1,'HR Rep'!$A$1:$X$1,0),0),""),"")="","",IFERROR(_xlfn.IFNA(VLOOKUP($A265,'HR Rep'!$A:$X,MATCH('1) For HR (FIX)'!J$1,'HR Rep'!$A$1:$X$1,0),0),""),""))</f>
        <v/>
      </c>
      <c r="K265" s="161">
        <f>_xlfn.XLOOKUP(G265,ค่าตอบแทนการขายในอัตราคงที่!A:A,ค่าตอบแทนการขายในอัตราคงที่!B:B)</f>
        <v>0</v>
      </c>
      <c r="L265" s="174">
        <f>Period!$A$2</f>
        <v>46113</v>
      </c>
      <c r="M265" s="175">
        <f>Period!$C$2</f>
        <v>46143</v>
      </c>
      <c r="N265" s="194" t="s">
        <v>279</v>
      </c>
    </row>
    <row r="266" spans="1:14" ht="11.4" x14ac:dyDescent="0.25">
      <c r="A266" s="137"/>
      <c r="B266" s="169" t="e">
        <f>IF(IF(VLOOKUP(A266,ASTBase!F:P,11,FALSE)="","",VLOOKUP(A266,ASTBase!F:P,11,FALSE))=0,"",IF(VLOOKUP(A266,ASTBase!F:P,11,FALSE)="","",VLOOKUP(A266,ASTBase!F:P,11,FALSE)))</f>
        <v>#N/A</v>
      </c>
      <c r="C266" s="140" t="str">
        <f>IF(IFERROR(_xlfn.IFNA(VLOOKUP($A266,'HR Rep'!$A:$X,MATCH('1) For HR (FIX)'!C$1,'HR Rep'!$A$1:$X$1,0),0),""),"")="","",IFERROR(_xlfn.IFNA(VLOOKUP($A266,'HR Rep'!$A:$X,MATCH('1) For HR (FIX)'!C$1,'HR Rep'!$A$1:$X$1,0),0),""),""))</f>
        <v/>
      </c>
      <c r="D266" s="140" t="str">
        <f>IF(IFERROR(_xlfn.IFNA(VLOOKUP($A266,'HR Rep'!$A:$X,MATCH('1) For HR (FIX)'!D$1,'HR Rep'!$A$1:$X$1,0),0),""),"")="","",IFERROR(_xlfn.IFNA(VLOOKUP($A266,'HR Rep'!$A:$X,MATCH('1) For HR (FIX)'!D$1,'HR Rep'!$A$1:$X$1,0),0),""),""))</f>
        <v/>
      </c>
      <c r="E266" s="140" t="str">
        <f>IF(IFERROR(_xlfn.IFNA(VLOOKUP($A266,'HR Rep'!$A:$X,MATCH('1) For HR (FIX)'!E$1,'HR Rep'!$A$1:$X$1,0),0),""),"")="","",IFERROR(_xlfn.IFNA(VLOOKUP($A266,'HR Rep'!$A:$X,MATCH('1) For HR (FIX)'!E$1,'HR Rep'!$A$1:$X$1,0),0),""),""))</f>
        <v/>
      </c>
      <c r="F266" s="140" t="str">
        <f>IF(IFERROR(_xlfn.IFNA(VLOOKUP($A266,'HR Rep'!$A:$X,MATCH('1) For HR (FIX)'!F$1,'HR Rep'!$A$1:$X$1,0),0),""),"")="","",IFERROR(_xlfn.IFNA(VLOOKUP($A266,'HR Rep'!$A:$X,MATCH('1) For HR (FIX)'!F$1,'HR Rep'!$A$1:$X$1,0),0),""),""))</f>
        <v/>
      </c>
      <c r="G266" s="196"/>
      <c r="H266" s="140" t="str">
        <f>IF(IFERROR(_xlfn.IFNA(VLOOKUP($A266,'HR Rep'!$A:$X,MATCH('1) For HR (FIX)'!H$1,'HR Rep'!$A$1:$X$1,0),0),""),"")="","",IFERROR(_xlfn.IFNA(VLOOKUP($A266,'HR Rep'!$A:$X,MATCH('1) For HR (FIX)'!H$1,'HR Rep'!$A$1:$X$1,0),0),""),""))</f>
        <v/>
      </c>
      <c r="I266" s="140" t="str">
        <f>IF(IFERROR(_xlfn.IFNA(VLOOKUP($A266,'HR Rep'!$A:$X,MATCH('1) For HR (FIX)'!I$1,'HR Rep'!$A$1:$X$1,0),0),""),"")="","",IFERROR(_xlfn.IFNA(VLOOKUP($A266,'HR Rep'!$A:$X,MATCH('1) For HR (FIX)'!I$1,'HR Rep'!$A$1:$X$1,0),0),""),""))</f>
        <v/>
      </c>
      <c r="J266" s="140" t="str">
        <f>IF(IFERROR(_xlfn.IFNA(VLOOKUP($A266,'HR Rep'!$A:$X,MATCH('1) For HR (FIX)'!J$1,'HR Rep'!$A$1:$X$1,0),0),""),"")="","",IFERROR(_xlfn.IFNA(VLOOKUP($A266,'HR Rep'!$A:$X,MATCH('1) For HR (FIX)'!J$1,'HR Rep'!$A$1:$X$1,0),0),""),""))</f>
        <v/>
      </c>
      <c r="K266" s="161">
        <f>_xlfn.XLOOKUP(G266,ค่าตอบแทนการขายในอัตราคงที่!A:A,ค่าตอบแทนการขายในอัตราคงที่!B:B)</f>
        <v>0</v>
      </c>
      <c r="L266" s="174">
        <f>Period!$A$2</f>
        <v>46113</v>
      </c>
      <c r="M266" s="175">
        <f>Period!$C$2</f>
        <v>46143</v>
      </c>
      <c r="N266" s="194" t="s">
        <v>279</v>
      </c>
    </row>
    <row r="267" spans="1:14" ht="11.4" x14ac:dyDescent="0.25">
      <c r="A267" s="137"/>
      <c r="B267" s="169" t="e">
        <f>IF(IF(VLOOKUP(A267,ASTBase!F:P,11,FALSE)="","",VLOOKUP(A267,ASTBase!F:P,11,FALSE))=0,"",IF(VLOOKUP(A267,ASTBase!F:P,11,FALSE)="","",VLOOKUP(A267,ASTBase!F:P,11,FALSE)))</f>
        <v>#N/A</v>
      </c>
      <c r="C267" s="140" t="str">
        <f>IF(IFERROR(_xlfn.IFNA(VLOOKUP($A267,'HR Rep'!$A:$X,MATCH('1) For HR (FIX)'!C$1,'HR Rep'!$A$1:$X$1,0),0),""),"")="","",IFERROR(_xlfn.IFNA(VLOOKUP($A267,'HR Rep'!$A:$X,MATCH('1) For HR (FIX)'!C$1,'HR Rep'!$A$1:$X$1,0),0),""),""))</f>
        <v/>
      </c>
      <c r="D267" s="140" t="str">
        <f>IF(IFERROR(_xlfn.IFNA(VLOOKUP($A267,'HR Rep'!$A:$X,MATCH('1) For HR (FIX)'!D$1,'HR Rep'!$A$1:$X$1,0),0),""),"")="","",IFERROR(_xlfn.IFNA(VLOOKUP($A267,'HR Rep'!$A:$X,MATCH('1) For HR (FIX)'!D$1,'HR Rep'!$A$1:$X$1,0),0),""),""))</f>
        <v/>
      </c>
      <c r="E267" s="140" t="str">
        <f>IF(IFERROR(_xlfn.IFNA(VLOOKUP($A267,'HR Rep'!$A:$X,MATCH('1) For HR (FIX)'!E$1,'HR Rep'!$A$1:$X$1,0),0),""),"")="","",IFERROR(_xlfn.IFNA(VLOOKUP($A267,'HR Rep'!$A:$X,MATCH('1) For HR (FIX)'!E$1,'HR Rep'!$A$1:$X$1,0),0),""),""))</f>
        <v/>
      </c>
      <c r="F267" s="140" t="str">
        <f>IF(IFERROR(_xlfn.IFNA(VLOOKUP($A267,'HR Rep'!$A:$X,MATCH('1) For HR (FIX)'!F$1,'HR Rep'!$A$1:$X$1,0),0),""),"")="","",IFERROR(_xlfn.IFNA(VLOOKUP($A267,'HR Rep'!$A:$X,MATCH('1) For HR (FIX)'!F$1,'HR Rep'!$A$1:$X$1,0),0),""),""))</f>
        <v/>
      </c>
      <c r="G267" s="196"/>
      <c r="H267" s="140" t="str">
        <f>IF(IFERROR(_xlfn.IFNA(VLOOKUP($A267,'HR Rep'!$A:$X,MATCH('1) For HR (FIX)'!H$1,'HR Rep'!$A$1:$X$1,0),0),""),"")="","",IFERROR(_xlfn.IFNA(VLOOKUP($A267,'HR Rep'!$A:$X,MATCH('1) For HR (FIX)'!H$1,'HR Rep'!$A$1:$X$1,0),0),""),""))</f>
        <v/>
      </c>
      <c r="I267" s="140" t="str">
        <f>IF(IFERROR(_xlfn.IFNA(VLOOKUP($A267,'HR Rep'!$A:$X,MATCH('1) For HR (FIX)'!I$1,'HR Rep'!$A$1:$X$1,0),0),""),"")="","",IFERROR(_xlfn.IFNA(VLOOKUP($A267,'HR Rep'!$A:$X,MATCH('1) For HR (FIX)'!I$1,'HR Rep'!$A$1:$X$1,0),0),""),""))</f>
        <v/>
      </c>
      <c r="J267" s="140" t="str">
        <f>IF(IFERROR(_xlfn.IFNA(VLOOKUP($A267,'HR Rep'!$A:$X,MATCH('1) For HR (FIX)'!J$1,'HR Rep'!$A$1:$X$1,0),0),""),"")="","",IFERROR(_xlfn.IFNA(VLOOKUP($A267,'HR Rep'!$A:$X,MATCH('1) For HR (FIX)'!J$1,'HR Rep'!$A$1:$X$1,0),0),""),""))</f>
        <v/>
      </c>
      <c r="K267" s="161">
        <f>_xlfn.XLOOKUP(G267,ค่าตอบแทนการขายในอัตราคงที่!A:A,ค่าตอบแทนการขายในอัตราคงที่!B:B)</f>
        <v>0</v>
      </c>
      <c r="L267" s="174">
        <f>Period!$A$2</f>
        <v>46113</v>
      </c>
      <c r="M267" s="175">
        <f>Period!$C$2</f>
        <v>46143</v>
      </c>
      <c r="N267" s="194" t="s">
        <v>279</v>
      </c>
    </row>
    <row r="268" spans="1:14" ht="11.4" x14ac:dyDescent="0.25">
      <c r="A268" s="138"/>
      <c r="B268" s="169" t="e">
        <f>IF(IF(VLOOKUP(A268,ASTBase!F:P,11,FALSE)="","",VLOOKUP(A268,ASTBase!F:P,11,FALSE))=0,"",IF(VLOOKUP(A268,ASTBase!F:P,11,FALSE)="","",VLOOKUP(A268,ASTBase!F:P,11,FALSE)))</f>
        <v>#N/A</v>
      </c>
      <c r="C268" s="140" t="str">
        <f>IF(IFERROR(_xlfn.IFNA(VLOOKUP($A268,'HR Rep'!$A:$X,MATCH('1) For HR (FIX)'!C$1,'HR Rep'!$A$1:$X$1,0),0),""),"")="","",IFERROR(_xlfn.IFNA(VLOOKUP($A268,'HR Rep'!$A:$X,MATCH('1) For HR (FIX)'!C$1,'HR Rep'!$A$1:$X$1,0),0),""),""))</f>
        <v/>
      </c>
      <c r="D268" s="140" t="str">
        <f>IF(IFERROR(_xlfn.IFNA(VLOOKUP($A268,'HR Rep'!$A:$X,MATCH('1) For HR (FIX)'!D$1,'HR Rep'!$A$1:$X$1,0),0),""),"")="","",IFERROR(_xlfn.IFNA(VLOOKUP($A268,'HR Rep'!$A:$X,MATCH('1) For HR (FIX)'!D$1,'HR Rep'!$A$1:$X$1,0),0),""),""))</f>
        <v/>
      </c>
      <c r="E268" s="140" t="str">
        <f>IF(IFERROR(_xlfn.IFNA(VLOOKUP($A268,'HR Rep'!$A:$X,MATCH('1) For HR (FIX)'!E$1,'HR Rep'!$A$1:$X$1,0),0),""),"")="","",IFERROR(_xlfn.IFNA(VLOOKUP($A268,'HR Rep'!$A:$X,MATCH('1) For HR (FIX)'!E$1,'HR Rep'!$A$1:$X$1,0),0),""),""))</f>
        <v/>
      </c>
      <c r="F268" s="140" t="str">
        <f>IF(IFERROR(_xlfn.IFNA(VLOOKUP($A268,'HR Rep'!$A:$X,MATCH('1) For HR (FIX)'!F$1,'HR Rep'!$A$1:$X$1,0),0),""),"")="","",IFERROR(_xlfn.IFNA(VLOOKUP($A268,'HR Rep'!$A:$X,MATCH('1) For HR (FIX)'!F$1,'HR Rep'!$A$1:$X$1,0),0),""),""))</f>
        <v/>
      </c>
      <c r="G268" s="196"/>
      <c r="H268" s="140" t="str">
        <f>IF(IFERROR(_xlfn.IFNA(VLOOKUP($A268,'HR Rep'!$A:$X,MATCH('1) For HR (FIX)'!H$1,'HR Rep'!$A$1:$X$1,0),0),""),"")="","",IFERROR(_xlfn.IFNA(VLOOKUP($A268,'HR Rep'!$A:$X,MATCH('1) For HR (FIX)'!H$1,'HR Rep'!$A$1:$X$1,0),0),""),""))</f>
        <v/>
      </c>
      <c r="I268" s="140" t="str">
        <f>IF(IFERROR(_xlfn.IFNA(VLOOKUP($A268,'HR Rep'!$A:$X,MATCH('1) For HR (FIX)'!I$1,'HR Rep'!$A$1:$X$1,0),0),""),"")="","",IFERROR(_xlfn.IFNA(VLOOKUP($A268,'HR Rep'!$A:$X,MATCH('1) For HR (FIX)'!I$1,'HR Rep'!$A$1:$X$1,0),0),""),""))</f>
        <v/>
      </c>
      <c r="J268" s="140" t="str">
        <f>IF(IFERROR(_xlfn.IFNA(VLOOKUP($A268,'HR Rep'!$A:$X,MATCH('1) For HR (FIX)'!J$1,'HR Rep'!$A$1:$X$1,0),0),""),"")="","",IFERROR(_xlfn.IFNA(VLOOKUP($A268,'HR Rep'!$A:$X,MATCH('1) For HR (FIX)'!J$1,'HR Rep'!$A$1:$X$1,0),0),""),""))</f>
        <v/>
      </c>
      <c r="K268" s="161">
        <f>_xlfn.XLOOKUP(G268,ค่าตอบแทนการขายในอัตราคงที่!A:A,ค่าตอบแทนการขายในอัตราคงที่!B:B)</f>
        <v>0</v>
      </c>
      <c r="L268" s="174">
        <f>Period!$A$2</f>
        <v>46113</v>
      </c>
      <c r="M268" s="175">
        <f>Period!$C$2</f>
        <v>46143</v>
      </c>
      <c r="N268" s="194" t="s">
        <v>279</v>
      </c>
    </row>
    <row r="269" spans="1:14" ht="11.4" x14ac:dyDescent="0.25">
      <c r="A269" s="138"/>
      <c r="B269" s="169" t="e">
        <f>IF(IF(VLOOKUP(A269,ASTBase!F:P,11,FALSE)="","",VLOOKUP(A269,ASTBase!F:P,11,FALSE))=0,"",IF(VLOOKUP(A269,ASTBase!F:P,11,FALSE)="","",VLOOKUP(A269,ASTBase!F:P,11,FALSE)))</f>
        <v>#N/A</v>
      </c>
      <c r="C269" s="140" t="str">
        <f>IF(IFERROR(_xlfn.IFNA(VLOOKUP($A269,'HR Rep'!$A:$X,MATCH('1) For HR (FIX)'!C$1,'HR Rep'!$A$1:$X$1,0),0),""),"")="","",IFERROR(_xlfn.IFNA(VLOOKUP($A269,'HR Rep'!$A:$X,MATCH('1) For HR (FIX)'!C$1,'HR Rep'!$A$1:$X$1,0),0),""),""))</f>
        <v/>
      </c>
      <c r="D269" s="140" t="str">
        <f>IF(IFERROR(_xlfn.IFNA(VLOOKUP($A269,'HR Rep'!$A:$X,MATCH('1) For HR (FIX)'!D$1,'HR Rep'!$A$1:$X$1,0),0),""),"")="","",IFERROR(_xlfn.IFNA(VLOOKUP($A269,'HR Rep'!$A:$X,MATCH('1) For HR (FIX)'!D$1,'HR Rep'!$A$1:$X$1,0),0),""),""))</f>
        <v/>
      </c>
      <c r="E269" s="140" t="str">
        <f>IF(IFERROR(_xlfn.IFNA(VLOOKUP($A269,'HR Rep'!$A:$X,MATCH('1) For HR (FIX)'!E$1,'HR Rep'!$A$1:$X$1,0),0),""),"")="","",IFERROR(_xlfn.IFNA(VLOOKUP($A269,'HR Rep'!$A:$X,MATCH('1) For HR (FIX)'!E$1,'HR Rep'!$A$1:$X$1,0),0),""),""))</f>
        <v/>
      </c>
      <c r="F269" s="140" t="str">
        <f>IF(IFERROR(_xlfn.IFNA(VLOOKUP($A269,'HR Rep'!$A:$X,MATCH('1) For HR (FIX)'!F$1,'HR Rep'!$A$1:$X$1,0),0),""),"")="","",IFERROR(_xlfn.IFNA(VLOOKUP($A269,'HR Rep'!$A:$X,MATCH('1) For HR (FIX)'!F$1,'HR Rep'!$A$1:$X$1,0),0),""),""))</f>
        <v/>
      </c>
      <c r="G269" s="196"/>
      <c r="H269" s="140" t="str">
        <f>IF(IFERROR(_xlfn.IFNA(VLOOKUP($A269,'HR Rep'!$A:$X,MATCH('1) For HR (FIX)'!H$1,'HR Rep'!$A$1:$X$1,0),0),""),"")="","",IFERROR(_xlfn.IFNA(VLOOKUP($A269,'HR Rep'!$A:$X,MATCH('1) For HR (FIX)'!H$1,'HR Rep'!$A$1:$X$1,0),0),""),""))</f>
        <v/>
      </c>
      <c r="I269" s="140" t="str">
        <f>IF(IFERROR(_xlfn.IFNA(VLOOKUP($A269,'HR Rep'!$A:$X,MATCH('1) For HR (FIX)'!I$1,'HR Rep'!$A$1:$X$1,0),0),""),"")="","",IFERROR(_xlfn.IFNA(VLOOKUP($A269,'HR Rep'!$A:$X,MATCH('1) For HR (FIX)'!I$1,'HR Rep'!$A$1:$X$1,0),0),""),""))</f>
        <v/>
      </c>
      <c r="J269" s="140" t="str">
        <f>IF(IFERROR(_xlfn.IFNA(VLOOKUP($A269,'HR Rep'!$A:$X,MATCH('1) For HR (FIX)'!J$1,'HR Rep'!$A$1:$X$1,0),0),""),"")="","",IFERROR(_xlfn.IFNA(VLOOKUP($A269,'HR Rep'!$A:$X,MATCH('1) For HR (FIX)'!J$1,'HR Rep'!$A$1:$X$1,0),0),""),""))</f>
        <v/>
      </c>
      <c r="K269" s="161">
        <f>_xlfn.XLOOKUP(G269,ค่าตอบแทนการขายในอัตราคงที่!A:A,ค่าตอบแทนการขายในอัตราคงที่!B:B)</f>
        <v>0</v>
      </c>
      <c r="L269" s="174">
        <f>Period!$A$2</f>
        <v>46113</v>
      </c>
      <c r="M269" s="175">
        <f>Period!$C$2</f>
        <v>46143</v>
      </c>
      <c r="N269" s="194" t="s">
        <v>279</v>
      </c>
    </row>
    <row r="270" spans="1:14" ht="11.4" x14ac:dyDescent="0.25">
      <c r="A270" s="138"/>
      <c r="B270" s="169" t="e">
        <f>IF(IF(VLOOKUP(A270,ASTBase!F:P,11,FALSE)="","",VLOOKUP(A270,ASTBase!F:P,11,FALSE))=0,"",IF(VLOOKUP(A270,ASTBase!F:P,11,FALSE)="","",VLOOKUP(A270,ASTBase!F:P,11,FALSE)))</f>
        <v>#N/A</v>
      </c>
      <c r="C270" s="140" t="str">
        <f>IF(IFERROR(_xlfn.IFNA(VLOOKUP($A270,'HR Rep'!$A:$X,MATCH('1) For HR (FIX)'!C$1,'HR Rep'!$A$1:$X$1,0),0),""),"")="","",IFERROR(_xlfn.IFNA(VLOOKUP($A270,'HR Rep'!$A:$X,MATCH('1) For HR (FIX)'!C$1,'HR Rep'!$A$1:$X$1,0),0),""),""))</f>
        <v/>
      </c>
      <c r="D270" s="140" t="str">
        <f>IF(IFERROR(_xlfn.IFNA(VLOOKUP($A270,'HR Rep'!$A:$X,MATCH('1) For HR (FIX)'!D$1,'HR Rep'!$A$1:$X$1,0),0),""),"")="","",IFERROR(_xlfn.IFNA(VLOOKUP($A270,'HR Rep'!$A:$X,MATCH('1) For HR (FIX)'!D$1,'HR Rep'!$A$1:$X$1,0),0),""),""))</f>
        <v/>
      </c>
      <c r="E270" s="140" t="str">
        <f>IF(IFERROR(_xlfn.IFNA(VLOOKUP($A270,'HR Rep'!$A:$X,MATCH('1) For HR (FIX)'!E$1,'HR Rep'!$A$1:$X$1,0),0),""),"")="","",IFERROR(_xlfn.IFNA(VLOOKUP($A270,'HR Rep'!$A:$X,MATCH('1) For HR (FIX)'!E$1,'HR Rep'!$A$1:$X$1,0),0),""),""))</f>
        <v/>
      </c>
      <c r="F270" s="140" t="str">
        <f>IF(IFERROR(_xlfn.IFNA(VLOOKUP($A270,'HR Rep'!$A:$X,MATCH('1) For HR (FIX)'!F$1,'HR Rep'!$A$1:$X$1,0),0),""),"")="","",IFERROR(_xlfn.IFNA(VLOOKUP($A270,'HR Rep'!$A:$X,MATCH('1) For HR (FIX)'!F$1,'HR Rep'!$A$1:$X$1,0),0),""),""))</f>
        <v/>
      </c>
      <c r="G270" s="196"/>
      <c r="H270" s="140" t="str">
        <f>IF(IFERROR(_xlfn.IFNA(VLOOKUP($A270,'HR Rep'!$A:$X,MATCH('1) For HR (FIX)'!H$1,'HR Rep'!$A$1:$X$1,0),0),""),"")="","",IFERROR(_xlfn.IFNA(VLOOKUP($A270,'HR Rep'!$A:$X,MATCH('1) For HR (FIX)'!H$1,'HR Rep'!$A$1:$X$1,0),0),""),""))</f>
        <v/>
      </c>
      <c r="I270" s="140" t="str">
        <f>IF(IFERROR(_xlfn.IFNA(VLOOKUP($A270,'HR Rep'!$A:$X,MATCH('1) For HR (FIX)'!I$1,'HR Rep'!$A$1:$X$1,0),0),""),"")="","",IFERROR(_xlfn.IFNA(VLOOKUP($A270,'HR Rep'!$A:$X,MATCH('1) For HR (FIX)'!I$1,'HR Rep'!$A$1:$X$1,0),0),""),""))</f>
        <v/>
      </c>
      <c r="J270" s="140" t="str">
        <f>IF(IFERROR(_xlfn.IFNA(VLOOKUP($A270,'HR Rep'!$A:$X,MATCH('1) For HR (FIX)'!J$1,'HR Rep'!$A$1:$X$1,0),0),""),"")="","",IFERROR(_xlfn.IFNA(VLOOKUP($A270,'HR Rep'!$A:$X,MATCH('1) For HR (FIX)'!J$1,'HR Rep'!$A$1:$X$1,0),0),""),""))</f>
        <v/>
      </c>
      <c r="K270" s="161">
        <f>_xlfn.XLOOKUP(G270,ค่าตอบแทนการขายในอัตราคงที่!A:A,ค่าตอบแทนการขายในอัตราคงที่!B:B)</f>
        <v>0</v>
      </c>
      <c r="L270" s="174">
        <f>Period!$A$2</f>
        <v>46113</v>
      </c>
      <c r="M270" s="175">
        <f>Period!$C$2</f>
        <v>46143</v>
      </c>
      <c r="N270" s="194" t="s">
        <v>279</v>
      </c>
    </row>
    <row r="271" spans="1:14" ht="11.4" x14ac:dyDescent="0.25">
      <c r="A271" s="138"/>
      <c r="B271" s="169" t="e">
        <f>IF(IF(VLOOKUP(A271,ASTBase!F:P,11,FALSE)="","",VLOOKUP(A271,ASTBase!F:P,11,FALSE))=0,"",IF(VLOOKUP(A271,ASTBase!F:P,11,FALSE)="","",VLOOKUP(A271,ASTBase!F:P,11,FALSE)))</f>
        <v>#N/A</v>
      </c>
      <c r="C271" s="140" t="str">
        <f>IF(IFERROR(_xlfn.IFNA(VLOOKUP($A271,'HR Rep'!$A:$X,MATCH('1) For HR (FIX)'!C$1,'HR Rep'!$A$1:$X$1,0),0),""),"")="","",IFERROR(_xlfn.IFNA(VLOOKUP($A271,'HR Rep'!$A:$X,MATCH('1) For HR (FIX)'!C$1,'HR Rep'!$A$1:$X$1,0),0),""),""))</f>
        <v/>
      </c>
      <c r="D271" s="140" t="str">
        <f>IF(IFERROR(_xlfn.IFNA(VLOOKUP($A271,'HR Rep'!$A:$X,MATCH('1) For HR (FIX)'!D$1,'HR Rep'!$A$1:$X$1,0),0),""),"")="","",IFERROR(_xlfn.IFNA(VLOOKUP($A271,'HR Rep'!$A:$X,MATCH('1) For HR (FIX)'!D$1,'HR Rep'!$A$1:$X$1,0),0),""),""))</f>
        <v/>
      </c>
      <c r="E271" s="140" t="str">
        <f>IF(IFERROR(_xlfn.IFNA(VLOOKUP($A271,'HR Rep'!$A:$X,MATCH('1) For HR (FIX)'!E$1,'HR Rep'!$A$1:$X$1,0),0),""),"")="","",IFERROR(_xlfn.IFNA(VLOOKUP($A271,'HR Rep'!$A:$X,MATCH('1) For HR (FIX)'!E$1,'HR Rep'!$A$1:$X$1,0),0),""),""))</f>
        <v/>
      </c>
      <c r="F271" s="140" t="str">
        <f>IF(IFERROR(_xlfn.IFNA(VLOOKUP($A271,'HR Rep'!$A:$X,MATCH('1) For HR (FIX)'!F$1,'HR Rep'!$A$1:$X$1,0),0),""),"")="","",IFERROR(_xlfn.IFNA(VLOOKUP($A271,'HR Rep'!$A:$X,MATCH('1) For HR (FIX)'!F$1,'HR Rep'!$A$1:$X$1,0),0),""),""))</f>
        <v/>
      </c>
      <c r="G271" s="196"/>
      <c r="H271" s="140" t="str">
        <f>IF(IFERROR(_xlfn.IFNA(VLOOKUP($A271,'HR Rep'!$A:$X,MATCH('1) For HR (FIX)'!H$1,'HR Rep'!$A$1:$X$1,0),0),""),"")="","",IFERROR(_xlfn.IFNA(VLOOKUP($A271,'HR Rep'!$A:$X,MATCH('1) For HR (FIX)'!H$1,'HR Rep'!$A$1:$X$1,0),0),""),""))</f>
        <v/>
      </c>
      <c r="I271" s="140" t="str">
        <f>IF(IFERROR(_xlfn.IFNA(VLOOKUP($A271,'HR Rep'!$A:$X,MATCH('1) For HR (FIX)'!I$1,'HR Rep'!$A$1:$X$1,0),0),""),"")="","",IFERROR(_xlfn.IFNA(VLOOKUP($A271,'HR Rep'!$A:$X,MATCH('1) For HR (FIX)'!I$1,'HR Rep'!$A$1:$X$1,0),0),""),""))</f>
        <v/>
      </c>
      <c r="J271" s="140" t="str">
        <f>IF(IFERROR(_xlfn.IFNA(VLOOKUP($A271,'HR Rep'!$A:$X,MATCH('1) For HR (FIX)'!J$1,'HR Rep'!$A$1:$X$1,0),0),""),"")="","",IFERROR(_xlfn.IFNA(VLOOKUP($A271,'HR Rep'!$A:$X,MATCH('1) For HR (FIX)'!J$1,'HR Rep'!$A$1:$X$1,0),0),""),""))</f>
        <v/>
      </c>
      <c r="K271" s="161">
        <f>_xlfn.XLOOKUP(G271,ค่าตอบแทนการขายในอัตราคงที่!A:A,ค่าตอบแทนการขายในอัตราคงที่!B:B)</f>
        <v>0</v>
      </c>
      <c r="L271" s="174">
        <f>Period!$A$2</f>
        <v>46113</v>
      </c>
      <c r="M271" s="175">
        <f>Period!$C$2</f>
        <v>46143</v>
      </c>
      <c r="N271" s="194" t="s">
        <v>279</v>
      </c>
    </row>
    <row r="272" spans="1:14" ht="11.4" x14ac:dyDescent="0.25">
      <c r="A272" s="139"/>
      <c r="B272" s="169" t="e">
        <f>IF(IF(VLOOKUP(A272,ASTBase!F:P,11,FALSE)="","",VLOOKUP(A272,ASTBase!F:P,11,FALSE))=0,"",IF(VLOOKUP(A272,ASTBase!F:P,11,FALSE)="","",VLOOKUP(A272,ASTBase!F:P,11,FALSE)))</f>
        <v>#N/A</v>
      </c>
      <c r="C272" s="140" t="str">
        <f>IF(IFERROR(_xlfn.IFNA(VLOOKUP($A272,'HR Rep'!$A:$X,MATCH('1) For HR (FIX)'!C$1,'HR Rep'!$A$1:$X$1,0),0),""),"")="","",IFERROR(_xlfn.IFNA(VLOOKUP($A272,'HR Rep'!$A:$X,MATCH('1) For HR (FIX)'!C$1,'HR Rep'!$A$1:$X$1,0),0),""),""))</f>
        <v/>
      </c>
      <c r="D272" s="140" t="str">
        <f>IF(IFERROR(_xlfn.IFNA(VLOOKUP($A272,'HR Rep'!$A:$X,MATCH('1) For HR (FIX)'!D$1,'HR Rep'!$A$1:$X$1,0),0),""),"")="","",IFERROR(_xlfn.IFNA(VLOOKUP($A272,'HR Rep'!$A:$X,MATCH('1) For HR (FIX)'!D$1,'HR Rep'!$A$1:$X$1,0),0),""),""))</f>
        <v/>
      </c>
      <c r="E272" s="140" t="str">
        <f>IF(IFERROR(_xlfn.IFNA(VLOOKUP($A272,'HR Rep'!$A:$X,MATCH('1) For HR (FIX)'!E$1,'HR Rep'!$A$1:$X$1,0),0),""),"")="","",IFERROR(_xlfn.IFNA(VLOOKUP($A272,'HR Rep'!$A:$X,MATCH('1) For HR (FIX)'!E$1,'HR Rep'!$A$1:$X$1,0),0),""),""))</f>
        <v/>
      </c>
      <c r="F272" s="140" t="str">
        <f>IF(IFERROR(_xlfn.IFNA(VLOOKUP($A272,'HR Rep'!$A:$X,MATCH('1) For HR (FIX)'!F$1,'HR Rep'!$A$1:$X$1,0),0),""),"")="","",IFERROR(_xlfn.IFNA(VLOOKUP($A272,'HR Rep'!$A:$X,MATCH('1) For HR (FIX)'!F$1,'HR Rep'!$A$1:$X$1,0),0),""),""))</f>
        <v/>
      </c>
      <c r="G272" s="196"/>
      <c r="H272" s="140" t="str">
        <f>IF(IFERROR(_xlfn.IFNA(VLOOKUP($A272,'HR Rep'!$A:$X,MATCH('1) For HR (FIX)'!H$1,'HR Rep'!$A$1:$X$1,0),0),""),"")="","",IFERROR(_xlfn.IFNA(VLOOKUP($A272,'HR Rep'!$A:$X,MATCH('1) For HR (FIX)'!H$1,'HR Rep'!$A$1:$X$1,0),0),""),""))</f>
        <v/>
      </c>
      <c r="I272" s="140" t="str">
        <f>IF(IFERROR(_xlfn.IFNA(VLOOKUP($A272,'HR Rep'!$A:$X,MATCH('1) For HR (FIX)'!I$1,'HR Rep'!$A$1:$X$1,0),0),""),"")="","",IFERROR(_xlfn.IFNA(VLOOKUP($A272,'HR Rep'!$A:$X,MATCH('1) For HR (FIX)'!I$1,'HR Rep'!$A$1:$X$1,0),0),""),""))</f>
        <v/>
      </c>
      <c r="J272" s="140" t="str">
        <f>IF(IFERROR(_xlfn.IFNA(VLOOKUP($A272,'HR Rep'!$A:$X,MATCH('1) For HR (FIX)'!J$1,'HR Rep'!$A$1:$X$1,0),0),""),"")="","",IFERROR(_xlfn.IFNA(VLOOKUP($A272,'HR Rep'!$A:$X,MATCH('1) For HR (FIX)'!J$1,'HR Rep'!$A$1:$X$1,0),0),""),""))</f>
        <v/>
      </c>
      <c r="K272" s="161">
        <f>_xlfn.XLOOKUP(G272,ค่าตอบแทนการขายในอัตราคงที่!A:A,ค่าตอบแทนการขายในอัตราคงที่!B:B)</f>
        <v>0</v>
      </c>
      <c r="L272" s="174">
        <f>Period!$A$2</f>
        <v>46113</v>
      </c>
      <c r="M272" s="175">
        <f>Period!$C$2</f>
        <v>46143</v>
      </c>
      <c r="N272" s="194" t="s">
        <v>279</v>
      </c>
    </row>
    <row r="273" spans="1:14" ht="11.4" x14ac:dyDescent="0.25">
      <c r="A273" s="139"/>
      <c r="B273" s="169" t="e">
        <f>IF(IF(VLOOKUP(A273,ASTBase!F:P,11,FALSE)="","",VLOOKUP(A273,ASTBase!F:P,11,FALSE))=0,"",IF(VLOOKUP(A273,ASTBase!F:P,11,FALSE)="","",VLOOKUP(A273,ASTBase!F:P,11,FALSE)))</f>
        <v>#N/A</v>
      </c>
      <c r="C273" s="140" t="str">
        <f>IF(IFERROR(_xlfn.IFNA(VLOOKUP($A273,'HR Rep'!$A:$X,MATCH('1) For HR (FIX)'!C$1,'HR Rep'!$A$1:$X$1,0),0),""),"")="","",IFERROR(_xlfn.IFNA(VLOOKUP($A273,'HR Rep'!$A:$X,MATCH('1) For HR (FIX)'!C$1,'HR Rep'!$A$1:$X$1,0),0),""),""))</f>
        <v/>
      </c>
      <c r="D273" s="140" t="str">
        <f>IF(IFERROR(_xlfn.IFNA(VLOOKUP($A273,'HR Rep'!$A:$X,MATCH('1) For HR (FIX)'!D$1,'HR Rep'!$A$1:$X$1,0),0),""),"")="","",IFERROR(_xlfn.IFNA(VLOOKUP($A273,'HR Rep'!$A:$X,MATCH('1) For HR (FIX)'!D$1,'HR Rep'!$A$1:$X$1,0),0),""),""))</f>
        <v/>
      </c>
      <c r="E273" s="140" t="str">
        <f>IF(IFERROR(_xlfn.IFNA(VLOOKUP($A273,'HR Rep'!$A:$X,MATCH('1) For HR (FIX)'!E$1,'HR Rep'!$A$1:$X$1,0),0),""),"")="","",IFERROR(_xlfn.IFNA(VLOOKUP($A273,'HR Rep'!$A:$X,MATCH('1) For HR (FIX)'!E$1,'HR Rep'!$A$1:$X$1,0),0),""),""))</f>
        <v/>
      </c>
      <c r="F273" s="140" t="str">
        <f>IF(IFERROR(_xlfn.IFNA(VLOOKUP($A273,'HR Rep'!$A:$X,MATCH('1) For HR (FIX)'!F$1,'HR Rep'!$A$1:$X$1,0),0),""),"")="","",IFERROR(_xlfn.IFNA(VLOOKUP($A273,'HR Rep'!$A:$X,MATCH('1) For HR (FIX)'!F$1,'HR Rep'!$A$1:$X$1,0),0),""),""))</f>
        <v/>
      </c>
      <c r="G273" s="196"/>
      <c r="H273" s="140" t="str">
        <f>IF(IFERROR(_xlfn.IFNA(VLOOKUP($A273,'HR Rep'!$A:$X,MATCH('1) For HR (FIX)'!H$1,'HR Rep'!$A$1:$X$1,0),0),""),"")="","",IFERROR(_xlfn.IFNA(VLOOKUP($A273,'HR Rep'!$A:$X,MATCH('1) For HR (FIX)'!H$1,'HR Rep'!$A$1:$X$1,0),0),""),""))</f>
        <v/>
      </c>
      <c r="I273" s="140" t="str">
        <f>IF(IFERROR(_xlfn.IFNA(VLOOKUP($A273,'HR Rep'!$A:$X,MATCH('1) For HR (FIX)'!I$1,'HR Rep'!$A$1:$X$1,0),0),""),"")="","",IFERROR(_xlfn.IFNA(VLOOKUP($A273,'HR Rep'!$A:$X,MATCH('1) For HR (FIX)'!I$1,'HR Rep'!$A$1:$X$1,0),0),""),""))</f>
        <v/>
      </c>
      <c r="J273" s="140" t="str">
        <f>IF(IFERROR(_xlfn.IFNA(VLOOKUP($A273,'HR Rep'!$A:$X,MATCH('1) For HR (FIX)'!J$1,'HR Rep'!$A$1:$X$1,0),0),""),"")="","",IFERROR(_xlfn.IFNA(VLOOKUP($A273,'HR Rep'!$A:$X,MATCH('1) For HR (FIX)'!J$1,'HR Rep'!$A$1:$X$1,0),0),""),""))</f>
        <v/>
      </c>
      <c r="K273" s="161">
        <f>_xlfn.XLOOKUP(G273,ค่าตอบแทนการขายในอัตราคงที่!A:A,ค่าตอบแทนการขายในอัตราคงที่!B:B)</f>
        <v>0</v>
      </c>
      <c r="L273" s="174">
        <f>Period!$A$2</f>
        <v>46113</v>
      </c>
      <c r="M273" s="175">
        <f>Period!$C$2</f>
        <v>46143</v>
      </c>
      <c r="N273" s="194" t="s">
        <v>279</v>
      </c>
    </row>
    <row r="274" spans="1:14" ht="11.4" x14ac:dyDescent="0.25">
      <c r="A274" s="139"/>
      <c r="B274" s="169" t="e">
        <f>IF(IF(VLOOKUP(A274,ASTBase!F:P,11,FALSE)="","",VLOOKUP(A274,ASTBase!F:P,11,FALSE))=0,"",IF(VLOOKUP(A274,ASTBase!F:P,11,FALSE)="","",VLOOKUP(A274,ASTBase!F:P,11,FALSE)))</f>
        <v>#N/A</v>
      </c>
      <c r="C274" s="140" t="str">
        <f>IF(IFERROR(_xlfn.IFNA(VLOOKUP($A274,'HR Rep'!$A:$X,MATCH('1) For HR (FIX)'!C$1,'HR Rep'!$A$1:$X$1,0),0),""),"")="","",IFERROR(_xlfn.IFNA(VLOOKUP($A274,'HR Rep'!$A:$X,MATCH('1) For HR (FIX)'!C$1,'HR Rep'!$A$1:$X$1,0),0),""),""))</f>
        <v/>
      </c>
      <c r="D274" s="140" t="str">
        <f>IF(IFERROR(_xlfn.IFNA(VLOOKUP($A274,'HR Rep'!$A:$X,MATCH('1) For HR (FIX)'!D$1,'HR Rep'!$A$1:$X$1,0),0),""),"")="","",IFERROR(_xlfn.IFNA(VLOOKUP($A274,'HR Rep'!$A:$X,MATCH('1) For HR (FIX)'!D$1,'HR Rep'!$A$1:$X$1,0),0),""),""))</f>
        <v/>
      </c>
      <c r="E274" s="140" t="str">
        <f>IF(IFERROR(_xlfn.IFNA(VLOOKUP($A274,'HR Rep'!$A:$X,MATCH('1) For HR (FIX)'!E$1,'HR Rep'!$A$1:$X$1,0),0),""),"")="","",IFERROR(_xlfn.IFNA(VLOOKUP($A274,'HR Rep'!$A:$X,MATCH('1) For HR (FIX)'!E$1,'HR Rep'!$A$1:$X$1,0),0),""),""))</f>
        <v/>
      </c>
      <c r="F274" s="140" t="str">
        <f>IF(IFERROR(_xlfn.IFNA(VLOOKUP($A274,'HR Rep'!$A:$X,MATCH('1) For HR (FIX)'!F$1,'HR Rep'!$A$1:$X$1,0),0),""),"")="","",IFERROR(_xlfn.IFNA(VLOOKUP($A274,'HR Rep'!$A:$X,MATCH('1) For HR (FIX)'!F$1,'HR Rep'!$A$1:$X$1,0),0),""),""))</f>
        <v/>
      </c>
      <c r="G274" s="196"/>
      <c r="H274" s="140" t="str">
        <f>IF(IFERROR(_xlfn.IFNA(VLOOKUP($A274,'HR Rep'!$A:$X,MATCH('1) For HR (FIX)'!H$1,'HR Rep'!$A$1:$X$1,0),0),""),"")="","",IFERROR(_xlfn.IFNA(VLOOKUP($A274,'HR Rep'!$A:$X,MATCH('1) For HR (FIX)'!H$1,'HR Rep'!$A$1:$X$1,0),0),""),""))</f>
        <v/>
      </c>
      <c r="I274" s="140" t="str">
        <f>IF(IFERROR(_xlfn.IFNA(VLOOKUP($A274,'HR Rep'!$A:$X,MATCH('1) For HR (FIX)'!I$1,'HR Rep'!$A$1:$X$1,0),0),""),"")="","",IFERROR(_xlfn.IFNA(VLOOKUP($A274,'HR Rep'!$A:$X,MATCH('1) For HR (FIX)'!I$1,'HR Rep'!$A$1:$X$1,0),0),""),""))</f>
        <v/>
      </c>
      <c r="J274" s="140" t="str">
        <f>IF(IFERROR(_xlfn.IFNA(VLOOKUP($A274,'HR Rep'!$A:$X,MATCH('1) For HR (FIX)'!J$1,'HR Rep'!$A$1:$X$1,0),0),""),"")="","",IFERROR(_xlfn.IFNA(VLOOKUP($A274,'HR Rep'!$A:$X,MATCH('1) For HR (FIX)'!J$1,'HR Rep'!$A$1:$X$1,0),0),""),""))</f>
        <v/>
      </c>
      <c r="K274" s="161">
        <f>_xlfn.XLOOKUP(G274,ค่าตอบแทนการขายในอัตราคงที่!A:A,ค่าตอบแทนการขายในอัตราคงที่!B:B)</f>
        <v>0</v>
      </c>
      <c r="L274" s="174">
        <f>Period!$A$2</f>
        <v>46113</v>
      </c>
      <c r="M274" s="175">
        <f>Period!$C$2</f>
        <v>46143</v>
      </c>
      <c r="N274" s="194" t="s">
        <v>279</v>
      </c>
    </row>
    <row r="275" spans="1:14" ht="11.4" x14ac:dyDescent="0.25">
      <c r="A275" s="139"/>
      <c r="B275" s="169" t="e">
        <f>IF(IF(VLOOKUP(A275,ASTBase!F:P,11,FALSE)="","",VLOOKUP(A275,ASTBase!F:P,11,FALSE))=0,"",IF(VLOOKUP(A275,ASTBase!F:P,11,FALSE)="","",VLOOKUP(A275,ASTBase!F:P,11,FALSE)))</f>
        <v>#N/A</v>
      </c>
      <c r="C275" s="140" t="str">
        <f>IF(IFERROR(_xlfn.IFNA(VLOOKUP($A275,'HR Rep'!$A:$X,MATCH('1) For HR (FIX)'!C$1,'HR Rep'!$A$1:$X$1,0),0),""),"")="","",IFERROR(_xlfn.IFNA(VLOOKUP($A275,'HR Rep'!$A:$X,MATCH('1) For HR (FIX)'!C$1,'HR Rep'!$A$1:$X$1,0),0),""),""))</f>
        <v/>
      </c>
      <c r="D275" s="140" t="str">
        <f>IF(IFERROR(_xlfn.IFNA(VLOOKUP($A275,'HR Rep'!$A:$X,MATCH('1) For HR (FIX)'!D$1,'HR Rep'!$A$1:$X$1,0),0),""),"")="","",IFERROR(_xlfn.IFNA(VLOOKUP($A275,'HR Rep'!$A:$X,MATCH('1) For HR (FIX)'!D$1,'HR Rep'!$A$1:$X$1,0),0),""),""))</f>
        <v/>
      </c>
      <c r="E275" s="140" t="str">
        <f>IF(IFERROR(_xlfn.IFNA(VLOOKUP($A275,'HR Rep'!$A:$X,MATCH('1) For HR (FIX)'!E$1,'HR Rep'!$A$1:$X$1,0),0),""),"")="","",IFERROR(_xlfn.IFNA(VLOOKUP($A275,'HR Rep'!$A:$X,MATCH('1) For HR (FIX)'!E$1,'HR Rep'!$A$1:$X$1,0),0),""),""))</f>
        <v/>
      </c>
      <c r="F275" s="140" t="str">
        <f>IF(IFERROR(_xlfn.IFNA(VLOOKUP($A275,'HR Rep'!$A:$X,MATCH('1) For HR (FIX)'!F$1,'HR Rep'!$A$1:$X$1,0),0),""),"")="","",IFERROR(_xlfn.IFNA(VLOOKUP($A275,'HR Rep'!$A:$X,MATCH('1) For HR (FIX)'!F$1,'HR Rep'!$A$1:$X$1,0),0),""),""))</f>
        <v/>
      </c>
      <c r="G275" s="196"/>
      <c r="H275" s="140" t="str">
        <f>IF(IFERROR(_xlfn.IFNA(VLOOKUP($A275,'HR Rep'!$A:$X,MATCH('1) For HR (FIX)'!H$1,'HR Rep'!$A$1:$X$1,0),0),""),"")="","",IFERROR(_xlfn.IFNA(VLOOKUP($A275,'HR Rep'!$A:$X,MATCH('1) For HR (FIX)'!H$1,'HR Rep'!$A$1:$X$1,0),0),""),""))</f>
        <v/>
      </c>
      <c r="I275" s="140" t="str">
        <f>IF(IFERROR(_xlfn.IFNA(VLOOKUP($A275,'HR Rep'!$A:$X,MATCH('1) For HR (FIX)'!I$1,'HR Rep'!$A$1:$X$1,0),0),""),"")="","",IFERROR(_xlfn.IFNA(VLOOKUP($A275,'HR Rep'!$A:$X,MATCH('1) For HR (FIX)'!I$1,'HR Rep'!$A$1:$X$1,0),0),""),""))</f>
        <v/>
      </c>
      <c r="J275" s="140" t="str">
        <f>IF(IFERROR(_xlfn.IFNA(VLOOKUP($A275,'HR Rep'!$A:$X,MATCH('1) For HR (FIX)'!J$1,'HR Rep'!$A$1:$X$1,0),0),""),"")="","",IFERROR(_xlfn.IFNA(VLOOKUP($A275,'HR Rep'!$A:$X,MATCH('1) For HR (FIX)'!J$1,'HR Rep'!$A$1:$X$1,0),0),""),""))</f>
        <v/>
      </c>
      <c r="K275" s="161">
        <f>_xlfn.XLOOKUP(G275,ค่าตอบแทนการขายในอัตราคงที่!A:A,ค่าตอบแทนการขายในอัตราคงที่!B:B)</f>
        <v>0</v>
      </c>
      <c r="L275" s="174">
        <f>Period!$A$2</f>
        <v>46113</v>
      </c>
      <c r="M275" s="175">
        <f>Period!$C$2</f>
        <v>46143</v>
      </c>
      <c r="N275" s="194" t="s">
        <v>279</v>
      </c>
    </row>
    <row r="276" spans="1:14" ht="11.4" x14ac:dyDescent="0.25">
      <c r="A276" s="139"/>
      <c r="B276" s="169" t="e">
        <f>IF(IF(VLOOKUP(A276,ASTBase!F:P,11,FALSE)="","",VLOOKUP(A276,ASTBase!F:P,11,FALSE))=0,"",IF(VLOOKUP(A276,ASTBase!F:P,11,FALSE)="","",VLOOKUP(A276,ASTBase!F:P,11,FALSE)))</f>
        <v>#N/A</v>
      </c>
      <c r="C276" s="140" t="str">
        <f>IF(IFERROR(_xlfn.IFNA(VLOOKUP($A276,'HR Rep'!$A:$X,MATCH('1) For HR (FIX)'!C$1,'HR Rep'!$A$1:$X$1,0),0),""),"")="","",IFERROR(_xlfn.IFNA(VLOOKUP($A276,'HR Rep'!$A:$X,MATCH('1) For HR (FIX)'!C$1,'HR Rep'!$A$1:$X$1,0),0),""),""))</f>
        <v/>
      </c>
      <c r="D276" s="140" t="str">
        <f>IF(IFERROR(_xlfn.IFNA(VLOOKUP($A276,'HR Rep'!$A:$X,MATCH('1) For HR (FIX)'!D$1,'HR Rep'!$A$1:$X$1,0),0),""),"")="","",IFERROR(_xlfn.IFNA(VLOOKUP($A276,'HR Rep'!$A:$X,MATCH('1) For HR (FIX)'!D$1,'HR Rep'!$A$1:$X$1,0),0),""),""))</f>
        <v/>
      </c>
      <c r="E276" s="140" t="str">
        <f>IF(IFERROR(_xlfn.IFNA(VLOOKUP($A276,'HR Rep'!$A:$X,MATCH('1) For HR (FIX)'!E$1,'HR Rep'!$A$1:$X$1,0),0),""),"")="","",IFERROR(_xlfn.IFNA(VLOOKUP($A276,'HR Rep'!$A:$X,MATCH('1) For HR (FIX)'!E$1,'HR Rep'!$A$1:$X$1,0),0),""),""))</f>
        <v/>
      </c>
      <c r="F276" s="140" t="str">
        <f>IF(IFERROR(_xlfn.IFNA(VLOOKUP($A276,'HR Rep'!$A:$X,MATCH('1) For HR (FIX)'!F$1,'HR Rep'!$A$1:$X$1,0),0),""),"")="","",IFERROR(_xlfn.IFNA(VLOOKUP($A276,'HR Rep'!$A:$X,MATCH('1) For HR (FIX)'!F$1,'HR Rep'!$A$1:$X$1,0),0),""),""))</f>
        <v/>
      </c>
      <c r="G276" s="196"/>
      <c r="H276" s="140" t="str">
        <f>IF(IFERROR(_xlfn.IFNA(VLOOKUP($A276,'HR Rep'!$A:$X,MATCH('1) For HR (FIX)'!H$1,'HR Rep'!$A$1:$X$1,0),0),""),"")="","",IFERROR(_xlfn.IFNA(VLOOKUP($A276,'HR Rep'!$A:$X,MATCH('1) For HR (FIX)'!H$1,'HR Rep'!$A$1:$X$1,0),0),""),""))</f>
        <v/>
      </c>
      <c r="I276" s="140" t="str">
        <f>IF(IFERROR(_xlfn.IFNA(VLOOKUP($A276,'HR Rep'!$A:$X,MATCH('1) For HR (FIX)'!I$1,'HR Rep'!$A$1:$X$1,0),0),""),"")="","",IFERROR(_xlfn.IFNA(VLOOKUP($A276,'HR Rep'!$A:$X,MATCH('1) For HR (FIX)'!I$1,'HR Rep'!$A$1:$X$1,0),0),""),""))</f>
        <v/>
      </c>
      <c r="J276" s="140" t="str">
        <f>IF(IFERROR(_xlfn.IFNA(VLOOKUP($A276,'HR Rep'!$A:$X,MATCH('1) For HR (FIX)'!J$1,'HR Rep'!$A$1:$X$1,0),0),""),"")="","",IFERROR(_xlfn.IFNA(VLOOKUP($A276,'HR Rep'!$A:$X,MATCH('1) For HR (FIX)'!J$1,'HR Rep'!$A$1:$X$1,0),0),""),""))</f>
        <v/>
      </c>
      <c r="K276" s="161">
        <f>_xlfn.XLOOKUP(G276,ค่าตอบแทนการขายในอัตราคงที่!A:A,ค่าตอบแทนการขายในอัตราคงที่!B:B)</f>
        <v>0</v>
      </c>
      <c r="L276" s="174">
        <f>Period!$A$2</f>
        <v>46113</v>
      </c>
      <c r="M276" s="175">
        <f>Period!$C$2</f>
        <v>46143</v>
      </c>
      <c r="N276" s="194" t="s">
        <v>279</v>
      </c>
    </row>
    <row r="277" spans="1:14" ht="11.4" x14ac:dyDescent="0.25">
      <c r="A277" s="139"/>
      <c r="B277" s="169" t="e">
        <f>IF(IF(VLOOKUP(A277,ASTBase!F:P,11,FALSE)="","",VLOOKUP(A277,ASTBase!F:P,11,FALSE))=0,"",IF(VLOOKUP(A277,ASTBase!F:P,11,FALSE)="","",VLOOKUP(A277,ASTBase!F:P,11,FALSE)))</f>
        <v>#N/A</v>
      </c>
      <c r="C277" s="140" t="str">
        <f>IF(IFERROR(_xlfn.IFNA(VLOOKUP($A277,'HR Rep'!$A:$X,MATCH('1) For HR (FIX)'!C$1,'HR Rep'!$A$1:$X$1,0),0),""),"")="","",IFERROR(_xlfn.IFNA(VLOOKUP($A277,'HR Rep'!$A:$X,MATCH('1) For HR (FIX)'!C$1,'HR Rep'!$A$1:$X$1,0),0),""),""))</f>
        <v/>
      </c>
      <c r="D277" s="140" t="str">
        <f>IF(IFERROR(_xlfn.IFNA(VLOOKUP($A277,'HR Rep'!$A:$X,MATCH('1) For HR (FIX)'!D$1,'HR Rep'!$A$1:$X$1,0),0),""),"")="","",IFERROR(_xlfn.IFNA(VLOOKUP($A277,'HR Rep'!$A:$X,MATCH('1) For HR (FIX)'!D$1,'HR Rep'!$A$1:$X$1,0),0),""),""))</f>
        <v/>
      </c>
      <c r="E277" s="140" t="str">
        <f>IF(IFERROR(_xlfn.IFNA(VLOOKUP($A277,'HR Rep'!$A:$X,MATCH('1) For HR (FIX)'!E$1,'HR Rep'!$A$1:$X$1,0),0),""),"")="","",IFERROR(_xlfn.IFNA(VLOOKUP($A277,'HR Rep'!$A:$X,MATCH('1) For HR (FIX)'!E$1,'HR Rep'!$A$1:$X$1,0),0),""),""))</f>
        <v/>
      </c>
      <c r="F277" s="140" t="str">
        <f>IF(IFERROR(_xlfn.IFNA(VLOOKUP($A277,'HR Rep'!$A:$X,MATCH('1) For HR (FIX)'!F$1,'HR Rep'!$A$1:$X$1,0),0),""),"")="","",IFERROR(_xlfn.IFNA(VLOOKUP($A277,'HR Rep'!$A:$X,MATCH('1) For HR (FIX)'!F$1,'HR Rep'!$A$1:$X$1,0),0),""),""))</f>
        <v/>
      </c>
      <c r="G277" s="196"/>
      <c r="H277" s="140" t="str">
        <f>IF(IFERROR(_xlfn.IFNA(VLOOKUP($A277,'HR Rep'!$A:$X,MATCH('1) For HR (FIX)'!H$1,'HR Rep'!$A$1:$X$1,0),0),""),"")="","",IFERROR(_xlfn.IFNA(VLOOKUP($A277,'HR Rep'!$A:$X,MATCH('1) For HR (FIX)'!H$1,'HR Rep'!$A$1:$X$1,0),0),""),""))</f>
        <v/>
      </c>
      <c r="I277" s="140" t="str">
        <f>IF(IFERROR(_xlfn.IFNA(VLOOKUP($A277,'HR Rep'!$A:$X,MATCH('1) For HR (FIX)'!I$1,'HR Rep'!$A$1:$X$1,0),0),""),"")="","",IFERROR(_xlfn.IFNA(VLOOKUP($A277,'HR Rep'!$A:$X,MATCH('1) For HR (FIX)'!I$1,'HR Rep'!$A$1:$X$1,0),0),""),""))</f>
        <v/>
      </c>
      <c r="J277" s="140" t="str">
        <f>IF(IFERROR(_xlfn.IFNA(VLOOKUP($A277,'HR Rep'!$A:$X,MATCH('1) For HR (FIX)'!J$1,'HR Rep'!$A$1:$X$1,0),0),""),"")="","",IFERROR(_xlfn.IFNA(VLOOKUP($A277,'HR Rep'!$A:$X,MATCH('1) For HR (FIX)'!J$1,'HR Rep'!$A$1:$X$1,0),0),""),""))</f>
        <v/>
      </c>
      <c r="K277" s="161">
        <f>_xlfn.XLOOKUP(G277,ค่าตอบแทนการขายในอัตราคงที่!A:A,ค่าตอบแทนการขายในอัตราคงที่!B:B)</f>
        <v>0</v>
      </c>
      <c r="L277" s="174">
        <f>Period!$A$2</f>
        <v>46113</v>
      </c>
      <c r="M277" s="175">
        <f>Period!$C$2</f>
        <v>46143</v>
      </c>
      <c r="N277" s="194" t="s">
        <v>279</v>
      </c>
    </row>
    <row r="278" spans="1:14" ht="11.4" x14ac:dyDescent="0.25">
      <c r="A278" s="139"/>
      <c r="B278" s="169" t="e">
        <f>IF(IF(VLOOKUP(A278,ASTBase!F:P,11,FALSE)="","",VLOOKUP(A278,ASTBase!F:P,11,FALSE))=0,"",IF(VLOOKUP(A278,ASTBase!F:P,11,FALSE)="","",VLOOKUP(A278,ASTBase!F:P,11,FALSE)))</f>
        <v>#N/A</v>
      </c>
      <c r="C278" s="140" t="str">
        <f>IF(IFERROR(_xlfn.IFNA(VLOOKUP($A278,'HR Rep'!$A:$X,MATCH('1) For HR (FIX)'!C$1,'HR Rep'!$A$1:$X$1,0),0),""),"")="","",IFERROR(_xlfn.IFNA(VLOOKUP($A278,'HR Rep'!$A:$X,MATCH('1) For HR (FIX)'!C$1,'HR Rep'!$A$1:$X$1,0),0),""),""))</f>
        <v/>
      </c>
      <c r="D278" s="140" t="str">
        <f>IF(IFERROR(_xlfn.IFNA(VLOOKUP($A278,'HR Rep'!$A:$X,MATCH('1) For HR (FIX)'!D$1,'HR Rep'!$A$1:$X$1,0),0),""),"")="","",IFERROR(_xlfn.IFNA(VLOOKUP($A278,'HR Rep'!$A:$X,MATCH('1) For HR (FIX)'!D$1,'HR Rep'!$A$1:$X$1,0),0),""),""))</f>
        <v/>
      </c>
      <c r="E278" s="140" t="str">
        <f>IF(IFERROR(_xlfn.IFNA(VLOOKUP($A278,'HR Rep'!$A:$X,MATCH('1) For HR (FIX)'!E$1,'HR Rep'!$A$1:$X$1,0),0),""),"")="","",IFERROR(_xlfn.IFNA(VLOOKUP($A278,'HR Rep'!$A:$X,MATCH('1) For HR (FIX)'!E$1,'HR Rep'!$A$1:$X$1,0),0),""),""))</f>
        <v/>
      </c>
      <c r="F278" s="140" t="str">
        <f>IF(IFERROR(_xlfn.IFNA(VLOOKUP($A278,'HR Rep'!$A:$X,MATCH('1) For HR (FIX)'!F$1,'HR Rep'!$A$1:$X$1,0),0),""),"")="","",IFERROR(_xlfn.IFNA(VLOOKUP($A278,'HR Rep'!$A:$X,MATCH('1) For HR (FIX)'!F$1,'HR Rep'!$A$1:$X$1,0),0),""),""))</f>
        <v/>
      </c>
      <c r="G278" s="196"/>
      <c r="H278" s="140" t="str">
        <f>IF(IFERROR(_xlfn.IFNA(VLOOKUP($A278,'HR Rep'!$A:$X,MATCH('1) For HR (FIX)'!H$1,'HR Rep'!$A$1:$X$1,0),0),""),"")="","",IFERROR(_xlfn.IFNA(VLOOKUP($A278,'HR Rep'!$A:$X,MATCH('1) For HR (FIX)'!H$1,'HR Rep'!$A$1:$X$1,0),0),""),""))</f>
        <v/>
      </c>
      <c r="I278" s="140" t="str">
        <f>IF(IFERROR(_xlfn.IFNA(VLOOKUP($A278,'HR Rep'!$A:$X,MATCH('1) For HR (FIX)'!I$1,'HR Rep'!$A$1:$X$1,0),0),""),"")="","",IFERROR(_xlfn.IFNA(VLOOKUP($A278,'HR Rep'!$A:$X,MATCH('1) For HR (FIX)'!I$1,'HR Rep'!$A$1:$X$1,0),0),""),""))</f>
        <v/>
      </c>
      <c r="J278" s="140" t="str">
        <f>IF(IFERROR(_xlfn.IFNA(VLOOKUP($A278,'HR Rep'!$A:$X,MATCH('1) For HR (FIX)'!J$1,'HR Rep'!$A$1:$X$1,0),0),""),"")="","",IFERROR(_xlfn.IFNA(VLOOKUP($A278,'HR Rep'!$A:$X,MATCH('1) For HR (FIX)'!J$1,'HR Rep'!$A$1:$X$1,0),0),""),""))</f>
        <v/>
      </c>
      <c r="K278" s="161">
        <f>_xlfn.XLOOKUP(G278,ค่าตอบแทนการขายในอัตราคงที่!A:A,ค่าตอบแทนการขายในอัตราคงที่!B:B)</f>
        <v>0</v>
      </c>
      <c r="L278" s="174">
        <f>Period!$A$2</f>
        <v>46113</v>
      </c>
      <c r="M278" s="175">
        <f>Period!$C$2</f>
        <v>46143</v>
      </c>
      <c r="N278" s="194" t="s">
        <v>279</v>
      </c>
    </row>
    <row r="279" spans="1:14" ht="11.4" x14ac:dyDescent="0.25">
      <c r="A279" s="137"/>
      <c r="B279" s="169" t="e">
        <f>IF(IF(VLOOKUP(A279,ASTBase!F:P,11,FALSE)="","",VLOOKUP(A279,ASTBase!F:P,11,FALSE))=0,"",IF(VLOOKUP(A279,ASTBase!F:P,11,FALSE)="","",VLOOKUP(A279,ASTBase!F:P,11,FALSE)))</f>
        <v>#N/A</v>
      </c>
      <c r="C279" s="140" t="str">
        <f>IF(IFERROR(_xlfn.IFNA(VLOOKUP($A279,'HR Rep'!$A:$X,MATCH('1) For HR (FIX)'!C$1,'HR Rep'!$A$1:$X$1,0),0),""),"")="","",IFERROR(_xlfn.IFNA(VLOOKUP($A279,'HR Rep'!$A:$X,MATCH('1) For HR (FIX)'!C$1,'HR Rep'!$A$1:$X$1,0),0),""),""))</f>
        <v/>
      </c>
      <c r="D279" s="140" t="str">
        <f>IF(IFERROR(_xlfn.IFNA(VLOOKUP($A279,'HR Rep'!$A:$X,MATCH('1) For HR (FIX)'!D$1,'HR Rep'!$A$1:$X$1,0),0),""),"")="","",IFERROR(_xlfn.IFNA(VLOOKUP($A279,'HR Rep'!$A:$X,MATCH('1) For HR (FIX)'!D$1,'HR Rep'!$A$1:$X$1,0),0),""),""))</f>
        <v/>
      </c>
      <c r="E279" s="140" t="str">
        <f>IF(IFERROR(_xlfn.IFNA(VLOOKUP($A279,'HR Rep'!$A:$X,MATCH('1) For HR (FIX)'!E$1,'HR Rep'!$A$1:$X$1,0),0),""),"")="","",IFERROR(_xlfn.IFNA(VLOOKUP($A279,'HR Rep'!$A:$X,MATCH('1) For HR (FIX)'!E$1,'HR Rep'!$A$1:$X$1,0),0),""),""))</f>
        <v/>
      </c>
      <c r="F279" s="140" t="str">
        <f>IF(IFERROR(_xlfn.IFNA(VLOOKUP($A279,'HR Rep'!$A:$X,MATCH('1) For HR (FIX)'!F$1,'HR Rep'!$A$1:$X$1,0),0),""),"")="","",IFERROR(_xlfn.IFNA(VLOOKUP($A279,'HR Rep'!$A:$X,MATCH('1) For HR (FIX)'!F$1,'HR Rep'!$A$1:$X$1,0),0),""),""))</f>
        <v/>
      </c>
      <c r="G279" s="196"/>
      <c r="H279" s="140" t="str">
        <f>IF(IFERROR(_xlfn.IFNA(VLOOKUP($A279,'HR Rep'!$A:$X,MATCH('1) For HR (FIX)'!H$1,'HR Rep'!$A$1:$X$1,0),0),""),"")="","",IFERROR(_xlfn.IFNA(VLOOKUP($A279,'HR Rep'!$A:$X,MATCH('1) For HR (FIX)'!H$1,'HR Rep'!$A$1:$X$1,0),0),""),""))</f>
        <v/>
      </c>
      <c r="I279" s="140" t="str">
        <f>IF(IFERROR(_xlfn.IFNA(VLOOKUP($A279,'HR Rep'!$A:$X,MATCH('1) For HR (FIX)'!I$1,'HR Rep'!$A$1:$X$1,0),0),""),"")="","",IFERROR(_xlfn.IFNA(VLOOKUP($A279,'HR Rep'!$A:$X,MATCH('1) For HR (FIX)'!I$1,'HR Rep'!$A$1:$X$1,0),0),""),""))</f>
        <v/>
      </c>
      <c r="J279" s="140" t="str">
        <f>IF(IFERROR(_xlfn.IFNA(VLOOKUP($A279,'HR Rep'!$A:$X,MATCH('1) For HR (FIX)'!J$1,'HR Rep'!$A$1:$X$1,0),0),""),"")="","",IFERROR(_xlfn.IFNA(VLOOKUP($A279,'HR Rep'!$A:$X,MATCH('1) For HR (FIX)'!J$1,'HR Rep'!$A$1:$X$1,0),0),""),""))</f>
        <v/>
      </c>
      <c r="K279" s="161">
        <f>_xlfn.XLOOKUP(G279,ค่าตอบแทนการขายในอัตราคงที่!A:A,ค่าตอบแทนการขายในอัตราคงที่!B:B)</f>
        <v>0</v>
      </c>
      <c r="L279" s="174">
        <f>Period!$A$2</f>
        <v>46113</v>
      </c>
      <c r="M279" s="175">
        <f>Period!$C$2</f>
        <v>46143</v>
      </c>
      <c r="N279" s="194" t="s">
        <v>279</v>
      </c>
    </row>
    <row r="280" spans="1:14" ht="11.4" x14ac:dyDescent="0.25">
      <c r="A280" s="137"/>
      <c r="B280" s="169" t="e">
        <f>IF(IF(VLOOKUP(A280,ASTBase!F:P,11,FALSE)="","",VLOOKUP(A280,ASTBase!F:P,11,FALSE))=0,"",IF(VLOOKUP(A280,ASTBase!F:P,11,FALSE)="","",VLOOKUP(A280,ASTBase!F:P,11,FALSE)))</f>
        <v>#N/A</v>
      </c>
      <c r="C280" s="140" t="str">
        <f>IF(IFERROR(_xlfn.IFNA(VLOOKUP($A280,'HR Rep'!$A:$X,MATCH('1) For HR (FIX)'!C$1,'HR Rep'!$A$1:$X$1,0),0),""),"")="","",IFERROR(_xlfn.IFNA(VLOOKUP($A280,'HR Rep'!$A:$X,MATCH('1) For HR (FIX)'!C$1,'HR Rep'!$A$1:$X$1,0),0),""),""))</f>
        <v/>
      </c>
      <c r="D280" s="140" t="str">
        <f>IF(IFERROR(_xlfn.IFNA(VLOOKUP($A280,'HR Rep'!$A:$X,MATCH('1) For HR (FIX)'!D$1,'HR Rep'!$A$1:$X$1,0),0),""),"")="","",IFERROR(_xlfn.IFNA(VLOOKUP($A280,'HR Rep'!$A:$X,MATCH('1) For HR (FIX)'!D$1,'HR Rep'!$A$1:$X$1,0),0),""),""))</f>
        <v/>
      </c>
      <c r="E280" s="140" t="str">
        <f>IF(IFERROR(_xlfn.IFNA(VLOOKUP($A280,'HR Rep'!$A:$X,MATCH('1) For HR (FIX)'!E$1,'HR Rep'!$A$1:$X$1,0),0),""),"")="","",IFERROR(_xlfn.IFNA(VLOOKUP($A280,'HR Rep'!$A:$X,MATCH('1) For HR (FIX)'!E$1,'HR Rep'!$A$1:$X$1,0),0),""),""))</f>
        <v/>
      </c>
      <c r="F280" s="140" t="str">
        <f>IF(IFERROR(_xlfn.IFNA(VLOOKUP($A280,'HR Rep'!$A:$X,MATCH('1) For HR (FIX)'!F$1,'HR Rep'!$A$1:$X$1,0),0),""),"")="","",IFERROR(_xlfn.IFNA(VLOOKUP($A280,'HR Rep'!$A:$X,MATCH('1) For HR (FIX)'!F$1,'HR Rep'!$A$1:$X$1,0),0),""),""))</f>
        <v/>
      </c>
      <c r="G280" s="196"/>
      <c r="H280" s="140" t="str">
        <f>IF(IFERROR(_xlfn.IFNA(VLOOKUP($A280,'HR Rep'!$A:$X,MATCH('1) For HR (FIX)'!H$1,'HR Rep'!$A$1:$X$1,0),0),""),"")="","",IFERROR(_xlfn.IFNA(VLOOKUP($A280,'HR Rep'!$A:$X,MATCH('1) For HR (FIX)'!H$1,'HR Rep'!$A$1:$X$1,0),0),""),""))</f>
        <v/>
      </c>
      <c r="I280" s="140" t="str">
        <f>IF(IFERROR(_xlfn.IFNA(VLOOKUP($A280,'HR Rep'!$A:$X,MATCH('1) For HR (FIX)'!I$1,'HR Rep'!$A$1:$X$1,0),0),""),"")="","",IFERROR(_xlfn.IFNA(VLOOKUP($A280,'HR Rep'!$A:$X,MATCH('1) For HR (FIX)'!I$1,'HR Rep'!$A$1:$X$1,0),0),""),""))</f>
        <v/>
      </c>
      <c r="J280" s="140" t="str">
        <f>IF(IFERROR(_xlfn.IFNA(VLOOKUP($A280,'HR Rep'!$A:$X,MATCH('1) For HR (FIX)'!J$1,'HR Rep'!$A$1:$X$1,0),0),""),"")="","",IFERROR(_xlfn.IFNA(VLOOKUP($A280,'HR Rep'!$A:$X,MATCH('1) For HR (FIX)'!J$1,'HR Rep'!$A$1:$X$1,0),0),""),""))</f>
        <v/>
      </c>
      <c r="K280" s="161">
        <f>_xlfn.XLOOKUP(G280,ค่าตอบแทนการขายในอัตราคงที่!A:A,ค่าตอบแทนการขายในอัตราคงที่!B:B)</f>
        <v>0</v>
      </c>
      <c r="L280" s="174">
        <f>Period!$A$2</f>
        <v>46113</v>
      </c>
      <c r="M280" s="175">
        <f>Period!$C$2</f>
        <v>46143</v>
      </c>
      <c r="N280" s="194" t="s">
        <v>279</v>
      </c>
    </row>
    <row r="281" spans="1:14" ht="11.4" x14ac:dyDescent="0.25">
      <c r="A281" s="137"/>
      <c r="B281" s="169" t="e">
        <f>IF(IF(VLOOKUP(A281,ASTBase!F:P,11,FALSE)="","",VLOOKUP(A281,ASTBase!F:P,11,FALSE))=0,"",IF(VLOOKUP(A281,ASTBase!F:P,11,FALSE)="","",VLOOKUP(A281,ASTBase!F:P,11,FALSE)))</f>
        <v>#N/A</v>
      </c>
      <c r="C281" s="140" t="str">
        <f>IF(IFERROR(_xlfn.IFNA(VLOOKUP($A281,'HR Rep'!$A:$X,MATCH('1) For HR (FIX)'!C$1,'HR Rep'!$A$1:$X$1,0),0),""),"")="","",IFERROR(_xlfn.IFNA(VLOOKUP($A281,'HR Rep'!$A:$X,MATCH('1) For HR (FIX)'!C$1,'HR Rep'!$A$1:$X$1,0),0),""),""))</f>
        <v/>
      </c>
      <c r="D281" s="140" t="str">
        <f>IF(IFERROR(_xlfn.IFNA(VLOOKUP($A281,'HR Rep'!$A:$X,MATCH('1) For HR (FIX)'!D$1,'HR Rep'!$A$1:$X$1,0),0),""),"")="","",IFERROR(_xlfn.IFNA(VLOOKUP($A281,'HR Rep'!$A:$X,MATCH('1) For HR (FIX)'!D$1,'HR Rep'!$A$1:$X$1,0),0),""),""))</f>
        <v/>
      </c>
      <c r="E281" s="140" t="str">
        <f>IF(IFERROR(_xlfn.IFNA(VLOOKUP($A281,'HR Rep'!$A:$X,MATCH('1) For HR (FIX)'!E$1,'HR Rep'!$A$1:$X$1,0),0),""),"")="","",IFERROR(_xlfn.IFNA(VLOOKUP($A281,'HR Rep'!$A:$X,MATCH('1) For HR (FIX)'!E$1,'HR Rep'!$A$1:$X$1,0),0),""),""))</f>
        <v/>
      </c>
      <c r="F281" s="140" t="str">
        <f>IF(IFERROR(_xlfn.IFNA(VLOOKUP($A281,'HR Rep'!$A:$X,MATCH('1) For HR (FIX)'!F$1,'HR Rep'!$A$1:$X$1,0),0),""),"")="","",IFERROR(_xlfn.IFNA(VLOOKUP($A281,'HR Rep'!$A:$X,MATCH('1) For HR (FIX)'!F$1,'HR Rep'!$A$1:$X$1,0),0),""),""))</f>
        <v/>
      </c>
      <c r="G281" s="196"/>
      <c r="H281" s="140" t="str">
        <f>IF(IFERROR(_xlfn.IFNA(VLOOKUP($A281,'HR Rep'!$A:$X,MATCH('1) For HR (FIX)'!H$1,'HR Rep'!$A$1:$X$1,0),0),""),"")="","",IFERROR(_xlfn.IFNA(VLOOKUP($A281,'HR Rep'!$A:$X,MATCH('1) For HR (FIX)'!H$1,'HR Rep'!$A$1:$X$1,0),0),""),""))</f>
        <v/>
      </c>
      <c r="I281" s="140" t="str">
        <f>IF(IFERROR(_xlfn.IFNA(VLOOKUP($A281,'HR Rep'!$A:$X,MATCH('1) For HR (FIX)'!I$1,'HR Rep'!$A$1:$X$1,0),0),""),"")="","",IFERROR(_xlfn.IFNA(VLOOKUP($A281,'HR Rep'!$A:$X,MATCH('1) For HR (FIX)'!I$1,'HR Rep'!$A$1:$X$1,0),0),""),""))</f>
        <v/>
      </c>
      <c r="J281" s="140" t="str">
        <f>IF(IFERROR(_xlfn.IFNA(VLOOKUP($A281,'HR Rep'!$A:$X,MATCH('1) For HR (FIX)'!J$1,'HR Rep'!$A$1:$X$1,0),0),""),"")="","",IFERROR(_xlfn.IFNA(VLOOKUP($A281,'HR Rep'!$A:$X,MATCH('1) For HR (FIX)'!J$1,'HR Rep'!$A$1:$X$1,0),0),""),""))</f>
        <v/>
      </c>
      <c r="K281" s="161">
        <f>_xlfn.XLOOKUP(G281,ค่าตอบแทนการขายในอัตราคงที่!A:A,ค่าตอบแทนการขายในอัตราคงที่!B:B)</f>
        <v>0</v>
      </c>
      <c r="L281" s="174">
        <f>Period!$A$2</f>
        <v>46113</v>
      </c>
      <c r="M281" s="175">
        <f>Period!$C$2</f>
        <v>46143</v>
      </c>
      <c r="N281" s="194" t="s">
        <v>279</v>
      </c>
    </row>
    <row r="282" spans="1:14" ht="11.4" x14ac:dyDescent="0.25">
      <c r="A282" s="137"/>
      <c r="B282" s="169" t="e">
        <f>IF(IF(VLOOKUP(A282,ASTBase!F:P,11,FALSE)="","",VLOOKUP(A282,ASTBase!F:P,11,FALSE))=0,"",IF(VLOOKUP(A282,ASTBase!F:P,11,FALSE)="","",VLOOKUP(A282,ASTBase!F:P,11,FALSE)))</f>
        <v>#N/A</v>
      </c>
      <c r="C282" s="140" t="str">
        <f>IF(IFERROR(_xlfn.IFNA(VLOOKUP($A282,'HR Rep'!$A:$X,MATCH('1) For HR (FIX)'!C$1,'HR Rep'!$A$1:$X$1,0),0),""),"")="","",IFERROR(_xlfn.IFNA(VLOOKUP($A282,'HR Rep'!$A:$X,MATCH('1) For HR (FIX)'!C$1,'HR Rep'!$A$1:$X$1,0),0),""),""))</f>
        <v/>
      </c>
      <c r="D282" s="140" t="str">
        <f>IF(IFERROR(_xlfn.IFNA(VLOOKUP($A282,'HR Rep'!$A:$X,MATCH('1) For HR (FIX)'!D$1,'HR Rep'!$A$1:$X$1,0),0),""),"")="","",IFERROR(_xlfn.IFNA(VLOOKUP($A282,'HR Rep'!$A:$X,MATCH('1) For HR (FIX)'!D$1,'HR Rep'!$A$1:$X$1,0),0),""),""))</f>
        <v/>
      </c>
      <c r="E282" s="140" t="str">
        <f>IF(IFERROR(_xlfn.IFNA(VLOOKUP($A282,'HR Rep'!$A:$X,MATCH('1) For HR (FIX)'!E$1,'HR Rep'!$A$1:$X$1,0),0),""),"")="","",IFERROR(_xlfn.IFNA(VLOOKUP($A282,'HR Rep'!$A:$X,MATCH('1) For HR (FIX)'!E$1,'HR Rep'!$A$1:$X$1,0),0),""),""))</f>
        <v/>
      </c>
      <c r="F282" s="140" t="str">
        <f>IF(IFERROR(_xlfn.IFNA(VLOOKUP($A282,'HR Rep'!$A:$X,MATCH('1) For HR (FIX)'!F$1,'HR Rep'!$A$1:$X$1,0),0),""),"")="","",IFERROR(_xlfn.IFNA(VLOOKUP($A282,'HR Rep'!$A:$X,MATCH('1) For HR (FIX)'!F$1,'HR Rep'!$A$1:$X$1,0),0),""),""))</f>
        <v/>
      </c>
      <c r="G282" s="196"/>
      <c r="H282" s="140" t="str">
        <f>IF(IFERROR(_xlfn.IFNA(VLOOKUP($A282,'HR Rep'!$A:$X,MATCH('1) For HR (FIX)'!H$1,'HR Rep'!$A$1:$X$1,0),0),""),"")="","",IFERROR(_xlfn.IFNA(VLOOKUP($A282,'HR Rep'!$A:$X,MATCH('1) For HR (FIX)'!H$1,'HR Rep'!$A$1:$X$1,0),0),""),""))</f>
        <v/>
      </c>
      <c r="I282" s="140" t="str">
        <f>IF(IFERROR(_xlfn.IFNA(VLOOKUP($A282,'HR Rep'!$A:$X,MATCH('1) For HR (FIX)'!I$1,'HR Rep'!$A$1:$X$1,0),0),""),"")="","",IFERROR(_xlfn.IFNA(VLOOKUP($A282,'HR Rep'!$A:$X,MATCH('1) For HR (FIX)'!I$1,'HR Rep'!$A$1:$X$1,0),0),""),""))</f>
        <v/>
      </c>
      <c r="J282" s="140" t="str">
        <f>IF(IFERROR(_xlfn.IFNA(VLOOKUP($A282,'HR Rep'!$A:$X,MATCH('1) For HR (FIX)'!J$1,'HR Rep'!$A$1:$X$1,0),0),""),"")="","",IFERROR(_xlfn.IFNA(VLOOKUP($A282,'HR Rep'!$A:$X,MATCH('1) For HR (FIX)'!J$1,'HR Rep'!$A$1:$X$1,0),0),""),""))</f>
        <v/>
      </c>
      <c r="K282" s="161">
        <f>_xlfn.XLOOKUP(G282,ค่าตอบแทนการขายในอัตราคงที่!A:A,ค่าตอบแทนการขายในอัตราคงที่!B:B)</f>
        <v>0</v>
      </c>
      <c r="L282" s="174">
        <f>Period!$A$2</f>
        <v>46113</v>
      </c>
      <c r="M282" s="175">
        <f>Period!$C$2</f>
        <v>46143</v>
      </c>
      <c r="N282" s="194" t="s">
        <v>279</v>
      </c>
    </row>
    <row r="283" spans="1:14" ht="11.4" x14ac:dyDescent="0.25">
      <c r="A283" s="137"/>
      <c r="B283" s="169" t="e">
        <f>IF(IF(VLOOKUP(A283,ASTBase!F:P,11,FALSE)="","",VLOOKUP(A283,ASTBase!F:P,11,FALSE))=0,"",IF(VLOOKUP(A283,ASTBase!F:P,11,FALSE)="","",VLOOKUP(A283,ASTBase!F:P,11,FALSE)))</f>
        <v>#N/A</v>
      </c>
      <c r="C283" s="140" t="str">
        <f>IF(IFERROR(_xlfn.IFNA(VLOOKUP($A283,'HR Rep'!$A:$X,MATCH('1) For HR (FIX)'!C$1,'HR Rep'!$A$1:$X$1,0),0),""),"")="","",IFERROR(_xlfn.IFNA(VLOOKUP($A283,'HR Rep'!$A:$X,MATCH('1) For HR (FIX)'!C$1,'HR Rep'!$A$1:$X$1,0),0),""),""))</f>
        <v/>
      </c>
      <c r="D283" s="140" t="str">
        <f>IF(IFERROR(_xlfn.IFNA(VLOOKUP($A283,'HR Rep'!$A:$X,MATCH('1) For HR (FIX)'!D$1,'HR Rep'!$A$1:$X$1,0),0),""),"")="","",IFERROR(_xlfn.IFNA(VLOOKUP($A283,'HR Rep'!$A:$X,MATCH('1) For HR (FIX)'!D$1,'HR Rep'!$A$1:$X$1,0),0),""),""))</f>
        <v/>
      </c>
      <c r="E283" s="140" t="str">
        <f>IF(IFERROR(_xlfn.IFNA(VLOOKUP($A283,'HR Rep'!$A:$X,MATCH('1) For HR (FIX)'!E$1,'HR Rep'!$A$1:$X$1,0),0),""),"")="","",IFERROR(_xlfn.IFNA(VLOOKUP($A283,'HR Rep'!$A:$X,MATCH('1) For HR (FIX)'!E$1,'HR Rep'!$A$1:$X$1,0),0),""),""))</f>
        <v/>
      </c>
      <c r="F283" s="140" t="str">
        <f>IF(IFERROR(_xlfn.IFNA(VLOOKUP($A283,'HR Rep'!$A:$X,MATCH('1) For HR (FIX)'!F$1,'HR Rep'!$A$1:$X$1,0),0),""),"")="","",IFERROR(_xlfn.IFNA(VLOOKUP($A283,'HR Rep'!$A:$X,MATCH('1) For HR (FIX)'!F$1,'HR Rep'!$A$1:$X$1,0),0),""),""))</f>
        <v/>
      </c>
      <c r="G283" s="196"/>
      <c r="H283" s="140" t="str">
        <f>IF(IFERROR(_xlfn.IFNA(VLOOKUP($A283,'HR Rep'!$A:$X,MATCH('1) For HR (FIX)'!H$1,'HR Rep'!$A$1:$X$1,0),0),""),"")="","",IFERROR(_xlfn.IFNA(VLOOKUP($A283,'HR Rep'!$A:$X,MATCH('1) For HR (FIX)'!H$1,'HR Rep'!$A$1:$X$1,0),0),""),""))</f>
        <v/>
      </c>
      <c r="I283" s="140" t="str">
        <f>IF(IFERROR(_xlfn.IFNA(VLOOKUP($A283,'HR Rep'!$A:$X,MATCH('1) For HR (FIX)'!I$1,'HR Rep'!$A$1:$X$1,0),0),""),"")="","",IFERROR(_xlfn.IFNA(VLOOKUP($A283,'HR Rep'!$A:$X,MATCH('1) For HR (FIX)'!I$1,'HR Rep'!$A$1:$X$1,0),0),""),""))</f>
        <v/>
      </c>
      <c r="J283" s="140" t="str">
        <f>IF(IFERROR(_xlfn.IFNA(VLOOKUP($A283,'HR Rep'!$A:$X,MATCH('1) For HR (FIX)'!J$1,'HR Rep'!$A$1:$X$1,0),0),""),"")="","",IFERROR(_xlfn.IFNA(VLOOKUP($A283,'HR Rep'!$A:$X,MATCH('1) For HR (FIX)'!J$1,'HR Rep'!$A$1:$X$1,0),0),""),""))</f>
        <v/>
      </c>
      <c r="K283" s="161">
        <f>_xlfn.XLOOKUP(G283,ค่าตอบแทนการขายในอัตราคงที่!A:A,ค่าตอบแทนการขายในอัตราคงที่!B:B)</f>
        <v>0</v>
      </c>
      <c r="L283" s="174">
        <f>Period!$A$2</f>
        <v>46113</v>
      </c>
      <c r="M283" s="175">
        <f>Period!$C$2</f>
        <v>46143</v>
      </c>
      <c r="N283" s="194" t="s">
        <v>279</v>
      </c>
    </row>
    <row r="284" spans="1:14" ht="11.4" x14ac:dyDescent="0.25">
      <c r="A284" s="137"/>
      <c r="B284" s="169" t="e">
        <f>IF(IF(VLOOKUP(A284,ASTBase!F:P,11,FALSE)="","",VLOOKUP(A284,ASTBase!F:P,11,FALSE))=0,"",IF(VLOOKUP(A284,ASTBase!F:P,11,FALSE)="","",VLOOKUP(A284,ASTBase!F:P,11,FALSE)))</f>
        <v>#N/A</v>
      </c>
      <c r="C284" s="140" t="str">
        <f>IF(IFERROR(_xlfn.IFNA(VLOOKUP($A284,'HR Rep'!$A:$X,MATCH('1) For HR (FIX)'!C$1,'HR Rep'!$A$1:$X$1,0),0),""),"")="","",IFERROR(_xlfn.IFNA(VLOOKUP($A284,'HR Rep'!$A:$X,MATCH('1) For HR (FIX)'!C$1,'HR Rep'!$A$1:$X$1,0),0),""),""))</f>
        <v/>
      </c>
      <c r="D284" s="140" t="str">
        <f>IF(IFERROR(_xlfn.IFNA(VLOOKUP($A284,'HR Rep'!$A:$X,MATCH('1) For HR (FIX)'!D$1,'HR Rep'!$A$1:$X$1,0),0),""),"")="","",IFERROR(_xlfn.IFNA(VLOOKUP($A284,'HR Rep'!$A:$X,MATCH('1) For HR (FIX)'!D$1,'HR Rep'!$A$1:$X$1,0),0),""),""))</f>
        <v/>
      </c>
      <c r="E284" s="140" t="str">
        <f>IF(IFERROR(_xlfn.IFNA(VLOOKUP($A284,'HR Rep'!$A:$X,MATCH('1) For HR (FIX)'!E$1,'HR Rep'!$A$1:$X$1,0),0),""),"")="","",IFERROR(_xlfn.IFNA(VLOOKUP($A284,'HR Rep'!$A:$X,MATCH('1) For HR (FIX)'!E$1,'HR Rep'!$A$1:$X$1,0),0),""),""))</f>
        <v/>
      </c>
      <c r="F284" s="140" t="str">
        <f>IF(IFERROR(_xlfn.IFNA(VLOOKUP($A284,'HR Rep'!$A:$X,MATCH('1) For HR (FIX)'!F$1,'HR Rep'!$A$1:$X$1,0),0),""),"")="","",IFERROR(_xlfn.IFNA(VLOOKUP($A284,'HR Rep'!$A:$X,MATCH('1) For HR (FIX)'!F$1,'HR Rep'!$A$1:$X$1,0),0),""),""))</f>
        <v/>
      </c>
      <c r="G284" s="196"/>
      <c r="H284" s="140" t="str">
        <f>IF(IFERROR(_xlfn.IFNA(VLOOKUP($A284,'HR Rep'!$A:$X,MATCH('1) For HR (FIX)'!H$1,'HR Rep'!$A$1:$X$1,0),0),""),"")="","",IFERROR(_xlfn.IFNA(VLOOKUP($A284,'HR Rep'!$A:$X,MATCH('1) For HR (FIX)'!H$1,'HR Rep'!$A$1:$X$1,0),0),""),""))</f>
        <v/>
      </c>
      <c r="I284" s="140" t="str">
        <f>IF(IFERROR(_xlfn.IFNA(VLOOKUP($A284,'HR Rep'!$A:$X,MATCH('1) For HR (FIX)'!I$1,'HR Rep'!$A$1:$X$1,0),0),""),"")="","",IFERROR(_xlfn.IFNA(VLOOKUP($A284,'HR Rep'!$A:$X,MATCH('1) For HR (FIX)'!I$1,'HR Rep'!$A$1:$X$1,0),0),""),""))</f>
        <v/>
      </c>
      <c r="J284" s="140" t="str">
        <f>IF(IFERROR(_xlfn.IFNA(VLOOKUP($A284,'HR Rep'!$A:$X,MATCH('1) For HR (FIX)'!J$1,'HR Rep'!$A$1:$X$1,0),0),""),"")="","",IFERROR(_xlfn.IFNA(VLOOKUP($A284,'HR Rep'!$A:$X,MATCH('1) For HR (FIX)'!J$1,'HR Rep'!$A$1:$X$1,0),0),""),""))</f>
        <v/>
      </c>
      <c r="K284" s="161">
        <f>_xlfn.XLOOKUP(G284,ค่าตอบแทนการขายในอัตราคงที่!A:A,ค่าตอบแทนการขายในอัตราคงที่!B:B)</f>
        <v>0</v>
      </c>
      <c r="L284" s="174">
        <f>Period!$A$2</f>
        <v>46113</v>
      </c>
      <c r="M284" s="175">
        <f>Period!$C$2</f>
        <v>46143</v>
      </c>
      <c r="N284" s="194" t="s">
        <v>279</v>
      </c>
    </row>
    <row r="285" spans="1:14" ht="11.4" x14ac:dyDescent="0.25">
      <c r="A285" s="137"/>
      <c r="B285" s="169" t="e">
        <f>IF(IF(VLOOKUP(A285,ASTBase!F:P,11,FALSE)="","",VLOOKUP(A285,ASTBase!F:P,11,FALSE))=0,"",IF(VLOOKUP(A285,ASTBase!F:P,11,FALSE)="","",VLOOKUP(A285,ASTBase!F:P,11,FALSE)))</f>
        <v>#N/A</v>
      </c>
      <c r="C285" s="140" t="str">
        <f>IF(IFERROR(_xlfn.IFNA(VLOOKUP($A285,'HR Rep'!$A:$X,MATCH('1) For HR (FIX)'!C$1,'HR Rep'!$A$1:$X$1,0),0),""),"")="","",IFERROR(_xlfn.IFNA(VLOOKUP($A285,'HR Rep'!$A:$X,MATCH('1) For HR (FIX)'!C$1,'HR Rep'!$A$1:$X$1,0),0),""),""))</f>
        <v/>
      </c>
      <c r="D285" s="140" t="str">
        <f>IF(IFERROR(_xlfn.IFNA(VLOOKUP($A285,'HR Rep'!$A:$X,MATCH('1) For HR (FIX)'!D$1,'HR Rep'!$A$1:$X$1,0),0),""),"")="","",IFERROR(_xlfn.IFNA(VLOOKUP($A285,'HR Rep'!$A:$X,MATCH('1) For HR (FIX)'!D$1,'HR Rep'!$A$1:$X$1,0),0),""),""))</f>
        <v/>
      </c>
      <c r="E285" s="140" t="str">
        <f>IF(IFERROR(_xlfn.IFNA(VLOOKUP($A285,'HR Rep'!$A:$X,MATCH('1) For HR (FIX)'!E$1,'HR Rep'!$A$1:$X$1,0),0),""),"")="","",IFERROR(_xlfn.IFNA(VLOOKUP($A285,'HR Rep'!$A:$X,MATCH('1) For HR (FIX)'!E$1,'HR Rep'!$A$1:$X$1,0),0),""),""))</f>
        <v/>
      </c>
      <c r="F285" s="140" t="str">
        <f>IF(IFERROR(_xlfn.IFNA(VLOOKUP($A285,'HR Rep'!$A:$X,MATCH('1) For HR (FIX)'!F$1,'HR Rep'!$A$1:$X$1,0),0),""),"")="","",IFERROR(_xlfn.IFNA(VLOOKUP($A285,'HR Rep'!$A:$X,MATCH('1) For HR (FIX)'!F$1,'HR Rep'!$A$1:$X$1,0),0),""),""))</f>
        <v/>
      </c>
      <c r="G285" s="196"/>
      <c r="H285" s="140" t="str">
        <f>IF(IFERROR(_xlfn.IFNA(VLOOKUP($A285,'HR Rep'!$A:$X,MATCH('1) For HR (FIX)'!H$1,'HR Rep'!$A$1:$X$1,0),0),""),"")="","",IFERROR(_xlfn.IFNA(VLOOKUP($A285,'HR Rep'!$A:$X,MATCH('1) For HR (FIX)'!H$1,'HR Rep'!$A$1:$X$1,0),0),""),""))</f>
        <v/>
      </c>
      <c r="I285" s="140" t="str">
        <f>IF(IFERROR(_xlfn.IFNA(VLOOKUP($A285,'HR Rep'!$A:$X,MATCH('1) For HR (FIX)'!I$1,'HR Rep'!$A$1:$X$1,0),0),""),"")="","",IFERROR(_xlfn.IFNA(VLOOKUP($A285,'HR Rep'!$A:$X,MATCH('1) For HR (FIX)'!I$1,'HR Rep'!$A$1:$X$1,0),0),""),""))</f>
        <v/>
      </c>
      <c r="J285" s="140" t="str">
        <f>IF(IFERROR(_xlfn.IFNA(VLOOKUP($A285,'HR Rep'!$A:$X,MATCH('1) For HR (FIX)'!J$1,'HR Rep'!$A$1:$X$1,0),0),""),"")="","",IFERROR(_xlfn.IFNA(VLOOKUP($A285,'HR Rep'!$A:$X,MATCH('1) For HR (FIX)'!J$1,'HR Rep'!$A$1:$X$1,0),0),""),""))</f>
        <v/>
      </c>
      <c r="K285" s="161">
        <f>_xlfn.XLOOKUP(G285,ค่าตอบแทนการขายในอัตราคงที่!A:A,ค่าตอบแทนการขายในอัตราคงที่!B:B)</f>
        <v>0</v>
      </c>
      <c r="L285" s="174">
        <f>Period!$A$2</f>
        <v>46113</v>
      </c>
      <c r="M285" s="175">
        <f>Period!$C$2</f>
        <v>46143</v>
      </c>
      <c r="N285" s="194" t="s">
        <v>279</v>
      </c>
    </row>
    <row r="286" spans="1:14" ht="11.4" x14ac:dyDescent="0.25">
      <c r="A286" s="137"/>
      <c r="B286" s="169" t="e">
        <f>IF(IF(VLOOKUP(A286,ASTBase!F:P,11,FALSE)="","",VLOOKUP(A286,ASTBase!F:P,11,FALSE))=0,"",IF(VLOOKUP(A286,ASTBase!F:P,11,FALSE)="","",VLOOKUP(A286,ASTBase!F:P,11,FALSE)))</f>
        <v>#N/A</v>
      </c>
      <c r="C286" s="140" t="str">
        <f>IF(IFERROR(_xlfn.IFNA(VLOOKUP($A286,'HR Rep'!$A:$X,MATCH('1) For HR (FIX)'!C$1,'HR Rep'!$A$1:$X$1,0),0),""),"")="","",IFERROR(_xlfn.IFNA(VLOOKUP($A286,'HR Rep'!$A:$X,MATCH('1) For HR (FIX)'!C$1,'HR Rep'!$A$1:$X$1,0),0),""),""))</f>
        <v/>
      </c>
      <c r="D286" s="140" t="str">
        <f>IF(IFERROR(_xlfn.IFNA(VLOOKUP($A286,'HR Rep'!$A:$X,MATCH('1) For HR (FIX)'!D$1,'HR Rep'!$A$1:$X$1,0),0),""),"")="","",IFERROR(_xlfn.IFNA(VLOOKUP($A286,'HR Rep'!$A:$X,MATCH('1) For HR (FIX)'!D$1,'HR Rep'!$A$1:$X$1,0),0),""),""))</f>
        <v/>
      </c>
      <c r="E286" s="140" t="str">
        <f>IF(IFERROR(_xlfn.IFNA(VLOOKUP($A286,'HR Rep'!$A:$X,MATCH('1) For HR (FIX)'!E$1,'HR Rep'!$A$1:$X$1,0),0),""),"")="","",IFERROR(_xlfn.IFNA(VLOOKUP($A286,'HR Rep'!$A:$X,MATCH('1) For HR (FIX)'!E$1,'HR Rep'!$A$1:$X$1,0),0),""),""))</f>
        <v/>
      </c>
      <c r="F286" s="140" t="str">
        <f>IF(IFERROR(_xlfn.IFNA(VLOOKUP($A286,'HR Rep'!$A:$X,MATCH('1) For HR (FIX)'!F$1,'HR Rep'!$A$1:$X$1,0),0),""),"")="","",IFERROR(_xlfn.IFNA(VLOOKUP($A286,'HR Rep'!$A:$X,MATCH('1) For HR (FIX)'!F$1,'HR Rep'!$A$1:$X$1,0),0),""),""))</f>
        <v/>
      </c>
      <c r="G286" s="196"/>
      <c r="H286" s="140" t="str">
        <f>IF(IFERROR(_xlfn.IFNA(VLOOKUP($A286,'HR Rep'!$A:$X,MATCH('1) For HR (FIX)'!H$1,'HR Rep'!$A$1:$X$1,0),0),""),"")="","",IFERROR(_xlfn.IFNA(VLOOKUP($A286,'HR Rep'!$A:$X,MATCH('1) For HR (FIX)'!H$1,'HR Rep'!$A$1:$X$1,0),0),""),""))</f>
        <v/>
      </c>
      <c r="I286" s="140" t="str">
        <f>IF(IFERROR(_xlfn.IFNA(VLOOKUP($A286,'HR Rep'!$A:$X,MATCH('1) For HR (FIX)'!I$1,'HR Rep'!$A$1:$X$1,0),0),""),"")="","",IFERROR(_xlfn.IFNA(VLOOKUP($A286,'HR Rep'!$A:$X,MATCH('1) For HR (FIX)'!I$1,'HR Rep'!$A$1:$X$1,0),0),""),""))</f>
        <v/>
      </c>
      <c r="J286" s="140" t="str">
        <f>IF(IFERROR(_xlfn.IFNA(VLOOKUP($A286,'HR Rep'!$A:$X,MATCH('1) For HR (FIX)'!J$1,'HR Rep'!$A$1:$X$1,0),0),""),"")="","",IFERROR(_xlfn.IFNA(VLOOKUP($A286,'HR Rep'!$A:$X,MATCH('1) For HR (FIX)'!J$1,'HR Rep'!$A$1:$X$1,0),0),""),""))</f>
        <v/>
      </c>
      <c r="K286" s="161">
        <f>_xlfn.XLOOKUP(G286,ค่าตอบแทนการขายในอัตราคงที่!A:A,ค่าตอบแทนการขายในอัตราคงที่!B:B)</f>
        <v>0</v>
      </c>
      <c r="L286" s="174">
        <f>Period!$A$2</f>
        <v>46113</v>
      </c>
      <c r="M286" s="175">
        <f>Period!$C$2</f>
        <v>46143</v>
      </c>
      <c r="N286" s="194" t="s">
        <v>279</v>
      </c>
    </row>
    <row r="287" spans="1:14" ht="11.4" x14ac:dyDescent="0.25">
      <c r="A287" s="137"/>
      <c r="B287" s="169" t="e">
        <f>IF(IF(VLOOKUP(A287,ASTBase!F:P,11,FALSE)="","",VLOOKUP(A287,ASTBase!F:P,11,FALSE))=0,"",IF(VLOOKUP(A287,ASTBase!F:P,11,FALSE)="","",VLOOKUP(A287,ASTBase!F:P,11,FALSE)))</f>
        <v>#N/A</v>
      </c>
      <c r="C287" s="140" t="str">
        <f>IF(IFERROR(_xlfn.IFNA(VLOOKUP($A287,'HR Rep'!$A:$X,MATCH('1) For HR (FIX)'!C$1,'HR Rep'!$A$1:$X$1,0),0),""),"")="","",IFERROR(_xlfn.IFNA(VLOOKUP($A287,'HR Rep'!$A:$X,MATCH('1) For HR (FIX)'!C$1,'HR Rep'!$A$1:$X$1,0),0),""),""))</f>
        <v/>
      </c>
      <c r="D287" s="140" t="str">
        <f>IF(IFERROR(_xlfn.IFNA(VLOOKUP($A287,'HR Rep'!$A:$X,MATCH('1) For HR (FIX)'!D$1,'HR Rep'!$A$1:$X$1,0),0),""),"")="","",IFERROR(_xlfn.IFNA(VLOOKUP($A287,'HR Rep'!$A:$X,MATCH('1) For HR (FIX)'!D$1,'HR Rep'!$A$1:$X$1,0),0),""),""))</f>
        <v/>
      </c>
      <c r="E287" s="140" t="str">
        <f>IF(IFERROR(_xlfn.IFNA(VLOOKUP($A287,'HR Rep'!$A:$X,MATCH('1) For HR (FIX)'!E$1,'HR Rep'!$A$1:$X$1,0),0),""),"")="","",IFERROR(_xlfn.IFNA(VLOOKUP($A287,'HR Rep'!$A:$X,MATCH('1) For HR (FIX)'!E$1,'HR Rep'!$A$1:$X$1,0),0),""),""))</f>
        <v/>
      </c>
      <c r="F287" s="140" t="str">
        <f>IF(IFERROR(_xlfn.IFNA(VLOOKUP($A287,'HR Rep'!$A:$X,MATCH('1) For HR (FIX)'!F$1,'HR Rep'!$A$1:$X$1,0),0),""),"")="","",IFERROR(_xlfn.IFNA(VLOOKUP($A287,'HR Rep'!$A:$X,MATCH('1) For HR (FIX)'!F$1,'HR Rep'!$A$1:$X$1,0),0),""),""))</f>
        <v/>
      </c>
      <c r="G287" s="196"/>
      <c r="H287" s="140" t="str">
        <f>IF(IFERROR(_xlfn.IFNA(VLOOKUP($A287,'HR Rep'!$A:$X,MATCH('1) For HR (FIX)'!H$1,'HR Rep'!$A$1:$X$1,0),0),""),"")="","",IFERROR(_xlfn.IFNA(VLOOKUP($A287,'HR Rep'!$A:$X,MATCH('1) For HR (FIX)'!H$1,'HR Rep'!$A$1:$X$1,0),0),""),""))</f>
        <v/>
      </c>
      <c r="I287" s="140" t="str">
        <f>IF(IFERROR(_xlfn.IFNA(VLOOKUP($A287,'HR Rep'!$A:$X,MATCH('1) For HR (FIX)'!I$1,'HR Rep'!$A$1:$X$1,0),0),""),"")="","",IFERROR(_xlfn.IFNA(VLOOKUP($A287,'HR Rep'!$A:$X,MATCH('1) For HR (FIX)'!I$1,'HR Rep'!$A$1:$X$1,0),0),""),""))</f>
        <v/>
      </c>
      <c r="J287" s="140" t="str">
        <f>IF(IFERROR(_xlfn.IFNA(VLOOKUP($A287,'HR Rep'!$A:$X,MATCH('1) For HR (FIX)'!J$1,'HR Rep'!$A$1:$X$1,0),0),""),"")="","",IFERROR(_xlfn.IFNA(VLOOKUP($A287,'HR Rep'!$A:$X,MATCH('1) For HR (FIX)'!J$1,'HR Rep'!$A$1:$X$1,0),0),""),""))</f>
        <v/>
      </c>
      <c r="K287" s="161">
        <f>_xlfn.XLOOKUP(G287,ค่าตอบแทนการขายในอัตราคงที่!A:A,ค่าตอบแทนการขายในอัตราคงที่!B:B)</f>
        <v>0</v>
      </c>
      <c r="L287" s="174">
        <f>Period!$A$2</f>
        <v>46113</v>
      </c>
      <c r="M287" s="175">
        <f>Period!$C$2</f>
        <v>46143</v>
      </c>
      <c r="N287" s="194" t="s">
        <v>279</v>
      </c>
    </row>
    <row r="288" spans="1:14" ht="11.4" x14ac:dyDescent="0.25">
      <c r="A288" s="137"/>
      <c r="B288" s="169" t="e">
        <f>IF(IF(VLOOKUP(A288,ASTBase!F:P,11,FALSE)="","",VLOOKUP(A288,ASTBase!F:P,11,FALSE))=0,"",IF(VLOOKUP(A288,ASTBase!F:P,11,FALSE)="","",VLOOKUP(A288,ASTBase!F:P,11,FALSE)))</f>
        <v>#N/A</v>
      </c>
      <c r="C288" s="140" t="str">
        <f>IF(IFERROR(_xlfn.IFNA(VLOOKUP($A288,'HR Rep'!$A:$X,MATCH('1) For HR (FIX)'!C$1,'HR Rep'!$A$1:$X$1,0),0),""),"")="","",IFERROR(_xlfn.IFNA(VLOOKUP($A288,'HR Rep'!$A:$X,MATCH('1) For HR (FIX)'!C$1,'HR Rep'!$A$1:$X$1,0),0),""),""))</f>
        <v/>
      </c>
      <c r="D288" s="140" t="str">
        <f>IF(IFERROR(_xlfn.IFNA(VLOOKUP($A288,'HR Rep'!$A:$X,MATCH('1) For HR (FIX)'!D$1,'HR Rep'!$A$1:$X$1,0),0),""),"")="","",IFERROR(_xlfn.IFNA(VLOOKUP($A288,'HR Rep'!$A:$X,MATCH('1) For HR (FIX)'!D$1,'HR Rep'!$A$1:$X$1,0),0),""),""))</f>
        <v/>
      </c>
      <c r="E288" s="140" t="str">
        <f>IF(IFERROR(_xlfn.IFNA(VLOOKUP($A288,'HR Rep'!$A:$X,MATCH('1) For HR (FIX)'!E$1,'HR Rep'!$A$1:$X$1,0),0),""),"")="","",IFERROR(_xlfn.IFNA(VLOOKUP($A288,'HR Rep'!$A:$X,MATCH('1) For HR (FIX)'!E$1,'HR Rep'!$A$1:$X$1,0),0),""),""))</f>
        <v/>
      </c>
      <c r="F288" s="140" t="str">
        <f>IF(IFERROR(_xlfn.IFNA(VLOOKUP($A288,'HR Rep'!$A:$X,MATCH('1) For HR (FIX)'!F$1,'HR Rep'!$A$1:$X$1,0),0),""),"")="","",IFERROR(_xlfn.IFNA(VLOOKUP($A288,'HR Rep'!$A:$X,MATCH('1) For HR (FIX)'!F$1,'HR Rep'!$A$1:$X$1,0),0),""),""))</f>
        <v/>
      </c>
      <c r="G288" s="196"/>
      <c r="H288" s="140" t="str">
        <f>IF(IFERROR(_xlfn.IFNA(VLOOKUP($A288,'HR Rep'!$A:$X,MATCH('1) For HR (FIX)'!H$1,'HR Rep'!$A$1:$X$1,0),0),""),"")="","",IFERROR(_xlfn.IFNA(VLOOKUP($A288,'HR Rep'!$A:$X,MATCH('1) For HR (FIX)'!H$1,'HR Rep'!$A$1:$X$1,0),0),""),""))</f>
        <v/>
      </c>
      <c r="I288" s="140" t="str">
        <f>IF(IFERROR(_xlfn.IFNA(VLOOKUP($A288,'HR Rep'!$A:$X,MATCH('1) For HR (FIX)'!I$1,'HR Rep'!$A$1:$X$1,0),0),""),"")="","",IFERROR(_xlfn.IFNA(VLOOKUP($A288,'HR Rep'!$A:$X,MATCH('1) For HR (FIX)'!I$1,'HR Rep'!$A$1:$X$1,0),0),""),""))</f>
        <v/>
      </c>
      <c r="J288" s="140" t="str">
        <f>IF(IFERROR(_xlfn.IFNA(VLOOKUP($A288,'HR Rep'!$A:$X,MATCH('1) For HR (FIX)'!J$1,'HR Rep'!$A$1:$X$1,0),0),""),"")="","",IFERROR(_xlfn.IFNA(VLOOKUP($A288,'HR Rep'!$A:$X,MATCH('1) For HR (FIX)'!J$1,'HR Rep'!$A$1:$X$1,0),0),""),""))</f>
        <v/>
      </c>
      <c r="K288" s="161">
        <f>_xlfn.XLOOKUP(G288,ค่าตอบแทนการขายในอัตราคงที่!A:A,ค่าตอบแทนการขายในอัตราคงที่!B:B)</f>
        <v>0</v>
      </c>
      <c r="L288" s="174">
        <f>Period!$A$2</f>
        <v>46113</v>
      </c>
      <c r="M288" s="175">
        <f>Period!$C$2</f>
        <v>46143</v>
      </c>
      <c r="N288" s="194" t="s">
        <v>279</v>
      </c>
    </row>
    <row r="289" spans="1:14" ht="11.4" x14ac:dyDescent="0.25">
      <c r="A289" s="137"/>
      <c r="B289" s="169" t="e">
        <f>IF(IF(VLOOKUP(A289,ASTBase!F:P,11,FALSE)="","",VLOOKUP(A289,ASTBase!F:P,11,FALSE))=0,"",IF(VLOOKUP(A289,ASTBase!F:P,11,FALSE)="","",VLOOKUP(A289,ASTBase!F:P,11,FALSE)))</f>
        <v>#N/A</v>
      </c>
      <c r="C289" s="140" t="str">
        <f>IF(IFERROR(_xlfn.IFNA(VLOOKUP($A289,'HR Rep'!$A:$X,MATCH('1) For HR (FIX)'!C$1,'HR Rep'!$A$1:$X$1,0),0),""),"")="","",IFERROR(_xlfn.IFNA(VLOOKUP($A289,'HR Rep'!$A:$X,MATCH('1) For HR (FIX)'!C$1,'HR Rep'!$A$1:$X$1,0),0),""),""))</f>
        <v/>
      </c>
      <c r="D289" s="140" t="str">
        <f>IF(IFERROR(_xlfn.IFNA(VLOOKUP($A289,'HR Rep'!$A:$X,MATCH('1) For HR (FIX)'!D$1,'HR Rep'!$A$1:$X$1,0),0),""),"")="","",IFERROR(_xlfn.IFNA(VLOOKUP($A289,'HR Rep'!$A:$X,MATCH('1) For HR (FIX)'!D$1,'HR Rep'!$A$1:$X$1,0),0),""),""))</f>
        <v/>
      </c>
      <c r="E289" s="140" t="str">
        <f>IF(IFERROR(_xlfn.IFNA(VLOOKUP($A289,'HR Rep'!$A:$X,MATCH('1) For HR (FIX)'!E$1,'HR Rep'!$A$1:$X$1,0),0),""),"")="","",IFERROR(_xlfn.IFNA(VLOOKUP($A289,'HR Rep'!$A:$X,MATCH('1) For HR (FIX)'!E$1,'HR Rep'!$A$1:$X$1,0),0),""),""))</f>
        <v/>
      </c>
      <c r="F289" s="140" t="str">
        <f>IF(IFERROR(_xlfn.IFNA(VLOOKUP($A289,'HR Rep'!$A:$X,MATCH('1) For HR (FIX)'!F$1,'HR Rep'!$A$1:$X$1,0),0),""),"")="","",IFERROR(_xlfn.IFNA(VLOOKUP($A289,'HR Rep'!$A:$X,MATCH('1) For HR (FIX)'!F$1,'HR Rep'!$A$1:$X$1,0),0),""),""))</f>
        <v/>
      </c>
      <c r="G289" s="196"/>
      <c r="H289" s="140" t="str">
        <f>IF(IFERROR(_xlfn.IFNA(VLOOKUP($A289,'HR Rep'!$A:$X,MATCH('1) For HR (FIX)'!H$1,'HR Rep'!$A$1:$X$1,0),0),""),"")="","",IFERROR(_xlfn.IFNA(VLOOKUP($A289,'HR Rep'!$A:$X,MATCH('1) For HR (FIX)'!H$1,'HR Rep'!$A$1:$X$1,0),0),""),""))</f>
        <v/>
      </c>
      <c r="I289" s="140" t="str">
        <f>IF(IFERROR(_xlfn.IFNA(VLOOKUP($A289,'HR Rep'!$A:$X,MATCH('1) For HR (FIX)'!I$1,'HR Rep'!$A$1:$X$1,0),0),""),"")="","",IFERROR(_xlfn.IFNA(VLOOKUP($A289,'HR Rep'!$A:$X,MATCH('1) For HR (FIX)'!I$1,'HR Rep'!$A$1:$X$1,0),0),""),""))</f>
        <v/>
      </c>
      <c r="J289" s="140" t="str">
        <f>IF(IFERROR(_xlfn.IFNA(VLOOKUP($A289,'HR Rep'!$A:$X,MATCH('1) For HR (FIX)'!J$1,'HR Rep'!$A$1:$X$1,0),0),""),"")="","",IFERROR(_xlfn.IFNA(VLOOKUP($A289,'HR Rep'!$A:$X,MATCH('1) For HR (FIX)'!J$1,'HR Rep'!$A$1:$X$1,0),0),""),""))</f>
        <v/>
      </c>
      <c r="K289" s="161">
        <f>_xlfn.XLOOKUP(G289,ค่าตอบแทนการขายในอัตราคงที่!A:A,ค่าตอบแทนการขายในอัตราคงที่!B:B)</f>
        <v>0</v>
      </c>
      <c r="L289" s="174">
        <f>Period!$A$2</f>
        <v>46113</v>
      </c>
      <c r="M289" s="175">
        <f>Period!$C$2</f>
        <v>46143</v>
      </c>
      <c r="N289" s="194" t="s">
        <v>279</v>
      </c>
    </row>
    <row r="290" spans="1:14" ht="11.4" x14ac:dyDescent="0.25">
      <c r="A290" s="137"/>
      <c r="B290" s="169" t="e">
        <f>IF(IF(VLOOKUP(A290,ASTBase!F:P,11,FALSE)="","",VLOOKUP(A290,ASTBase!F:P,11,FALSE))=0,"",IF(VLOOKUP(A290,ASTBase!F:P,11,FALSE)="","",VLOOKUP(A290,ASTBase!F:P,11,FALSE)))</f>
        <v>#N/A</v>
      </c>
      <c r="C290" s="140" t="str">
        <f>IF(IFERROR(_xlfn.IFNA(VLOOKUP($A290,'HR Rep'!$A:$X,MATCH('1) For HR (FIX)'!C$1,'HR Rep'!$A$1:$X$1,0),0),""),"")="","",IFERROR(_xlfn.IFNA(VLOOKUP($A290,'HR Rep'!$A:$X,MATCH('1) For HR (FIX)'!C$1,'HR Rep'!$A$1:$X$1,0),0),""),""))</f>
        <v/>
      </c>
      <c r="D290" s="140" t="str">
        <f>IF(IFERROR(_xlfn.IFNA(VLOOKUP($A290,'HR Rep'!$A:$X,MATCH('1) For HR (FIX)'!D$1,'HR Rep'!$A$1:$X$1,0),0),""),"")="","",IFERROR(_xlfn.IFNA(VLOOKUP($A290,'HR Rep'!$A:$X,MATCH('1) For HR (FIX)'!D$1,'HR Rep'!$A$1:$X$1,0),0),""),""))</f>
        <v/>
      </c>
      <c r="E290" s="140" t="str">
        <f>IF(IFERROR(_xlfn.IFNA(VLOOKUP($A290,'HR Rep'!$A:$X,MATCH('1) For HR (FIX)'!E$1,'HR Rep'!$A$1:$X$1,0),0),""),"")="","",IFERROR(_xlfn.IFNA(VLOOKUP($A290,'HR Rep'!$A:$X,MATCH('1) For HR (FIX)'!E$1,'HR Rep'!$A$1:$X$1,0),0),""),""))</f>
        <v/>
      </c>
      <c r="F290" s="140" t="str">
        <f>IF(IFERROR(_xlfn.IFNA(VLOOKUP($A290,'HR Rep'!$A:$X,MATCH('1) For HR (FIX)'!F$1,'HR Rep'!$A$1:$X$1,0),0),""),"")="","",IFERROR(_xlfn.IFNA(VLOOKUP($A290,'HR Rep'!$A:$X,MATCH('1) For HR (FIX)'!F$1,'HR Rep'!$A$1:$X$1,0),0),""),""))</f>
        <v/>
      </c>
      <c r="G290" s="196"/>
      <c r="H290" s="140" t="str">
        <f>IF(IFERROR(_xlfn.IFNA(VLOOKUP($A290,'HR Rep'!$A:$X,MATCH('1) For HR (FIX)'!H$1,'HR Rep'!$A$1:$X$1,0),0),""),"")="","",IFERROR(_xlfn.IFNA(VLOOKUP($A290,'HR Rep'!$A:$X,MATCH('1) For HR (FIX)'!H$1,'HR Rep'!$A$1:$X$1,0),0),""),""))</f>
        <v/>
      </c>
      <c r="I290" s="140" t="str">
        <f>IF(IFERROR(_xlfn.IFNA(VLOOKUP($A290,'HR Rep'!$A:$X,MATCH('1) For HR (FIX)'!I$1,'HR Rep'!$A$1:$X$1,0),0),""),"")="","",IFERROR(_xlfn.IFNA(VLOOKUP($A290,'HR Rep'!$A:$X,MATCH('1) For HR (FIX)'!I$1,'HR Rep'!$A$1:$X$1,0),0),""),""))</f>
        <v/>
      </c>
      <c r="J290" s="140" t="str">
        <f>IF(IFERROR(_xlfn.IFNA(VLOOKUP($A290,'HR Rep'!$A:$X,MATCH('1) For HR (FIX)'!J$1,'HR Rep'!$A$1:$X$1,0),0),""),"")="","",IFERROR(_xlfn.IFNA(VLOOKUP($A290,'HR Rep'!$A:$X,MATCH('1) For HR (FIX)'!J$1,'HR Rep'!$A$1:$X$1,0),0),""),""))</f>
        <v/>
      </c>
      <c r="K290" s="161">
        <f>_xlfn.XLOOKUP(G290,ค่าตอบแทนการขายในอัตราคงที่!A:A,ค่าตอบแทนการขายในอัตราคงที่!B:B)</f>
        <v>0</v>
      </c>
      <c r="L290" s="174">
        <f>Period!$A$2</f>
        <v>46113</v>
      </c>
      <c r="M290" s="175">
        <f>Period!$C$2</f>
        <v>46143</v>
      </c>
      <c r="N290" s="194" t="s">
        <v>279</v>
      </c>
    </row>
    <row r="291" spans="1:14" ht="11.4" x14ac:dyDescent="0.25">
      <c r="A291" s="138"/>
      <c r="B291" s="169" t="e">
        <f>IF(IF(VLOOKUP(A291,ASTBase!F:P,11,FALSE)="","",VLOOKUP(A291,ASTBase!F:P,11,FALSE))=0,"",IF(VLOOKUP(A291,ASTBase!F:P,11,FALSE)="","",VLOOKUP(A291,ASTBase!F:P,11,FALSE)))</f>
        <v>#N/A</v>
      </c>
      <c r="C291" s="140" t="str">
        <f>IF(IFERROR(_xlfn.IFNA(VLOOKUP($A291,'HR Rep'!$A:$X,MATCH('1) For HR (FIX)'!C$1,'HR Rep'!$A$1:$X$1,0),0),""),"")="","",IFERROR(_xlfn.IFNA(VLOOKUP($A291,'HR Rep'!$A:$X,MATCH('1) For HR (FIX)'!C$1,'HR Rep'!$A$1:$X$1,0),0),""),""))</f>
        <v/>
      </c>
      <c r="D291" s="140" t="str">
        <f>IF(IFERROR(_xlfn.IFNA(VLOOKUP($A291,'HR Rep'!$A:$X,MATCH('1) For HR (FIX)'!D$1,'HR Rep'!$A$1:$X$1,0),0),""),"")="","",IFERROR(_xlfn.IFNA(VLOOKUP($A291,'HR Rep'!$A:$X,MATCH('1) For HR (FIX)'!D$1,'HR Rep'!$A$1:$X$1,0),0),""),""))</f>
        <v/>
      </c>
      <c r="E291" s="140" t="str">
        <f>IF(IFERROR(_xlfn.IFNA(VLOOKUP($A291,'HR Rep'!$A:$X,MATCH('1) For HR (FIX)'!E$1,'HR Rep'!$A$1:$X$1,0),0),""),"")="","",IFERROR(_xlfn.IFNA(VLOOKUP($A291,'HR Rep'!$A:$X,MATCH('1) For HR (FIX)'!E$1,'HR Rep'!$A$1:$X$1,0),0),""),""))</f>
        <v/>
      </c>
      <c r="F291" s="140" t="str">
        <f>IF(IFERROR(_xlfn.IFNA(VLOOKUP($A291,'HR Rep'!$A:$X,MATCH('1) For HR (FIX)'!F$1,'HR Rep'!$A$1:$X$1,0),0),""),"")="","",IFERROR(_xlfn.IFNA(VLOOKUP($A291,'HR Rep'!$A:$X,MATCH('1) For HR (FIX)'!F$1,'HR Rep'!$A$1:$X$1,0),0),""),""))</f>
        <v/>
      </c>
      <c r="G291" s="196"/>
      <c r="H291" s="140" t="str">
        <f>IF(IFERROR(_xlfn.IFNA(VLOOKUP($A291,'HR Rep'!$A:$X,MATCH('1) For HR (FIX)'!H$1,'HR Rep'!$A$1:$X$1,0),0),""),"")="","",IFERROR(_xlfn.IFNA(VLOOKUP($A291,'HR Rep'!$A:$X,MATCH('1) For HR (FIX)'!H$1,'HR Rep'!$A$1:$X$1,0),0),""),""))</f>
        <v/>
      </c>
      <c r="I291" s="140" t="str">
        <f>IF(IFERROR(_xlfn.IFNA(VLOOKUP($A291,'HR Rep'!$A:$X,MATCH('1) For HR (FIX)'!I$1,'HR Rep'!$A$1:$X$1,0),0),""),"")="","",IFERROR(_xlfn.IFNA(VLOOKUP($A291,'HR Rep'!$A:$X,MATCH('1) For HR (FIX)'!I$1,'HR Rep'!$A$1:$X$1,0),0),""),""))</f>
        <v/>
      </c>
      <c r="J291" s="140" t="str">
        <f>IF(IFERROR(_xlfn.IFNA(VLOOKUP($A291,'HR Rep'!$A:$X,MATCH('1) For HR (FIX)'!J$1,'HR Rep'!$A$1:$X$1,0),0),""),"")="","",IFERROR(_xlfn.IFNA(VLOOKUP($A291,'HR Rep'!$A:$X,MATCH('1) For HR (FIX)'!J$1,'HR Rep'!$A$1:$X$1,0),0),""),""))</f>
        <v/>
      </c>
      <c r="K291" s="161">
        <f>_xlfn.XLOOKUP(G291,ค่าตอบแทนการขายในอัตราคงที่!A:A,ค่าตอบแทนการขายในอัตราคงที่!B:B)</f>
        <v>0</v>
      </c>
      <c r="L291" s="174">
        <f>Period!$A$2</f>
        <v>46113</v>
      </c>
      <c r="M291" s="175">
        <f>Period!$C$2</f>
        <v>46143</v>
      </c>
      <c r="N291" s="194" t="s">
        <v>279</v>
      </c>
    </row>
    <row r="292" spans="1:14" ht="11.4" x14ac:dyDescent="0.25">
      <c r="A292" s="138"/>
      <c r="B292" s="169" t="e">
        <f>IF(IF(VLOOKUP(A292,ASTBase!F:P,11,FALSE)="","",VLOOKUP(A292,ASTBase!F:P,11,FALSE))=0,"",IF(VLOOKUP(A292,ASTBase!F:P,11,FALSE)="","",VLOOKUP(A292,ASTBase!F:P,11,FALSE)))</f>
        <v>#N/A</v>
      </c>
      <c r="C292" s="140" t="str">
        <f>IF(IFERROR(_xlfn.IFNA(VLOOKUP($A292,'HR Rep'!$A:$X,MATCH('1) For HR (FIX)'!C$1,'HR Rep'!$A$1:$X$1,0),0),""),"")="","",IFERROR(_xlfn.IFNA(VLOOKUP($A292,'HR Rep'!$A:$X,MATCH('1) For HR (FIX)'!C$1,'HR Rep'!$A$1:$X$1,0),0),""),""))</f>
        <v/>
      </c>
      <c r="D292" s="140" t="str">
        <f>IF(IFERROR(_xlfn.IFNA(VLOOKUP($A292,'HR Rep'!$A:$X,MATCH('1) For HR (FIX)'!D$1,'HR Rep'!$A$1:$X$1,0),0),""),"")="","",IFERROR(_xlfn.IFNA(VLOOKUP($A292,'HR Rep'!$A:$X,MATCH('1) For HR (FIX)'!D$1,'HR Rep'!$A$1:$X$1,0),0),""),""))</f>
        <v/>
      </c>
      <c r="E292" s="140" t="str">
        <f>IF(IFERROR(_xlfn.IFNA(VLOOKUP($A292,'HR Rep'!$A:$X,MATCH('1) For HR (FIX)'!E$1,'HR Rep'!$A$1:$X$1,0),0),""),"")="","",IFERROR(_xlfn.IFNA(VLOOKUP($A292,'HR Rep'!$A:$X,MATCH('1) For HR (FIX)'!E$1,'HR Rep'!$A$1:$X$1,0),0),""),""))</f>
        <v/>
      </c>
      <c r="F292" s="140" t="str">
        <f>IF(IFERROR(_xlfn.IFNA(VLOOKUP($A292,'HR Rep'!$A:$X,MATCH('1) For HR (FIX)'!F$1,'HR Rep'!$A$1:$X$1,0),0),""),"")="","",IFERROR(_xlfn.IFNA(VLOOKUP($A292,'HR Rep'!$A:$X,MATCH('1) For HR (FIX)'!F$1,'HR Rep'!$A$1:$X$1,0),0),""),""))</f>
        <v/>
      </c>
      <c r="G292" s="196"/>
      <c r="H292" s="140" t="str">
        <f>IF(IFERROR(_xlfn.IFNA(VLOOKUP($A292,'HR Rep'!$A:$X,MATCH('1) For HR (FIX)'!H$1,'HR Rep'!$A$1:$X$1,0),0),""),"")="","",IFERROR(_xlfn.IFNA(VLOOKUP($A292,'HR Rep'!$A:$X,MATCH('1) For HR (FIX)'!H$1,'HR Rep'!$A$1:$X$1,0),0),""),""))</f>
        <v/>
      </c>
      <c r="I292" s="140" t="str">
        <f>IF(IFERROR(_xlfn.IFNA(VLOOKUP($A292,'HR Rep'!$A:$X,MATCH('1) For HR (FIX)'!I$1,'HR Rep'!$A$1:$X$1,0),0),""),"")="","",IFERROR(_xlfn.IFNA(VLOOKUP($A292,'HR Rep'!$A:$X,MATCH('1) For HR (FIX)'!I$1,'HR Rep'!$A$1:$X$1,0),0),""),""))</f>
        <v/>
      </c>
      <c r="J292" s="140" t="str">
        <f>IF(IFERROR(_xlfn.IFNA(VLOOKUP($A292,'HR Rep'!$A:$X,MATCH('1) For HR (FIX)'!J$1,'HR Rep'!$A$1:$X$1,0),0),""),"")="","",IFERROR(_xlfn.IFNA(VLOOKUP($A292,'HR Rep'!$A:$X,MATCH('1) For HR (FIX)'!J$1,'HR Rep'!$A$1:$X$1,0),0),""),""))</f>
        <v/>
      </c>
      <c r="K292" s="161">
        <f>_xlfn.XLOOKUP(G292,ค่าตอบแทนการขายในอัตราคงที่!A:A,ค่าตอบแทนการขายในอัตราคงที่!B:B)</f>
        <v>0</v>
      </c>
      <c r="L292" s="174">
        <f>Period!$A$2</f>
        <v>46113</v>
      </c>
      <c r="M292" s="175">
        <f>Period!$C$2</f>
        <v>46143</v>
      </c>
      <c r="N292" s="194" t="s">
        <v>279</v>
      </c>
    </row>
    <row r="293" spans="1:14" ht="11.4" x14ac:dyDescent="0.25">
      <c r="A293" s="138"/>
      <c r="B293" s="169" t="e">
        <f>IF(IF(VLOOKUP(A293,ASTBase!F:P,11,FALSE)="","",VLOOKUP(A293,ASTBase!F:P,11,FALSE))=0,"",IF(VLOOKUP(A293,ASTBase!F:P,11,FALSE)="","",VLOOKUP(A293,ASTBase!F:P,11,FALSE)))</f>
        <v>#N/A</v>
      </c>
      <c r="C293" s="140" t="str">
        <f>IF(IFERROR(_xlfn.IFNA(VLOOKUP($A293,'HR Rep'!$A:$X,MATCH('1) For HR (FIX)'!C$1,'HR Rep'!$A$1:$X$1,0),0),""),"")="","",IFERROR(_xlfn.IFNA(VLOOKUP($A293,'HR Rep'!$A:$X,MATCH('1) For HR (FIX)'!C$1,'HR Rep'!$A$1:$X$1,0),0),""),""))</f>
        <v/>
      </c>
      <c r="D293" s="140" t="str">
        <f>IF(IFERROR(_xlfn.IFNA(VLOOKUP($A293,'HR Rep'!$A:$X,MATCH('1) For HR (FIX)'!D$1,'HR Rep'!$A$1:$X$1,0),0),""),"")="","",IFERROR(_xlfn.IFNA(VLOOKUP($A293,'HR Rep'!$A:$X,MATCH('1) For HR (FIX)'!D$1,'HR Rep'!$A$1:$X$1,0),0),""),""))</f>
        <v/>
      </c>
      <c r="E293" s="140" t="str">
        <f>IF(IFERROR(_xlfn.IFNA(VLOOKUP($A293,'HR Rep'!$A:$X,MATCH('1) For HR (FIX)'!E$1,'HR Rep'!$A$1:$X$1,0),0),""),"")="","",IFERROR(_xlfn.IFNA(VLOOKUP($A293,'HR Rep'!$A:$X,MATCH('1) For HR (FIX)'!E$1,'HR Rep'!$A$1:$X$1,0),0),""),""))</f>
        <v/>
      </c>
      <c r="F293" s="140" t="str">
        <f>IF(IFERROR(_xlfn.IFNA(VLOOKUP($A293,'HR Rep'!$A:$X,MATCH('1) For HR (FIX)'!F$1,'HR Rep'!$A$1:$X$1,0),0),""),"")="","",IFERROR(_xlfn.IFNA(VLOOKUP($A293,'HR Rep'!$A:$X,MATCH('1) For HR (FIX)'!F$1,'HR Rep'!$A$1:$X$1,0),0),""),""))</f>
        <v/>
      </c>
      <c r="G293" s="196"/>
      <c r="H293" s="140" t="str">
        <f>IF(IFERROR(_xlfn.IFNA(VLOOKUP($A293,'HR Rep'!$A:$X,MATCH('1) For HR (FIX)'!H$1,'HR Rep'!$A$1:$X$1,0),0),""),"")="","",IFERROR(_xlfn.IFNA(VLOOKUP($A293,'HR Rep'!$A:$X,MATCH('1) For HR (FIX)'!H$1,'HR Rep'!$A$1:$X$1,0),0),""),""))</f>
        <v/>
      </c>
      <c r="I293" s="140" t="str">
        <f>IF(IFERROR(_xlfn.IFNA(VLOOKUP($A293,'HR Rep'!$A:$X,MATCH('1) For HR (FIX)'!I$1,'HR Rep'!$A$1:$X$1,0),0),""),"")="","",IFERROR(_xlfn.IFNA(VLOOKUP($A293,'HR Rep'!$A:$X,MATCH('1) For HR (FIX)'!I$1,'HR Rep'!$A$1:$X$1,0),0),""),""))</f>
        <v/>
      </c>
      <c r="J293" s="140" t="str">
        <f>IF(IFERROR(_xlfn.IFNA(VLOOKUP($A293,'HR Rep'!$A:$X,MATCH('1) For HR (FIX)'!J$1,'HR Rep'!$A$1:$X$1,0),0),""),"")="","",IFERROR(_xlfn.IFNA(VLOOKUP($A293,'HR Rep'!$A:$X,MATCH('1) For HR (FIX)'!J$1,'HR Rep'!$A$1:$X$1,0),0),""),""))</f>
        <v/>
      </c>
      <c r="K293" s="161">
        <f>_xlfn.XLOOKUP(G293,ค่าตอบแทนการขายในอัตราคงที่!A:A,ค่าตอบแทนการขายในอัตราคงที่!B:B)</f>
        <v>0</v>
      </c>
      <c r="L293" s="174">
        <f>Period!$A$2</f>
        <v>46113</v>
      </c>
      <c r="M293" s="175">
        <f>Period!$C$2</f>
        <v>46143</v>
      </c>
      <c r="N293" s="194" t="s">
        <v>279</v>
      </c>
    </row>
    <row r="294" spans="1:14" ht="11.4" x14ac:dyDescent="0.25">
      <c r="A294" s="138"/>
      <c r="B294" s="169" t="e">
        <f>IF(IF(VLOOKUP(A294,ASTBase!F:P,11,FALSE)="","",VLOOKUP(A294,ASTBase!F:P,11,FALSE))=0,"",IF(VLOOKUP(A294,ASTBase!F:P,11,FALSE)="","",VLOOKUP(A294,ASTBase!F:P,11,FALSE)))</f>
        <v>#N/A</v>
      </c>
      <c r="C294" s="140" t="str">
        <f>IF(IFERROR(_xlfn.IFNA(VLOOKUP($A294,'HR Rep'!$A:$X,MATCH('1) For HR (FIX)'!C$1,'HR Rep'!$A$1:$X$1,0),0),""),"")="","",IFERROR(_xlfn.IFNA(VLOOKUP($A294,'HR Rep'!$A:$X,MATCH('1) For HR (FIX)'!C$1,'HR Rep'!$A$1:$X$1,0),0),""),""))</f>
        <v/>
      </c>
      <c r="D294" s="140" t="str">
        <f>IF(IFERROR(_xlfn.IFNA(VLOOKUP($A294,'HR Rep'!$A:$X,MATCH('1) For HR (FIX)'!D$1,'HR Rep'!$A$1:$X$1,0),0),""),"")="","",IFERROR(_xlfn.IFNA(VLOOKUP($A294,'HR Rep'!$A:$X,MATCH('1) For HR (FIX)'!D$1,'HR Rep'!$A$1:$X$1,0),0),""),""))</f>
        <v/>
      </c>
      <c r="E294" s="140" t="str">
        <f>IF(IFERROR(_xlfn.IFNA(VLOOKUP($A294,'HR Rep'!$A:$X,MATCH('1) For HR (FIX)'!E$1,'HR Rep'!$A$1:$X$1,0),0),""),"")="","",IFERROR(_xlfn.IFNA(VLOOKUP($A294,'HR Rep'!$A:$X,MATCH('1) For HR (FIX)'!E$1,'HR Rep'!$A$1:$X$1,0),0),""),""))</f>
        <v/>
      </c>
      <c r="F294" s="140" t="str">
        <f>IF(IFERROR(_xlfn.IFNA(VLOOKUP($A294,'HR Rep'!$A:$X,MATCH('1) For HR (FIX)'!F$1,'HR Rep'!$A$1:$X$1,0),0),""),"")="","",IFERROR(_xlfn.IFNA(VLOOKUP($A294,'HR Rep'!$A:$X,MATCH('1) For HR (FIX)'!F$1,'HR Rep'!$A$1:$X$1,0),0),""),""))</f>
        <v/>
      </c>
      <c r="G294" s="196"/>
      <c r="H294" s="140" t="str">
        <f>IF(IFERROR(_xlfn.IFNA(VLOOKUP($A294,'HR Rep'!$A:$X,MATCH('1) For HR (FIX)'!H$1,'HR Rep'!$A$1:$X$1,0),0),""),"")="","",IFERROR(_xlfn.IFNA(VLOOKUP($A294,'HR Rep'!$A:$X,MATCH('1) For HR (FIX)'!H$1,'HR Rep'!$A$1:$X$1,0),0),""),""))</f>
        <v/>
      </c>
      <c r="I294" s="140" t="str">
        <f>IF(IFERROR(_xlfn.IFNA(VLOOKUP($A294,'HR Rep'!$A:$X,MATCH('1) For HR (FIX)'!I$1,'HR Rep'!$A$1:$X$1,0),0),""),"")="","",IFERROR(_xlfn.IFNA(VLOOKUP($A294,'HR Rep'!$A:$X,MATCH('1) For HR (FIX)'!I$1,'HR Rep'!$A$1:$X$1,0),0),""),""))</f>
        <v/>
      </c>
      <c r="J294" s="140" t="str">
        <f>IF(IFERROR(_xlfn.IFNA(VLOOKUP($A294,'HR Rep'!$A:$X,MATCH('1) For HR (FIX)'!J$1,'HR Rep'!$A$1:$X$1,0),0),""),"")="","",IFERROR(_xlfn.IFNA(VLOOKUP($A294,'HR Rep'!$A:$X,MATCH('1) For HR (FIX)'!J$1,'HR Rep'!$A$1:$X$1,0),0),""),""))</f>
        <v/>
      </c>
      <c r="K294" s="161">
        <f>_xlfn.XLOOKUP(G294,ค่าตอบแทนการขายในอัตราคงที่!A:A,ค่าตอบแทนการขายในอัตราคงที่!B:B)</f>
        <v>0</v>
      </c>
      <c r="L294" s="174">
        <f>Period!$A$2</f>
        <v>46113</v>
      </c>
      <c r="M294" s="175">
        <f>Period!$C$2</f>
        <v>46143</v>
      </c>
      <c r="N294" s="194" t="s">
        <v>279</v>
      </c>
    </row>
    <row r="295" spans="1:14" ht="11.4" x14ac:dyDescent="0.25">
      <c r="A295" s="139"/>
      <c r="B295" s="169" t="e">
        <f>IF(IF(VLOOKUP(A295,ASTBase!F:P,11,FALSE)="","",VLOOKUP(A295,ASTBase!F:P,11,FALSE))=0,"",IF(VLOOKUP(A295,ASTBase!F:P,11,FALSE)="","",VLOOKUP(A295,ASTBase!F:P,11,FALSE)))</f>
        <v>#N/A</v>
      </c>
      <c r="C295" s="140" t="str">
        <f>IF(IFERROR(_xlfn.IFNA(VLOOKUP($A295,'HR Rep'!$A:$X,MATCH('1) For HR (FIX)'!C$1,'HR Rep'!$A$1:$X$1,0),0),""),"")="","",IFERROR(_xlfn.IFNA(VLOOKUP($A295,'HR Rep'!$A:$X,MATCH('1) For HR (FIX)'!C$1,'HR Rep'!$A$1:$X$1,0),0),""),""))</f>
        <v/>
      </c>
      <c r="D295" s="140" t="str">
        <f>IF(IFERROR(_xlfn.IFNA(VLOOKUP($A295,'HR Rep'!$A:$X,MATCH('1) For HR (FIX)'!D$1,'HR Rep'!$A$1:$X$1,0),0),""),"")="","",IFERROR(_xlfn.IFNA(VLOOKUP($A295,'HR Rep'!$A:$X,MATCH('1) For HR (FIX)'!D$1,'HR Rep'!$A$1:$X$1,0),0),""),""))</f>
        <v/>
      </c>
      <c r="E295" s="140" t="str">
        <f>IF(IFERROR(_xlfn.IFNA(VLOOKUP($A295,'HR Rep'!$A:$X,MATCH('1) For HR (FIX)'!E$1,'HR Rep'!$A$1:$X$1,0),0),""),"")="","",IFERROR(_xlfn.IFNA(VLOOKUP($A295,'HR Rep'!$A:$X,MATCH('1) For HR (FIX)'!E$1,'HR Rep'!$A$1:$X$1,0),0),""),""))</f>
        <v/>
      </c>
      <c r="F295" s="140" t="str">
        <f>IF(IFERROR(_xlfn.IFNA(VLOOKUP($A295,'HR Rep'!$A:$X,MATCH('1) For HR (FIX)'!F$1,'HR Rep'!$A$1:$X$1,0),0),""),"")="","",IFERROR(_xlfn.IFNA(VLOOKUP($A295,'HR Rep'!$A:$X,MATCH('1) For HR (FIX)'!F$1,'HR Rep'!$A$1:$X$1,0),0),""),""))</f>
        <v/>
      </c>
      <c r="G295" s="196"/>
      <c r="H295" s="140" t="str">
        <f>IF(IFERROR(_xlfn.IFNA(VLOOKUP($A295,'HR Rep'!$A:$X,MATCH('1) For HR (FIX)'!H$1,'HR Rep'!$A$1:$X$1,0),0),""),"")="","",IFERROR(_xlfn.IFNA(VLOOKUP($A295,'HR Rep'!$A:$X,MATCH('1) For HR (FIX)'!H$1,'HR Rep'!$A$1:$X$1,0),0),""),""))</f>
        <v/>
      </c>
      <c r="I295" s="140" t="str">
        <f>IF(IFERROR(_xlfn.IFNA(VLOOKUP($A295,'HR Rep'!$A:$X,MATCH('1) For HR (FIX)'!I$1,'HR Rep'!$A$1:$X$1,0),0),""),"")="","",IFERROR(_xlfn.IFNA(VLOOKUP($A295,'HR Rep'!$A:$X,MATCH('1) For HR (FIX)'!I$1,'HR Rep'!$A$1:$X$1,0),0),""),""))</f>
        <v/>
      </c>
      <c r="J295" s="140" t="str">
        <f>IF(IFERROR(_xlfn.IFNA(VLOOKUP($A295,'HR Rep'!$A:$X,MATCH('1) For HR (FIX)'!J$1,'HR Rep'!$A$1:$X$1,0),0),""),"")="","",IFERROR(_xlfn.IFNA(VLOOKUP($A295,'HR Rep'!$A:$X,MATCH('1) For HR (FIX)'!J$1,'HR Rep'!$A$1:$X$1,0),0),""),""))</f>
        <v/>
      </c>
      <c r="K295" s="161">
        <f>_xlfn.XLOOKUP(G295,ค่าตอบแทนการขายในอัตราคงที่!A:A,ค่าตอบแทนการขายในอัตราคงที่!B:B)</f>
        <v>0</v>
      </c>
      <c r="L295" s="174">
        <f>Period!$A$2</f>
        <v>46113</v>
      </c>
      <c r="M295" s="175">
        <f>Period!$C$2</f>
        <v>46143</v>
      </c>
      <c r="N295" s="194" t="s">
        <v>279</v>
      </c>
    </row>
    <row r="296" spans="1:14" ht="11.4" x14ac:dyDescent="0.25">
      <c r="A296" s="139"/>
      <c r="B296" s="169" t="e">
        <f>IF(IF(VLOOKUP(A296,ASTBase!F:P,11,FALSE)="","",VLOOKUP(A296,ASTBase!F:P,11,FALSE))=0,"",IF(VLOOKUP(A296,ASTBase!F:P,11,FALSE)="","",VLOOKUP(A296,ASTBase!F:P,11,FALSE)))</f>
        <v>#N/A</v>
      </c>
      <c r="C296" s="140" t="str">
        <f>IF(IFERROR(_xlfn.IFNA(VLOOKUP($A296,'HR Rep'!$A:$X,MATCH('1) For HR (FIX)'!C$1,'HR Rep'!$A$1:$X$1,0),0),""),"")="","",IFERROR(_xlfn.IFNA(VLOOKUP($A296,'HR Rep'!$A:$X,MATCH('1) For HR (FIX)'!C$1,'HR Rep'!$A$1:$X$1,0),0),""),""))</f>
        <v/>
      </c>
      <c r="D296" s="140" t="str">
        <f>IF(IFERROR(_xlfn.IFNA(VLOOKUP($A296,'HR Rep'!$A:$X,MATCH('1) For HR (FIX)'!D$1,'HR Rep'!$A$1:$X$1,0),0),""),"")="","",IFERROR(_xlfn.IFNA(VLOOKUP($A296,'HR Rep'!$A:$X,MATCH('1) For HR (FIX)'!D$1,'HR Rep'!$A$1:$X$1,0),0),""),""))</f>
        <v/>
      </c>
      <c r="E296" s="140" t="str">
        <f>IF(IFERROR(_xlfn.IFNA(VLOOKUP($A296,'HR Rep'!$A:$X,MATCH('1) For HR (FIX)'!E$1,'HR Rep'!$A$1:$X$1,0),0),""),"")="","",IFERROR(_xlfn.IFNA(VLOOKUP($A296,'HR Rep'!$A:$X,MATCH('1) For HR (FIX)'!E$1,'HR Rep'!$A$1:$X$1,0),0),""),""))</f>
        <v/>
      </c>
      <c r="F296" s="140" t="str">
        <f>IF(IFERROR(_xlfn.IFNA(VLOOKUP($A296,'HR Rep'!$A:$X,MATCH('1) For HR (FIX)'!F$1,'HR Rep'!$A$1:$X$1,0),0),""),"")="","",IFERROR(_xlfn.IFNA(VLOOKUP($A296,'HR Rep'!$A:$X,MATCH('1) For HR (FIX)'!F$1,'HR Rep'!$A$1:$X$1,0),0),""),""))</f>
        <v/>
      </c>
      <c r="G296" s="196"/>
      <c r="H296" s="140" t="str">
        <f>IF(IFERROR(_xlfn.IFNA(VLOOKUP($A296,'HR Rep'!$A:$X,MATCH('1) For HR (FIX)'!H$1,'HR Rep'!$A$1:$X$1,0),0),""),"")="","",IFERROR(_xlfn.IFNA(VLOOKUP($A296,'HR Rep'!$A:$X,MATCH('1) For HR (FIX)'!H$1,'HR Rep'!$A$1:$X$1,0),0),""),""))</f>
        <v/>
      </c>
      <c r="I296" s="140" t="str">
        <f>IF(IFERROR(_xlfn.IFNA(VLOOKUP($A296,'HR Rep'!$A:$X,MATCH('1) For HR (FIX)'!I$1,'HR Rep'!$A$1:$X$1,0),0),""),"")="","",IFERROR(_xlfn.IFNA(VLOOKUP($A296,'HR Rep'!$A:$X,MATCH('1) For HR (FIX)'!I$1,'HR Rep'!$A$1:$X$1,0),0),""),""))</f>
        <v/>
      </c>
      <c r="J296" s="140" t="str">
        <f>IF(IFERROR(_xlfn.IFNA(VLOOKUP($A296,'HR Rep'!$A:$X,MATCH('1) For HR (FIX)'!J$1,'HR Rep'!$A$1:$X$1,0),0),""),"")="","",IFERROR(_xlfn.IFNA(VLOOKUP($A296,'HR Rep'!$A:$X,MATCH('1) For HR (FIX)'!J$1,'HR Rep'!$A$1:$X$1,0),0),""),""))</f>
        <v/>
      </c>
      <c r="K296" s="161">
        <f>_xlfn.XLOOKUP(G296,ค่าตอบแทนการขายในอัตราคงที่!A:A,ค่าตอบแทนการขายในอัตราคงที่!B:B)</f>
        <v>0</v>
      </c>
      <c r="L296" s="174">
        <f>Period!$A$2</f>
        <v>46113</v>
      </c>
      <c r="M296" s="175">
        <f>Period!$C$2</f>
        <v>46143</v>
      </c>
      <c r="N296" s="194" t="s">
        <v>279</v>
      </c>
    </row>
    <row r="297" spans="1:14" ht="11.4" x14ac:dyDescent="0.25">
      <c r="A297" s="139"/>
      <c r="B297" s="169" t="e">
        <f>IF(IF(VLOOKUP(A297,ASTBase!F:P,11,FALSE)="","",VLOOKUP(A297,ASTBase!F:P,11,FALSE))=0,"",IF(VLOOKUP(A297,ASTBase!F:P,11,FALSE)="","",VLOOKUP(A297,ASTBase!F:P,11,FALSE)))</f>
        <v>#N/A</v>
      </c>
      <c r="C297" s="140" t="str">
        <f>IF(IFERROR(_xlfn.IFNA(VLOOKUP($A297,'HR Rep'!$A:$X,MATCH('1) For HR (FIX)'!C$1,'HR Rep'!$A$1:$X$1,0),0),""),"")="","",IFERROR(_xlfn.IFNA(VLOOKUP($A297,'HR Rep'!$A:$X,MATCH('1) For HR (FIX)'!C$1,'HR Rep'!$A$1:$X$1,0),0),""),""))</f>
        <v/>
      </c>
      <c r="D297" s="140" t="str">
        <f>IF(IFERROR(_xlfn.IFNA(VLOOKUP($A297,'HR Rep'!$A:$X,MATCH('1) For HR (FIX)'!D$1,'HR Rep'!$A$1:$X$1,0),0),""),"")="","",IFERROR(_xlfn.IFNA(VLOOKUP($A297,'HR Rep'!$A:$X,MATCH('1) For HR (FIX)'!D$1,'HR Rep'!$A$1:$X$1,0),0),""),""))</f>
        <v/>
      </c>
      <c r="E297" s="140" t="str">
        <f>IF(IFERROR(_xlfn.IFNA(VLOOKUP($A297,'HR Rep'!$A:$X,MATCH('1) For HR (FIX)'!E$1,'HR Rep'!$A$1:$X$1,0),0),""),"")="","",IFERROR(_xlfn.IFNA(VLOOKUP($A297,'HR Rep'!$A:$X,MATCH('1) For HR (FIX)'!E$1,'HR Rep'!$A$1:$X$1,0),0),""),""))</f>
        <v/>
      </c>
      <c r="F297" s="140" t="str">
        <f>IF(IFERROR(_xlfn.IFNA(VLOOKUP($A297,'HR Rep'!$A:$X,MATCH('1) For HR (FIX)'!F$1,'HR Rep'!$A$1:$X$1,0),0),""),"")="","",IFERROR(_xlfn.IFNA(VLOOKUP($A297,'HR Rep'!$A:$X,MATCH('1) For HR (FIX)'!F$1,'HR Rep'!$A$1:$X$1,0),0),""),""))</f>
        <v/>
      </c>
      <c r="G297" s="196"/>
      <c r="H297" s="140" t="str">
        <f>IF(IFERROR(_xlfn.IFNA(VLOOKUP($A297,'HR Rep'!$A:$X,MATCH('1) For HR (FIX)'!H$1,'HR Rep'!$A$1:$X$1,0),0),""),"")="","",IFERROR(_xlfn.IFNA(VLOOKUP($A297,'HR Rep'!$A:$X,MATCH('1) For HR (FIX)'!H$1,'HR Rep'!$A$1:$X$1,0),0),""),""))</f>
        <v/>
      </c>
      <c r="I297" s="140" t="str">
        <f>IF(IFERROR(_xlfn.IFNA(VLOOKUP($A297,'HR Rep'!$A:$X,MATCH('1) For HR (FIX)'!I$1,'HR Rep'!$A$1:$X$1,0),0),""),"")="","",IFERROR(_xlfn.IFNA(VLOOKUP($A297,'HR Rep'!$A:$X,MATCH('1) For HR (FIX)'!I$1,'HR Rep'!$A$1:$X$1,0),0),""),""))</f>
        <v/>
      </c>
      <c r="J297" s="140" t="str">
        <f>IF(IFERROR(_xlfn.IFNA(VLOOKUP($A297,'HR Rep'!$A:$X,MATCH('1) For HR (FIX)'!J$1,'HR Rep'!$A$1:$X$1,0),0),""),"")="","",IFERROR(_xlfn.IFNA(VLOOKUP($A297,'HR Rep'!$A:$X,MATCH('1) For HR (FIX)'!J$1,'HR Rep'!$A$1:$X$1,0),0),""),""))</f>
        <v/>
      </c>
      <c r="K297" s="161">
        <f>_xlfn.XLOOKUP(G297,ค่าตอบแทนการขายในอัตราคงที่!A:A,ค่าตอบแทนการขายในอัตราคงที่!B:B)</f>
        <v>0</v>
      </c>
      <c r="L297" s="174">
        <f>Period!$A$2</f>
        <v>46113</v>
      </c>
      <c r="M297" s="175">
        <f>Period!$C$2</f>
        <v>46143</v>
      </c>
      <c r="N297" s="194" t="s">
        <v>279</v>
      </c>
    </row>
    <row r="298" spans="1:14" ht="11.4" x14ac:dyDescent="0.25">
      <c r="A298" s="139"/>
      <c r="B298" s="169" t="e">
        <f>IF(IF(VLOOKUP(A298,ASTBase!F:P,11,FALSE)="","",VLOOKUP(A298,ASTBase!F:P,11,FALSE))=0,"",IF(VLOOKUP(A298,ASTBase!F:P,11,FALSE)="","",VLOOKUP(A298,ASTBase!F:P,11,FALSE)))</f>
        <v>#N/A</v>
      </c>
      <c r="C298" s="140" t="str">
        <f>IF(IFERROR(_xlfn.IFNA(VLOOKUP($A298,'HR Rep'!$A:$X,MATCH('1) For HR (FIX)'!C$1,'HR Rep'!$A$1:$X$1,0),0),""),"")="","",IFERROR(_xlfn.IFNA(VLOOKUP($A298,'HR Rep'!$A:$X,MATCH('1) For HR (FIX)'!C$1,'HR Rep'!$A$1:$X$1,0),0),""),""))</f>
        <v/>
      </c>
      <c r="D298" s="140" t="str">
        <f>IF(IFERROR(_xlfn.IFNA(VLOOKUP($A298,'HR Rep'!$A:$X,MATCH('1) For HR (FIX)'!D$1,'HR Rep'!$A$1:$X$1,0),0),""),"")="","",IFERROR(_xlfn.IFNA(VLOOKUP($A298,'HR Rep'!$A:$X,MATCH('1) For HR (FIX)'!D$1,'HR Rep'!$A$1:$X$1,0),0),""),""))</f>
        <v/>
      </c>
      <c r="E298" s="140" t="str">
        <f>IF(IFERROR(_xlfn.IFNA(VLOOKUP($A298,'HR Rep'!$A:$X,MATCH('1) For HR (FIX)'!E$1,'HR Rep'!$A$1:$X$1,0),0),""),"")="","",IFERROR(_xlfn.IFNA(VLOOKUP($A298,'HR Rep'!$A:$X,MATCH('1) For HR (FIX)'!E$1,'HR Rep'!$A$1:$X$1,0),0),""),""))</f>
        <v/>
      </c>
      <c r="F298" s="140" t="str">
        <f>IF(IFERROR(_xlfn.IFNA(VLOOKUP($A298,'HR Rep'!$A:$X,MATCH('1) For HR (FIX)'!F$1,'HR Rep'!$A$1:$X$1,0),0),""),"")="","",IFERROR(_xlfn.IFNA(VLOOKUP($A298,'HR Rep'!$A:$X,MATCH('1) For HR (FIX)'!F$1,'HR Rep'!$A$1:$X$1,0),0),""),""))</f>
        <v/>
      </c>
      <c r="G298" s="196"/>
      <c r="H298" s="140" t="str">
        <f>IF(IFERROR(_xlfn.IFNA(VLOOKUP($A298,'HR Rep'!$A:$X,MATCH('1) For HR (FIX)'!H$1,'HR Rep'!$A$1:$X$1,0),0),""),"")="","",IFERROR(_xlfn.IFNA(VLOOKUP($A298,'HR Rep'!$A:$X,MATCH('1) For HR (FIX)'!H$1,'HR Rep'!$A$1:$X$1,0),0),""),""))</f>
        <v/>
      </c>
      <c r="I298" s="140" t="str">
        <f>IF(IFERROR(_xlfn.IFNA(VLOOKUP($A298,'HR Rep'!$A:$X,MATCH('1) For HR (FIX)'!I$1,'HR Rep'!$A$1:$X$1,0),0),""),"")="","",IFERROR(_xlfn.IFNA(VLOOKUP($A298,'HR Rep'!$A:$X,MATCH('1) For HR (FIX)'!I$1,'HR Rep'!$A$1:$X$1,0),0),""),""))</f>
        <v/>
      </c>
      <c r="J298" s="140" t="str">
        <f>IF(IFERROR(_xlfn.IFNA(VLOOKUP($A298,'HR Rep'!$A:$X,MATCH('1) For HR (FIX)'!J$1,'HR Rep'!$A$1:$X$1,0),0),""),"")="","",IFERROR(_xlfn.IFNA(VLOOKUP($A298,'HR Rep'!$A:$X,MATCH('1) For HR (FIX)'!J$1,'HR Rep'!$A$1:$X$1,0),0),""),""))</f>
        <v/>
      </c>
      <c r="K298" s="161">
        <f>_xlfn.XLOOKUP(G298,ค่าตอบแทนการขายในอัตราคงที่!A:A,ค่าตอบแทนการขายในอัตราคงที่!B:B)</f>
        <v>0</v>
      </c>
      <c r="L298" s="174">
        <f>Period!$A$2</f>
        <v>46113</v>
      </c>
      <c r="M298" s="175">
        <f>Period!$C$2</f>
        <v>46143</v>
      </c>
      <c r="N298" s="194" t="s">
        <v>279</v>
      </c>
    </row>
    <row r="299" spans="1:14" ht="11.4" x14ac:dyDescent="0.25">
      <c r="A299" s="137"/>
      <c r="B299" s="169" t="e">
        <f>IF(IF(VLOOKUP(A299,ASTBase!F:P,11,FALSE)="","",VLOOKUP(A299,ASTBase!F:P,11,FALSE))=0,"",IF(VLOOKUP(A299,ASTBase!F:P,11,FALSE)="","",VLOOKUP(A299,ASTBase!F:P,11,FALSE)))</f>
        <v>#N/A</v>
      </c>
      <c r="C299" s="140" t="str">
        <f>IF(IFERROR(_xlfn.IFNA(VLOOKUP($A299,'HR Rep'!$A:$X,MATCH('1) For HR (FIX)'!C$1,'HR Rep'!$A$1:$X$1,0),0),""),"")="","",IFERROR(_xlfn.IFNA(VLOOKUP($A299,'HR Rep'!$A:$X,MATCH('1) For HR (FIX)'!C$1,'HR Rep'!$A$1:$X$1,0),0),""),""))</f>
        <v/>
      </c>
      <c r="D299" s="140" t="str">
        <f>IF(IFERROR(_xlfn.IFNA(VLOOKUP($A299,'HR Rep'!$A:$X,MATCH('1) For HR (FIX)'!D$1,'HR Rep'!$A$1:$X$1,0),0),""),"")="","",IFERROR(_xlfn.IFNA(VLOOKUP($A299,'HR Rep'!$A:$X,MATCH('1) For HR (FIX)'!D$1,'HR Rep'!$A$1:$X$1,0),0),""),""))</f>
        <v/>
      </c>
      <c r="E299" s="140" t="str">
        <f>IF(IFERROR(_xlfn.IFNA(VLOOKUP($A299,'HR Rep'!$A:$X,MATCH('1) For HR (FIX)'!E$1,'HR Rep'!$A$1:$X$1,0),0),""),"")="","",IFERROR(_xlfn.IFNA(VLOOKUP($A299,'HR Rep'!$A:$X,MATCH('1) For HR (FIX)'!E$1,'HR Rep'!$A$1:$X$1,0),0),""),""))</f>
        <v/>
      </c>
      <c r="F299" s="140" t="str">
        <f>IF(IFERROR(_xlfn.IFNA(VLOOKUP($A299,'HR Rep'!$A:$X,MATCH('1) For HR (FIX)'!F$1,'HR Rep'!$A$1:$X$1,0),0),""),"")="","",IFERROR(_xlfn.IFNA(VLOOKUP($A299,'HR Rep'!$A:$X,MATCH('1) For HR (FIX)'!F$1,'HR Rep'!$A$1:$X$1,0),0),""),""))</f>
        <v/>
      </c>
      <c r="G299" s="196"/>
      <c r="H299" s="140" t="str">
        <f>IF(IFERROR(_xlfn.IFNA(VLOOKUP($A299,'HR Rep'!$A:$X,MATCH('1) For HR (FIX)'!H$1,'HR Rep'!$A$1:$X$1,0),0),""),"")="","",IFERROR(_xlfn.IFNA(VLOOKUP($A299,'HR Rep'!$A:$X,MATCH('1) For HR (FIX)'!H$1,'HR Rep'!$A$1:$X$1,0),0),""),""))</f>
        <v/>
      </c>
      <c r="I299" s="140" t="str">
        <f>IF(IFERROR(_xlfn.IFNA(VLOOKUP($A299,'HR Rep'!$A:$X,MATCH('1) For HR (FIX)'!I$1,'HR Rep'!$A$1:$X$1,0),0),""),"")="","",IFERROR(_xlfn.IFNA(VLOOKUP($A299,'HR Rep'!$A:$X,MATCH('1) For HR (FIX)'!I$1,'HR Rep'!$A$1:$X$1,0),0),""),""))</f>
        <v/>
      </c>
      <c r="J299" s="140" t="str">
        <f>IF(IFERROR(_xlfn.IFNA(VLOOKUP($A299,'HR Rep'!$A:$X,MATCH('1) For HR (FIX)'!J$1,'HR Rep'!$A$1:$X$1,0),0),""),"")="","",IFERROR(_xlfn.IFNA(VLOOKUP($A299,'HR Rep'!$A:$X,MATCH('1) For HR (FIX)'!J$1,'HR Rep'!$A$1:$X$1,0),0),""),""))</f>
        <v/>
      </c>
      <c r="K299" s="161">
        <f>_xlfn.XLOOKUP(G299,ค่าตอบแทนการขายในอัตราคงที่!A:A,ค่าตอบแทนการขายในอัตราคงที่!B:B)</f>
        <v>0</v>
      </c>
      <c r="L299" s="174">
        <f>Period!$A$2</f>
        <v>46113</v>
      </c>
      <c r="M299" s="175">
        <f>Period!$C$2</f>
        <v>46143</v>
      </c>
      <c r="N299" s="194" t="s">
        <v>279</v>
      </c>
    </row>
    <row r="300" spans="1:14" ht="11.4" x14ac:dyDescent="0.25">
      <c r="A300" s="137"/>
      <c r="B300" s="169" t="e">
        <f>IF(IF(VLOOKUP(A300,ASTBase!F:P,11,FALSE)="","",VLOOKUP(A300,ASTBase!F:P,11,FALSE))=0,"",IF(VLOOKUP(A300,ASTBase!F:P,11,FALSE)="","",VLOOKUP(A300,ASTBase!F:P,11,FALSE)))</f>
        <v>#N/A</v>
      </c>
      <c r="C300" s="140" t="str">
        <f>IF(IFERROR(_xlfn.IFNA(VLOOKUP($A300,'HR Rep'!$A:$X,MATCH('1) For HR (FIX)'!C$1,'HR Rep'!$A$1:$X$1,0),0),""),"")="","",IFERROR(_xlfn.IFNA(VLOOKUP($A300,'HR Rep'!$A:$X,MATCH('1) For HR (FIX)'!C$1,'HR Rep'!$A$1:$X$1,0),0),""),""))</f>
        <v/>
      </c>
      <c r="D300" s="140" t="str">
        <f>IF(IFERROR(_xlfn.IFNA(VLOOKUP($A300,'HR Rep'!$A:$X,MATCH('1) For HR (FIX)'!D$1,'HR Rep'!$A$1:$X$1,0),0),""),"")="","",IFERROR(_xlfn.IFNA(VLOOKUP($A300,'HR Rep'!$A:$X,MATCH('1) For HR (FIX)'!D$1,'HR Rep'!$A$1:$X$1,0),0),""),""))</f>
        <v/>
      </c>
      <c r="E300" s="140" t="str">
        <f>IF(IFERROR(_xlfn.IFNA(VLOOKUP($A300,'HR Rep'!$A:$X,MATCH('1) For HR (FIX)'!E$1,'HR Rep'!$A$1:$X$1,0),0),""),"")="","",IFERROR(_xlfn.IFNA(VLOOKUP($A300,'HR Rep'!$A:$X,MATCH('1) For HR (FIX)'!E$1,'HR Rep'!$A$1:$X$1,0),0),""),""))</f>
        <v/>
      </c>
      <c r="F300" s="140" t="str">
        <f>IF(IFERROR(_xlfn.IFNA(VLOOKUP($A300,'HR Rep'!$A:$X,MATCH('1) For HR (FIX)'!F$1,'HR Rep'!$A$1:$X$1,0),0),""),"")="","",IFERROR(_xlfn.IFNA(VLOOKUP($A300,'HR Rep'!$A:$X,MATCH('1) For HR (FIX)'!F$1,'HR Rep'!$A$1:$X$1,0),0),""),""))</f>
        <v/>
      </c>
      <c r="G300" s="196"/>
      <c r="H300" s="140" t="str">
        <f>IF(IFERROR(_xlfn.IFNA(VLOOKUP($A300,'HR Rep'!$A:$X,MATCH('1) For HR (FIX)'!H$1,'HR Rep'!$A$1:$X$1,0),0),""),"")="","",IFERROR(_xlfn.IFNA(VLOOKUP($A300,'HR Rep'!$A:$X,MATCH('1) For HR (FIX)'!H$1,'HR Rep'!$A$1:$X$1,0),0),""),""))</f>
        <v/>
      </c>
      <c r="I300" s="140" t="str">
        <f>IF(IFERROR(_xlfn.IFNA(VLOOKUP($A300,'HR Rep'!$A:$X,MATCH('1) For HR (FIX)'!I$1,'HR Rep'!$A$1:$X$1,0),0),""),"")="","",IFERROR(_xlfn.IFNA(VLOOKUP($A300,'HR Rep'!$A:$X,MATCH('1) For HR (FIX)'!I$1,'HR Rep'!$A$1:$X$1,0),0),""),""))</f>
        <v/>
      </c>
      <c r="J300" s="140" t="str">
        <f>IF(IFERROR(_xlfn.IFNA(VLOOKUP($A300,'HR Rep'!$A:$X,MATCH('1) For HR (FIX)'!J$1,'HR Rep'!$A$1:$X$1,0),0),""),"")="","",IFERROR(_xlfn.IFNA(VLOOKUP($A300,'HR Rep'!$A:$X,MATCH('1) For HR (FIX)'!J$1,'HR Rep'!$A$1:$X$1,0),0),""),""))</f>
        <v/>
      </c>
      <c r="K300" s="161">
        <f>_xlfn.XLOOKUP(G300,ค่าตอบแทนการขายในอัตราคงที่!A:A,ค่าตอบแทนการขายในอัตราคงที่!B:B)</f>
        <v>0</v>
      </c>
      <c r="L300" s="174">
        <f>Period!$A$2</f>
        <v>46113</v>
      </c>
      <c r="M300" s="175">
        <f>Period!$C$2</f>
        <v>46143</v>
      </c>
      <c r="N300" s="194" t="s">
        <v>279</v>
      </c>
    </row>
    <row r="301" spans="1:14" ht="11.4" x14ac:dyDescent="0.25">
      <c r="A301" s="137"/>
      <c r="B301" s="169" t="e">
        <f>IF(IF(VLOOKUP(A301,ASTBase!F:P,11,FALSE)="","",VLOOKUP(A301,ASTBase!F:P,11,FALSE))=0,"",IF(VLOOKUP(A301,ASTBase!F:P,11,FALSE)="","",VLOOKUP(A301,ASTBase!F:P,11,FALSE)))</f>
        <v>#N/A</v>
      </c>
      <c r="C301" s="140" t="str">
        <f>IF(IFERROR(_xlfn.IFNA(VLOOKUP($A301,'HR Rep'!$A:$X,MATCH('1) For HR (FIX)'!C$1,'HR Rep'!$A$1:$X$1,0),0),""),"")="","",IFERROR(_xlfn.IFNA(VLOOKUP($A301,'HR Rep'!$A:$X,MATCH('1) For HR (FIX)'!C$1,'HR Rep'!$A$1:$X$1,0),0),""),""))</f>
        <v/>
      </c>
      <c r="D301" s="140" t="str">
        <f>IF(IFERROR(_xlfn.IFNA(VLOOKUP($A301,'HR Rep'!$A:$X,MATCH('1) For HR (FIX)'!D$1,'HR Rep'!$A$1:$X$1,0),0),""),"")="","",IFERROR(_xlfn.IFNA(VLOOKUP($A301,'HR Rep'!$A:$X,MATCH('1) For HR (FIX)'!D$1,'HR Rep'!$A$1:$X$1,0),0),""),""))</f>
        <v/>
      </c>
      <c r="E301" s="140" t="str">
        <f>IF(IFERROR(_xlfn.IFNA(VLOOKUP($A301,'HR Rep'!$A:$X,MATCH('1) For HR (FIX)'!E$1,'HR Rep'!$A$1:$X$1,0),0),""),"")="","",IFERROR(_xlfn.IFNA(VLOOKUP($A301,'HR Rep'!$A:$X,MATCH('1) For HR (FIX)'!E$1,'HR Rep'!$A$1:$X$1,0),0),""),""))</f>
        <v/>
      </c>
      <c r="F301" s="140" t="str">
        <f>IF(IFERROR(_xlfn.IFNA(VLOOKUP($A301,'HR Rep'!$A:$X,MATCH('1) For HR (FIX)'!F$1,'HR Rep'!$A$1:$X$1,0),0),""),"")="","",IFERROR(_xlfn.IFNA(VLOOKUP($A301,'HR Rep'!$A:$X,MATCH('1) For HR (FIX)'!F$1,'HR Rep'!$A$1:$X$1,0),0),""),""))</f>
        <v/>
      </c>
      <c r="G301" s="196"/>
      <c r="H301" s="140" t="str">
        <f>IF(IFERROR(_xlfn.IFNA(VLOOKUP($A301,'HR Rep'!$A:$X,MATCH('1) For HR (FIX)'!H$1,'HR Rep'!$A$1:$X$1,0),0),""),"")="","",IFERROR(_xlfn.IFNA(VLOOKUP($A301,'HR Rep'!$A:$X,MATCH('1) For HR (FIX)'!H$1,'HR Rep'!$A$1:$X$1,0),0),""),""))</f>
        <v/>
      </c>
      <c r="I301" s="140" t="str">
        <f>IF(IFERROR(_xlfn.IFNA(VLOOKUP($A301,'HR Rep'!$A:$X,MATCH('1) For HR (FIX)'!I$1,'HR Rep'!$A$1:$X$1,0),0),""),"")="","",IFERROR(_xlfn.IFNA(VLOOKUP($A301,'HR Rep'!$A:$X,MATCH('1) For HR (FIX)'!I$1,'HR Rep'!$A$1:$X$1,0),0),""),""))</f>
        <v/>
      </c>
      <c r="J301" s="140" t="str">
        <f>IF(IFERROR(_xlfn.IFNA(VLOOKUP($A301,'HR Rep'!$A:$X,MATCH('1) For HR (FIX)'!J$1,'HR Rep'!$A$1:$X$1,0),0),""),"")="","",IFERROR(_xlfn.IFNA(VLOOKUP($A301,'HR Rep'!$A:$X,MATCH('1) For HR (FIX)'!J$1,'HR Rep'!$A$1:$X$1,0),0),""),""))</f>
        <v/>
      </c>
      <c r="K301" s="161">
        <f>_xlfn.XLOOKUP(G301,ค่าตอบแทนการขายในอัตราคงที่!A:A,ค่าตอบแทนการขายในอัตราคงที่!B:B)</f>
        <v>0</v>
      </c>
      <c r="L301" s="174">
        <f>Period!$A$2</f>
        <v>46113</v>
      </c>
      <c r="M301" s="175">
        <f>Period!$C$2</f>
        <v>46143</v>
      </c>
      <c r="N301" s="194" t="s">
        <v>279</v>
      </c>
    </row>
    <row r="302" spans="1:14" ht="11.4" x14ac:dyDescent="0.25">
      <c r="A302" s="137"/>
      <c r="B302" s="169" t="e">
        <f>IF(IF(VLOOKUP(A302,ASTBase!F:P,11,FALSE)="","",VLOOKUP(A302,ASTBase!F:P,11,FALSE))=0,"",IF(VLOOKUP(A302,ASTBase!F:P,11,FALSE)="","",VLOOKUP(A302,ASTBase!F:P,11,FALSE)))</f>
        <v>#N/A</v>
      </c>
      <c r="C302" s="140" t="str">
        <f>IF(IFERROR(_xlfn.IFNA(VLOOKUP($A302,'HR Rep'!$A:$X,MATCH('1) For HR (FIX)'!C$1,'HR Rep'!$A$1:$X$1,0),0),""),"")="","",IFERROR(_xlfn.IFNA(VLOOKUP($A302,'HR Rep'!$A:$X,MATCH('1) For HR (FIX)'!C$1,'HR Rep'!$A$1:$X$1,0),0),""),""))</f>
        <v/>
      </c>
      <c r="D302" s="140" t="str">
        <f>IF(IFERROR(_xlfn.IFNA(VLOOKUP($A302,'HR Rep'!$A:$X,MATCH('1) For HR (FIX)'!D$1,'HR Rep'!$A$1:$X$1,0),0),""),"")="","",IFERROR(_xlfn.IFNA(VLOOKUP($A302,'HR Rep'!$A:$X,MATCH('1) For HR (FIX)'!D$1,'HR Rep'!$A$1:$X$1,0),0),""),""))</f>
        <v/>
      </c>
      <c r="E302" s="140" t="str">
        <f>IF(IFERROR(_xlfn.IFNA(VLOOKUP($A302,'HR Rep'!$A:$X,MATCH('1) For HR (FIX)'!E$1,'HR Rep'!$A$1:$X$1,0),0),""),"")="","",IFERROR(_xlfn.IFNA(VLOOKUP($A302,'HR Rep'!$A:$X,MATCH('1) For HR (FIX)'!E$1,'HR Rep'!$A$1:$X$1,0),0),""),""))</f>
        <v/>
      </c>
      <c r="F302" s="140" t="str">
        <f>IF(IFERROR(_xlfn.IFNA(VLOOKUP($A302,'HR Rep'!$A:$X,MATCH('1) For HR (FIX)'!F$1,'HR Rep'!$A$1:$X$1,0),0),""),"")="","",IFERROR(_xlfn.IFNA(VLOOKUP($A302,'HR Rep'!$A:$X,MATCH('1) For HR (FIX)'!F$1,'HR Rep'!$A$1:$X$1,0),0),""),""))</f>
        <v/>
      </c>
      <c r="G302" s="196"/>
      <c r="H302" s="140" t="str">
        <f>IF(IFERROR(_xlfn.IFNA(VLOOKUP($A302,'HR Rep'!$A:$X,MATCH('1) For HR (FIX)'!H$1,'HR Rep'!$A$1:$X$1,0),0),""),"")="","",IFERROR(_xlfn.IFNA(VLOOKUP($A302,'HR Rep'!$A:$X,MATCH('1) For HR (FIX)'!H$1,'HR Rep'!$A$1:$X$1,0),0),""),""))</f>
        <v/>
      </c>
      <c r="I302" s="140" t="str">
        <f>IF(IFERROR(_xlfn.IFNA(VLOOKUP($A302,'HR Rep'!$A:$X,MATCH('1) For HR (FIX)'!I$1,'HR Rep'!$A$1:$X$1,0),0),""),"")="","",IFERROR(_xlfn.IFNA(VLOOKUP($A302,'HR Rep'!$A:$X,MATCH('1) For HR (FIX)'!I$1,'HR Rep'!$A$1:$X$1,0),0),""),""))</f>
        <v/>
      </c>
      <c r="J302" s="140" t="str">
        <f>IF(IFERROR(_xlfn.IFNA(VLOOKUP($A302,'HR Rep'!$A:$X,MATCH('1) For HR (FIX)'!J$1,'HR Rep'!$A$1:$X$1,0),0),""),"")="","",IFERROR(_xlfn.IFNA(VLOOKUP($A302,'HR Rep'!$A:$X,MATCH('1) For HR (FIX)'!J$1,'HR Rep'!$A$1:$X$1,0),0),""),""))</f>
        <v/>
      </c>
      <c r="K302" s="161">
        <f>_xlfn.XLOOKUP(G302,ค่าตอบแทนการขายในอัตราคงที่!A:A,ค่าตอบแทนการขายในอัตราคงที่!B:B)</f>
        <v>0</v>
      </c>
      <c r="L302" s="174">
        <f>Period!$A$2</f>
        <v>46113</v>
      </c>
      <c r="M302" s="175">
        <f>Period!$C$2</f>
        <v>46143</v>
      </c>
      <c r="N302" s="194" t="s">
        <v>279</v>
      </c>
    </row>
    <row r="303" spans="1:14" ht="11.4" x14ac:dyDescent="0.25">
      <c r="A303" s="137"/>
      <c r="B303" s="169" t="e">
        <f>IF(IF(VLOOKUP(A303,ASTBase!F:P,11,FALSE)="","",VLOOKUP(A303,ASTBase!F:P,11,FALSE))=0,"",IF(VLOOKUP(A303,ASTBase!F:P,11,FALSE)="","",VLOOKUP(A303,ASTBase!F:P,11,FALSE)))</f>
        <v>#N/A</v>
      </c>
      <c r="C303" s="140" t="str">
        <f>IF(IFERROR(_xlfn.IFNA(VLOOKUP($A303,'HR Rep'!$A:$X,MATCH('1) For HR (FIX)'!C$1,'HR Rep'!$A$1:$X$1,0),0),""),"")="","",IFERROR(_xlfn.IFNA(VLOOKUP($A303,'HR Rep'!$A:$X,MATCH('1) For HR (FIX)'!C$1,'HR Rep'!$A$1:$X$1,0),0),""),""))</f>
        <v/>
      </c>
      <c r="D303" s="140" t="str">
        <f>IF(IFERROR(_xlfn.IFNA(VLOOKUP($A303,'HR Rep'!$A:$X,MATCH('1) For HR (FIX)'!D$1,'HR Rep'!$A$1:$X$1,0),0),""),"")="","",IFERROR(_xlfn.IFNA(VLOOKUP($A303,'HR Rep'!$A:$X,MATCH('1) For HR (FIX)'!D$1,'HR Rep'!$A$1:$X$1,0),0),""),""))</f>
        <v/>
      </c>
      <c r="E303" s="140" t="str">
        <f>IF(IFERROR(_xlfn.IFNA(VLOOKUP($A303,'HR Rep'!$A:$X,MATCH('1) For HR (FIX)'!E$1,'HR Rep'!$A$1:$X$1,0),0),""),"")="","",IFERROR(_xlfn.IFNA(VLOOKUP($A303,'HR Rep'!$A:$X,MATCH('1) For HR (FIX)'!E$1,'HR Rep'!$A$1:$X$1,0),0),""),""))</f>
        <v/>
      </c>
      <c r="F303" s="140" t="str">
        <f>IF(IFERROR(_xlfn.IFNA(VLOOKUP($A303,'HR Rep'!$A:$X,MATCH('1) For HR (FIX)'!F$1,'HR Rep'!$A$1:$X$1,0),0),""),"")="","",IFERROR(_xlfn.IFNA(VLOOKUP($A303,'HR Rep'!$A:$X,MATCH('1) For HR (FIX)'!F$1,'HR Rep'!$A$1:$X$1,0),0),""),""))</f>
        <v/>
      </c>
      <c r="G303" s="196"/>
      <c r="H303" s="140" t="str">
        <f>IF(IFERROR(_xlfn.IFNA(VLOOKUP($A303,'HR Rep'!$A:$X,MATCH('1) For HR (FIX)'!H$1,'HR Rep'!$A$1:$X$1,0),0),""),"")="","",IFERROR(_xlfn.IFNA(VLOOKUP($A303,'HR Rep'!$A:$X,MATCH('1) For HR (FIX)'!H$1,'HR Rep'!$A$1:$X$1,0),0),""),""))</f>
        <v/>
      </c>
      <c r="I303" s="140" t="str">
        <f>IF(IFERROR(_xlfn.IFNA(VLOOKUP($A303,'HR Rep'!$A:$X,MATCH('1) For HR (FIX)'!I$1,'HR Rep'!$A$1:$X$1,0),0),""),"")="","",IFERROR(_xlfn.IFNA(VLOOKUP($A303,'HR Rep'!$A:$X,MATCH('1) For HR (FIX)'!I$1,'HR Rep'!$A$1:$X$1,0),0),""),""))</f>
        <v/>
      </c>
      <c r="J303" s="140" t="str">
        <f>IF(IFERROR(_xlfn.IFNA(VLOOKUP($A303,'HR Rep'!$A:$X,MATCH('1) For HR (FIX)'!J$1,'HR Rep'!$A$1:$X$1,0),0),""),"")="","",IFERROR(_xlfn.IFNA(VLOOKUP($A303,'HR Rep'!$A:$X,MATCH('1) For HR (FIX)'!J$1,'HR Rep'!$A$1:$X$1,0),0),""),""))</f>
        <v/>
      </c>
      <c r="K303" s="161">
        <f>_xlfn.XLOOKUP(G303,ค่าตอบแทนการขายในอัตราคงที่!A:A,ค่าตอบแทนการขายในอัตราคงที่!B:B)</f>
        <v>0</v>
      </c>
      <c r="L303" s="174">
        <f>Period!$A$2</f>
        <v>46113</v>
      </c>
      <c r="M303" s="175">
        <f>Period!$C$2</f>
        <v>46143</v>
      </c>
      <c r="N303" s="194" t="s">
        <v>279</v>
      </c>
    </row>
    <row r="304" spans="1:14" ht="11.4" x14ac:dyDescent="0.25">
      <c r="A304" s="137"/>
      <c r="B304" s="169" t="e">
        <f>IF(IF(VLOOKUP(A304,ASTBase!F:P,11,FALSE)="","",VLOOKUP(A304,ASTBase!F:P,11,FALSE))=0,"",IF(VLOOKUP(A304,ASTBase!F:P,11,FALSE)="","",VLOOKUP(A304,ASTBase!F:P,11,FALSE)))</f>
        <v>#N/A</v>
      </c>
      <c r="C304" s="140" t="str">
        <f>IF(IFERROR(_xlfn.IFNA(VLOOKUP($A304,'HR Rep'!$A:$X,MATCH('1) For HR (FIX)'!C$1,'HR Rep'!$A$1:$X$1,0),0),""),"")="","",IFERROR(_xlfn.IFNA(VLOOKUP($A304,'HR Rep'!$A:$X,MATCH('1) For HR (FIX)'!C$1,'HR Rep'!$A$1:$X$1,0),0),""),""))</f>
        <v/>
      </c>
      <c r="D304" s="140" t="str">
        <f>IF(IFERROR(_xlfn.IFNA(VLOOKUP($A304,'HR Rep'!$A:$X,MATCH('1) For HR (FIX)'!D$1,'HR Rep'!$A$1:$X$1,0),0),""),"")="","",IFERROR(_xlfn.IFNA(VLOOKUP($A304,'HR Rep'!$A:$X,MATCH('1) For HR (FIX)'!D$1,'HR Rep'!$A$1:$X$1,0),0),""),""))</f>
        <v/>
      </c>
      <c r="E304" s="140" t="str">
        <f>IF(IFERROR(_xlfn.IFNA(VLOOKUP($A304,'HR Rep'!$A:$X,MATCH('1) For HR (FIX)'!E$1,'HR Rep'!$A$1:$X$1,0),0),""),"")="","",IFERROR(_xlfn.IFNA(VLOOKUP($A304,'HR Rep'!$A:$X,MATCH('1) For HR (FIX)'!E$1,'HR Rep'!$A$1:$X$1,0),0),""),""))</f>
        <v/>
      </c>
      <c r="F304" s="140" t="str">
        <f>IF(IFERROR(_xlfn.IFNA(VLOOKUP($A304,'HR Rep'!$A:$X,MATCH('1) For HR (FIX)'!F$1,'HR Rep'!$A$1:$X$1,0),0),""),"")="","",IFERROR(_xlfn.IFNA(VLOOKUP($A304,'HR Rep'!$A:$X,MATCH('1) For HR (FIX)'!F$1,'HR Rep'!$A$1:$X$1,0),0),""),""))</f>
        <v/>
      </c>
      <c r="G304" s="196"/>
      <c r="H304" s="140" t="str">
        <f>IF(IFERROR(_xlfn.IFNA(VLOOKUP($A304,'HR Rep'!$A:$X,MATCH('1) For HR (FIX)'!H$1,'HR Rep'!$A$1:$X$1,0),0),""),"")="","",IFERROR(_xlfn.IFNA(VLOOKUP($A304,'HR Rep'!$A:$X,MATCH('1) For HR (FIX)'!H$1,'HR Rep'!$A$1:$X$1,0),0),""),""))</f>
        <v/>
      </c>
      <c r="I304" s="140" t="str">
        <f>IF(IFERROR(_xlfn.IFNA(VLOOKUP($A304,'HR Rep'!$A:$X,MATCH('1) For HR (FIX)'!I$1,'HR Rep'!$A$1:$X$1,0),0),""),"")="","",IFERROR(_xlfn.IFNA(VLOOKUP($A304,'HR Rep'!$A:$X,MATCH('1) For HR (FIX)'!I$1,'HR Rep'!$A$1:$X$1,0),0),""),""))</f>
        <v/>
      </c>
      <c r="J304" s="140" t="str">
        <f>IF(IFERROR(_xlfn.IFNA(VLOOKUP($A304,'HR Rep'!$A:$X,MATCH('1) For HR (FIX)'!J$1,'HR Rep'!$A$1:$X$1,0),0),""),"")="","",IFERROR(_xlfn.IFNA(VLOOKUP($A304,'HR Rep'!$A:$X,MATCH('1) For HR (FIX)'!J$1,'HR Rep'!$A$1:$X$1,0),0),""),""))</f>
        <v/>
      </c>
      <c r="K304" s="161">
        <f>_xlfn.XLOOKUP(G304,ค่าตอบแทนการขายในอัตราคงที่!A:A,ค่าตอบแทนการขายในอัตราคงที่!B:B)</f>
        <v>0</v>
      </c>
      <c r="L304" s="174">
        <f>Period!$A$2</f>
        <v>46113</v>
      </c>
      <c r="M304" s="175">
        <f>Period!$C$2</f>
        <v>46143</v>
      </c>
      <c r="N304" s="194" t="s">
        <v>279</v>
      </c>
    </row>
    <row r="305" spans="1:14" ht="11.4" x14ac:dyDescent="0.25">
      <c r="A305" s="137"/>
      <c r="B305" s="169" t="e">
        <f>IF(IF(VLOOKUP(A305,ASTBase!F:P,11,FALSE)="","",VLOOKUP(A305,ASTBase!F:P,11,FALSE))=0,"",IF(VLOOKUP(A305,ASTBase!F:P,11,FALSE)="","",VLOOKUP(A305,ASTBase!F:P,11,FALSE)))</f>
        <v>#N/A</v>
      </c>
      <c r="C305" s="140" t="str">
        <f>IF(IFERROR(_xlfn.IFNA(VLOOKUP($A305,'HR Rep'!$A:$X,MATCH('1) For HR (FIX)'!C$1,'HR Rep'!$A$1:$X$1,0),0),""),"")="","",IFERROR(_xlfn.IFNA(VLOOKUP($A305,'HR Rep'!$A:$X,MATCH('1) For HR (FIX)'!C$1,'HR Rep'!$A$1:$X$1,0),0),""),""))</f>
        <v/>
      </c>
      <c r="D305" s="140" t="str">
        <f>IF(IFERROR(_xlfn.IFNA(VLOOKUP($A305,'HR Rep'!$A:$X,MATCH('1) For HR (FIX)'!D$1,'HR Rep'!$A$1:$X$1,0),0),""),"")="","",IFERROR(_xlfn.IFNA(VLOOKUP($A305,'HR Rep'!$A:$X,MATCH('1) For HR (FIX)'!D$1,'HR Rep'!$A$1:$X$1,0),0),""),""))</f>
        <v/>
      </c>
      <c r="E305" s="140" t="str">
        <f>IF(IFERROR(_xlfn.IFNA(VLOOKUP($A305,'HR Rep'!$A:$X,MATCH('1) For HR (FIX)'!E$1,'HR Rep'!$A$1:$X$1,0),0),""),"")="","",IFERROR(_xlfn.IFNA(VLOOKUP($A305,'HR Rep'!$A:$X,MATCH('1) For HR (FIX)'!E$1,'HR Rep'!$A$1:$X$1,0),0),""),""))</f>
        <v/>
      </c>
      <c r="F305" s="140" t="str">
        <f>IF(IFERROR(_xlfn.IFNA(VLOOKUP($A305,'HR Rep'!$A:$X,MATCH('1) For HR (FIX)'!F$1,'HR Rep'!$A$1:$X$1,0),0),""),"")="","",IFERROR(_xlfn.IFNA(VLOOKUP($A305,'HR Rep'!$A:$X,MATCH('1) For HR (FIX)'!F$1,'HR Rep'!$A$1:$X$1,0),0),""),""))</f>
        <v/>
      </c>
      <c r="G305" s="196"/>
      <c r="H305" s="140" t="str">
        <f>IF(IFERROR(_xlfn.IFNA(VLOOKUP($A305,'HR Rep'!$A:$X,MATCH('1) For HR (FIX)'!H$1,'HR Rep'!$A$1:$X$1,0),0),""),"")="","",IFERROR(_xlfn.IFNA(VLOOKUP($A305,'HR Rep'!$A:$X,MATCH('1) For HR (FIX)'!H$1,'HR Rep'!$A$1:$X$1,0),0),""),""))</f>
        <v/>
      </c>
      <c r="I305" s="140" t="str">
        <f>IF(IFERROR(_xlfn.IFNA(VLOOKUP($A305,'HR Rep'!$A:$X,MATCH('1) For HR (FIX)'!I$1,'HR Rep'!$A$1:$X$1,0),0),""),"")="","",IFERROR(_xlfn.IFNA(VLOOKUP($A305,'HR Rep'!$A:$X,MATCH('1) For HR (FIX)'!I$1,'HR Rep'!$A$1:$X$1,0),0),""),""))</f>
        <v/>
      </c>
      <c r="J305" s="140" t="str">
        <f>IF(IFERROR(_xlfn.IFNA(VLOOKUP($A305,'HR Rep'!$A:$X,MATCH('1) For HR (FIX)'!J$1,'HR Rep'!$A$1:$X$1,0),0),""),"")="","",IFERROR(_xlfn.IFNA(VLOOKUP($A305,'HR Rep'!$A:$X,MATCH('1) For HR (FIX)'!J$1,'HR Rep'!$A$1:$X$1,0),0),""),""))</f>
        <v/>
      </c>
      <c r="K305" s="161">
        <f>_xlfn.XLOOKUP(G305,ค่าตอบแทนการขายในอัตราคงที่!A:A,ค่าตอบแทนการขายในอัตราคงที่!B:B)</f>
        <v>0</v>
      </c>
      <c r="L305" s="174">
        <f>Period!$A$2</f>
        <v>46113</v>
      </c>
      <c r="M305" s="175">
        <f>Period!$C$2</f>
        <v>46143</v>
      </c>
      <c r="N305" s="194" t="s">
        <v>279</v>
      </c>
    </row>
    <row r="306" spans="1:14" ht="11.4" x14ac:dyDescent="0.25">
      <c r="A306" s="137"/>
      <c r="B306" s="169" t="e">
        <f>IF(IF(VLOOKUP(A306,ASTBase!F:P,11,FALSE)="","",VLOOKUP(A306,ASTBase!F:P,11,FALSE))=0,"",IF(VLOOKUP(A306,ASTBase!F:P,11,FALSE)="","",VLOOKUP(A306,ASTBase!F:P,11,FALSE)))</f>
        <v>#N/A</v>
      </c>
      <c r="C306" s="140" t="str">
        <f>IF(IFERROR(_xlfn.IFNA(VLOOKUP($A306,'HR Rep'!$A:$X,MATCH('1) For HR (FIX)'!C$1,'HR Rep'!$A$1:$X$1,0),0),""),"")="","",IFERROR(_xlfn.IFNA(VLOOKUP($A306,'HR Rep'!$A:$X,MATCH('1) For HR (FIX)'!C$1,'HR Rep'!$A$1:$X$1,0),0),""),""))</f>
        <v/>
      </c>
      <c r="D306" s="140" t="str">
        <f>IF(IFERROR(_xlfn.IFNA(VLOOKUP($A306,'HR Rep'!$A:$X,MATCH('1) For HR (FIX)'!D$1,'HR Rep'!$A$1:$X$1,0),0),""),"")="","",IFERROR(_xlfn.IFNA(VLOOKUP($A306,'HR Rep'!$A:$X,MATCH('1) For HR (FIX)'!D$1,'HR Rep'!$A$1:$X$1,0),0),""),""))</f>
        <v/>
      </c>
      <c r="E306" s="140" t="str">
        <f>IF(IFERROR(_xlfn.IFNA(VLOOKUP($A306,'HR Rep'!$A:$X,MATCH('1) For HR (FIX)'!E$1,'HR Rep'!$A$1:$X$1,0),0),""),"")="","",IFERROR(_xlfn.IFNA(VLOOKUP($A306,'HR Rep'!$A:$X,MATCH('1) For HR (FIX)'!E$1,'HR Rep'!$A$1:$X$1,0),0),""),""))</f>
        <v/>
      </c>
      <c r="F306" s="140" t="str">
        <f>IF(IFERROR(_xlfn.IFNA(VLOOKUP($A306,'HR Rep'!$A:$X,MATCH('1) For HR (FIX)'!F$1,'HR Rep'!$A$1:$X$1,0),0),""),"")="","",IFERROR(_xlfn.IFNA(VLOOKUP($A306,'HR Rep'!$A:$X,MATCH('1) For HR (FIX)'!F$1,'HR Rep'!$A$1:$X$1,0),0),""),""))</f>
        <v/>
      </c>
      <c r="G306" s="196"/>
      <c r="H306" s="140" t="str">
        <f>IF(IFERROR(_xlfn.IFNA(VLOOKUP($A306,'HR Rep'!$A:$X,MATCH('1) For HR (FIX)'!H$1,'HR Rep'!$A$1:$X$1,0),0),""),"")="","",IFERROR(_xlfn.IFNA(VLOOKUP($A306,'HR Rep'!$A:$X,MATCH('1) For HR (FIX)'!H$1,'HR Rep'!$A$1:$X$1,0),0),""),""))</f>
        <v/>
      </c>
      <c r="I306" s="140" t="str">
        <f>IF(IFERROR(_xlfn.IFNA(VLOOKUP($A306,'HR Rep'!$A:$X,MATCH('1) For HR (FIX)'!I$1,'HR Rep'!$A$1:$X$1,0),0),""),"")="","",IFERROR(_xlfn.IFNA(VLOOKUP($A306,'HR Rep'!$A:$X,MATCH('1) For HR (FIX)'!I$1,'HR Rep'!$A$1:$X$1,0),0),""),""))</f>
        <v/>
      </c>
      <c r="J306" s="140" t="str">
        <f>IF(IFERROR(_xlfn.IFNA(VLOOKUP($A306,'HR Rep'!$A:$X,MATCH('1) For HR (FIX)'!J$1,'HR Rep'!$A$1:$X$1,0),0),""),"")="","",IFERROR(_xlfn.IFNA(VLOOKUP($A306,'HR Rep'!$A:$X,MATCH('1) For HR (FIX)'!J$1,'HR Rep'!$A$1:$X$1,0),0),""),""))</f>
        <v/>
      </c>
      <c r="K306" s="161">
        <f>_xlfn.XLOOKUP(G306,ค่าตอบแทนการขายในอัตราคงที่!A:A,ค่าตอบแทนการขายในอัตราคงที่!B:B)</f>
        <v>0</v>
      </c>
      <c r="L306" s="174">
        <f>Period!$A$2</f>
        <v>46113</v>
      </c>
      <c r="M306" s="175">
        <f>Period!$C$2</f>
        <v>46143</v>
      </c>
      <c r="N306" s="194" t="s">
        <v>279</v>
      </c>
    </row>
    <row r="307" spans="1:14" ht="11.4" x14ac:dyDescent="0.25">
      <c r="A307" s="137"/>
      <c r="B307" s="169" t="e">
        <f>IF(IF(VLOOKUP(A307,ASTBase!F:P,11,FALSE)="","",VLOOKUP(A307,ASTBase!F:P,11,FALSE))=0,"",IF(VLOOKUP(A307,ASTBase!F:P,11,FALSE)="","",VLOOKUP(A307,ASTBase!F:P,11,FALSE)))</f>
        <v>#N/A</v>
      </c>
      <c r="C307" s="140" t="str">
        <f>IF(IFERROR(_xlfn.IFNA(VLOOKUP($A307,'HR Rep'!$A:$X,MATCH('1) For HR (FIX)'!C$1,'HR Rep'!$A$1:$X$1,0),0),""),"")="","",IFERROR(_xlfn.IFNA(VLOOKUP($A307,'HR Rep'!$A:$X,MATCH('1) For HR (FIX)'!C$1,'HR Rep'!$A$1:$X$1,0),0),""),""))</f>
        <v/>
      </c>
      <c r="D307" s="140" t="str">
        <f>IF(IFERROR(_xlfn.IFNA(VLOOKUP($A307,'HR Rep'!$A:$X,MATCH('1) For HR (FIX)'!D$1,'HR Rep'!$A$1:$X$1,0),0),""),"")="","",IFERROR(_xlfn.IFNA(VLOOKUP($A307,'HR Rep'!$A:$X,MATCH('1) For HR (FIX)'!D$1,'HR Rep'!$A$1:$X$1,0),0),""),""))</f>
        <v/>
      </c>
      <c r="E307" s="140" t="str">
        <f>IF(IFERROR(_xlfn.IFNA(VLOOKUP($A307,'HR Rep'!$A:$X,MATCH('1) For HR (FIX)'!E$1,'HR Rep'!$A$1:$X$1,0),0),""),"")="","",IFERROR(_xlfn.IFNA(VLOOKUP($A307,'HR Rep'!$A:$X,MATCH('1) For HR (FIX)'!E$1,'HR Rep'!$A$1:$X$1,0),0),""),""))</f>
        <v/>
      </c>
      <c r="F307" s="140" t="str">
        <f>IF(IFERROR(_xlfn.IFNA(VLOOKUP($A307,'HR Rep'!$A:$X,MATCH('1) For HR (FIX)'!F$1,'HR Rep'!$A$1:$X$1,0),0),""),"")="","",IFERROR(_xlfn.IFNA(VLOOKUP($A307,'HR Rep'!$A:$X,MATCH('1) For HR (FIX)'!F$1,'HR Rep'!$A$1:$X$1,0),0),""),""))</f>
        <v/>
      </c>
      <c r="G307" s="196"/>
      <c r="H307" s="140" t="str">
        <f>IF(IFERROR(_xlfn.IFNA(VLOOKUP($A307,'HR Rep'!$A:$X,MATCH('1) For HR (FIX)'!H$1,'HR Rep'!$A$1:$X$1,0),0),""),"")="","",IFERROR(_xlfn.IFNA(VLOOKUP($A307,'HR Rep'!$A:$X,MATCH('1) For HR (FIX)'!H$1,'HR Rep'!$A$1:$X$1,0),0),""),""))</f>
        <v/>
      </c>
      <c r="I307" s="140" t="str">
        <f>IF(IFERROR(_xlfn.IFNA(VLOOKUP($A307,'HR Rep'!$A:$X,MATCH('1) For HR (FIX)'!I$1,'HR Rep'!$A$1:$X$1,0),0),""),"")="","",IFERROR(_xlfn.IFNA(VLOOKUP($A307,'HR Rep'!$A:$X,MATCH('1) For HR (FIX)'!I$1,'HR Rep'!$A$1:$X$1,0),0),""),""))</f>
        <v/>
      </c>
      <c r="J307" s="140" t="str">
        <f>IF(IFERROR(_xlfn.IFNA(VLOOKUP($A307,'HR Rep'!$A:$X,MATCH('1) For HR (FIX)'!J$1,'HR Rep'!$A$1:$X$1,0),0),""),"")="","",IFERROR(_xlfn.IFNA(VLOOKUP($A307,'HR Rep'!$A:$X,MATCH('1) For HR (FIX)'!J$1,'HR Rep'!$A$1:$X$1,0),0),""),""))</f>
        <v/>
      </c>
      <c r="K307" s="161">
        <f>_xlfn.XLOOKUP(G307,ค่าตอบแทนการขายในอัตราคงที่!A:A,ค่าตอบแทนการขายในอัตราคงที่!B:B)</f>
        <v>0</v>
      </c>
      <c r="L307" s="174">
        <f>Period!$A$2</f>
        <v>46113</v>
      </c>
      <c r="M307" s="175">
        <f>Period!$C$2</f>
        <v>46143</v>
      </c>
      <c r="N307" s="194" t="s">
        <v>279</v>
      </c>
    </row>
    <row r="308" spans="1:14" ht="11.4" x14ac:dyDescent="0.25">
      <c r="A308" s="137"/>
      <c r="B308" s="169" t="e">
        <f>IF(IF(VLOOKUP(A308,ASTBase!F:P,11,FALSE)="","",VLOOKUP(A308,ASTBase!F:P,11,FALSE))=0,"",IF(VLOOKUP(A308,ASTBase!F:P,11,FALSE)="","",VLOOKUP(A308,ASTBase!F:P,11,FALSE)))</f>
        <v>#N/A</v>
      </c>
      <c r="C308" s="140" t="str">
        <f>IF(IFERROR(_xlfn.IFNA(VLOOKUP($A308,'HR Rep'!$A:$X,MATCH('1) For HR (FIX)'!C$1,'HR Rep'!$A$1:$X$1,0),0),""),"")="","",IFERROR(_xlfn.IFNA(VLOOKUP($A308,'HR Rep'!$A:$X,MATCH('1) For HR (FIX)'!C$1,'HR Rep'!$A$1:$X$1,0),0),""),""))</f>
        <v/>
      </c>
      <c r="D308" s="140" t="str">
        <f>IF(IFERROR(_xlfn.IFNA(VLOOKUP($A308,'HR Rep'!$A:$X,MATCH('1) For HR (FIX)'!D$1,'HR Rep'!$A$1:$X$1,0),0),""),"")="","",IFERROR(_xlfn.IFNA(VLOOKUP($A308,'HR Rep'!$A:$X,MATCH('1) For HR (FIX)'!D$1,'HR Rep'!$A$1:$X$1,0),0),""),""))</f>
        <v/>
      </c>
      <c r="E308" s="140" t="str">
        <f>IF(IFERROR(_xlfn.IFNA(VLOOKUP($A308,'HR Rep'!$A:$X,MATCH('1) For HR (FIX)'!E$1,'HR Rep'!$A$1:$X$1,0),0),""),"")="","",IFERROR(_xlfn.IFNA(VLOOKUP($A308,'HR Rep'!$A:$X,MATCH('1) For HR (FIX)'!E$1,'HR Rep'!$A$1:$X$1,0),0),""),""))</f>
        <v/>
      </c>
      <c r="F308" s="140" t="str">
        <f>IF(IFERROR(_xlfn.IFNA(VLOOKUP($A308,'HR Rep'!$A:$X,MATCH('1) For HR (FIX)'!F$1,'HR Rep'!$A$1:$X$1,0),0),""),"")="","",IFERROR(_xlfn.IFNA(VLOOKUP($A308,'HR Rep'!$A:$X,MATCH('1) For HR (FIX)'!F$1,'HR Rep'!$A$1:$X$1,0),0),""),""))</f>
        <v/>
      </c>
      <c r="G308" s="196"/>
      <c r="H308" s="140" t="str">
        <f>IF(IFERROR(_xlfn.IFNA(VLOOKUP($A308,'HR Rep'!$A:$X,MATCH('1) For HR (FIX)'!H$1,'HR Rep'!$A$1:$X$1,0),0),""),"")="","",IFERROR(_xlfn.IFNA(VLOOKUP($A308,'HR Rep'!$A:$X,MATCH('1) For HR (FIX)'!H$1,'HR Rep'!$A$1:$X$1,0),0),""),""))</f>
        <v/>
      </c>
      <c r="I308" s="140" t="str">
        <f>IF(IFERROR(_xlfn.IFNA(VLOOKUP($A308,'HR Rep'!$A:$X,MATCH('1) For HR (FIX)'!I$1,'HR Rep'!$A$1:$X$1,0),0),""),"")="","",IFERROR(_xlfn.IFNA(VLOOKUP($A308,'HR Rep'!$A:$X,MATCH('1) For HR (FIX)'!I$1,'HR Rep'!$A$1:$X$1,0),0),""),""))</f>
        <v/>
      </c>
      <c r="J308" s="140" t="str">
        <f>IF(IFERROR(_xlfn.IFNA(VLOOKUP($A308,'HR Rep'!$A:$X,MATCH('1) For HR (FIX)'!J$1,'HR Rep'!$A$1:$X$1,0),0),""),"")="","",IFERROR(_xlfn.IFNA(VLOOKUP($A308,'HR Rep'!$A:$X,MATCH('1) For HR (FIX)'!J$1,'HR Rep'!$A$1:$X$1,0),0),""),""))</f>
        <v/>
      </c>
      <c r="K308" s="161">
        <f>_xlfn.XLOOKUP(G308,ค่าตอบแทนการขายในอัตราคงที่!A:A,ค่าตอบแทนการขายในอัตราคงที่!B:B)</f>
        <v>0</v>
      </c>
      <c r="L308" s="174">
        <f>Period!$A$2</f>
        <v>46113</v>
      </c>
      <c r="M308" s="175">
        <f>Period!$C$2</f>
        <v>46143</v>
      </c>
      <c r="N308" s="194" t="s">
        <v>279</v>
      </c>
    </row>
    <row r="309" spans="1:14" ht="11.4" x14ac:dyDescent="0.25">
      <c r="A309" s="137"/>
      <c r="B309" s="169" t="e">
        <f>IF(IF(VLOOKUP(A309,ASTBase!F:P,11,FALSE)="","",VLOOKUP(A309,ASTBase!F:P,11,FALSE))=0,"",IF(VLOOKUP(A309,ASTBase!F:P,11,FALSE)="","",VLOOKUP(A309,ASTBase!F:P,11,FALSE)))</f>
        <v>#N/A</v>
      </c>
      <c r="C309" s="140" t="str">
        <f>IF(IFERROR(_xlfn.IFNA(VLOOKUP($A309,'HR Rep'!$A:$X,MATCH('1) For HR (FIX)'!C$1,'HR Rep'!$A$1:$X$1,0),0),""),"")="","",IFERROR(_xlfn.IFNA(VLOOKUP($A309,'HR Rep'!$A:$X,MATCH('1) For HR (FIX)'!C$1,'HR Rep'!$A$1:$X$1,0),0),""),""))</f>
        <v/>
      </c>
      <c r="D309" s="140" t="str">
        <f>IF(IFERROR(_xlfn.IFNA(VLOOKUP($A309,'HR Rep'!$A:$X,MATCH('1) For HR (FIX)'!D$1,'HR Rep'!$A$1:$X$1,0),0),""),"")="","",IFERROR(_xlfn.IFNA(VLOOKUP($A309,'HR Rep'!$A:$X,MATCH('1) For HR (FIX)'!D$1,'HR Rep'!$A$1:$X$1,0),0),""),""))</f>
        <v/>
      </c>
      <c r="E309" s="140" t="str">
        <f>IF(IFERROR(_xlfn.IFNA(VLOOKUP($A309,'HR Rep'!$A:$X,MATCH('1) For HR (FIX)'!E$1,'HR Rep'!$A$1:$X$1,0),0),""),"")="","",IFERROR(_xlfn.IFNA(VLOOKUP($A309,'HR Rep'!$A:$X,MATCH('1) For HR (FIX)'!E$1,'HR Rep'!$A$1:$X$1,0),0),""),""))</f>
        <v/>
      </c>
      <c r="F309" s="140" t="str">
        <f>IF(IFERROR(_xlfn.IFNA(VLOOKUP($A309,'HR Rep'!$A:$X,MATCH('1) For HR (FIX)'!F$1,'HR Rep'!$A$1:$X$1,0),0),""),"")="","",IFERROR(_xlfn.IFNA(VLOOKUP($A309,'HR Rep'!$A:$X,MATCH('1) For HR (FIX)'!F$1,'HR Rep'!$A$1:$X$1,0),0),""),""))</f>
        <v/>
      </c>
      <c r="G309" s="196"/>
      <c r="H309" s="140" t="str">
        <f>IF(IFERROR(_xlfn.IFNA(VLOOKUP($A309,'HR Rep'!$A:$X,MATCH('1) For HR (FIX)'!H$1,'HR Rep'!$A$1:$X$1,0),0),""),"")="","",IFERROR(_xlfn.IFNA(VLOOKUP($A309,'HR Rep'!$A:$X,MATCH('1) For HR (FIX)'!H$1,'HR Rep'!$A$1:$X$1,0),0),""),""))</f>
        <v/>
      </c>
      <c r="I309" s="140" t="str">
        <f>IF(IFERROR(_xlfn.IFNA(VLOOKUP($A309,'HR Rep'!$A:$X,MATCH('1) For HR (FIX)'!I$1,'HR Rep'!$A$1:$X$1,0),0),""),"")="","",IFERROR(_xlfn.IFNA(VLOOKUP($A309,'HR Rep'!$A:$X,MATCH('1) For HR (FIX)'!I$1,'HR Rep'!$A$1:$X$1,0),0),""),""))</f>
        <v/>
      </c>
      <c r="J309" s="140" t="str">
        <f>IF(IFERROR(_xlfn.IFNA(VLOOKUP($A309,'HR Rep'!$A:$X,MATCH('1) For HR (FIX)'!J$1,'HR Rep'!$A$1:$X$1,0),0),""),"")="","",IFERROR(_xlfn.IFNA(VLOOKUP($A309,'HR Rep'!$A:$X,MATCH('1) For HR (FIX)'!J$1,'HR Rep'!$A$1:$X$1,0),0),""),""))</f>
        <v/>
      </c>
      <c r="K309" s="161">
        <f>_xlfn.XLOOKUP(G309,ค่าตอบแทนการขายในอัตราคงที่!A:A,ค่าตอบแทนการขายในอัตราคงที่!B:B)</f>
        <v>0</v>
      </c>
      <c r="L309" s="174">
        <f>Period!$A$2</f>
        <v>46113</v>
      </c>
      <c r="M309" s="175">
        <f>Period!$C$2</f>
        <v>46143</v>
      </c>
      <c r="N309" s="194" t="s">
        <v>279</v>
      </c>
    </row>
    <row r="310" spans="1:14" ht="11.4" x14ac:dyDescent="0.25">
      <c r="A310" s="138"/>
      <c r="B310" s="169" t="e">
        <f>IF(IF(VLOOKUP(A310,ASTBase!F:P,11,FALSE)="","",VLOOKUP(A310,ASTBase!F:P,11,FALSE))=0,"",IF(VLOOKUP(A310,ASTBase!F:P,11,FALSE)="","",VLOOKUP(A310,ASTBase!F:P,11,FALSE)))</f>
        <v>#N/A</v>
      </c>
      <c r="C310" s="140" t="str">
        <f>IF(IFERROR(_xlfn.IFNA(VLOOKUP($A310,'HR Rep'!$A:$X,MATCH('1) For HR (FIX)'!C$1,'HR Rep'!$A$1:$X$1,0),0),""),"")="","",IFERROR(_xlfn.IFNA(VLOOKUP($A310,'HR Rep'!$A:$X,MATCH('1) For HR (FIX)'!C$1,'HR Rep'!$A$1:$X$1,0),0),""),""))</f>
        <v/>
      </c>
      <c r="D310" s="140" t="str">
        <f>IF(IFERROR(_xlfn.IFNA(VLOOKUP($A310,'HR Rep'!$A:$X,MATCH('1) For HR (FIX)'!D$1,'HR Rep'!$A$1:$X$1,0),0),""),"")="","",IFERROR(_xlfn.IFNA(VLOOKUP($A310,'HR Rep'!$A:$X,MATCH('1) For HR (FIX)'!D$1,'HR Rep'!$A$1:$X$1,0),0),""),""))</f>
        <v/>
      </c>
      <c r="E310" s="140" t="str">
        <f>IF(IFERROR(_xlfn.IFNA(VLOOKUP($A310,'HR Rep'!$A:$X,MATCH('1) For HR (FIX)'!E$1,'HR Rep'!$A$1:$X$1,0),0),""),"")="","",IFERROR(_xlfn.IFNA(VLOOKUP($A310,'HR Rep'!$A:$X,MATCH('1) For HR (FIX)'!E$1,'HR Rep'!$A$1:$X$1,0),0),""),""))</f>
        <v/>
      </c>
      <c r="F310" s="140" t="str">
        <f>IF(IFERROR(_xlfn.IFNA(VLOOKUP($A310,'HR Rep'!$A:$X,MATCH('1) For HR (FIX)'!F$1,'HR Rep'!$A$1:$X$1,0),0),""),"")="","",IFERROR(_xlfn.IFNA(VLOOKUP($A310,'HR Rep'!$A:$X,MATCH('1) For HR (FIX)'!F$1,'HR Rep'!$A$1:$X$1,0),0),""),""))</f>
        <v/>
      </c>
      <c r="G310" s="196"/>
      <c r="H310" s="140" t="str">
        <f>IF(IFERROR(_xlfn.IFNA(VLOOKUP($A310,'HR Rep'!$A:$X,MATCH('1) For HR (FIX)'!H$1,'HR Rep'!$A$1:$X$1,0),0),""),"")="","",IFERROR(_xlfn.IFNA(VLOOKUP($A310,'HR Rep'!$A:$X,MATCH('1) For HR (FIX)'!H$1,'HR Rep'!$A$1:$X$1,0),0),""),""))</f>
        <v/>
      </c>
      <c r="I310" s="140" t="str">
        <f>IF(IFERROR(_xlfn.IFNA(VLOOKUP($A310,'HR Rep'!$A:$X,MATCH('1) For HR (FIX)'!I$1,'HR Rep'!$A$1:$X$1,0),0),""),"")="","",IFERROR(_xlfn.IFNA(VLOOKUP($A310,'HR Rep'!$A:$X,MATCH('1) For HR (FIX)'!I$1,'HR Rep'!$A$1:$X$1,0),0),""),""))</f>
        <v/>
      </c>
      <c r="J310" s="140" t="str">
        <f>IF(IFERROR(_xlfn.IFNA(VLOOKUP($A310,'HR Rep'!$A:$X,MATCH('1) For HR (FIX)'!J$1,'HR Rep'!$A$1:$X$1,0),0),""),"")="","",IFERROR(_xlfn.IFNA(VLOOKUP($A310,'HR Rep'!$A:$X,MATCH('1) For HR (FIX)'!J$1,'HR Rep'!$A$1:$X$1,0),0),""),""))</f>
        <v/>
      </c>
      <c r="K310" s="161">
        <f>_xlfn.XLOOKUP(G310,ค่าตอบแทนการขายในอัตราคงที่!A:A,ค่าตอบแทนการขายในอัตราคงที่!B:B)</f>
        <v>0</v>
      </c>
      <c r="L310" s="174">
        <f>Period!$A$2</f>
        <v>46113</v>
      </c>
      <c r="M310" s="175">
        <f>Period!$C$2</f>
        <v>46143</v>
      </c>
      <c r="N310" s="194" t="s">
        <v>279</v>
      </c>
    </row>
    <row r="311" spans="1:14" ht="11.4" x14ac:dyDescent="0.25">
      <c r="A311" s="138"/>
      <c r="B311" s="169" t="e">
        <f>IF(IF(VLOOKUP(A311,ASTBase!F:P,11,FALSE)="","",VLOOKUP(A311,ASTBase!F:P,11,FALSE))=0,"",IF(VLOOKUP(A311,ASTBase!F:P,11,FALSE)="","",VLOOKUP(A311,ASTBase!F:P,11,FALSE)))</f>
        <v>#N/A</v>
      </c>
      <c r="C311" s="140" t="str">
        <f>IF(IFERROR(_xlfn.IFNA(VLOOKUP($A311,'HR Rep'!$A:$X,MATCH('1) For HR (FIX)'!C$1,'HR Rep'!$A$1:$X$1,0),0),""),"")="","",IFERROR(_xlfn.IFNA(VLOOKUP($A311,'HR Rep'!$A:$X,MATCH('1) For HR (FIX)'!C$1,'HR Rep'!$A$1:$X$1,0),0),""),""))</f>
        <v/>
      </c>
      <c r="D311" s="140" t="str">
        <f>IF(IFERROR(_xlfn.IFNA(VLOOKUP($A311,'HR Rep'!$A:$X,MATCH('1) For HR (FIX)'!D$1,'HR Rep'!$A$1:$X$1,0),0),""),"")="","",IFERROR(_xlfn.IFNA(VLOOKUP($A311,'HR Rep'!$A:$X,MATCH('1) For HR (FIX)'!D$1,'HR Rep'!$A$1:$X$1,0),0),""),""))</f>
        <v/>
      </c>
      <c r="E311" s="140" t="str">
        <f>IF(IFERROR(_xlfn.IFNA(VLOOKUP($A311,'HR Rep'!$A:$X,MATCH('1) For HR (FIX)'!E$1,'HR Rep'!$A$1:$X$1,0),0),""),"")="","",IFERROR(_xlfn.IFNA(VLOOKUP($A311,'HR Rep'!$A:$X,MATCH('1) For HR (FIX)'!E$1,'HR Rep'!$A$1:$X$1,0),0),""),""))</f>
        <v/>
      </c>
      <c r="F311" s="140" t="str">
        <f>IF(IFERROR(_xlfn.IFNA(VLOOKUP($A311,'HR Rep'!$A:$X,MATCH('1) For HR (FIX)'!F$1,'HR Rep'!$A$1:$X$1,0),0),""),"")="","",IFERROR(_xlfn.IFNA(VLOOKUP($A311,'HR Rep'!$A:$X,MATCH('1) For HR (FIX)'!F$1,'HR Rep'!$A$1:$X$1,0),0),""),""))</f>
        <v/>
      </c>
      <c r="G311" s="196"/>
      <c r="H311" s="140" t="str">
        <f>IF(IFERROR(_xlfn.IFNA(VLOOKUP($A311,'HR Rep'!$A:$X,MATCH('1) For HR (FIX)'!H$1,'HR Rep'!$A$1:$X$1,0),0),""),"")="","",IFERROR(_xlfn.IFNA(VLOOKUP($A311,'HR Rep'!$A:$X,MATCH('1) For HR (FIX)'!H$1,'HR Rep'!$A$1:$X$1,0),0),""),""))</f>
        <v/>
      </c>
      <c r="I311" s="140" t="str">
        <f>IF(IFERROR(_xlfn.IFNA(VLOOKUP($A311,'HR Rep'!$A:$X,MATCH('1) For HR (FIX)'!I$1,'HR Rep'!$A$1:$X$1,0),0),""),"")="","",IFERROR(_xlfn.IFNA(VLOOKUP($A311,'HR Rep'!$A:$X,MATCH('1) For HR (FIX)'!I$1,'HR Rep'!$A$1:$X$1,0),0),""),""))</f>
        <v/>
      </c>
      <c r="J311" s="140" t="str">
        <f>IF(IFERROR(_xlfn.IFNA(VLOOKUP($A311,'HR Rep'!$A:$X,MATCH('1) For HR (FIX)'!J$1,'HR Rep'!$A$1:$X$1,0),0),""),"")="","",IFERROR(_xlfn.IFNA(VLOOKUP($A311,'HR Rep'!$A:$X,MATCH('1) For HR (FIX)'!J$1,'HR Rep'!$A$1:$X$1,0),0),""),""))</f>
        <v/>
      </c>
      <c r="K311" s="161">
        <f>_xlfn.XLOOKUP(G311,ค่าตอบแทนการขายในอัตราคงที่!A:A,ค่าตอบแทนการขายในอัตราคงที่!B:B)</f>
        <v>0</v>
      </c>
      <c r="L311" s="174">
        <f>Period!$A$2</f>
        <v>46113</v>
      </c>
      <c r="M311" s="175">
        <f>Period!$C$2</f>
        <v>46143</v>
      </c>
      <c r="N311" s="194" t="s">
        <v>279</v>
      </c>
    </row>
    <row r="312" spans="1:14" ht="11.4" x14ac:dyDescent="0.25">
      <c r="A312" s="138"/>
      <c r="B312" s="169" t="e">
        <f>IF(IF(VLOOKUP(A312,ASTBase!F:P,11,FALSE)="","",VLOOKUP(A312,ASTBase!F:P,11,FALSE))=0,"",IF(VLOOKUP(A312,ASTBase!F:P,11,FALSE)="","",VLOOKUP(A312,ASTBase!F:P,11,FALSE)))</f>
        <v>#N/A</v>
      </c>
      <c r="C312" s="140" t="str">
        <f>IF(IFERROR(_xlfn.IFNA(VLOOKUP($A312,'HR Rep'!$A:$X,MATCH('1) For HR (FIX)'!C$1,'HR Rep'!$A$1:$X$1,0),0),""),"")="","",IFERROR(_xlfn.IFNA(VLOOKUP($A312,'HR Rep'!$A:$X,MATCH('1) For HR (FIX)'!C$1,'HR Rep'!$A$1:$X$1,0),0),""),""))</f>
        <v/>
      </c>
      <c r="D312" s="140" t="str">
        <f>IF(IFERROR(_xlfn.IFNA(VLOOKUP($A312,'HR Rep'!$A:$X,MATCH('1) For HR (FIX)'!D$1,'HR Rep'!$A$1:$X$1,0),0),""),"")="","",IFERROR(_xlfn.IFNA(VLOOKUP($A312,'HR Rep'!$A:$X,MATCH('1) For HR (FIX)'!D$1,'HR Rep'!$A$1:$X$1,0),0),""),""))</f>
        <v/>
      </c>
      <c r="E312" s="140" t="str">
        <f>IF(IFERROR(_xlfn.IFNA(VLOOKUP($A312,'HR Rep'!$A:$X,MATCH('1) For HR (FIX)'!E$1,'HR Rep'!$A$1:$X$1,0),0),""),"")="","",IFERROR(_xlfn.IFNA(VLOOKUP($A312,'HR Rep'!$A:$X,MATCH('1) For HR (FIX)'!E$1,'HR Rep'!$A$1:$X$1,0),0),""),""))</f>
        <v/>
      </c>
      <c r="F312" s="140" t="str">
        <f>IF(IFERROR(_xlfn.IFNA(VLOOKUP($A312,'HR Rep'!$A:$X,MATCH('1) For HR (FIX)'!F$1,'HR Rep'!$A$1:$X$1,0),0),""),"")="","",IFERROR(_xlfn.IFNA(VLOOKUP($A312,'HR Rep'!$A:$X,MATCH('1) For HR (FIX)'!F$1,'HR Rep'!$A$1:$X$1,0),0),""),""))</f>
        <v/>
      </c>
      <c r="G312" s="196"/>
      <c r="H312" s="140" t="str">
        <f>IF(IFERROR(_xlfn.IFNA(VLOOKUP($A312,'HR Rep'!$A:$X,MATCH('1) For HR (FIX)'!H$1,'HR Rep'!$A$1:$X$1,0),0),""),"")="","",IFERROR(_xlfn.IFNA(VLOOKUP($A312,'HR Rep'!$A:$X,MATCH('1) For HR (FIX)'!H$1,'HR Rep'!$A$1:$X$1,0),0),""),""))</f>
        <v/>
      </c>
      <c r="I312" s="140" t="str">
        <f>IF(IFERROR(_xlfn.IFNA(VLOOKUP($A312,'HR Rep'!$A:$X,MATCH('1) For HR (FIX)'!I$1,'HR Rep'!$A$1:$X$1,0),0),""),"")="","",IFERROR(_xlfn.IFNA(VLOOKUP($A312,'HR Rep'!$A:$X,MATCH('1) For HR (FIX)'!I$1,'HR Rep'!$A$1:$X$1,0),0),""),""))</f>
        <v/>
      </c>
      <c r="J312" s="140" t="str">
        <f>IF(IFERROR(_xlfn.IFNA(VLOOKUP($A312,'HR Rep'!$A:$X,MATCH('1) For HR (FIX)'!J$1,'HR Rep'!$A$1:$X$1,0),0),""),"")="","",IFERROR(_xlfn.IFNA(VLOOKUP($A312,'HR Rep'!$A:$X,MATCH('1) For HR (FIX)'!J$1,'HR Rep'!$A$1:$X$1,0),0),""),""))</f>
        <v/>
      </c>
      <c r="K312" s="161">
        <f>_xlfn.XLOOKUP(G312,ค่าตอบแทนการขายในอัตราคงที่!A:A,ค่าตอบแทนการขายในอัตราคงที่!B:B)</f>
        <v>0</v>
      </c>
      <c r="L312" s="174">
        <f>Period!$A$2</f>
        <v>46113</v>
      </c>
      <c r="M312" s="175">
        <f>Period!$C$2</f>
        <v>46143</v>
      </c>
      <c r="N312" s="194" t="s">
        <v>279</v>
      </c>
    </row>
    <row r="313" spans="1:14" ht="11.4" x14ac:dyDescent="0.25">
      <c r="A313" s="138"/>
      <c r="B313" s="169" t="e">
        <f>IF(IF(VLOOKUP(A313,ASTBase!F:P,11,FALSE)="","",VLOOKUP(A313,ASTBase!F:P,11,FALSE))=0,"",IF(VLOOKUP(A313,ASTBase!F:P,11,FALSE)="","",VLOOKUP(A313,ASTBase!F:P,11,FALSE)))</f>
        <v>#N/A</v>
      </c>
      <c r="C313" s="140" t="str">
        <f>IF(IFERROR(_xlfn.IFNA(VLOOKUP($A313,'HR Rep'!$A:$X,MATCH('1) For HR (FIX)'!C$1,'HR Rep'!$A$1:$X$1,0),0),""),"")="","",IFERROR(_xlfn.IFNA(VLOOKUP($A313,'HR Rep'!$A:$X,MATCH('1) For HR (FIX)'!C$1,'HR Rep'!$A$1:$X$1,0),0),""),""))</f>
        <v/>
      </c>
      <c r="D313" s="140" t="str">
        <f>IF(IFERROR(_xlfn.IFNA(VLOOKUP($A313,'HR Rep'!$A:$X,MATCH('1) For HR (FIX)'!D$1,'HR Rep'!$A$1:$X$1,0),0),""),"")="","",IFERROR(_xlfn.IFNA(VLOOKUP($A313,'HR Rep'!$A:$X,MATCH('1) For HR (FIX)'!D$1,'HR Rep'!$A$1:$X$1,0),0),""),""))</f>
        <v/>
      </c>
      <c r="E313" s="140" t="str">
        <f>IF(IFERROR(_xlfn.IFNA(VLOOKUP($A313,'HR Rep'!$A:$X,MATCH('1) For HR (FIX)'!E$1,'HR Rep'!$A$1:$X$1,0),0),""),"")="","",IFERROR(_xlfn.IFNA(VLOOKUP($A313,'HR Rep'!$A:$X,MATCH('1) For HR (FIX)'!E$1,'HR Rep'!$A$1:$X$1,0),0),""),""))</f>
        <v/>
      </c>
      <c r="F313" s="140" t="str">
        <f>IF(IFERROR(_xlfn.IFNA(VLOOKUP($A313,'HR Rep'!$A:$X,MATCH('1) For HR (FIX)'!F$1,'HR Rep'!$A$1:$X$1,0),0),""),"")="","",IFERROR(_xlfn.IFNA(VLOOKUP($A313,'HR Rep'!$A:$X,MATCH('1) For HR (FIX)'!F$1,'HR Rep'!$A$1:$X$1,0),0),""),""))</f>
        <v/>
      </c>
      <c r="G313" s="196"/>
      <c r="H313" s="140" t="str">
        <f>IF(IFERROR(_xlfn.IFNA(VLOOKUP($A313,'HR Rep'!$A:$X,MATCH('1) For HR (FIX)'!H$1,'HR Rep'!$A$1:$X$1,0),0),""),"")="","",IFERROR(_xlfn.IFNA(VLOOKUP($A313,'HR Rep'!$A:$X,MATCH('1) For HR (FIX)'!H$1,'HR Rep'!$A$1:$X$1,0),0),""),""))</f>
        <v/>
      </c>
      <c r="I313" s="140" t="str">
        <f>IF(IFERROR(_xlfn.IFNA(VLOOKUP($A313,'HR Rep'!$A:$X,MATCH('1) For HR (FIX)'!I$1,'HR Rep'!$A$1:$X$1,0),0),""),"")="","",IFERROR(_xlfn.IFNA(VLOOKUP($A313,'HR Rep'!$A:$X,MATCH('1) For HR (FIX)'!I$1,'HR Rep'!$A$1:$X$1,0),0),""),""))</f>
        <v/>
      </c>
      <c r="J313" s="140" t="str">
        <f>IF(IFERROR(_xlfn.IFNA(VLOOKUP($A313,'HR Rep'!$A:$X,MATCH('1) For HR (FIX)'!J$1,'HR Rep'!$A$1:$X$1,0),0),""),"")="","",IFERROR(_xlfn.IFNA(VLOOKUP($A313,'HR Rep'!$A:$X,MATCH('1) For HR (FIX)'!J$1,'HR Rep'!$A$1:$X$1,0),0),""),""))</f>
        <v/>
      </c>
      <c r="K313" s="161">
        <f>_xlfn.XLOOKUP(G313,ค่าตอบแทนการขายในอัตราคงที่!A:A,ค่าตอบแทนการขายในอัตราคงที่!B:B)</f>
        <v>0</v>
      </c>
      <c r="L313" s="174">
        <f>Period!$A$2</f>
        <v>46113</v>
      </c>
      <c r="M313" s="175">
        <f>Period!$C$2</f>
        <v>46143</v>
      </c>
      <c r="N313" s="194" t="s">
        <v>279</v>
      </c>
    </row>
    <row r="314" spans="1:14" ht="11.4" x14ac:dyDescent="0.25">
      <c r="A314" s="138"/>
      <c r="B314" s="169" t="e">
        <f>IF(IF(VLOOKUP(A314,ASTBase!F:P,11,FALSE)="","",VLOOKUP(A314,ASTBase!F:P,11,FALSE))=0,"",IF(VLOOKUP(A314,ASTBase!F:P,11,FALSE)="","",VLOOKUP(A314,ASTBase!F:P,11,FALSE)))</f>
        <v>#N/A</v>
      </c>
      <c r="C314" s="140" t="str">
        <f>IF(IFERROR(_xlfn.IFNA(VLOOKUP($A314,'HR Rep'!$A:$X,MATCH('1) For HR (FIX)'!C$1,'HR Rep'!$A$1:$X$1,0),0),""),"")="","",IFERROR(_xlfn.IFNA(VLOOKUP($A314,'HR Rep'!$A:$X,MATCH('1) For HR (FIX)'!C$1,'HR Rep'!$A$1:$X$1,0),0),""),""))</f>
        <v/>
      </c>
      <c r="D314" s="140" t="str">
        <f>IF(IFERROR(_xlfn.IFNA(VLOOKUP($A314,'HR Rep'!$A:$X,MATCH('1) For HR (FIX)'!D$1,'HR Rep'!$A$1:$X$1,0),0),""),"")="","",IFERROR(_xlfn.IFNA(VLOOKUP($A314,'HR Rep'!$A:$X,MATCH('1) For HR (FIX)'!D$1,'HR Rep'!$A$1:$X$1,0),0),""),""))</f>
        <v/>
      </c>
      <c r="E314" s="140" t="str">
        <f>IF(IFERROR(_xlfn.IFNA(VLOOKUP($A314,'HR Rep'!$A:$X,MATCH('1) For HR (FIX)'!E$1,'HR Rep'!$A$1:$X$1,0),0),""),"")="","",IFERROR(_xlfn.IFNA(VLOOKUP($A314,'HR Rep'!$A:$X,MATCH('1) For HR (FIX)'!E$1,'HR Rep'!$A$1:$X$1,0),0),""),""))</f>
        <v/>
      </c>
      <c r="F314" s="140" t="str">
        <f>IF(IFERROR(_xlfn.IFNA(VLOOKUP($A314,'HR Rep'!$A:$X,MATCH('1) For HR (FIX)'!F$1,'HR Rep'!$A$1:$X$1,0),0),""),"")="","",IFERROR(_xlfn.IFNA(VLOOKUP($A314,'HR Rep'!$A:$X,MATCH('1) For HR (FIX)'!F$1,'HR Rep'!$A$1:$X$1,0),0),""),""))</f>
        <v/>
      </c>
      <c r="G314" s="196"/>
      <c r="H314" s="140" t="str">
        <f>IF(IFERROR(_xlfn.IFNA(VLOOKUP($A314,'HR Rep'!$A:$X,MATCH('1) For HR (FIX)'!H$1,'HR Rep'!$A$1:$X$1,0),0),""),"")="","",IFERROR(_xlfn.IFNA(VLOOKUP($A314,'HR Rep'!$A:$X,MATCH('1) For HR (FIX)'!H$1,'HR Rep'!$A$1:$X$1,0),0),""),""))</f>
        <v/>
      </c>
      <c r="I314" s="140" t="str">
        <f>IF(IFERROR(_xlfn.IFNA(VLOOKUP($A314,'HR Rep'!$A:$X,MATCH('1) For HR (FIX)'!I$1,'HR Rep'!$A$1:$X$1,0),0),""),"")="","",IFERROR(_xlfn.IFNA(VLOOKUP($A314,'HR Rep'!$A:$X,MATCH('1) For HR (FIX)'!I$1,'HR Rep'!$A$1:$X$1,0),0),""),""))</f>
        <v/>
      </c>
      <c r="J314" s="140" t="str">
        <f>IF(IFERROR(_xlfn.IFNA(VLOOKUP($A314,'HR Rep'!$A:$X,MATCH('1) For HR (FIX)'!J$1,'HR Rep'!$A$1:$X$1,0),0),""),"")="","",IFERROR(_xlfn.IFNA(VLOOKUP($A314,'HR Rep'!$A:$X,MATCH('1) For HR (FIX)'!J$1,'HR Rep'!$A$1:$X$1,0),0),""),""))</f>
        <v/>
      </c>
      <c r="K314" s="161">
        <f>_xlfn.XLOOKUP(G314,ค่าตอบแทนการขายในอัตราคงที่!A:A,ค่าตอบแทนการขายในอัตราคงที่!B:B)</f>
        <v>0</v>
      </c>
      <c r="L314" s="174">
        <f>Period!$A$2</f>
        <v>46113</v>
      </c>
      <c r="M314" s="175">
        <f>Period!$C$2</f>
        <v>46143</v>
      </c>
      <c r="N314" s="194" t="s">
        <v>279</v>
      </c>
    </row>
    <row r="315" spans="1:14" ht="11.4" x14ac:dyDescent="0.25">
      <c r="A315" s="139"/>
      <c r="B315" s="169" t="e">
        <f>IF(IF(VLOOKUP(A315,ASTBase!F:P,11,FALSE)="","",VLOOKUP(A315,ASTBase!F:P,11,FALSE))=0,"",IF(VLOOKUP(A315,ASTBase!F:P,11,FALSE)="","",VLOOKUP(A315,ASTBase!F:P,11,FALSE)))</f>
        <v>#N/A</v>
      </c>
      <c r="C315" s="140" t="str">
        <f>IF(IFERROR(_xlfn.IFNA(VLOOKUP($A315,'HR Rep'!$A:$X,MATCH('1) For HR (FIX)'!C$1,'HR Rep'!$A$1:$X$1,0),0),""),"")="","",IFERROR(_xlfn.IFNA(VLOOKUP($A315,'HR Rep'!$A:$X,MATCH('1) For HR (FIX)'!C$1,'HR Rep'!$A$1:$X$1,0),0),""),""))</f>
        <v/>
      </c>
      <c r="D315" s="140" t="str">
        <f>IF(IFERROR(_xlfn.IFNA(VLOOKUP($A315,'HR Rep'!$A:$X,MATCH('1) For HR (FIX)'!D$1,'HR Rep'!$A$1:$X$1,0),0),""),"")="","",IFERROR(_xlfn.IFNA(VLOOKUP($A315,'HR Rep'!$A:$X,MATCH('1) For HR (FIX)'!D$1,'HR Rep'!$A$1:$X$1,0),0),""),""))</f>
        <v/>
      </c>
      <c r="E315" s="140" t="str">
        <f>IF(IFERROR(_xlfn.IFNA(VLOOKUP($A315,'HR Rep'!$A:$X,MATCH('1) For HR (FIX)'!E$1,'HR Rep'!$A$1:$X$1,0),0),""),"")="","",IFERROR(_xlfn.IFNA(VLOOKUP($A315,'HR Rep'!$A:$X,MATCH('1) For HR (FIX)'!E$1,'HR Rep'!$A$1:$X$1,0),0),""),""))</f>
        <v/>
      </c>
      <c r="F315" s="140" t="str">
        <f>IF(IFERROR(_xlfn.IFNA(VLOOKUP($A315,'HR Rep'!$A:$X,MATCH('1) For HR (FIX)'!F$1,'HR Rep'!$A$1:$X$1,0),0),""),"")="","",IFERROR(_xlfn.IFNA(VLOOKUP($A315,'HR Rep'!$A:$X,MATCH('1) For HR (FIX)'!F$1,'HR Rep'!$A$1:$X$1,0),0),""),""))</f>
        <v/>
      </c>
      <c r="G315" s="196"/>
      <c r="H315" s="140" t="str">
        <f>IF(IFERROR(_xlfn.IFNA(VLOOKUP($A315,'HR Rep'!$A:$X,MATCH('1) For HR (FIX)'!H$1,'HR Rep'!$A$1:$X$1,0),0),""),"")="","",IFERROR(_xlfn.IFNA(VLOOKUP($A315,'HR Rep'!$A:$X,MATCH('1) For HR (FIX)'!H$1,'HR Rep'!$A$1:$X$1,0),0),""),""))</f>
        <v/>
      </c>
      <c r="I315" s="140" t="str">
        <f>IF(IFERROR(_xlfn.IFNA(VLOOKUP($A315,'HR Rep'!$A:$X,MATCH('1) For HR (FIX)'!I$1,'HR Rep'!$A$1:$X$1,0),0),""),"")="","",IFERROR(_xlfn.IFNA(VLOOKUP($A315,'HR Rep'!$A:$X,MATCH('1) For HR (FIX)'!I$1,'HR Rep'!$A$1:$X$1,0),0),""),""))</f>
        <v/>
      </c>
      <c r="J315" s="140" t="str">
        <f>IF(IFERROR(_xlfn.IFNA(VLOOKUP($A315,'HR Rep'!$A:$X,MATCH('1) For HR (FIX)'!J$1,'HR Rep'!$A$1:$X$1,0),0),""),"")="","",IFERROR(_xlfn.IFNA(VLOOKUP($A315,'HR Rep'!$A:$X,MATCH('1) For HR (FIX)'!J$1,'HR Rep'!$A$1:$X$1,0),0),""),""))</f>
        <v/>
      </c>
      <c r="K315" s="161">
        <f>_xlfn.XLOOKUP(G315,ค่าตอบแทนการขายในอัตราคงที่!A:A,ค่าตอบแทนการขายในอัตราคงที่!B:B)</f>
        <v>0</v>
      </c>
      <c r="L315" s="174">
        <f>Period!$A$2</f>
        <v>46113</v>
      </c>
      <c r="M315" s="175">
        <f>Period!$C$2</f>
        <v>46143</v>
      </c>
      <c r="N315" s="194" t="s">
        <v>279</v>
      </c>
    </row>
    <row r="316" spans="1:14" ht="11.4" x14ac:dyDescent="0.25">
      <c r="A316" s="139"/>
      <c r="B316" s="169" t="e">
        <f>IF(IF(VLOOKUP(A316,ASTBase!F:P,11,FALSE)="","",VLOOKUP(A316,ASTBase!F:P,11,FALSE))=0,"",IF(VLOOKUP(A316,ASTBase!F:P,11,FALSE)="","",VLOOKUP(A316,ASTBase!F:P,11,FALSE)))</f>
        <v>#N/A</v>
      </c>
      <c r="C316" s="140" t="str">
        <f>IF(IFERROR(_xlfn.IFNA(VLOOKUP($A316,'HR Rep'!$A:$X,MATCH('1) For HR (FIX)'!C$1,'HR Rep'!$A$1:$X$1,0),0),""),"")="","",IFERROR(_xlfn.IFNA(VLOOKUP($A316,'HR Rep'!$A:$X,MATCH('1) For HR (FIX)'!C$1,'HR Rep'!$A$1:$X$1,0),0),""),""))</f>
        <v/>
      </c>
      <c r="D316" s="140" t="str">
        <f>IF(IFERROR(_xlfn.IFNA(VLOOKUP($A316,'HR Rep'!$A:$X,MATCH('1) For HR (FIX)'!D$1,'HR Rep'!$A$1:$X$1,0),0),""),"")="","",IFERROR(_xlfn.IFNA(VLOOKUP($A316,'HR Rep'!$A:$X,MATCH('1) For HR (FIX)'!D$1,'HR Rep'!$A$1:$X$1,0),0),""),""))</f>
        <v/>
      </c>
      <c r="E316" s="140" t="str">
        <f>IF(IFERROR(_xlfn.IFNA(VLOOKUP($A316,'HR Rep'!$A:$X,MATCH('1) For HR (FIX)'!E$1,'HR Rep'!$A$1:$X$1,0),0),""),"")="","",IFERROR(_xlfn.IFNA(VLOOKUP($A316,'HR Rep'!$A:$X,MATCH('1) For HR (FIX)'!E$1,'HR Rep'!$A$1:$X$1,0),0),""),""))</f>
        <v/>
      </c>
      <c r="F316" s="140" t="str">
        <f>IF(IFERROR(_xlfn.IFNA(VLOOKUP($A316,'HR Rep'!$A:$X,MATCH('1) For HR (FIX)'!F$1,'HR Rep'!$A$1:$X$1,0),0),""),"")="","",IFERROR(_xlfn.IFNA(VLOOKUP($A316,'HR Rep'!$A:$X,MATCH('1) For HR (FIX)'!F$1,'HR Rep'!$A$1:$X$1,0),0),""),""))</f>
        <v/>
      </c>
      <c r="G316" s="196"/>
      <c r="H316" s="140" t="str">
        <f>IF(IFERROR(_xlfn.IFNA(VLOOKUP($A316,'HR Rep'!$A:$X,MATCH('1) For HR (FIX)'!H$1,'HR Rep'!$A$1:$X$1,0),0),""),"")="","",IFERROR(_xlfn.IFNA(VLOOKUP($A316,'HR Rep'!$A:$X,MATCH('1) For HR (FIX)'!H$1,'HR Rep'!$A$1:$X$1,0),0),""),""))</f>
        <v/>
      </c>
      <c r="I316" s="140" t="str">
        <f>IF(IFERROR(_xlfn.IFNA(VLOOKUP($A316,'HR Rep'!$A:$X,MATCH('1) For HR (FIX)'!I$1,'HR Rep'!$A$1:$X$1,0),0),""),"")="","",IFERROR(_xlfn.IFNA(VLOOKUP($A316,'HR Rep'!$A:$X,MATCH('1) For HR (FIX)'!I$1,'HR Rep'!$A$1:$X$1,0),0),""),""))</f>
        <v/>
      </c>
      <c r="J316" s="140" t="str">
        <f>IF(IFERROR(_xlfn.IFNA(VLOOKUP($A316,'HR Rep'!$A:$X,MATCH('1) For HR (FIX)'!J$1,'HR Rep'!$A$1:$X$1,0),0),""),"")="","",IFERROR(_xlfn.IFNA(VLOOKUP($A316,'HR Rep'!$A:$X,MATCH('1) For HR (FIX)'!J$1,'HR Rep'!$A$1:$X$1,0),0),""),""))</f>
        <v/>
      </c>
      <c r="K316" s="161">
        <f>_xlfn.XLOOKUP(G316,ค่าตอบแทนการขายในอัตราคงที่!A:A,ค่าตอบแทนการขายในอัตราคงที่!B:B)</f>
        <v>0</v>
      </c>
      <c r="L316" s="174">
        <f>Period!$A$2</f>
        <v>46113</v>
      </c>
      <c r="M316" s="175">
        <f>Period!$C$2</f>
        <v>46143</v>
      </c>
      <c r="N316" s="194" t="s">
        <v>279</v>
      </c>
    </row>
    <row r="317" spans="1:14" ht="11.4" x14ac:dyDescent="0.25">
      <c r="A317" s="139"/>
      <c r="B317" s="169" t="e">
        <f>IF(IF(VLOOKUP(A317,ASTBase!F:P,11,FALSE)="","",VLOOKUP(A317,ASTBase!F:P,11,FALSE))=0,"",IF(VLOOKUP(A317,ASTBase!F:P,11,FALSE)="","",VLOOKUP(A317,ASTBase!F:P,11,FALSE)))</f>
        <v>#N/A</v>
      </c>
      <c r="C317" s="140" t="str">
        <f>IF(IFERROR(_xlfn.IFNA(VLOOKUP($A317,'HR Rep'!$A:$X,MATCH('1) For HR (FIX)'!C$1,'HR Rep'!$A$1:$X$1,0),0),""),"")="","",IFERROR(_xlfn.IFNA(VLOOKUP($A317,'HR Rep'!$A:$X,MATCH('1) For HR (FIX)'!C$1,'HR Rep'!$A$1:$X$1,0),0),""),""))</f>
        <v/>
      </c>
      <c r="D317" s="140" t="str">
        <f>IF(IFERROR(_xlfn.IFNA(VLOOKUP($A317,'HR Rep'!$A:$X,MATCH('1) For HR (FIX)'!D$1,'HR Rep'!$A$1:$X$1,0),0),""),"")="","",IFERROR(_xlfn.IFNA(VLOOKUP($A317,'HR Rep'!$A:$X,MATCH('1) For HR (FIX)'!D$1,'HR Rep'!$A$1:$X$1,0),0),""),""))</f>
        <v/>
      </c>
      <c r="E317" s="140" t="str">
        <f>IF(IFERROR(_xlfn.IFNA(VLOOKUP($A317,'HR Rep'!$A:$X,MATCH('1) For HR (FIX)'!E$1,'HR Rep'!$A$1:$X$1,0),0),""),"")="","",IFERROR(_xlfn.IFNA(VLOOKUP($A317,'HR Rep'!$A:$X,MATCH('1) For HR (FIX)'!E$1,'HR Rep'!$A$1:$X$1,0),0),""),""))</f>
        <v/>
      </c>
      <c r="F317" s="140" t="str">
        <f>IF(IFERROR(_xlfn.IFNA(VLOOKUP($A317,'HR Rep'!$A:$X,MATCH('1) For HR (FIX)'!F$1,'HR Rep'!$A$1:$X$1,0),0),""),"")="","",IFERROR(_xlfn.IFNA(VLOOKUP($A317,'HR Rep'!$A:$X,MATCH('1) For HR (FIX)'!F$1,'HR Rep'!$A$1:$X$1,0),0),""),""))</f>
        <v/>
      </c>
      <c r="G317" s="196"/>
      <c r="H317" s="140" t="str">
        <f>IF(IFERROR(_xlfn.IFNA(VLOOKUP($A317,'HR Rep'!$A:$X,MATCH('1) For HR (FIX)'!H$1,'HR Rep'!$A$1:$X$1,0),0),""),"")="","",IFERROR(_xlfn.IFNA(VLOOKUP($A317,'HR Rep'!$A:$X,MATCH('1) For HR (FIX)'!H$1,'HR Rep'!$A$1:$X$1,0),0),""),""))</f>
        <v/>
      </c>
      <c r="I317" s="140" t="str">
        <f>IF(IFERROR(_xlfn.IFNA(VLOOKUP($A317,'HR Rep'!$A:$X,MATCH('1) For HR (FIX)'!I$1,'HR Rep'!$A$1:$X$1,0),0),""),"")="","",IFERROR(_xlfn.IFNA(VLOOKUP($A317,'HR Rep'!$A:$X,MATCH('1) For HR (FIX)'!I$1,'HR Rep'!$A$1:$X$1,0),0),""),""))</f>
        <v/>
      </c>
      <c r="J317" s="140" t="str">
        <f>IF(IFERROR(_xlfn.IFNA(VLOOKUP($A317,'HR Rep'!$A:$X,MATCH('1) For HR (FIX)'!J$1,'HR Rep'!$A$1:$X$1,0),0),""),"")="","",IFERROR(_xlfn.IFNA(VLOOKUP($A317,'HR Rep'!$A:$X,MATCH('1) For HR (FIX)'!J$1,'HR Rep'!$A$1:$X$1,0),0),""),""))</f>
        <v/>
      </c>
      <c r="K317" s="161">
        <f>_xlfn.XLOOKUP(G317,ค่าตอบแทนการขายในอัตราคงที่!A:A,ค่าตอบแทนการขายในอัตราคงที่!B:B)</f>
        <v>0</v>
      </c>
      <c r="L317" s="174">
        <f>Period!$A$2</f>
        <v>46113</v>
      </c>
      <c r="M317" s="175">
        <f>Period!$C$2</f>
        <v>46143</v>
      </c>
      <c r="N317" s="194" t="s">
        <v>279</v>
      </c>
    </row>
    <row r="318" spans="1:14" ht="11.4" x14ac:dyDescent="0.25">
      <c r="A318" s="137"/>
      <c r="B318" s="169" t="e">
        <f>IF(IF(VLOOKUP(A318,ASTBase!F:P,11,FALSE)="","",VLOOKUP(A318,ASTBase!F:P,11,FALSE))=0,"",IF(VLOOKUP(A318,ASTBase!F:P,11,FALSE)="","",VLOOKUP(A318,ASTBase!F:P,11,FALSE)))</f>
        <v>#N/A</v>
      </c>
      <c r="C318" s="140" t="str">
        <f>IF(IFERROR(_xlfn.IFNA(VLOOKUP($A318,'HR Rep'!$A:$X,MATCH('1) For HR (FIX)'!C$1,'HR Rep'!$A$1:$X$1,0),0),""),"")="","",IFERROR(_xlfn.IFNA(VLOOKUP($A318,'HR Rep'!$A:$X,MATCH('1) For HR (FIX)'!C$1,'HR Rep'!$A$1:$X$1,0),0),""),""))</f>
        <v/>
      </c>
      <c r="D318" s="140" t="str">
        <f>IF(IFERROR(_xlfn.IFNA(VLOOKUP($A318,'HR Rep'!$A:$X,MATCH('1) For HR (FIX)'!D$1,'HR Rep'!$A$1:$X$1,0),0),""),"")="","",IFERROR(_xlfn.IFNA(VLOOKUP($A318,'HR Rep'!$A:$X,MATCH('1) For HR (FIX)'!D$1,'HR Rep'!$A$1:$X$1,0),0),""),""))</f>
        <v/>
      </c>
      <c r="E318" s="140" t="str">
        <f>IF(IFERROR(_xlfn.IFNA(VLOOKUP($A318,'HR Rep'!$A:$X,MATCH('1) For HR (FIX)'!E$1,'HR Rep'!$A$1:$X$1,0),0),""),"")="","",IFERROR(_xlfn.IFNA(VLOOKUP($A318,'HR Rep'!$A:$X,MATCH('1) For HR (FIX)'!E$1,'HR Rep'!$A$1:$X$1,0),0),""),""))</f>
        <v/>
      </c>
      <c r="F318" s="140" t="str">
        <f>IF(IFERROR(_xlfn.IFNA(VLOOKUP($A318,'HR Rep'!$A:$X,MATCH('1) For HR (FIX)'!F$1,'HR Rep'!$A$1:$X$1,0),0),""),"")="","",IFERROR(_xlfn.IFNA(VLOOKUP($A318,'HR Rep'!$A:$X,MATCH('1) For HR (FIX)'!F$1,'HR Rep'!$A$1:$X$1,0),0),""),""))</f>
        <v/>
      </c>
      <c r="G318" s="196"/>
      <c r="H318" s="140" t="str">
        <f>IF(IFERROR(_xlfn.IFNA(VLOOKUP($A318,'HR Rep'!$A:$X,MATCH('1) For HR (FIX)'!H$1,'HR Rep'!$A$1:$X$1,0),0),""),"")="","",IFERROR(_xlfn.IFNA(VLOOKUP($A318,'HR Rep'!$A:$X,MATCH('1) For HR (FIX)'!H$1,'HR Rep'!$A$1:$X$1,0),0),""),""))</f>
        <v/>
      </c>
      <c r="I318" s="140" t="str">
        <f>IF(IFERROR(_xlfn.IFNA(VLOOKUP($A318,'HR Rep'!$A:$X,MATCH('1) For HR (FIX)'!I$1,'HR Rep'!$A$1:$X$1,0),0),""),"")="","",IFERROR(_xlfn.IFNA(VLOOKUP($A318,'HR Rep'!$A:$X,MATCH('1) For HR (FIX)'!I$1,'HR Rep'!$A$1:$X$1,0),0),""),""))</f>
        <v/>
      </c>
      <c r="J318" s="140" t="str">
        <f>IF(IFERROR(_xlfn.IFNA(VLOOKUP($A318,'HR Rep'!$A:$X,MATCH('1) For HR (FIX)'!J$1,'HR Rep'!$A$1:$X$1,0),0),""),"")="","",IFERROR(_xlfn.IFNA(VLOOKUP($A318,'HR Rep'!$A:$X,MATCH('1) For HR (FIX)'!J$1,'HR Rep'!$A$1:$X$1,0),0),""),""))</f>
        <v/>
      </c>
      <c r="K318" s="161">
        <f>_xlfn.XLOOKUP(G318,ค่าตอบแทนการขายในอัตราคงที่!A:A,ค่าตอบแทนการขายในอัตราคงที่!B:B)</f>
        <v>0</v>
      </c>
      <c r="L318" s="174">
        <f>Period!$A$2</f>
        <v>46113</v>
      </c>
      <c r="M318" s="175">
        <f>Period!$C$2</f>
        <v>46143</v>
      </c>
      <c r="N318" s="194" t="s">
        <v>279</v>
      </c>
    </row>
    <row r="319" spans="1:14" ht="11.4" x14ac:dyDescent="0.25">
      <c r="A319" s="137"/>
      <c r="B319" s="169" t="e">
        <f>IF(IF(VLOOKUP(A319,ASTBase!F:P,11,FALSE)="","",VLOOKUP(A319,ASTBase!F:P,11,FALSE))=0,"",IF(VLOOKUP(A319,ASTBase!F:P,11,FALSE)="","",VLOOKUP(A319,ASTBase!F:P,11,FALSE)))</f>
        <v>#N/A</v>
      </c>
      <c r="C319" s="140" t="str">
        <f>IF(IFERROR(_xlfn.IFNA(VLOOKUP($A319,'HR Rep'!$A:$X,MATCH('1) For HR (FIX)'!C$1,'HR Rep'!$A$1:$X$1,0),0),""),"")="","",IFERROR(_xlfn.IFNA(VLOOKUP($A319,'HR Rep'!$A:$X,MATCH('1) For HR (FIX)'!C$1,'HR Rep'!$A$1:$X$1,0),0),""),""))</f>
        <v/>
      </c>
      <c r="D319" s="140" t="str">
        <f>IF(IFERROR(_xlfn.IFNA(VLOOKUP($A319,'HR Rep'!$A:$X,MATCH('1) For HR (FIX)'!D$1,'HR Rep'!$A$1:$X$1,0),0),""),"")="","",IFERROR(_xlfn.IFNA(VLOOKUP($A319,'HR Rep'!$A:$X,MATCH('1) For HR (FIX)'!D$1,'HR Rep'!$A$1:$X$1,0),0),""),""))</f>
        <v/>
      </c>
      <c r="E319" s="140" t="str">
        <f>IF(IFERROR(_xlfn.IFNA(VLOOKUP($A319,'HR Rep'!$A:$X,MATCH('1) For HR (FIX)'!E$1,'HR Rep'!$A$1:$X$1,0),0),""),"")="","",IFERROR(_xlfn.IFNA(VLOOKUP($A319,'HR Rep'!$A:$X,MATCH('1) For HR (FIX)'!E$1,'HR Rep'!$A$1:$X$1,0),0),""),""))</f>
        <v/>
      </c>
      <c r="F319" s="140" t="str">
        <f>IF(IFERROR(_xlfn.IFNA(VLOOKUP($A319,'HR Rep'!$A:$X,MATCH('1) For HR (FIX)'!F$1,'HR Rep'!$A$1:$X$1,0),0),""),"")="","",IFERROR(_xlfn.IFNA(VLOOKUP($A319,'HR Rep'!$A:$X,MATCH('1) For HR (FIX)'!F$1,'HR Rep'!$A$1:$X$1,0),0),""),""))</f>
        <v/>
      </c>
      <c r="G319" s="196"/>
      <c r="H319" s="140" t="str">
        <f>IF(IFERROR(_xlfn.IFNA(VLOOKUP($A319,'HR Rep'!$A:$X,MATCH('1) For HR (FIX)'!H$1,'HR Rep'!$A$1:$X$1,0),0),""),"")="","",IFERROR(_xlfn.IFNA(VLOOKUP($A319,'HR Rep'!$A:$X,MATCH('1) For HR (FIX)'!H$1,'HR Rep'!$A$1:$X$1,0),0),""),""))</f>
        <v/>
      </c>
      <c r="I319" s="140" t="str">
        <f>IF(IFERROR(_xlfn.IFNA(VLOOKUP($A319,'HR Rep'!$A:$X,MATCH('1) For HR (FIX)'!I$1,'HR Rep'!$A$1:$X$1,0),0),""),"")="","",IFERROR(_xlfn.IFNA(VLOOKUP($A319,'HR Rep'!$A:$X,MATCH('1) For HR (FIX)'!I$1,'HR Rep'!$A$1:$X$1,0),0),""),""))</f>
        <v/>
      </c>
      <c r="J319" s="140" t="str">
        <f>IF(IFERROR(_xlfn.IFNA(VLOOKUP($A319,'HR Rep'!$A:$X,MATCH('1) For HR (FIX)'!J$1,'HR Rep'!$A$1:$X$1,0),0),""),"")="","",IFERROR(_xlfn.IFNA(VLOOKUP($A319,'HR Rep'!$A:$X,MATCH('1) For HR (FIX)'!J$1,'HR Rep'!$A$1:$X$1,0),0),""),""))</f>
        <v/>
      </c>
      <c r="K319" s="161">
        <f>_xlfn.XLOOKUP(G319,ค่าตอบแทนการขายในอัตราคงที่!A:A,ค่าตอบแทนการขายในอัตราคงที่!B:B)</f>
        <v>0</v>
      </c>
      <c r="L319" s="174">
        <f>Period!$A$2</f>
        <v>46113</v>
      </c>
      <c r="M319" s="175">
        <f>Period!$C$2</f>
        <v>46143</v>
      </c>
      <c r="N319" s="194" t="s">
        <v>279</v>
      </c>
    </row>
    <row r="320" spans="1:14" ht="11.4" x14ac:dyDescent="0.25">
      <c r="A320" s="137"/>
      <c r="B320" s="169" t="e">
        <f>IF(IF(VLOOKUP(A320,ASTBase!F:P,11,FALSE)="","",VLOOKUP(A320,ASTBase!F:P,11,FALSE))=0,"",IF(VLOOKUP(A320,ASTBase!F:P,11,FALSE)="","",VLOOKUP(A320,ASTBase!F:P,11,FALSE)))</f>
        <v>#N/A</v>
      </c>
      <c r="C320" s="140" t="str">
        <f>IF(IFERROR(_xlfn.IFNA(VLOOKUP($A320,'HR Rep'!$A:$X,MATCH('1) For HR (FIX)'!C$1,'HR Rep'!$A$1:$X$1,0),0),""),"")="","",IFERROR(_xlfn.IFNA(VLOOKUP($A320,'HR Rep'!$A:$X,MATCH('1) For HR (FIX)'!C$1,'HR Rep'!$A$1:$X$1,0),0),""),""))</f>
        <v/>
      </c>
      <c r="D320" s="140" t="str">
        <f>IF(IFERROR(_xlfn.IFNA(VLOOKUP($A320,'HR Rep'!$A:$X,MATCH('1) For HR (FIX)'!D$1,'HR Rep'!$A$1:$X$1,0),0),""),"")="","",IFERROR(_xlfn.IFNA(VLOOKUP($A320,'HR Rep'!$A:$X,MATCH('1) For HR (FIX)'!D$1,'HR Rep'!$A$1:$X$1,0),0),""),""))</f>
        <v/>
      </c>
      <c r="E320" s="140" t="str">
        <f>IF(IFERROR(_xlfn.IFNA(VLOOKUP($A320,'HR Rep'!$A:$X,MATCH('1) For HR (FIX)'!E$1,'HR Rep'!$A$1:$X$1,0),0),""),"")="","",IFERROR(_xlfn.IFNA(VLOOKUP($A320,'HR Rep'!$A:$X,MATCH('1) For HR (FIX)'!E$1,'HR Rep'!$A$1:$X$1,0),0),""),""))</f>
        <v/>
      </c>
      <c r="F320" s="140" t="str">
        <f>IF(IFERROR(_xlfn.IFNA(VLOOKUP($A320,'HR Rep'!$A:$X,MATCH('1) For HR (FIX)'!F$1,'HR Rep'!$A$1:$X$1,0),0),""),"")="","",IFERROR(_xlfn.IFNA(VLOOKUP($A320,'HR Rep'!$A:$X,MATCH('1) For HR (FIX)'!F$1,'HR Rep'!$A$1:$X$1,0),0),""),""))</f>
        <v/>
      </c>
      <c r="G320" s="196"/>
      <c r="H320" s="140" t="str">
        <f>IF(IFERROR(_xlfn.IFNA(VLOOKUP($A320,'HR Rep'!$A:$X,MATCH('1) For HR (FIX)'!H$1,'HR Rep'!$A$1:$X$1,0),0),""),"")="","",IFERROR(_xlfn.IFNA(VLOOKUP($A320,'HR Rep'!$A:$X,MATCH('1) For HR (FIX)'!H$1,'HR Rep'!$A$1:$X$1,0),0),""),""))</f>
        <v/>
      </c>
      <c r="I320" s="140" t="str">
        <f>IF(IFERROR(_xlfn.IFNA(VLOOKUP($A320,'HR Rep'!$A:$X,MATCH('1) For HR (FIX)'!I$1,'HR Rep'!$A$1:$X$1,0),0),""),"")="","",IFERROR(_xlfn.IFNA(VLOOKUP($A320,'HR Rep'!$A:$X,MATCH('1) For HR (FIX)'!I$1,'HR Rep'!$A$1:$X$1,0),0),""),""))</f>
        <v/>
      </c>
      <c r="J320" s="140" t="str">
        <f>IF(IFERROR(_xlfn.IFNA(VLOOKUP($A320,'HR Rep'!$A:$X,MATCH('1) For HR (FIX)'!J$1,'HR Rep'!$A$1:$X$1,0),0),""),"")="","",IFERROR(_xlfn.IFNA(VLOOKUP($A320,'HR Rep'!$A:$X,MATCH('1) For HR (FIX)'!J$1,'HR Rep'!$A$1:$X$1,0),0),""),""))</f>
        <v/>
      </c>
      <c r="K320" s="161">
        <f>_xlfn.XLOOKUP(G320,ค่าตอบแทนการขายในอัตราคงที่!A:A,ค่าตอบแทนการขายในอัตราคงที่!B:B)</f>
        <v>0</v>
      </c>
      <c r="L320" s="174">
        <f>Period!$A$2</f>
        <v>46113</v>
      </c>
      <c r="M320" s="175">
        <f>Period!$C$2</f>
        <v>46143</v>
      </c>
      <c r="N320" s="194" t="s">
        <v>279</v>
      </c>
    </row>
    <row r="321" spans="1:14" ht="11.4" x14ac:dyDescent="0.25">
      <c r="A321" s="137"/>
      <c r="B321" s="169" t="e">
        <f>IF(IF(VLOOKUP(A321,ASTBase!F:P,11,FALSE)="","",VLOOKUP(A321,ASTBase!F:P,11,FALSE))=0,"",IF(VLOOKUP(A321,ASTBase!F:P,11,FALSE)="","",VLOOKUP(A321,ASTBase!F:P,11,FALSE)))</f>
        <v>#N/A</v>
      </c>
      <c r="C321" s="140" t="str">
        <f>IF(IFERROR(_xlfn.IFNA(VLOOKUP($A321,'HR Rep'!$A:$X,MATCH('1) For HR (FIX)'!C$1,'HR Rep'!$A$1:$X$1,0),0),""),"")="","",IFERROR(_xlfn.IFNA(VLOOKUP($A321,'HR Rep'!$A:$X,MATCH('1) For HR (FIX)'!C$1,'HR Rep'!$A$1:$X$1,0),0),""),""))</f>
        <v/>
      </c>
      <c r="D321" s="140" t="str">
        <f>IF(IFERROR(_xlfn.IFNA(VLOOKUP($A321,'HR Rep'!$A:$X,MATCH('1) For HR (FIX)'!D$1,'HR Rep'!$A$1:$X$1,0),0),""),"")="","",IFERROR(_xlfn.IFNA(VLOOKUP($A321,'HR Rep'!$A:$X,MATCH('1) For HR (FIX)'!D$1,'HR Rep'!$A$1:$X$1,0),0),""),""))</f>
        <v/>
      </c>
      <c r="E321" s="140" t="str">
        <f>IF(IFERROR(_xlfn.IFNA(VLOOKUP($A321,'HR Rep'!$A:$X,MATCH('1) For HR (FIX)'!E$1,'HR Rep'!$A$1:$X$1,0),0),""),"")="","",IFERROR(_xlfn.IFNA(VLOOKUP($A321,'HR Rep'!$A:$X,MATCH('1) For HR (FIX)'!E$1,'HR Rep'!$A$1:$X$1,0),0),""),""))</f>
        <v/>
      </c>
      <c r="F321" s="140" t="str">
        <f>IF(IFERROR(_xlfn.IFNA(VLOOKUP($A321,'HR Rep'!$A:$X,MATCH('1) For HR (FIX)'!F$1,'HR Rep'!$A$1:$X$1,0),0),""),"")="","",IFERROR(_xlfn.IFNA(VLOOKUP($A321,'HR Rep'!$A:$X,MATCH('1) For HR (FIX)'!F$1,'HR Rep'!$A$1:$X$1,0),0),""),""))</f>
        <v/>
      </c>
      <c r="G321" s="196"/>
      <c r="H321" s="140" t="str">
        <f>IF(IFERROR(_xlfn.IFNA(VLOOKUP($A321,'HR Rep'!$A:$X,MATCH('1) For HR (FIX)'!H$1,'HR Rep'!$A$1:$X$1,0),0),""),"")="","",IFERROR(_xlfn.IFNA(VLOOKUP($A321,'HR Rep'!$A:$X,MATCH('1) For HR (FIX)'!H$1,'HR Rep'!$A$1:$X$1,0),0),""),""))</f>
        <v/>
      </c>
      <c r="I321" s="140" t="str">
        <f>IF(IFERROR(_xlfn.IFNA(VLOOKUP($A321,'HR Rep'!$A:$X,MATCH('1) For HR (FIX)'!I$1,'HR Rep'!$A$1:$X$1,0),0),""),"")="","",IFERROR(_xlfn.IFNA(VLOOKUP($A321,'HR Rep'!$A:$X,MATCH('1) For HR (FIX)'!I$1,'HR Rep'!$A$1:$X$1,0),0),""),""))</f>
        <v/>
      </c>
      <c r="J321" s="140" t="str">
        <f>IF(IFERROR(_xlfn.IFNA(VLOOKUP($A321,'HR Rep'!$A:$X,MATCH('1) For HR (FIX)'!J$1,'HR Rep'!$A$1:$X$1,0),0),""),"")="","",IFERROR(_xlfn.IFNA(VLOOKUP($A321,'HR Rep'!$A:$X,MATCH('1) For HR (FIX)'!J$1,'HR Rep'!$A$1:$X$1,0),0),""),""))</f>
        <v/>
      </c>
      <c r="K321" s="161">
        <f>_xlfn.XLOOKUP(G321,ค่าตอบแทนการขายในอัตราคงที่!A:A,ค่าตอบแทนการขายในอัตราคงที่!B:B)</f>
        <v>0</v>
      </c>
      <c r="L321" s="174">
        <f>Period!$A$2</f>
        <v>46113</v>
      </c>
      <c r="M321" s="175">
        <f>Period!$C$2</f>
        <v>46143</v>
      </c>
      <c r="N321" s="194" t="s">
        <v>279</v>
      </c>
    </row>
    <row r="322" spans="1:14" ht="11.4" x14ac:dyDescent="0.25">
      <c r="A322" s="137"/>
      <c r="B322" s="169" t="e">
        <f>IF(IF(VLOOKUP(A322,ASTBase!F:P,11,FALSE)="","",VLOOKUP(A322,ASTBase!F:P,11,FALSE))=0,"",IF(VLOOKUP(A322,ASTBase!F:P,11,FALSE)="","",VLOOKUP(A322,ASTBase!F:P,11,FALSE)))</f>
        <v>#N/A</v>
      </c>
      <c r="C322" s="140" t="str">
        <f>IF(IFERROR(_xlfn.IFNA(VLOOKUP($A322,'HR Rep'!$A:$X,MATCH('1) For HR (FIX)'!C$1,'HR Rep'!$A$1:$X$1,0),0),""),"")="","",IFERROR(_xlfn.IFNA(VLOOKUP($A322,'HR Rep'!$A:$X,MATCH('1) For HR (FIX)'!C$1,'HR Rep'!$A$1:$X$1,0),0),""),""))</f>
        <v/>
      </c>
      <c r="D322" s="140" t="str">
        <f>IF(IFERROR(_xlfn.IFNA(VLOOKUP($A322,'HR Rep'!$A:$X,MATCH('1) For HR (FIX)'!D$1,'HR Rep'!$A$1:$X$1,0),0),""),"")="","",IFERROR(_xlfn.IFNA(VLOOKUP($A322,'HR Rep'!$A:$X,MATCH('1) For HR (FIX)'!D$1,'HR Rep'!$A$1:$X$1,0),0),""),""))</f>
        <v/>
      </c>
      <c r="E322" s="140" t="str">
        <f>IF(IFERROR(_xlfn.IFNA(VLOOKUP($A322,'HR Rep'!$A:$X,MATCH('1) For HR (FIX)'!E$1,'HR Rep'!$A$1:$X$1,0),0),""),"")="","",IFERROR(_xlfn.IFNA(VLOOKUP($A322,'HR Rep'!$A:$X,MATCH('1) For HR (FIX)'!E$1,'HR Rep'!$A$1:$X$1,0),0),""),""))</f>
        <v/>
      </c>
      <c r="F322" s="140" t="str">
        <f>IF(IFERROR(_xlfn.IFNA(VLOOKUP($A322,'HR Rep'!$A:$X,MATCH('1) For HR (FIX)'!F$1,'HR Rep'!$A$1:$X$1,0),0),""),"")="","",IFERROR(_xlfn.IFNA(VLOOKUP($A322,'HR Rep'!$A:$X,MATCH('1) For HR (FIX)'!F$1,'HR Rep'!$A$1:$X$1,0),0),""),""))</f>
        <v/>
      </c>
      <c r="G322" s="196"/>
      <c r="H322" s="140" t="str">
        <f>IF(IFERROR(_xlfn.IFNA(VLOOKUP($A322,'HR Rep'!$A:$X,MATCH('1) For HR (FIX)'!H$1,'HR Rep'!$A$1:$X$1,0),0),""),"")="","",IFERROR(_xlfn.IFNA(VLOOKUP($A322,'HR Rep'!$A:$X,MATCH('1) For HR (FIX)'!H$1,'HR Rep'!$A$1:$X$1,0),0),""),""))</f>
        <v/>
      </c>
      <c r="I322" s="140" t="str">
        <f>IF(IFERROR(_xlfn.IFNA(VLOOKUP($A322,'HR Rep'!$A:$X,MATCH('1) For HR (FIX)'!I$1,'HR Rep'!$A$1:$X$1,0),0),""),"")="","",IFERROR(_xlfn.IFNA(VLOOKUP($A322,'HR Rep'!$A:$X,MATCH('1) For HR (FIX)'!I$1,'HR Rep'!$A$1:$X$1,0),0),""),""))</f>
        <v/>
      </c>
      <c r="J322" s="140" t="str">
        <f>IF(IFERROR(_xlfn.IFNA(VLOOKUP($A322,'HR Rep'!$A:$X,MATCH('1) For HR (FIX)'!J$1,'HR Rep'!$A$1:$X$1,0),0),""),"")="","",IFERROR(_xlfn.IFNA(VLOOKUP($A322,'HR Rep'!$A:$X,MATCH('1) For HR (FIX)'!J$1,'HR Rep'!$A$1:$X$1,0),0),""),""))</f>
        <v/>
      </c>
      <c r="K322" s="161">
        <f>_xlfn.XLOOKUP(G322,ค่าตอบแทนการขายในอัตราคงที่!A:A,ค่าตอบแทนการขายในอัตราคงที่!B:B)</f>
        <v>0</v>
      </c>
      <c r="L322" s="174">
        <f>Period!$A$2</f>
        <v>46113</v>
      </c>
      <c r="M322" s="175">
        <f>Period!$C$2</f>
        <v>46143</v>
      </c>
      <c r="N322" s="194" t="s">
        <v>279</v>
      </c>
    </row>
    <row r="323" spans="1:14" ht="11.4" x14ac:dyDescent="0.25">
      <c r="A323" s="137"/>
      <c r="B323" s="169" t="e">
        <f>IF(IF(VLOOKUP(A323,ASTBase!F:P,11,FALSE)="","",VLOOKUP(A323,ASTBase!F:P,11,FALSE))=0,"",IF(VLOOKUP(A323,ASTBase!F:P,11,FALSE)="","",VLOOKUP(A323,ASTBase!F:P,11,FALSE)))</f>
        <v>#N/A</v>
      </c>
      <c r="C323" s="140" t="str">
        <f>IF(IFERROR(_xlfn.IFNA(VLOOKUP($A323,'HR Rep'!$A:$X,MATCH('1) For HR (FIX)'!C$1,'HR Rep'!$A$1:$X$1,0),0),""),"")="","",IFERROR(_xlfn.IFNA(VLOOKUP($A323,'HR Rep'!$A:$X,MATCH('1) For HR (FIX)'!C$1,'HR Rep'!$A$1:$X$1,0),0),""),""))</f>
        <v/>
      </c>
      <c r="D323" s="140" t="str">
        <f>IF(IFERROR(_xlfn.IFNA(VLOOKUP($A323,'HR Rep'!$A:$X,MATCH('1) For HR (FIX)'!D$1,'HR Rep'!$A$1:$X$1,0),0),""),"")="","",IFERROR(_xlfn.IFNA(VLOOKUP($A323,'HR Rep'!$A:$X,MATCH('1) For HR (FIX)'!D$1,'HR Rep'!$A$1:$X$1,0),0),""),""))</f>
        <v/>
      </c>
      <c r="E323" s="140" t="str">
        <f>IF(IFERROR(_xlfn.IFNA(VLOOKUP($A323,'HR Rep'!$A:$X,MATCH('1) For HR (FIX)'!E$1,'HR Rep'!$A$1:$X$1,0),0),""),"")="","",IFERROR(_xlfn.IFNA(VLOOKUP($A323,'HR Rep'!$A:$X,MATCH('1) For HR (FIX)'!E$1,'HR Rep'!$A$1:$X$1,0),0),""),""))</f>
        <v/>
      </c>
      <c r="F323" s="140" t="str">
        <f>IF(IFERROR(_xlfn.IFNA(VLOOKUP($A323,'HR Rep'!$A:$X,MATCH('1) For HR (FIX)'!F$1,'HR Rep'!$A$1:$X$1,0),0),""),"")="","",IFERROR(_xlfn.IFNA(VLOOKUP($A323,'HR Rep'!$A:$X,MATCH('1) For HR (FIX)'!F$1,'HR Rep'!$A$1:$X$1,0),0),""),""))</f>
        <v/>
      </c>
      <c r="G323" s="196"/>
      <c r="H323" s="140" t="str">
        <f>IF(IFERROR(_xlfn.IFNA(VLOOKUP($A323,'HR Rep'!$A:$X,MATCH('1) For HR (FIX)'!H$1,'HR Rep'!$A$1:$X$1,0),0),""),"")="","",IFERROR(_xlfn.IFNA(VLOOKUP($A323,'HR Rep'!$A:$X,MATCH('1) For HR (FIX)'!H$1,'HR Rep'!$A$1:$X$1,0),0),""),""))</f>
        <v/>
      </c>
      <c r="I323" s="140" t="str">
        <f>IF(IFERROR(_xlfn.IFNA(VLOOKUP($A323,'HR Rep'!$A:$X,MATCH('1) For HR (FIX)'!I$1,'HR Rep'!$A$1:$X$1,0),0),""),"")="","",IFERROR(_xlfn.IFNA(VLOOKUP($A323,'HR Rep'!$A:$X,MATCH('1) For HR (FIX)'!I$1,'HR Rep'!$A$1:$X$1,0),0),""),""))</f>
        <v/>
      </c>
      <c r="J323" s="140" t="str">
        <f>IF(IFERROR(_xlfn.IFNA(VLOOKUP($A323,'HR Rep'!$A:$X,MATCH('1) For HR (FIX)'!J$1,'HR Rep'!$A$1:$X$1,0),0),""),"")="","",IFERROR(_xlfn.IFNA(VLOOKUP($A323,'HR Rep'!$A:$X,MATCH('1) For HR (FIX)'!J$1,'HR Rep'!$A$1:$X$1,0),0),""),""))</f>
        <v/>
      </c>
      <c r="K323" s="161">
        <f>_xlfn.XLOOKUP(G323,ค่าตอบแทนการขายในอัตราคงที่!A:A,ค่าตอบแทนการขายในอัตราคงที่!B:B)</f>
        <v>0</v>
      </c>
      <c r="L323" s="174">
        <f>Period!$A$2</f>
        <v>46113</v>
      </c>
      <c r="M323" s="175">
        <f>Period!$C$2</f>
        <v>46143</v>
      </c>
      <c r="N323" s="194" t="s">
        <v>279</v>
      </c>
    </row>
    <row r="324" spans="1:14" ht="11.4" x14ac:dyDescent="0.25">
      <c r="A324" s="137"/>
      <c r="B324" s="169" t="e">
        <f>IF(IF(VLOOKUP(A324,ASTBase!F:P,11,FALSE)="","",VLOOKUP(A324,ASTBase!F:P,11,FALSE))=0,"",IF(VLOOKUP(A324,ASTBase!F:P,11,FALSE)="","",VLOOKUP(A324,ASTBase!F:P,11,FALSE)))</f>
        <v>#N/A</v>
      </c>
      <c r="C324" s="140" t="str">
        <f>IF(IFERROR(_xlfn.IFNA(VLOOKUP($A324,'HR Rep'!$A:$X,MATCH('1) For HR (FIX)'!C$1,'HR Rep'!$A$1:$X$1,0),0),""),"")="","",IFERROR(_xlfn.IFNA(VLOOKUP($A324,'HR Rep'!$A:$X,MATCH('1) For HR (FIX)'!C$1,'HR Rep'!$A$1:$X$1,0),0),""),""))</f>
        <v/>
      </c>
      <c r="D324" s="140" t="str">
        <f>IF(IFERROR(_xlfn.IFNA(VLOOKUP($A324,'HR Rep'!$A:$X,MATCH('1) For HR (FIX)'!D$1,'HR Rep'!$A$1:$X$1,0),0),""),"")="","",IFERROR(_xlfn.IFNA(VLOOKUP($A324,'HR Rep'!$A:$X,MATCH('1) For HR (FIX)'!D$1,'HR Rep'!$A$1:$X$1,0),0),""),""))</f>
        <v/>
      </c>
      <c r="E324" s="140" t="str">
        <f>IF(IFERROR(_xlfn.IFNA(VLOOKUP($A324,'HR Rep'!$A:$X,MATCH('1) For HR (FIX)'!E$1,'HR Rep'!$A$1:$X$1,0),0),""),"")="","",IFERROR(_xlfn.IFNA(VLOOKUP($A324,'HR Rep'!$A:$X,MATCH('1) For HR (FIX)'!E$1,'HR Rep'!$A$1:$X$1,0),0),""),""))</f>
        <v/>
      </c>
      <c r="F324" s="140" t="str">
        <f>IF(IFERROR(_xlfn.IFNA(VLOOKUP($A324,'HR Rep'!$A:$X,MATCH('1) For HR (FIX)'!F$1,'HR Rep'!$A$1:$X$1,0),0),""),"")="","",IFERROR(_xlfn.IFNA(VLOOKUP($A324,'HR Rep'!$A:$X,MATCH('1) For HR (FIX)'!F$1,'HR Rep'!$A$1:$X$1,0),0),""),""))</f>
        <v/>
      </c>
      <c r="G324" s="196"/>
      <c r="H324" s="140" t="str">
        <f>IF(IFERROR(_xlfn.IFNA(VLOOKUP($A324,'HR Rep'!$A:$X,MATCH('1) For HR (FIX)'!H$1,'HR Rep'!$A$1:$X$1,0),0),""),"")="","",IFERROR(_xlfn.IFNA(VLOOKUP($A324,'HR Rep'!$A:$X,MATCH('1) For HR (FIX)'!H$1,'HR Rep'!$A$1:$X$1,0),0),""),""))</f>
        <v/>
      </c>
      <c r="I324" s="140" t="str">
        <f>IF(IFERROR(_xlfn.IFNA(VLOOKUP($A324,'HR Rep'!$A:$X,MATCH('1) For HR (FIX)'!I$1,'HR Rep'!$A$1:$X$1,0),0),""),"")="","",IFERROR(_xlfn.IFNA(VLOOKUP($A324,'HR Rep'!$A:$X,MATCH('1) For HR (FIX)'!I$1,'HR Rep'!$A$1:$X$1,0),0),""),""))</f>
        <v/>
      </c>
      <c r="J324" s="140" t="str">
        <f>IF(IFERROR(_xlfn.IFNA(VLOOKUP($A324,'HR Rep'!$A:$X,MATCH('1) For HR (FIX)'!J$1,'HR Rep'!$A$1:$X$1,0),0),""),"")="","",IFERROR(_xlfn.IFNA(VLOOKUP($A324,'HR Rep'!$A:$X,MATCH('1) For HR (FIX)'!J$1,'HR Rep'!$A$1:$X$1,0),0),""),""))</f>
        <v/>
      </c>
      <c r="K324" s="161">
        <f>_xlfn.XLOOKUP(G324,ค่าตอบแทนการขายในอัตราคงที่!A:A,ค่าตอบแทนการขายในอัตราคงที่!B:B)</f>
        <v>0</v>
      </c>
      <c r="L324" s="174">
        <f>Period!$A$2</f>
        <v>46113</v>
      </c>
      <c r="M324" s="175">
        <f>Period!$C$2</f>
        <v>46143</v>
      </c>
      <c r="N324" s="194" t="s">
        <v>279</v>
      </c>
    </row>
    <row r="325" spans="1:14" ht="11.4" x14ac:dyDescent="0.25">
      <c r="A325" s="137"/>
      <c r="B325" s="169" t="e">
        <f>IF(IF(VLOOKUP(A325,ASTBase!F:P,11,FALSE)="","",VLOOKUP(A325,ASTBase!F:P,11,FALSE))=0,"",IF(VLOOKUP(A325,ASTBase!F:P,11,FALSE)="","",VLOOKUP(A325,ASTBase!F:P,11,FALSE)))</f>
        <v>#N/A</v>
      </c>
      <c r="C325" s="140" t="str">
        <f>IF(IFERROR(_xlfn.IFNA(VLOOKUP($A325,'HR Rep'!$A:$X,MATCH('1) For HR (FIX)'!C$1,'HR Rep'!$A$1:$X$1,0),0),""),"")="","",IFERROR(_xlfn.IFNA(VLOOKUP($A325,'HR Rep'!$A:$X,MATCH('1) For HR (FIX)'!C$1,'HR Rep'!$A$1:$X$1,0),0),""),""))</f>
        <v/>
      </c>
      <c r="D325" s="140" t="str">
        <f>IF(IFERROR(_xlfn.IFNA(VLOOKUP($A325,'HR Rep'!$A:$X,MATCH('1) For HR (FIX)'!D$1,'HR Rep'!$A$1:$X$1,0),0),""),"")="","",IFERROR(_xlfn.IFNA(VLOOKUP($A325,'HR Rep'!$A:$X,MATCH('1) For HR (FIX)'!D$1,'HR Rep'!$A$1:$X$1,0),0),""),""))</f>
        <v/>
      </c>
      <c r="E325" s="140" t="str">
        <f>IF(IFERROR(_xlfn.IFNA(VLOOKUP($A325,'HR Rep'!$A:$X,MATCH('1) For HR (FIX)'!E$1,'HR Rep'!$A$1:$X$1,0),0),""),"")="","",IFERROR(_xlfn.IFNA(VLOOKUP($A325,'HR Rep'!$A:$X,MATCH('1) For HR (FIX)'!E$1,'HR Rep'!$A$1:$X$1,0),0),""),""))</f>
        <v/>
      </c>
      <c r="F325" s="140" t="str">
        <f>IF(IFERROR(_xlfn.IFNA(VLOOKUP($A325,'HR Rep'!$A:$X,MATCH('1) For HR (FIX)'!F$1,'HR Rep'!$A$1:$X$1,0),0),""),"")="","",IFERROR(_xlfn.IFNA(VLOOKUP($A325,'HR Rep'!$A:$X,MATCH('1) For HR (FIX)'!F$1,'HR Rep'!$A$1:$X$1,0),0),""),""))</f>
        <v/>
      </c>
      <c r="G325" s="196"/>
      <c r="H325" s="140" t="str">
        <f>IF(IFERROR(_xlfn.IFNA(VLOOKUP($A325,'HR Rep'!$A:$X,MATCH('1) For HR (FIX)'!H$1,'HR Rep'!$A$1:$X$1,0),0),""),"")="","",IFERROR(_xlfn.IFNA(VLOOKUP($A325,'HR Rep'!$A:$X,MATCH('1) For HR (FIX)'!H$1,'HR Rep'!$A$1:$X$1,0),0),""),""))</f>
        <v/>
      </c>
      <c r="I325" s="140" t="str">
        <f>IF(IFERROR(_xlfn.IFNA(VLOOKUP($A325,'HR Rep'!$A:$X,MATCH('1) For HR (FIX)'!I$1,'HR Rep'!$A$1:$X$1,0),0),""),"")="","",IFERROR(_xlfn.IFNA(VLOOKUP($A325,'HR Rep'!$A:$X,MATCH('1) For HR (FIX)'!I$1,'HR Rep'!$A$1:$X$1,0),0),""),""))</f>
        <v/>
      </c>
      <c r="J325" s="140" t="str">
        <f>IF(IFERROR(_xlfn.IFNA(VLOOKUP($A325,'HR Rep'!$A:$X,MATCH('1) For HR (FIX)'!J$1,'HR Rep'!$A$1:$X$1,0),0),""),"")="","",IFERROR(_xlfn.IFNA(VLOOKUP($A325,'HR Rep'!$A:$X,MATCH('1) For HR (FIX)'!J$1,'HR Rep'!$A$1:$X$1,0),0),""),""))</f>
        <v/>
      </c>
      <c r="K325" s="161">
        <f>_xlfn.XLOOKUP(G325,ค่าตอบแทนการขายในอัตราคงที่!A:A,ค่าตอบแทนการขายในอัตราคงที่!B:B)</f>
        <v>0</v>
      </c>
      <c r="L325" s="174">
        <f>Period!$A$2</f>
        <v>46113</v>
      </c>
      <c r="M325" s="175">
        <f>Period!$C$2</f>
        <v>46143</v>
      </c>
      <c r="N325" s="194" t="s">
        <v>279</v>
      </c>
    </row>
    <row r="326" spans="1:14" ht="11.4" x14ac:dyDescent="0.25">
      <c r="A326" s="137"/>
      <c r="B326" s="169" t="e">
        <f>IF(IF(VLOOKUP(A326,ASTBase!F:P,11,FALSE)="","",VLOOKUP(A326,ASTBase!F:P,11,FALSE))=0,"",IF(VLOOKUP(A326,ASTBase!F:P,11,FALSE)="","",VLOOKUP(A326,ASTBase!F:P,11,FALSE)))</f>
        <v>#N/A</v>
      </c>
      <c r="C326" s="140" t="str">
        <f>IF(IFERROR(_xlfn.IFNA(VLOOKUP($A326,'HR Rep'!$A:$X,MATCH('1) For HR (FIX)'!C$1,'HR Rep'!$A$1:$X$1,0),0),""),"")="","",IFERROR(_xlfn.IFNA(VLOOKUP($A326,'HR Rep'!$A:$X,MATCH('1) For HR (FIX)'!C$1,'HR Rep'!$A$1:$X$1,0),0),""),""))</f>
        <v/>
      </c>
      <c r="D326" s="140" t="str">
        <f>IF(IFERROR(_xlfn.IFNA(VLOOKUP($A326,'HR Rep'!$A:$X,MATCH('1) For HR (FIX)'!D$1,'HR Rep'!$A$1:$X$1,0),0),""),"")="","",IFERROR(_xlfn.IFNA(VLOOKUP($A326,'HR Rep'!$A:$X,MATCH('1) For HR (FIX)'!D$1,'HR Rep'!$A$1:$X$1,0),0),""),""))</f>
        <v/>
      </c>
      <c r="E326" s="140" t="str">
        <f>IF(IFERROR(_xlfn.IFNA(VLOOKUP($A326,'HR Rep'!$A:$X,MATCH('1) For HR (FIX)'!E$1,'HR Rep'!$A$1:$X$1,0),0),""),"")="","",IFERROR(_xlfn.IFNA(VLOOKUP($A326,'HR Rep'!$A:$X,MATCH('1) For HR (FIX)'!E$1,'HR Rep'!$A$1:$X$1,0),0),""),""))</f>
        <v/>
      </c>
      <c r="F326" s="140" t="str">
        <f>IF(IFERROR(_xlfn.IFNA(VLOOKUP($A326,'HR Rep'!$A:$X,MATCH('1) For HR (FIX)'!F$1,'HR Rep'!$A$1:$X$1,0),0),""),"")="","",IFERROR(_xlfn.IFNA(VLOOKUP($A326,'HR Rep'!$A:$X,MATCH('1) For HR (FIX)'!F$1,'HR Rep'!$A$1:$X$1,0),0),""),""))</f>
        <v/>
      </c>
      <c r="G326" s="196"/>
      <c r="H326" s="140" t="str">
        <f>IF(IFERROR(_xlfn.IFNA(VLOOKUP($A326,'HR Rep'!$A:$X,MATCH('1) For HR (FIX)'!H$1,'HR Rep'!$A$1:$X$1,0),0),""),"")="","",IFERROR(_xlfn.IFNA(VLOOKUP($A326,'HR Rep'!$A:$X,MATCH('1) For HR (FIX)'!H$1,'HR Rep'!$A$1:$X$1,0),0),""),""))</f>
        <v/>
      </c>
      <c r="I326" s="140" t="str">
        <f>IF(IFERROR(_xlfn.IFNA(VLOOKUP($A326,'HR Rep'!$A:$X,MATCH('1) For HR (FIX)'!I$1,'HR Rep'!$A$1:$X$1,0),0),""),"")="","",IFERROR(_xlfn.IFNA(VLOOKUP($A326,'HR Rep'!$A:$X,MATCH('1) For HR (FIX)'!I$1,'HR Rep'!$A$1:$X$1,0),0),""),""))</f>
        <v/>
      </c>
      <c r="J326" s="140" t="str">
        <f>IF(IFERROR(_xlfn.IFNA(VLOOKUP($A326,'HR Rep'!$A:$X,MATCH('1) For HR (FIX)'!J$1,'HR Rep'!$A$1:$X$1,0),0),""),"")="","",IFERROR(_xlfn.IFNA(VLOOKUP($A326,'HR Rep'!$A:$X,MATCH('1) For HR (FIX)'!J$1,'HR Rep'!$A$1:$X$1,0),0),""),""))</f>
        <v/>
      </c>
      <c r="K326" s="161">
        <f>_xlfn.XLOOKUP(G326,ค่าตอบแทนการขายในอัตราคงที่!A:A,ค่าตอบแทนการขายในอัตราคงที่!B:B)</f>
        <v>0</v>
      </c>
      <c r="L326" s="174">
        <f>Period!$A$2</f>
        <v>46113</v>
      </c>
      <c r="M326" s="175">
        <f>Period!$C$2</f>
        <v>46143</v>
      </c>
      <c r="N326" s="194" t="s">
        <v>279</v>
      </c>
    </row>
    <row r="327" spans="1:14" ht="11.4" x14ac:dyDescent="0.25">
      <c r="A327" s="137"/>
      <c r="B327" s="169" t="e">
        <f>IF(IF(VLOOKUP(A327,ASTBase!F:P,11,FALSE)="","",VLOOKUP(A327,ASTBase!F:P,11,FALSE))=0,"",IF(VLOOKUP(A327,ASTBase!F:P,11,FALSE)="","",VLOOKUP(A327,ASTBase!F:P,11,FALSE)))</f>
        <v>#N/A</v>
      </c>
      <c r="C327" s="140" t="str">
        <f>IF(IFERROR(_xlfn.IFNA(VLOOKUP($A327,'HR Rep'!$A:$X,MATCH('1) For HR (FIX)'!C$1,'HR Rep'!$A$1:$X$1,0),0),""),"")="","",IFERROR(_xlfn.IFNA(VLOOKUP($A327,'HR Rep'!$A:$X,MATCH('1) For HR (FIX)'!C$1,'HR Rep'!$A$1:$X$1,0),0),""),""))</f>
        <v/>
      </c>
      <c r="D327" s="140" t="str">
        <f>IF(IFERROR(_xlfn.IFNA(VLOOKUP($A327,'HR Rep'!$A:$X,MATCH('1) For HR (FIX)'!D$1,'HR Rep'!$A$1:$X$1,0),0),""),"")="","",IFERROR(_xlfn.IFNA(VLOOKUP($A327,'HR Rep'!$A:$X,MATCH('1) For HR (FIX)'!D$1,'HR Rep'!$A$1:$X$1,0),0),""),""))</f>
        <v/>
      </c>
      <c r="E327" s="140" t="str">
        <f>IF(IFERROR(_xlfn.IFNA(VLOOKUP($A327,'HR Rep'!$A:$X,MATCH('1) For HR (FIX)'!E$1,'HR Rep'!$A$1:$X$1,0),0),""),"")="","",IFERROR(_xlfn.IFNA(VLOOKUP($A327,'HR Rep'!$A:$X,MATCH('1) For HR (FIX)'!E$1,'HR Rep'!$A$1:$X$1,0),0),""),""))</f>
        <v/>
      </c>
      <c r="F327" s="140" t="str">
        <f>IF(IFERROR(_xlfn.IFNA(VLOOKUP($A327,'HR Rep'!$A:$X,MATCH('1) For HR (FIX)'!F$1,'HR Rep'!$A$1:$X$1,0),0),""),"")="","",IFERROR(_xlfn.IFNA(VLOOKUP($A327,'HR Rep'!$A:$X,MATCH('1) For HR (FIX)'!F$1,'HR Rep'!$A$1:$X$1,0),0),""),""))</f>
        <v/>
      </c>
      <c r="G327" s="196"/>
      <c r="H327" s="140" t="str">
        <f>IF(IFERROR(_xlfn.IFNA(VLOOKUP($A327,'HR Rep'!$A:$X,MATCH('1) For HR (FIX)'!H$1,'HR Rep'!$A$1:$X$1,0),0),""),"")="","",IFERROR(_xlfn.IFNA(VLOOKUP($A327,'HR Rep'!$A:$X,MATCH('1) For HR (FIX)'!H$1,'HR Rep'!$A$1:$X$1,0),0),""),""))</f>
        <v/>
      </c>
      <c r="I327" s="140" t="str">
        <f>IF(IFERROR(_xlfn.IFNA(VLOOKUP($A327,'HR Rep'!$A:$X,MATCH('1) For HR (FIX)'!I$1,'HR Rep'!$A$1:$X$1,0),0),""),"")="","",IFERROR(_xlfn.IFNA(VLOOKUP($A327,'HR Rep'!$A:$X,MATCH('1) For HR (FIX)'!I$1,'HR Rep'!$A$1:$X$1,0),0),""),""))</f>
        <v/>
      </c>
      <c r="J327" s="140" t="str">
        <f>IF(IFERROR(_xlfn.IFNA(VLOOKUP($A327,'HR Rep'!$A:$X,MATCH('1) For HR (FIX)'!J$1,'HR Rep'!$A$1:$X$1,0),0),""),"")="","",IFERROR(_xlfn.IFNA(VLOOKUP($A327,'HR Rep'!$A:$X,MATCH('1) For HR (FIX)'!J$1,'HR Rep'!$A$1:$X$1,0),0),""),""))</f>
        <v/>
      </c>
      <c r="K327" s="161">
        <f>_xlfn.XLOOKUP(G327,ค่าตอบแทนการขายในอัตราคงที่!A:A,ค่าตอบแทนการขายในอัตราคงที่!B:B)</f>
        <v>0</v>
      </c>
      <c r="L327" s="174">
        <f>Period!$A$2</f>
        <v>46113</v>
      </c>
      <c r="M327" s="175">
        <f>Period!$C$2</f>
        <v>46143</v>
      </c>
      <c r="N327" s="194" t="s">
        <v>279</v>
      </c>
    </row>
    <row r="328" spans="1:14" ht="11.4" x14ac:dyDescent="0.25">
      <c r="A328" s="137"/>
      <c r="B328" s="169" t="e">
        <f>IF(IF(VLOOKUP(A328,ASTBase!F:P,11,FALSE)="","",VLOOKUP(A328,ASTBase!F:P,11,FALSE))=0,"",IF(VLOOKUP(A328,ASTBase!F:P,11,FALSE)="","",VLOOKUP(A328,ASTBase!F:P,11,FALSE)))</f>
        <v>#N/A</v>
      </c>
      <c r="C328" s="140" t="str">
        <f>IF(IFERROR(_xlfn.IFNA(VLOOKUP($A328,'HR Rep'!$A:$X,MATCH('1) For HR (FIX)'!C$1,'HR Rep'!$A$1:$X$1,0),0),""),"")="","",IFERROR(_xlfn.IFNA(VLOOKUP($A328,'HR Rep'!$A:$X,MATCH('1) For HR (FIX)'!C$1,'HR Rep'!$A$1:$X$1,0),0),""),""))</f>
        <v/>
      </c>
      <c r="D328" s="140" t="str">
        <f>IF(IFERROR(_xlfn.IFNA(VLOOKUP($A328,'HR Rep'!$A:$X,MATCH('1) For HR (FIX)'!D$1,'HR Rep'!$A$1:$X$1,0),0),""),"")="","",IFERROR(_xlfn.IFNA(VLOOKUP($A328,'HR Rep'!$A:$X,MATCH('1) For HR (FIX)'!D$1,'HR Rep'!$A$1:$X$1,0),0),""),""))</f>
        <v/>
      </c>
      <c r="E328" s="140" t="str">
        <f>IF(IFERROR(_xlfn.IFNA(VLOOKUP($A328,'HR Rep'!$A:$X,MATCH('1) For HR (FIX)'!E$1,'HR Rep'!$A$1:$X$1,0),0),""),"")="","",IFERROR(_xlfn.IFNA(VLOOKUP($A328,'HR Rep'!$A:$X,MATCH('1) For HR (FIX)'!E$1,'HR Rep'!$A$1:$X$1,0),0),""),""))</f>
        <v/>
      </c>
      <c r="F328" s="140" t="str">
        <f>IF(IFERROR(_xlfn.IFNA(VLOOKUP($A328,'HR Rep'!$A:$X,MATCH('1) For HR (FIX)'!F$1,'HR Rep'!$A$1:$X$1,0),0),""),"")="","",IFERROR(_xlfn.IFNA(VLOOKUP($A328,'HR Rep'!$A:$X,MATCH('1) For HR (FIX)'!F$1,'HR Rep'!$A$1:$X$1,0),0),""),""))</f>
        <v/>
      </c>
      <c r="G328" s="196"/>
      <c r="H328" s="140" t="str">
        <f>IF(IFERROR(_xlfn.IFNA(VLOOKUP($A328,'HR Rep'!$A:$X,MATCH('1) For HR (FIX)'!H$1,'HR Rep'!$A$1:$X$1,0),0),""),"")="","",IFERROR(_xlfn.IFNA(VLOOKUP($A328,'HR Rep'!$A:$X,MATCH('1) For HR (FIX)'!H$1,'HR Rep'!$A$1:$X$1,0),0),""),""))</f>
        <v/>
      </c>
      <c r="I328" s="140" t="str">
        <f>IF(IFERROR(_xlfn.IFNA(VLOOKUP($A328,'HR Rep'!$A:$X,MATCH('1) For HR (FIX)'!I$1,'HR Rep'!$A$1:$X$1,0),0),""),"")="","",IFERROR(_xlfn.IFNA(VLOOKUP($A328,'HR Rep'!$A:$X,MATCH('1) For HR (FIX)'!I$1,'HR Rep'!$A$1:$X$1,0),0),""),""))</f>
        <v/>
      </c>
      <c r="J328" s="140" t="str">
        <f>IF(IFERROR(_xlfn.IFNA(VLOOKUP($A328,'HR Rep'!$A:$X,MATCH('1) For HR (FIX)'!J$1,'HR Rep'!$A$1:$X$1,0),0),""),"")="","",IFERROR(_xlfn.IFNA(VLOOKUP($A328,'HR Rep'!$A:$X,MATCH('1) For HR (FIX)'!J$1,'HR Rep'!$A$1:$X$1,0),0),""),""))</f>
        <v/>
      </c>
      <c r="K328" s="161">
        <f>_xlfn.XLOOKUP(G328,ค่าตอบแทนการขายในอัตราคงที่!A:A,ค่าตอบแทนการขายในอัตราคงที่!B:B)</f>
        <v>0</v>
      </c>
      <c r="L328" s="174">
        <f>Period!$A$2</f>
        <v>46113</v>
      </c>
      <c r="M328" s="175">
        <f>Period!$C$2</f>
        <v>46143</v>
      </c>
      <c r="N328" s="194" t="s">
        <v>279</v>
      </c>
    </row>
    <row r="329" spans="1:14" ht="11.4" x14ac:dyDescent="0.25">
      <c r="A329" s="137"/>
      <c r="B329" s="169" t="e">
        <f>IF(IF(VLOOKUP(A329,ASTBase!F:P,11,FALSE)="","",VLOOKUP(A329,ASTBase!F:P,11,FALSE))=0,"",IF(VLOOKUP(A329,ASTBase!F:P,11,FALSE)="","",VLOOKUP(A329,ASTBase!F:P,11,FALSE)))</f>
        <v>#N/A</v>
      </c>
      <c r="C329" s="140" t="str">
        <f>IF(IFERROR(_xlfn.IFNA(VLOOKUP($A329,'HR Rep'!$A:$X,MATCH('1) For HR (FIX)'!C$1,'HR Rep'!$A$1:$X$1,0),0),""),"")="","",IFERROR(_xlfn.IFNA(VLOOKUP($A329,'HR Rep'!$A:$X,MATCH('1) For HR (FIX)'!C$1,'HR Rep'!$A$1:$X$1,0),0),""),""))</f>
        <v/>
      </c>
      <c r="D329" s="140" t="str">
        <f>IF(IFERROR(_xlfn.IFNA(VLOOKUP($A329,'HR Rep'!$A:$X,MATCH('1) For HR (FIX)'!D$1,'HR Rep'!$A$1:$X$1,0),0),""),"")="","",IFERROR(_xlfn.IFNA(VLOOKUP($A329,'HR Rep'!$A:$X,MATCH('1) For HR (FIX)'!D$1,'HR Rep'!$A$1:$X$1,0),0),""),""))</f>
        <v/>
      </c>
      <c r="E329" s="140" t="str">
        <f>IF(IFERROR(_xlfn.IFNA(VLOOKUP($A329,'HR Rep'!$A:$X,MATCH('1) For HR (FIX)'!E$1,'HR Rep'!$A$1:$X$1,0),0),""),"")="","",IFERROR(_xlfn.IFNA(VLOOKUP($A329,'HR Rep'!$A:$X,MATCH('1) For HR (FIX)'!E$1,'HR Rep'!$A$1:$X$1,0),0),""),""))</f>
        <v/>
      </c>
      <c r="F329" s="140" t="str">
        <f>IF(IFERROR(_xlfn.IFNA(VLOOKUP($A329,'HR Rep'!$A:$X,MATCH('1) For HR (FIX)'!F$1,'HR Rep'!$A$1:$X$1,0),0),""),"")="","",IFERROR(_xlfn.IFNA(VLOOKUP($A329,'HR Rep'!$A:$X,MATCH('1) For HR (FIX)'!F$1,'HR Rep'!$A$1:$X$1,0),0),""),""))</f>
        <v/>
      </c>
      <c r="G329" s="196"/>
      <c r="H329" s="140" t="str">
        <f>IF(IFERROR(_xlfn.IFNA(VLOOKUP($A329,'HR Rep'!$A:$X,MATCH('1) For HR (FIX)'!H$1,'HR Rep'!$A$1:$X$1,0),0),""),"")="","",IFERROR(_xlfn.IFNA(VLOOKUP($A329,'HR Rep'!$A:$X,MATCH('1) For HR (FIX)'!H$1,'HR Rep'!$A$1:$X$1,0),0),""),""))</f>
        <v/>
      </c>
      <c r="I329" s="140" t="str">
        <f>IF(IFERROR(_xlfn.IFNA(VLOOKUP($A329,'HR Rep'!$A:$X,MATCH('1) For HR (FIX)'!I$1,'HR Rep'!$A$1:$X$1,0),0),""),"")="","",IFERROR(_xlfn.IFNA(VLOOKUP($A329,'HR Rep'!$A:$X,MATCH('1) For HR (FIX)'!I$1,'HR Rep'!$A$1:$X$1,0),0),""),""))</f>
        <v/>
      </c>
      <c r="J329" s="140" t="str">
        <f>IF(IFERROR(_xlfn.IFNA(VLOOKUP($A329,'HR Rep'!$A:$X,MATCH('1) For HR (FIX)'!J$1,'HR Rep'!$A$1:$X$1,0),0),""),"")="","",IFERROR(_xlfn.IFNA(VLOOKUP($A329,'HR Rep'!$A:$X,MATCH('1) For HR (FIX)'!J$1,'HR Rep'!$A$1:$X$1,0),0),""),""))</f>
        <v/>
      </c>
      <c r="K329" s="161">
        <f>_xlfn.XLOOKUP(G329,ค่าตอบแทนการขายในอัตราคงที่!A:A,ค่าตอบแทนการขายในอัตราคงที่!B:B)</f>
        <v>0</v>
      </c>
      <c r="L329" s="174">
        <f>Period!$A$2</f>
        <v>46113</v>
      </c>
      <c r="M329" s="175">
        <f>Period!$C$2</f>
        <v>46143</v>
      </c>
      <c r="N329" s="194" t="s">
        <v>279</v>
      </c>
    </row>
    <row r="330" spans="1:14" ht="11.4" x14ac:dyDescent="0.25">
      <c r="A330" s="138"/>
      <c r="B330" s="169" t="e">
        <f>IF(IF(VLOOKUP(A330,ASTBase!F:P,11,FALSE)="","",VLOOKUP(A330,ASTBase!F:P,11,FALSE))=0,"",IF(VLOOKUP(A330,ASTBase!F:P,11,FALSE)="","",VLOOKUP(A330,ASTBase!F:P,11,FALSE)))</f>
        <v>#N/A</v>
      </c>
      <c r="C330" s="140" t="str">
        <f>IF(IFERROR(_xlfn.IFNA(VLOOKUP($A330,'HR Rep'!$A:$X,MATCH('1) For HR (FIX)'!C$1,'HR Rep'!$A$1:$X$1,0),0),""),"")="","",IFERROR(_xlfn.IFNA(VLOOKUP($A330,'HR Rep'!$A:$X,MATCH('1) For HR (FIX)'!C$1,'HR Rep'!$A$1:$X$1,0),0),""),""))</f>
        <v/>
      </c>
      <c r="D330" s="140" t="str">
        <f>IF(IFERROR(_xlfn.IFNA(VLOOKUP($A330,'HR Rep'!$A:$X,MATCH('1) For HR (FIX)'!D$1,'HR Rep'!$A$1:$X$1,0),0),""),"")="","",IFERROR(_xlfn.IFNA(VLOOKUP($A330,'HR Rep'!$A:$X,MATCH('1) For HR (FIX)'!D$1,'HR Rep'!$A$1:$X$1,0),0),""),""))</f>
        <v/>
      </c>
      <c r="E330" s="140" t="str">
        <f>IF(IFERROR(_xlfn.IFNA(VLOOKUP($A330,'HR Rep'!$A:$X,MATCH('1) For HR (FIX)'!E$1,'HR Rep'!$A$1:$X$1,0),0),""),"")="","",IFERROR(_xlfn.IFNA(VLOOKUP($A330,'HR Rep'!$A:$X,MATCH('1) For HR (FIX)'!E$1,'HR Rep'!$A$1:$X$1,0),0),""),""))</f>
        <v/>
      </c>
      <c r="F330" s="140" t="str">
        <f>IF(IFERROR(_xlfn.IFNA(VLOOKUP($A330,'HR Rep'!$A:$X,MATCH('1) For HR (FIX)'!F$1,'HR Rep'!$A$1:$X$1,0),0),""),"")="","",IFERROR(_xlfn.IFNA(VLOOKUP($A330,'HR Rep'!$A:$X,MATCH('1) For HR (FIX)'!F$1,'HR Rep'!$A$1:$X$1,0),0),""),""))</f>
        <v/>
      </c>
      <c r="G330" s="196"/>
      <c r="H330" s="140" t="str">
        <f>IF(IFERROR(_xlfn.IFNA(VLOOKUP($A330,'HR Rep'!$A:$X,MATCH('1) For HR (FIX)'!H$1,'HR Rep'!$A$1:$X$1,0),0),""),"")="","",IFERROR(_xlfn.IFNA(VLOOKUP($A330,'HR Rep'!$A:$X,MATCH('1) For HR (FIX)'!H$1,'HR Rep'!$A$1:$X$1,0),0),""),""))</f>
        <v/>
      </c>
      <c r="I330" s="140" t="str">
        <f>IF(IFERROR(_xlfn.IFNA(VLOOKUP($A330,'HR Rep'!$A:$X,MATCH('1) For HR (FIX)'!I$1,'HR Rep'!$A$1:$X$1,0),0),""),"")="","",IFERROR(_xlfn.IFNA(VLOOKUP($A330,'HR Rep'!$A:$X,MATCH('1) For HR (FIX)'!I$1,'HR Rep'!$A$1:$X$1,0),0),""),""))</f>
        <v/>
      </c>
      <c r="J330" s="140" t="str">
        <f>IF(IFERROR(_xlfn.IFNA(VLOOKUP($A330,'HR Rep'!$A:$X,MATCH('1) For HR (FIX)'!J$1,'HR Rep'!$A$1:$X$1,0),0),""),"")="","",IFERROR(_xlfn.IFNA(VLOOKUP($A330,'HR Rep'!$A:$X,MATCH('1) For HR (FIX)'!J$1,'HR Rep'!$A$1:$X$1,0),0),""),""))</f>
        <v/>
      </c>
      <c r="K330" s="161">
        <f>_xlfn.XLOOKUP(G330,ค่าตอบแทนการขายในอัตราคงที่!A:A,ค่าตอบแทนการขายในอัตราคงที่!B:B)</f>
        <v>0</v>
      </c>
      <c r="L330" s="174">
        <f>Period!$A$2</f>
        <v>46113</v>
      </c>
      <c r="M330" s="175">
        <f>Period!$C$2</f>
        <v>46143</v>
      </c>
      <c r="N330" s="194" t="s">
        <v>279</v>
      </c>
    </row>
    <row r="331" spans="1:14" ht="11.4" x14ac:dyDescent="0.25">
      <c r="A331" s="138"/>
      <c r="B331" s="169" t="e">
        <f>IF(IF(VLOOKUP(A331,ASTBase!F:P,11,FALSE)="","",VLOOKUP(A331,ASTBase!F:P,11,FALSE))=0,"",IF(VLOOKUP(A331,ASTBase!F:P,11,FALSE)="","",VLOOKUP(A331,ASTBase!F:P,11,FALSE)))</f>
        <v>#N/A</v>
      </c>
      <c r="C331" s="140" t="str">
        <f>IF(IFERROR(_xlfn.IFNA(VLOOKUP($A331,'HR Rep'!$A:$X,MATCH('1) For HR (FIX)'!C$1,'HR Rep'!$A$1:$X$1,0),0),""),"")="","",IFERROR(_xlfn.IFNA(VLOOKUP($A331,'HR Rep'!$A:$X,MATCH('1) For HR (FIX)'!C$1,'HR Rep'!$A$1:$X$1,0),0),""),""))</f>
        <v/>
      </c>
      <c r="D331" s="140" t="str">
        <f>IF(IFERROR(_xlfn.IFNA(VLOOKUP($A331,'HR Rep'!$A:$X,MATCH('1) For HR (FIX)'!D$1,'HR Rep'!$A$1:$X$1,0),0),""),"")="","",IFERROR(_xlfn.IFNA(VLOOKUP($A331,'HR Rep'!$A:$X,MATCH('1) For HR (FIX)'!D$1,'HR Rep'!$A$1:$X$1,0),0),""),""))</f>
        <v/>
      </c>
      <c r="E331" s="140" t="str">
        <f>IF(IFERROR(_xlfn.IFNA(VLOOKUP($A331,'HR Rep'!$A:$X,MATCH('1) For HR (FIX)'!E$1,'HR Rep'!$A$1:$X$1,0),0),""),"")="","",IFERROR(_xlfn.IFNA(VLOOKUP($A331,'HR Rep'!$A:$X,MATCH('1) For HR (FIX)'!E$1,'HR Rep'!$A$1:$X$1,0),0),""),""))</f>
        <v/>
      </c>
      <c r="F331" s="140" t="str">
        <f>IF(IFERROR(_xlfn.IFNA(VLOOKUP($A331,'HR Rep'!$A:$X,MATCH('1) For HR (FIX)'!F$1,'HR Rep'!$A$1:$X$1,0),0),""),"")="","",IFERROR(_xlfn.IFNA(VLOOKUP($A331,'HR Rep'!$A:$X,MATCH('1) For HR (FIX)'!F$1,'HR Rep'!$A$1:$X$1,0),0),""),""))</f>
        <v/>
      </c>
      <c r="G331" s="196"/>
      <c r="H331" s="140" t="str">
        <f>IF(IFERROR(_xlfn.IFNA(VLOOKUP($A331,'HR Rep'!$A:$X,MATCH('1) For HR (FIX)'!H$1,'HR Rep'!$A$1:$X$1,0),0),""),"")="","",IFERROR(_xlfn.IFNA(VLOOKUP($A331,'HR Rep'!$A:$X,MATCH('1) For HR (FIX)'!H$1,'HR Rep'!$A$1:$X$1,0),0),""),""))</f>
        <v/>
      </c>
      <c r="I331" s="140" t="str">
        <f>IF(IFERROR(_xlfn.IFNA(VLOOKUP($A331,'HR Rep'!$A:$X,MATCH('1) For HR (FIX)'!I$1,'HR Rep'!$A$1:$X$1,0),0),""),"")="","",IFERROR(_xlfn.IFNA(VLOOKUP($A331,'HR Rep'!$A:$X,MATCH('1) For HR (FIX)'!I$1,'HR Rep'!$A$1:$X$1,0),0),""),""))</f>
        <v/>
      </c>
      <c r="J331" s="140" t="str">
        <f>IF(IFERROR(_xlfn.IFNA(VLOOKUP($A331,'HR Rep'!$A:$X,MATCH('1) For HR (FIX)'!J$1,'HR Rep'!$A$1:$X$1,0),0),""),"")="","",IFERROR(_xlfn.IFNA(VLOOKUP($A331,'HR Rep'!$A:$X,MATCH('1) For HR (FIX)'!J$1,'HR Rep'!$A$1:$X$1,0),0),""),""))</f>
        <v/>
      </c>
      <c r="K331" s="161">
        <f>_xlfn.XLOOKUP(G331,ค่าตอบแทนการขายในอัตราคงที่!A:A,ค่าตอบแทนการขายในอัตราคงที่!B:B)</f>
        <v>0</v>
      </c>
      <c r="L331" s="174">
        <f>Period!$A$2</f>
        <v>46113</v>
      </c>
      <c r="M331" s="175">
        <f>Period!$C$2</f>
        <v>46143</v>
      </c>
      <c r="N331" s="194" t="s">
        <v>279</v>
      </c>
    </row>
    <row r="332" spans="1:14" ht="11.4" x14ac:dyDescent="0.25">
      <c r="A332" s="138"/>
      <c r="B332" s="169" t="e">
        <f>IF(IF(VLOOKUP(A332,ASTBase!F:P,11,FALSE)="","",VLOOKUP(A332,ASTBase!F:P,11,FALSE))=0,"",IF(VLOOKUP(A332,ASTBase!F:P,11,FALSE)="","",VLOOKUP(A332,ASTBase!F:P,11,FALSE)))</f>
        <v>#N/A</v>
      </c>
      <c r="C332" s="140" t="str">
        <f>IF(IFERROR(_xlfn.IFNA(VLOOKUP($A332,'HR Rep'!$A:$X,MATCH('1) For HR (FIX)'!C$1,'HR Rep'!$A$1:$X$1,0),0),""),"")="","",IFERROR(_xlfn.IFNA(VLOOKUP($A332,'HR Rep'!$A:$X,MATCH('1) For HR (FIX)'!C$1,'HR Rep'!$A$1:$X$1,0),0),""),""))</f>
        <v/>
      </c>
      <c r="D332" s="140" t="str">
        <f>IF(IFERROR(_xlfn.IFNA(VLOOKUP($A332,'HR Rep'!$A:$X,MATCH('1) For HR (FIX)'!D$1,'HR Rep'!$A$1:$X$1,0),0),""),"")="","",IFERROR(_xlfn.IFNA(VLOOKUP($A332,'HR Rep'!$A:$X,MATCH('1) For HR (FIX)'!D$1,'HR Rep'!$A$1:$X$1,0),0),""),""))</f>
        <v/>
      </c>
      <c r="E332" s="140" t="str">
        <f>IF(IFERROR(_xlfn.IFNA(VLOOKUP($A332,'HR Rep'!$A:$X,MATCH('1) For HR (FIX)'!E$1,'HR Rep'!$A$1:$X$1,0),0),""),"")="","",IFERROR(_xlfn.IFNA(VLOOKUP($A332,'HR Rep'!$A:$X,MATCH('1) For HR (FIX)'!E$1,'HR Rep'!$A$1:$X$1,0),0),""),""))</f>
        <v/>
      </c>
      <c r="F332" s="140" t="str">
        <f>IF(IFERROR(_xlfn.IFNA(VLOOKUP($A332,'HR Rep'!$A:$X,MATCH('1) For HR (FIX)'!F$1,'HR Rep'!$A$1:$X$1,0),0),""),"")="","",IFERROR(_xlfn.IFNA(VLOOKUP($A332,'HR Rep'!$A:$X,MATCH('1) For HR (FIX)'!F$1,'HR Rep'!$A$1:$X$1,0),0),""),""))</f>
        <v/>
      </c>
      <c r="G332" s="196"/>
      <c r="H332" s="140" t="str">
        <f>IF(IFERROR(_xlfn.IFNA(VLOOKUP($A332,'HR Rep'!$A:$X,MATCH('1) For HR (FIX)'!H$1,'HR Rep'!$A$1:$X$1,0),0),""),"")="","",IFERROR(_xlfn.IFNA(VLOOKUP($A332,'HR Rep'!$A:$X,MATCH('1) For HR (FIX)'!H$1,'HR Rep'!$A$1:$X$1,0),0),""),""))</f>
        <v/>
      </c>
      <c r="I332" s="140" t="str">
        <f>IF(IFERROR(_xlfn.IFNA(VLOOKUP($A332,'HR Rep'!$A:$X,MATCH('1) For HR (FIX)'!I$1,'HR Rep'!$A$1:$X$1,0),0),""),"")="","",IFERROR(_xlfn.IFNA(VLOOKUP($A332,'HR Rep'!$A:$X,MATCH('1) For HR (FIX)'!I$1,'HR Rep'!$A$1:$X$1,0),0),""),""))</f>
        <v/>
      </c>
      <c r="J332" s="140" t="str">
        <f>IF(IFERROR(_xlfn.IFNA(VLOOKUP($A332,'HR Rep'!$A:$X,MATCH('1) For HR (FIX)'!J$1,'HR Rep'!$A$1:$X$1,0),0),""),"")="","",IFERROR(_xlfn.IFNA(VLOOKUP($A332,'HR Rep'!$A:$X,MATCH('1) For HR (FIX)'!J$1,'HR Rep'!$A$1:$X$1,0),0),""),""))</f>
        <v/>
      </c>
      <c r="K332" s="161">
        <f>_xlfn.XLOOKUP(G332,ค่าตอบแทนการขายในอัตราคงที่!A:A,ค่าตอบแทนการขายในอัตราคงที่!B:B)</f>
        <v>0</v>
      </c>
      <c r="L332" s="174">
        <f>Period!$A$2</f>
        <v>46113</v>
      </c>
      <c r="M332" s="175">
        <f>Period!$C$2</f>
        <v>46143</v>
      </c>
      <c r="N332" s="194" t="s">
        <v>279</v>
      </c>
    </row>
    <row r="333" spans="1:14" ht="11.4" x14ac:dyDescent="0.25">
      <c r="A333" s="138"/>
      <c r="B333" s="169" t="e">
        <f>IF(IF(VLOOKUP(A333,ASTBase!F:P,11,FALSE)="","",VLOOKUP(A333,ASTBase!F:P,11,FALSE))=0,"",IF(VLOOKUP(A333,ASTBase!F:P,11,FALSE)="","",VLOOKUP(A333,ASTBase!F:P,11,FALSE)))</f>
        <v>#N/A</v>
      </c>
      <c r="C333" s="140" t="str">
        <f>IF(IFERROR(_xlfn.IFNA(VLOOKUP($A333,'HR Rep'!$A:$X,MATCH('1) For HR (FIX)'!C$1,'HR Rep'!$A$1:$X$1,0),0),""),"")="","",IFERROR(_xlfn.IFNA(VLOOKUP($A333,'HR Rep'!$A:$X,MATCH('1) For HR (FIX)'!C$1,'HR Rep'!$A$1:$X$1,0),0),""),""))</f>
        <v/>
      </c>
      <c r="D333" s="140" t="str">
        <f>IF(IFERROR(_xlfn.IFNA(VLOOKUP($A333,'HR Rep'!$A:$X,MATCH('1) For HR (FIX)'!D$1,'HR Rep'!$A$1:$X$1,0),0),""),"")="","",IFERROR(_xlfn.IFNA(VLOOKUP($A333,'HR Rep'!$A:$X,MATCH('1) For HR (FIX)'!D$1,'HR Rep'!$A$1:$X$1,0),0),""),""))</f>
        <v/>
      </c>
      <c r="E333" s="140" t="str">
        <f>IF(IFERROR(_xlfn.IFNA(VLOOKUP($A333,'HR Rep'!$A:$X,MATCH('1) For HR (FIX)'!E$1,'HR Rep'!$A$1:$X$1,0),0),""),"")="","",IFERROR(_xlfn.IFNA(VLOOKUP($A333,'HR Rep'!$A:$X,MATCH('1) For HR (FIX)'!E$1,'HR Rep'!$A$1:$X$1,0),0),""),""))</f>
        <v/>
      </c>
      <c r="F333" s="140" t="str">
        <f>IF(IFERROR(_xlfn.IFNA(VLOOKUP($A333,'HR Rep'!$A:$X,MATCH('1) For HR (FIX)'!F$1,'HR Rep'!$A$1:$X$1,0),0),""),"")="","",IFERROR(_xlfn.IFNA(VLOOKUP($A333,'HR Rep'!$A:$X,MATCH('1) For HR (FIX)'!F$1,'HR Rep'!$A$1:$X$1,0),0),""),""))</f>
        <v/>
      </c>
      <c r="G333" s="196"/>
      <c r="H333" s="140" t="str">
        <f>IF(IFERROR(_xlfn.IFNA(VLOOKUP($A333,'HR Rep'!$A:$X,MATCH('1) For HR (FIX)'!H$1,'HR Rep'!$A$1:$X$1,0),0),""),"")="","",IFERROR(_xlfn.IFNA(VLOOKUP($A333,'HR Rep'!$A:$X,MATCH('1) For HR (FIX)'!H$1,'HR Rep'!$A$1:$X$1,0),0),""),""))</f>
        <v/>
      </c>
      <c r="I333" s="140" t="str">
        <f>IF(IFERROR(_xlfn.IFNA(VLOOKUP($A333,'HR Rep'!$A:$X,MATCH('1) For HR (FIX)'!I$1,'HR Rep'!$A$1:$X$1,0),0),""),"")="","",IFERROR(_xlfn.IFNA(VLOOKUP($A333,'HR Rep'!$A:$X,MATCH('1) For HR (FIX)'!I$1,'HR Rep'!$A$1:$X$1,0),0),""),""))</f>
        <v/>
      </c>
      <c r="J333" s="140" t="str">
        <f>IF(IFERROR(_xlfn.IFNA(VLOOKUP($A333,'HR Rep'!$A:$X,MATCH('1) For HR (FIX)'!J$1,'HR Rep'!$A$1:$X$1,0),0),""),"")="","",IFERROR(_xlfn.IFNA(VLOOKUP($A333,'HR Rep'!$A:$X,MATCH('1) For HR (FIX)'!J$1,'HR Rep'!$A$1:$X$1,0),0),""),""))</f>
        <v/>
      </c>
      <c r="K333" s="161">
        <f>_xlfn.XLOOKUP(G333,ค่าตอบแทนการขายในอัตราคงที่!A:A,ค่าตอบแทนการขายในอัตราคงที่!B:B)</f>
        <v>0</v>
      </c>
      <c r="L333" s="174">
        <f>Period!$A$2</f>
        <v>46113</v>
      </c>
      <c r="M333" s="175">
        <f>Period!$C$2</f>
        <v>46143</v>
      </c>
      <c r="N333" s="194" t="s">
        <v>279</v>
      </c>
    </row>
    <row r="334" spans="1:14" ht="11.4" x14ac:dyDescent="0.25">
      <c r="A334" s="139"/>
      <c r="B334" s="169" t="e">
        <f>IF(IF(VLOOKUP(A334,ASTBase!F:P,11,FALSE)="","",VLOOKUP(A334,ASTBase!F:P,11,FALSE))=0,"",IF(VLOOKUP(A334,ASTBase!F:P,11,FALSE)="","",VLOOKUP(A334,ASTBase!F:P,11,FALSE)))</f>
        <v>#N/A</v>
      </c>
      <c r="C334" s="140" t="str">
        <f>IF(IFERROR(_xlfn.IFNA(VLOOKUP($A334,'HR Rep'!$A:$X,MATCH('1) For HR (FIX)'!C$1,'HR Rep'!$A$1:$X$1,0),0),""),"")="","",IFERROR(_xlfn.IFNA(VLOOKUP($A334,'HR Rep'!$A:$X,MATCH('1) For HR (FIX)'!C$1,'HR Rep'!$A$1:$X$1,0),0),""),""))</f>
        <v/>
      </c>
      <c r="D334" s="140" t="str">
        <f>IF(IFERROR(_xlfn.IFNA(VLOOKUP($A334,'HR Rep'!$A:$X,MATCH('1) For HR (FIX)'!D$1,'HR Rep'!$A$1:$X$1,0),0),""),"")="","",IFERROR(_xlfn.IFNA(VLOOKUP($A334,'HR Rep'!$A:$X,MATCH('1) For HR (FIX)'!D$1,'HR Rep'!$A$1:$X$1,0),0),""),""))</f>
        <v/>
      </c>
      <c r="E334" s="140" t="str">
        <f>IF(IFERROR(_xlfn.IFNA(VLOOKUP($A334,'HR Rep'!$A:$X,MATCH('1) For HR (FIX)'!E$1,'HR Rep'!$A$1:$X$1,0),0),""),"")="","",IFERROR(_xlfn.IFNA(VLOOKUP($A334,'HR Rep'!$A:$X,MATCH('1) For HR (FIX)'!E$1,'HR Rep'!$A$1:$X$1,0),0),""),""))</f>
        <v/>
      </c>
      <c r="F334" s="140" t="str">
        <f>IF(IFERROR(_xlfn.IFNA(VLOOKUP($A334,'HR Rep'!$A:$X,MATCH('1) For HR (FIX)'!F$1,'HR Rep'!$A$1:$X$1,0),0),""),"")="","",IFERROR(_xlfn.IFNA(VLOOKUP($A334,'HR Rep'!$A:$X,MATCH('1) For HR (FIX)'!F$1,'HR Rep'!$A$1:$X$1,0),0),""),""))</f>
        <v/>
      </c>
      <c r="G334" s="196"/>
      <c r="H334" s="140" t="str">
        <f>IF(IFERROR(_xlfn.IFNA(VLOOKUP($A334,'HR Rep'!$A:$X,MATCH('1) For HR (FIX)'!H$1,'HR Rep'!$A$1:$X$1,0),0),""),"")="","",IFERROR(_xlfn.IFNA(VLOOKUP($A334,'HR Rep'!$A:$X,MATCH('1) For HR (FIX)'!H$1,'HR Rep'!$A$1:$X$1,0),0),""),""))</f>
        <v/>
      </c>
      <c r="I334" s="140" t="str">
        <f>IF(IFERROR(_xlfn.IFNA(VLOOKUP($A334,'HR Rep'!$A:$X,MATCH('1) For HR (FIX)'!I$1,'HR Rep'!$A$1:$X$1,0),0),""),"")="","",IFERROR(_xlfn.IFNA(VLOOKUP($A334,'HR Rep'!$A:$X,MATCH('1) For HR (FIX)'!I$1,'HR Rep'!$A$1:$X$1,0),0),""),""))</f>
        <v/>
      </c>
      <c r="J334" s="140" t="str">
        <f>IF(IFERROR(_xlfn.IFNA(VLOOKUP($A334,'HR Rep'!$A:$X,MATCH('1) For HR (FIX)'!J$1,'HR Rep'!$A$1:$X$1,0),0),""),"")="","",IFERROR(_xlfn.IFNA(VLOOKUP($A334,'HR Rep'!$A:$X,MATCH('1) For HR (FIX)'!J$1,'HR Rep'!$A$1:$X$1,0),0),""),""))</f>
        <v/>
      </c>
      <c r="K334" s="161">
        <f>_xlfn.XLOOKUP(G334,ค่าตอบแทนการขายในอัตราคงที่!A:A,ค่าตอบแทนการขายในอัตราคงที่!B:B)</f>
        <v>0</v>
      </c>
      <c r="L334" s="174">
        <f>Period!$A$2</f>
        <v>46113</v>
      </c>
      <c r="M334" s="175">
        <f>Period!$C$2</f>
        <v>46143</v>
      </c>
      <c r="N334" s="194" t="s">
        <v>279</v>
      </c>
    </row>
    <row r="335" spans="1:14" ht="11.4" x14ac:dyDescent="0.25">
      <c r="A335" s="139"/>
      <c r="B335" s="169" t="e">
        <f>IF(IF(VLOOKUP(A335,ASTBase!F:P,11,FALSE)="","",VLOOKUP(A335,ASTBase!F:P,11,FALSE))=0,"",IF(VLOOKUP(A335,ASTBase!F:P,11,FALSE)="","",VLOOKUP(A335,ASTBase!F:P,11,FALSE)))</f>
        <v>#N/A</v>
      </c>
      <c r="C335" s="140" t="str">
        <f>IF(IFERROR(_xlfn.IFNA(VLOOKUP($A335,'HR Rep'!$A:$X,MATCH('1) For HR (FIX)'!C$1,'HR Rep'!$A$1:$X$1,0),0),""),"")="","",IFERROR(_xlfn.IFNA(VLOOKUP($A335,'HR Rep'!$A:$X,MATCH('1) For HR (FIX)'!C$1,'HR Rep'!$A$1:$X$1,0),0),""),""))</f>
        <v/>
      </c>
      <c r="D335" s="140" t="str">
        <f>IF(IFERROR(_xlfn.IFNA(VLOOKUP($A335,'HR Rep'!$A:$X,MATCH('1) For HR (FIX)'!D$1,'HR Rep'!$A$1:$X$1,0),0),""),"")="","",IFERROR(_xlfn.IFNA(VLOOKUP($A335,'HR Rep'!$A:$X,MATCH('1) For HR (FIX)'!D$1,'HR Rep'!$A$1:$X$1,0),0),""),""))</f>
        <v/>
      </c>
      <c r="E335" s="140" t="str">
        <f>IF(IFERROR(_xlfn.IFNA(VLOOKUP($A335,'HR Rep'!$A:$X,MATCH('1) For HR (FIX)'!E$1,'HR Rep'!$A$1:$X$1,0),0),""),"")="","",IFERROR(_xlfn.IFNA(VLOOKUP($A335,'HR Rep'!$A:$X,MATCH('1) For HR (FIX)'!E$1,'HR Rep'!$A$1:$X$1,0),0),""),""))</f>
        <v/>
      </c>
      <c r="F335" s="140" t="str">
        <f>IF(IFERROR(_xlfn.IFNA(VLOOKUP($A335,'HR Rep'!$A:$X,MATCH('1) For HR (FIX)'!F$1,'HR Rep'!$A$1:$X$1,0),0),""),"")="","",IFERROR(_xlfn.IFNA(VLOOKUP($A335,'HR Rep'!$A:$X,MATCH('1) For HR (FIX)'!F$1,'HR Rep'!$A$1:$X$1,0),0),""),""))</f>
        <v/>
      </c>
      <c r="G335" s="196"/>
      <c r="H335" s="140" t="str">
        <f>IF(IFERROR(_xlfn.IFNA(VLOOKUP($A335,'HR Rep'!$A:$X,MATCH('1) For HR (FIX)'!H$1,'HR Rep'!$A$1:$X$1,0),0),""),"")="","",IFERROR(_xlfn.IFNA(VLOOKUP($A335,'HR Rep'!$A:$X,MATCH('1) For HR (FIX)'!H$1,'HR Rep'!$A$1:$X$1,0),0),""),""))</f>
        <v/>
      </c>
      <c r="I335" s="140" t="str">
        <f>IF(IFERROR(_xlfn.IFNA(VLOOKUP($A335,'HR Rep'!$A:$X,MATCH('1) For HR (FIX)'!I$1,'HR Rep'!$A$1:$X$1,0),0),""),"")="","",IFERROR(_xlfn.IFNA(VLOOKUP($A335,'HR Rep'!$A:$X,MATCH('1) For HR (FIX)'!I$1,'HR Rep'!$A$1:$X$1,0),0),""),""))</f>
        <v/>
      </c>
      <c r="J335" s="140" t="str">
        <f>IF(IFERROR(_xlfn.IFNA(VLOOKUP($A335,'HR Rep'!$A:$X,MATCH('1) For HR (FIX)'!J$1,'HR Rep'!$A$1:$X$1,0),0),""),"")="","",IFERROR(_xlfn.IFNA(VLOOKUP($A335,'HR Rep'!$A:$X,MATCH('1) For HR (FIX)'!J$1,'HR Rep'!$A$1:$X$1,0),0),""),""))</f>
        <v/>
      </c>
      <c r="K335" s="161">
        <f>_xlfn.XLOOKUP(G335,ค่าตอบแทนการขายในอัตราคงที่!A:A,ค่าตอบแทนการขายในอัตราคงที่!B:B)</f>
        <v>0</v>
      </c>
      <c r="L335" s="174">
        <f>Period!$A$2</f>
        <v>46113</v>
      </c>
      <c r="M335" s="175">
        <f>Period!$C$2</f>
        <v>46143</v>
      </c>
      <c r="N335" s="194" t="s">
        <v>279</v>
      </c>
    </row>
    <row r="336" spans="1:14" ht="11.4" x14ac:dyDescent="0.25">
      <c r="A336" s="139"/>
      <c r="B336" s="169" t="e">
        <f>IF(IF(VLOOKUP(A336,ASTBase!F:P,11,FALSE)="","",VLOOKUP(A336,ASTBase!F:P,11,FALSE))=0,"",IF(VLOOKUP(A336,ASTBase!F:P,11,FALSE)="","",VLOOKUP(A336,ASTBase!F:P,11,FALSE)))</f>
        <v>#N/A</v>
      </c>
      <c r="C336" s="140" t="str">
        <f>IF(IFERROR(_xlfn.IFNA(VLOOKUP($A336,'HR Rep'!$A:$X,MATCH('1) For HR (FIX)'!C$1,'HR Rep'!$A$1:$X$1,0),0),""),"")="","",IFERROR(_xlfn.IFNA(VLOOKUP($A336,'HR Rep'!$A:$X,MATCH('1) For HR (FIX)'!C$1,'HR Rep'!$A$1:$X$1,0),0),""),""))</f>
        <v/>
      </c>
      <c r="D336" s="140" t="str">
        <f>IF(IFERROR(_xlfn.IFNA(VLOOKUP($A336,'HR Rep'!$A:$X,MATCH('1) For HR (FIX)'!D$1,'HR Rep'!$A$1:$X$1,0),0),""),"")="","",IFERROR(_xlfn.IFNA(VLOOKUP($A336,'HR Rep'!$A:$X,MATCH('1) For HR (FIX)'!D$1,'HR Rep'!$A$1:$X$1,0),0),""),""))</f>
        <v/>
      </c>
      <c r="E336" s="140" t="str">
        <f>IF(IFERROR(_xlfn.IFNA(VLOOKUP($A336,'HR Rep'!$A:$X,MATCH('1) For HR (FIX)'!E$1,'HR Rep'!$A$1:$X$1,0),0),""),"")="","",IFERROR(_xlfn.IFNA(VLOOKUP($A336,'HR Rep'!$A:$X,MATCH('1) For HR (FIX)'!E$1,'HR Rep'!$A$1:$X$1,0),0),""),""))</f>
        <v/>
      </c>
      <c r="F336" s="140" t="str">
        <f>IF(IFERROR(_xlfn.IFNA(VLOOKUP($A336,'HR Rep'!$A:$X,MATCH('1) For HR (FIX)'!F$1,'HR Rep'!$A$1:$X$1,0),0),""),"")="","",IFERROR(_xlfn.IFNA(VLOOKUP($A336,'HR Rep'!$A:$X,MATCH('1) For HR (FIX)'!F$1,'HR Rep'!$A$1:$X$1,0),0),""),""))</f>
        <v/>
      </c>
      <c r="G336" s="196"/>
      <c r="H336" s="140" t="str">
        <f>IF(IFERROR(_xlfn.IFNA(VLOOKUP($A336,'HR Rep'!$A:$X,MATCH('1) For HR (FIX)'!H$1,'HR Rep'!$A$1:$X$1,0),0),""),"")="","",IFERROR(_xlfn.IFNA(VLOOKUP($A336,'HR Rep'!$A:$X,MATCH('1) For HR (FIX)'!H$1,'HR Rep'!$A$1:$X$1,0),0),""),""))</f>
        <v/>
      </c>
      <c r="I336" s="140" t="str">
        <f>IF(IFERROR(_xlfn.IFNA(VLOOKUP($A336,'HR Rep'!$A:$X,MATCH('1) For HR (FIX)'!I$1,'HR Rep'!$A$1:$X$1,0),0),""),"")="","",IFERROR(_xlfn.IFNA(VLOOKUP($A336,'HR Rep'!$A:$X,MATCH('1) For HR (FIX)'!I$1,'HR Rep'!$A$1:$X$1,0),0),""),""))</f>
        <v/>
      </c>
      <c r="J336" s="140" t="str">
        <f>IF(IFERROR(_xlfn.IFNA(VLOOKUP($A336,'HR Rep'!$A:$X,MATCH('1) For HR (FIX)'!J$1,'HR Rep'!$A$1:$X$1,0),0),""),"")="","",IFERROR(_xlfn.IFNA(VLOOKUP($A336,'HR Rep'!$A:$X,MATCH('1) For HR (FIX)'!J$1,'HR Rep'!$A$1:$X$1,0),0),""),""))</f>
        <v/>
      </c>
      <c r="K336" s="161">
        <f>_xlfn.XLOOKUP(G336,ค่าตอบแทนการขายในอัตราคงที่!A:A,ค่าตอบแทนการขายในอัตราคงที่!B:B)</f>
        <v>0</v>
      </c>
      <c r="L336" s="174">
        <f>Period!$A$2</f>
        <v>46113</v>
      </c>
      <c r="M336" s="175">
        <f>Period!$C$2</f>
        <v>46143</v>
      </c>
      <c r="N336" s="194" t="s">
        <v>279</v>
      </c>
    </row>
    <row r="337" spans="1:14" ht="11.4" x14ac:dyDescent="0.25">
      <c r="A337" s="139"/>
      <c r="B337" s="169" t="e">
        <f>IF(IF(VLOOKUP(A337,ASTBase!F:P,11,FALSE)="","",VLOOKUP(A337,ASTBase!F:P,11,FALSE))=0,"",IF(VLOOKUP(A337,ASTBase!F:P,11,FALSE)="","",VLOOKUP(A337,ASTBase!F:P,11,FALSE)))</f>
        <v>#N/A</v>
      </c>
      <c r="C337" s="140" t="str">
        <f>IF(IFERROR(_xlfn.IFNA(VLOOKUP($A337,'HR Rep'!$A:$X,MATCH('1) For HR (FIX)'!C$1,'HR Rep'!$A$1:$X$1,0),0),""),"")="","",IFERROR(_xlfn.IFNA(VLOOKUP($A337,'HR Rep'!$A:$X,MATCH('1) For HR (FIX)'!C$1,'HR Rep'!$A$1:$X$1,0),0),""),""))</f>
        <v/>
      </c>
      <c r="D337" s="140" t="str">
        <f>IF(IFERROR(_xlfn.IFNA(VLOOKUP($A337,'HR Rep'!$A:$X,MATCH('1) For HR (FIX)'!D$1,'HR Rep'!$A$1:$X$1,0),0),""),"")="","",IFERROR(_xlfn.IFNA(VLOOKUP($A337,'HR Rep'!$A:$X,MATCH('1) For HR (FIX)'!D$1,'HR Rep'!$A$1:$X$1,0),0),""),""))</f>
        <v/>
      </c>
      <c r="E337" s="140" t="str">
        <f>IF(IFERROR(_xlfn.IFNA(VLOOKUP($A337,'HR Rep'!$A:$X,MATCH('1) For HR (FIX)'!E$1,'HR Rep'!$A$1:$X$1,0),0),""),"")="","",IFERROR(_xlfn.IFNA(VLOOKUP($A337,'HR Rep'!$A:$X,MATCH('1) For HR (FIX)'!E$1,'HR Rep'!$A$1:$X$1,0),0),""),""))</f>
        <v/>
      </c>
      <c r="F337" s="140" t="str">
        <f>IF(IFERROR(_xlfn.IFNA(VLOOKUP($A337,'HR Rep'!$A:$X,MATCH('1) For HR (FIX)'!F$1,'HR Rep'!$A$1:$X$1,0),0),""),"")="","",IFERROR(_xlfn.IFNA(VLOOKUP($A337,'HR Rep'!$A:$X,MATCH('1) For HR (FIX)'!F$1,'HR Rep'!$A$1:$X$1,0),0),""),""))</f>
        <v/>
      </c>
      <c r="G337" s="196"/>
      <c r="H337" s="140" t="str">
        <f>IF(IFERROR(_xlfn.IFNA(VLOOKUP($A337,'HR Rep'!$A:$X,MATCH('1) For HR (FIX)'!H$1,'HR Rep'!$A$1:$X$1,0),0),""),"")="","",IFERROR(_xlfn.IFNA(VLOOKUP($A337,'HR Rep'!$A:$X,MATCH('1) For HR (FIX)'!H$1,'HR Rep'!$A$1:$X$1,0),0),""),""))</f>
        <v/>
      </c>
      <c r="I337" s="140" t="str">
        <f>IF(IFERROR(_xlfn.IFNA(VLOOKUP($A337,'HR Rep'!$A:$X,MATCH('1) For HR (FIX)'!I$1,'HR Rep'!$A$1:$X$1,0),0),""),"")="","",IFERROR(_xlfn.IFNA(VLOOKUP($A337,'HR Rep'!$A:$X,MATCH('1) For HR (FIX)'!I$1,'HR Rep'!$A$1:$X$1,0),0),""),""))</f>
        <v/>
      </c>
      <c r="J337" s="140" t="str">
        <f>IF(IFERROR(_xlfn.IFNA(VLOOKUP($A337,'HR Rep'!$A:$X,MATCH('1) For HR (FIX)'!J$1,'HR Rep'!$A$1:$X$1,0),0),""),"")="","",IFERROR(_xlfn.IFNA(VLOOKUP($A337,'HR Rep'!$A:$X,MATCH('1) For HR (FIX)'!J$1,'HR Rep'!$A$1:$X$1,0),0),""),""))</f>
        <v/>
      </c>
      <c r="K337" s="161">
        <f>_xlfn.XLOOKUP(G337,ค่าตอบแทนการขายในอัตราคงที่!A:A,ค่าตอบแทนการขายในอัตราคงที่!B:B)</f>
        <v>0</v>
      </c>
      <c r="L337" s="174">
        <f>Period!$A$2</f>
        <v>46113</v>
      </c>
      <c r="M337" s="175">
        <f>Period!$C$2</f>
        <v>46143</v>
      </c>
      <c r="N337" s="194" t="s">
        <v>279</v>
      </c>
    </row>
    <row r="338" spans="1:14" ht="11.4" x14ac:dyDescent="0.25">
      <c r="A338" s="139"/>
      <c r="B338" s="169" t="e">
        <f>IF(IF(VLOOKUP(A338,ASTBase!F:P,11,FALSE)="","",VLOOKUP(A338,ASTBase!F:P,11,FALSE))=0,"",IF(VLOOKUP(A338,ASTBase!F:P,11,FALSE)="","",VLOOKUP(A338,ASTBase!F:P,11,FALSE)))</f>
        <v>#N/A</v>
      </c>
      <c r="C338" s="140" t="str">
        <f>IF(IFERROR(_xlfn.IFNA(VLOOKUP($A338,'HR Rep'!$A:$X,MATCH('1) For HR (FIX)'!C$1,'HR Rep'!$A$1:$X$1,0),0),""),"")="","",IFERROR(_xlfn.IFNA(VLOOKUP($A338,'HR Rep'!$A:$X,MATCH('1) For HR (FIX)'!C$1,'HR Rep'!$A$1:$X$1,0),0),""),""))</f>
        <v/>
      </c>
      <c r="D338" s="140" t="str">
        <f>IF(IFERROR(_xlfn.IFNA(VLOOKUP($A338,'HR Rep'!$A:$X,MATCH('1) For HR (FIX)'!D$1,'HR Rep'!$A$1:$X$1,0),0),""),"")="","",IFERROR(_xlfn.IFNA(VLOOKUP($A338,'HR Rep'!$A:$X,MATCH('1) For HR (FIX)'!D$1,'HR Rep'!$A$1:$X$1,0),0),""),""))</f>
        <v/>
      </c>
      <c r="E338" s="140" t="str">
        <f>IF(IFERROR(_xlfn.IFNA(VLOOKUP($A338,'HR Rep'!$A:$X,MATCH('1) For HR (FIX)'!E$1,'HR Rep'!$A$1:$X$1,0),0),""),"")="","",IFERROR(_xlfn.IFNA(VLOOKUP($A338,'HR Rep'!$A:$X,MATCH('1) For HR (FIX)'!E$1,'HR Rep'!$A$1:$X$1,0),0),""),""))</f>
        <v/>
      </c>
      <c r="F338" s="140" t="str">
        <f>IF(IFERROR(_xlfn.IFNA(VLOOKUP($A338,'HR Rep'!$A:$X,MATCH('1) For HR (FIX)'!F$1,'HR Rep'!$A$1:$X$1,0),0),""),"")="","",IFERROR(_xlfn.IFNA(VLOOKUP($A338,'HR Rep'!$A:$X,MATCH('1) For HR (FIX)'!F$1,'HR Rep'!$A$1:$X$1,0),0),""),""))</f>
        <v/>
      </c>
      <c r="G338" s="196"/>
      <c r="H338" s="140" t="str">
        <f>IF(IFERROR(_xlfn.IFNA(VLOOKUP($A338,'HR Rep'!$A:$X,MATCH('1) For HR (FIX)'!H$1,'HR Rep'!$A$1:$X$1,0),0),""),"")="","",IFERROR(_xlfn.IFNA(VLOOKUP($A338,'HR Rep'!$A:$X,MATCH('1) For HR (FIX)'!H$1,'HR Rep'!$A$1:$X$1,0),0),""),""))</f>
        <v/>
      </c>
      <c r="I338" s="140" t="str">
        <f>IF(IFERROR(_xlfn.IFNA(VLOOKUP($A338,'HR Rep'!$A:$X,MATCH('1) For HR (FIX)'!I$1,'HR Rep'!$A$1:$X$1,0),0),""),"")="","",IFERROR(_xlfn.IFNA(VLOOKUP($A338,'HR Rep'!$A:$X,MATCH('1) For HR (FIX)'!I$1,'HR Rep'!$A$1:$X$1,0),0),""),""))</f>
        <v/>
      </c>
      <c r="J338" s="140" t="str">
        <f>IF(IFERROR(_xlfn.IFNA(VLOOKUP($A338,'HR Rep'!$A:$X,MATCH('1) For HR (FIX)'!J$1,'HR Rep'!$A$1:$X$1,0),0),""),"")="","",IFERROR(_xlfn.IFNA(VLOOKUP($A338,'HR Rep'!$A:$X,MATCH('1) For HR (FIX)'!J$1,'HR Rep'!$A$1:$X$1,0),0),""),""))</f>
        <v/>
      </c>
      <c r="K338" s="161">
        <f>_xlfn.XLOOKUP(G338,ค่าตอบแทนการขายในอัตราคงที่!A:A,ค่าตอบแทนการขายในอัตราคงที่!B:B)</f>
        <v>0</v>
      </c>
      <c r="L338" s="174">
        <f>Period!$A$2</f>
        <v>46113</v>
      </c>
      <c r="M338" s="175">
        <f>Period!$C$2</f>
        <v>46143</v>
      </c>
      <c r="N338" s="194" t="s">
        <v>279</v>
      </c>
    </row>
    <row r="339" spans="1:14" ht="11.4" x14ac:dyDescent="0.25">
      <c r="A339" s="137"/>
      <c r="B339" s="169" t="e">
        <f>IF(IF(VLOOKUP(A339,ASTBase!F:P,11,FALSE)="","",VLOOKUP(A339,ASTBase!F:P,11,FALSE))=0,"",IF(VLOOKUP(A339,ASTBase!F:P,11,FALSE)="","",VLOOKUP(A339,ASTBase!F:P,11,FALSE)))</f>
        <v>#N/A</v>
      </c>
      <c r="C339" s="140" t="str">
        <f>IF(IFERROR(_xlfn.IFNA(VLOOKUP($A339,'HR Rep'!$A:$X,MATCH('1) For HR (FIX)'!C$1,'HR Rep'!$A$1:$X$1,0),0),""),"")="","",IFERROR(_xlfn.IFNA(VLOOKUP($A339,'HR Rep'!$A:$X,MATCH('1) For HR (FIX)'!C$1,'HR Rep'!$A$1:$X$1,0),0),""),""))</f>
        <v/>
      </c>
      <c r="D339" s="140" t="str">
        <f>IF(IFERROR(_xlfn.IFNA(VLOOKUP($A339,'HR Rep'!$A:$X,MATCH('1) For HR (FIX)'!D$1,'HR Rep'!$A$1:$X$1,0),0),""),"")="","",IFERROR(_xlfn.IFNA(VLOOKUP($A339,'HR Rep'!$A:$X,MATCH('1) For HR (FIX)'!D$1,'HR Rep'!$A$1:$X$1,0),0),""),""))</f>
        <v/>
      </c>
      <c r="E339" s="140" t="str">
        <f>IF(IFERROR(_xlfn.IFNA(VLOOKUP($A339,'HR Rep'!$A:$X,MATCH('1) For HR (FIX)'!E$1,'HR Rep'!$A$1:$X$1,0),0),""),"")="","",IFERROR(_xlfn.IFNA(VLOOKUP($A339,'HR Rep'!$A:$X,MATCH('1) For HR (FIX)'!E$1,'HR Rep'!$A$1:$X$1,0),0),""),""))</f>
        <v/>
      </c>
      <c r="F339" s="140" t="str">
        <f>IF(IFERROR(_xlfn.IFNA(VLOOKUP($A339,'HR Rep'!$A:$X,MATCH('1) For HR (FIX)'!F$1,'HR Rep'!$A$1:$X$1,0),0),""),"")="","",IFERROR(_xlfn.IFNA(VLOOKUP($A339,'HR Rep'!$A:$X,MATCH('1) For HR (FIX)'!F$1,'HR Rep'!$A$1:$X$1,0),0),""),""))</f>
        <v/>
      </c>
      <c r="G339" s="196"/>
      <c r="H339" s="140" t="str">
        <f>IF(IFERROR(_xlfn.IFNA(VLOOKUP($A339,'HR Rep'!$A:$X,MATCH('1) For HR (FIX)'!H$1,'HR Rep'!$A$1:$X$1,0),0),""),"")="","",IFERROR(_xlfn.IFNA(VLOOKUP($A339,'HR Rep'!$A:$X,MATCH('1) For HR (FIX)'!H$1,'HR Rep'!$A$1:$X$1,0),0),""),""))</f>
        <v/>
      </c>
      <c r="I339" s="140" t="str">
        <f>IF(IFERROR(_xlfn.IFNA(VLOOKUP($A339,'HR Rep'!$A:$X,MATCH('1) For HR (FIX)'!I$1,'HR Rep'!$A$1:$X$1,0),0),""),"")="","",IFERROR(_xlfn.IFNA(VLOOKUP($A339,'HR Rep'!$A:$X,MATCH('1) For HR (FIX)'!I$1,'HR Rep'!$A$1:$X$1,0),0),""),""))</f>
        <v/>
      </c>
      <c r="J339" s="140" t="str">
        <f>IF(IFERROR(_xlfn.IFNA(VLOOKUP($A339,'HR Rep'!$A:$X,MATCH('1) For HR (FIX)'!J$1,'HR Rep'!$A$1:$X$1,0),0),""),"")="","",IFERROR(_xlfn.IFNA(VLOOKUP($A339,'HR Rep'!$A:$X,MATCH('1) For HR (FIX)'!J$1,'HR Rep'!$A$1:$X$1,0),0),""),""))</f>
        <v/>
      </c>
      <c r="K339" s="161">
        <f>_xlfn.XLOOKUP(G339,ค่าตอบแทนการขายในอัตราคงที่!A:A,ค่าตอบแทนการขายในอัตราคงที่!B:B)</f>
        <v>0</v>
      </c>
      <c r="L339" s="174">
        <f>Period!$A$2</f>
        <v>46113</v>
      </c>
      <c r="M339" s="175">
        <f>Period!$C$2</f>
        <v>46143</v>
      </c>
      <c r="N339" s="194" t="s">
        <v>279</v>
      </c>
    </row>
    <row r="340" spans="1:14" ht="11.4" x14ac:dyDescent="0.25">
      <c r="A340" s="137"/>
      <c r="B340" s="169" t="e">
        <f>IF(IF(VLOOKUP(A340,ASTBase!F:P,11,FALSE)="","",VLOOKUP(A340,ASTBase!F:P,11,FALSE))=0,"",IF(VLOOKUP(A340,ASTBase!F:P,11,FALSE)="","",VLOOKUP(A340,ASTBase!F:P,11,FALSE)))</f>
        <v>#N/A</v>
      </c>
      <c r="C340" s="140" t="str">
        <f>IF(IFERROR(_xlfn.IFNA(VLOOKUP($A340,'HR Rep'!$A:$X,MATCH('1) For HR (FIX)'!C$1,'HR Rep'!$A$1:$X$1,0),0),""),"")="","",IFERROR(_xlfn.IFNA(VLOOKUP($A340,'HR Rep'!$A:$X,MATCH('1) For HR (FIX)'!C$1,'HR Rep'!$A$1:$X$1,0),0),""),""))</f>
        <v/>
      </c>
      <c r="D340" s="140" t="str">
        <f>IF(IFERROR(_xlfn.IFNA(VLOOKUP($A340,'HR Rep'!$A:$X,MATCH('1) For HR (FIX)'!D$1,'HR Rep'!$A$1:$X$1,0),0),""),"")="","",IFERROR(_xlfn.IFNA(VLOOKUP($A340,'HR Rep'!$A:$X,MATCH('1) For HR (FIX)'!D$1,'HR Rep'!$A$1:$X$1,0),0),""),""))</f>
        <v/>
      </c>
      <c r="E340" s="140" t="str">
        <f>IF(IFERROR(_xlfn.IFNA(VLOOKUP($A340,'HR Rep'!$A:$X,MATCH('1) For HR (FIX)'!E$1,'HR Rep'!$A$1:$X$1,0),0),""),"")="","",IFERROR(_xlfn.IFNA(VLOOKUP($A340,'HR Rep'!$A:$X,MATCH('1) For HR (FIX)'!E$1,'HR Rep'!$A$1:$X$1,0),0),""),""))</f>
        <v/>
      </c>
      <c r="F340" s="140" t="str">
        <f>IF(IFERROR(_xlfn.IFNA(VLOOKUP($A340,'HR Rep'!$A:$X,MATCH('1) For HR (FIX)'!F$1,'HR Rep'!$A$1:$X$1,0),0),""),"")="","",IFERROR(_xlfn.IFNA(VLOOKUP($A340,'HR Rep'!$A:$X,MATCH('1) For HR (FIX)'!F$1,'HR Rep'!$A$1:$X$1,0),0),""),""))</f>
        <v/>
      </c>
      <c r="G340" s="196"/>
      <c r="H340" s="140" t="str">
        <f>IF(IFERROR(_xlfn.IFNA(VLOOKUP($A340,'HR Rep'!$A:$X,MATCH('1) For HR (FIX)'!H$1,'HR Rep'!$A$1:$X$1,0),0),""),"")="","",IFERROR(_xlfn.IFNA(VLOOKUP($A340,'HR Rep'!$A:$X,MATCH('1) For HR (FIX)'!H$1,'HR Rep'!$A$1:$X$1,0),0),""),""))</f>
        <v/>
      </c>
      <c r="I340" s="140" t="str">
        <f>IF(IFERROR(_xlfn.IFNA(VLOOKUP($A340,'HR Rep'!$A:$X,MATCH('1) For HR (FIX)'!I$1,'HR Rep'!$A$1:$X$1,0),0),""),"")="","",IFERROR(_xlfn.IFNA(VLOOKUP($A340,'HR Rep'!$A:$X,MATCH('1) For HR (FIX)'!I$1,'HR Rep'!$A$1:$X$1,0),0),""),""))</f>
        <v/>
      </c>
      <c r="J340" s="140" t="str">
        <f>IF(IFERROR(_xlfn.IFNA(VLOOKUP($A340,'HR Rep'!$A:$X,MATCH('1) For HR (FIX)'!J$1,'HR Rep'!$A$1:$X$1,0),0),""),"")="","",IFERROR(_xlfn.IFNA(VLOOKUP($A340,'HR Rep'!$A:$X,MATCH('1) For HR (FIX)'!J$1,'HR Rep'!$A$1:$X$1,0),0),""),""))</f>
        <v/>
      </c>
      <c r="K340" s="161">
        <f>_xlfn.XLOOKUP(G340,ค่าตอบแทนการขายในอัตราคงที่!A:A,ค่าตอบแทนการขายในอัตราคงที่!B:B)</f>
        <v>0</v>
      </c>
      <c r="L340" s="174">
        <f>Period!$A$2</f>
        <v>46113</v>
      </c>
      <c r="M340" s="175">
        <f>Period!$C$2</f>
        <v>46143</v>
      </c>
      <c r="N340" s="194" t="s">
        <v>279</v>
      </c>
    </row>
    <row r="341" spans="1:14" ht="11.4" x14ac:dyDescent="0.25">
      <c r="A341" s="137"/>
      <c r="B341" s="169" t="e">
        <f>IF(IF(VLOOKUP(A341,ASTBase!F:P,11,FALSE)="","",VLOOKUP(A341,ASTBase!F:P,11,FALSE))=0,"",IF(VLOOKUP(A341,ASTBase!F:P,11,FALSE)="","",VLOOKUP(A341,ASTBase!F:P,11,FALSE)))</f>
        <v>#N/A</v>
      </c>
      <c r="C341" s="140" t="str">
        <f>IF(IFERROR(_xlfn.IFNA(VLOOKUP($A341,'HR Rep'!$A:$X,MATCH('1) For HR (FIX)'!C$1,'HR Rep'!$A$1:$X$1,0),0),""),"")="","",IFERROR(_xlfn.IFNA(VLOOKUP($A341,'HR Rep'!$A:$X,MATCH('1) For HR (FIX)'!C$1,'HR Rep'!$A$1:$X$1,0),0),""),""))</f>
        <v/>
      </c>
      <c r="D341" s="140" t="str">
        <f>IF(IFERROR(_xlfn.IFNA(VLOOKUP($A341,'HR Rep'!$A:$X,MATCH('1) For HR (FIX)'!D$1,'HR Rep'!$A$1:$X$1,0),0),""),"")="","",IFERROR(_xlfn.IFNA(VLOOKUP($A341,'HR Rep'!$A:$X,MATCH('1) For HR (FIX)'!D$1,'HR Rep'!$A$1:$X$1,0),0),""),""))</f>
        <v/>
      </c>
      <c r="E341" s="140" t="str">
        <f>IF(IFERROR(_xlfn.IFNA(VLOOKUP($A341,'HR Rep'!$A:$X,MATCH('1) For HR (FIX)'!E$1,'HR Rep'!$A$1:$X$1,0),0),""),"")="","",IFERROR(_xlfn.IFNA(VLOOKUP($A341,'HR Rep'!$A:$X,MATCH('1) For HR (FIX)'!E$1,'HR Rep'!$A$1:$X$1,0),0),""),""))</f>
        <v/>
      </c>
      <c r="F341" s="140" t="str">
        <f>IF(IFERROR(_xlfn.IFNA(VLOOKUP($A341,'HR Rep'!$A:$X,MATCH('1) For HR (FIX)'!F$1,'HR Rep'!$A$1:$X$1,0),0),""),"")="","",IFERROR(_xlfn.IFNA(VLOOKUP($A341,'HR Rep'!$A:$X,MATCH('1) For HR (FIX)'!F$1,'HR Rep'!$A$1:$X$1,0),0),""),""))</f>
        <v/>
      </c>
      <c r="G341" s="196"/>
      <c r="H341" s="140" t="str">
        <f>IF(IFERROR(_xlfn.IFNA(VLOOKUP($A341,'HR Rep'!$A:$X,MATCH('1) For HR (FIX)'!H$1,'HR Rep'!$A$1:$X$1,0),0),""),"")="","",IFERROR(_xlfn.IFNA(VLOOKUP($A341,'HR Rep'!$A:$X,MATCH('1) For HR (FIX)'!H$1,'HR Rep'!$A$1:$X$1,0),0),""),""))</f>
        <v/>
      </c>
      <c r="I341" s="140" t="str">
        <f>IF(IFERROR(_xlfn.IFNA(VLOOKUP($A341,'HR Rep'!$A:$X,MATCH('1) For HR (FIX)'!I$1,'HR Rep'!$A$1:$X$1,0),0),""),"")="","",IFERROR(_xlfn.IFNA(VLOOKUP($A341,'HR Rep'!$A:$X,MATCH('1) For HR (FIX)'!I$1,'HR Rep'!$A$1:$X$1,0),0),""),""))</f>
        <v/>
      </c>
      <c r="J341" s="140" t="str">
        <f>IF(IFERROR(_xlfn.IFNA(VLOOKUP($A341,'HR Rep'!$A:$X,MATCH('1) For HR (FIX)'!J$1,'HR Rep'!$A$1:$X$1,0),0),""),"")="","",IFERROR(_xlfn.IFNA(VLOOKUP($A341,'HR Rep'!$A:$X,MATCH('1) For HR (FIX)'!J$1,'HR Rep'!$A$1:$X$1,0),0),""),""))</f>
        <v/>
      </c>
      <c r="K341" s="161">
        <f>_xlfn.XLOOKUP(G341,ค่าตอบแทนการขายในอัตราคงที่!A:A,ค่าตอบแทนการขายในอัตราคงที่!B:B)</f>
        <v>0</v>
      </c>
      <c r="L341" s="174">
        <f>Period!$A$2</f>
        <v>46113</v>
      </c>
      <c r="M341" s="175">
        <f>Period!$C$2</f>
        <v>46143</v>
      </c>
      <c r="N341" s="194" t="s">
        <v>279</v>
      </c>
    </row>
    <row r="342" spans="1:14" ht="11.4" x14ac:dyDescent="0.25">
      <c r="A342" s="137"/>
      <c r="B342" s="169" t="e">
        <f>IF(IF(VLOOKUP(A342,ASTBase!F:P,11,FALSE)="","",VLOOKUP(A342,ASTBase!F:P,11,FALSE))=0,"",IF(VLOOKUP(A342,ASTBase!F:P,11,FALSE)="","",VLOOKUP(A342,ASTBase!F:P,11,FALSE)))</f>
        <v>#N/A</v>
      </c>
      <c r="C342" s="140" t="str">
        <f>IF(IFERROR(_xlfn.IFNA(VLOOKUP($A342,'HR Rep'!$A:$X,MATCH('1) For HR (FIX)'!C$1,'HR Rep'!$A$1:$X$1,0),0),""),"")="","",IFERROR(_xlfn.IFNA(VLOOKUP($A342,'HR Rep'!$A:$X,MATCH('1) For HR (FIX)'!C$1,'HR Rep'!$A$1:$X$1,0),0),""),""))</f>
        <v/>
      </c>
      <c r="D342" s="140" t="str">
        <f>IF(IFERROR(_xlfn.IFNA(VLOOKUP($A342,'HR Rep'!$A:$X,MATCH('1) For HR (FIX)'!D$1,'HR Rep'!$A$1:$X$1,0),0),""),"")="","",IFERROR(_xlfn.IFNA(VLOOKUP($A342,'HR Rep'!$A:$X,MATCH('1) For HR (FIX)'!D$1,'HR Rep'!$A$1:$X$1,0),0),""),""))</f>
        <v/>
      </c>
      <c r="E342" s="140" t="str">
        <f>IF(IFERROR(_xlfn.IFNA(VLOOKUP($A342,'HR Rep'!$A:$X,MATCH('1) For HR (FIX)'!E$1,'HR Rep'!$A$1:$X$1,0),0),""),"")="","",IFERROR(_xlfn.IFNA(VLOOKUP($A342,'HR Rep'!$A:$X,MATCH('1) For HR (FIX)'!E$1,'HR Rep'!$A$1:$X$1,0),0),""),""))</f>
        <v/>
      </c>
      <c r="F342" s="140" t="str">
        <f>IF(IFERROR(_xlfn.IFNA(VLOOKUP($A342,'HR Rep'!$A:$X,MATCH('1) For HR (FIX)'!F$1,'HR Rep'!$A$1:$X$1,0),0),""),"")="","",IFERROR(_xlfn.IFNA(VLOOKUP($A342,'HR Rep'!$A:$X,MATCH('1) For HR (FIX)'!F$1,'HR Rep'!$A$1:$X$1,0),0),""),""))</f>
        <v/>
      </c>
      <c r="G342" s="196"/>
      <c r="H342" s="140" t="str">
        <f>IF(IFERROR(_xlfn.IFNA(VLOOKUP($A342,'HR Rep'!$A:$X,MATCH('1) For HR (FIX)'!H$1,'HR Rep'!$A$1:$X$1,0),0),""),"")="","",IFERROR(_xlfn.IFNA(VLOOKUP($A342,'HR Rep'!$A:$X,MATCH('1) For HR (FIX)'!H$1,'HR Rep'!$A$1:$X$1,0),0),""),""))</f>
        <v/>
      </c>
      <c r="I342" s="140" t="str">
        <f>IF(IFERROR(_xlfn.IFNA(VLOOKUP($A342,'HR Rep'!$A:$X,MATCH('1) For HR (FIX)'!I$1,'HR Rep'!$A$1:$X$1,0),0),""),"")="","",IFERROR(_xlfn.IFNA(VLOOKUP($A342,'HR Rep'!$A:$X,MATCH('1) For HR (FIX)'!I$1,'HR Rep'!$A$1:$X$1,0),0),""),""))</f>
        <v/>
      </c>
      <c r="J342" s="140" t="str">
        <f>IF(IFERROR(_xlfn.IFNA(VLOOKUP($A342,'HR Rep'!$A:$X,MATCH('1) For HR (FIX)'!J$1,'HR Rep'!$A$1:$X$1,0),0),""),"")="","",IFERROR(_xlfn.IFNA(VLOOKUP($A342,'HR Rep'!$A:$X,MATCH('1) For HR (FIX)'!J$1,'HR Rep'!$A$1:$X$1,0),0),""),""))</f>
        <v/>
      </c>
      <c r="K342" s="161">
        <f>_xlfn.XLOOKUP(G342,ค่าตอบแทนการขายในอัตราคงที่!A:A,ค่าตอบแทนการขายในอัตราคงที่!B:B)</f>
        <v>0</v>
      </c>
      <c r="L342" s="174">
        <f>Period!$A$2</f>
        <v>46113</v>
      </c>
      <c r="M342" s="175">
        <f>Period!$C$2</f>
        <v>46143</v>
      </c>
      <c r="N342" s="194" t="s">
        <v>279</v>
      </c>
    </row>
    <row r="343" spans="1:14" ht="11.4" x14ac:dyDescent="0.25">
      <c r="A343" s="137"/>
      <c r="B343" s="169" t="e">
        <f>IF(IF(VLOOKUP(A343,ASTBase!F:P,11,FALSE)="","",VLOOKUP(A343,ASTBase!F:P,11,FALSE))=0,"",IF(VLOOKUP(A343,ASTBase!F:P,11,FALSE)="","",VLOOKUP(A343,ASTBase!F:P,11,FALSE)))</f>
        <v>#N/A</v>
      </c>
      <c r="C343" s="140" t="str">
        <f>IF(IFERROR(_xlfn.IFNA(VLOOKUP($A343,'HR Rep'!$A:$X,MATCH('1) For HR (FIX)'!C$1,'HR Rep'!$A$1:$X$1,0),0),""),"")="","",IFERROR(_xlfn.IFNA(VLOOKUP($A343,'HR Rep'!$A:$X,MATCH('1) For HR (FIX)'!C$1,'HR Rep'!$A$1:$X$1,0),0),""),""))</f>
        <v/>
      </c>
      <c r="D343" s="140" t="str">
        <f>IF(IFERROR(_xlfn.IFNA(VLOOKUP($A343,'HR Rep'!$A:$X,MATCH('1) For HR (FIX)'!D$1,'HR Rep'!$A$1:$X$1,0),0),""),"")="","",IFERROR(_xlfn.IFNA(VLOOKUP($A343,'HR Rep'!$A:$X,MATCH('1) For HR (FIX)'!D$1,'HR Rep'!$A$1:$X$1,0),0),""),""))</f>
        <v/>
      </c>
      <c r="E343" s="140" t="str">
        <f>IF(IFERROR(_xlfn.IFNA(VLOOKUP($A343,'HR Rep'!$A:$X,MATCH('1) For HR (FIX)'!E$1,'HR Rep'!$A$1:$X$1,0),0),""),"")="","",IFERROR(_xlfn.IFNA(VLOOKUP($A343,'HR Rep'!$A:$X,MATCH('1) For HR (FIX)'!E$1,'HR Rep'!$A$1:$X$1,0),0),""),""))</f>
        <v/>
      </c>
      <c r="F343" s="140" t="str">
        <f>IF(IFERROR(_xlfn.IFNA(VLOOKUP($A343,'HR Rep'!$A:$X,MATCH('1) For HR (FIX)'!F$1,'HR Rep'!$A$1:$X$1,0),0),""),"")="","",IFERROR(_xlfn.IFNA(VLOOKUP($A343,'HR Rep'!$A:$X,MATCH('1) For HR (FIX)'!F$1,'HR Rep'!$A$1:$X$1,0),0),""),""))</f>
        <v/>
      </c>
      <c r="G343" s="196"/>
      <c r="H343" s="140" t="str">
        <f>IF(IFERROR(_xlfn.IFNA(VLOOKUP($A343,'HR Rep'!$A:$X,MATCH('1) For HR (FIX)'!H$1,'HR Rep'!$A$1:$X$1,0),0),""),"")="","",IFERROR(_xlfn.IFNA(VLOOKUP($A343,'HR Rep'!$A:$X,MATCH('1) For HR (FIX)'!H$1,'HR Rep'!$A$1:$X$1,0),0),""),""))</f>
        <v/>
      </c>
      <c r="I343" s="140" t="str">
        <f>IF(IFERROR(_xlfn.IFNA(VLOOKUP($A343,'HR Rep'!$A:$X,MATCH('1) For HR (FIX)'!I$1,'HR Rep'!$A$1:$X$1,0),0),""),"")="","",IFERROR(_xlfn.IFNA(VLOOKUP($A343,'HR Rep'!$A:$X,MATCH('1) For HR (FIX)'!I$1,'HR Rep'!$A$1:$X$1,0),0),""),""))</f>
        <v/>
      </c>
      <c r="J343" s="140" t="str">
        <f>IF(IFERROR(_xlfn.IFNA(VLOOKUP($A343,'HR Rep'!$A:$X,MATCH('1) For HR (FIX)'!J$1,'HR Rep'!$A$1:$X$1,0),0),""),"")="","",IFERROR(_xlfn.IFNA(VLOOKUP($A343,'HR Rep'!$A:$X,MATCH('1) For HR (FIX)'!J$1,'HR Rep'!$A$1:$X$1,0),0),""),""))</f>
        <v/>
      </c>
      <c r="K343" s="161">
        <f>_xlfn.XLOOKUP(G343,ค่าตอบแทนการขายในอัตราคงที่!A:A,ค่าตอบแทนการขายในอัตราคงที่!B:B)</f>
        <v>0</v>
      </c>
      <c r="L343" s="174">
        <f>Period!$A$2</f>
        <v>46113</v>
      </c>
      <c r="M343" s="175">
        <f>Period!$C$2</f>
        <v>46143</v>
      </c>
      <c r="N343" s="194" t="s">
        <v>279</v>
      </c>
    </row>
    <row r="344" spans="1:14" ht="11.4" x14ac:dyDescent="0.25">
      <c r="A344" s="137"/>
      <c r="B344" s="169" t="e">
        <f>IF(IF(VLOOKUP(A344,ASTBase!F:P,11,FALSE)="","",VLOOKUP(A344,ASTBase!F:P,11,FALSE))=0,"",IF(VLOOKUP(A344,ASTBase!F:P,11,FALSE)="","",VLOOKUP(A344,ASTBase!F:P,11,FALSE)))</f>
        <v>#N/A</v>
      </c>
      <c r="C344" s="140" t="str">
        <f>IF(IFERROR(_xlfn.IFNA(VLOOKUP($A344,'HR Rep'!$A:$X,MATCH('1) For HR (FIX)'!C$1,'HR Rep'!$A$1:$X$1,0),0),""),"")="","",IFERROR(_xlfn.IFNA(VLOOKUP($A344,'HR Rep'!$A:$X,MATCH('1) For HR (FIX)'!C$1,'HR Rep'!$A$1:$X$1,0),0),""),""))</f>
        <v/>
      </c>
      <c r="D344" s="140" t="str">
        <f>IF(IFERROR(_xlfn.IFNA(VLOOKUP($A344,'HR Rep'!$A:$X,MATCH('1) For HR (FIX)'!D$1,'HR Rep'!$A$1:$X$1,0),0),""),"")="","",IFERROR(_xlfn.IFNA(VLOOKUP($A344,'HR Rep'!$A:$X,MATCH('1) For HR (FIX)'!D$1,'HR Rep'!$A$1:$X$1,0),0),""),""))</f>
        <v/>
      </c>
      <c r="E344" s="140" t="str">
        <f>IF(IFERROR(_xlfn.IFNA(VLOOKUP($A344,'HR Rep'!$A:$X,MATCH('1) For HR (FIX)'!E$1,'HR Rep'!$A$1:$X$1,0),0),""),"")="","",IFERROR(_xlfn.IFNA(VLOOKUP($A344,'HR Rep'!$A:$X,MATCH('1) For HR (FIX)'!E$1,'HR Rep'!$A$1:$X$1,0),0),""),""))</f>
        <v/>
      </c>
      <c r="F344" s="140" t="str">
        <f>IF(IFERROR(_xlfn.IFNA(VLOOKUP($A344,'HR Rep'!$A:$X,MATCH('1) For HR (FIX)'!F$1,'HR Rep'!$A$1:$X$1,0),0),""),"")="","",IFERROR(_xlfn.IFNA(VLOOKUP($A344,'HR Rep'!$A:$X,MATCH('1) For HR (FIX)'!F$1,'HR Rep'!$A$1:$X$1,0),0),""),""))</f>
        <v/>
      </c>
      <c r="G344" s="196"/>
      <c r="H344" s="140" t="str">
        <f>IF(IFERROR(_xlfn.IFNA(VLOOKUP($A344,'HR Rep'!$A:$X,MATCH('1) For HR (FIX)'!H$1,'HR Rep'!$A$1:$X$1,0),0),""),"")="","",IFERROR(_xlfn.IFNA(VLOOKUP($A344,'HR Rep'!$A:$X,MATCH('1) For HR (FIX)'!H$1,'HR Rep'!$A$1:$X$1,0),0),""),""))</f>
        <v/>
      </c>
      <c r="I344" s="140" t="str">
        <f>IF(IFERROR(_xlfn.IFNA(VLOOKUP($A344,'HR Rep'!$A:$X,MATCH('1) For HR (FIX)'!I$1,'HR Rep'!$A$1:$X$1,0),0),""),"")="","",IFERROR(_xlfn.IFNA(VLOOKUP($A344,'HR Rep'!$A:$X,MATCH('1) For HR (FIX)'!I$1,'HR Rep'!$A$1:$X$1,0),0),""),""))</f>
        <v/>
      </c>
      <c r="J344" s="140" t="str">
        <f>IF(IFERROR(_xlfn.IFNA(VLOOKUP($A344,'HR Rep'!$A:$X,MATCH('1) For HR (FIX)'!J$1,'HR Rep'!$A$1:$X$1,0),0),""),"")="","",IFERROR(_xlfn.IFNA(VLOOKUP($A344,'HR Rep'!$A:$X,MATCH('1) For HR (FIX)'!J$1,'HR Rep'!$A$1:$X$1,0),0),""),""))</f>
        <v/>
      </c>
      <c r="K344" s="161">
        <f>_xlfn.XLOOKUP(G344,ค่าตอบแทนการขายในอัตราคงที่!A:A,ค่าตอบแทนการขายในอัตราคงที่!B:B)</f>
        <v>0</v>
      </c>
      <c r="L344" s="174">
        <f>Period!$A$2</f>
        <v>46113</v>
      </c>
      <c r="M344" s="175">
        <f>Period!$C$2</f>
        <v>46143</v>
      </c>
      <c r="N344" s="194" t="s">
        <v>279</v>
      </c>
    </row>
    <row r="345" spans="1:14" ht="11.4" x14ac:dyDescent="0.25">
      <c r="A345" s="137"/>
      <c r="B345" s="169" t="e">
        <f>IF(IF(VLOOKUP(A345,ASTBase!F:P,11,FALSE)="","",VLOOKUP(A345,ASTBase!F:P,11,FALSE))=0,"",IF(VLOOKUP(A345,ASTBase!F:P,11,FALSE)="","",VLOOKUP(A345,ASTBase!F:P,11,FALSE)))</f>
        <v>#N/A</v>
      </c>
      <c r="C345" s="140" t="str">
        <f>IF(IFERROR(_xlfn.IFNA(VLOOKUP($A345,'HR Rep'!$A:$X,MATCH('1) For HR (FIX)'!C$1,'HR Rep'!$A$1:$X$1,0),0),""),"")="","",IFERROR(_xlfn.IFNA(VLOOKUP($A345,'HR Rep'!$A:$X,MATCH('1) For HR (FIX)'!C$1,'HR Rep'!$A$1:$X$1,0),0),""),""))</f>
        <v/>
      </c>
      <c r="D345" s="140" t="str">
        <f>IF(IFERROR(_xlfn.IFNA(VLOOKUP($A345,'HR Rep'!$A:$X,MATCH('1) For HR (FIX)'!D$1,'HR Rep'!$A$1:$X$1,0),0),""),"")="","",IFERROR(_xlfn.IFNA(VLOOKUP($A345,'HR Rep'!$A:$X,MATCH('1) For HR (FIX)'!D$1,'HR Rep'!$A$1:$X$1,0),0),""),""))</f>
        <v/>
      </c>
      <c r="E345" s="140" t="str">
        <f>IF(IFERROR(_xlfn.IFNA(VLOOKUP($A345,'HR Rep'!$A:$X,MATCH('1) For HR (FIX)'!E$1,'HR Rep'!$A$1:$X$1,0),0),""),"")="","",IFERROR(_xlfn.IFNA(VLOOKUP($A345,'HR Rep'!$A:$X,MATCH('1) For HR (FIX)'!E$1,'HR Rep'!$A$1:$X$1,0),0),""),""))</f>
        <v/>
      </c>
      <c r="F345" s="140" t="str">
        <f>IF(IFERROR(_xlfn.IFNA(VLOOKUP($A345,'HR Rep'!$A:$X,MATCH('1) For HR (FIX)'!F$1,'HR Rep'!$A$1:$X$1,0),0),""),"")="","",IFERROR(_xlfn.IFNA(VLOOKUP($A345,'HR Rep'!$A:$X,MATCH('1) For HR (FIX)'!F$1,'HR Rep'!$A$1:$X$1,0),0),""),""))</f>
        <v/>
      </c>
      <c r="G345" s="196"/>
      <c r="H345" s="140" t="str">
        <f>IF(IFERROR(_xlfn.IFNA(VLOOKUP($A345,'HR Rep'!$A:$X,MATCH('1) For HR (FIX)'!H$1,'HR Rep'!$A$1:$X$1,0),0),""),"")="","",IFERROR(_xlfn.IFNA(VLOOKUP($A345,'HR Rep'!$A:$X,MATCH('1) For HR (FIX)'!H$1,'HR Rep'!$A$1:$X$1,0),0),""),""))</f>
        <v/>
      </c>
      <c r="I345" s="140" t="str">
        <f>IF(IFERROR(_xlfn.IFNA(VLOOKUP($A345,'HR Rep'!$A:$X,MATCH('1) For HR (FIX)'!I$1,'HR Rep'!$A$1:$X$1,0),0),""),"")="","",IFERROR(_xlfn.IFNA(VLOOKUP($A345,'HR Rep'!$A:$X,MATCH('1) For HR (FIX)'!I$1,'HR Rep'!$A$1:$X$1,0),0),""),""))</f>
        <v/>
      </c>
      <c r="J345" s="140" t="str">
        <f>IF(IFERROR(_xlfn.IFNA(VLOOKUP($A345,'HR Rep'!$A:$X,MATCH('1) For HR (FIX)'!J$1,'HR Rep'!$A$1:$X$1,0),0),""),"")="","",IFERROR(_xlfn.IFNA(VLOOKUP($A345,'HR Rep'!$A:$X,MATCH('1) For HR (FIX)'!J$1,'HR Rep'!$A$1:$X$1,0),0),""),""))</f>
        <v/>
      </c>
      <c r="K345" s="161">
        <f>_xlfn.XLOOKUP(G345,ค่าตอบแทนการขายในอัตราคงที่!A:A,ค่าตอบแทนการขายในอัตราคงที่!B:B)</f>
        <v>0</v>
      </c>
      <c r="L345" s="174">
        <f>Period!$A$2</f>
        <v>46113</v>
      </c>
      <c r="M345" s="175">
        <f>Period!$C$2</f>
        <v>46143</v>
      </c>
      <c r="N345" s="194" t="s">
        <v>279</v>
      </c>
    </row>
    <row r="346" spans="1:14" ht="11.4" x14ac:dyDescent="0.25">
      <c r="A346" s="137"/>
      <c r="B346" s="169" t="e">
        <f>IF(IF(VLOOKUP(A346,ASTBase!F:P,11,FALSE)="","",VLOOKUP(A346,ASTBase!F:P,11,FALSE))=0,"",IF(VLOOKUP(A346,ASTBase!F:P,11,FALSE)="","",VLOOKUP(A346,ASTBase!F:P,11,FALSE)))</f>
        <v>#N/A</v>
      </c>
      <c r="C346" s="140" t="str">
        <f>IF(IFERROR(_xlfn.IFNA(VLOOKUP($A346,'HR Rep'!$A:$X,MATCH('1) For HR (FIX)'!C$1,'HR Rep'!$A$1:$X$1,0),0),""),"")="","",IFERROR(_xlfn.IFNA(VLOOKUP($A346,'HR Rep'!$A:$X,MATCH('1) For HR (FIX)'!C$1,'HR Rep'!$A$1:$X$1,0),0),""),""))</f>
        <v/>
      </c>
      <c r="D346" s="140" t="str">
        <f>IF(IFERROR(_xlfn.IFNA(VLOOKUP($A346,'HR Rep'!$A:$X,MATCH('1) For HR (FIX)'!D$1,'HR Rep'!$A$1:$X$1,0),0),""),"")="","",IFERROR(_xlfn.IFNA(VLOOKUP($A346,'HR Rep'!$A:$X,MATCH('1) For HR (FIX)'!D$1,'HR Rep'!$A$1:$X$1,0),0),""),""))</f>
        <v/>
      </c>
      <c r="E346" s="140" t="str">
        <f>IF(IFERROR(_xlfn.IFNA(VLOOKUP($A346,'HR Rep'!$A:$X,MATCH('1) For HR (FIX)'!E$1,'HR Rep'!$A$1:$X$1,0),0),""),"")="","",IFERROR(_xlfn.IFNA(VLOOKUP($A346,'HR Rep'!$A:$X,MATCH('1) For HR (FIX)'!E$1,'HR Rep'!$A$1:$X$1,0),0),""),""))</f>
        <v/>
      </c>
      <c r="F346" s="140" t="str">
        <f>IF(IFERROR(_xlfn.IFNA(VLOOKUP($A346,'HR Rep'!$A:$X,MATCH('1) For HR (FIX)'!F$1,'HR Rep'!$A$1:$X$1,0),0),""),"")="","",IFERROR(_xlfn.IFNA(VLOOKUP($A346,'HR Rep'!$A:$X,MATCH('1) For HR (FIX)'!F$1,'HR Rep'!$A$1:$X$1,0),0),""),""))</f>
        <v/>
      </c>
      <c r="G346" s="196"/>
      <c r="H346" s="140" t="str">
        <f>IF(IFERROR(_xlfn.IFNA(VLOOKUP($A346,'HR Rep'!$A:$X,MATCH('1) For HR (FIX)'!H$1,'HR Rep'!$A$1:$X$1,0),0),""),"")="","",IFERROR(_xlfn.IFNA(VLOOKUP($A346,'HR Rep'!$A:$X,MATCH('1) For HR (FIX)'!H$1,'HR Rep'!$A$1:$X$1,0),0),""),""))</f>
        <v/>
      </c>
      <c r="I346" s="140" t="str">
        <f>IF(IFERROR(_xlfn.IFNA(VLOOKUP($A346,'HR Rep'!$A:$X,MATCH('1) For HR (FIX)'!I$1,'HR Rep'!$A$1:$X$1,0),0),""),"")="","",IFERROR(_xlfn.IFNA(VLOOKUP($A346,'HR Rep'!$A:$X,MATCH('1) For HR (FIX)'!I$1,'HR Rep'!$A$1:$X$1,0),0),""),""))</f>
        <v/>
      </c>
      <c r="J346" s="140" t="str">
        <f>IF(IFERROR(_xlfn.IFNA(VLOOKUP($A346,'HR Rep'!$A:$X,MATCH('1) For HR (FIX)'!J$1,'HR Rep'!$A$1:$X$1,0),0),""),"")="","",IFERROR(_xlfn.IFNA(VLOOKUP($A346,'HR Rep'!$A:$X,MATCH('1) For HR (FIX)'!J$1,'HR Rep'!$A$1:$X$1,0),0),""),""))</f>
        <v/>
      </c>
      <c r="K346" s="161">
        <f>_xlfn.XLOOKUP(G346,ค่าตอบแทนการขายในอัตราคงที่!A:A,ค่าตอบแทนการขายในอัตราคงที่!B:B)</f>
        <v>0</v>
      </c>
      <c r="L346" s="174">
        <f>Period!$A$2</f>
        <v>46113</v>
      </c>
      <c r="M346" s="175">
        <f>Period!$C$2</f>
        <v>46143</v>
      </c>
      <c r="N346" s="194" t="s">
        <v>279</v>
      </c>
    </row>
    <row r="347" spans="1:14" ht="11.4" x14ac:dyDescent="0.25">
      <c r="A347" s="137"/>
      <c r="B347" s="169" t="e">
        <f>IF(IF(VLOOKUP(A347,ASTBase!F:P,11,FALSE)="","",VLOOKUP(A347,ASTBase!F:P,11,FALSE))=0,"",IF(VLOOKUP(A347,ASTBase!F:P,11,FALSE)="","",VLOOKUP(A347,ASTBase!F:P,11,FALSE)))</f>
        <v>#N/A</v>
      </c>
      <c r="C347" s="140" t="str">
        <f>IF(IFERROR(_xlfn.IFNA(VLOOKUP($A347,'HR Rep'!$A:$X,MATCH('1) For HR (FIX)'!C$1,'HR Rep'!$A$1:$X$1,0),0),""),"")="","",IFERROR(_xlfn.IFNA(VLOOKUP($A347,'HR Rep'!$A:$X,MATCH('1) For HR (FIX)'!C$1,'HR Rep'!$A$1:$X$1,0),0),""),""))</f>
        <v/>
      </c>
      <c r="D347" s="140" t="str">
        <f>IF(IFERROR(_xlfn.IFNA(VLOOKUP($A347,'HR Rep'!$A:$X,MATCH('1) For HR (FIX)'!D$1,'HR Rep'!$A$1:$X$1,0),0),""),"")="","",IFERROR(_xlfn.IFNA(VLOOKUP($A347,'HR Rep'!$A:$X,MATCH('1) For HR (FIX)'!D$1,'HR Rep'!$A$1:$X$1,0),0),""),""))</f>
        <v/>
      </c>
      <c r="E347" s="140" t="str">
        <f>IF(IFERROR(_xlfn.IFNA(VLOOKUP($A347,'HR Rep'!$A:$X,MATCH('1) For HR (FIX)'!E$1,'HR Rep'!$A$1:$X$1,0),0),""),"")="","",IFERROR(_xlfn.IFNA(VLOOKUP($A347,'HR Rep'!$A:$X,MATCH('1) For HR (FIX)'!E$1,'HR Rep'!$A$1:$X$1,0),0),""),""))</f>
        <v/>
      </c>
      <c r="F347" s="140" t="str">
        <f>IF(IFERROR(_xlfn.IFNA(VLOOKUP($A347,'HR Rep'!$A:$X,MATCH('1) For HR (FIX)'!F$1,'HR Rep'!$A$1:$X$1,0),0),""),"")="","",IFERROR(_xlfn.IFNA(VLOOKUP($A347,'HR Rep'!$A:$X,MATCH('1) For HR (FIX)'!F$1,'HR Rep'!$A$1:$X$1,0),0),""),""))</f>
        <v/>
      </c>
      <c r="G347" s="196"/>
      <c r="H347" s="140" t="str">
        <f>IF(IFERROR(_xlfn.IFNA(VLOOKUP($A347,'HR Rep'!$A:$X,MATCH('1) For HR (FIX)'!H$1,'HR Rep'!$A$1:$X$1,0),0),""),"")="","",IFERROR(_xlfn.IFNA(VLOOKUP($A347,'HR Rep'!$A:$X,MATCH('1) For HR (FIX)'!H$1,'HR Rep'!$A$1:$X$1,0),0),""),""))</f>
        <v/>
      </c>
      <c r="I347" s="140" t="str">
        <f>IF(IFERROR(_xlfn.IFNA(VLOOKUP($A347,'HR Rep'!$A:$X,MATCH('1) For HR (FIX)'!I$1,'HR Rep'!$A$1:$X$1,0),0),""),"")="","",IFERROR(_xlfn.IFNA(VLOOKUP($A347,'HR Rep'!$A:$X,MATCH('1) For HR (FIX)'!I$1,'HR Rep'!$A$1:$X$1,0),0),""),""))</f>
        <v/>
      </c>
      <c r="J347" s="140" t="str">
        <f>IF(IFERROR(_xlfn.IFNA(VLOOKUP($A347,'HR Rep'!$A:$X,MATCH('1) For HR (FIX)'!J$1,'HR Rep'!$A$1:$X$1,0),0),""),"")="","",IFERROR(_xlfn.IFNA(VLOOKUP($A347,'HR Rep'!$A:$X,MATCH('1) For HR (FIX)'!J$1,'HR Rep'!$A$1:$X$1,0),0),""),""))</f>
        <v/>
      </c>
      <c r="K347" s="161">
        <f>_xlfn.XLOOKUP(G347,ค่าตอบแทนการขายในอัตราคงที่!A:A,ค่าตอบแทนการขายในอัตราคงที่!B:B)</f>
        <v>0</v>
      </c>
      <c r="L347" s="174">
        <f>Period!$A$2</f>
        <v>46113</v>
      </c>
      <c r="M347" s="175">
        <f>Period!$C$2</f>
        <v>46143</v>
      </c>
      <c r="N347" s="194" t="s">
        <v>279</v>
      </c>
    </row>
    <row r="348" spans="1:14" ht="11.4" x14ac:dyDescent="0.25">
      <c r="A348" s="137"/>
      <c r="B348" s="169" t="e">
        <f>IF(IF(VLOOKUP(A348,ASTBase!F:P,11,FALSE)="","",VLOOKUP(A348,ASTBase!F:P,11,FALSE))=0,"",IF(VLOOKUP(A348,ASTBase!F:P,11,FALSE)="","",VLOOKUP(A348,ASTBase!F:P,11,FALSE)))</f>
        <v>#N/A</v>
      </c>
      <c r="C348" s="140" t="str">
        <f>IF(IFERROR(_xlfn.IFNA(VLOOKUP($A348,'HR Rep'!$A:$X,MATCH('1) For HR (FIX)'!C$1,'HR Rep'!$A$1:$X$1,0),0),""),"")="","",IFERROR(_xlfn.IFNA(VLOOKUP($A348,'HR Rep'!$A:$X,MATCH('1) For HR (FIX)'!C$1,'HR Rep'!$A$1:$X$1,0),0),""),""))</f>
        <v/>
      </c>
      <c r="D348" s="140" t="str">
        <f>IF(IFERROR(_xlfn.IFNA(VLOOKUP($A348,'HR Rep'!$A:$X,MATCH('1) For HR (FIX)'!D$1,'HR Rep'!$A$1:$X$1,0),0),""),"")="","",IFERROR(_xlfn.IFNA(VLOOKUP($A348,'HR Rep'!$A:$X,MATCH('1) For HR (FIX)'!D$1,'HR Rep'!$A$1:$X$1,0),0),""),""))</f>
        <v/>
      </c>
      <c r="E348" s="140" t="str">
        <f>IF(IFERROR(_xlfn.IFNA(VLOOKUP($A348,'HR Rep'!$A:$X,MATCH('1) For HR (FIX)'!E$1,'HR Rep'!$A$1:$X$1,0),0),""),"")="","",IFERROR(_xlfn.IFNA(VLOOKUP($A348,'HR Rep'!$A:$X,MATCH('1) For HR (FIX)'!E$1,'HR Rep'!$A$1:$X$1,0),0),""),""))</f>
        <v/>
      </c>
      <c r="F348" s="140" t="str">
        <f>IF(IFERROR(_xlfn.IFNA(VLOOKUP($A348,'HR Rep'!$A:$X,MATCH('1) For HR (FIX)'!F$1,'HR Rep'!$A$1:$X$1,0),0),""),"")="","",IFERROR(_xlfn.IFNA(VLOOKUP($A348,'HR Rep'!$A:$X,MATCH('1) For HR (FIX)'!F$1,'HR Rep'!$A$1:$X$1,0),0),""),""))</f>
        <v/>
      </c>
      <c r="G348" s="196"/>
      <c r="H348" s="140" t="str">
        <f>IF(IFERROR(_xlfn.IFNA(VLOOKUP($A348,'HR Rep'!$A:$X,MATCH('1) For HR (FIX)'!H$1,'HR Rep'!$A$1:$X$1,0),0),""),"")="","",IFERROR(_xlfn.IFNA(VLOOKUP($A348,'HR Rep'!$A:$X,MATCH('1) For HR (FIX)'!H$1,'HR Rep'!$A$1:$X$1,0),0),""),""))</f>
        <v/>
      </c>
      <c r="I348" s="140" t="str">
        <f>IF(IFERROR(_xlfn.IFNA(VLOOKUP($A348,'HR Rep'!$A:$X,MATCH('1) For HR (FIX)'!I$1,'HR Rep'!$A$1:$X$1,0),0),""),"")="","",IFERROR(_xlfn.IFNA(VLOOKUP($A348,'HR Rep'!$A:$X,MATCH('1) For HR (FIX)'!I$1,'HR Rep'!$A$1:$X$1,0),0),""),""))</f>
        <v/>
      </c>
      <c r="J348" s="140" t="str">
        <f>IF(IFERROR(_xlfn.IFNA(VLOOKUP($A348,'HR Rep'!$A:$X,MATCH('1) For HR (FIX)'!J$1,'HR Rep'!$A$1:$X$1,0),0),""),"")="","",IFERROR(_xlfn.IFNA(VLOOKUP($A348,'HR Rep'!$A:$X,MATCH('1) For HR (FIX)'!J$1,'HR Rep'!$A$1:$X$1,0),0),""),""))</f>
        <v/>
      </c>
      <c r="K348" s="161">
        <f>_xlfn.XLOOKUP(G348,ค่าตอบแทนการขายในอัตราคงที่!A:A,ค่าตอบแทนการขายในอัตราคงที่!B:B)</f>
        <v>0</v>
      </c>
      <c r="L348" s="174">
        <f>Period!$A$2</f>
        <v>46113</v>
      </c>
      <c r="M348" s="175">
        <f>Period!$C$2</f>
        <v>46143</v>
      </c>
      <c r="N348" s="194" t="s">
        <v>279</v>
      </c>
    </row>
    <row r="349" spans="1:14" ht="11.4" x14ac:dyDescent="0.25">
      <c r="A349" s="137"/>
      <c r="B349" s="169" t="e">
        <f>IF(IF(VLOOKUP(A349,ASTBase!F:P,11,FALSE)="","",VLOOKUP(A349,ASTBase!F:P,11,FALSE))=0,"",IF(VLOOKUP(A349,ASTBase!F:P,11,FALSE)="","",VLOOKUP(A349,ASTBase!F:P,11,FALSE)))</f>
        <v>#N/A</v>
      </c>
      <c r="C349" s="140" t="str">
        <f>IF(IFERROR(_xlfn.IFNA(VLOOKUP($A349,'HR Rep'!$A:$X,MATCH('1) For HR (FIX)'!C$1,'HR Rep'!$A$1:$X$1,0),0),""),"")="","",IFERROR(_xlfn.IFNA(VLOOKUP($A349,'HR Rep'!$A:$X,MATCH('1) For HR (FIX)'!C$1,'HR Rep'!$A$1:$X$1,0),0),""),""))</f>
        <v/>
      </c>
      <c r="D349" s="140" t="str">
        <f>IF(IFERROR(_xlfn.IFNA(VLOOKUP($A349,'HR Rep'!$A:$X,MATCH('1) For HR (FIX)'!D$1,'HR Rep'!$A$1:$X$1,0),0),""),"")="","",IFERROR(_xlfn.IFNA(VLOOKUP($A349,'HR Rep'!$A:$X,MATCH('1) For HR (FIX)'!D$1,'HR Rep'!$A$1:$X$1,0),0),""),""))</f>
        <v/>
      </c>
      <c r="E349" s="140" t="str">
        <f>IF(IFERROR(_xlfn.IFNA(VLOOKUP($A349,'HR Rep'!$A:$X,MATCH('1) For HR (FIX)'!E$1,'HR Rep'!$A$1:$X$1,0),0),""),"")="","",IFERROR(_xlfn.IFNA(VLOOKUP($A349,'HR Rep'!$A:$X,MATCH('1) For HR (FIX)'!E$1,'HR Rep'!$A$1:$X$1,0),0),""),""))</f>
        <v/>
      </c>
      <c r="F349" s="140" t="str">
        <f>IF(IFERROR(_xlfn.IFNA(VLOOKUP($A349,'HR Rep'!$A:$X,MATCH('1) For HR (FIX)'!F$1,'HR Rep'!$A$1:$X$1,0),0),""),"")="","",IFERROR(_xlfn.IFNA(VLOOKUP($A349,'HR Rep'!$A:$X,MATCH('1) For HR (FIX)'!F$1,'HR Rep'!$A$1:$X$1,0),0),""),""))</f>
        <v/>
      </c>
      <c r="G349" s="196"/>
      <c r="H349" s="140" t="str">
        <f>IF(IFERROR(_xlfn.IFNA(VLOOKUP($A349,'HR Rep'!$A:$X,MATCH('1) For HR (FIX)'!H$1,'HR Rep'!$A$1:$X$1,0),0),""),"")="","",IFERROR(_xlfn.IFNA(VLOOKUP($A349,'HR Rep'!$A:$X,MATCH('1) For HR (FIX)'!H$1,'HR Rep'!$A$1:$X$1,0),0),""),""))</f>
        <v/>
      </c>
      <c r="I349" s="140" t="str">
        <f>IF(IFERROR(_xlfn.IFNA(VLOOKUP($A349,'HR Rep'!$A:$X,MATCH('1) For HR (FIX)'!I$1,'HR Rep'!$A$1:$X$1,0),0),""),"")="","",IFERROR(_xlfn.IFNA(VLOOKUP($A349,'HR Rep'!$A:$X,MATCH('1) For HR (FIX)'!I$1,'HR Rep'!$A$1:$X$1,0),0),""),""))</f>
        <v/>
      </c>
      <c r="J349" s="140" t="str">
        <f>IF(IFERROR(_xlfn.IFNA(VLOOKUP($A349,'HR Rep'!$A:$X,MATCH('1) For HR (FIX)'!J$1,'HR Rep'!$A$1:$X$1,0),0),""),"")="","",IFERROR(_xlfn.IFNA(VLOOKUP($A349,'HR Rep'!$A:$X,MATCH('1) For HR (FIX)'!J$1,'HR Rep'!$A$1:$X$1,0),0),""),""))</f>
        <v/>
      </c>
      <c r="K349" s="161">
        <f>_xlfn.XLOOKUP(G349,ค่าตอบแทนการขายในอัตราคงที่!A:A,ค่าตอบแทนการขายในอัตราคงที่!B:B)</f>
        <v>0</v>
      </c>
      <c r="L349" s="174">
        <f>Period!$A$2</f>
        <v>46113</v>
      </c>
      <c r="M349" s="175">
        <f>Period!$C$2</f>
        <v>46143</v>
      </c>
      <c r="N349" s="194" t="s">
        <v>279</v>
      </c>
    </row>
    <row r="350" spans="1:14" ht="11.4" x14ac:dyDescent="0.25">
      <c r="A350" s="137"/>
      <c r="B350" s="169" t="e">
        <f>IF(IF(VLOOKUP(A350,ASTBase!F:P,11,FALSE)="","",VLOOKUP(A350,ASTBase!F:P,11,FALSE))=0,"",IF(VLOOKUP(A350,ASTBase!F:P,11,FALSE)="","",VLOOKUP(A350,ASTBase!F:P,11,FALSE)))</f>
        <v>#N/A</v>
      </c>
      <c r="C350" s="140" t="str">
        <f>IF(IFERROR(_xlfn.IFNA(VLOOKUP($A350,'HR Rep'!$A:$X,MATCH('1) For HR (FIX)'!C$1,'HR Rep'!$A$1:$X$1,0),0),""),"")="","",IFERROR(_xlfn.IFNA(VLOOKUP($A350,'HR Rep'!$A:$X,MATCH('1) For HR (FIX)'!C$1,'HR Rep'!$A$1:$X$1,0),0),""),""))</f>
        <v/>
      </c>
      <c r="D350" s="140" t="str">
        <f>IF(IFERROR(_xlfn.IFNA(VLOOKUP($A350,'HR Rep'!$A:$X,MATCH('1) For HR (FIX)'!D$1,'HR Rep'!$A$1:$X$1,0),0),""),"")="","",IFERROR(_xlfn.IFNA(VLOOKUP($A350,'HR Rep'!$A:$X,MATCH('1) For HR (FIX)'!D$1,'HR Rep'!$A$1:$X$1,0),0),""),""))</f>
        <v/>
      </c>
      <c r="E350" s="140" t="str">
        <f>IF(IFERROR(_xlfn.IFNA(VLOOKUP($A350,'HR Rep'!$A:$X,MATCH('1) For HR (FIX)'!E$1,'HR Rep'!$A$1:$X$1,0),0),""),"")="","",IFERROR(_xlfn.IFNA(VLOOKUP($A350,'HR Rep'!$A:$X,MATCH('1) For HR (FIX)'!E$1,'HR Rep'!$A$1:$X$1,0),0),""),""))</f>
        <v/>
      </c>
      <c r="F350" s="140" t="str">
        <f>IF(IFERROR(_xlfn.IFNA(VLOOKUP($A350,'HR Rep'!$A:$X,MATCH('1) For HR (FIX)'!F$1,'HR Rep'!$A$1:$X$1,0),0),""),"")="","",IFERROR(_xlfn.IFNA(VLOOKUP($A350,'HR Rep'!$A:$X,MATCH('1) For HR (FIX)'!F$1,'HR Rep'!$A$1:$X$1,0),0),""),""))</f>
        <v/>
      </c>
      <c r="G350" s="196"/>
      <c r="H350" s="140" t="str">
        <f>IF(IFERROR(_xlfn.IFNA(VLOOKUP($A350,'HR Rep'!$A:$X,MATCH('1) For HR (FIX)'!H$1,'HR Rep'!$A$1:$X$1,0),0),""),"")="","",IFERROR(_xlfn.IFNA(VLOOKUP($A350,'HR Rep'!$A:$X,MATCH('1) For HR (FIX)'!H$1,'HR Rep'!$A$1:$X$1,0),0),""),""))</f>
        <v/>
      </c>
      <c r="I350" s="140" t="str">
        <f>IF(IFERROR(_xlfn.IFNA(VLOOKUP($A350,'HR Rep'!$A:$X,MATCH('1) For HR (FIX)'!I$1,'HR Rep'!$A$1:$X$1,0),0),""),"")="","",IFERROR(_xlfn.IFNA(VLOOKUP($A350,'HR Rep'!$A:$X,MATCH('1) For HR (FIX)'!I$1,'HR Rep'!$A$1:$X$1,0),0),""),""))</f>
        <v/>
      </c>
      <c r="J350" s="140" t="str">
        <f>IF(IFERROR(_xlfn.IFNA(VLOOKUP($A350,'HR Rep'!$A:$X,MATCH('1) For HR (FIX)'!J$1,'HR Rep'!$A$1:$X$1,0),0),""),"")="","",IFERROR(_xlfn.IFNA(VLOOKUP($A350,'HR Rep'!$A:$X,MATCH('1) For HR (FIX)'!J$1,'HR Rep'!$A$1:$X$1,0),0),""),""))</f>
        <v/>
      </c>
      <c r="K350" s="161">
        <f>_xlfn.XLOOKUP(G350,ค่าตอบแทนการขายในอัตราคงที่!A:A,ค่าตอบแทนการขายในอัตราคงที่!B:B)</f>
        <v>0</v>
      </c>
      <c r="L350" s="174">
        <f>Period!$A$2</f>
        <v>46113</v>
      </c>
      <c r="M350" s="175">
        <f>Period!$C$2</f>
        <v>46143</v>
      </c>
      <c r="N350" s="194" t="s">
        <v>279</v>
      </c>
    </row>
    <row r="351" spans="1:14" ht="11.4" x14ac:dyDescent="0.25">
      <c r="A351" s="137"/>
      <c r="B351" s="169" t="e">
        <f>IF(IF(VLOOKUP(A351,ASTBase!F:P,11,FALSE)="","",VLOOKUP(A351,ASTBase!F:P,11,FALSE))=0,"",IF(VLOOKUP(A351,ASTBase!F:P,11,FALSE)="","",VLOOKUP(A351,ASTBase!F:P,11,FALSE)))</f>
        <v>#N/A</v>
      </c>
      <c r="C351" s="140" t="str">
        <f>IF(IFERROR(_xlfn.IFNA(VLOOKUP($A351,'HR Rep'!$A:$X,MATCH('1) For HR (FIX)'!C$1,'HR Rep'!$A$1:$X$1,0),0),""),"")="","",IFERROR(_xlfn.IFNA(VLOOKUP($A351,'HR Rep'!$A:$X,MATCH('1) For HR (FIX)'!C$1,'HR Rep'!$A$1:$X$1,0),0),""),""))</f>
        <v/>
      </c>
      <c r="D351" s="140" t="str">
        <f>IF(IFERROR(_xlfn.IFNA(VLOOKUP($A351,'HR Rep'!$A:$X,MATCH('1) For HR (FIX)'!D$1,'HR Rep'!$A$1:$X$1,0),0),""),"")="","",IFERROR(_xlfn.IFNA(VLOOKUP($A351,'HR Rep'!$A:$X,MATCH('1) For HR (FIX)'!D$1,'HR Rep'!$A$1:$X$1,0),0),""),""))</f>
        <v/>
      </c>
      <c r="E351" s="140" t="str">
        <f>IF(IFERROR(_xlfn.IFNA(VLOOKUP($A351,'HR Rep'!$A:$X,MATCH('1) For HR (FIX)'!E$1,'HR Rep'!$A$1:$X$1,0),0),""),"")="","",IFERROR(_xlfn.IFNA(VLOOKUP($A351,'HR Rep'!$A:$X,MATCH('1) For HR (FIX)'!E$1,'HR Rep'!$A$1:$X$1,0),0),""),""))</f>
        <v/>
      </c>
      <c r="F351" s="140" t="str">
        <f>IF(IFERROR(_xlfn.IFNA(VLOOKUP($A351,'HR Rep'!$A:$X,MATCH('1) For HR (FIX)'!F$1,'HR Rep'!$A$1:$X$1,0),0),""),"")="","",IFERROR(_xlfn.IFNA(VLOOKUP($A351,'HR Rep'!$A:$X,MATCH('1) For HR (FIX)'!F$1,'HR Rep'!$A$1:$X$1,0),0),""),""))</f>
        <v/>
      </c>
      <c r="G351" s="196"/>
      <c r="H351" s="140" t="str">
        <f>IF(IFERROR(_xlfn.IFNA(VLOOKUP($A351,'HR Rep'!$A:$X,MATCH('1) For HR (FIX)'!H$1,'HR Rep'!$A$1:$X$1,0),0),""),"")="","",IFERROR(_xlfn.IFNA(VLOOKUP($A351,'HR Rep'!$A:$X,MATCH('1) For HR (FIX)'!H$1,'HR Rep'!$A$1:$X$1,0),0),""),""))</f>
        <v/>
      </c>
      <c r="I351" s="140" t="str">
        <f>IF(IFERROR(_xlfn.IFNA(VLOOKUP($A351,'HR Rep'!$A:$X,MATCH('1) For HR (FIX)'!I$1,'HR Rep'!$A$1:$X$1,0),0),""),"")="","",IFERROR(_xlfn.IFNA(VLOOKUP($A351,'HR Rep'!$A:$X,MATCH('1) For HR (FIX)'!I$1,'HR Rep'!$A$1:$X$1,0),0),""),""))</f>
        <v/>
      </c>
      <c r="J351" s="140" t="str">
        <f>IF(IFERROR(_xlfn.IFNA(VLOOKUP($A351,'HR Rep'!$A:$X,MATCH('1) For HR (FIX)'!J$1,'HR Rep'!$A$1:$X$1,0),0),""),"")="","",IFERROR(_xlfn.IFNA(VLOOKUP($A351,'HR Rep'!$A:$X,MATCH('1) For HR (FIX)'!J$1,'HR Rep'!$A$1:$X$1,0),0),""),""))</f>
        <v/>
      </c>
      <c r="K351" s="161">
        <f>_xlfn.XLOOKUP(G351,ค่าตอบแทนการขายในอัตราคงที่!A:A,ค่าตอบแทนการขายในอัตราคงที่!B:B)</f>
        <v>0</v>
      </c>
      <c r="L351" s="174">
        <f>Period!$A$2</f>
        <v>46113</v>
      </c>
      <c r="M351" s="175">
        <f>Period!$C$2</f>
        <v>46143</v>
      </c>
      <c r="N351" s="194" t="s">
        <v>279</v>
      </c>
    </row>
    <row r="352" spans="1:14" ht="11.4" x14ac:dyDescent="0.25">
      <c r="A352" s="138"/>
      <c r="B352" s="169" t="e">
        <f>IF(IF(VLOOKUP(A352,ASTBase!F:P,11,FALSE)="","",VLOOKUP(A352,ASTBase!F:P,11,FALSE))=0,"",IF(VLOOKUP(A352,ASTBase!F:P,11,FALSE)="","",VLOOKUP(A352,ASTBase!F:P,11,FALSE)))</f>
        <v>#N/A</v>
      </c>
      <c r="C352" s="140" t="str">
        <f>IF(IFERROR(_xlfn.IFNA(VLOOKUP($A352,'HR Rep'!$A:$X,MATCH('1) For HR (FIX)'!C$1,'HR Rep'!$A$1:$X$1,0),0),""),"")="","",IFERROR(_xlfn.IFNA(VLOOKUP($A352,'HR Rep'!$A:$X,MATCH('1) For HR (FIX)'!C$1,'HR Rep'!$A$1:$X$1,0),0),""),""))</f>
        <v/>
      </c>
      <c r="D352" s="140" t="str">
        <f>IF(IFERROR(_xlfn.IFNA(VLOOKUP($A352,'HR Rep'!$A:$X,MATCH('1) For HR (FIX)'!D$1,'HR Rep'!$A$1:$X$1,0),0),""),"")="","",IFERROR(_xlfn.IFNA(VLOOKUP($A352,'HR Rep'!$A:$X,MATCH('1) For HR (FIX)'!D$1,'HR Rep'!$A$1:$X$1,0),0),""),""))</f>
        <v/>
      </c>
      <c r="E352" s="140" t="str">
        <f>IF(IFERROR(_xlfn.IFNA(VLOOKUP($A352,'HR Rep'!$A:$X,MATCH('1) For HR (FIX)'!E$1,'HR Rep'!$A$1:$X$1,0),0),""),"")="","",IFERROR(_xlfn.IFNA(VLOOKUP($A352,'HR Rep'!$A:$X,MATCH('1) For HR (FIX)'!E$1,'HR Rep'!$A$1:$X$1,0),0),""),""))</f>
        <v/>
      </c>
      <c r="F352" s="140" t="str">
        <f>IF(IFERROR(_xlfn.IFNA(VLOOKUP($A352,'HR Rep'!$A:$X,MATCH('1) For HR (FIX)'!F$1,'HR Rep'!$A$1:$X$1,0),0),""),"")="","",IFERROR(_xlfn.IFNA(VLOOKUP($A352,'HR Rep'!$A:$X,MATCH('1) For HR (FIX)'!F$1,'HR Rep'!$A$1:$X$1,0),0),""),""))</f>
        <v/>
      </c>
      <c r="G352" s="196"/>
      <c r="H352" s="140" t="str">
        <f>IF(IFERROR(_xlfn.IFNA(VLOOKUP($A352,'HR Rep'!$A:$X,MATCH('1) For HR (FIX)'!H$1,'HR Rep'!$A$1:$X$1,0),0),""),"")="","",IFERROR(_xlfn.IFNA(VLOOKUP($A352,'HR Rep'!$A:$X,MATCH('1) For HR (FIX)'!H$1,'HR Rep'!$A$1:$X$1,0),0),""),""))</f>
        <v/>
      </c>
      <c r="I352" s="140" t="str">
        <f>IF(IFERROR(_xlfn.IFNA(VLOOKUP($A352,'HR Rep'!$A:$X,MATCH('1) For HR (FIX)'!I$1,'HR Rep'!$A$1:$X$1,0),0),""),"")="","",IFERROR(_xlfn.IFNA(VLOOKUP($A352,'HR Rep'!$A:$X,MATCH('1) For HR (FIX)'!I$1,'HR Rep'!$A$1:$X$1,0),0),""),""))</f>
        <v/>
      </c>
      <c r="J352" s="140" t="str">
        <f>IF(IFERROR(_xlfn.IFNA(VLOOKUP($A352,'HR Rep'!$A:$X,MATCH('1) For HR (FIX)'!J$1,'HR Rep'!$A$1:$X$1,0),0),""),"")="","",IFERROR(_xlfn.IFNA(VLOOKUP($A352,'HR Rep'!$A:$X,MATCH('1) For HR (FIX)'!J$1,'HR Rep'!$A$1:$X$1,0),0),""),""))</f>
        <v/>
      </c>
      <c r="K352" s="161">
        <f>_xlfn.XLOOKUP(G352,ค่าตอบแทนการขายในอัตราคงที่!A:A,ค่าตอบแทนการขายในอัตราคงที่!B:B)</f>
        <v>0</v>
      </c>
      <c r="L352" s="174">
        <f>Period!$A$2</f>
        <v>46113</v>
      </c>
      <c r="M352" s="175">
        <f>Period!$C$2</f>
        <v>46143</v>
      </c>
      <c r="N352" s="194" t="s">
        <v>279</v>
      </c>
    </row>
    <row r="353" spans="1:14" ht="11.4" x14ac:dyDescent="0.25">
      <c r="A353" s="138"/>
      <c r="B353" s="169" t="e">
        <f>IF(IF(VLOOKUP(A353,ASTBase!F:P,11,FALSE)="","",VLOOKUP(A353,ASTBase!F:P,11,FALSE))=0,"",IF(VLOOKUP(A353,ASTBase!F:P,11,FALSE)="","",VLOOKUP(A353,ASTBase!F:P,11,FALSE)))</f>
        <v>#N/A</v>
      </c>
      <c r="C353" s="140" t="str">
        <f>IF(IFERROR(_xlfn.IFNA(VLOOKUP($A353,'HR Rep'!$A:$X,MATCH('1) For HR (FIX)'!C$1,'HR Rep'!$A$1:$X$1,0),0),""),"")="","",IFERROR(_xlfn.IFNA(VLOOKUP($A353,'HR Rep'!$A:$X,MATCH('1) For HR (FIX)'!C$1,'HR Rep'!$A$1:$X$1,0),0),""),""))</f>
        <v/>
      </c>
      <c r="D353" s="140" t="str">
        <f>IF(IFERROR(_xlfn.IFNA(VLOOKUP($A353,'HR Rep'!$A:$X,MATCH('1) For HR (FIX)'!D$1,'HR Rep'!$A$1:$X$1,0),0),""),"")="","",IFERROR(_xlfn.IFNA(VLOOKUP($A353,'HR Rep'!$A:$X,MATCH('1) For HR (FIX)'!D$1,'HR Rep'!$A$1:$X$1,0),0),""),""))</f>
        <v/>
      </c>
      <c r="E353" s="140" t="str">
        <f>IF(IFERROR(_xlfn.IFNA(VLOOKUP($A353,'HR Rep'!$A:$X,MATCH('1) For HR (FIX)'!E$1,'HR Rep'!$A$1:$X$1,0),0),""),"")="","",IFERROR(_xlfn.IFNA(VLOOKUP($A353,'HR Rep'!$A:$X,MATCH('1) For HR (FIX)'!E$1,'HR Rep'!$A$1:$X$1,0),0),""),""))</f>
        <v/>
      </c>
      <c r="F353" s="140" t="str">
        <f>IF(IFERROR(_xlfn.IFNA(VLOOKUP($A353,'HR Rep'!$A:$X,MATCH('1) For HR (FIX)'!F$1,'HR Rep'!$A$1:$X$1,0),0),""),"")="","",IFERROR(_xlfn.IFNA(VLOOKUP($A353,'HR Rep'!$A:$X,MATCH('1) For HR (FIX)'!F$1,'HR Rep'!$A$1:$X$1,0),0),""),""))</f>
        <v/>
      </c>
      <c r="G353" s="196"/>
      <c r="H353" s="140" t="str">
        <f>IF(IFERROR(_xlfn.IFNA(VLOOKUP($A353,'HR Rep'!$A:$X,MATCH('1) For HR (FIX)'!H$1,'HR Rep'!$A$1:$X$1,0),0),""),"")="","",IFERROR(_xlfn.IFNA(VLOOKUP($A353,'HR Rep'!$A:$X,MATCH('1) For HR (FIX)'!H$1,'HR Rep'!$A$1:$X$1,0),0),""),""))</f>
        <v/>
      </c>
      <c r="I353" s="140" t="str">
        <f>IF(IFERROR(_xlfn.IFNA(VLOOKUP($A353,'HR Rep'!$A:$X,MATCH('1) For HR (FIX)'!I$1,'HR Rep'!$A$1:$X$1,0),0),""),"")="","",IFERROR(_xlfn.IFNA(VLOOKUP($A353,'HR Rep'!$A:$X,MATCH('1) For HR (FIX)'!I$1,'HR Rep'!$A$1:$X$1,0),0),""),""))</f>
        <v/>
      </c>
      <c r="J353" s="140" t="str">
        <f>IF(IFERROR(_xlfn.IFNA(VLOOKUP($A353,'HR Rep'!$A:$X,MATCH('1) For HR (FIX)'!J$1,'HR Rep'!$A$1:$X$1,0),0),""),"")="","",IFERROR(_xlfn.IFNA(VLOOKUP($A353,'HR Rep'!$A:$X,MATCH('1) For HR (FIX)'!J$1,'HR Rep'!$A$1:$X$1,0),0),""),""))</f>
        <v/>
      </c>
      <c r="K353" s="161">
        <f>_xlfn.XLOOKUP(G353,ค่าตอบแทนการขายในอัตราคงที่!A:A,ค่าตอบแทนการขายในอัตราคงที่!B:B)</f>
        <v>0</v>
      </c>
      <c r="L353" s="174">
        <f>Period!$A$2</f>
        <v>46113</v>
      </c>
      <c r="M353" s="175">
        <f>Period!$C$2</f>
        <v>46143</v>
      </c>
      <c r="N353" s="194" t="s">
        <v>279</v>
      </c>
    </row>
    <row r="354" spans="1:14" ht="11.4" x14ac:dyDescent="0.25">
      <c r="A354" s="138"/>
      <c r="B354" s="169" t="e">
        <f>IF(IF(VLOOKUP(A354,ASTBase!F:P,11,FALSE)="","",VLOOKUP(A354,ASTBase!F:P,11,FALSE))=0,"",IF(VLOOKUP(A354,ASTBase!F:P,11,FALSE)="","",VLOOKUP(A354,ASTBase!F:P,11,FALSE)))</f>
        <v>#N/A</v>
      </c>
      <c r="C354" s="140" t="str">
        <f>IF(IFERROR(_xlfn.IFNA(VLOOKUP($A354,'HR Rep'!$A:$X,MATCH('1) For HR (FIX)'!C$1,'HR Rep'!$A$1:$X$1,0),0),""),"")="","",IFERROR(_xlfn.IFNA(VLOOKUP($A354,'HR Rep'!$A:$X,MATCH('1) For HR (FIX)'!C$1,'HR Rep'!$A$1:$X$1,0),0),""),""))</f>
        <v/>
      </c>
      <c r="D354" s="140" t="str">
        <f>IF(IFERROR(_xlfn.IFNA(VLOOKUP($A354,'HR Rep'!$A:$X,MATCH('1) For HR (FIX)'!D$1,'HR Rep'!$A$1:$X$1,0),0),""),"")="","",IFERROR(_xlfn.IFNA(VLOOKUP($A354,'HR Rep'!$A:$X,MATCH('1) For HR (FIX)'!D$1,'HR Rep'!$A$1:$X$1,0),0),""),""))</f>
        <v/>
      </c>
      <c r="E354" s="140" t="str">
        <f>IF(IFERROR(_xlfn.IFNA(VLOOKUP($A354,'HR Rep'!$A:$X,MATCH('1) For HR (FIX)'!E$1,'HR Rep'!$A$1:$X$1,0),0),""),"")="","",IFERROR(_xlfn.IFNA(VLOOKUP($A354,'HR Rep'!$A:$X,MATCH('1) For HR (FIX)'!E$1,'HR Rep'!$A$1:$X$1,0),0),""),""))</f>
        <v/>
      </c>
      <c r="F354" s="140" t="str">
        <f>IF(IFERROR(_xlfn.IFNA(VLOOKUP($A354,'HR Rep'!$A:$X,MATCH('1) For HR (FIX)'!F$1,'HR Rep'!$A$1:$X$1,0),0),""),"")="","",IFERROR(_xlfn.IFNA(VLOOKUP($A354,'HR Rep'!$A:$X,MATCH('1) For HR (FIX)'!F$1,'HR Rep'!$A$1:$X$1,0),0),""),""))</f>
        <v/>
      </c>
      <c r="G354" s="196"/>
      <c r="H354" s="140" t="str">
        <f>IF(IFERROR(_xlfn.IFNA(VLOOKUP($A354,'HR Rep'!$A:$X,MATCH('1) For HR (FIX)'!H$1,'HR Rep'!$A$1:$X$1,0),0),""),"")="","",IFERROR(_xlfn.IFNA(VLOOKUP($A354,'HR Rep'!$A:$X,MATCH('1) For HR (FIX)'!H$1,'HR Rep'!$A$1:$X$1,0),0),""),""))</f>
        <v/>
      </c>
      <c r="I354" s="140" t="str">
        <f>IF(IFERROR(_xlfn.IFNA(VLOOKUP($A354,'HR Rep'!$A:$X,MATCH('1) For HR (FIX)'!I$1,'HR Rep'!$A$1:$X$1,0),0),""),"")="","",IFERROR(_xlfn.IFNA(VLOOKUP($A354,'HR Rep'!$A:$X,MATCH('1) For HR (FIX)'!I$1,'HR Rep'!$A$1:$X$1,0),0),""),""))</f>
        <v/>
      </c>
      <c r="J354" s="140" t="str">
        <f>IF(IFERROR(_xlfn.IFNA(VLOOKUP($A354,'HR Rep'!$A:$X,MATCH('1) For HR (FIX)'!J$1,'HR Rep'!$A$1:$X$1,0),0),""),"")="","",IFERROR(_xlfn.IFNA(VLOOKUP($A354,'HR Rep'!$A:$X,MATCH('1) For HR (FIX)'!J$1,'HR Rep'!$A$1:$X$1,0),0),""),""))</f>
        <v/>
      </c>
      <c r="K354" s="161">
        <f>_xlfn.XLOOKUP(G354,ค่าตอบแทนการขายในอัตราคงที่!A:A,ค่าตอบแทนการขายในอัตราคงที่!B:B)</f>
        <v>0</v>
      </c>
      <c r="L354" s="174">
        <f>Period!$A$2</f>
        <v>46113</v>
      </c>
      <c r="M354" s="175">
        <f>Period!$C$2</f>
        <v>46143</v>
      </c>
      <c r="N354" s="194" t="s">
        <v>279</v>
      </c>
    </row>
    <row r="355" spans="1:14" ht="11.4" x14ac:dyDescent="0.25">
      <c r="A355" s="138"/>
      <c r="B355" s="169" t="e">
        <f>IF(IF(VLOOKUP(A355,ASTBase!F:P,11,FALSE)="","",VLOOKUP(A355,ASTBase!F:P,11,FALSE))=0,"",IF(VLOOKUP(A355,ASTBase!F:P,11,FALSE)="","",VLOOKUP(A355,ASTBase!F:P,11,FALSE)))</f>
        <v>#N/A</v>
      </c>
      <c r="C355" s="140" t="str">
        <f>IF(IFERROR(_xlfn.IFNA(VLOOKUP($A355,'HR Rep'!$A:$X,MATCH('1) For HR (FIX)'!C$1,'HR Rep'!$A$1:$X$1,0),0),""),"")="","",IFERROR(_xlfn.IFNA(VLOOKUP($A355,'HR Rep'!$A:$X,MATCH('1) For HR (FIX)'!C$1,'HR Rep'!$A$1:$X$1,0),0),""),""))</f>
        <v/>
      </c>
      <c r="D355" s="140" t="str">
        <f>IF(IFERROR(_xlfn.IFNA(VLOOKUP($A355,'HR Rep'!$A:$X,MATCH('1) For HR (FIX)'!D$1,'HR Rep'!$A$1:$X$1,0),0),""),"")="","",IFERROR(_xlfn.IFNA(VLOOKUP($A355,'HR Rep'!$A:$X,MATCH('1) For HR (FIX)'!D$1,'HR Rep'!$A$1:$X$1,0),0),""),""))</f>
        <v/>
      </c>
      <c r="E355" s="140" t="str">
        <f>IF(IFERROR(_xlfn.IFNA(VLOOKUP($A355,'HR Rep'!$A:$X,MATCH('1) For HR (FIX)'!E$1,'HR Rep'!$A$1:$X$1,0),0),""),"")="","",IFERROR(_xlfn.IFNA(VLOOKUP($A355,'HR Rep'!$A:$X,MATCH('1) For HR (FIX)'!E$1,'HR Rep'!$A$1:$X$1,0),0),""),""))</f>
        <v/>
      </c>
      <c r="F355" s="140" t="str">
        <f>IF(IFERROR(_xlfn.IFNA(VLOOKUP($A355,'HR Rep'!$A:$X,MATCH('1) For HR (FIX)'!F$1,'HR Rep'!$A$1:$X$1,0),0),""),"")="","",IFERROR(_xlfn.IFNA(VLOOKUP($A355,'HR Rep'!$A:$X,MATCH('1) For HR (FIX)'!F$1,'HR Rep'!$A$1:$X$1,0),0),""),""))</f>
        <v/>
      </c>
      <c r="G355" s="196"/>
      <c r="H355" s="140" t="str">
        <f>IF(IFERROR(_xlfn.IFNA(VLOOKUP($A355,'HR Rep'!$A:$X,MATCH('1) For HR (FIX)'!H$1,'HR Rep'!$A$1:$X$1,0),0),""),"")="","",IFERROR(_xlfn.IFNA(VLOOKUP($A355,'HR Rep'!$A:$X,MATCH('1) For HR (FIX)'!H$1,'HR Rep'!$A$1:$X$1,0),0),""),""))</f>
        <v/>
      </c>
      <c r="I355" s="140" t="str">
        <f>IF(IFERROR(_xlfn.IFNA(VLOOKUP($A355,'HR Rep'!$A:$X,MATCH('1) For HR (FIX)'!I$1,'HR Rep'!$A$1:$X$1,0),0),""),"")="","",IFERROR(_xlfn.IFNA(VLOOKUP($A355,'HR Rep'!$A:$X,MATCH('1) For HR (FIX)'!I$1,'HR Rep'!$A$1:$X$1,0),0),""),""))</f>
        <v/>
      </c>
      <c r="J355" s="140" t="str">
        <f>IF(IFERROR(_xlfn.IFNA(VLOOKUP($A355,'HR Rep'!$A:$X,MATCH('1) For HR (FIX)'!J$1,'HR Rep'!$A$1:$X$1,0),0),""),"")="","",IFERROR(_xlfn.IFNA(VLOOKUP($A355,'HR Rep'!$A:$X,MATCH('1) For HR (FIX)'!J$1,'HR Rep'!$A$1:$X$1,0),0),""),""))</f>
        <v/>
      </c>
      <c r="K355" s="161">
        <f>_xlfn.XLOOKUP(G355,ค่าตอบแทนการขายในอัตราคงที่!A:A,ค่าตอบแทนการขายในอัตราคงที่!B:B)</f>
        <v>0</v>
      </c>
      <c r="L355" s="174">
        <f>Period!$A$2</f>
        <v>46113</v>
      </c>
      <c r="M355" s="175">
        <f>Period!$C$2</f>
        <v>46143</v>
      </c>
      <c r="N355" s="194" t="s">
        <v>279</v>
      </c>
    </row>
    <row r="356" spans="1:14" ht="11.4" x14ac:dyDescent="0.25">
      <c r="A356" s="139"/>
      <c r="B356" s="169" t="e">
        <f>IF(IF(VLOOKUP(A356,ASTBase!F:P,11,FALSE)="","",VLOOKUP(A356,ASTBase!F:P,11,FALSE))=0,"",IF(VLOOKUP(A356,ASTBase!F:P,11,FALSE)="","",VLOOKUP(A356,ASTBase!F:P,11,FALSE)))</f>
        <v>#N/A</v>
      </c>
      <c r="C356" s="140" t="str">
        <f>IF(IFERROR(_xlfn.IFNA(VLOOKUP($A356,'HR Rep'!$A:$X,MATCH('1) For HR (FIX)'!C$1,'HR Rep'!$A$1:$X$1,0),0),""),"")="","",IFERROR(_xlfn.IFNA(VLOOKUP($A356,'HR Rep'!$A:$X,MATCH('1) For HR (FIX)'!C$1,'HR Rep'!$A$1:$X$1,0),0),""),""))</f>
        <v/>
      </c>
      <c r="D356" s="140" t="str">
        <f>IF(IFERROR(_xlfn.IFNA(VLOOKUP($A356,'HR Rep'!$A:$X,MATCH('1) For HR (FIX)'!D$1,'HR Rep'!$A$1:$X$1,0),0),""),"")="","",IFERROR(_xlfn.IFNA(VLOOKUP($A356,'HR Rep'!$A:$X,MATCH('1) For HR (FIX)'!D$1,'HR Rep'!$A$1:$X$1,0),0),""),""))</f>
        <v/>
      </c>
      <c r="E356" s="140" t="str">
        <f>IF(IFERROR(_xlfn.IFNA(VLOOKUP($A356,'HR Rep'!$A:$X,MATCH('1) For HR (FIX)'!E$1,'HR Rep'!$A$1:$X$1,0),0),""),"")="","",IFERROR(_xlfn.IFNA(VLOOKUP($A356,'HR Rep'!$A:$X,MATCH('1) For HR (FIX)'!E$1,'HR Rep'!$A$1:$X$1,0),0),""),""))</f>
        <v/>
      </c>
      <c r="F356" s="140" t="str">
        <f>IF(IFERROR(_xlfn.IFNA(VLOOKUP($A356,'HR Rep'!$A:$X,MATCH('1) For HR (FIX)'!F$1,'HR Rep'!$A$1:$X$1,0),0),""),"")="","",IFERROR(_xlfn.IFNA(VLOOKUP($A356,'HR Rep'!$A:$X,MATCH('1) For HR (FIX)'!F$1,'HR Rep'!$A$1:$X$1,0),0),""),""))</f>
        <v/>
      </c>
      <c r="G356" s="196"/>
      <c r="H356" s="140" t="str">
        <f>IF(IFERROR(_xlfn.IFNA(VLOOKUP($A356,'HR Rep'!$A:$X,MATCH('1) For HR (FIX)'!H$1,'HR Rep'!$A$1:$X$1,0),0),""),"")="","",IFERROR(_xlfn.IFNA(VLOOKUP($A356,'HR Rep'!$A:$X,MATCH('1) For HR (FIX)'!H$1,'HR Rep'!$A$1:$X$1,0),0),""),""))</f>
        <v/>
      </c>
      <c r="I356" s="140" t="str">
        <f>IF(IFERROR(_xlfn.IFNA(VLOOKUP($A356,'HR Rep'!$A:$X,MATCH('1) For HR (FIX)'!I$1,'HR Rep'!$A$1:$X$1,0),0),""),"")="","",IFERROR(_xlfn.IFNA(VLOOKUP($A356,'HR Rep'!$A:$X,MATCH('1) For HR (FIX)'!I$1,'HR Rep'!$A$1:$X$1,0),0),""),""))</f>
        <v/>
      </c>
      <c r="J356" s="140" t="str">
        <f>IF(IFERROR(_xlfn.IFNA(VLOOKUP($A356,'HR Rep'!$A:$X,MATCH('1) For HR (FIX)'!J$1,'HR Rep'!$A$1:$X$1,0),0),""),"")="","",IFERROR(_xlfn.IFNA(VLOOKUP($A356,'HR Rep'!$A:$X,MATCH('1) For HR (FIX)'!J$1,'HR Rep'!$A$1:$X$1,0),0),""),""))</f>
        <v/>
      </c>
      <c r="K356" s="161">
        <f>_xlfn.XLOOKUP(G356,ค่าตอบแทนการขายในอัตราคงที่!A:A,ค่าตอบแทนการขายในอัตราคงที่!B:B)</f>
        <v>0</v>
      </c>
      <c r="L356" s="174">
        <f>Period!$A$2</f>
        <v>46113</v>
      </c>
      <c r="M356" s="175">
        <f>Period!$C$2</f>
        <v>46143</v>
      </c>
      <c r="N356" s="194" t="s">
        <v>279</v>
      </c>
    </row>
    <row r="357" spans="1:14" ht="11.4" x14ac:dyDescent="0.25">
      <c r="A357" s="139"/>
      <c r="B357" s="169" t="e">
        <f>IF(IF(VLOOKUP(A357,ASTBase!F:P,11,FALSE)="","",VLOOKUP(A357,ASTBase!F:P,11,FALSE))=0,"",IF(VLOOKUP(A357,ASTBase!F:P,11,FALSE)="","",VLOOKUP(A357,ASTBase!F:P,11,FALSE)))</f>
        <v>#N/A</v>
      </c>
      <c r="C357" s="140" t="str">
        <f>IF(IFERROR(_xlfn.IFNA(VLOOKUP($A357,'HR Rep'!$A:$X,MATCH('1) For HR (FIX)'!C$1,'HR Rep'!$A$1:$X$1,0),0),""),"")="","",IFERROR(_xlfn.IFNA(VLOOKUP($A357,'HR Rep'!$A:$X,MATCH('1) For HR (FIX)'!C$1,'HR Rep'!$A$1:$X$1,0),0),""),""))</f>
        <v/>
      </c>
      <c r="D357" s="140" t="str">
        <f>IF(IFERROR(_xlfn.IFNA(VLOOKUP($A357,'HR Rep'!$A:$X,MATCH('1) For HR (FIX)'!D$1,'HR Rep'!$A$1:$X$1,0),0),""),"")="","",IFERROR(_xlfn.IFNA(VLOOKUP($A357,'HR Rep'!$A:$X,MATCH('1) For HR (FIX)'!D$1,'HR Rep'!$A$1:$X$1,0),0),""),""))</f>
        <v/>
      </c>
      <c r="E357" s="140" t="str">
        <f>IF(IFERROR(_xlfn.IFNA(VLOOKUP($A357,'HR Rep'!$A:$X,MATCH('1) For HR (FIX)'!E$1,'HR Rep'!$A$1:$X$1,0),0),""),"")="","",IFERROR(_xlfn.IFNA(VLOOKUP($A357,'HR Rep'!$A:$X,MATCH('1) For HR (FIX)'!E$1,'HR Rep'!$A$1:$X$1,0),0),""),""))</f>
        <v/>
      </c>
      <c r="F357" s="140" t="str">
        <f>IF(IFERROR(_xlfn.IFNA(VLOOKUP($A357,'HR Rep'!$A:$X,MATCH('1) For HR (FIX)'!F$1,'HR Rep'!$A$1:$X$1,0),0),""),"")="","",IFERROR(_xlfn.IFNA(VLOOKUP($A357,'HR Rep'!$A:$X,MATCH('1) For HR (FIX)'!F$1,'HR Rep'!$A$1:$X$1,0),0),""),""))</f>
        <v/>
      </c>
      <c r="G357" s="196"/>
      <c r="H357" s="140" t="str">
        <f>IF(IFERROR(_xlfn.IFNA(VLOOKUP($A357,'HR Rep'!$A:$X,MATCH('1) For HR (FIX)'!H$1,'HR Rep'!$A$1:$X$1,0),0),""),"")="","",IFERROR(_xlfn.IFNA(VLOOKUP($A357,'HR Rep'!$A:$X,MATCH('1) For HR (FIX)'!H$1,'HR Rep'!$A$1:$X$1,0),0),""),""))</f>
        <v/>
      </c>
      <c r="I357" s="140" t="str">
        <f>IF(IFERROR(_xlfn.IFNA(VLOOKUP($A357,'HR Rep'!$A:$X,MATCH('1) For HR (FIX)'!I$1,'HR Rep'!$A$1:$X$1,0),0),""),"")="","",IFERROR(_xlfn.IFNA(VLOOKUP($A357,'HR Rep'!$A:$X,MATCH('1) For HR (FIX)'!I$1,'HR Rep'!$A$1:$X$1,0),0),""),""))</f>
        <v/>
      </c>
      <c r="J357" s="140" t="str">
        <f>IF(IFERROR(_xlfn.IFNA(VLOOKUP($A357,'HR Rep'!$A:$X,MATCH('1) For HR (FIX)'!J$1,'HR Rep'!$A$1:$X$1,0),0),""),"")="","",IFERROR(_xlfn.IFNA(VLOOKUP($A357,'HR Rep'!$A:$X,MATCH('1) For HR (FIX)'!J$1,'HR Rep'!$A$1:$X$1,0),0),""),""))</f>
        <v/>
      </c>
      <c r="K357" s="161">
        <f>_xlfn.XLOOKUP(G357,ค่าตอบแทนการขายในอัตราคงที่!A:A,ค่าตอบแทนการขายในอัตราคงที่!B:B)</f>
        <v>0</v>
      </c>
      <c r="L357" s="174">
        <f>Period!$A$2</f>
        <v>46113</v>
      </c>
      <c r="M357" s="175">
        <f>Period!$C$2</f>
        <v>46143</v>
      </c>
      <c r="N357" s="194" t="s">
        <v>279</v>
      </c>
    </row>
    <row r="358" spans="1:14" ht="11.4" x14ac:dyDescent="0.25">
      <c r="A358" s="139"/>
      <c r="B358" s="169" t="e">
        <f>IF(IF(VLOOKUP(A358,ASTBase!F:P,11,FALSE)="","",VLOOKUP(A358,ASTBase!F:P,11,FALSE))=0,"",IF(VLOOKUP(A358,ASTBase!F:P,11,FALSE)="","",VLOOKUP(A358,ASTBase!F:P,11,FALSE)))</f>
        <v>#N/A</v>
      </c>
      <c r="C358" s="140" t="str">
        <f>IF(IFERROR(_xlfn.IFNA(VLOOKUP($A358,'HR Rep'!$A:$X,MATCH('1) For HR (FIX)'!C$1,'HR Rep'!$A$1:$X$1,0),0),""),"")="","",IFERROR(_xlfn.IFNA(VLOOKUP($A358,'HR Rep'!$A:$X,MATCH('1) For HR (FIX)'!C$1,'HR Rep'!$A$1:$X$1,0),0),""),""))</f>
        <v/>
      </c>
      <c r="D358" s="140" t="str">
        <f>IF(IFERROR(_xlfn.IFNA(VLOOKUP($A358,'HR Rep'!$A:$X,MATCH('1) For HR (FIX)'!D$1,'HR Rep'!$A$1:$X$1,0),0),""),"")="","",IFERROR(_xlfn.IFNA(VLOOKUP($A358,'HR Rep'!$A:$X,MATCH('1) For HR (FIX)'!D$1,'HR Rep'!$A$1:$X$1,0),0),""),""))</f>
        <v/>
      </c>
      <c r="E358" s="140" t="str">
        <f>IF(IFERROR(_xlfn.IFNA(VLOOKUP($A358,'HR Rep'!$A:$X,MATCH('1) For HR (FIX)'!E$1,'HR Rep'!$A$1:$X$1,0),0),""),"")="","",IFERROR(_xlfn.IFNA(VLOOKUP($A358,'HR Rep'!$A:$X,MATCH('1) For HR (FIX)'!E$1,'HR Rep'!$A$1:$X$1,0),0),""),""))</f>
        <v/>
      </c>
      <c r="F358" s="140" t="str">
        <f>IF(IFERROR(_xlfn.IFNA(VLOOKUP($A358,'HR Rep'!$A:$X,MATCH('1) For HR (FIX)'!F$1,'HR Rep'!$A$1:$X$1,0),0),""),"")="","",IFERROR(_xlfn.IFNA(VLOOKUP($A358,'HR Rep'!$A:$X,MATCH('1) For HR (FIX)'!F$1,'HR Rep'!$A$1:$X$1,0),0),""),""))</f>
        <v/>
      </c>
      <c r="G358" s="196"/>
      <c r="H358" s="140" t="str">
        <f>IF(IFERROR(_xlfn.IFNA(VLOOKUP($A358,'HR Rep'!$A:$X,MATCH('1) For HR (FIX)'!H$1,'HR Rep'!$A$1:$X$1,0),0),""),"")="","",IFERROR(_xlfn.IFNA(VLOOKUP($A358,'HR Rep'!$A:$X,MATCH('1) For HR (FIX)'!H$1,'HR Rep'!$A$1:$X$1,0),0),""),""))</f>
        <v/>
      </c>
      <c r="I358" s="140" t="str">
        <f>IF(IFERROR(_xlfn.IFNA(VLOOKUP($A358,'HR Rep'!$A:$X,MATCH('1) For HR (FIX)'!I$1,'HR Rep'!$A$1:$X$1,0),0),""),"")="","",IFERROR(_xlfn.IFNA(VLOOKUP($A358,'HR Rep'!$A:$X,MATCH('1) For HR (FIX)'!I$1,'HR Rep'!$A$1:$X$1,0),0),""),""))</f>
        <v/>
      </c>
      <c r="J358" s="140" t="str">
        <f>IF(IFERROR(_xlfn.IFNA(VLOOKUP($A358,'HR Rep'!$A:$X,MATCH('1) For HR (FIX)'!J$1,'HR Rep'!$A$1:$X$1,0),0),""),"")="","",IFERROR(_xlfn.IFNA(VLOOKUP($A358,'HR Rep'!$A:$X,MATCH('1) For HR (FIX)'!J$1,'HR Rep'!$A$1:$X$1,0),0),""),""))</f>
        <v/>
      </c>
      <c r="K358" s="161">
        <f>_xlfn.XLOOKUP(G358,ค่าตอบแทนการขายในอัตราคงที่!A:A,ค่าตอบแทนการขายในอัตราคงที่!B:B)</f>
        <v>0</v>
      </c>
      <c r="L358" s="174">
        <f>Period!$A$2</f>
        <v>46113</v>
      </c>
      <c r="M358" s="175">
        <f>Period!$C$2</f>
        <v>46143</v>
      </c>
      <c r="N358" s="194" t="s">
        <v>279</v>
      </c>
    </row>
    <row r="359" spans="1:14" ht="11.4" x14ac:dyDescent="0.25">
      <c r="A359" s="139"/>
      <c r="B359" s="169" t="e">
        <f>IF(IF(VLOOKUP(A359,ASTBase!F:P,11,FALSE)="","",VLOOKUP(A359,ASTBase!F:P,11,FALSE))=0,"",IF(VLOOKUP(A359,ASTBase!F:P,11,FALSE)="","",VLOOKUP(A359,ASTBase!F:P,11,FALSE)))</f>
        <v>#N/A</v>
      </c>
      <c r="C359" s="140" t="str">
        <f>IF(IFERROR(_xlfn.IFNA(VLOOKUP($A359,'HR Rep'!$A:$X,MATCH('1) For HR (FIX)'!C$1,'HR Rep'!$A$1:$X$1,0),0),""),"")="","",IFERROR(_xlfn.IFNA(VLOOKUP($A359,'HR Rep'!$A:$X,MATCH('1) For HR (FIX)'!C$1,'HR Rep'!$A$1:$X$1,0),0),""),""))</f>
        <v/>
      </c>
      <c r="D359" s="140" t="str">
        <f>IF(IFERROR(_xlfn.IFNA(VLOOKUP($A359,'HR Rep'!$A:$X,MATCH('1) For HR (FIX)'!D$1,'HR Rep'!$A$1:$X$1,0),0),""),"")="","",IFERROR(_xlfn.IFNA(VLOOKUP($A359,'HR Rep'!$A:$X,MATCH('1) For HR (FIX)'!D$1,'HR Rep'!$A$1:$X$1,0),0),""),""))</f>
        <v/>
      </c>
      <c r="E359" s="140" t="str">
        <f>IF(IFERROR(_xlfn.IFNA(VLOOKUP($A359,'HR Rep'!$A:$X,MATCH('1) For HR (FIX)'!E$1,'HR Rep'!$A$1:$X$1,0),0),""),"")="","",IFERROR(_xlfn.IFNA(VLOOKUP($A359,'HR Rep'!$A:$X,MATCH('1) For HR (FIX)'!E$1,'HR Rep'!$A$1:$X$1,0),0),""),""))</f>
        <v/>
      </c>
      <c r="F359" s="140" t="str">
        <f>IF(IFERROR(_xlfn.IFNA(VLOOKUP($A359,'HR Rep'!$A:$X,MATCH('1) For HR (FIX)'!F$1,'HR Rep'!$A$1:$X$1,0),0),""),"")="","",IFERROR(_xlfn.IFNA(VLOOKUP($A359,'HR Rep'!$A:$X,MATCH('1) For HR (FIX)'!F$1,'HR Rep'!$A$1:$X$1,0),0),""),""))</f>
        <v/>
      </c>
      <c r="G359" s="196"/>
      <c r="H359" s="140" t="str">
        <f>IF(IFERROR(_xlfn.IFNA(VLOOKUP($A359,'HR Rep'!$A:$X,MATCH('1) For HR (FIX)'!H$1,'HR Rep'!$A$1:$X$1,0),0),""),"")="","",IFERROR(_xlfn.IFNA(VLOOKUP($A359,'HR Rep'!$A:$X,MATCH('1) For HR (FIX)'!H$1,'HR Rep'!$A$1:$X$1,0),0),""),""))</f>
        <v/>
      </c>
      <c r="I359" s="140" t="str">
        <f>IF(IFERROR(_xlfn.IFNA(VLOOKUP($A359,'HR Rep'!$A:$X,MATCH('1) For HR (FIX)'!I$1,'HR Rep'!$A$1:$X$1,0),0),""),"")="","",IFERROR(_xlfn.IFNA(VLOOKUP($A359,'HR Rep'!$A:$X,MATCH('1) For HR (FIX)'!I$1,'HR Rep'!$A$1:$X$1,0),0),""),""))</f>
        <v/>
      </c>
      <c r="J359" s="140" t="str">
        <f>IF(IFERROR(_xlfn.IFNA(VLOOKUP($A359,'HR Rep'!$A:$X,MATCH('1) For HR (FIX)'!J$1,'HR Rep'!$A$1:$X$1,0),0),""),"")="","",IFERROR(_xlfn.IFNA(VLOOKUP($A359,'HR Rep'!$A:$X,MATCH('1) For HR (FIX)'!J$1,'HR Rep'!$A$1:$X$1,0),0),""),""))</f>
        <v/>
      </c>
      <c r="K359" s="161">
        <f>_xlfn.XLOOKUP(G359,ค่าตอบแทนการขายในอัตราคงที่!A:A,ค่าตอบแทนการขายในอัตราคงที่!B:B)</f>
        <v>0</v>
      </c>
      <c r="L359" s="174">
        <f>Period!$A$2</f>
        <v>46113</v>
      </c>
      <c r="M359" s="175">
        <f>Period!$C$2</f>
        <v>46143</v>
      </c>
      <c r="N359" s="194" t="s">
        <v>279</v>
      </c>
    </row>
    <row r="360" spans="1:14" ht="11.4" x14ac:dyDescent="0.25">
      <c r="A360" s="137"/>
      <c r="B360" s="169" t="e">
        <f>IF(IF(VLOOKUP(A360,ASTBase!F:P,11,FALSE)="","",VLOOKUP(A360,ASTBase!F:P,11,FALSE))=0,"",IF(VLOOKUP(A360,ASTBase!F:P,11,FALSE)="","",VLOOKUP(A360,ASTBase!F:P,11,FALSE)))</f>
        <v>#N/A</v>
      </c>
      <c r="C360" s="140" t="str">
        <f>IF(IFERROR(_xlfn.IFNA(VLOOKUP($A360,'HR Rep'!$A:$X,MATCH('1) For HR (FIX)'!C$1,'HR Rep'!$A$1:$X$1,0),0),""),"")="","",IFERROR(_xlfn.IFNA(VLOOKUP($A360,'HR Rep'!$A:$X,MATCH('1) For HR (FIX)'!C$1,'HR Rep'!$A$1:$X$1,0),0),""),""))</f>
        <v/>
      </c>
      <c r="D360" s="140" t="str">
        <f>IF(IFERROR(_xlfn.IFNA(VLOOKUP($A360,'HR Rep'!$A:$X,MATCH('1) For HR (FIX)'!D$1,'HR Rep'!$A$1:$X$1,0),0),""),"")="","",IFERROR(_xlfn.IFNA(VLOOKUP($A360,'HR Rep'!$A:$X,MATCH('1) For HR (FIX)'!D$1,'HR Rep'!$A$1:$X$1,0),0),""),""))</f>
        <v/>
      </c>
      <c r="E360" s="140" t="str">
        <f>IF(IFERROR(_xlfn.IFNA(VLOOKUP($A360,'HR Rep'!$A:$X,MATCH('1) For HR (FIX)'!E$1,'HR Rep'!$A$1:$X$1,0),0),""),"")="","",IFERROR(_xlfn.IFNA(VLOOKUP($A360,'HR Rep'!$A:$X,MATCH('1) For HR (FIX)'!E$1,'HR Rep'!$A$1:$X$1,0),0),""),""))</f>
        <v/>
      </c>
      <c r="F360" s="140" t="str">
        <f>IF(IFERROR(_xlfn.IFNA(VLOOKUP($A360,'HR Rep'!$A:$X,MATCH('1) For HR (FIX)'!F$1,'HR Rep'!$A$1:$X$1,0),0),""),"")="","",IFERROR(_xlfn.IFNA(VLOOKUP($A360,'HR Rep'!$A:$X,MATCH('1) For HR (FIX)'!F$1,'HR Rep'!$A$1:$X$1,0),0),""),""))</f>
        <v/>
      </c>
      <c r="G360" s="196"/>
      <c r="H360" s="140" t="str">
        <f>IF(IFERROR(_xlfn.IFNA(VLOOKUP($A360,'HR Rep'!$A:$X,MATCH('1) For HR (FIX)'!H$1,'HR Rep'!$A$1:$X$1,0),0),""),"")="","",IFERROR(_xlfn.IFNA(VLOOKUP($A360,'HR Rep'!$A:$X,MATCH('1) For HR (FIX)'!H$1,'HR Rep'!$A$1:$X$1,0),0),""),""))</f>
        <v/>
      </c>
      <c r="I360" s="140" t="str">
        <f>IF(IFERROR(_xlfn.IFNA(VLOOKUP($A360,'HR Rep'!$A:$X,MATCH('1) For HR (FIX)'!I$1,'HR Rep'!$A$1:$X$1,0),0),""),"")="","",IFERROR(_xlfn.IFNA(VLOOKUP($A360,'HR Rep'!$A:$X,MATCH('1) For HR (FIX)'!I$1,'HR Rep'!$A$1:$X$1,0),0),""),""))</f>
        <v/>
      </c>
      <c r="J360" s="140" t="str">
        <f>IF(IFERROR(_xlfn.IFNA(VLOOKUP($A360,'HR Rep'!$A:$X,MATCH('1) For HR (FIX)'!J$1,'HR Rep'!$A$1:$X$1,0),0),""),"")="","",IFERROR(_xlfn.IFNA(VLOOKUP($A360,'HR Rep'!$A:$X,MATCH('1) For HR (FIX)'!J$1,'HR Rep'!$A$1:$X$1,0),0),""),""))</f>
        <v/>
      </c>
      <c r="K360" s="161">
        <f>_xlfn.XLOOKUP(G360,ค่าตอบแทนการขายในอัตราคงที่!A:A,ค่าตอบแทนการขายในอัตราคงที่!B:B)</f>
        <v>0</v>
      </c>
      <c r="L360" s="174">
        <f>Period!$A$2</f>
        <v>46113</v>
      </c>
      <c r="M360" s="175">
        <f>Period!$C$2</f>
        <v>46143</v>
      </c>
      <c r="N360" s="194" t="s">
        <v>279</v>
      </c>
    </row>
    <row r="361" spans="1:14" ht="11.4" x14ac:dyDescent="0.25">
      <c r="A361" s="137"/>
      <c r="B361" s="169" t="e">
        <f>IF(IF(VLOOKUP(A361,ASTBase!F:P,11,FALSE)="","",VLOOKUP(A361,ASTBase!F:P,11,FALSE))=0,"",IF(VLOOKUP(A361,ASTBase!F:P,11,FALSE)="","",VLOOKUP(A361,ASTBase!F:P,11,FALSE)))</f>
        <v>#N/A</v>
      </c>
      <c r="C361" s="140" t="str">
        <f>IF(IFERROR(_xlfn.IFNA(VLOOKUP($A361,'HR Rep'!$A:$X,MATCH('1) For HR (FIX)'!C$1,'HR Rep'!$A$1:$X$1,0),0),""),"")="","",IFERROR(_xlfn.IFNA(VLOOKUP($A361,'HR Rep'!$A:$X,MATCH('1) For HR (FIX)'!C$1,'HR Rep'!$A$1:$X$1,0),0),""),""))</f>
        <v/>
      </c>
      <c r="D361" s="140" t="str">
        <f>IF(IFERROR(_xlfn.IFNA(VLOOKUP($A361,'HR Rep'!$A:$X,MATCH('1) For HR (FIX)'!D$1,'HR Rep'!$A$1:$X$1,0),0),""),"")="","",IFERROR(_xlfn.IFNA(VLOOKUP($A361,'HR Rep'!$A:$X,MATCH('1) For HR (FIX)'!D$1,'HR Rep'!$A$1:$X$1,0),0),""),""))</f>
        <v/>
      </c>
      <c r="E361" s="140" t="str">
        <f>IF(IFERROR(_xlfn.IFNA(VLOOKUP($A361,'HR Rep'!$A:$X,MATCH('1) For HR (FIX)'!E$1,'HR Rep'!$A$1:$X$1,0),0),""),"")="","",IFERROR(_xlfn.IFNA(VLOOKUP($A361,'HR Rep'!$A:$X,MATCH('1) For HR (FIX)'!E$1,'HR Rep'!$A$1:$X$1,0),0),""),""))</f>
        <v/>
      </c>
      <c r="F361" s="140" t="str">
        <f>IF(IFERROR(_xlfn.IFNA(VLOOKUP($A361,'HR Rep'!$A:$X,MATCH('1) For HR (FIX)'!F$1,'HR Rep'!$A$1:$X$1,0),0),""),"")="","",IFERROR(_xlfn.IFNA(VLOOKUP($A361,'HR Rep'!$A:$X,MATCH('1) For HR (FIX)'!F$1,'HR Rep'!$A$1:$X$1,0),0),""),""))</f>
        <v/>
      </c>
      <c r="G361" s="196"/>
      <c r="H361" s="140" t="str">
        <f>IF(IFERROR(_xlfn.IFNA(VLOOKUP($A361,'HR Rep'!$A:$X,MATCH('1) For HR (FIX)'!H$1,'HR Rep'!$A$1:$X$1,0),0),""),"")="","",IFERROR(_xlfn.IFNA(VLOOKUP($A361,'HR Rep'!$A:$X,MATCH('1) For HR (FIX)'!H$1,'HR Rep'!$A$1:$X$1,0),0),""),""))</f>
        <v/>
      </c>
      <c r="I361" s="140" t="str">
        <f>IF(IFERROR(_xlfn.IFNA(VLOOKUP($A361,'HR Rep'!$A:$X,MATCH('1) For HR (FIX)'!I$1,'HR Rep'!$A$1:$X$1,0),0),""),"")="","",IFERROR(_xlfn.IFNA(VLOOKUP($A361,'HR Rep'!$A:$X,MATCH('1) For HR (FIX)'!I$1,'HR Rep'!$A$1:$X$1,0),0),""),""))</f>
        <v/>
      </c>
      <c r="J361" s="140" t="str">
        <f>IF(IFERROR(_xlfn.IFNA(VLOOKUP($A361,'HR Rep'!$A:$X,MATCH('1) For HR (FIX)'!J$1,'HR Rep'!$A$1:$X$1,0),0),""),"")="","",IFERROR(_xlfn.IFNA(VLOOKUP($A361,'HR Rep'!$A:$X,MATCH('1) For HR (FIX)'!J$1,'HR Rep'!$A$1:$X$1,0),0),""),""))</f>
        <v/>
      </c>
      <c r="K361" s="161">
        <f>_xlfn.XLOOKUP(G361,ค่าตอบแทนการขายในอัตราคงที่!A:A,ค่าตอบแทนการขายในอัตราคงที่!B:B)</f>
        <v>0</v>
      </c>
      <c r="L361" s="174">
        <f>Period!$A$2</f>
        <v>46113</v>
      </c>
      <c r="M361" s="175">
        <f>Period!$C$2</f>
        <v>46143</v>
      </c>
      <c r="N361" s="194" t="s">
        <v>279</v>
      </c>
    </row>
    <row r="362" spans="1:14" ht="11.4" x14ac:dyDescent="0.25">
      <c r="A362" s="137"/>
      <c r="B362" s="169" t="e">
        <f>IF(IF(VLOOKUP(A362,ASTBase!F:P,11,FALSE)="","",VLOOKUP(A362,ASTBase!F:P,11,FALSE))=0,"",IF(VLOOKUP(A362,ASTBase!F:P,11,FALSE)="","",VLOOKUP(A362,ASTBase!F:P,11,FALSE)))</f>
        <v>#N/A</v>
      </c>
      <c r="C362" s="140" t="str">
        <f>IF(IFERROR(_xlfn.IFNA(VLOOKUP($A362,'HR Rep'!$A:$X,MATCH('1) For HR (FIX)'!C$1,'HR Rep'!$A$1:$X$1,0),0),""),"")="","",IFERROR(_xlfn.IFNA(VLOOKUP($A362,'HR Rep'!$A:$X,MATCH('1) For HR (FIX)'!C$1,'HR Rep'!$A$1:$X$1,0),0),""),""))</f>
        <v/>
      </c>
      <c r="D362" s="140" t="str">
        <f>IF(IFERROR(_xlfn.IFNA(VLOOKUP($A362,'HR Rep'!$A:$X,MATCH('1) For HR (FIX)'!D$1,'HR Rep'!$A$1:$X$1,0),0),""),"")="","",IFERROR(_xlfn.IFNA(VLOOKUP($A362,'HR Rep'!$A:$X,MATCH('1) For HR (FIX)'!D$1,'HR Rep'!$A$1:$X$1,0),0),""),""))</f>
        <v/>
      </c>
      <c r="E362" s="140" t="str">
        <f>IF(IFERROR(_xlfn.IFNA(VLOOKUP($A362,'HR Rep'!$A:$X,MATCH('1) For HR (FIX)'!E$1,'HR Rep'!$A$1:$X$1,0),0),""),"")="","",IFERROR(_xlfn.IFNA(VLOOKUP($A362,'HR Rep'!$A:$X,MATCH('1) For HR (FIX)'!E$1,'HR Rep'!$A$1:$X$1,0),0),""),""))</f>
        <v/>
      </c>
      <c r="F362" s="140" t="str">
        <f>IF(IFERROR(_xlfn.IFNA(VLOOKUP($A362,'HR Rep'!$A:$X,MATCH('1) For HR (FIX)'!F$1,'HR Rep'!$A$1:$X$1,0),0),""),"")="","",IFERROR(_xlfn.IFNA(VLOOKUP($A362,'HR Rep'!$A:$X,MATCH('1) For HR (FIX)'!F$1,'HR Rep'!$A$1:$X$1,0),0),""),""))</f>
        <v/>
      </c>
      <c r="G362" s="196"/>
      <c r="H362" s="140" t="str">
        <f>IF(IFERROR(_xlfn.IFNA(VLOOKUP($A362,'HR Rep'!$A:$X,MATCH('1) For HR (FIX)'!H$1,'HR Rep'!$A$1:$X$1,0),0),""),"")="","",IFERROR(_xlfn.IFNA(VLOOKUP($A362,'HR Rep'!$A:$X,MATCH('1) For HR (FIX)'!H$1,'HR Rep'!$A$1:$X$1,0),0),""),""))</f>
        <v/>
      </c>
      <c r="I362" s="140" t="str">
        <f>IF(IFERROR(_xlfn.IFNA(VLOOKUP($A362,'HR Rep'!$A:$X,MATCH('1) For HR (FIX)'!I$1,'HR Rep'!$A$1:$X$1,0),0),""),"")="","",IFERROR(_xlfn.IFNA(VLOOKUP($A362,'HR Rep'!$A:$X,MATCH('1) For HR (FIX)'!I$1,'HR Rep'!$A$1:$X$1,0),0),""),""))</f>
        <v/>
      </c>
      <c r="J362" s="140" t="str">
        <f>IF(IFERROR(_xlfn.IFNA(VLOOKUP($A362,'HR Rep'!$A:$X,MATCH('1) For HR (FIX)'!J$1,'HR Rep'!$A$1:$X$1,0),0),""),"")="","",IFERROR(_xlfn.IFNA(VLOOKUP($A362,'HR Rep'!$A:$X,MATCH('1) For HR (FIX)'!J$1,'HR Rep'!$A$1:$X$1,0),0),""),""))</f>
        <v/>
      </c>
      <c r="K362" s="161">
        <f>_xlfn.XLOOKUP(G362,ค่าตอบแทนการขายในอัตราคงที่!A:A,ค่าตอบแทนการขายในอัตราคงที่!B:B)</f>
        <v>0</v>
      </c>
      <c r="L362" s="174">
        <f>Period!$A$2</f>
        <v>46113</v>
      </c>
      <c r="M362" s="175">
        <f>Period!$C$2</f>
        <v>46143</v>
      </c>
      <c r="N362" s="194" t="s">
        <v>279</v>
      </c>
    </row>
    <row r="363" spans="1:14" ht="11.4" x14ac:dyDescent="0.25">
      <c r="A363" s="137"/>
      <c r="B363" s="169" t="e">
        <f>IF(IF(VLOOKUP(A363,ASTBase!F:P,11,FALSE)="","",VLOOKUP(A363,ASTBase!F:P,11,FALSE))=0,"",IF(VLOOKUP(A363,ASTBase!F:P,11,FALSE)="","",VLOOKUP(A363,ASTBase!F:P,11,FALSE)))</f>
        <v>#N/A</v>
      </c>
      <c r="C363" s="140" t="str">
        <f>IF(IFERROR(_xlfn.IFNA(VLOOKUP($A363,'HR Rep'!$A:$X,MATCH('1) For HR (FIX)'!C$1,'HR Rep'!$A$1:$X$1,0),0),""),"")="","",IFERROR(_xlfn.IFNA(VLOOKUP($A363,'HR Rep'!$A:$X,MATCH('1) For HR (FIX)'!C$1,'HR Rep'!$A$1:$X$1,0),0),""),""))</f>
        <v/>
      </c>
      <c r="D363" s="140" t="str">
        <f>IF(IFERROR(_xlfn.IFNA(VLOOKUP($A363,'HR Rep'!$A:$X,MATCH('1) For HR (FIX)'!D$1,'HR Rep'!$A$1:$X$1,0),0),""),"")="","",IFERROR(_xlfn.IFNA(VLOOKUP($A363,'HR Rep'!$A:$X,MATCH('1) For HR (FIX)'!D$1,'HR Rep'!$A$1:$X$1,0),0),""),""))</f>
        <v/>
      </c>
      <c r="E363" s="140" t="str">
        <f>IF(IFERROR(_xlfn.IFNA(VLOOKUP($A363,'HR Rep'!$A:$X,MATCH('1) For HR (FIX)'!E$1,'HR Rep'!$A$1:$X$1,0),0),""),"")="","",IFERROR(_xlfn.IFNA(VLOOKUP($A363,'HR Rep'!$A:$X,MATCH('1) For HR (FIX)'!E$1,'HR Rep'!$A$1:$X$1,0),0),""),""))</f>
        <v/>
      </c>
      <c r="F363" s="140" t="str">
        <f>IF(IFERROR(_xlfn.IFNA(VLOOKUP($A363,'HR Rep'!$A:$X,MATCH('1) For HR (FIX)'!F$1,'HR Rep'!$A$1:$X$1,0),0),""),"")="","",IFERROR(_xlfn.IFNA(VLOOKUP($A363,'HR Rep'!$A:$X,MATCH('1) For HR (FIX)'!F$1,'HR Rep'!$A$1:$X$1,0),0),""),""))</f>
        <v/>
      </c>
      <c r="G363" s="196"/>
      <c r="H363" s="140" t="str">
        <f>IF(IFERROR(_xlfn.IFNA(VLOOKUP($A363,'HR Rep'!$A:$X,MATCH('1) For HR (FIX)'!H$1,'HR Rep'!$A$1:$X$1,0),0),""),"")="","",IFERROR(_xlfn.IFNA(VLOOKUP($A363,'HR Rep'!$A:$X,MATCH('1) For HR (FIX)'!H$1,'HR Rep'!$A$1:$X$1,0),0),""),""))</f>
        <v/>
      </c>
      <c r="I363" s="140" t="str">
        <f>IF(IFERROR(_xlfn.IFNA(VLOOKUP($A363,'HR Rep'!$A:$X,MATCH('1) For HR (FIX)'!I$1,'HR Rep'!$A$1:$X$1,0),0),""),"")="","",IFERROR(_xlfn.IFNA(VLOOKUP($A363,'HR Rep'!$A:$X,MATCH('1) For HR (FIX)'!I$1,'HR Rep'!$A$1:$X$1,0),0),""),""))</f>
        <v/>
      </c>
      <c r="J363" s="140" t="str">
        <f>IF(IFERROR(_xlfn.IFNA(VLOOKUP($A363,'HR Rep'!$A:$X,MATCH('1) For HR (FIX)'!J$1,'HR Rep'!$A$1:$X$1,0),0),""),"")="","",IFERROR(_xlfn.IFNA(VLOOKUP($A363,'HR Rep'!$A:$X,MATCH('1) For HR (FIX)'!J$1,'HR Rep'!$A$1:$X$1,0),0),""),""))</f>
        <v/>
      </c>
      <c r="K363" s="161">
        <f>_xlfn.XLOOKUP(G363,ค่าตอบแทนการขายในอัตราคงที่!A:A,ค่าตอบแทนการขายในอัตราคงที่!B:B)</f>
        <v>0</v>
      </c>
      <c r="L363" s="174">
        <f>Period!$A$2</f>
        <v>46113</v>
      </c>
      <c r="M363" s="175">
        <f>Period!$C$2</f>
        <v>46143</v>
      </c>
      <c r="N363" s="194" t="s">
        <v>279</v>
      </c>
    </row>
    <row r="364" spans="1:14" ht="11.4" x14ac:dyDescent="0.25">
      <c r="A364" s="137"/>
      <c r="B364" s="169" t="e">
        <f>IF(IF(VLOOKUP(A364,ASTBase!F:P,11,FALSE)="","",VLOOKUP(A364,ASTBase!F:P,11,FALSE))=0,"",IF(VLOOKUP(A364,ASTBase!F:P,11,FALSE)="","",VLOOKUP(A364,ASTBase!F:P,11,FALSE)))</f>
        <v>#N/A</v>
      </c>
      <c r="C364" s="140" t="str">
        <f>IF(IFERROR(_xlfn.IFNA(VLOOKUP($A364,'HR Rep'!$A:$X,MATCH('1) For HR (FIX)'!C$1,'HR Rep'!$A$1:$X$1,0),0),""),"")="","",IFERROR(_xlfn.IFNA(VLOOKUP($A364,'HR Rep'!$A:$X,MATCH('1) For HR (FIX)'!C$1,'HR Rep'!$A$1:$X$1,0),0),""),""))</f>
        <v/>
      </c>
      <c r="D364" s="140" t="str">
        <f>IF(IFERROR(_xlfn.IFNA(VLOOKUP($A364,'HR Rep'!$A:$X,MATCH('1) For HR (FIX)'!D$1,'HR Rep'!$A$1:$X$1,0),0),""),"")="","",IFERROR(_xlfn.IFNA(VLOOKUP($A364,'HR Rep'!$A:$X,MATCH('1) For HR (FIX)'!D$1,'HR Rep'!$A$1:$X$1,0),0),""),""))</f>
        <v/>
      </c>
      <c r="E364" s="140" t="str">
        <f>IF(IFERROR(_xlfn.IFNA(VLOOKUP($A364,'HR Rep'!$A:$X,MATCH('1) For HR (FIX)'!E$1,'HR Rep'!$A$1:$X$1,0),0),""),"")="","",IFERROR(_xlfn.IFNA(VLOOKUP($A364,'HR Rep'!$A:$X,MATCH('1) For HR (FIX)'!E$1,'HR Rep'!$A$1:$X$1,0),0),""),""))</f>
        <v/>
      </c>
      <c r="F364" s="140" t="str">
        <f>IF(IFERROR(_xlfn.IFNA(VLOOKUP($A364,'HR Rep'!$A:$X,MATCH('1) For HR (FIX)'!F$1,'HR Rep'!$A$1:$X$1,0),0),""),"")="","",IFERROR(_xlfn.IFNA(VLOOKUP($A364,'HR Rep'!$A:$X,MATCH('1) For HR (FIX)'!F$1,'HR Rep'!$A$1:$X$1,0),0),""),""))</f>
        <v/>
      </c>
      <c r="G364" s="196"/>
      <c r="H364" s="140" t="str">
        <f>IF(IFERROR(_xlfn.IFNA(VLOOKUP($A364,'HR Rep'!$A:$X,MATCH('1) For HR (FIX)'!H$1,'HR Rep'!$A$1:$X$1,0),0),""),"")="","",IFERROR(_xlfn.IFNA(VLOOKUP($A364,'HR Rep'!$A:$X,MATCH('1) For HR (FIX)'!H$1,'HR Rep'!$A$1:$X$1,0),0),""),""))</f>
        <v/>
      </c>
      <c r="I364" s="140" t="str">
        <f>IF(IFERROR(_xlfn.IFNA(VLOOKUP($A364,'HR Rep'!$A:$X,MATCH('1) For HR (FIX)'!I$1,'HR Rep'!$A$1:$X$1,0),0),""),"")="","",IFERROR(_xlfn.IFNA(VLOOKUP($A364,'HR Rep'!$A:$X,MATCH('1) For HR (FIX)'!I$1,'HR Rep'!$A$1:$X$1,0),0),""),""))</f>
        <v/>
      </c>
      <c r="J364" s="140" t="str">
        <f>IF(IFERROR(_xlfn.IFNA(VLOOKUP($A364,'HR Rep'!$A:$X,MATCH('1) For HR (FIX)'!J$1,'HR Rep'!$A$1:$X$1,0),0),""),"")="","",IFERROR(_xlfn.IFNA(VLOOKUP($A364,'HR Rep'!$A:$X,MATCH('1) For HR (FIX)'!J$1,'HR Rep'!$A$1:$X$1,0),0),""),""))</f>
        <v/>
      </c>
      <c r="K364" s="161">
        <f>_xlfn.XLOOKUP(G364,ค่าตอบแทนการขายในอัตราคงที่!A:A,ค่าตอบแทนการขายในอัตราคงที่!B:B)</f>
        <v>0</v>
      </c>
      <c r="L364" s="174">
        <f>Period!$A$2</f>
        <v>46113</v>
      </c>
      <c r="M364" s="175">
        <f>Period!$C$2</f>
        <v>46143</v>
      </c>
      <c r="N364" s="194" t="s">
        <v>279</v>
      </c>
    </row>
    <row r="365" spans="1:14" ht="11.4" x14ac:dyDescent="0.25">
      <c r="A365" s="137"/>
      <c r="B365" s="169" t="e">
        <f>IF(IF(VLOOKUP(A365,ASTBase!F:P,11,FALSE)="","",VLOOKUP(A365,ASTBase!F:P,11,FALSE))=0,"",IF(VLOOKUP(A365,ASTBase!F:P,11,FALSE)="","",VLOOKUP(A365,ASTBase!F:P,11,FALSE)))</f>
        <v>#N/A</v>
      </c>
      <c r="C365" s="140" t="str">
        <f>IF(IFERROR(_xlfn.IFNA(VLOOKUP($A365,'HR Rep'!$A:$X,MATCH('1) For HR (FIX)'!C$1,'HR Rep'!$A$1:$X$1,0),0),""),"")="","",IFERROR(_xlfn.IFNA(VLOOKUP($A365,'HR Rep'!$A:$X,MATCH('1) For HR (FIX)'!C$1,'HR Rep'!$A$1:$X$1,0),0),""),""))</f>
        <v/>
      </c>
      <c r="D365" s="140" t="str">
        <f>IF(IFERROR(_xlfn.IFNA(VLOOKUP($A365,'HR Rep'!$A:$X,MATCH('1) For HR (FIX)'!D$1,'HR Rep'!$A$1:$X$1,0),0),""),"")="","",IFERROR(_xlfn.IFNA(VLOOKUP($A365,'HR Rep'!$A:$X,MATCH('1) For HR (FIX)'!D$1,'HR Rep'!$A$1:$X$1,0),0),""),""))</f>
        <v/>
      </c>
      <c r="E365" s="140" t="str">
        <f>IF(IFERROR(_xlfn.IFNA(VLOOKUP($A365,'HR Rep'!$A:$X,MATCH('1) For HR (FIX)'!E$1,'HR Rep'!$A$1:$X$1,0),0),""),"")="","",IFERROR(_xlfn.IFNA(VLOOKUP($A365,'HR Rep'!$A:$X,MATCH('1) For HR (FIX)'!E$1,'HR Rep'!$A$1:$X$1,0),0),""),""))</f>
        <v/>
      </c>
      <c r="F365" s="140" t="str">
        <f>IF(IFERROR(_xlfn.IFNA(VLOOKUP($A365,'HR Rep'!$A:$X,MATCH('1) For HR (FIX)'!F$1,'HR Rep'!$A$1:$X$1,0),0),""),"")="","",IFERROR(_xlfn.IFNA(VLOOKUP($A365,'HR Rep'!$A:$X,MATCH('1) For HR (FIX)'!F$1,'HR Rep'!$A$1:$X$1,0),0),""),""))</f>
        <v/>
      </c>
      <c r="G365" s="196"/>
      <c r="H365" s="140" t="str">
        <f>IF(IFERROR(_xlfn.IFNA(VLOOKUP($A365,'HR Rep'!$A:$X,MATCH('1) For HR (FIX)'!H$1,'HR Rep'!$A$1:$X$1,0),0),""),"")="","",IFERROR(_xlfn.IFNA(VLOOKUP($A365,'HR Rep'!$A:$X,MATCH('1) For HR (FIX)'!H$1,'HR Rep'!$A$1:$X$1,0),0),""),""))</f>
        <v/>
      </c>
      <c r="I365" s="140" t="str">
        <f>IF(IFERROR(_xlfn.IFNA(VLOOKUP($A365,'HR Rep'!$A:$X,MATCH('1) For HR (FIX)'!I$1,'HR Rep'!$A$1:$X$1,0),0),""),"")="","",IFERROR(_xlfn.IFNA(VLOOKUP($A365,'HR Rep'!$A:$X,MATCH('1) For HR (FIX)'!I$1,'HR Rep'!$A$1:$X$1,0),0),""),""))</f>
        <v/>
      </c>
      <c r="J365" s="140" t="str">
        <f>IF(IFERROR(_xlfn.IFNA(VLOOKUP($A365,'HR Rep'!$A:$X,MATCH('1) For HR (FIX)'!J$1,'HR Rep'!$A$1:$X$1,0),0),""),"")="","",IFERROR(_xlfn.IFNA(VLOOKUP($A365,'HR Rep'!$A:$X,MATCH('1) For HR (FIX)'!J$1,'HR Rep'!$A$1:$X$1,0),0),""),""))</f>
        <v/>
      </c>
      <c r="K365" s="161">
        <f>_xlfn.XLOOKUP(G365,ค่าตอบแทนการขายในอัตราคงที่!A:A,ค่าตอบแทนการขายในอัตราคงที่!B:B)</f>
        <v>0</v>
      </c>
      <c r="L365" s="174">
        <f>Period!$A$2</f>
        <v>46113</v>
      </c>
      <c r="M365" s="175">
        <f>Period!$C$2</f>
        <v>46143</v>
      </c>
      <c r="N365" s="194" t="s">
        <v>279</v>
      </c>
    </row>
    <row r="366" spans="1:14" ht="11.4" x14ac:dyDescent="0.25">
      <c r="A366" s="137"/>
      <c r="B366" s="169" t="e">
        <f>IF(IF(VLOOKUP(A366,ASTBase!F:P,11,FALSE)="","",VLOOKUP(A366,ASTBase!F:P,11,FALSE))=0,"",IF(VLOOKUP(A366,ASTBase!F:P,11,FALSE)="","",VLOOKUP(A366,ASTBase!F:P,11,FALSE)))</f>
        <v>#N/A</v>
      </c>
      <c r="C366" s="140" t="str">
        <f>IF(IFERROR(_xlfn.IFNA(VLOOKUP($A366,'HR Rep'!$A:$X,MATCH('1) For HR (FIX)'!C$1,'HR Rep'!$A$1:$X$1,0),0),""),"")="","",IFERROR(_xlfn.IFNA(VLOOKUP($A366,'HR Rep'!$A:$X,MATCH('1) For HR (FIX)'!C$1,'HR Rep'!$A$1:$X$1,0),0),""),""))</f>
        <v/>
      </c>
      <c r="D366" s="140" t="str">
        <f>IF(IFERROR(_xlfn.IFNA(VLOOKUP($A366,'HR Rep'!$A:$X,MATCH('1) For HR (FIX)'!D$1,'HR Rep'!$A$1:$X$1,0),0),""),"")="","",IFERROR(_xlfn.IFNA(VLOOKUP($A366,'HR Rep'!$A:$X,MATCH('1) For HR (FIX)'!D$1,'HR Rep'!$A$1:$X$1,0),0),""),""))</f>
        <v/>
      </c>
      <c r="E366" s="140" t="str">
        <f>IF(IFERROR(_xlfn.IFNA(VLOOKUP($A366,'HR Rep'!$A:$X,MATCH('1) For HR (FIX)'!E$1,'HR Rep'!$A$1:$X$1,0),0),""),"")="","",IFERROR(_xlfn.IFNA(VLOOKUP($A366,'HR Rep'!$A:$X,MATCH('1) For HR (FIX)'!E$1,'HR Rep'!$A$1:$X$1,0),0),""),""))</f>
        <v/>
      </c>
      <c r="F366" s="140" t="str">
        <f>IF(IFERROR(_xlfn.IFNA(VLOOKUP($A366,'HR Rep'!$A:$X,MATCH('1) For HR (FIX)'!F$1,'HR Rep'!$A$1:$X$1,0),0),""),"")="","",IFERROR(_xlfn.IFNA(VLOOKUP($A366,'HR Rep'!$A:$X,MATCH('1) For HR (FIX)'!F$1,'HR Rep'!$A$1:$X$1,0),0),""),""))</f>
        <v/>
      </c>
      <c r="G366" s="196"/>
      <c r="H366" s="140" t="str">
        <f>IF(IFERROR(_xlfn.IFNA(VLOOKUP($A366,'HR Rep'!$A:$X,MATCH('1) For HR (FIX)'!H$1,'HR Rep'!$A$1:$X$1,0),0),""),"")="","",IFERROR(_xlfn.IFNA(VLOOKUP($A366,'HR Rep'!$A:$X,MATCH('1) For HR (FIX)'!H$1,'HR Rep'!$A$1:$X$1,0),0),""),""))</f>
        <v/>
      </c>
      <c r="I366" s="140" t="str">
        <f>IF(IFERROR(_xlfn.IFNA(VLOOKUP($A366,'HR Rep'!$A:$X,MATCH('1) For HR (FIX)'!I$1,'HR Rep'!$A$1:$X$1,0),0),""),"")="","",IFERROR(_xlfn.IFNA(VLOOKUP($A366,'HR Rep'!$A:$X,MATCH('1) For HR (FIX)'!I$1,'HR Rep'!$A$1:$X$1,0),0),""),""))</f>
        <v/>
      </c>
      <c r="J366" s="140" t="str">
        <f>IF(IFERROR(_xlfn.IFNA(VLOOKUP($A366,'HR Rep'!$A:$X,MATCH('1) For HR (FIX)'!J$1,'HR Rep'!$A$1:$X$1,0),0),""),"")="","",IFERROR(_xlfn.IFNA(VLOOKUP($A366,'HR Rep'!$A:$X,MATCH('1) For HR (FIX)'!J$1,'HR Rep'!$A$1:$X$1,0),0),""),""))</f>
        <v/>
      </c>
      <c r="K366" s="161">
        <f>_xlfn.XLOOKUP(G366,ค่าตอบแทนการขายในอัตราคงที่!A:A,ค่าตอบแทนการขายในอัตราคงที่!B:B)</f>
        <v>0</v>
      </c>
      <c r="L366" s="174">
        <f>Period!$A$2</f>
        <v>46113</v>
      </c>
      <c r="M366" s="175">
        <f>Period!$C$2</f>
        <v>46143</v>
      </c>
      <c r="N366" s="194" t="s">
        <v>279</v>
      </c>
    </row>
    <row r="367" spans="1:14" ht="11.4" x14ac:dyDescent="0.25">
      <c r="A367" s="137"/>
      <c r="B367" s="169" t="e">
        <f>IF(IF(VLOOKUP(A367,ASTBase!F:P,11,FALSE)="","",VLOOKUP(A367,ASTBase!F:P,11,FALSE))=0,"",IF(VLOOKUP(A367,ASTBase!F:P,11,FALSE)="","",VLOOKUP(A367,ASTBase!F:P,11,FALSE)))</f>
        <v>#N/A</v>
      </c>
      <c r="C367" s="140" t="str">
        <f>IF(IFERROR(_xlfn.IFNA(VLOOKUP($A367,'HR Rep'!$A:$X,MATCH('1) For HR (FIX)'!C$1,'HR Rep'!$A$1:$X$1,0),0),""),"")="","",IFERROR(_xlfn.IFNA(VLOOKUP($A367,'HR Rep'!$A:$X,MATCH('1) For HR (FIX)'!C$1,'HR Rep'!$A$1:$X$1,0),0),""),""))</f>
        <v/>
      </c>
      <c r="D367" s="140" t="str">
        <f>IF(IFERROR(_xlfn.IFNA(VLOOKUP($A367,'HR Rep'!$A:$X,MATCH('1) For HR (FIX)'!D$1,'HR Rep'!$A$1:$X$1,0),0),""),"")="","",IFERROR(_xlfn.IFNA(VLOOKUP($A367,'HR Rep'!$A:$X,MATCH('1) For HR (FIX)'!D$1,'HR Rep'!$A$1:$X$1,0),0),""),""))</f>
        <v/>
      </c>
      <c r="E367" s="140" t="str">
        <f>IF(IFERROR(_xlfn.IFNA(VLOOKUP($A367,'HR Rep'!$A:$X,MATCH('1) For HR (FIX)'!E$1,'HR Rep'!$A$1:$X$1,0),0),""),"")="","",IFERROR(_xlfn.IFNA(VLOOKUP($A367,'HR Rep'!$A:$X,MATCH('1) For HR (FIX)'!E$1,'HR Rep'!$A$1:$X$1,0),0),""),""))</f>
        <v/>
      </c>
      <c r="F367" s="140" t="str">
        <f>IF(IFERROR(_xlfn.IFNA(VLOOKUP($A367,'HR Rep'!$A:$X,MATCH('1) For HR (FIX)'!F$1,'HR Rep'!$A$1:$X$1,0),0),""),"")="","",IFERROR(_xlfn.IFNA(VLOOKUP($A367,'HR Rep'!$A:$X,MATCH('1) For HR (FIX)'!F$1,'HR Rep'!$A$1:$X$1,0),0),""),""))</f>
        <v/>
      </c>
      <c r="G367" s="196"/>
      <c r="H367" s="140" t="str">
        <f>IF(IFERROR(_xlfn.IFNA(VLOOKUP($A367,'HR Rep'!$A:$X,MATCH('1) For HR (FIX)'!H$1,'HR Rep'!$A$1:$X$1,0),0),""),"")="","",IFERROR(_xlfn.IFNA(VLOOKUP($A367,'HR Rep'!$A:$X,MATCH('1) For HR (FIX)'!H$1,'HR Rep'!$A$1:$X$1,0),0),""),""))</f>
        <v/>
      </c>
      <c r="I367" s="140" t="str">
        <f>IF(IFERROR(_xlfn.IFNA(VLOOKUP($A367,'HR Rep'!$A:$X,MATCH('1) For HR (FIX)'!I$1,'HR Rep'!$A$1:$X$1,0),0),""),"")="","",IFERROR(_xlfn.IFNA(VLOOKUP($A367,'HR Rep'!$A:$X,MATCH('1) For HR (FIX)'!I$1,'HR Rep'!$A$1:$X$1,0),0),""),""))</f>
        <v/>
      </c>
      <c r="J367" s="140" t="str">
        <f>IF(IFERROR(_xlfn.IFNA(VLOOKUP($A367,'HR Rep'!$A:$X,MATCH('1) For HR (FIX)'!J$1,'HR Rep'!$A$1:$X$1,0),0),""),"")="","",IFERROR(_xlfn.IFNA(VLOOKUP($A367,'HR Rep'!$A:$X,MATCH('1) For HR (FIX)'!J$1,'HR Rep'!$A$1:$X$1,0),0),""),""))</f>
        <v/>
      </c>
      <c r="K367" s="161">
        <f>_xlfn.XLOOKUP(G367,ค่าตอบแทนการขายในอัตราคงที่!A:A,ค่าตอบแทนการขายในอัตราคงที่!B:B)</f>
        <v>0</v>
      </c>
      <c r="L367" s="174">
        <f>Period!$A$2</f>
        <v>46113</v>
      </c>
      <c r="M367" s="175">
        <f>Period!$C$2</f>
        <v>46143</v>
      </c>
      <c r="N367" s="194" t="s">
        <v>279</v>
      </c>
    </row>
    <row r="368" spans="1:14" ht="11.4" x14ac:dyDescent="0.25">
      <c r="A368" s="137"/>
      <c r="B368" s="169" t="e">
        <f>IF(IF(VLOOKUP(A368,ASTBase!F:P,11,FALSE)="","",VLOOKUP(A368,ASTBase!F:P,11,FALSE))=0,"",IF(VLOOKUP(A368,ASTBase!F:P,11,FALSE)="","",VLOOKUP(A368,ASTBase!F:P,11,FALSE)))</f>
        <v>#N/A</v>
      </c>
      <c r="C368" s="140" t="str">
        <f>IF(IFERROR(_xlfn.IFNA(VLOOKUP($A368,'HR Rep'!$A:$X,MATCH('1) For HR (FIX)'!C$1,'HR Rep'!$A$1:$X$1,0),0),""),"")="","",IFERROR(_xlfn.IFNA(VLOOKUP($A368,'HR Rep'!$A:$X,MATCH('1) For HR (FIX)'!C$1,'HR Rep'!$A$1:$X$1,0),0),""),""))</f>
        <v/>
      </c>
      <c r="D368" s="140" t="str">
        <f>IF(IFERROR(_xlfn.IFNA(VLOOKUP($A368,'HR Rep'!$A:$X,MATCH('1) For HR (FIX)'!D$1,'HR Rep'!$A$1:$X$1,0),0),""),"")="","",IFERROR(_xlfn.IFNA(VLOOKUP($A368,'HR Rep'!$A:$X,MATCH('1) For HR (FIX)'!D$1,'HR Rep'!$A$1:$X$1,0),0),""),""))</f>
        <v/>
      </c>
      <c r="E368" s="140" t="str">
        <f>IF(IFERROR(_xlfn.IFNA(VLOOKUP($A368,'HR Rep'!$A:$X,MATCH('1) For HR (FIX)'!E$1,'HR Rep'!$A$1:$X$1,0),0),""),"")="","",IFERROR(_xlfn.IFNA(VLOOKUP($A368,'HR Rep'!$A:$X,MATCH('1) For HR (FIX)'!E$1,'HR Rep'!$A$1:$X$1,0),0),""),""))</f>
        <v/>
      </c>
      <c r="F368" s="140" t="str">
        <f>IF(IFERROR(_xlfn.IFNA(VLOOKUP($A368,'HR Rep'!$A:$X,MATCH('1) For HR (FIX)'!F$1,'HR Rep'!$A$1:$X$1,0),0),""),"")="","",IFERROR(_xlfn.IFNA(VLOOKUP($A368,'HR Rep'!$A:$X,MATCH('1) For HR (FIX)'!F$1,'HR Rep'!$A$1:$X$1,0),0),""),""))</f>
        <v/>
      </c>
      <c r="G368" s="196"/>
      <c r="H368" s="140" t="str">
        <f>IF(IFERROR(_xlfn.IFNA(VLOOKUP($A368,'HR Rep'!$A:$X,MATCH('1) For HR (FIX)'!H$1,'HR Rep'!$A$1:$X$1,0),0),""),"")="","",IFERROR(_xlfn.IFNA(VLOOKUP($A368,'HR Rep'!$A:$X,MATCH('1) For HR (FIX)'!H$1,'HR Rep'!$A$1:$X$1,0),0),""),""))</f>
        <v/>
      </c>
      <c r="I368" s="140" t="str">
        <f>IF(IFERROR(_xlfn.IFNA(VLOOKUP($A368,'HR Rep'!$A:$X,MATCH('1) For HR (FIX)'!I$1,'HR Rep'!$A$1:$X$1,0),0),""),"")="","",IFERROR(_xlfn.IFNA(VLOOKUP($A368,'HR Rep'!$A:$X,MATCH('1) For HR (FIX)'!I$1,'HR Rep'!$A$1:$X$1,0),0),""),""))</f>
        <v/>
      </c>
      <c r="J368" s="140" t="str">
        <f>IF(IFERROR(_xlfn.IFNA(VLOOKUP($A368,'HR Rep'!$A:$X,MATCH('1) For HR (FIX)'!J$1,'HR Rep'!$A$1:$X$1,0),0),""),"")="","",IFERROR(_xlfn.IFNA(VLOOKUP($A368,'HR Rep'!$A:$X,MATCH('1) For HR (FIX)'!J$1,'HR Rep'!$A$1:$X$1,0),0),""),""))</f>
        <v/>
      </c>
      <c r="K368" s="161">
        <f>_xlfn.XLOOKUP(G368,ค่าตอบแทนการขายในอัตราคงที่!A:A,ค่าตอบแทนการขายในอัตราคงที่!B:B)</f>
        <v>0</v>
      </c>
      <c r="L368" s="174">
        <f>Period!$A$2</f>
        <v>46113</v>
      </c>
      <c r="M368" s="175">
        <f>Period!$C$2</f>
        <v>46143</v>
      </c>
      <c r="N368" s="194" t="s">
        <v>279</v>
      </c>
    </row>
    <row r="369" spans="1:14" ht="11.4" x14ac:dyDescent="0.25">
      <c r="A369" s="137"/>
      <c r="B369" s="169" t="e">
        <f>IF(IF(VLOOKUP(A369,ASTBase!F:P,11,FALSE)="","",VLOOKUP(A369,ASTBase!F:P,11,FALSE))=0,"",IF(VLOOKUP(A369,ASTBase!F:P,11,FALSE)="","",VLOOKUP(A369,ASTBase!F:P,11,FALSE)))</f>
        <v>#N/A</v>
      </c>
      <c r="C369" s="140" t="str">
        <f>IF(IFERROR(_xlfn.IFNA(VLOOKUP($A369,'HR Rep'!$A:$X,MATCH('1) For HR (FIX)'!C$1,'HR Rep'!$A$1:$X$1,0),0),""),"")="","",IFERROR(_xlfn.IFNA(VLOOKUP($A369,'HR Rep'!$A:$X,MATCH('1) For HR (FIX)'!C$1,'HR Rep'!$A$1:$X$1,0),0),""),""))</f>
        <v/>
      </c>
      <c r="D369" s="140" t="str">
        <f>IF(IFERROR(_xlfn.IFNA(VLOOKUP($A369,'HR Rep'!$A:$X,MATCH('1) For HR (FIX)'!D$1,'HR Rep'!$A$1:$X$1,0),0),""),"")="","",IFERROR(_xlfn.IFNA(VLOOKUP($A369,'HR Rep'!$A:$X,MATCH('1) For HR (FIX)'!D$1,'HR Rep'!$A$1:$X$1,0),0),""),""))</f>
        <v/>
      </c>
      <c r="E369" s="140" t="str">
        <f>IF(IFERROR(_xlfn.IFNA(VLOOKUP($A369,'HR Rep'!$A:$X,MATCH('1) For HR (FIX)'!E$1,'HR Rep'!$A$1:$X$1,0),0),""),"")="","",IFERROR(_xlfn.IFNA(VLOOKUP($A369,'HR Rep'!$A:$X,MATCH('1) For HR (FIX)'!E$1,'HR Rep'!$A$1:$X$1,0),0),""),""))</f>
        <v/>
      </c>
      <c r="F369" s="140" t="str">
        <f>IF(IFERROR(_xlfn.IFNA(VLOOKUP($A369,'HR Rep'!$A:$X,MATCH('1) For HR (FIX)'!F$1,'HR Rep'!$A$1:$X$1,0),0),""),"")="","",IFERROR(_xlfn.IFNA(VLOOKUP($A369,'HR Rep'!$A:$X,MATCH('1) For HR (FIX)'!F$1,'HR Rep'!$A$1:$X$1,0),0),""),""))</f>
        <v/>
      </c>
      <c r="G369" s="196"/>
      <c r="H369" s="140" t="str">
        <f>IF(IFERROR(_xlfn.IFNA(VLOOKUP($A369,'HR Rep'!$A:$X,MATCH('1) For HR (FIX)'!H$1,'HR Rep'!$A$1:$X$1,0),0),""),"")="","",IFERROR(_xlfn.IFNA(VLOOKUP($A369,'HR Rep'!$A:$X,MATCH('1) For HR (FIX)'!H$1,'HR Rep'!$A$1:$X$1,0),0),""),""))</f>
        <v/>
      </c>
      <c r="I369" s="140" t="str">
        <f>IF(IFERROR(_xlfn.IFNA(VLOOKUP($A369,'HR Rep'!$A:$X,MATCH('1) For HR (FIX)'!I$1,'HR Rep'!$A$1:$X$1,0),0),""),"")="","",IFERROR(_xlfn.IFNA(VLOOKUP($A369,'HR Rep'!$A:$X,MATCH('1) For HR (FIX)'!I$1,'HR Rep'!$A$1:$X$1,0),0),""),""))</f>
        <v/>
      </c>
      <c r="J369" s="140" t="str">
        <f>IF(IFERROR(_xlfn.IFNA(VLOOKUP($A369,'HR Rep'!$A:$X,MATCH('1) For HR (FIX)'!J$1,'HR Rep'!$A$1:$X$1,0),0),""),"")="","",IFERROR(_xlfn.IFNA(VLOOKUP($A369,'HR Rep'!$A:$X,MATCH('1) For HR (FIX)'!J$1,'HR Rep'!$A$1:$X$1,0),0),""),""))</f>
        <v/>
      </c>
      <c r="K369" s="161">
        <f>_xlfn.XLOOKUP(G369,ค่าตอบแทนการขายในอัตราคงที่!A:A,ค่าตอบแทนการขายในอัตราคงที่!B:B)</f>
        <v>0</v>
      </c>
      <c r="L369" s="174">
        <f>Period!$A$2</f>
        <v>46113</v>
      </c>
      <c r="M369" s="175">
        <f>Period!$C$2</f>
        <v>46143</v>
      </c>
      <c r="N369" s="194" t="s">
        <v>279</v>
      </c>
    </row>
    <row r="370" spans="1:14" ht="11.4" x14ac:dyDescent="0.25">
      <c r="A370" s="137"/>
      <c r="B370" s="169" t="e">
        <f>IF(IF(VLOOKUP(A370,ASTBase!F:P,11,FALSE)="","",VLOOKUP(A370,ASTBase!F:P,11,FALSE))=0,"",IF(VLOOKUP(A370,ASTBase!F:P,11,FALSE)="","",VLOOKUP(A370,ASTBase!F:P,11,FALSE)))</f>
        <v>#N/A</v>
      </c>
      <c r="C370" s="140" t="str">
        <f>IF(IFERROR(_xlfn.IFNA(VLOOKUP($A370,'HR Rep'!$A:$X,MATCH('1) For HR (FIX)'!C$1,'HR Rep'!$A$1:$X$1,0),0),""),"")="","",IFERROR(_xlfn.IFNA(VLOOKUP($A370,'HR Rep'!$A:$X,MATCH('1) For HR (FIX)'!C$1,'HR Rep'!$A$1:$X$1,0),0),""),""))</f>
        <v/>
      </c>
      <c r="D370" s="140" t="str">
        <f>IF(IFERROR(_xlfn.IFNA(VLOOKUP($A370,'HR Rep'!$A:$X,MATCH('1) For HR (FIX)'!D$1,'HR Rep'!$A$1:$X$1,0),0),""),"")="","",IFERROR(_xlfn.IFNA(VLOOKUP($A370,'HR Rep'!$A:$X,MATCH('1) For HR (FIX)'!D$1,'HR Rep'!$A$1:$X$1,0),0),""),""))</f>
        <v/>
      </c>
      <c r="E370" s="140" t="str">
        <f>IF(IFERROR(_xlfn.IFNA(VLOOKUP($A370,'HR Rep'!$A:$X,MATCH('1) For HR (FIX)'!E$1,'HR Rep'!$A$1:$X$1,0),0),""),"")="","",IFERROR(_xlfn.IFNA(VLOOKUP($A370,'HR Rep'!$A:$X,MATCH('1) For HR (FIX)'!E$1,'HR Rep'!$A$1:$X$1,0),0),""),""))</f>
        <v/>
      </c>
      <c r="F370" s="140" t="str">
        <f>IF(IFERROR(_xlfn.IFNA(VLOOKUP($A370,'HR Rep'!$A:$X,MATCH('1) For HR (FIX)'!F$1,'HR Rep'!$A$1:$X$1,0),0),""),"")="","",IFERROR(_xlfn.IFNA(VLOOKUP($A370,'HR Rep'!$A:$X,MATCH('1) For HR (FIX)'!F$1,'HR Rep'!$A$1:$X$1,0),0),""),""))</f>
        <v/>
      </c>
      <c r="G370" s="196"/>
      <c r="H370" s="140" t="str">
        <f>IF(IFERROR(_xlfn.IFNA(VLOOKUP($A370,'HR Rep'!$A:$X,MATCH('1) For HR (FIX)'!H$1,'HR Rep'!$A$1:$X$1,0),0),""),"")="","",IFERROR(_xlfn.IFNA(VLOOKUP($A370,'HR Rep'!$A:$X,MATCH('1) For HR (FIX)'!H$1,'HR Rep'!$A$1:$X$1,0),0),""),""))</f>
        <v/>
      </c>
      <c r="I370" s="140" t="str">
        <f>IF(IFERROR(_xlfn.IFNA(VLOOKUP($A370,'HR Rep'!$A:$X,MATCH('1) For HR (FIX)'!I$1,'HR Rep'!$A$1:$X$1,0),0),""),"")="","",IFERROR(_xlfn.IFNA(VLOOKUP($A370,'HR Rep'!$A:$X,MATCH('1) For HR (FIX)'!I$1,'HR Rep'!$A$1:$X$1,0),0),""),""))</f>
        <v/>
      </c>
      <c r="J370" s="140" t="str">
        <f>IF(IFERROR(_xlfn.IFNA(VLOOKUP($A370,'HR Rep'!$A:$X,MATCH('1) For HR (FIX)'!J$1,'HR Rep'!$A$1:$X$1,0),0),""),"")="","",IFERROR(_xlfn.IFNA(VLOOKUP($A370,'HR Rep'!$A:$X,MATCH('1) For HR (FIX)'!J$1,'HR Rep'!$A$1:$X$1,0),0),""),""))</f>
        <v/>
      </c>
      <c r="K370" s="161">
        <f>_xlfn.XLOOKUP(G370,ค่าตอบแทนการขายในอัตราคงที่!A:A,ค่าตอบแทนการขายในอัตราคงที่!B:B)</f>
        <v>0</v>
      </c>
      <c r="L370" s="174">
        <f>Period!$A$2</f>
        <v>46113</v>
      </c>
      <c r="M370" s="175">
        <f>Period!$C$2</f>
        <v>46143</v>
      </c>
      <c r="N370" s="194" t="s">
        <v>279</v>
      </c>
    </row>
    <row r="371" spans="1:14" ht="11.4" x14ac:dyDescent="0.25">
      <c r="A371" s="137"/>
      <c r="B371" s="169" t="e">
        <f>IF(IF(VLOOKUP(A371,ASTBase!F:P,11,FALSE)="","",VLOOKUP(A371,ASTBase!F:P,11,FALSE))=0,"",IF(VLOOKUP(A371,ASTBase!F:P,11,FALSE)="","",VLOOKUP(A371,ASTBase!F:P,11,FALSE)))</f>
        <v>#N/A</v>
      </c>
      <c r="C371" s="140" t="str">
        <f>IF(IFERROR(_xlfn.IFNA(VLOOKUP($A371,'HR Rep'!$A:$X,MATCH('1) For HR (FIX)'!C$1,'HR Rep'!$A$1:$X$1,0),0),""),"")="","",IFERROR(_xlfn.IFNA(VLOOKUP($A371,'HR Rep'!$A:$X,MATCH('1) For HR (FIX)'!C$1,'HR Rep'!$A$1:$X$1,0),0),""),""))</f>
        <v/>
      </c>
      <c r="D371" s="140" t="str">
        <f>IF(IFERROR(_xlfn.IFNA(VLOOKUP($A371,'HR Rep'!$A:$X,MATCH('1) For HR (FIX)'!D$1,'HR Rep'!$A$1:$X$1,0),0),""),"")="","",IFERROR(_xlfn.IFNA(VLOOKUP($A371,'HR Rep'!$A:$X,MATCH('1) For HR (FIX)'!D$1,'HR Rep'!$A$1:$X$1,0),0),""),""))</f>
        <v/>
      </c>
      <c r="E371" s="140" t="str">
        <f>IF(IFERROR(_xlfn.IFNA(VLOOKUP($A371,'HR Rep'!$A:$X,MATCH('1) For HR (FIX)'!E$1,'HR Rep'!$A$1:$X$1,0),0),""),"")="","",IFERROR(_xlfn.IFNA(VLOOKUP($A371,'HR Rep'!$A:$X,MATCH('1) For HR (FIX)'!E$1,'HR Rep'!$A$1:$X$1,0),0),""),""))</f>
        <v/>
      </c>
      <c r="F371" s="140" t="str">
        <f>IF(IFERROR(_xlfn.IFNA(VLOOKUP($A371,'HR Rep'!$A:$X,MATCH('1) For HR (FIX)'!F$1,'HR Rep'!$A$1:$X$1,0),0),""),"")="","",IFERROR(_xlfn.IFNA(VLOOKUP($A371,'HR Rep'!$A:$X,MATCH('1) For HR (FIX)'!F$1,'HR Rep'!$A$1:$X$1,0),0),""),""))</f>
        <v/>
      </c>
      <c r="G371" s="196"/>
      <c r="H371" s="140" t="str">
        <f>IF(IFERROR(_xlfn.IFNA(VLOOKUP($A371,'HR Rep'!$A:$X,MATCH('1) For HR (FIX)'!H$1,'HR Rep'!$A$1:$X$1,0),0),""),"")="","",IFERROR(_xlfn.IFNA(VLOOKUP($A371,'HR Rep'!$A:$X,MATCH('1) For HR (FIX)'!H$1,'HR Rep'!$A$1:$X$1,0),0),""),""))</f>
        <v/>
      </c>
      <c r="I371" s="140" t="str">
        <f>IF(IFERROR(_xlfn.IFNA(VLOOKUP($A371,'HR Rep'!$A:$X,MATCH('1) For HR (FIX)'!I$1,'HR Rep'!$A$1:$X$1,0),0),""),"")="","",IFERROR(_xlfn.IFNA(VLOOKUP($A371,'HR Rep'!$A:$X,MATCH('1) For HR (FIX)'!I$1,'HR Rep'!$A$1:$X$1,0),0),""),""))</f>
        <v/>
      </c>
      <c r="J371" s="140" t="str">
        <f>IF(IFERROR(_xlfn.IFNA(VLOOKUP($A371,'HR Rep'!$A:$X,MATCH('1) For HR (FIX)'!J$1,'HR Rep'!$A$1:$X$1,0),0),""),"")="","",IFERROR(_xlfn.IFNA(VLOOKUP($A371,'HR Rep'!$A:$X,MATCH('1) For HR (FIX)'!J$1,'HR Rep'!$A$1:$X$1,0),0),""),""))</f>
        <v/>
      </c>
      <c r="K371" s="161">
        <f>_xlfn.XLOOKUP(G371,ค่าตอบแทนการขายในอัตราคงที่!A:A,ค่าตอบแทนการขายในอัตราคงที่!B:B)</f>
        <v>0</v>
      </c>
      <c r="L371" s="174">
        <f>Period!$A$2</f>
        <v>46113</v>
      </c>
      <c r="M371" s="175">
        <f>Period!$C$2</f>
        <v>46143</v>
      </c>
      <c r="N371" s="194" t="s">
        <v>279</v>
      </c>
    </row>
    <row r="372" spans="1:14" ht="11.4" x14ac:dyDescent="0.25">
      <c r="A372" s="137"/>
      <c r="B372" s="169" t="e">
        <f>IF(IF(VLOOKUP(A372,ASTBase!F:P,11,FALSE)="","",VLOOKUP(A372,ASTBase!F:P,11,FALSE))=0,"",IF(VLOOKUP(A372,ASTBase!F:P,11,FALSE)="","",VLOOKUP(A372,ASTBase!F:P,11,FALSE)))</f>
        <v>#N/A</v>
      </c>
      <c r="C372" s="140" t="str">
        <f>IF(IFERROR(_xlfn.IFNA(VLOOKUP($A372,'HR Rep'!$A:$X,MATCH('1) For HR (FIX)'!C$1,'HR Rep'!$A$1:$X$1,0),0),""),"")="","",IFERROR(_xlfn.IFNA(VLOOKUP($A372,'HR Rep'!$A:$X,MATCH('1) For HR (FIX)'!C$1,'HR Rep'!$A$1:$X$1,0),0),""),""))</f>
        <v/>
      </c>
      <c r="D372" s="140" t="str">
        <f>IF(IFERROR(_xlfn.IFNA(VLOOKUP($A372,'HR Rep'!$A:$X,MATCH('1) For HR (FIX)'!D$1,'HR Rep'!$A$1:$X$1,0),0),""),"")="","",IFERROR(_xlfn.IFNA(VLOOKUP($A372,'HR Rep'!$A:$X,MATCH('1) For HR (FIX)'!D$1,'HR Rep'!$A$1:$X$1,0),0),""),""))</f>
        <v/>
      </c>
      <c r="E372" s="140" t="str">
        <f>IF(IFERROR(_xlfn.IFNA(VLOOKUP($A372,'HR Rep'!$A:$X,MATCH('1) For HR (FIX)'!E$1,'HR Rep'!$A$1:$X$1,0),0),""),"")="","",IFERROR(_xlfn.IFNA(VLOOKUP($A372,'HR Rep'!$A:$X,MATCH('1) For HR (FIX)'!E$1,'HR Rep'!$A$1:$X$1,0),0),""),""))</f>
        <v/>
      </c>
      <c r="F372" s="140" t="str">
        <f>IF(IFERROR(_xlfn.IFNA(VLOOKUP($A372,'HR Rep'!$A:$X,MATCH('1) For HR (FIX)'!F$1,'HR Rep'!$A$1:$X$1,0),0),""),"")="","",IFERROR(_xlfn.IFNA(VLOOKUP($A372,'HR Rep'!$A:$X,MATCH('1) For HR (FIX)'!F$1,'HR Rep'!$A$1:$X$1,0),0),""),""))</f>
        <v/>
      </c>
      <c r="G372" s="196"/>
      <c r="H372" s="140" t="str">
        <f>IF(IFERROR(_xlfn.IFNA(VLOOKUP($A372,'HR Rep'!$A:$X,MATCH('1) For HR (FIX)'!H$1,'HR Rep'!$A$1:$X$1,0),0),""),"")="","",IFERROR(_xlfn.IFNA(VLOOKUP($A372,'HR Rep'!$A:$X,MATCH('1) For HR (FIX)'!H$1,'HR Rep'!$A$1:$X$1,0),0),""),""))</f>
        <v/>
      </c>
      <c r="I372" s="140" t="str">
        <f>IF(IFERROR(_xlfn.IFNA(VLOOKUP($A372,'HR Rep'!$A:$X,MATCH('1) For HR (FIX)'!I$1,'HR Rep'!$A$1:$X$1,0),0),""),"")="","",IFERROR(_xlfn.IFNA(VLOOKUP($A372,'HR Rep'!$A:$X,MATCH('1) For HR (FIX)'!I$1,'HR Rep'!$A$1:$X$1,0),0),""),""))</f>
        <v/>
      </c>
      <c r="J372" s="140" t="str">
        <f>IF(IFERROR(_xlfn.IFNA(VLOOKUP($A372,'HR Rep'!$A:$X,MATCH('1) For HR (FIX)'!J$1,'HR Rep'!$A$1:$X$1,0),0),""),"")="","",IFERROR(_xlfn.IFNA(VLOOKUP($A372,'HR Rep'!$A:$X,MATCH('1) For HR (FIX)'!J$1,'HR Rep'!$A$1:$X$1,0),0),""),""))</f>
        <v/>
      </c>
      <c r="K372" s="161">
        <f>_xlfn.XLOOKUP(G372,ค่าตอบแทนการขายในอัตราคงที่!A:A,ค่าตอบแทนการขายในอัตราคงที่!B:B)</f>
        <v>0</v>
      </c>
      <c r="L372" s="174">
        <f>Period!$A$2</f>
        <v>46113</v>
      </c>
      <c r="M372" s="175">
        <f>Period!$C$2</f>
        <v>46143</v>
      </c>
      <c r="N372" s="194" t="s">
        <v>279</v>
      </c>
    </row>
    <row r="373" spans="1:14" ht="11.4" x14ac:dyDescent="0.25">
      <c r="A373" s="137"/>
      <c r="B373" s="169" t="e">
        <f>IF(IF(VLOOKUP(A373,ASTBase!F:P,11,FALSE)="","",VLOOKUP(A373,ASTBase!F:P,11,FALSE))=0,"",IF(VLOOKUP(A373,ASTBase!F:P,11,FALSE)="","",VLOOKUP(A373,ASTBase!F:P,11,FALSE)))</f>
        <v>#N/A</v>
      </c>
      <c r="C373" s="140" t="str">
        <f>IF(IFERROR(_xlfn.IFNA(VLOOKUP($A373,'HR Rep'!$A:$X,MATCH('1) For HR (FIX)'!C$1,'HR Rep'!$A$1:$X$1,0),0),""),"")="","",IFERROR(_xlfn.IFNA(VLOOKUP($A373,'HR Rep'!$A:$X,MATCH('1) For HR (FIX)'!C$1,'HR Rep'!$A$1:$X$1,0),0),""),""))</f>
        <v/>
      </c>
      <c r="D373" s="140" t="str">
        <f>IF(IFERROR(_xlfn.IFNA(VLOOKUP($A373,'HR Rep'!$A:$X,MATCH('1) For HR (FIX)'!D$1,'HR Rep'!$A$1:$X$1,0),0),""),"")="","",IFERROR(_xlfn.IFNA(VLOOKUP($A373,'HR Rep'!$A:$X,MATCH('1) For HR (FIX)'!D$1,'HR Rep'!$A$1:$X$1,0),0),""),""))</f>
        <v/>
      </c>
      <c r="E373" s="140" t="str">
        <f>IF(IFERROR(_xlfn.IFNA(VLOOKUP($A373,'HR Rep'!$A:$X,MATCH('1) For HR (FIX)'!E$1,'HR Rep'!$A$1:$X$1,0),0),""),"")="","",IFERROR(_xlfn.IFNA(VLOOKUP($A373,'HR Rep'!$A:$X,MATCH('1) For HR (FIX)'!E$1,'HR Rep'!$A$1:$X$1,0),0),""),""))</f>
        <v/>
      </c>
      <c r="F373" s="140" t="str">
        <f>IF(IFERROR(_xlfn.IFNA(VLOOKUP($A373,'HR Rep'!$A:$X,MATCH('1) For HR (FIX)'!F$1,'HR Rep'!$A$1:$X$1,0),0),""),"")="","",IFERROR(_xlfn.IFNA(VLOOKUP($A373,'HR Rep'!$A:$X,MATCH('1) For HR (FIX)'!F$1,'HR Rep'!$A$1:$X$1,0),0),""),""))</f>
        <v/>
      </c>
      <c r="G373" s="196"/>
      <c r="H373" s="140" t="str">
        <f>IF(IFERROR(_xlfn.IFNA(VLOOKUP($A373,'HR Rep'!$A:$X,MATCH('1) For HR (FIX)'!H$1,'HR Rep'!$A$1:$X$1,0),0),""),"")="","",IFERROR(_xlfn.IFNA(VLOOKUP($A373,'HR Rep'!$A:$X,MATCH('1) For HR (FIX)'!H$1,'HR Rep'!$A$1:$X$1,0),0),""),""))</f>
        <v/>
      </c>
      <c r="I373" s="140" t="str">
        <f>IF(IFERROR(_xlfn.IFNA(VLOOKUP($A373,'HR Rep'!$A:$X,MATCH('1) For HR (FIX)'!I$1,'HR Rep'!$A$1:$X$1,0),0),""),"")="","",IFERROR(_xlfn.IFNA(VLOOKUP($A373,'HR Rep'!$A:$X,MATCH('1) For HR (FIX)'!I$1,'HR Rep'!$A$1:$X$1,0),0),""),""))</f>
        <v/>
      </c>
      <c r="J373" s="140" t="str">
        <f>IF(IFERROR(_xlfn.IFNA(VLOOKUP($A373,'HR Rep'!$A:$X,MATCH('1) For HR (FIX)'!J$1,'HR Rep'!$A$1:$X$1,0),0),""),"")="","",IFERROR(_xlfn.IFNA(VLOOKUP($A373,'HR Rep'!$A:$X,MATCH('1) For HR (FIX)'!J$1,'HR Rep'!$A$1:$X$1,0),0),""),""))</f>
        <v/>
      </c>
      <c r="K373" s="161">
        <f>_xlfn.XLOOKUP(G373,ค่าตอบแทนการขายในอัตราคงที่!A:A,ค่าตอบแทนการขายในอัตราคงที่!B:B)</f>
        <v>0</v>
      </c>
      <c r="L373" s="174">
        <f>Period!$A$2</f>
        <v>46113</v>
      </c>
      <c r="M373" s="175">
        <f>Period!$C$2</f>
        <v>46143</v>
      </c>
      <c r="N373" s="194" t="s">
        <v>279</v>
      </c>
    </row>
    <row r="374" spans="1:14" ht="11.4" x14ac:dyDescent="0.25">
      <c r="A374" s="137"/>
      <c r="B374" s="169" t="e">
        <f>IF(IF(VLOOKUP(A374,ASTBase!F:P,11,FALSE)="","",VLOOKUP(A374,ASTBase!F:P,11,FALSE))=0,"",IF(VLOOKUP(A374,ASTBase!F:P,11,FALSE)="","",VLOOKUP(A374,ASTBase!F:P,11,FALSE)))</f>
        <v>#N/A</v>
      </c>
      <c r="C374" s="140" t="str">
        <f>IF(IFERROR(_xlfn.IFNA(VLOOKUP($A374,'HR Rep'!$A:$X,MATCH('1) For HR (FIX)'!C$1,'HR Rep'!$A$1:$X$1,0),0),""),"")="","",IFERROR(_xlfn.IFNA(VLOOKUP($A374,'HR Rep'!$A:$X,MATCH('1) For HR (FIX)'!C$1,'HR Rep'!$A$1:$X$1,0),0),""),""))</f>
        <v/>
      </c>
      <c r="D374" s="140" t="str">
        <f>IF(IFERROR(_xlfn.IFNA(VLOOKUP($A374,'HR Rep'!$A:$X,MATCH('1) For HR (FIX)'!D$1,'HR Rep'!$A$1:$X$1,0),0),""),"")="","",IFERROR(_xlfn.IFNA(VLOOKUP($A374,'HR Rep'!$A:$X,MATCH('1) For HR (FIX)'!D$1,'HR Rep'!$A$1:$X$1,0),0),""),""))</f>
        <v/>
      </c>
      <c r="E374" s="140" t="str">
        <f>IF(IFERROR(_xlfn.IFNA(VLOOKUP($A374,'HR Rep'!$A:$X,MATCH('1) For HR (FIX)'!E$1,'HR Rep'!$A$1:$X$1,0),0),""),"")="","",IFERROR(_xlfn.IFNA(VLOOKUP($A374,'HR Rep'!$A:$X,MATCH('1) For HR (FIX)'!E$1,'HR Rep'!$A$1:$X$1,0),0),""),""))</f>
        <v/>
      </c>
      <c r="F374" s="140" t="str">
        <f>IF(IFERROR(_xlfn.IFNA(VLOOKUP($A374,'HR Rep'!$A:$X,MATCH('1) For HR (FIX)'!F$1,'HR Rep'!$A$1:$X$1,0),0),""),"")="","",IFERROR(_xlfn.IFNA(VLOOKUP($A374,'HR Rep'!$A:$X,MATCH('1) For HR (FIX)'!F$1,'HR Rep'!$A$1:$X$1,0),0),""),""))</f>
        <v/>
      </c>
      <c r="G374" s="196"/>
      <c r="H374" s="140" t="str">
        <f>IF(IFERROR(_xlfn.IFNA(VLOOKUP($A374,'HR Rep'!$A:$X,MATCH('1) For HR (FIX)'!H$1,'HR Rep'!$A$1:$X$1,0),0),""),"")="","",IFERROR(_xlfn.IFNA(VLOOKUP($A374,'HR Rep'!$A:$X,MATCH('1) For HR (FIX)'!H$1,'HR Rep'!$A$1:$X$1,0),0),""),""))</f>
        <v/>
      </c>
      <c r="I374" s="140" t="str">
        <f>IF(IFERROR(_xlfn.IFNA(VLOOKUP($A374,'HR Rep'!$A:$X,MATCH('1) For HR (FIX)'!I$1,'HR Rep'!$A$1:$X$1,0),0),""),"")="","",IFERROR(_xlfn.IFNA(VLOOKUP($A374,'HR Rep'!$A:$X,MATCH('1) For HR (FIX)'!I$1,'HR Rep'!$A$1:$X$1,0),0),""),""))</f>
        <v/>
      </c>
      <c r="J374" s="140" t="str">
        <f>IF(IFERROR(_xlfn.IFNA(VLOOKUP($A374,'HR Rep'!$A:$X,MATCH('1) For HR (FIX)'!J$1,'HR Rep'!$A$1:$X$1,0),0),""),"")="","",IFERROR(_xlfn.IFNA(VLOOKUP($A374,'HR Rep'!$A:$X,MATCH('1) For HR (FIX)'!J$1,'HR Rep'!$A$1:$X$1,0),0),""),""))</f>
        <v/>
      </c>
      <c r="K374" s="161">
        <f>_xlfn.XLOOKUP(G374,ค่าตอบแทนการขายในอัตราคงที่!A:A,ค่าตอบแทนการขายในอัตราคงที่!B:B)</f>
        <v>0</v>
      </c>
      <c r="L374" s="174">
        <f>Period!$A$2</f>
        <v>46113</v>
      </c>
      <c r="M374" s="175">
        <f>Period!$C$2</f>
        <v>46143</v>
      </c>
      <c r="N374" s="194" t="s">
        <v>279</v>
      </c>
    </row>
    <row r="375" spans="1:14" ht="11.4" x14ac:dyDescent="0.25">
      <c r="A375" s="137"/>
      <c r="B375" s="169" t="e">
        <f>IF(IF(VLOOKUP(A375,ASTBase!F:P,11,FALSE)="","",VLOOKUP(A375,ASTBase!F:P,11,FALSE))=0,"",IF(VLOOKUP(A375,ASTBase!F:P,11,FALSE)="","",VLOOKUP(A375,ASTBase!F:P,11,FALSE)))</f>
        <v>#N/A</v>
      </c>
      <c r="C375" s="140" t="str">
        <f>IF(IFERROR(_xlfn.IFNA(VLOOKUP($A375,'HR Rep'!$A:$X,MATCH('1) For HR (FIX)'!C$1,'HR Rep'!$A$1:$X$1,0),0),""),"")="","",IFERROR(_xlfn.IFNA(VLOOKUP($A375,'HR Rep'!$A:$X,MATCH('1) For HR (FIX)'!C$1,'HR Rep'!$A$1:$X$1,0),0),""),""))</f>
        <v/>
      </c>
      <c r="D375" s="140" t="str">
        <f>IF(IFERROR(_xlfn.IFNA(VLOOKUP($A375,'HR Rep'!$A:$X,MATCH('1) For HR (FIX)'!D$1,'HR Rep'!$A$1:$X$1,0),0),""),"")="","",IFERROR(_xlfn.IFNA(VLOOKUP($A375,'HR Rep'!$A:$X,MATCH('1) For HR (FIX)'!D$1,'HR Rep'!$A$1:$X$1,0),0),""),""))</f>
        <v/>
      </c>
      <c r="E375" s="140" t="str">
        <f>IF(IFERROR(_xlfn.IFNA(VLOOKUP($A375,'HR Rep'!$A:$X,MATCH('1) For HR (FIX)'!E$1,'HR Rep'!$A$1:$X$1,0),0),""),"")="","",IFERROR(_xlfn.IFNA(VLOOKUP($A375,'HR Rep'!$A:$X,MATCH('1) For HR (FIX)'!E$1,'HR Rep'!$A$1:$X$1,0),0),""),""))</f>
        <v/>
      </c>
      <c r="F375" s="140" t="str">
        <f>IF(IFERROR(_xlfn.IFNA(VLOOKUP($A375,'HR Rep'!$A:$X,MATCH('1) For HR (FIX)'!F$1,'HR Rep'!$A$1:$X$1,0),0),""),"")="","",IFERROR(_xlfn.IFNA(VLOOKUP($A375,'HR Rep'!$A:$X,MATCH('1) For HR (FIX)'!F$1,'HR Rep'!$A$1:$X$1,0),0),""),""))</f>
        <v/>
      </c>
      <c r="G375" s="196"/>
      <c r="H375" s="140" t="str">
        <f>IF(IFERROR(_xlfn.IFNA(VLOOKUP($A375,'HR Rep'!$A:$X,MATCH('1) For HR (FIX)'!H$1,'HR Rep'!$A$1:$X$1,0),0),""),"")="","",IFERROR(_xlfn.IFNA(VLOOKUP($A375,'HR Rep'!$A:$X,MATCH('1) For HR (FIX)'!H$1,'HR Rep'!$A$1:$X$1,0),0),""),""))</f>
        <v/>
      </c>
      <c r="I375" s="140" t="str">
        <f>IF(IFERROR(_xlfn.IFNA(VLOOKUP($A375,'HR Rep'!$A:$X,MATCH('1) For HR (FIX)'!I$1,'HR Rep'!$A$1:$X$1,0),0),""),"")="","",IFERROR(_xlfn.IFNA(VLOOKUP($A375,'HR Rep'!$A:$X,MATCH('1) For HR (FIX)'!I$1,'HR Rep'!$A$1:$X$1,0),0),""),""))</f>
        <v/>
      </c>
      <c r="J375" s="140" t="str">
        <f>IF(IFERROR(_xlfn.IFNA(VLOOKUP($A375,'HR Rep'!$A:$X,MATCH('1) For HR (FIX)'!J$1,'HR Rep'!$A$1:$X$1,0),0),""),"")="","",IFERROR(_xlfn.IFNA(VLOOKUP($A375,'HR Rep'!$A:$X,MATCH('1) For HR (FIX)'!J$1,'HR Rep'!$A$1:$X$1,0),0),""),""))</f>
        <v/>
      </c>
      <c r="K375" s="161">
        <f>_xlfn.XLOOKUP(G375,ค่าตอบแทนการขายในอัตราคงที่!A:A,ค่าตอบแทนการขายในอัตราคงที่!B:B)</f>
        <v>0</v>
      </c>
      <c r="L375" s="174">
        <f>Period!$A$2</f>
        <v>46113</v>
      </c>
      <c r="M375" s="175">
        <f>Period!$C$2</f>
        <v>46143</v>
      </c>
      <c r="N375" s="194" t="s">
        <v>279</v>
      </c>
    </row>
    <row r="376" spans="1:14" ht="11.4" x14ac:dyDescent="0.25">
      <c r="A376" s="137"/>
      <c r="B376" s="169" t="e">
        <f>IF(IF(VLOOKUP(A376,ASTBase!F:P,11,FALSE)="","",VLOOKUP(A376,ASTBase!F:P,11,FALSE))=0,"",IF(VLOOKUP(A376,ASTBase!F:P,11,FALSE)="","",VLOOKUP(A376,ASTBase!F:P,11,FALSE)))</f>
        <v>#N/A</v>
      </c>
      <c r="C376" s="140" t="str">
        <f>IF(IFERROR(_xlfn.IFNA(VLOOKUP($A376,'HR Rep'!$A:$X,MATCH('1) For HR (FIX)'!C$1,'HR Rep'!$A$1:$X$1,0),0),""),"")="","",IFERROR(_xlfn.IFNA(VLOOKUP($A376,'HR Rep'!$A:$X,MATCH('1) For HR (FIX)'!C$1,'HR Rep'!$A$1:$X$1,0),0),""),""))</f>
        <v/>
      </c>
      <c r="D376" s="140" t="str">
        <f>IF(IFERROR(_xlfn.IFNA(VLOOKUP($A376,'HR Rep'!$A:$X,MATCH('1) For HR (FIX)'!D$1,'HR Rep'!$A$1:$X$1,0),0),""),"")="","",IFERROR(_xlfn.IFNA(VLOOKUP($A376,'HR Rep'!$A:$X,MATCH('1) For HR (FIX)'!D$1,'HR Rep'!$A$1:$X$1,0),0),""),""))</f>
        <v/>
      </c>
      <c r="E376" s="140" t="str">
        <f>IF(IFERROR(_xlfn.IFNA(VLOOKUP($A376,'HR Rep'!$A:$X,MATCH('1) For HR (FIX)'!E$1,'HR Rep'!$A$1:$X$1,0),0),""),"")="","",IFERROR(_xlfn.IFNA(VLOOKUP($A376,'HR Rep'!$A:$X,MATCH('1) For HR (FIX)'!E$1,'HR Rep'!$A$1:$X$1,0),0),""),""))</f>
        <v/>
      </c>
      <c r="F376" s="140" t="str">
        <f>IF(IFERROR(_xlfn.IFNA(VLOOKUP($A376,'HR Rep'!$A:$X,MATCH('1) For HR (FIX)'!F$1,'HR Rep'!$A$1:$X$1,0),0),""),"")="","",IFERROR(_xlfn.IFNA(VLOOKUP($A376,'HR Rep'!$A:$X,MATCH('1) For HR (FIX)'!F$1,'HR Rep'!$A$1:$X$1,0),0),""),""))</f>
        <v/>
      </c>
      <c r="G376" s="196"/>
      <c r="H376" s="140" t="str">
        <f>IF(IFERROR(_xlfn.IFNA(VLOOKUP($A376,'HR Rep'!$A:$X,MATCH('1) For HR (FIX)'!H$1,'HR Rep'!$A$1:$X$1,0),0),""),"")="","",IFERROR(_xlfn.IFNA(VLOOKUP($A376,'HR Rep'!$A:$X,MATCH('1) For HR (FIX)'!H$1,'HR Rep'!$A$1:$X$1,0),0),""),""))</f>
        <v/>
      </c>
      <c r="I376" s="140" t="str">
        <f>IF(IFERROR(_xlfn.IFNA(VLOOKUP($A376,'HR Rep'!$A:$X,MATCH('1) For HR (FIX)'!I$1,'HR Rep'!$A$1:$X$1,0),0),""),"")="","",IFERROR(_xlfn.IFNA(VLOOKUP($A376,'HR Rep'!$A:$X,MATCH('1) For HR (FIX)'!I$1,'HR Rep'!$A$1:$X$1,0),0),""),""))</f>
        <v/>
      </c>
      <c r="J376" s="140" t="str">
        <f>IF(IFERROR(_xlfn.IFNA(VLOOKUP($A376,'HR Rep'!$A:$X,MATCH('1) For HR (FIX)'!J$1,'HR Rep'!$A$1:$X$1,0),0),""),"")="","",IFERROR(_xlfn.IFNA(VLOOKUP($A376,'HR Rep'!$A:$X,MATCH('1) For HR (FIX)'!J$1,'HR Rep'!$A$1:$X$1,0),0),""),""))</f>
        <v/>
      </c>
      <c r="K376" s="161">
        <f>_xlfn.XLOOKUP(G376,ค่าตอบแทนการขายในอัตราคงที่!A:A,ค่าตอบแทนการขายในอัตราคงที่!B:B)</f>
        <v>0</v>
      </c>
      <c r="L376" s="174">
        <f>Period!$A$2</f>
        <v>46113</v>
      </c>
      <c r="M376" s="175">
        <f>Period!$C$2</f>
        <v>46143</v>
      </c>
      <c r="N376" s="194" t="s">
        <v>279</v>
      </c>
    </row>
    <row r="377" spans="1:14" ht="11.4" x14ac:dyDescent="0.25">
      <c r="A377" s="137"/>
      <c r="B377" s="169" t="e">
        <f>IF(IF(VLOOKUP(A377,ASTBase!F:P,11,FALSE)="","",VLOOKUP(A377,ASTBase!F:P,11,FALSE))=0,"",IF(VLOOKUP(A377,ASTBase!F:P,11,FALSE)="","",VLOOKUP(A377,ASTBase!F:P,11,FALSE)))</f>
        <v>#N/A</v>
      </c>
      <c r="C377" s="140" t="str">
        <f>IF(IFERROR(_xlfn.IFNA(VLOOKUP($A377,'HR Rep'!$A:$X,MATCH('1) For HR (FIX)'!C$1,'HR Rep'!$A$1:$X$1,0),0),""),"")="","",IFERROR(_xlfn.IFNA(VLOOKUP($A377,'HR Rep'!$A:$X,MATCH('1) For HR (FIX)'!C$1,'HR Rep'!$A$1:$X$1,0),0),""),""))</f>
        <v/>
      </c>
      <c r="D377" s="140" t="str">
        <f>IF(IFERROR(_xlfn.IFNA(VLOOKUP($A377,'HR Rep'!$A:$X,MATCH('1) For HR (FIX)'!D$1,'HR Rep'!$A$1:$X$1,0),0),""),"")="","",IFERROR(_xlfn.IFNA(VLOOKUP($A377,'HR Rep'!$A:$X,MATCH('1) For HR (FIX)'!D$1,'HR Rep'!$A$1:$X$1,0),0),""),""))</f>
        <v/>
      </c>
      <c r="E377" s="140" t="str">
        <f>IF(IFERROR(_xlfn.IFNA(VLOOKUP($A377,'HR Rep'!$A:$X,MATCH('1) For HR (FIX)'!E$1,'HR Rep'!$A$1:$X$1,0),0),""),"")="","",IFERROR(_xlfn.IFNA(VLOOKUP($A377,'HR Rep'!$A:$X,MATCH('1) For HR (FIX)'!E$1,'HR Rep'!$A$1:$X$1,0),0),""),""))</f>
        <v/>
      </c>
      <c r="F377" s="140" t="str">
        <f>IF(IFERROR(_xlfn.IFNA(VLOOKUP($A377,'HR Rep'!$A:$X,MATCH('1) For HR (FIX)'!F$1,'HR Rep'!$A$1:$X$1,0),0),""),"")="","",IFERROR(_xlfn.IFNA(VLOOKUP($A377,'HR Rep'!$A:$X,MATCH('1) For HR (FIX)'!F$1,'HR Rep'!$A$1:$X$1,0),0),""),""))</f>
        <v/>
      </c>
      <c r="G377" s="196"/>
      <c r="H377" s="140" t="str">
        <f>IF(IFERROR(_xlfn.IFNA(VLOOKUP($A377,'HR Rep'!$A:$X,MATCH('1) For HR (FIX)'!H$1,'HR Rep'!$A$1:$X$1,0),0),""),"")="","",IFERROR(_xlfn.IFNA(VLOOKUP($A377,'HR Rep'!$A:$X,MATCH('1) For HR (FIX)'!H$1,'HR Rep'!$A$1:$X$1,0),0),""),""))</f>
        <v/>
      </c>
      <c r="I377" s="140" t="str">
        <f>IF(IFERROR(_xlfn.IFNA(VLOOKUP($A377,'HR Rep'!$A:$X,MATCH('1) For HR (FIX)'!I$1,'HR Rep'!$A$1:$X$1,0),0),""),"")="","",IFERROR(_xlfn.IFNA(VLOOKUP($A377,'HR Rep'!$A:$X,MATCH('1) For HR (FIX)'!I$1,'HR Rep'!$A$1:$X$1,0),0),""),""))</f>
        <v/>
      </c>
      <c r="J377" s="140" t="str">
        <f>IF(IFERROR(_xlfn.IFNA(VLOOKUP($A377,'HR Rep'!$A:$X,MATCH('1) For HR (FIX)'!J$1,'HR Rep'!$A$1:$X$1,0),0),""),"")="","",IFERROR(_xlfn.IFNA(VLOOKUP($A377,'HR Rep'!$A:$X,MATCH('1) For HR (FIX)'!J$1,'HR Rep'!$A$1:$X$1,0),0),""),""))</f>
        <v/>
      </c>
      <c r="K377" s="161">
        <f>_xlfn.XLOOKUP(G377,ค่าตอบแทนการขายในอัตราคงที่!A:A,ค่าตอบแทนการขายในอัตราคงที่!B:B)</f>
        <v>0</v>
      </c>
      <c r="L377" s="174">
        <f>Period!$A$2</f>
        <v>46113</v>
      </c>
      <c r="M377" s="175">
        <f>Period!$C$2</f>
        <v>46143</v>
      </c>
      <c r="N377" s="194" t="s">
        <v>279</v>
      </c>
    </row>
    <row r="378" spans="1:14" ht="11.4" x14ac:dyDescent="0.25">
      <c r="A378" s="137"/>
      <c r="B378" s="169" t="e">
        <f>IF(IF(VLOOKUP(A378,ASTBase!F:P,11,FALSE)="","",VLOOKUP(A378,ASTBase!F:P,11,FALSE))=0,"",IF(VLOOKUP(A378,ASTBase!F:P,11,FALSE)="","",VLOOKUP(A378,ASTBase!F:P,11,FALSE)))</f>
        <v>#N/A</v>
      </c>
      <c r="C378" s="140" t="str">
        <f>IF(IFERROR(_xlfn.IFNA(VLOOKUP($A378,'HR Rep'!$A:$X,MATCH('1) For HR (FIX)'!C$1,'HR Rep'!$A$1:$X$1,0),0),""),"")="","",IFERROR(_xlfn.IFNA(VLOOKUP($A378,'HR Rep'!$A:$X,MATCH('1) For HR (FIX)'!C$1,'HR Rep'!$A$1:$X$1,0),0),""),""))</f>
        <v/>
      </c>
      <c r="D378" s="140" t="str">
        <f>IF(IFERROR(_xlfn.IFNA(VLOOKUP($A378,'HR Rep'!$A:$X,MATCH('1) For HR (FIX)'!D$1,'HR Rep'!$A$1:$X$1,0),0),""),"")="","",IFERROR(_xlfn.IFNA(VLOOKUP($A378,'HR Rep'!$A:$X,MATCH('1) For HR (FIX)'!D$1,'HR Rep'!$A$1:$X$1,0),0),""),""))</f>
        <v/>
      </c>
      <c r="E378" s="140" t="str">
        <f>IF(IFERROR(_xlfn.IFNA(VLOOKUP($A378,'HR Rep'!$A:$X,MATCH('1) For HR (FIX)'!E$1,'HR Rep'!$A$1:$X$1,0),0),""),"")="","",IFERROR(_xlfn.IFNA(VLOOKUP($A378,'HR Rep'!$A:$X,MATCH('1) For HR (FIX)'!E$1,'HR Rep'!$A$1:$X$1,0),0),""),""))</f>
        <v/>
      </c>
      <c r="F378" s="140" t="str">
        <f>IF(IFERROR(_xlfn.IFNA(VLOOKUP($A378,'HR Rep'!$A:$X,MATCH('1) For HR (FIX)'!F$1,'HR Rep'!$A$1:$X$1,0),0),""),"")="","",IFERROR(_xlfn.IFNA(VLOOKUP($A378,'HR Rep'!$A:$X,MATCH('1) For HR (FIX)'!F$1,'HR Rep'!$A$1:$X$1,0),0),""),""))</f>
        <v/>
      </c>
      <c r="G378" s="196"/>
      <c r="H378" s="140" t="str">
        <f>IF(IFERROR(_xlfn.IFNA(VLOOKUP($A378,'HR Rep'!$A:$X,MATCH('1) For HR (FIX)'!H$1,'HR Rep'!$A$1:$X$1,0),0),""),"")="","",IFERROR(_xlfn.IFNA(VLOOKUP($A378,'HR Rep'!$A:$X,MATCH('1) For HR (FIX)'!H$1,'HR Rep'!$A$1:$X$1,0),0),""),""))</f>
        <v/>
      </c>
      <c r="I378" s="140" t="str">
        <f>IF(IFERROR(_xlfn.IFNA(VLOOKUP($A378,'HR Rep'!$A:$X,MATCH('1) For HR (FIX)'!I$1,'HR Rep'!$A$1:$X$1,0),0),""),"")="","",IFERROR(_xlfn.IFNA(VLOOKUP($A378,'HR Rep'!$A:$X,MATCH('1) For HR (FIX)'!I$1,'HR Rep'!$A$1:$X$1,0),0),""),""))</f>
        <v/>
      </c>
      <c r="J378" s="140" t="str">
        <f>IF(IFERROR(_xlfn.IFNA(VLOOKUP($A378,'HR Rep'!$A:$X,MATCH('1) For HR (FIX)'!J$1,'HR Rep'!$A$1:$X$1,0),0),""),"")="","",IFERROR(_xlfn.IFNA(VLOOKUP($A378,'HR Rep'!$A:$X,MATCH('1) For HR (FIX)'!J$1,'HR Rep'!$A$1:$X$1,0),0),""),""))</f>
        <v/>
      </c>
      <c r="K378" s="161">
        <f>_xlfn.XLOOKUP(G378,ค่าตอบแทนการขายในอัตราคงที่!A:A,ค่าตอบแทนการขายในอัตราคงที่!B:B)</f>
        <v>0</v>
      </c>
      <c r="L378" s="174">
        <f>Period!$A$2</f>
        <v>46113</v>
      </c>
      <c r="M378" s="175">
        <f>Period!$C$2</f>
        <v>46143</v>
      </c>
      <c r="N378" s="194" t="s">
        <v>279</v>
      </c>
    </row>
    <row r="379" spans="1:14" ht="11.4" x14ac:dyDescent="0.25">
      <c r="A379" s="137"/>
      <c r="B379" s="169" t="e">
        <f>IF(IF(VLOOKUP(A379,ASTBase!F:P,11,FALSE)="","",VLOOKUP(A379,ASTBase!F:P,11,FALSE))=0,"",IF(VLOOKUP(A379,ASTBase!F:P,11,FALSE)="","",VLOOKUP(A379,ASTBase!F:P,11,FALSE)))</f>
        <v>#N/A</v>
      </c>
      <c r="C379" s="140" t="str">
        <f>IF(IFERROR(_xlfn.IFNA(VLOOKUP($A379,'HR Rep'!$A:$X,MATCH('1) For HR (FIX)'!C$1,'HR Rep'!$A$1:$X$1,0),0),""),"")="","",IFERROR(_xlfn.IFNA(VLOOKUP($A379,'HR Rep'!$A:$X,MATCH('1) For HR (FIX)'!C$1,'HR Rep'!$A$1:$X$1,0),0),""),""))</f>
        <v/>
      </c>
      <c r="D379" s="140" t="str">
        <f>IF(IFERROR(_xlfn.IFNA(VLOOKUP($A379,'HR Rep'!$A:$X,MATCH('1) For HR (FIX)'!D$1,'HR Rep'!$A$1:$X$1,0),0),""),"")="","",IFERROR(_xlfn.IFNA(VLOOKUP($A379,'HR Rep'!$A:$X,MATCH('1) For HR (FIX)'!D$1,'HR Rep'!$A$1:$X$1,0),0),""),""))</f>
        <v/>
      </c>
      <c r="E379" s="140" t="str">
        <f>IF(IFERROR(_xlfn.IFNA(VLOOKUP($A379,'HR Rep'!$A:$X,MATCH('1) For HR (FIX)'!E$1,'HR Rep'!$A$1:$X$1,0),0),""),"")="","",IFERROR(_xlfn.IFNA(VLOOKUP($A379,'HR Rep'!$A:$X,MATCH('1) For HR (FIX)'!E$1,'HR Rep'!$A$1:$X$1,0),0),""),""))</f>
        <v/>
      </c>
      <c r="F379" s="140" t="str">
        <f>IF(IFERROR(_xlfn.IFNA(VLOOKUP($A379,'HR Rep'!$A:$X,MATCH('1) For HR (FIX)'!F$1,'HR Rep'!$A$1:$X$1,0),0),""),"")="","",IFERROR(_xlfn.IFNA(VLOOKUP($A379,'HR Rep'!$A:$X,MATCH('1) For HR (FIX)'!F$1,'HR Rep'!$A$1:$X$1,0),0),""),""))</f>
        <v/>
      </c>
      <c r="G379" s="196"/>
      <c r="H379" s="140" t="str">
        <f>IF(IFERROR(_xlfn.IFNA(VLOOKUP($A379,'HR Rep'!$A:$X,MATCH('1) For HR (FIX)'!H$1,'HR Rep'!$A$1:$X$1,0),0),""),"")="","",IFERROR(_xlfn.IFNA(VLOOKUP($A379,'HR Rep'!$A:$X,MATCH('1) For HR (FIX)'!H$1,'HR Rep'!$A$1:$X$1,0),0),""),""))</f>
        <v/>
      </c>
      <c r="I379" s="140" t="str">
        <f>IF(IFERROR(_xlfn.IFNA(VLOOKUP($A379,'HR Rep'!$A:$X,MATCH('1) For HR (FIX)'!I$1,'HR Rep'!$A$1:$X$1,0),0),""),"")="","",IFERROR(_xlfn.IFNA(VLOOKUP($A379,'HR Rep'!$A:$X,MATCH('1) For HR (FIX)'!I$1,'HR Rep'!$A$1:$X$1,0),0),""),""))</f>
        <v/>
      </c>
      <c r="J379" s="140" t="str">
        <f>IF(IFERROR(_xlfn.IFNA(VLOOKUP($A379,'HR Rep'!$A:$X,MATCH('1) For HR (FIX)'!J$1,'HR Rep'!$A$1:$X$1,0),0),""),"")="","",IFERROR(_xlfn.IFNA(VLOOKUP($A379,'HR Rep'!$A:$X,MATCH('1) For HR (FIX)'!J$1,'HR Rep'!$A$1:$X$1,0),0),""),""))</f>
        <v/>
      </c>
      <c r="K379" s="161">
        <f>_xlfn.XLOOKUP(G379,ค่าตอบแทนการขายในอัตราคงที่!A:A,ค่าตอบแทนการขายในอัตราคงที่!B:B)</f>
        <v>0</v>
      </c>
      <c r="L379" s="174">
        <f>Period!$A$2</f>
        <v>46113</v>
      </c>
      <c r="M379" s="175">
        <f>Period!$C$2</f>
        <v>46143</v>
      </c>
      <c r="N379" s="194" t="s">
        <v>279</v>
      </c>
    </row>
    <row r="380" spans="1:14" ht="11.4" x14ac:dyDescent="0.25">
      <c r="A380" s="137"/>
      <c r="B380" s="169" t="e">
        <f>IF(IF(VLOOKUP(A380,ASTBase!F:P,11,FALSE)="","",VLOOKUP(A380,ASTBase!F:P,11,FALSE))=0,"",IF(VLOOKUP(A380,ASTBase!F:P,11,FALSE)="","",VLOOKUP(A380,ASTBase!F:P,11,FALSE)))</f>
        <v>#N/A</v>
      </c>
      <c r="C380" s="140" t="str">
        <f>IF(IFERROR(_xlfn.IFNA(VLOOKUP($A380,'HR Rep'!$A:$X,MATCH('1) For HR (FIX)'!C$1,'HR Rep'!$A$1:$X$1,0),0),""),"")="","",IFERROR(_xlfn.IFNA(VLOOKUP($A380,'HR Rep'!$A:$X,MATCH('1) For HR (FIX)'!C$1,'HR Rep'!$A$1:$X$1,0),0),""),""))</f>
        <v/>
      </c>
      <c r="D380" s="140" t="str">
        <f>IF(IFERROR(_xlfn.IFNA(VLOOKUP($A380,'HR Rep'!$A:$X,MATCH('1) For HR (FIX)'!D$1,'HR Rep'!$A$1:$X$1,0),0),""),"")="","",IFERROR(_xlfn.IFNA(VLOOKUP($A380,'HR Rep'!$A:$X,MATCH('1) For HR (FIX)'!D$1,'HR Rep'!$A$1:$X$1,0),0),""),""))</f>
        <v/>
      </c>
      <c r="E380" s="140" t="str">
        <f>IF(IFERROR(_xlfn.IFNA(VLOOKUP($A380,'HR Rep'!$A:$X,MATCH('1) For HR (FIX)'!E$1,'HR Rep'!$A$1:$X$1,0),0),""),"")="","",IFERROR(_xlfn.IFNA(VLOOKUP($A380,'HR Rep'!$A:$X,MATCH('1) For HR (FIX)'!E$1,'HR Rep'!$A$1:$X$1,0),0),""),""))</f>
        <v/>
      </c>
      <c r="F380" s="140" t="str">
        <f>IF(IFERROR(_xlfn.IFNA(VLOOKUP($A380,'HR Rep'!$A:$X,MATCH('1) For HR (FIX)'!F$1,'HR Rep'!$A$1:$X$1,0),0),""),"")="","",IFERROR(_xlfn.IFNA(VLOOKUP($A380,'HR Rep'!$A:$X,MATCH('1) For HR (FIX)'!F$1,'HR Rep'!$A$1:$X$1,0),0),""),""))</f>
        <v/>
      </c>
      <c r="G380" s="196"/>
      <c r="H380" s="140" t="str">
        <f>IF(IFERROR(_xlfn.IFNA(VLOOKUP($A380,'HR Rep'!$A:$X,MATCH('1) For HR (FIX)'!H$1,'HR Rep'!$A$1:$X$1,0),0),""),"")="","",IFERROR(_xlfn.IFNA(VLOOKUP($A380,'HR Rep'!$A:$X,MATCH('1) For HR (FIX)'!H$1,'HR Rep'!$A$1:$X$1,0),0),""),""))</f>
        <v/>
      </c>
      <c r="I380" s="140" t="str">
        <f>IF(IFERROR(_xlfn.IFNA(VLOOKUP($A380,'HR Rep'!$A:$X,MATCH('1) For HR (FIX)'!I$1,'HR Rep'!$A$1:$X$1,0),0),""),"")="","",IFERROR(_xlfn.IFNA(VLOOKUP($A380,'HR Rep'!$A:$X,MATCH('1) For HR (FIX)'!I$1,'HR Rep'!$A$1:$X$1,0),0),""),""))</f>
        <v/>
      </c>
      <c r="J380" s="140" t="str">
        <f>IF(IFERROR(_xlfn.IFNA(VLOOKUP($A380,'HR Rep'!$A:$X,MATCH('1) For HR (FIX)'!J$1,'HR Rep'!$A$1:$X$1,0),0),""),"")="","",IFERROR(_xlfn.IFNA(VLOOKUP($A380,'HR Rep'!$A:$X,MATCH('1) For HR (FIX)'!J$1,'HR Rep'!$A$1:$X$1,0),0),""),""))</f>
        <v/>
      </c>
      <c r="K380" s="161">
        <f>_xlfn.XLOOKUP(G380,ค่าตอบแทนการขายในอัตราคงที่!A:A,ค่าตอบแทนการขายในอัตราคงที่!B:B)</f>
        <v>0</v>
      </c>
      <c r="L380" s="174">
        <f>Period!$A$2</f>
        <v>46113</v>
      </c>
      <c r="M380" s="175">
        <f>Period!$C$2</f>
        <v>46143</v>
      </c>
      <c r="N380" s="194" t="s">
        <v>279</v>
      </c>
    </row>
    <row r="381" spans="1:14" ht="11.4" x14ac:dyDescent="0.25">
      <c r="A381" s="137"/>
      <c r="B381" s="169" t="e">
        <f>IF(IF(VLOOKUP(A381,ASTBase!F:P,11,FALSE)="","",VLOOKUP(A381,ASTBase!F:P,11,FALSE))=0,"",IF(VLOOKUP(A381,ASTBase!F:P,11,FALSE)="","",VLOOKUP(A381,ASTBase!F:P,11,FALSE)))</f>
        <v>#N/A</v>
      </c>
      <c r="C381" s="140" t="str">
        <f>IF(IFERROR(_xlfn.IFNA(VLOOKUP($A381,'HR Rep'!$A:$X,MATCH('1) For HR (FIX)'!C$1,'HR Rep'!$A$1:$X$1,0),0),""),"")="","",IFERROR(_xlfn.IFNA(VLOOKUP($A381,'HR Rep'!$A:$X,MATCH('1) For HR (FIX)'!C$1,'HR Rep'!$A$1:$X$1,0),0),""),""))</f>
        <v/>
      </c>
      <c r="D381" s="140" t="str">
        <f>IF(IFERROR(_xlfn.IFNA(VLOOKUP($A381,'HR Rep'!$A:$X,MATCH('1) For HR (FIX)'!D$1,'HR Rep'!$A$1:$X$1,0),0),""),"")="","",IFERROR(_xlfn.IFNA(VLOOKUP($A381,'HR Rep'!$A:$X,MATCH('1) For HR (FIX)'!D$1,'HR Rep'!$A$1:$X$1,0),0),""),""))</f>
        <v/>
      </c>
      <c r="E381" s="140" t="str">
        <f>IF(IFERROR(_xlfn.IFNA(VLOOKUP($A381,'HR Rep'!$A:$X,MATCH('1) For HR (FIX)'!E$1,'HR Rep'!$A$1:$X$1,0),0),""),"")="","",IFERROR(_xlfn.IFNA(VLOOKUP($A381,'HR Rep'!$A:$X,MATCH('1) For HR (FIX)'!E$1,'HR Rep'!$A$1:$X$1,0),0),""),""))</f>
        <v/>
      </c>
      <c r="F381" s="140" t="str">
        <f>IF(IFERROR(_xlfn.IFNA(VLOOKUP($A381,'HR Rep'!$A:$X,MATCH('1) For HR (FIX)'!F$1,'HR Rep'!$A$1:$X$1,0),0),""),"")="","",IFERROR(_xlfn.IFNA(VLOOKUP($A381,'HR Rep'!$A:$X,MATCH('1) For HR (FIX)'!F$1,'HR Rep'!$A$1:$X$1,0),0),""),""))</f>
        <v/>
      </c>
      <c r="G381" s="196"/>
      <c r="H381" s="140" t="str">
        <f>IF(IFERROR(_xlfn.IFNA(VLOOKUP($A381,'HR Rep'!$A:$X,MATCH('1) For HR (FIX)'!H$1,'HR Rep'!$A$1:$X$1,0),0),""),"")="","",IFERROR(_xlfn.IFNA(VLOOKUP($A381,'HR Rep'!$A:$X,MATCH('1) For HR (FIX)'!H$1,'HR Rep'!$A$1:$X$1,0),0),""),""))</f>
        <v/>
      </c>
      <c r="I381" s="140" t="str">
        <f>IF(IFERROR(_xlfn.IFNA(VLOOKUP($A381,'HR Rep'!$A:$X,MATCH('1) For HR (FIX)'!I$1,'HR Rep'!$A$1:$X$1,0),0),""),"")="","",IFERROR(_xlfn.IFNA(VLOOKUP($A381,'HR Rep'!$A:$X,MATCH('1) For HR (FIX)'!I$1,'HR Rep'!$A$1:$X$1,0),0),""),""))</f>
        <v/>
      </c>
      <c r="J381" s="140" t="str">
        <f>IF(IFERROR(_xlfn.IFNA(VLOOKUP($A381,'HR Rep'!$A:$X,MATCH('1) For HR (FIX)'!J$1,'HR Rep'!$A$1:$X$1,0),0),""),"")="","",IFERROR(_xlfn.IFNA(VLOOKUP($A381,'HR Rep'!$A:$X,MATCH('1) For HR (FIX)'!J$1,'HR Rep'!$A$1:$X$1,0),0),""),""))</f>
        <v/>
      </c>
      <c r="K381" s="161">
        <f>_xlfn.XLOOKUP(G381,ค่าตอบแทนการขายในอัตราคงที่!A:A,ค่าตอบแทนการขายในอัตราคงที่!B:B)</f>
        <v>0</v>
      </c>
      <c r="L381" s="174">
        <f>Period!$A$2</f>
        <v>46113</v>
      </c>
      <c r="M381" s="175">
        <f>Period!$C$2</f>
        <v>46143</v>
      </c>
      <c r="N381" s="194" t="s">
        <v>279</v>
      </c>
    </row>
    <row r="382" spans="1:14" ht="11.4" x14ac:dyDescent="0.25">
      <c r="A382" s="137"/>
      <c r="B382" s="169" t="e">
        <f>IF(IF(VLOOKUP(A382,ASTBase!F:P,11,FALSE)="","",VLOOKUP(A382,ASTBase!F:P,11,FALSE))=0,"",IF(VLOOKUP(A382,ASTBase!F:P,11,FALSE)="","",VLOOKUP(A382,ASTBase!F:P,11,FALSE)))</f>
        <v>#N/A</v>
      </c>
      <c r="C382" s="140" t="str">
        <f>IF(IFERROR(_xlfn.IFNA(VLOOKUP($A382,'HR Rep'!$A:$X,MATCH('1) For HR (FIX)'!C$1,'HR Rep'!$A$1:$X$1,0),0),""),"")="","",IFERROR(_xlfn.IFNA(VLOOKUP($A382,'HR Rep'!$A:$X,MATCH('1) For HR (FIX)'!C$1,'HR Rep'!$A$1:$X$1,0),0),""),""))</f>
        <v/>
      </c>
      <c r="D382" s="140" t="str">
        <f>IF(IFERROR(_xlfn.IFNA(VLOOKUP($A382,'HR Rep'!$A:$X,MATCH('1) For HR (FIX)'!D$1,'HR Rep'!$A$1:$X$1,0),0),""),"")="","",IFERROR(_xlfn.IFNA(VLOOKUP($A382,'HR Rep'!$A:$X,MATCH('1) For HR (FIX)'!D$1,'HR Rep'!$A$1:$X$1,0),0),""),""))</f>
        <v/>
      </c>
      <c r="E382" s="140" t="str">
        <f>IF(IFERROR(_xlfn.IFNA(VLOOKUP($A382,'HR Rep'!$A:$X,MATCH('1) For HR (FIX)'!E$1,'HR Rep'!$A$1:$X$1,0),0),""),"")="","",IFERROR(_xlfn.IFNA(VLOOKUP($A382,'HR Rep'!$A:$X,MATCH('1) For HR (FIX)'!E$1,'HR Rep'!$A$1:$X$1,0),0),""),""))</f>
        <v/>
      </c>
      <c r="F382" s="140" t="str">
        <f>IF(IFERROR(_xlfn.IFNA(VLOOKUP($A382,'HR Rep'!$A:$X,MATCH('1) For HR (FIX)'!F$1,'HR Rep'!$A$1:$X$1,0),0),""),"")="","",IFERROR(_xlfn.IFNA(VLOOKUP($A382,'HR Rep'!$A:$X,MATCH('1) For HR (FIX)'!F$1,'HR Rep'!$A$1:$X$1,0),0),""),""))</f>
        <v/>
      </c>
      <c r="G382" s="196"/>
      <c r="H382" s="140" t="str">
        <f>IF(IFERROR(_xlfn.IFNA(VLOOKUP($A382,'HR Rep'!$A:$X,MATCH('1) For HR (FIX)'!H$1,'HR Rep'!$A$1:$X$1,0),0),""),"")="","",IFERROR(_xlfn.IFNA(VLOOKUP($A382,'HR Rep'!$A:$X,MATCH('1) For HR (FIX)'!H$1,'HR Rep'!$A$1:$X$1,0),0),""),""))</f>
        <v/>
      </c>
      <c r="I382" s="140" t="str">
        <f>IF(IFERROR(_xlfn.IFNA(VLOOKUP($A382,'HR Rep'!$A:$X,MATCH('1) For HR (FIX)'!I$1,'HR Rep'!$A$1:$X$1,0),0),""),"")="","",IFERROR(_xlfn.IFNA(VLOOKUP($A382,'HR Rep'!$A:$X,MATCH('1) For HR (FIX)'!I$1,'HR Rep'!$A$1:$X$1,0),0),""),""))</f>
        <v/>
      </c>
      <c r="J382" s="140" t="str">
        <f>IF(IFERROR(_xlfn.IFNA(VLOOKUP($A382,'HR Rep'!$A:$X,MATCH('1) For HR (FIX)'!J$1,'HR Rep'!$A$1:$X$1,0),0),""),"")="","",IFERROR(_xlfn.IFNA(VLOOKUP($A382,'HR Rep'!$A:$X,MATCH('1) For HR (FIX)'!J$1,'HR Rep'!$A$1:$X$1,0),0),""),""))</f>
        <v/>
      </c>
      <c r="K382" s="161">
        <f>_xlfn.XLOOKUP(G382,ค่าตอบแทนการขายในอัตราคงที่!A:A,ค่าตอบแทนการขายในอัตราคงที่!B:B)</f>
        <v>0</v>
      </c>
      <c r="L382" s="174">
        <f>Period!$A$2</f>
        <v>46113</v>
      </c>
      <c r="M382" s="175">
        <f>Period!$C$2</f>
        <v>46143</v>
      </c>
      <c r="N382" s="194" t="s">
        <v>279</v>
      </c>
    </row>
    <row r="383" spans="1:14" ht="11.4" x14ac:dyDescent="0.25">
      <c r="A383" s="137"/>
      <c r="B383" s="169" t="e">
        <f>IF(IF(VLOOKUP(A383,ASTBase!F:P,11,FALSE)="","",VLOOKUP(A383,ASTBase!F:P,11,FALSE))=0,"",IF(VLOOKUP(A383,ASTBase!F:P,11,FALSE)="","",VLOOKUP(A383,ASTBase!F:P,11,FALSE)))</f>
        <v>#N/A</v>
      </c>
      <c r="C383" s="140" t="str">
        <f>IF(IFERROR(_xlfn.IFNA(VLOOKUP($A383,'HR Rep'!$A:$X,MATCH('1) For HR (FIX)'!C$1,'HR Rep'!$A$1:$X$1,0),0),""),"")="","",IFERROR(_xlfn.IFNA(VLOOKUP($A383,'HR Rep'!$A:$X,MATCH('1) For HR (FIX)'!C$1,'HR Rep'!$A$1:$X$1,0),0),""),""))</f>
        <v/>
      </c>
      <c r="D383" s="140" t="str">
        <f>IF(IFERROR(_xlfn.IFNA(VLOOKUP($A383,'HR Rep'!$A:$X,MATCH('1) For HR (FIX)'!D$1,'HR Rep'!$A$1:$X$1,0),0),""),"")="","",IFERROR(_xlfn.IFNA(VLOOKUP($A383,'HR Rep'!$A:$X,MATCH('1) For HR (FIX)'!D$1,'HR Rep'!$A$1:$X$1,0),0),""),""))</f>
        <v/>
      </c>
      <c r="E383" s="140" t="str">
        <f>IF(IFERROR(_xlfn.IFNA(VLOOKUP($A383,'HR Rep'!$A:$X,MATCH('1) For HR (FIX)'!E$1,'HR Rep'!$A$1:$X$1,0),0),""),"")="","",IFERROR(_xlfn.IFNA(VLOOKUP($A383,'HR Rep'!$A:$X,MATCH('1) For HR (FIX)'!E$1,'HR Rep'!$A$1:$X$1,0),0),""),""))</f>
        <v/>
      </c>
      <c r="F383" s="140" t="str">
        <f>IF(IFERROR(_xlfn.IFNA(VLOOKUP($A383,'HR Rep'!$A:$X,MATCH('1) For HR (FIX)'!F$1,'HR Rep'!$A$1:$X$1,0),0),""),"")="","",IFERROR(_xlfn.IFNA(VLOOKUP($A383,'HR Rep'!$A:$X,MATCH('1) For HR (FIX)'!F$1,'HR Rep'!$A$1:$X$1,0),0),""),""))</f>
        <v/>
      </c>
      <c r="G383" s="196"/>
      <c r="H383" s="140" t="str">
        <f>IF(IFERROR(_xlfn.IFNA(VLOOKUP($A383,'HR Rep'!$A:$X,MATCH('1) For HR (FIX)'!H$1,'HR Rep'!$A$1:$X$1,0),0),""),"")="","",IFERROR(_xlfn.IFNA(VLOOKUP($A383,'HR Rep'!$A:$X,MATCH('1) For HR (FIX)'!H$1,'HR Rep'!$A$1:$X$1,0),0),""),""))</f>
        <v/>
      </c>
      <c r="I383" s="140" t="str">
        <f>IF(IFERROR(_xlfn.IFNA(VLOOKUP($A383,'HR Rep'!$A:$X,MATCH('1) For HR (FIX)'!I$1,'HR Rep'!$A$1:$X$1,0),0),""),"")="","",IFERROR(_xlfn.IFNA(VLOOKUP($A383,'HR Rep'!$A:$X,MATCH('1) For HR (FIX)'!I$1,'HR Rep'!$A$1:$X$1,0),0),""),""))</f>
        <v/>
      </c>
      <c r="J383" s="140" t="str">
        <f>IF(IFERROR(_xlfn.IFNA(VLOOKUP($A383,'HR Rep'!$A:$X,MATCH('1) For HR (FIX)'!J$1,'HR Rep'!$A$1:$X$1,0),0),""),"")="","",IFERROR(_xlfn.IFNA(VLOOKUP($A383,'HR Rep'!$A:$X,MATCH('1) For HR (FIX)'!J$1,'HR Rep'!$A$1:$X$1,0),0),""),""))</f>
        <v/>
      </c>
      <c r="K383" s="161">
        <f>_xlfn.XLOOKUP(G383,ค่าตอบแทนการขายในอัตราคงที่!A:A,ค่าตอบแทนการขายในอัตราคงที่!B:B)</f>
        <v>0</v>
      </c>
      <c r="L383" s="174">
        <f>Period!$A$2</f>
        <v>46113</v>
      </c>
      <c r="M383" s="175">
        <f>Period!$C$2</f>
        <v>46143</v>
      </c>
      <c r="N383" s="194" t="s">
        <v>279</v>
      </c>
    </row>
    <row r="384" spans="1:14" ht="11.4" x14ac:dyDescent="0.25">
      <c r="A384" s="137"/>
      <c r="B384" s="169" t="e">
        <f>IF(IF(VLOOKUP(A384,ASTBase!F:P,11,FALSE)="","",VLOOKUP(A384,ASTBase!F:P,11,FALSE))=0,"",IF(VLOOKUP(A384,ASTBase!F:P,11,FALSE)="","",VLOOKUP(A384,ASTBase!F:P,11,FALSE)))</f>
        <v>#N/A</v>
      </c>
      <c r="C384" s="140" t="str">
        <f>IF(IFERROR(_xlfn.IFNA(VLOOKUP($A384,'HR Rep'!$A:$X,MATCH('1) For HR (FIX)'!C$1,'HR Rep'!$A$1:$X$1,0),0),""),"")="","",IFERROR(_xlfn.IFNA(VLOOKUP($A384,'HR Rep'!$A:$X,MATCH('1) For HR (FIX)'!C$1,'HR Rep'!$A$1:$X$1,0),0),""),""))</f>
        <v/>
      </c>
      <c r="D384" s="140" t="str">
        <f>IF(IFERROR(_xlfn.IFNA(VLOOKUP($A384,'HR Rep'!$A:$X,MATCH('1) For HR (FIX)'!D$1,'HR Rep'!$A$1:$X$1,0),0),""),"")="","",IFERROR(_xlfn.IFNA(VLOOKUP($A384,'HR Rep'!$A:$X,MATCH('1) For HR (FIX)'!D$1,'HR Rep'!$A$1:$X$1,0),0),""),""))</f>
        <v/>
      </c>
      <c r="E384" s="140" t="str">
        <f>IF(IFERROR(_xlfn.IFNA(VLOOKUP($A384,'HR Rep'!$A:$X,MATCH('1) For HR (FIX)'!E$1,'HR Rep'!$A$1:$X$1,0),0),""),"")="","",IFERROR(_xlfn.IFNA(VLOOKUP($A384,'HR Rep'!$A:$X,MATCH('1) For HR (FIX)'!E$1,'HR Rep'!$A$1:$X$1,0),0),""),""))</f>
        <v/>
      </c>
      <c r="F384" s="140" t="str">
        <f>IF(IFERROR(_xlfn.IFNA(VLOOKUP($A384,'HR Rep'!$A:$X,MATCH('1) For HR (FIX)'!F$1,'HR Rep'!$A$1:$X$1,0),0),""),"")="","",IFERROR(_xlfn.IFNA(VLOOKUP($A384,'HR Rep'!$A:$X,MATCH('1) For HR (FIX)'!F$1,'HR Rep'!$A$1:$X$1,0),0),""),""))</f>
        <v/>
      </c>
      <c r="G384" s="196"/>
      <c r="H384" s="140" t="str">
        <f>IF(IFERROR(_xlfn.IFNA(VLOOKUP($A384,'HR Rep'!$A:$X,MATCH('1) For HR (FIX)'!H$1,'HR Rep'!$A$1:$X$1,0),0),""),"")="","",IFERROR(_xlfn.IFNA(VLOOKUP($A384,'HR Rep'!$A:$X,MATCH('1) For HR (FIX)'!H$1,'HR Rep'!$A$1:$X$1,0),0),""),""))</f>
        <v/>
      </c>
      <c r="I384" s="140" t="str">
        <f>IF(IFERROR(_xlfn.IFNA(VLOOKUP($A384,'HR Rep'!$A:$X,MATCH('1) For HR (FIX)'!I$1,'HR Rep'!$A$1:$X$1,0),0),""),"")="","",IFERROR(_xlfn.IFNA(VLOOKUP($A384,'HR Rep'!$A:$X,MATCH('1) For HR (FIX)'!I$1,'HR Rep'!$A$1:$X$1,0),0),""),""))</f>
        <v/>
      </c>
      <c r="J384" s="140" t="str">
        <f>IF(IFERROR(_xlfn.IFNA(VLOOKUP($A384,'HR Rep'!$A:$X,MATCH('1) For HR (FIX)'!J$1,'HR Rep'!$A$1:$X$1,0),0),""),"")="","",IFERROR(_xlfn.IFNA(VLOOKUP($A384,'HR Rep'!$A:$X,MATCH('1) For HR (FIX)'!J$1,'HR Rep'!$A$1:$X$1,0),0),""),""))</f>
        <v/>
      </c>
      <c r="K384" s="161">
        <f>_xlfn.XLOOKUP(G384,ค่าตอบแทนการขายในอัตราคงที่!A:A,ค่าตอบแทนการขายในอัตราคงที่!B:B)</f>
        <v>0</v>
      </c>
      <c r="L384" s="174">
        <f>Period!$A$2</f>
        <v>46113</v>
      </c>
      <c r="M384" s="175">
        <f>Period!$C$2</f>
        <v>46143</v>
      </c>
      <c r="N384" s="194" t="s">
        <v>279</v>
      </c>
    </row>
    <row r="385" spans="1:14" ht="11.4" x14ac:dyDescent="0.25">
      <c r="A385" s="137"/>
      <c r="B385" s="169" t="e">
        <f>IF(IF(VLOOKUP(A385,ASTBase!F:P,11,FALSE)="","",VLOOKUP(A385,ASTBase!F:P,11,FALSE))=0,"",IF(VLOOKUP(A385,ASTBase!F:P,11,FALSE)="","",VLOOKUP(A385,ASTBase!F:P,11,FALSE)))</f>
        <v>#N/A</v>
      </c>
      <c r="C385" s="140" t="str">
        <f>IF(IFERROR(_xlfn.IFNA(VLOOKUP($A385,'HR Rep'!$A:$X,MATCH('1) For HR (FIX)'!C$1,'HR Rep'!$A$1:$X$1,0),0),""),"")="","",IFERROR(_xlfn.IFNA(VLOOKUP($A385,'HR Rep'!$A:$X,MATCH('1) For HR (FIX)'!C$1,'HR Rep'!$A$1:$X$1,0),0),""),""))</f>
        <v/>
      </c>
      <c r="D385" s="140" t="str">
        <f>IF(IFERROR(_xlfn.IFNA(VLOOKUP($A385,'HR Rep'!$A:$X,MATCH('1) For HR (FIX)'!D$1,'HR Rep'!$A$1:$X$1,0),0),""),"")="","",IFERROR(_xlfn.IFNA(VLOOKUP($A385,'HR Rep'!$A:$X,MATCH('1) For HR (FIX)'!D$1,'HR Rep'!$A$1:$X$1,0),0),""),""))</f>
        <v/>
      </c>
      <c r="E385" s="140" t="str">
        <f>IF(IFERROR(_xlfn.IFNA(VLOOKUP($A385,'HR Rep'!$A:$X,MATCH('1) For HR (FIX)'!E$1,'HR Rep'!$A$1:$X$1,0),0),""),"")="","",IFERROR(_xlfn.IFNA(VLOOKUP($A385,'HR Rep'!$A:$X,MATCH('1) For HR (FIX)'!E$1,'HR Rep'!$A$1:$X$1,0),0),""),""))</f>
        <v/>
      </c>
      <c r="F385" s="140" t="str">
        <f>IF(IFERROR(_xlfn.IFNA(VLOOKUP($A385,'HR Rep'!$A:$X,MATCH('1) For HR (FIX)'!F$1,'HR Rep'!$A$1:$X$1,0),0),""),"")="","",IFERROR(_xlfn.IFNA(VLOOKUP($A385,'HR Rep'!$A:$X,MATCH('1) For HR (FIX)'!F$1,'HR Rep'!$A$1:$X$1,0),0),""),""))</f>
        <v/>
      </c>
      <c r="G385" s="196"/>
      <c r="H385" s="140" t="str">
        <f>IF(IFERROR(_xlfn.IFNA(VLOOKUP($A385,'HR Rep'!$A:$X,MATCH('1) For HR (FIX)'!H$1,'HR Rep'!$A$1:$X$1,0),0),""),"")="","",IFERROR(_xlfn.IFNA(VLOOKUP($A385,'HR Rep'!$A:$X,MATCH('1) For HR (FIX)'!H$1,'HR Rep'!$A$1:$X$1,0),0),""),""))</f>
        <v/>
      </c>
      <c r="I385" s="140" t="str">
        <f>IF(IFERROR(_xlfn.IFNA(VLOOKUP($A385,'HR Rep'!$A:$X,MATCH('1) For HR (FIX)'!I$1,'HR Rep'!$A$1:$X$1,0),0),""),"")="","",IFERROR(_xlfn.IFNA(VLOOKUP($A385,'HR Rep'!$A:$X,MATCH('1) For HR (FIX)'!I$1,'HR Rep'!$A$1:$X$1,0),0),""),""))</f>
        <v/>
      </c>
      <c r="J385" s="140" t="str">
        <f>IF(IFERROR(_xlfn.IFNA(VLOOKUP($A385,'HR Rep'!$A:$X,MATCH('1) For HR (FIX)'!J$1,'HR Rep'!$A$1:$X$1,0),0),""),"")="","",IFERROR(_xlfn.IFNA(VLOOKUP($A385,'HR Rep'!$A:$X,MATCH('1) For HR (FIX)'!J$1,'HR Rep'!$A$1:$X$1,0),0),""),""))</f>
        <v/>
      </c>
      <c r="K385" s="161">
        <f>_xlfn.XLOOKUP(G385,ค่าตอบแทนการขายในอัตราคงที่!A:A,ค่าตอบแทนการขายในอัตราคงที่!B:B)</f>
        <v>0</v>
      </c>
      <c r="L385" s="174">
        <f>Period!$A$2</f>
        <v>46113</v>
      </c>
      <c r="M385" s="175">
        <f>Period!$C$2</f>
        <v>46143</v>
      </c>
      <c r="N385" s="194" t="s">
        <v>279</v>
      </c>
    </row>
    <row r="386" spans="1:14" ht="11.4" x14ac:dyDescent="0.25">
      <c r="A386" s="137"/>
      <c r="B386" s="169" t="e">
        <f>IF(IF(VLOOKUP(A386,ASTBase!F:P,11,FALSE)="","",VLOOKUP(A386,ASTBase!F:P,11,FALSE))=0,"",IF(VLOOKUP(A386,ASTBase!F:P,11,FALSE)="","",VLOOKUP(A386,ASTBase!F:P,11,FALSE)))</f>
        <v>#N/A</v>
      </c>
      <c r="C386" s="140" t="str">
        <f>IF(IFERROR(_xlfn.IFNA(VLOOKUP($A386,'HR Rep'!$A:$X,MATCH('1) For HR (FIX)'!C$1,'HR Rep'!$A$1:$X$1,0),0),""),"")="","",IFERROR(_xlfn.IFNA(VLOOKUP($A386,'HR Rep'!$A:$X,MATCH('1) For HR (FIX)'!C$1,'HR Rep'!$A$1:$X$1,0),0),""),""))</f>
        <v/>
      </c>
      <c r="D386" s="140" t="str">
        <f>IF(IFERROR(_xlfn.IFNA(VLOOKUP($A386,'HR Rep'!$A:$X,MATCH('1) For HR (FIX)'!D$1,'HR Rep'!$A$1:$X$1,0),0),""),"")="","",IFERROR(_xlfn.IFNA(VLOOKUP($A386,'HR Rep'!$A:$X,MATCH('1) For HR (FIX)'!D$1,'HR Rep'!$A$1:$X$1,0),0),""),""))</f>
        <v/>
      </c>
      <c r="E386" s="140" t="str">
        <f>IF(IFERROR(_xlfn.IFNA(VLOOKUP($A386,'HR Rep'!$A:$X,MATCH('1) For HR (FIX)'!E$1,'HR Rep'!$A$1:$X$1,0),0),""),"")="","",IFERROR(_xlfn.IFNA(VLOOKUP($A386,'HR Rep'!$A:$X,MATCH('1) For HR (FIX)'!E$1,'HR Rep'!$A$1:$X$1,0),0),""),""))</f>
        <v/>
      </c>
      <c r="F386" s="140" t="str">
        <f>IF(IFERROR(_xlfn.IFNA(VLOOKUP($A386,'HR Rep'!$A:$X,MATCH('1) For HR (FIX)'!F$1,'HR Rep'!$A$1:$X$1,0),0),""),"")="","",IFERROR(_xlfn.IFNA(VLOOKUP($A386,'HR Rep'!$A:$X,MATCH('1) For HR (FIX)'!F$1,'HR Rep'!$A$1:$X$1,0),0),""),""))</f>
        <v/>
      </c>
      <c r="G386" s="196"/>
      <c r="H386" s="140" t="str">
        <f>IF(IFERROR(_xlfn.IFNA(VLOOKUP($A386,'HR Rep'!$A:$X,MATCH('1) For HR (FIX)'!H$1,'HR Rep'!$A$1:$X$1,0),0),""),"")="","",IFERROR(_xlfn.IFNA(VLOOKUP($A386,'HR Rep'!$A:$X,MATCH('1) For HR (FIX)'!H$1,'HR Rep'!$A$1:$X$1,0),0),""),""))</f>
        <v/>
      </c>
      <c r="I386" s="140" t="str">
        <f>IF(IFERROR(_xlfn.IFNA(VLOOKUP($A386,'HR Rep'!$A:$X,MATCH('1) For HR (FIX)'!I$1,'HR Rep'!$A$1:$X$1,0),0),""),"")="","",IFERROR(_xlfn.IFNA(VLOOKUP($A386,'HR Rep'!$A:$X,MATCH('1) For HR (FIX)'!I$1,'HR Rep'!$A$1:$X$1,0),0),""),""))</f>
        <v/>
      </c>
      <c r="J386" s="140" t="str">
        <f>IF(IFERROR(_xlfn.IFNA(VLOOKUP($A386,'HR Rep'!$A:$X,MATCH('1) For HR (FIX)'!J$1,'HR Rep'!$A$1:$X$1,0),0),""),"")="","",IFERROR(_xlfn.IFNA(VLOOKUP($A386,'HR Rep'!$A:$X,MATCH('1) For HR (FIX)'!J$1,'HR Rep'!$A$1:$X$1,0),0),""),""))</f>
        <v/>
      </c>
      <c r="K386" s="161">
        <f>_xlfn.XLOOKUP(G386,ค่าตอบแทนการขายในอัตราคงที่!A:A,ค่าตอบแทนการขายในอัตราคงที่!B:B)</f>
        <v>0</v>
      </c>
      <c r="L386" s="174">
        <f>Period!$A$2</f>
        <v>46113</v>
      </c>
      <c r="M386" s="175">
        <f>Period!$C$2</f>
        <v>46143</v>
      </c>
      <c r="N386" s="194" t="s">
        <v>279</v>
      </c>
    </row>
    <row r="387" spans="1:14" ht="11.4" x14ac:dyDescent="0.25">
      <c r="A387" s="137"/>
      <c r="B387" s="169" t="e">
        <f>IF(IF(VLOOKUP(A387,ASTBase!F:P,11,FALSE)="","",VLOOKUP(A387,ASTBase!F:P,11,FALSE))=0,"",IF(VLOOKUP(A387,ASTBase!F:P,11,FALSE)="","",VLOOKUP(A387,ASTBase!F:P,11,FALSE)))</f>
        <v>#N/A</v>
      </c>
      <c r="C387" s="140" t="str">
        <f>IF(IFERROR(_xlfn.IFNA(VLOOKUP($A387,'HR Rep'!$A:$X,MATCH('1) For HR (FIX)'!C$1,'HR Rep'!$A$1:$X$1,0),0),""),"")="","",IFERROR(_xlfn.IFNA(VLOOKUP($A387,'HR Rep'!$A:$X,MATCH('1) For HR (FIX)'!C$1,'HR Rep'!$A$1:$X$1,0),0),""),""))</f>
        <v/>
      </c>
      <c r="D387" s="140" t="str">
        <f>IF(IFERROR(_xlfn.IFNA(VLOOKUP($A387,'HR Rep'!$A:$X,MATCH('1) For HR (FIX)'!D$1,'HR Rep'!$A$1:$X$1,0),0),""),"")="","",IFERROR(_xlfn.IFNA(VLOOKUP($A387,'HR Rep'!$A:$X,MATCH('1) For HR (FIX)'!D$1,'HR Rep'!$A$1:$X$1,0),0),""),""))</f>
        <v/>
      </c>
      <c r="E387" s="140" t="str">
        <f>IF(IFERROR(_xlfn.IFNA(VLOOKUP($A387,'HR Rep'!$A:$X,MATCH('1) For HR (FIX)'!E$1,'HR Rep'!$A$1:$X$1,0),0),""),"")="","",IFERROR(_xlfn.IFNA(VLOOKUP($A387,'HR Rep'!$A:$X,MATCH('1) For HR (FIX)'!E$1,'HR Rep'!$A$1:$X$1,0),0),""),""))</f>
        <v/>
      </c>
      <c r="F387" s="140" t="str">
        <f>IF(IFERROR(_xlfn.IFNA(VLOOKUP($A387,'HR Rep'!$A:$X,MATCH('1) For HR (FIX)'!F$1,'HR Rep'!$A$1:$X$1,0),0),""),"")="","",IFERROR(_xlfn.IFNA(VLOOKUP($A387,'HR Rep'!$A:$X,MATCH('1) For HR (FIX)'!F$1,'HR Rep'!$A$1:$X$1,0),0),""),""))</f>
        <v/>
      </c>
      <c r="G387" s="196"/>
      <c r="H387" s="140" t="str">
        <f>IF(IFERROR(_xlfn.IFNA(VLOOKUP($A387,'HR Rep'!$A:$X,MATCH('1) For HR (FIX)'!H$1,'HR Rep'!$A$1:$X$1,0),0),""),"")="","",IFERROR(_xlfn.IFNA(VLOOKUP($A387,'HR Rep'!$A:$X,MATCH('1) For HR (FIX)'!H$1,'HR Rep'!$A$1:$X$1,0),0),""),""))</f>
        <v/>
      </c>
      <c r="I387" s="140" t="str">
        <f>IF(IFERROR(_xlfn.IFNA(VLOOKUP($A387,'HR Rep'!$A:$X,MATCH('1) For HR (FIX)'!I$1,'HR Rep'!$A$1:$X$1,0),0),""),"")="","",IFERROR(_xlfn.IFNA(VLOOKUP($A387,'HR Rep'!$A:$X,MATCH('1) For HR (FIX)'!I$1,'HR Rep'!$A$1:$X$1,0),0),""),""))</f>
        <v/>
      </c>
      <c r="J387" s="140" t="str">
        <f>IF(IFERROR(_xlfn.IFNA(VLOOKUP($A387,'HR Rep'!$A:$X,MATCH('1) For HR (FIX)'!J$1,'HR Rep'!$A$1:$X$1,0),0),""),"")="","",IFERROR(_xlfn.IFNA(VLOOKUP($A387,'HR Rep'!$A:$X,MATCH('1) For HR (FIX)'!J$1,'HR Rep'!$A$1:$X$1,0),0),""),""))</f>
        <v/>
      </c>
      <c r="K387" s="161">
        <f>_xlfn.XLOOKUP(G387,ค่าตอบแทนการขายในอัตราคงที่!A:A,ค่าตอบแทนการขายในอัตราคงที่!B:B)</f>
        <v>0</v>
      </c>
      <c r="L387" s="174">
        <f>Period!$A$2</f>
        <v>46113</v>
      </c>
      <c r="M387" s="175">
        <f>Period!$C$2</f>
        <v>46143</v>
      </c>
      <c r="N387" s="194" t="s">
        <v>279</v>
      </c>
    </row>
    <row r="388" spans="1:14" ht="11.4" x14ac:dyDescent="0.25">
      <c r="A388" s="137"/>
      <c r="B388" s="169" t="e">
        <f>IF(IF(VLOOKUP(A388,ASTBase!F:P,11,FALSE)="","",VLOOKUP(A388,ASTBase!F:P,11,FALSE))=0,"",IF(VLOOKUP(A388,ASTBase!F:P,11,FALSE)="","",VLOOKUP(A388,ASTBase!F:P,11,FALSE)))</f>
        <v>#N/A</v>
      </c>
      <c r="C388" s="140" t="str">
        <f>IF(IFERROR(_xlfn.IFNA(VLOOKUP($A388,'HR Rep'!$A:$X,MATCH('1) For HR (FIX)'!C$1,'HR Rep'!$A$1:$X$1,0),0),""),"")="","",IFERROR(_xlfn.IFNA(VLOOKUP($A388,'HR Rep'!$A:$X,MATCH('1) For HR (FIX)'!C$1,'HR Rep'!$A$1:$X$1,0),0),""),""))</f>
        <v/>
      </c>
      <c r="D388" s="140" t="str">
        <f>IF(IFERROR(_xlfn.IFNA(VLOOKUP($A388,'HR Rep'!$A:$X,MATCH('1) For HR (FIX)'!D$1,'HR Rep'!$A$1:$X$1,0),0),""),"")="","",IFERROR(_xlfn.IFNA(VLOOKUP($A388,'HR Rep'!$A:$X,MATCH('1) For HR (FIX)'!D$1,'HR Rep'!$A$1:$X$1,0),0),""),""))</f>
        <v/>
      </c>
      <c r="E388" s="140" t="str">
        <f>IF(IFERROR(_xlfn.IFNA(VLOOKUP($A388,'HR Rep'!$A:$X,MATCH('1) For HR (FIX)'!E$1,'HR Rep'!$A$1:$X$1,0),0),""),"")="","",IFERROR(_xlfn.IFNA(VLOOKUP($A388,'HR Rep'!$A:$X,MATCH('1) For HR (FIX)'!E$1,'HR Rep'!$A$1:$X$1,0),0),""),""))</f>
        <v/>
      </c>
      <c r="F388" s="140" t="str">
        <f>IF(IFERROR(_xlfn.IFNA(VLOOKUP($A388,'HR Rep'!$A:$X,MATCH('1) For HR (FIX)'!F$1,'HR Rep'!$A$1:$X$1,0),0),""),"")="","",IFERROR(_xlfn.IFNA(VLOOKUP($A388,'HR Rep'!$A:$X,MATCH('1) For HR (FIX)'!F$1,'HR Rep'!$A$1:$X$1,0),0),""),""))</f>
        <v/>
      </c>
      <c r="G388" s="196"/>
      <c r="H388" s="140" t="str">
        <f>IF(IFERROR(_xlfn.IFNA(VLOOKUP($A388,'HR Rep'!$A:$X,MATCH('1) For HR (FIX)'!H$1,'HR Rep'!$A$1:$X$1,0),0),""),"")="","",IFERROR(_xlfn.IFNA(VLOOKUP($A388,'HR Rep'!$A:$X,MATCH('1) For HR (FIX)'!H$1,'HR Rep'!$A$1:$X$1,0),0),""),""))</f>
        <v/>
      </c>
      <c r="I388" s="140" t="str">
        <f>IF(IFERROR(_xlfn.IFNA(VLOOKUP($A388,'HR Rep'!$A:$X,MATCH('1) For HR (FIX)'!I$1,'HR Rep'!$A$1:$X$1,0),0),""),"")="","",IFERROR(_xlfn.IFNA(VLOOKUP($A388,'HR Rep'!$A:$X,MATCH('1) For HR (FIX)'!I$1,'HR Rep'!$A$1:$X$1,0),0),""),""))</f>
        <v/>
      </c>
      <c r="J388" s="140" t="str">
        <f>IF(IFERROR(_xlfn.IFNA(VLOOKUP($A388,'HR Rep'!$A:$X,MATCH('1) For HR (FIX)'!J$1,'HR Rep'!$A$1:$X$1,0),0),""),"")="","",IFERROR(_xlfn.IFNA(VLOOKUP($A388,'HR Rep'!$A:$X,MATCH('1) For HR (FIX)'!J$1,'HR Rep'!$A$1:$X$1,0),0),""),""))</f>
        <v/>
      </c>
      <c r="K388" s="161">
        <f>_xlfn.XLOOKUP(G388,ค่าตอบแทนการขายในอัตราคงที่!A:A,ค่าตอบแทนการขายในอัตราคงที่!B:B)</f>
        <v>0</v>
      </c>
      <c r="L388" s="174">
        <f>Period!$A$2</f>
        <v>46113</v>
      </c>
      <c r="M388" s="175">
        <f>Period!$C$2</f>
        <v>46143</v>
      </c>
      <c r="N388" s="194" t="s">
        <v>279</v>
      </c>
    </row>
    <row r="389" spans="1:14" ht="11.4" x14ac:dyDescent="0.25">
      <c r="A389" s="137"/>
      <c r="B389" s="169" t="e">
        <f>IF(IF(VLOOKUP(A389,ASTBase!F:P,11,FALSE)="","",VLOOKUP(A389,ASTBase!F:P,11,FALSE))=0,"",IF(VLOOKUP(A389,ASTBase!F:P,11,FALSE)="","",VLOOKUP(A389,ASTBase!F:P,11,FALSE)))</f>
        <v>#N/A</v>
      </c>
      <c r="C389" s="140" t="str">
        <f>IF(IFERROR(_xlfn.IFNA(VLOOKUP($A389,'HR Rep'!$A:$X,MATCH('1) For HR (FIX)'!C$1,'HR Rep'!$A$1:$X$1,0),0),""),"")="","",IFERROR(_xlfn.IFNA(VLOOKUP($A389,'HR Rep'!$A:$X,MATCH('1) For HR (FIX)'!C$1,'HR Rep'!$A$1:$X$1,0),0),""),""))</f>
        <v/>
      </c>
      <c r="D389" s="140" t="str">
        <f>IF(IFERROR(_xlfn.IFNA(VLOOKUP($A389,'HR Rep'!$A:$X,MATCH('1) For HR (FIX)'!D$1,'HR Rep'!$A$1:$X$1,0),0),""),"")="","",IFERROR(_xlfn.IFNA(VLOOKUP($A389,'HR Rep'!$A:$X,MATCH('1) For HR (FIX)'!D$1,'HR Rep'!$A$1:$X$1,0),0),""),""))</f>
        <v/>
      </c>
      <c r="E389" s="140" t="str">
        <f>IF(IFERROR(_xlfn.IFNA(VLOOKUP($A389,'HR Rep'!$A:$X,MATCH('1) For HR (FIX)'!E$1,'HR Rep'!$A$1:$X$1,0),0),""),"")="","",IFERROR(_xlfn.IFNA(VLOOKUP($A389,'HR Rep'!$A:$X,MATCH('1) For HR (FIX)'!E$1,'HR Rep'!$A$1:$X$1,0),0),""),""))</f>
        <v/>
      </c>
      <c r="F389" s="140" t="str">
        <f>IF(IFERROR(_xlfn.IFNA(VLOOKUP($A389,'HR Rep'!$A:$X,MATCH('1) For HR (FIX)'!F$1,'HR Rep'!$A$1:$X$1,0),0),""),"")="","",IFERROR(_xlfn.IFNA(VLOOKUP($A389,'HR Rep'!$A:$X,MATCH('1) For HR (FIX)'!F$1,'HR Rep'!$A$1:$X$1,0),0),""),""))</f>
        <v/>
      </c>
      <c r="G389" s="196"/>
      <c r="H389" s="140" t="str">
        <f>IF(IFERROR(_xlfn.IFNA(VLOOKUP($A389,'HR Rep'!$A:$X,MATCH('1) For HR (FIX)'!H$1,'HR Rep'!$A$1:$X$1,0),0),""),"")="","",IFERROR(_xlfn.IFNA(VLOOKUP($A389,'HR Rep'!$A:$X,MATCH('1) For HR (FIX)'!H$1,'HR Rep'!$A$1:$X$1,0),0),""),""))</f>
        <v/>
      </c>
      <c r="I389" s="140" t="str">
        <f>IF(IFERROR(_xlfn.IFNA(VLOOKUP($A389,'HR Rep'!$A:$X,MATCH('1) For HR (FIX)'!I$1,'HR Rep'!$A$1:$X$1,0),0),""),"")="","",IFERROR(_xlfn.IFNA(VLOOKUP($A389,'HR Rep'!$A:$X,MATCH('1) For HR (FIX)'!I$1,'HR Rep'!$A$1:$X$1,0),0),""),""))</f>
        <v/>
      </c>
      <c r="J389" s="140" t="str">
        <f>IF(IFERROR(_xlfn.IFNA(VLOOKUP($A389,'HR Rep'!$A:$X,MATCH('1) For HR (FIX)'!J$1,'HR Rep'!$A$1:$X$1,0),0),""),"")="","",IFERROR(_xlfn.IFNA(VLOOKUP($A389,'HR Rep'!$A:$X,MATCH('1) For HR (FIX)'!J$1,'HR Rep'!$A$1:$X$1,0),0),""),""))</f>
        <v/>
      </c>
      <c r="K389" s="161">
        <f>_xlfn.XLOOKUP(G389,ค่าตอบแทนการขายในอัตราคงที่!A:A,ค่าตอบแทนการขายในอัตราคงที่!B:B)</f>
        <v>0</v>
      </c>
      <c r="L389" s="174">
        <f>Period!$A$2</f>
        <v>46113</v>
      </c>
      <c r="M389" s="175">
        <f>Period!$C$2</f>
        <v>46143</v>
      </c>
      <c r="N389" s="194" t="s">
        <v>279</v>
      </c>
    </row>
    <row r="390" spans="1:14" ht="11.4" x14ac:dyDescent="0.25">
      <c r="A390" s="137"/>
      <c r="B390" s="169" t="e">
        <f>IF(IF(VLOOKUP(A390,ASTBase!F:P,11,FALSE)="","",VLOOKUP(A390,ASTBase!F:P,11,FALSE))=0,"",IF(VLOOKUP(A390,ASTBase!F:P,11,FALSE)="","",VLOOKUP(A390,ASTBase!F:P,11,FALSE)))</f>
        <v>#N/A</v>
      </c>
      <c r="C390" s="140" t="str">
        <f>IF(IFERROR(_xlfn.IFNA(VLOOKUP($A390,'HR Rep'!$A:$X,MATCH('1) For HR (FIX)'!C$1,'HR Rep'!$A$1:$X$1,0),0),""),"")="","",IFERROR(_xlfn.IFNA(VLOOKUP($A390,'HR Rep'!$A:$X,MATCH('1) For HR (FIX)'!C$1,'HR Rep'!$A$1:$X$1,0),0),""),""))</f>
        <v/>
      </c>
      <c r="D390" s="140" t="str">
        <f>IF(IFERROR(_xlfn.IFNA(VLOOKUP($A390,'HR Rep'!$A:$X,MATCH('1) For HR (FIX)'!D$1,'HR Rep'!$A$1:$X$1,0),0),""),"")="","",IFERROR(_xlfn.IFNA(VLOOKUP($A390,'HR Rep'!$A:$X,MATCH('1) For HR (FIX)'!D$1,'HR Rep'!$A$1:$X$1,0),0),""),""))</f>
        <v/>
      </c>
      <c r="E390" s="140" t="str">
        <f>IF(IFERROR(_xlfn.IFNA(VLOOKUP($A390,'HR Rep'!$A:$X,MATCH('1) For HR (FIX)'!E$1,'HR Rep'!$A$1:$X$1,0),0),""),"")="","",IFERROR(_xlfn.IFNA(VLOOKUP($A390,'HR Rep'!$A:$X,MATCH('1) For HR (FIX)'!E$1,'HR Rep'!$A$1:$X$1,0),0),""),""))</f>
        <v/>
      </c>
      <c r="F390" s="140" t="str">
        <f>IF(IFERROR(_xlfn.IFNA(VLOOKUP($A390,'HR Rep'!$A:$X,MATCH('1) For HR (FIX)'!F$1,'HR Rep'!$A$1:$X$1,0),0),""),"")="","",IFERROR(_xlfn.IFNA(VLOOKUP($A390,'HR Rep'!$A:$X,MATCH('1) For HR (FIX)'!F$1,'HR Rep'!$A$1:$X$1,0),0),""),""))</f>
        <v/>
      </c>
      <c r="G390" s="196"/>
      <c r="H390" s="140" t="str">
        <f>IF(IFERROR(_xlfn.IFNA(VLOOKUP($A390,'HR Rep'!$A:$X,MATCH('1) For HR (FIX)'!H$1,'HR Rep'!$A$1:$X$1,0),0),""),"")="","",IFERROR(_xlfn.IFNA(VLOOKUP($A390,'HR Rep'!$A:$X,MATCH('1) For HR (FIX)'!H$1,'HR Rep'!$A$1:$X$1,0),0),""),""))</f>
        <v/>
      </c>
      <c r="I390" s="140" t="str">
        <f>IF(IFERROR(_xlfn.IFNA(VLOOKUP($A390,'HR Rep'!$A:$X,MATCH('1) For HR (FIX)'!I$1,'HR Rep'!$A$1:$X$1,0),0),""),"")="","",IFERROR(_xlfn.IFNA(VLOOKUP($A390,'HR Rep'!$A:$X,MATCH('1) For HR (FIX)'!I$1,'HR Rep'!$A$1:$X$1,0),0),""),""))</f>
        <v/>
      </c>
      <c r="J390" s="140" t="str">
        <f>IF(IFERROR(_xlfn.IFNA(VLOOKUP($A390,'HR Rep'!$A:$X,MATCH('1) For HR (FIX)'!J$1,'HR Rep'!$A$1:$X$1,0),0),""),"")="","",IFERROR(_xlfn.IFNA(VLOOKUP($A390,'HR Rep'!$A:$X,MATCH('1) For HR (FIX)'!J$1,'HR Rep'!$A$1:$X$1,0),0),""),""))</f>
        <v/>
      </c>
      <c r="K390" s="161">
        <f>_xlfn.XLOOKUP(G390,ค่าตอบแทนการขายในอัตราคงที่!A:A,ค่าตอบแทนการขายในอัตราคงที่!B:B)</f>
        <v>0</v>
      </c>
      <c r="L390" s="174">
        <f>Period!$A$2</f>
        <v>46113</v>
      </c>
      <c r="M390" s="175">
        <f>Period!$C$2</f>
        <v>46143</v>
      </c>
      <c r="N390" s="194" t="s">
        <v>279</v>
      </c>
    </row>
    <row r="391" spans="1:14" ht="11.4" x14ac:dyDescent="0.25">
      <c r="A391" s="137"/>
      <c r="B391" s="169" t="e">
        <f>IF(IF(VLOOKUP(A391,ASTBase!F:P,11,FALSE)="","",VLOOKUP(A391,ASTBase!F:P,11,FALSE))=0,"",IF(VLOOKUP(A391,ASTBase!F:P,11,FALSE)="","",VLOOKUP(A391,ASTBase!F:P,11,FALSE)))</f>
        <v>#N/A</v>
      </c>
      <c r="C391" s="140" t="str">
        <f>IF(IFERROR(_xlfn.IFNA(VLOOKUP($A391,'HR Rep'!$A:$X,MATCH('1) For HR (FIX)'!C$1,'HR Rep'!$A$1:$X$1,0),0),""),"")="","",IFERROR(_xlfn.IFNA(VLOOKUP($A391,'HR Rep'!$A:$X,MATCH('1) For HR (FIX)'!C$1,'HR Rep'!$A$1:$X$1,0),0),""),""))</f>
        <v/>
      </c>
      <c r="D391" s="140" t="str">
        <f>IF(IFERROR(_xlfn.IFNA(VLOOKUP($A391,'HR Rep'!$A:$X,MATCH('1) For HR (FIX)'!D$1,'HR Rep'!$A$1:$X$1,0),0),""),"")="","",IFERROR(_xlfn.IFNA(VLOOKUP($A391,'HR Rep'!$A:$X,MATCH('1) For HR (FIX)'!D$1,'HR Rep'!$A$1:$X$1,0),0),""),""))</f>
        <v/>
      </c>
      <c r="E391" s="140" t="str">
        <f>IF(IFERROR(_xlfn.IFNA(VLOOKUP($A391,'HR Rep'!$A:$X,MATCH('1) For HR (FIX)'!E$1,'HR Rep'!$A$1:$X$1,0),0),""),"")="","",IFERROR(_xlfn.IFNA(VLOOKUP($A391,'HR Rep'!$A:$X,MATCH('1) For HR (FIX)'!E$1,'HR Rep'!$A$1:$X$1,0),0),""),""))</f>
        <v/>
      </c>
      <c r="F391" s="140" t="str">
        <f>IF(IFERROR(_xlfn.IFNA(VLOOKUP($A391,'HR Rep'!$A:$X,MATCH('1) For HR (FIX)'!F$1,'HR Rep'!$A$1:$X$1,0),0),""),"")="","",IFERROR(_xlfn.IFNA(VLOOKUP($A391,'HR Rep'!$A:$X,MATCH('1) For HR (FIX)'!F$1,'HR Rep'!$A$1:$X$1,0),0),""),""))</f>
        <v/>
      </c>
      <c r="G391" s="196"/>
      <c r="H391" s="140" t="str">
        <f>IF(IFERROR(_xlfn.IFNA(VLOOKUP($A391,'HR Rep'!$A:$X,MATCH('1) For HR (FIX)'!H$1,'HR Rep'!$A$1:$X$1,0),0),""),"")="","",IFERROR(_xlfn.IFNA(VLOOKUP($A391,'HR Rep'!$A:$X,MATCH('1) For HR (FIX)'!H$1,'HR Rep'!$A$1:$X$1,0),0),""),""))</f>
        <v/>
      </c>
      <c r="I391" s="140" t="str">
        <f>IF(IFERROR(_xlfn.IFNA(VLOOKUP($A391,'HR Rep'!$A:$X,MATCH('1) For HR (FIX)'!I$1,'HR Rep'!$A$1:$X$1,0),0),""),"")="","",IFERROR(_xlfn.IFNA(VLOOKUP($A391,'HR Rep'!$A:$X,MATCH('1) For HR (FIX)'!I$1,'HR Rep'!$A$1:$X$1,0),0),""),""))</f>
        <v/>
      </c>
      <c r="J391" s="140" t="str">
        <f>IF(IFERROR(_xlfn.IFNA(VLOOKUP($A391,'HR Rep'!$A:$X,MATCH('1) For HR (FIX)'!J$1,'HR Rep'!$A$1:$X$1,0),0),""),"")="","",IFERROR(_xlfn.IFNA(VLOOKUP($A391,'HR Rep'!$A:$X,MATCH('1) For HR (FIX)'!J$1,'HR Rep'!$A$1:$X$1,0),0),""),""))</f>
        <v/>
      </c>
      <c r="K391" s="161">
        <f>_xlfn.XLOOKUP(G391,ค่าตอบแทนการขายในอัตราคงที่!A:A,ค่าตอบแทนการขายในอัตราคงที่!B:B)</f>
        <v>0</v>
      </c>
      <c r="L391" s="174">
        <f>Period!$A$2</f>
        <v>46113</v>
      </c>
      <c r="M391" s="175">
        <f>Period!$C$2</f>
        <v>46143</v>
      </c>
      <c r="N391" s="194" t="s">
        <v>279</v>
      </c>
    </row>
    <row r="392" spans="1:14" ht="11.4" x14ac:dyDescent="0.25">
      <c r="A392" s="137"/>
      <c r="B392" s="169" t="e">
        <f>IF(IF(VLOOKUP(A392,ASTBase!F:P,11,FALSE)="","",VLOOKUP(A392,ASTBase!F:P,11,FALSE))=0,"",IF(VLOOKUP(A392,ASTBase!F:P,11,FALSE)="","",VLOOKUP(A392,ASTBase!F:P,11,FALSE)))</f>
        <v>#N/A</v>
      </c>
      <c r="C392" s="140" t="str">
        <f>IF(IFERROR(_xlfn.IFNA(VLOOKUP($A392,'HR Rep'!$A:$X,MATCH('1) For HR (FIX)'!C$1,'HR Rep'!$A$1:$X$1,0),0),""),"")="","",IFERROR(_xlfn.IFNA(VLOOKUP($A392,'HR Rep'!$A:$X,MATCH('1) For HR (FIX)'!C$1,'HR Rep'!$A$1:$X$1,0),0),""),""))</f>
        <v/>
      </c>
      <c r="D392" s="140" t="str">
        <f>IF(IFERROR(_xlfn.IFNA(VLOOKUP($A392,'HR Rep'!$A:$X,MATCH('1) For HR (FIX)'!D$1,'HR Rep'!$A$1:$X$1,0),0),""),"")="","",IFERROR(_xlfn.IFNA(VLOOKUP($A392,'HR Rep'!$A:$X,MATCH('1) For HR (FIX)'!D$1,'HR Rep'!$A$1:$X$1,0),0),""),""))</f>
        <v/>
      </c>
      <c r="E392" s="140" t="str">
        <f>IF(IFERROR(_xlfn.IFNA(VLOOKUP($A392,'HR Rep'!$A:$X,MATCH('1) For HR (FIX)'!E$1,'HR Rep'!$A$1:$X$1,0),0),""),"")="","",IFERROR(_xlfn.IFNA(VLOOKUP($A392,'HR Rep'!$A:$X,MATCH('1) For HR (FIX)'!E$1,'HR Rep'!$A$1:$X$1,0),0),""),""))</f>
        <v/>
      </c>
      <c r="F392" s="140" t="str">
        <f>IF(IFERROR(_xlfn.IFNA(VLOOKUP($A392,'HR Rep'!$A:$X,MATCH('1) For HR (FIX)'!F$1,'HR Rep'!$A$1:$X$1,0),0),""),"")="","",IFERROR(_xlfn.IFNA(VLOOKUP($A392,'HR Rep'!$A:$X,MATCH('1) For HR (FIX)'!F$1,'HR Rep'!$A$1:$X$1,0),0),""),""))</f>
        <v/>
      </c>
      <c r="G392" s="196"/>
      <c r="H392" s="140" t="str">
        <f>IF(IFERROR(_xlfn.IFNA(VLOOKUP($A392,'HR Rep'!$A:$X,MATCH('1) For HR (FIX)'!H$1,'HR Rep'!$A$1:$X$1,0),0),""),"")="","",IFERROR(_xlfn.IFNA(VLOOKUP($A392,'HR Rep'!$A:$X,MATCH('1) For HR (FIX)'!H$1,'HR Rep'!$A$1:$X$1,0),0),""),""))</f>
        <v/>
      </c>
      <c r="I392" s="140" t="str">
        <f>IF(IFERROR(_xlfn.IFNA(VLOOKUP($A392,'HR Rep'!$A:$X,MATCH('1) For HR (FIX)'!I$1,'HR Rep'!$A$1:$X$1,0),0),""),"")="","",IFERROR(_xlfn.IFNA(VLOOKUP($A392,'HR Rep'!$A:$X,MATCH('1) For HR (FIX)'!I$1,'HR Rep'!$A$1:$X$1,0),0),""),""))</f>
        <v/>
      </c>
      <c r="J392" s="140" t="str">
        <f>IF(IFERROR(_xlfn.IFNA(VLOOKUP($A392,'HR Rep'!$A:$X,MATCH('1) For HR (FIX)'!J$1,'HR Rep'!$A$1:$X$1,0),0),""),"")="","",IFERROR(_xlfn.IFNA(VLOOKUP($A392,'HR Rep'!$A:$X,MATCH('1) For HR (FIX)'!J$1,'HR Rep'!$A$1:$X$1,0),0),""),""))</f>
        <v/>
      </c>
      <c r="K392" s="161">
        <f>_xlfn.XLOOKUP(G392,ค่าตอบแทนการขายในอัตราคงที่!A:A,ค่าตอบแทนการขายในอัตราคงที่!B:B)</f>
        <v>0</v>
      </c>
      <c r="L392" s="174">
        <f>Period!$A$2</f>
        <v>46113</v>
      </c>
      <c r="M392" s="175">
        <f>Period!$C$2</f>
        <v>46143</v>
      </c>
      <c r="N392" s="194" t="s">
        <v>279</v>
      </c>
    </row>
    <row r="393" spans="1:14" ht="11.4" x14ac:dyDescent="0.25">
      <c r="A393" s="137"/>
      <c r="B393" s="169" t="e">
        <f>IF(IF(VLOOKUP(A393,ASTBase!F:P,11,FALSE)="","",VLOOKUP(A393,ASTBase!F:P,11,FALSE))=0,"",IF(VLOOKUP(A393,ASTBase!F:P,11,FALSE)="","",VLOOKUP(A393,ASTBase!F:P,11,FALSE)))</f>
        <v>#N/A</v>
      </c>
      <c r="C393" s="140" t="str">
        <f>IF(IFERROR(_xlfn.IFNA(VLOOKUP($A393,'HR Rep'!$A:$X,MATCH('1) For HR (FIX)'!C$1,'HR Rep'!$A$1:$X$1,0),0),""),"")="","",IFERROR(_xlfn.IFNA(VLOOKUP($A393,'HR Rep'!$A:$X,MATCH('1) For HR (FIX)'!C$1,'HR Rep'!$A$1:$X$1,0),0),""),""))</f>
        <v/>
      </c>
      <c r="D393" s="140" t="str">
        <f>IF(IFERROR(_xlfn.IFNA(VLOOKUP($A393,'HR Rep'!$A:$X,MATCH('1) For HR (FIX)'!D$1,'HR Rep'!$A$1:$X$1,0),0),""),"")="","",IFERROR(_xlfn.IFNA(VLOOKUP($A393,'HR Rep'!$A:$X,MATCH('1) For HR (FIX)'!D$1,'HR Rep'!$A$1:$X$1,0),0),""),""))</f>
        <v/>
      </c>
      <c r="E393" s="140" t="str">
        <f>IF(IFERROR(_xlfn.IFNA(VLOOKUP($A393,'HR Rep'!$A:$X,MATCH('1) For HR (FIX)'!E$1,'HR Rep'!$A$1:$X$1,0),0),""),"")="","",IFERROR(_xlfn.IFNA(VLOOKUP($A393,'HR Rep'!$A:$X,MATCH('1) For HR (FIX)'!E$1,'HR Rep'!$A$1:$X$1,0),0),""),""))</f>
        <v/>
      </c>
      <c r="F393" s="140" t="str">
        <f>IF(IFERROR(_xlfn.IFNA(VLOOKUP($A393,'HR Rep'!$A:$X,MATCH('1) For HR (FIX)'!F$1,'HR Rep'!$A$1:$X$1,0),0),""),"")="","",IFERROR(_xlfn.IFNA(VLOOKUP($A393,'HR Rep'!$A:$X,MATCH('1) For HR (FIX)'!F$1,'HR Rep'!$A$1:$X$1,0),0),""),""))</f>
        <v/>
      </c>
      <c r="G393" s="196"/>
      <c r="H393" s="140" t="str">
        <f>IF(IFERROR(_xlfn.IFNA(VLOOKUP($A393,'HR Rep'!$A:$X,MATCH('1) For HR (FIX)'!H$1,'HR Rep'!$A$1:$X$1,0),0),""),"")="","",IFERROR(_xlfn.IFNA(VLOOKUP($A393,'HR Rep'!$A:$X,MATCH('1) For HR (FIX)'!H$1,'HR Rep'!$A$1:$X$1,0),0),""),""))</f>
        <v/>
      </c>
      <c r="I393" s="140" t="str">
        <f>IF(IFERROR(_xlfn.IFNA(VLOOKUP($A393,'HR Rep'!$A:$X,MATCH('1) For HR (FIX)'!I$1,'HR Rep'!$A$1:$X$1,0),0),""),"")="","",IFERROR(_xlfn.IFNA(VLOOKUP($A393,'HR Rep'!$A:$X,MATCH('1) For HR (FIX)'!I$1,'HR Rep'!$A$1:$X$1,0),0),""),""))</f>
        <v/>
      </c>
      <c r="J393" s="140" t="str">
        <f>IF(IFERROR(_xlfn.IFNA(VLOOKUP($A393,'HR Rep'!$A:$X,MATCH('1) For HR (FIX)'!J$1,'HR Rep'!$A$1:$X$1,0),0),""),"")="","",IFERROR(_xlfn.IFNA(VLOOKUP($A393,'HR Rep'!$A:$X,MATCH('1) For HR (FIX)'!J$1,'HR Rep'!$A$1:$X$1,0),0),""),""))</f>
        <v/>
      </c>
      <c r="K393" s="161">
        <f>_xlfn.XLOOKUP(G393,ค่าตอบแทนการขายในอัตราคงที่!A:A,ค่าตอบแทนการขายในอัตราคงที่!B:B)</f>
        <v>0</v>
      </c>
      <c r="L393" s="174">
        <f>Period!$A$2</f>
        <v>46113</v>
      </c>
      <c r="M393" s="175">
        <f>Period!$C$2</f>
        <v>46143</v>
      </c>
      <c r="N393" s="194" t="s">
        <v>279</v>
      </c>
    </row>
    <row r="394" spans="1:14" ht="11.4" x14ac:dyDescent="0.25">
      <c r="A394" s="137"/>
      <c r="B394" s="169" t="e">
        <f>IF(IF(VLOOKUP(A394,ASTBase!F:P,11,FALSE)="","",VLOOKUP(A394,ASTBase!F:P,11,FALSE))=0,"",IF(VLOOKUP(A394,ASTBase!F:P,11,FALSE)="","",VLOOKUP(A394,ASTBase!F:P,11,FALSE)))</f>
        <v>#N/A</v>
      </c>
      <c r="C394" s="140" t="str">
        <f>IF(IFERROR(_xlfn.IFNA(VLOOKUP($A394,'HR Rep'!$A:$X,MATCH('1) For HR (FIX)'!C$1,'HR Rep'!$A$1:$X$1,0),0),""),"")="","",IFERROR(_xlfn.IFNA(VLOOKUP($A394,'HR Rep'!$A:$X,MATCH('1) For HR (FIX)'!C$1,'HR Rep'!$A$1:$X$1,0),0),""),""))</f>
        <v/>
      </c>
      <c r="D394" s="140" t="str">
        <f>IF(IFERROR(_xlfn.IFNA(VLOOKUP($A394,'HR Rep'!$A:$X,MATCH('1) For HR (FIX)'!D$1,'HR Rep'!$A$1:$X$1,0),0),""),"")="","",IFERROR(_xlfn.IFNA(VLOOKUP($A394,'HR Rep'!$A:$X,MATCH('1) For HR (FIX)'!D$1,'HR Rep'!$A$1:$X$1,0),0),""),""))</f>
        <v/>
      </c>
      <c r="E394" s="140" t="str">
        <f>IF(IFERROR(_xlfn.IFNA(VLOOKUP($A394,'HR Rep'!$A:$X,MATCH('1) For HR (FIX)'!E$1,'HR Rep'!$A$1:$X$1,0),0),""),"")="","",IFERROR(_xlfn.IFNA(VLOOKUP($A394,'HR Rep'!$A:$X,MATCH('1) For HR (FIX)'!E$1,'HR Rep'!$A$1:$X$1,0),0),""),""))</f>
        <v/>
      </c>
      <c r="F394" s="140" t="str">
        <f>IF(IFERROR(_xlfn.IFNA(VLOOKUP($A394,'HR Rep'!$A:$X,MATCH('1) For HR (FIX)'!F$1,'HR Rep'!$A$1:$X$1,0),0),""),"")="","",IFERROR(_xlfn.IFNA(VLOOKUP($A394,'HR Rep'!$A:$X,MATCH('1) For HR (FIX)'!F$1,'HR Rep'!$A$1:$X$1,0),0),""),""))</f>
        <v/>
      </c>
      <c r="G394" s="196"/>
      <c r="H394" s="140" t="str">
        <f>IF(IFERROR(_xlfn.IFNA(VLOOKUP($A394,'HR Rep'!$A:$X,MATCH('1) For HR (FIX)'!H$1,'HR Rep'!$A$1:$X$1,0),0),""),"")="","",IFERROR(_xlfn.IFNA(VLOOKUP($A394,'HR Rep'!$A:$X,MATCH('1) For HR (FIX)'!H$1,'HR Rep'!$A$1:$X$1,0),0),""),""))</f>
        <v/>
      </c>
      <c r="I394" s="140" t="str">
        <f>IF(IFERROR(_xlfn.IFNA(VLOOKUP($A394,'HR Rep'!$A:$X,MATCH('1) For HR (FIX)'!I$1,'HR Rep'!$A$1:$X$1,0),0),""),"")="","",IFERROR(_xlfn.IFNA(VLOOKUP($A394,'HR Rep'!$A:$X,MATCH('1) For HR (FIX)'!I$1,'HR Rep'!$A$1:$X$1,0),0),""),""))</f>
        <v/>
      </c>
      <c r="J394" s="140" t="str">
        <f>IF(IFERROR(_xlfn.IFNA(VLOOKUP($A394,'HR Rep'!$A:$X,MATCH('1) For HR (FIX)'!J$1,'HR Rep'!$A$1:$X$1,0),0),""),"")="","",IFERROR(_xlfn.IFNA(VLOOKUP($A394,'HR Rep'!$A:$X,MATCH('1) For HR (FIX)'!J$1,'HR Rep'!$A$1:$X$1,0),0),""),""))</f>
        <v/>
      </c>
      <c r="K394" s="161">
        <f>_xlfn.XLOOKUP(G394,ค่าตอบแทนการขายในอัตราคงที่!A:A,ค่าตอบแทนการขายในอัตราคงที่!B:B)</f>
        <v>0</v>
      </c>
      <c r="L394" s="174">
        <f>Period!$A$2</f>
        <v>46113</v>
      </c>
      <c r="M394" s="175">
        <f>Period!$C$2</f>
        <v>46143</v>
      </c>
      <c r="N394" s="194" t="s">
        <v>279</v>
      </c>
    </row>
    <row r="395" spans="1:14" ht="11.4" x14ac:dyDescent="0.25">
      <c r="A395" s="137"/>
      <c r="B395" s="169" t="e">
        <f>IF(IF(VLOOKUP(A395,ASTBase!F:P,11,FALSE)="","",VLOOKUP(A395,ASTBase!F:P,11,FALSE))=0,"",IF(VLOOKUP(A395,ASTBase!F:P,11,FALSE)="","",VLOOKUP(A395,ASTBase!F:P,11,FALSE)))</f>
        <v>#N/A</v>
      </c>
      <c r="C395" s="140" t="str">
        <f>IF(IFERROR(_xlfn.IFNA(VLOOKUP($A395,'HR Rep'!$A:$X,MATCH('1) For HR (FIX)'!C$1,'HR Rep'!$A$1:$X$1,0),0),""),"")="","",IFERROR(_xlfn.IFNA(VLOOKUP($A395,'HR Rep'!$A:$X,MATCH('1) For HR (FIX)'!C$1,'HR Rep'!$A$1:$X$1,0),0),""),""))</f>
        <v/>
      </c>
      <c r="D395" s="140" t="str">
        <f>IF(IFERROR(_xlfn.IFNA(VLOOKUP($A395,'HR Rep'!$A:$X,MATCH('1) For HR (FIX)'!D$1,'HR Rep'!$A$1:$X$1,0),0),""),"")="","",IFERROR(_xlfn.IFNA(VLOOKUP($A395,'HR Rep'!$A:$X,MATCH('1) For HR (FIX)'!D$1,'HR Rep'!$A$1:$X$1,0),0),""),""))</f>
        <v/>
      </c>
      <c r="E395" s="140" t="str">
        <f>IF(IFERROR(_xlfn.IFNA(VLOOKUP($A395,'HR Rep'!$A:$X,MATCH('1) For HR (FIX)'!E$1,'HR Rep'!$A$1:$X$1,0),0),""),"")="","",IFERROR(_xlfn.IFNA(VLOOKUP($A395,'HR Rep'!$A:$X,MATCH('1) For HR (FIX)'!E$1,'HR Rep'!$A$1:$X$1,0),0),""),""))</f>
        <v/>
      </c>
      <c r="F395" s="140" t="str">
        <f>IF(IFERROR(_xlfn.IFNA(VLOOKUP($A395,'HR Rep'!$A:$X,MATCH('1) For HR (FIX)'!F$1,'HR Rep'!$A$1:$X$1,0),0),""),"")="","",IFERROR(_xlfn.IFNA(VLOOKUP($A395,'HR Rep'!$A:$X,MATCH('1) For HR (FIX)'!F$1,'HR Rep'!$A$1:$X$1,0),0),""),""))</f>
        <v/>
      </c>
      <c r="G395" s="196"/>
      <c r="H395" s="140" t="str">
        <f>IF(IFERROR(_xlfn.IFNA(VLOOKUP($A395,'HR Rep'!$A:$X,MATCH('1) For HR (FIX)'!H$1,'HR Rep'!$A$1:$X$1,0),0),""),"")="","",IFERROR(_xlfn.IFNA(VLOOKUP($A395,'HR Rep'!$A:$X,MATCH('1) For HR (FIX)'!H$1,'HR Rep'!$A$1:$X$1,0),0),""),""))</f>
        <v/>
      </c>
      <c r="I395" s="140" t="str">
        <f>IF(IFERROR(_xlfn.IFNA(VLOOKUP($A395,'HR Rep'!$A:$X,MATCH('1) For HR (FIX)'!I$1,'HR Rep'!$A$1:$X$1,0),0),""),"")="","",IFERROR(_xlfn.IFNA(VLOOKUP($A395,'HR Rep'!$A:$X,MATCH('1) For HR (FIX)'!I$1,'HR Rep'!$A$1:$X$1,0),0),""),""))</f>
        <v/>
      </c>
      <c r="J395" s="140" t="str">
        <f>IF(IFERROR(_xlfn.IFNA(VLOOKUP($A395,'HR Rep'!$A:$X,MATCH('1) For HR (FIX)'!J$1,'HR Rep'!$A$1:$X$1,0),0),""),"")="","",IFERROR(_xlfn.IFNA(VLOOKUP($A395,'HR Rep'!$A:$X,MATCH('1) For HR (FIX)'!J$1,'HR Rep'!$A$1:$X$1,0),0),""),""))</f>
        <v/>
      </c>
      <c r="K395" s="161">
        <f>_xlfn.XLOOKUP(G395,ค่าตอบแทนการขายในอัตราคงที่!A:A,ค่าตอบแทนการขายในอัตราคงที่!B:B)</f>
        <v>0</v>
      </c>
      <c r="L395" s="174">
        <f>Period!$A$2</f>
        <v>46113</v>
      </c>
      <c r="M395" s="175">
        <f>Period!$C$2</f>
        <v>46143</v>
      </c>
      <c r="N395" s="194" t="s">
        <v>279</v>
      </c>
    </row>
    <row r="396" spans="1:14" ht="11.4" x14ac:dyDescent="0.25">
      <c r="A396" s="137"/>
      <c r="B396" s="169" t="e">
        <f>IF(IF(VLOOKUP(A396,ASTBase!F:P,11,FALSE)="","",VLOOKUP(A396,ASTBase!F:P,11,FALSE))=0,"",IF(VLOOKUP(A396,ASTBase!F:P,11,FALSE)="","",VLOOKUP(A396,ASTBase!F:P,11,FALSE)))</f>
        <v>#N/A</v>
      </c>
      <c r="C396" s="140" t="str">
        <f>IF(IFERROR(_xlfn.IFNA(VLOOKUP($A396,'HR Rep'!$A:$X,MATCH('1) For HR (FIX)'!C$1,'HR Rep'!$A$1:$X$1,0),0),""),"")="","",IFERROR(_xlfn.IFNA(VLOOKUP($A396,'HR Rep'!$A:$X,MATCH('1) For HR (FIX)'!C$1,'HR Rep'!$A$1:$X$1,0),0),""),""))</f>
        <v/>
      </c>
      <c r="D396" s="140" t="str">
        <f>IF(IFERROR(_xlfn.IFNA(VLOOKUP($A396,'HR Rep'!$A:$X,MATCH('1) For HR (FIX)'!D$1,'HR Rep'!$A$1:$X$1,0),0),""),"")="","",IFERROR(_xlfn.IFNA(VLOOKUP($A396,'HR Rep'!$A:$X,MATCH('1) For HR (FIX)'!D$1,'HR Rep'!$A$1:$X$1,0),0),""),""))</f>
        <v/>
      </c>
      <c r="E396" s="140" t="str">
        <f>IF(IFERROR(_xlfn.IFNA(VLOOKUP($A396,'HR Rep'!$A:$X,MATCH('1) For HR (FIX)'!E$1,'HR Rep'!$A$1:$X$1,0),0),""),"")="","",IFERROR(_xlfn.IFNA(VLOOKUP($A396,'HR Rep'!$A:$X,MATCH('1) For HR (FIX)'!E$1,'HR Rep'!$A$1:$X$1,0),0),""),""))</f>
        <v/>
      </c>
      <c r="F396" s="140" t="str">
        <f>IF(IFERROR(_xlfn.IFNA(VLOOKUP($A396,'HR Rep'!$A:$X,MATCH('1) For HR (FIX)'!F$1,'HR Rep'!$A$1:$X$1,0),0),""),"")="","",IFERROR(_xlfn.IFNA(VLOOKUP($A396,'HR Rep'!$A:$X,MATCH('1) For HR (FIX)'!F$1,'HR Rep'!$A$1:$X$1,0),0),""),""))</f>
        <v/>
      </c>
      <c r="G396" s="196"/>
      <c r="H396" s="140" t="str">
        <f>IF(IFERROR(_xlfn.IFNA(VLOOKUP($A396,'HR Rep'!$A:$X,MATCH('1) For HR (FIX)'!H$1,'HR Rep'!$A$1:$X$1,0),0),""),"")="","",IFERROR(_xlfn.IFNA(VLOOKUP($A396,'HR Rep'!$A:$X,MATCH('1) For HR (FIX)'!H$1,'HR Rep'!$A$1:$X$1,0),0),""),""))</f>
        <v/>
      </c>
      <c r="I396" s="140" t="str">
        <f>IF(IFERROR(_xlfn.IFNA(VLOOKUP($A396,'HR Rep'!$A:$X,MATCH('1) For HR (FIX)'!I$1,'HR Rep'!$A$1:$X$1,0),0),""),"")="","",IFERROR(_xlfn.IFNA(VLOOKUP($A396,'HR Rep'!$A:$X,MATCH('1) For HR (FIX)'!I$1,'HR Rep'!$A$1:$X$1,0),0),""),""))</f>
        <v/>
      </c>
      <c r="J396" s="140" t="str">
        <f>IF(IFERROR(_xlfn.IFNA(VLOOKUP($A396,'HR Rep'!$A:$X,MATCH('1) For HR (FIX)'!J$1,'HR Rep'!$A$1:$X$1,0),0),""),"")="","",IFERROR(_xlfn.IFNA(VLOOKUP($A396,'HR Rep'!$A:$X,MATCH('1) For HR (FIX)'!J$1,'HR Rep'!$A$1:$X$1,0),0),""),""))</f>
        <v/>
      </c>
      <c r="K396" s="161">
        <f>_xlfn.XLOOKUP(G396,ค่าตอบแทนการขายในอัตราคงที่!A:A,ค่าตอบแทนการขายในอัตราคงที่!B:B)</f>
        <v>0</v>
      </c>
      <c r="L396" s="174">
        <f>Period!$A$2</f>
        <v>46113</v>
      </c>
      <c r="M396" s="175">
        <f>Period!$C$2</f>
        <v>46143</v>
      </c>
      <c r="N396" s="194" t="s">
        <v>279</v>
      </c>
    </row>
    <row r="397" spans="1:14" ht="11.4" x14ac:dyDescent="0.25">
      <c r="A397" s="137"/>
      <c r="B397" s="169" t="e">
        <f>IF(IF(VLOOKUP(A397,ASTBase!F:P,11,FALSE)="","",VLOOKUP(A397,ASTBase!F:P,11,FALSE))=0,"",IF(VLOOKUP(A397,ASTBase!F:P,11,FALSE)="","",VLOOKUP(A397,ASTBase!F:P,11,FALSE)))</f>
        <v>#N/A</v>
      </c>
      <c r="C397" s="140" t="str">
        <f>IF(IFERROR(_xlfn.IFNA(VLOOKUP($A397,'HR Rep'!$A:$X,MATCH('1) For HR (FIX)'!C$1,'HR Rep'!$A$1:$X$1,0),0),""),"")="","",IFERROR(_xlfn.IFNA(VLOOKUP($A397,'HR Rep'!$A:$X,MATCH('1) For HR (FIX)'!C$1,'HR Rep'!$A$1:$X$1,0),0),""),""))</f>
        <v/>
      </c>
      <c r="D397" s="140" t="str">
        <f>IF(IFERROR(_xlfn.IFNA(VLOOKUP($A397,'HR Rep'!$A:$X,MATCH('1) For HR (FIX)'!D$1,'HR Rep'!$A$1:$X$1,0),0),""),"")="","",IFERROR(_xlfn.IFNA(VLOOKUP($A397,'HR Rep'!$A:$X,MATCH('1) For HR (FIX)'!D$1,'HR Rep'!$A$1:$X$1,0),0),""),""))</f>
        <v/>
      </c>
      <c r="E397" s="140" t="str">
        <f>IF(IFERROR(_xlfn.IFNA(VLOOKUP($A397,'HR Rep'!$A:$X,MATCH('1) For HR (FIX)'!E$1,'HR Rep'!$A$1:$X$1,0),0),""),"")="","",IFERROR(_xlfn.IFNA(VLOOKUP($A397,'HR Rep'!$A:$X,MATCH('1) For HR (FIX)'!E$1,'HR Rep'!$A$1:$X$1,0),0),""),""))</f>
        <v/>
      </c>
      <c r="F397" s="140" t="str">
        <f>IF(IFERROR(_xlfn.IFNA(VLOOKUP($A397,'HR Rep'!$A:$X,MATCH('1) For HR (FIX)'!F$1,'HR Rep'!$A$1:$X$1,0),0),""),"")="","",IFERROR(_xlfn.IFNA(VLOOKUP($A397,'HR Rep'!$A:$X,MATCH('1) For HR (FIX)'!F$1,'HR Rep'!$A$1:$X$1,0),0),""),""))</f>
        <v/>
      </c>
      <c r="G397" s="196"/>
      <c r="H397" s="140" t="str">
        <f>IF(IFERROR(_xlfn.IFNA(VLOOKUP($A397,'HR Rep'!$A:$X,MATCH('1) For HR (FIX)'!H$1,'HR Rep'!$A$1:$X$1,0),0),""),"")="","",IFERROR(_xlfn.IFNA(VLOOKUP($A397,'HR Rep'!$A:$X,MATCH('1) For HR (FIX)'!H$1,'HR Rep'!$A$1:$X$1,0),0),""),""))</f>
        <v/>
      </c>
      <c r="I397" s="140" t="str">
        <f>IF(IFERROR(_xlfn.IFNA(VLOOKUP($A397,'HR Rep'!$A:$X,MATCH('1) For HR (FIX)'!I$1,'HR Rep'!$A$1:$X$1,0),0),""),"")="","",IFERROR(_xlfn.IFNA(VLOOKUP($A397,'HR Rep'!$A:$X,MATCH('1) For HR (FIX)'!I$1,'HR Rep'!$A$1:$X$1,0),0),""),""))</f>
        <v/>
      </c>
      <c r="J397" s="140" t="str">
        <f>IF(IFERROR(_xlfn.IFNA(VLOOKUP($A397,'HR Rep'!$A:$X,MATCH('1) For HR (FIX)'!J$1,'HR Rep'!$A$1:$X$1,0),0),""),"")="","",IFERROR(_xlfn.IFNA(VLOOKUP($A397,'HR Rep'!$A:$X,MATCH('1) For HR (FIX)'!J$1,'HR Rep'!$A$1:$X$1,0),0),""),""))</f>
        <v/>
      </c>
      <c r="K397" s="161">
        <f>_xlfn.XLOOKUP(G397,ค่าตอบแทนการขายในอัตราคงที่!A:A,ค่าตอบแทนการขายในอัตราคงที่!B:B)</f>
        <v>0</v>
      </c>
      <c r="L397" s="174">
        <f>Period!$A$2</f>
        <v>46113</v>
      </c>
      <c r="M397" s="175">
        <f>Period!$C$2</f>
        <v>46143</v>
      </c>
      <c r="N397" s="194" t="s">
        <v>279</v>
      </c>
    </row>
    <row r="398" spans="1:14" ht="11.4" x14ac:dyDescent="0.25">
      <c r="A398" s="137"/>
      <c r="B398" s="169" t="e">
        <f>IF(IF(VLOOKUP(A398,ASTBase!F:P,11,FALSE)="","",VLOOKUP(A398,ASTBase!F:P,11,FALSE))=0,"",IF(VLOOKUP(A398,ASTBase!F:P,11,FALSE)="","",VLOOKUP(A398,ASTBase!F:P,11,FALSE)))</f>
        <v>#N/A</v>
      </c>
      <c r="C398" s="140" t="str">
        <f>IF(IFERROR(_xlfn.IFNA(VLOOKUP($A398,'HR Rep'!$A:$X,MATCH('1) For HR (FIX)'!C$1,'HR Rep'!$A$1:$X$1,0),0),""),"")="","",IFERROR(_xlfn.IFNA(VLOOKUP($A398,'HR Rep'!$A:$X,MATCH('1) For HR (FIX)'!C$1,'HR Rep'!$A$1:$X$1,0),0),""),""))</f>
        <v/>
      </c>
      <c r="D398" s="140" t="str">
        <f>IF(IFERROR(_xlfn.IFNA(VLOOKUP($A398,'HR Rep'!$A:$X,MATCH('1) For HR (FIX)'!D$1,'HR Rep'!$A$1:$X$1,0),0),""),"")="","",IFERROR(_xlfn.IFNA(VLOOKUP($A398,'HR Rep'!$A:$X,MATCH('1) For HR (FIX)'!D$1,'HR Rep'!$A$1:$X$1,0),0),""),""))</f>
        <v/>
      </c>
      <c r="E398" s="140" t="str">
        <f>IF(IFERROR(_xlfn.IFNA(VLOOKUP($A398,'HR Rep'!$A:$X,MATCH('1) For HR (FIX)'!E$1,'HR Rep'!$A$1:$X$1,0),0),""),"")="","",IFERROR(_xlfn.IFNA(VLOOKUP($A398,'HR Rep'!$A:$X,MATCH('1) For HR (FIX)'!E$1,'HR Rep'!$A$1:$X$1,0),0),""),""))</f>
        <v/>
      </c>
      <c r="F398" s="140" t="str">
        <f>IF(IFERROR(_xlfn.IFNA(VLOOKUP($A398,'HR Rep'!$A:$X,MATCH('1) For HR (FIX)'!F$1,'HR Rep'!$A$1:$X$1,0),0),""),"")="","",IFERROR(_xlfn.IFNA(VLOOKUP($A398,'HR Rep'!$A:$X,MATCH('1) For HR (FIX)'!F$1,'HR Rep'!$A$1:$X$1,0),0),""),""))</f>
        <v/>
      </c>
      <c r="G398" s="196"/>
      <c r="H398" s="140" t="str">
        <f>IF(IFERROR(_xlfn.IFNA(VLOOKUP($A398,'HR Rep'!$A:$X,MATCH('1) For HR (FIX)'!H$1,'HR Rep'!$A$1:$X$1,0),0),""),"")="","",IFERROR(_xlfn.IFNA(VLOOKUP($A398,'HR Rep'!$A:$X,MATCH('1) For HR (FIX)'!H$1,'HR Rep'!$A$1:$X$1,0),0),""),""))</f>
        <v/>
      </c>
      <c r="I398" s="140" t="str">
        <f>IF(IFERROR(_xlfn.IFNA(VLOOKUP($A398,'HR Rep'!$A:$X,MATCH('1) For HR (FIX)'!I$1,'HR Rep'!$A$1:$X$1,0),0),""),"")="","",IFERROR(_xlfn.IFNA(VLOOKUP($A398,'HR Rep'!$A:$X,MATCH('1) For HR (FIX)'!I$1,'HR Rep'!$A$1:$X$1,0),0),""),""))</f>
        <v/>
      </c>
      <c r="J398" s="140" t="str">
        <f>IF(IFERROR(_xlfn.IFNA(VLOOKUP($A398,'HR Rep'!$A:$X,MATCH('1) For HR (FIX)'!J$1,'HR Rep'!$A$1:$X$1,0),0),""),"")="","",IFERROR(_xlfn.IFNA(VLOOKUP($A398,'HR Rep'!$A:$X,MATCH('1) For HR (FIX)'!J$1,'HR Rep'!$A$1:$X$1,0),0),""),""))</f>
        <v/>
      </c>
      <c r="K398" s="161">
        <f>_xlfn.XLOOKUP(G398,ค่าตอบแทนการขายในอัตราคงที่!A:A,ค่าตอบแทนการขายในอัตราคงที่!B:B)</f>
        <v>0</v>
      </c>
      <c r="L398" s="174">
        <f>Period!$A$2</f>
        <v>46113</v>
      </c>
      <c r="M398" s="175">
        <f>Period!$C$2</f>
        <v>46143</v>
      </c>
      <c r="N398" s="194" t="s">
        <v>279</v>
      </c>
    </row>
    <row r="399" spans="1:14" ht="11.4" x14ac:dyDescent="0.25">
      <c r="A399" s="137"/>
      <c r="B399" s="169" t="e">
        <f>IF(IF(VLOOKUP(A399,ASTBase!F:P,11,FALSE)="","",VLOOKUP(A399,ASTBase!F:P,11,FALSE))=0,"",IF(VLOOKUP(A399,ASTBase!F:P,11,FALSE)="","",VLOOKUP(A399,ASTBase!F:P,11,FALSE)))</f>
        <v>#N/A</v>
      </c>
      <c r="C399" s="140" t="str">
        <f>IF(IFERROR(_xlfn.IFNA(VLOOKUP($A399,'HR Rep'!$A:$X,MATCH('1) For HR (FIX)'!C$1,'HR Rep'!$A$1:$X$1,0),0),""),"")="","",IFERROR(_xlfn.IFNA(VLOOKUP($A399,'HR Rep'!$A:$X,MATCH('1) For HR (FIX)'!C$1,'HR Rep'!$A$1:$X$1,0),0),""),""))</f>
        <v/>
      </c>
      <c r="D399" s="140" t="str">
        <f>IF(IFERROR(_xlfn.IFNA(VLOOKUP($A399,'HR Rep'!$A:$X,MATCH('1) For HR (FIX)'!D$1,'HR Rep'!$A$1:$X$1,0),0),""),"")="","",IFERROR(_xlfn.IFNA(VLOOKUP($A399,'HR Rep'!$A:$X,MATCH('1) For HR (FIX)'!D$1,'HR Rep'!$A$1:$X$1,0),0),""),""))</f>
        <v/>
      </c>
      <c r="E399" s="140" t="str">
        <f>IF(IFERROR(_xlfn.IFNA(VLOOKUP($A399,'HR Rep'!$A:$X,MATCH('1) For HR (FIX)'!E$1,'HR Rep'!$A$1:$X$1,0),0),""),"")="","",IFERROR(_xlfn.IFNA(VLOOKUP($A399,'HR Rep'!$A:$X,MATCH('1) For HR (FIX)'!E$1,'HR Rep'!$A$1:$X$1,0),0),""),""))</f>
        <v/>
      </c>
      <c r="F399" s="140" t="str">
        <f>IF(IFERROR(_xlfn.IFNA(VLOOKUP($A399,'HR Rep'!$A:$X,MATCH('1) For HR (FIX)'!F$1,'HR Rep'!$A$1:$X$1,0),0),""),"")="","",IFERROR(_xlfn.IFNA(VLOOKUP($A399,'HR Rep'!$A:$X,MATCH('1) For HR (FIX)'!F$1,'HR Rep'!$A$1:$X$1,0),0),""),""))</f>
        <v/>
      </c>
      <c r="G399" s="196"/>
      <c r="H399" s="140" t="str">
        <f>IF(IFERROR(_xlfn.IFNA(VLOOKUP($A399,'HR Rep'!$A:$X,MATCH('1) For HR (FIX)'!H$1,'HR Rep'!$A$1:$X$1,0),0),""),"")="","",IFERROR(_xlfn.IFNA(VLOOKUP($A399,'HR Rep'!$A:$X,MATCH('1) For HR (FIX)'!H$1,'HR Rep'!$A$1:$X$1,0),0),""),""))</f>
        <v/>
      </c>
      <c r="I399" s="140" t="str">
        <f>IF(IFERROR(_xlfn.IFNA(VLOOKUP($A399,'HR Rep'!$A:$X,MATCH('1) For HR (FIX)'!I$1,'HR Rep'!$A$1:$X$1,0),0),""),"")="","",IFERROR(_xlfn.IFNA(VLOOKUP($A399,'HR Rep'!$A:$X,MATCH('1) For HR (FIX)'!I$1,'HR Rep'!$A$1:$X$1,0),0),""),""))</f>
        <v/>
      </c>
      <c r="J399" s="140" t="str">
        <f>IF(IFERROR(_xlfn.IFNA(VLOOKUP($A399,'HR Rep'!$A:$X,MATCH('1) For HR (FIX)'!J$1,'HR Rep'!$A$1:$X$1,0),0),""),"")="","",IFERROR(_xlfn.IFNA(VLOOKUP($A399,'HR Rep'!$A:$X,MATCH('1) For HR (FIX)'!J$1,'HR Rep'!$A$1:$X$1,0),0),""),""))</f>
        <v/>
      </c>
      <c r="K399" s="161">
        <f>_xlfn.XLOOKUP(G399,ค่าตอบแทนการขายในอัตราคงที่!A:A,ค่าตอบแทนการขายในอัตราคงที่!B:B)</f>
        <v>0</v>
      </c>
      <c r="L399" s="174">
        <f>Period!$A$2</f>
        <v>46113</v>
      </c>
      <c r="M399" s="175">
        <f>Period!$C$2</f>
        <v>46143</v>
      </c>
      <c r="N399" s="194" t="s">
        <v>279</v>
      </c>
    </row>
    <row r="400" spans="1:14" ht="11.4" x14ac:dyDescent="0.25">
      <c r="A400" s="137"/>
      <c r="B400" s="169" t="e">
        <f>IF(IF(VLOOKUP(A400,ASTBase!F:P,11,FALSE)="","",VLOOKUP(A400,ASTBase!F:P,11,FALSE))=0,"",IF(VLOOKUP(A400,ASTBase!F:P,11,FALSE)="","",VLOOKUP(A400,ASTBase!F:P,11,FALSE)))</f>
        <v>#N/A</v>
      </c>
      <c r="C400" s="140" t="str">
        <f>IF(IFERROR(_xlfn.IFNA(VLOOKUP($A400,'HR Rep'!$A:$X,MATCH('1) For HR (FIX)'!C$1,'HR Rep'!$A$1:$X$1,0),0),""),"")="","",IFERROR(_xlfn.IFNA(VLOOKUP($A400,'HR Rep'!$A:$X,MATCH('1) For HR (FIX)'!C$1,'HR Rep'!$A$1:$X$1,0),0),""),""))</f>
        <v/>
      </c>
      <c r="D400" s="140" t="str">
        <f>IF(IFERROR(_xlfn.IFNA(VLOOKUP($A400,'HR Rep'!$A:$X,MATCH('1) For HR (FIX)'!D$1,'HR Rep'!$A$1:$X$1,0),0),""),"")="","",IFERROR(_xlfn.IFNA(VLOOKUP($A400,'HR Rep'!$A:$X,MATCH('1) For HR (FIX)'!D$1,'HR Rep'!$A$1:$X$1,0),0),""),""))</f>
        <v/>
      </c>
      <c r="E400" s="140" t="str">
        <f>IF(IFERROR(_xlfn.IFNA(VLOOKUP($A400,'HR Rep'!$A:$X,MATCH('1) For HR (FIX)'!E$1,'HR Rep'!$A$1:$X$1,0),0),""),"")="","",IFERROR(_xlfn.IFNA(VLOOKUP($A400,'HR Rep'!$A:$X,MATCH('1) For HR (FIX)'!E$1,'HR Rep'!$A$1:$X$1,0),0),""),""))</f>
        <v/>
      </c>
      <c r="F400" s="140" t="str">
        <f>IF(IFERROR(_xlfn.IFNA(VLOOKUP($A400,'HR Rep'!$A:$X,MATCH('1) For HR (FIX)'!F$1,'HR Rep'!$A$1:$X$1,0),0),""),"")="","",IFERROR(_xlfn.IFNA(VLOOKUP($A400,'HR Rep'!$A:$X,MATCH('1) For HR (FIX)'!F$1,'HR Rep'!$A$1:$X$1,0),0),""),""))</f>
        <v/>
      </c>
      <c r="G400" s="196"/>
      <c r="H400" s="140" t="str">
        <f>IF(IFERROR(_xlfn.IFNA(VLOOKUP($A400,'HR Rep'!$A:$X,MATCH('1) For HR (FIX)'!H$1,'HR Rep'!$A$1:$X$1,0),0),""),"")="","",IFERROR(_xlfn.IFNA(VLOOKUP($A400,'HR Rep'!$A:$X,MATCH('1) For HR (FIX)'!H$1,'HR Rep'!$A$1:$X$1,0),0),""),""))</f>
        <v/>
      </c>
      <c r="I400" s="140" t="str">
        <f>IF(IFERROR(_xlfn.IFNA(VLOOKUP($A400,'HR Rep'!$A:$X,MATCH('1) For HR (FIX)'!I$1,'HR Rep'!$A$1:$X$1,0),0),""),"")="","",IFERROR(_xlfn.IFNA(VLOOKUP($A400,'HR Rep'!$A:$X,MATCH('1) For HR (FIX)'!I$1,'HR Rep'!$A$1:$X$1,0),0),""),""))</f>
        <v/>
      </c>
      <c r="J400" s="140" t="str">
        <f>IF(IFERROR(_xlfn.IFNA(VLOOKUP($A400,'HR Rep'!$A:$X,MATCH('1) For HR (FIX)'!J$1,'HR Rep'!$A$1:$X$1,0),0),""),"")="","",IFERROR(_xlfn.IFNA(VLOOKUP($A400,'HR Rep'!$A:$X,MATCH('1) For HR (FIX)'!J$1,'HR Rep'!$A$1:$X$1,0),0),""),""))</f>
        <v/>
      </c>
      <c r="K400" s="161">
        <f>_xlfn.XLOOKUP(G400,ค่าตอบแทนการขายในอัตราคงที่!A:A,ค่าตอบแทนการขายในอัตราคงที่!B:B)</f>
        <v>0</v>
      </c>
      <c r="L400" s="174">
        <f>Period!$A$2</f>
        <v>46113</v>
      </c>
      <c r="M400" s="175">
        <f>Period!$C$2</f>
        <v>46143</v>
      </c>
      <c r="N400" s="194" t="s">
        <v>279</v>
      </c>
    </row>
    <row r="401" spans="1:14" ht="11.4" x14ac:dyDescent="0.25">
      <c r="A401" s="137"/>
      <c r="B401" s="169" t="e">
        <f>IF(IF(VLOOKUP(A401,ASTBase!F:P,11,FALSE)="","",VLOOKUP(A401,ASTBase!F:P,11,FALSE))=0,"",IF(VLOOKUP(A401,ASTBase!F:P,11,FALSE)="","",VLOOKUP(A401,ASTBase!F:P,11,FALSE)))</f>
        <v>#N/A</v>
      </c>
      <c r="C401" s="140" t="str">
        <f>IF(IFERROR(_xlfn.IFNA(VLOOKUP($A401,'HR Rep'!$A:$X,MATCH('1) For HR (FIX)'!C$1,'HR Rep'!$A$1:$X$1,0),0),""),"")="","",IFERROR(_xlfn.IFNA(VLOOKUP($A401,'HR Rep'!$A:$X,MATCH('1) For HR (FIX)'!C$1,'HR Rep'!$A$1:$X$1,0),0),""),""))</f>
        <v/>
      </c>
      <c r="D401" s="140" t="str">
        <f>IF(IFERROR(_xlfn.IFNA(VLOOKUP($A401,'HR Rep'!$A:$X,MATCH('1) For HR (FIX)'!D$1,'HR Rep'!$A$1:$X$1,0),0),""),"")="","",IFERROR(_xlfn.IFNA(VLOOKUP($A401,'HR Rep'!$A:$X,MATCH('1) For HR (FIX)'!D$1,'HR Rep'!$A$1:$X$1,0),0),""),""))</f>
        <v/>
      </c>
      <c r="E401" s="140" t="str">
        <f>IF(IFERROR(_xlfn.IFNA(VLOOKUP($A401,'HR Rep'!$A:$X,MATCH('1) For HR (FIX)'!E$1,'HR Rep'!$A$1:$X$1,0),0),""),"")="","",IFERROR(_xlfn.IFNA(VLOOKUP($A401,'HR Rep'!$A:$X,MATCH('1) For HR (FIX)'!E$1,'HR Rep'!$A$1:$X$1,0),0),""),""))</f>
        <v/>
      </c>
      <c r="F401" s="140" t="str">
        <f>IF(IFERROR(_xlfn.IFNA(VLOOKUP($A401,'HR Rep'!$A:$X,MATCH('1) For HR (FIX)'!F$1,'HR Rep'!$A$1:$X$1,0),0),""),"")="","",IFERROR(_xlfn.IFNA(VLOOKUP($A401,'HR Rep'!$A:$X,MATCH('1) For HR (FIX)'!F$1,'HR Rep'!$A$1:$X$1,0),0),""),""))</f>
        <v/>
      </c>
      <c r="G401" s="196"/>
      <c r="H401" s="140" t="str">
        <f>IF(IFERROR(_xlfn.IFNA(VLOOKUP($A401,'HR Rep'!$A:$X,MATCH('1) For HR (FIX)'!H$1,'HR Rep'!$A$1:$X$1,0),0),""),"")="","",IFERROR(_xlfn.IFNA(VLOOKUP($A401,'HR Rep'!$A:$X,MATCH('1) For HR (FIX)'!H$1,'HR Rep'!$A$1:$X$1,0),0),""),""))</f>
        <v/>
      </c>
      <c r="I401" s="140" t="str">
        <f>IF(IFERROR(_xlfn.IFNA(VLOOKUP($A401,'HR Rep'!$A:$X,MATCH('1) For HR (FIX)'!I$1,'HR Rep'!$A$1:$X$1,0),0),""),"")="","",IFERROR(_xlfn.IFNA(VLOOKUP($A401,'HR Rep'!$A:$X,MATCH('1) For HR (FIX)'!I$1,'HR Rep'!$A$1:$X$1,0),0),""),""))</f>
        <v/>
      </c>
      <c r="J401" s="140" t="str">
        <f>IF(IFERROR(_xlfn.IFNA(VLOOKUP($A401,'HR Rep'!$A:$X,MATCH('1) For HR (FIX)'!J$1,'HR Rep'!$A$1:$X$1,0),0),""),"")="","",IFERROR(_xlfn.IFNA(VLOOKUP($A401,'HR Rep'!$A:$X,MATCH('1) For HR (FIX)'!J$1,'HR Rep'!$A$1:$X$1,0),0),""),""))</f>
        <v/>
      </c>
      <c r="K401" s="161">
        <f>_xlfn.XLOOKUP(G401,ค่าตอบแทนการขายในอัตราคงที่!A:A,ค่าตอบแทนการขายในอัตราคงที่!B:B)</f>
        <v>0</v>
      </c>
      <c r="L401" s="174">
        <f>Period!$A$2</f>
        <v>46113</v>
      </c>
      <c r="M401" s="175">
        <f>Period!$C$2</f>
        <v>46143</v>
      </c>
      <c r="N401" s="194" t="s">
        <v>279</v>
      </c>
    </row>
    <row r="402" spans="1:14" ht="11.4" x14ac:dyDescent="0.25">
      <c r="A402" s="137"/>
      <c r="B402" s="169" t="e">
        <f>IF(IF(VLOOKUP(A402,ASTBase!F:P,11,FALSE)="","",VLOOKUP(A402,ASTBase!F:P,11,FALSE))=0,"",IF(VLOOKUP(A402,ASTBase!F:P,11,FALSE)="","",VLOOKUP(A402,ASTBase!F:P,11,FALSE)))</f>
        <v>#N/A</v>
      </c>
      <c r="C402" s="140" t="str">
        <f>IF(IFERROR(_xlfn.IFNA(VLOOKUP($A402,'HR Rep'!$A:$X,MATCH('1) For HR (FIX)'!C$1,'HR Rep'!$A$1:$X$1,0),0),""),"")="","",IFERROR(_xlfn.IFNA(VLOOKUP($A402,'HR Rep'!$A:$X,MATCH('1) For HR (FIX)'!C$1,'HR Rep'!$A$1:$X$1,0),0),""),""))</f>
        <v/>
      </c>
      <c r="D402" s="140" t="str">
        <f>IF(IFERROR(_xlfn.IFNA(VLOOKUP($A402,'HR Rep'!$A:$X,MATCH('1) For HR (FIX)'!D$1,'HR Rep'!$A$1:$X$1,0),0),""),"")="","",IFERROR(_xlfn.IFNA(VLOOKUP($A402,'HR Rep'!$A:$X,MATCH('1) For HR (FIX)'!D$1,'HR Rep'!$A$1:$X$1,0),0),""),""))</f>
        <v/>
      </c>
      <c r="E402" s="140" t="str">
        <f>IF(IFERROR(_xlfn.IFNA(VLOOKUP($A402,'HR Rep'!$A:$X,MATCH('1) For HR (FIX)'!E$1,'HR Rep'!$A$1:$X$1,0),0),""),"")="","",IFERROR(_xlfn.IFNA(VLOOKUP($A402,'HR Rep'!$A:$X,MATCH('1) For HR (FIX)'!E$1,'HR Rep'!$A$1:$X$1,0),0),""),""))</f>
        <v/>
      </c>
      <c r="F402" s="140" t="str">
        <f>IF(IFERROR(_xlfn.IFNA(VLOOKUP($A402,'HR Rep'!$A:$X,MATCH('1) For HR (FIX)'!F$1,'HR Rep'!$A$1:$X$1,0),0),""),"")="","",IFERROR(_xlfn.IFNA(VLOOKUP($A402,'HR Rep'!$A:$X,MATCH('1) For HR (FIX)'!F$1,'HR Rep'!$A$1:$X$1,0),0),""),""))</f>
        <v/>
      </c>
      <c r="G402" s="196"/>
      <c r="H402" s="140" t="str">
        <f>IF(IFERROR(_xlfn.IFNA(VLOOKUP($A402,'HR Rep'!$A:$X,MATCH('1) For HR (FIX)'!H$1,'HR Rep'!$A$1:$X$1,0),0),""),"")="","",IFERROR(_xlfn.IFNA(VLOOKUP($A402,'HR Rep'!$A:$X,MATCH('1) For HR (FIX)'!H$1,'HR Rep'!$A$1:$X$1,0),0),""),""))</f>
        <v/>
      </c>
      <c r="I402" s="140" t="str">
        <f>IF(IFERROR(_xlfn.IFNA(VLOOKUP($A402,'HR Rep'!$A:$X,MATCH('1) For HR (FIX)'!I$1,'HR Rep'!$A$1:$X$1,0),0),""),"")="","",IFERROR(_xlfn.IFNA(VLOOKUP($A402,'HR Rep'!$A:$X,MATCH('1) For HR (FIX)'!I$1,'HR Rep'!$A$1:$X$1,0),0),""),""))</f>
        <v/>
      </c>
      <c r="J402" s="140" t="str">
        <f>IF(IFERROR(_xlfn.IFNA(VLOOKUP($A402,'HR Rep'!$A:$X,MATCH('1) For HR (FIX)'!J$1,'HR Rep'!$A$1:$X$1,0),0),""),"")="","",IFERROR(_xlfn.IFNA(VLOOKUP($A402,'HR Rep'!$A:$X,MATCH('1) For HR (FIX)'!J$1,'HR Rep'!$A$1:$X$1,0),0),""),""))</f>
        <v/>
      </c>
      <c r="K402" s="161">
        <f>_xlfn.XLOOKUP(G402,ค่าตอบแทนการขายในอัตราคงที่!A:A,ค่าตอบแทนการขายในอัตราคงที่!B:B)</f>
        <v>0</v>
      </c>
      <c r="L402" s="174">
        <f>Period!$A$2</f>
        <v>46113</v>
      </c>
      <c r="M402" s="175">
        <f>Period!$C$2</f>
        <v>46143</v>
      </c>
      <c r="N402" s="194" t="s">
        <v>279</v>
      </c>
    </row>
    <row r="403" spans="1:14" ht="11.4" x14ac:dyDescent="0.25">
      <c r="A403" s="137"/>
      <c r="B403" s="169" t="e">
        <f>IF(IF(VLOOKUP(A403,ASTBase!F:P,11,FALSE)="","",VLOOKUP(A403,ASTBase!F:P,11,FALSE))=0,"",IF(VLOOKUP(A403,ASTBase!F:P,11,FALSE)="","",VLOOKUP(A403,ASTBase!F:P,11,FALSE)))</f>
        <v>#N/A</v>
      </c>
      <c r="C403" s="140" t="str">
        <f>IF(IFERROR(_xlfn.IFNA(VLOOKUP($A403,'HR Rep'!$A:$X,MATCH('1) For HR (FIX)'!C$1,'HR Rep'!$A$1:$X$1,0),0),""),"")="","",IFERROR(_xlfn.IFNA(VLOOKUP($A403,'HR Rep'!$A:$X,MATCH('1) For HR (FIX)'!C$1,'HR Rep'!$A$1:$X$1,0),0),""),""))</f>
        <v/>
      </c>
      <c r="D403" s="140" t="str">
        <f>IF(IFERROR(_xlfn.IFNA(VLOOKUP($A403,'HR Rep'!$A:$X,MATCH('1) For HR (FIX)'!D$1,'HR Rep'!$A$1:$X$1,0),0),""),"")="","",IFERROR(_xlfn.IFNA(VLOOKUP($A403,'HR Rep'!$A:$X,MATCH('1) For HR (FIX)'!D$1,'HR Rep'!$A$1:$X$1,0),0),""),""))</f>
        <v/>
      </c>
      <c r="E403" s="140" t="str">
        <f>IF(IFERROR(_xlfn.IFNA(VLOOKUP($A403,'HR Rep'!$A:$X,MATCH('1) For HR (FIX)'!E$1,'HR Rep'!$A$1:$X$1,0),0),""),"")="","",IFERROR(_xlfn.IFNA(VLOOKUP($A403,'HR Rep'!$A:$X,MATCH('1) For HR (FIX)'!E$1,'HR Rep'!$A$1:$X$1,0),0),""),""))</f>
        <v/>
      </c>
      <c r="F403" s="140" t="str">
        <f>IF(IFERROR(_xlfn.IFNA(VLOOKUP($A403,'HR Rep'!$A:$X,MATCH('1) For HR (FIX)'!F$1,'HR Rep'!$A$1:$X$1,0),0),""),"")="","",IFERROR(_xlfn.IFNA(VLOOKUP($A403,'HR Rep'!$A:$X,MATCH('1) For HR (FIX)'!F$1,'HR Rep'!$A$1:$X$1,0),0),""),""))</f>
        <v/>
      </c>
      <c r="G403" s="196"/>
      <c r="H403" s="140" t="str">
        <f>IF(IFERROR(_xlfn.IFNA(VLOOKUP($A403,'HR Rep'!$A:$X,MATCH('1) For HR (FIX)'!H$1,'HR Rep'!$A$1:$X$1,0),0),""),"")="","",IFERROR(_xlfn.IFNA(VLOOKUP($A403,'HR Rep'!$A:$X,MATCH('1) For HR (FIX)'!H$1,'HR Rep'!$A$1:$X$1,0),0),""),""))</f>
        <v/>
      </c>
      <c r="I403" s="140" t="str">
        <f>IF(IFERROR(_xlfn.IFNA(VLOOKUP($A403,'HR Rep'!$A:$X,MATCH('1) For HR (FIX)'!I$1,'HR Rep'!$A$1:$X$1,0),0),""),"")="","",IFERROR(_xlfn.IFNA(VLOOKUP($A403,'HR Rep'!$A:$X,MATCH('1) For HR (FIX)'!I$1,'HR Rep'!$A$1:$X$1,0),0),""),""))</f>
        <v/>
      </c>
      <c r="J403" s="140" t="str">
        <f>IF(IFERROR(_xlfn.IFNA(VLOOKUP($A403,'HR Rep'!$A:$X,MATCH('1) For HR (FIX)'!J$1,'HR Rep'!$A$1:$X$1,0),0),""),"")="","",IFERROR(_xlfn.IFNA(VLOOKUP($A403,'HR Rep'!$A:$X,MATCH('1) For HR (FIX)'!J$1,'HR Rep'!$A$1:$X$1,0),0),""),""))</f>
        <v/>
      </c>
      <c r="K403" s="161">
        <f>_xlfn.XLOOKUP(G403,ค่าตอบแทนการขายในอัตราคงที่!A:A,ค่าตอบแทนการขายในอัตราคงที่!B:B)</f>
        <v>0</v>
      </c>
      <c r="L403" s="174">
        <f>Period!$A$2</f>
        <v>46113</v>
      </c>
      <c r="M403" s="175">
        <f>Period!$C$2</f>
        <v>46143</v>
      </c>
      <c r="N403" s="194" t="s">
        <v>279</v>
      </c>
    </row>
    <row r="404" spans="1:14" ht="11.4" x14ac:dyDescent="0.25">
      <c r="A404" s="137"/>
      <c r="B404" s="169" t="e">
        <f>IF(IF(VLOOKUP(A404,ASTBase!F:P,11,FALSE)="","",VLOOKUP(A404,ASTBase!F:P,11,FALSE))=0,"",IF(VLOOKUP(A404,ASTBase!F:P,11,FALSE)="","",VLOOKUP(A404,ASTBase!F:P,11,FALSE)))</f>
        <v>#N/A</v>
      </c>
      <c r="C404" s="140" t="str">
        <f>IF(IFERROR(_xlfn.IFNA(VLOOKUP($A404,'HR Rep'!$A:$X,MATCH('1) For HR (FIX)'!C$1,'HR Rep'!$A$1:$X$1,0),0),""),"")="","",IFERROR(_xlfn.IFNA(VLOOKUP($A404,'HR Rep'!$A:$X,MATCH('1) For HR (FIX)'!C$1,'HR Rep'!$A$1:$X$1,0),0),""),""))</f>
        <v/>
      </c>
      <c r="D404" s="140" t="str">
        <f>IF(IFERROR(_xlfn.IFNA(VLOOKUP($A404,'HR Rep'!$A:$X,MATCH('1) For HR (FIX)'!D$1,'HR Rep'!$A$1:$X$1,0),0),""),"")="","",IFERROR(_xlfn.IFNA(VLOOKUP($A404,'HR Rep'!$A:$X,MATCH('1) For HR (FIX)'!D$1,'HR Rep'!$A$1:$X$1,0),0),""),""))</f>
        <v/>
      </c>
      <c r="E404" s="140" t="str">
        <f>IF(IFERROR(_xlfn.IFNA(VLOOKUP($A404,'HR Rep'!$A:$X,MATCH('1) For HR (FIX)'!E$1,'HR Rep'!$A$1:$X$1,0),0),""),"")="","",IFERROR(_xlfn.IFNA(VLOOKUP($A404,'HR Rep'!$A:$X,MATCH('1) For HR (FIX)'!E$1,'HR Rep'!$A$1:$X$1,0),0),""),""))</f>
        <v/>
      </c>
      <c r="F404" s="140" t="str">
        <f>IF(IFERROR(_xlfn.IFNA(VLOOKUP($A404,'HR Rep'!$A:$X,MATCH('1) For HR (FIX)'!F$1,'HR Rep'!$A$1:$X$1,0),0),""),"")="","",IFERROR(_xlfn.IFNA(VLOOKUP($A404,'HR Rep'!$A:$X,MATCH('1) For HR (FIX)'!F$1,'HR Rep'!$A$1:$X$1,0),0),""),""))</f>
        <v/>
      </c>
      <c r="G404" s="196"/>
      <c r="H404" s="140" t="str">
        <f>IF(IFERROR(_xlfn.IFNA(VLOOKUP($A404,'HR Rep'!$A:$X,MATCH('1) For HR (FIX)'!H$1,'HR Rep'!$A$1:$X$1,0),0),""),"")="","",IFERROR(_xlfn.IFNA(VLOOKUP($A404,'HR Rep'!$A:$X,MATCH('1) For HR (FIX)'!H$1,'HR Rep'!$A$1:$X$1,0),0),""),""))</f>
        <v/>
      </c>
      <c r="I404" s="140" t="str">
        <f>IF(IFERROR(_xlfn.IFNA(VLOOKUP($A404,'HR Rep'!$A:$X,MATCH('1) For HR (FIX)'!I$1,'HR Rep'!$A$1:$X$1,0),0),""),"")="","",IFERROR(_xlfn.IFNA(VLOOKUP($A404,'HR Rep'!$A:$X,MATCH('1) For HR (FIX)'!I$1,'HR Rep'!$A$1:$X$1,0),0),""),""))</f>
        <v/>
      </c>
      <c r="J404" s="140" t="str">
        <f>IF(IFERROR(_xlfn.IFNA(VLOOKUP($A404,'HR Rep'!$A:$X,MATCH('1) For HR (FIX)'!J$1,'HR Rep'!$A$1:$X$1,0),0),""),"")="","",IFERROR(_xlfn.IFNA(VLOOKUP($A404,'HR Rep'!$A:$X,MATCH('1) For HR (FIX)'!J$1,'HR Rep'!$A$1:$X$1,0),0),""),""))</f>
        <v/>
      </c>
      <c r="K404" s="161">
        <f>_xlfn.XLOOKUP(G404,ค่าตอบแทนการขายในอัตราคงที่!A:A,ค่าตอบแทนการขายในอัตราคงที่!B:B)</f>
        <v>0</v>
      </c>
      <c r="L404" s="174">
        <f>Period!$A$2</f>
        <v>46113</v>
      </c>
      <c r="M404" s="175">
        <f>Period!$C$2</f>
        <v>46143</v>
      </c>
      <c r="N404" s="194" t="s">
        <v>279</v>
      </c>
    </row>
    <row r="405" spans="1:14" ht="11.4" x14ac:dyDescent="0.25">
      <c r="A405" s="137"/>
      <c r="B405" s="169" t="e">
        <f>IF(IF(VLOOKUP(A405,ASTBase!F:P,11,FALSE)="","",VLOOKUP(A405,ASTBase!F:P,11,FALSE))=0,"",IF(VLOOKUP(A405,ASTBase!F:P,11,FALSE)="","",VLOOKUP(A405,ASTBase!F:P,11,FALSE)))</f>
        <v>#N/A</v>
      </c>
      <c r="C405" s="140" t="str">
        <f>IF(IFERROR(_xlfn.IFNA(VLOOKUP($A405,'HR Rep'!$A:$X,MATCH('1) For HR (FIX)'!C$1,'HR Rep'!$A$1:$X$1,0),0),""),"")="","",IFERROR(_xlfn.IFNA(VLOOKUP($A405,'HR Rep'!$A:$X,MATCH('1) For HR (FIX)'!C$1,'HR Rep'!$A$1:$X$1,0),0),""),""))</f>
        <v/>
      </c>
      <c r="D405" s="140" t="str">
        <f>IF(IFERROR(_xlfn.IFNA(VLOOKUP($A405,'HR Rep'!$A:$X,MATCH('1) For HR (FIX)'!D$1,'HR Rep'!$A$1:$X$1,0),0),""),"")="","",IFERROR(_xlfn.IFNA(VLOOKUP($A405,'HR Rep'!$A:$X,MATCH('1) For HR (FIX)'!D$1,'HR Rep'!$A$1:$X$1,0),0),""),""))</f>
        <v/>
      </c>
      <c r="E405" s="140" t="str">
        <f>IF(IFERROR(_xlfn.IFNA(VLOOKUP($A405,'HR Rep'!$A:$X,MATCH('1) For HR (FIX)'!E$1,'HR Rep'!$A$1:$X$1,0),0),""),"")="","",IFERROR(_xlfn.IFNA(VLOOKUP($A405,'HR Rep'!$A:$X,MATCH('1) For HR (FIX)'!E$1,'HR Rep'!$A$1:$X$1,0),0),""),""))</f>
        <v/>
      </c>
      <c r="F405" s="140" t="str">
        <f>IF(IFERROR(_xlfn.IFNA(VLOOKUP($A405,'HR Rep'!$A:$X,MATCH('1) For HR (FIX)'!F$1,'HR Rep'!$A$1:$X$1,0),0),""),"")="","",IFERROR(_xlfn.IFNA(VLOOKUP($A405,'HR Rep'!$A:$X,MATCH('1) For HR (FIX)'!F$1,'HR Rep'!$A$1:$X$1,0),0),""),""))</f>
        <v/>
      </c>
      <c r="G405" s="196"/>
      <c r="H405" s="140" t="str">
        <f>IF(IFERROR(_xlfn.IFNA(VLOOKUP($A405,'HR Rep'!$A:$X,MATCH('1) For HR (FIX)'!H$1,'HR Rep'!$A$1:$X$1,0),0),""),"")="","",IFERROR(_xlfn.IFNA(VLOOKUP($A405,'HR Rep'!$A:$X,MATCH('1) For HR (FIX)'!H$1,'HR Rep'!$A$1:$X$1,0),0),""),""))</f>
        <v/>
      </c>
      <c r="I405" s="140" t="str">
        <f>IF(IFERROR(_xlfn.IFNA(VLOOKUP($A405,'HR Rep'!$A:$X,MATCH('1) For HR (FIX)'!I$1,'HR Rep'!$A$1:$X$1,0),0),""),"")="","",IFERROR(_xlfn.IFNA(VLOOKUP($A405,'HR Rep'!$A:$X,MATCH('1) For HR (FIX)'!I$1,'HR Rep'!$A$1:$X$1,0),0),""),""))</f>
        <v/>
      </c>
      <c r="J405" s="140" t="str">
        <f>IF(IFERROR(_xlfn.IFNA(VLOOKUP($A405,'HR Rep'!$A:$X,MATCH('1) For HR (FIX)'!J$1,'HR Rep'!$A$1:$X$1,0),0),""),"")="","",IFERROR(_xlfn.IFNA(VLOOKUP($A405,'HR Rep'!$A:$X,MATCH('1) For HR (FIX)'!J$1,'HR Rep'!$A$1:$X$1,0),0),""),""))</f>
        <v/>
      </c>
      <c r="K405" s="161">
        <f>_xlfn.XLOOKUP(G405,ค่าตอบแทนการขายในอัตราคงที่!A:A,ค่าตอบแทนการขายในอัตราคงที่!B:B)</f>
        <v>0</v>
      </c>
      <c r="L405" s="174">
        <f>Period!$A$2</f>
        <v>46113</v>
      </c>
      <c r="M405" s="175">
        <f>Period!$C$2</f>
        <v>46143</v>
      </c>
      <c r="N405" s="194" t="s">
        <v>279</v>
      </c>
    </row>
    <row r="406" spans="1:14" ht="11.4" x14ac:dyDescent="0.25">
      <c r="A406" s="137"/>
      <c r="B406" s="169" t="e">
        <f>IF(IF(VLOOKUP(A406,ASTBase!F:P,11,FALSE)="","",VLOOKUP(A406,ASTBase!F:P,11,FALSE))=0,"",IF(VLOOKUP(A406,ASTBase!F:P,11,FALSE)="","",VLOOKUP(A406,ASTBase!F:P,11,FALSE)))</f>
        <v>#N/A</v>
      </c>
      <c r="C406" s="140" t="str">
        <f>IF(IFERROR(_xlfn.IFNA(VLOOKUP($A406,'HR Rep'!$A:$X,MATCH('1) For HR (FIX)'!C$1,'HR Rep'!$A$1:$X$1,0),0),""),"")="","",IFERROR(_xlfn.IFNA(VLOOKUP($A406,'HR Rep'!$A:$X,MATCH('1) For HR (FIX)'!C$1,'HR Rep'!$A$1:$X$1,0),0),""),""))</f>
        <v/>
      </c>
      <c r="D406" s="140" t="str">
        <f>IF(IFERROR(_xlfn.IFNA(VLOOKUP($A406,'HR Rep'!$A:$X,MATCH('1) For HR (FIX)'!D$1,'HR Rep'!$A$1:$X$1,0),0),""),"")="","",IFERROR(_xlfn.IFNA(VLOOKUP($A406,'HR Rep'!$A:$X,MATCH('1) For HR (FIX)'!D$1,'HR Rep'!$A$1:$X$1,0),0),""),""))</f>
        <v/>
      </c>
      <c r="E406" s="140" t="str">
        <f>IF(IFERROR(_xlfn.IFNA(VLOOKUP($A406,'HR Rep'!$A:$X,MATCH('1) For HR (FIX)'!E$1,'HR Rep'!$A$1:$X$1,0),0),""),"")="","",IFERROR(_xlfn.IFNA(VLOOKUP($A406,'HR Rep'!$A:$X,MATCH('1) For HR (FIX)'!E$1,'HR Rep'!$A$1:$X$1,0),0),""),""))</f>
        <v/>
      </c>
      <c r="F406" s="140" t="str">
        <f>IF(IFERROR(_xlfn.IFNA(VLOOKUP($A406,'HR Rep'!$A:$X,MATCH('1) For HR (FIX)'!F$1,'HR Rep'!$A$1:$X$1,0),0),""),"")="","",IFERROR(_xlfn.IFNA(VLOOKUP($A406,'HR Rep'!$A:$X,MATCH('1) For HR (FIX)'!F$1,'HR Rep'!$A$1:$X$1,0),0),""),""))</f>
        <v/>
      </c>
      <c r="G406" s="196"/>
      <c r="H406" s="140" t="str">
        <f>IF(IFERROR(_xlfn.IFNA(VLOOKUP($A406,'HR Rep'!$A:$X,MATCH('1) For HR (FIX)'!H$1,'HR Rep'!$A$1:$X$1,0),0),""),"")="","",IFERROR(_xlfn.IFNA(VLOOKUP($A406,'HR Rep'!$A:$X,MATCH('1) For HR (FIX)'!H$1,'HR Rep'!$A$1:$X$1,0),0),""),""))</f>
        <v/>
      </c>
      <c r="I406" s="140" t="str">
        <f>IF(IFERROR(_xlfn.IFNA(VLOOKUP($A406,'HR Rep'!$A:$X,MATCH('1) For HR (FIX)'!I$1,'HR Rep'!$A$1:$X$1,0),0),""),"")="","",IFERROR(_xlfn.IFNA(VLOOKUP($A406,'HR Rep'!$A:$X,MATCH('1) For HR (FIX)'!I$1,'HR Rep'!$A$1:$X$1,0),0),""),""))</f>
        <v/>
      </c>
      <c r="J406" s="140" t="str">
        <f>IF(IFERROR(_xlfn.IFNA(VLOOKUP($A406,'HR Rep'!$A:$X,MATCH('1) For HR (FIX)'!J$1,'HR Rep'!$A$1:$X$1,0),0),""),"")="","",IFERROR(_xlfn.IFNA(VLOOKUP($A406,'HR Rep'!$A:$X,MATCH('1) For HR (FIX)'!J$1,'HR Rep'!$A$1:$X$1,0),0),""),""))</f>
        <v/>
      </c>
      <c r="K406" s="161">
        <f>_xlfn.XLOOKUP(G406,ค่าตอบแทนการขายในอัตราคงที่!A:A,ค่าตอบแทนการขายในอัตราคงที่!B:B)</f>
        <v>0</v>
      </c>
      <c r="L406" s="174">
        <f>Period!$A$2</f>
        <v>46113</v>
      </c>
      <c r="M406" s="175">
        <f>Period!$C$2</f>
        <v>46143</v>
      </c>
      <c r="N406" s="194" t="s">
        <v>279</v>
      </c>
    </row>
    <row r="407" spans="1:14" ht="11.4" x14ac:dyDescent="0.25">
      <c r="A407" s="137"/>
      <c r="B407" s="169" t="e">
        <f>IF(IF(VLOOKUP(A407,ASTBase!F:P,11,FALSE)="","",VLOOKUP(A407,ASTBase!F:P,11,FALSE))=0,"",IF(VLOOKUP(A407,ASTBase!F:P,11,FALSE)="","",VLOOKUP(A407,ASTBase!F:P,11,FALSE)))</f>
        <v>#N/A</v>
      </c>
      <c r="C407" s="140" t="str">
        <f>IF(IFERROR(_xlfn.IFNA(VLOOKUP($A407,'HR Rep'!$A:$X,MATCH('1) For HR (FIX)'!C$1,'HR Rep'!$A$1:$X$1,0),0),""),"")="","",IFERROR(_xlfn.IFNA(VLOOKUP($A407,'HR Rep'!$A:$X,MATCH('1) For HR (FIX)'!C$1,'HR Rep'!$A$1:$X$1,0),0),""),""))</f>
        <v/>
      </c>
      <c r="D407" s="140" t="str">
        <f>IF(IFERROR(_xlfn.IFNA(VLOOKUP($A407,'HR Rep'!$A:$X,MATCH('1) For HR (FIX)'!D$1,'HR Rep'!$A$1:$X$1,0),0),""),"")="","",IFERROR(_xlfn.IFNA(VLOOKUP($A407,'HR Rep'!$A:$X,MATCH('1) For HR (FIX)'!D$1,'HR Rep'!$A$1:$X$1,0),0),""),""))</f>
        <v/>
      </c>
      <c r="E407" s="140" t="str">
        <f>IF(IFERROR(_xlfn.IFNA(VLOOKUP($A407,'HR Rep'!$A:$X,MATCH('1) For HR (FIX)'!E$1,'HR Rep'!$A$1:$X$1,0),0),""),"")="","",IFERROR(_xlfn.IFNA(VLOOKUP($A407,'HR Rep'!$A:$X,MATCH('1) For HR (FIX)'!E$1,'HR Rep'!$A$1:$X$1,0),0),""),""))</f>
        <v/>
      </c>
      <c r="F407" s="140" t="str">
        <f>IF(IFERROR(_xlfn.IFNA(VLOOKUP($A407,'HR Rep'!$A:$X,MATCH('1) For HR (FIX)'!F$1,'HR Rep'!$A$1:$X$1,0),0),""),"")="","",IFERROR(_xlfn.IFNA(VLOOKUP($A407,'HR Rep'!$A:$X,MATCH('1) For HR (FIX)'!F$1,'HR Rep'!$A$1:$X$1,0),0),""),""))</f>
        <v/>
      </c>
      <c r="G407" s="196"/>
      <c r="H407" s="140" t="str">
        <f>IF(IFERROR(_xlfn.IFNA(VLOOKUP($A407,'HR Rep'!$A:$X,MATCH('1) For HR (FIX)'!H$1,'HR Rep'!$A$1:$X$1,0),0),""),"")="","",IFERROR(_xlfn.IFNA(VLOOKUP($A407,'HR Rep'!$A:$X,MATCH('1) For HR (FIX)'!H$1,'HR Rep'!$A$1:$X$1,0),0),""),""))</f>
        <v/>
      </c>
      <c r="I407" s="140" t="str">
        <f>IF(IFERROR(_xlfn.IFNA(VLOOKUP($A407,'HR Rep'!$A:$X,MATCH('1) For HR (FIX)'!I$1,'HR Rep'!$A$1:$X$1,0),0),""),"")="","",IFERROR(_xlfn.IFNA(VLOOKUP($A407,'HR Rep'!$A:$X,MATCH('1) For HR (FIX)'!I$1,'HR Rep'!$A$1:$X$1,0),0),""),""))</f>
        <v/>
      </c>
      <c r="J407" s="140" t="str">
        <f>IF(IFERROR(_xlfn.IFNA(VLOOKUP($A407,'HR Rep'!$A:$X,MATCH('1) For HR (FIX)'!J$1,'HR Rep'!$A$1:$X$1,0),0),""),"")="","",IFERROR(_xlfn.IFNA(VLOOKUP($A407,'HR Rep'!$A:$X,MATCH('1) For HR (FIX)'!J$1,'HR Rep'!$A$1:$X$1,0),0),""),""))</f>
        <v/>
      </c>
      <c r="K407" s="161">
        <f>_xlfn.XLOOKUP(G407,ค่าตอบแทนการขายในอัตราคงที่!A:A,ค่าตอบแทนการขายในอัตราคงที่!B:B)</f>
        <v>0</v>
      </c>
      <c r="L407" s="174">
        <f>Period!$A$2</f>
        <v>46113</v>
      </c>
      <c r="M407" s="175">
        <f>Period!$C$2</f>
        <v>46143</v>
      </c>
      <c r="N407" s="194" t="s">
        <v>279</v>
      </c>
    </row>
    <row r="408" spans="1:14" ht="11.4" x14ac:dyDescent="0.25">
      <c r="A408" s="137"/>
      <c r="B408" s="169" t="e">
        <f>IF(IF(VLOOKUP(A408,ASTBase!F:P,11,FALSE)="","",VLOOKUP(A408,ASTBase!F:P,11,FALSE))=0,"",IF(VLOOKUP(A408,ASTBase!F:P,11,FALSE)="","",VLOOKUP(A408,ASTBase!F:P,11,FALSE)))</f>
        <v>#N/A</v>
      </c>
      <c r="C408" s="140" t="str">
        <f>IF(IFERROR(_xlfn.IFNA(VLOOKUP($A408,'HR Rep'!$A:$X,MATCH('1) For HR (FIX)'!C$1,'HR Rep'!$A$1:$X$1,0),0),""),"")="","",IFERROR(_xlfn.IFNA(VLOOKUP($A408,'HR Rep'!$A:$X,MATCH('1) For HR (FIX)'!C$1,'HR Rep'!$A$1:$X$1,0),0),""),""))</f>
        <v/>
      </c>
      <c r="D408" s="140" t="str">
        <f>IF(IFERROR(_xlfn.IFNA(VLOOKUP($A408,'HR Rep'!$A:$X,MATCH('1) For HR (FIX)'!D$1,'HR Rep'!$A$1:$X$1,0),0),""),"")="","",IFERROR(_xlfn.IFNA(VLOOKUP($A408,'HR Rep'!$A:$X,MATCH('1) For HR (FIX)'!D$1,'HR Rep'!$A$1:$X$1,0),0),""),""))</f>
        <v/>
      </c>
      <c r="E408" s="140" t="str">
        <f>IF(IFERROR(_xlfn.IFNA(VLOOKUP($A408,'HR Rep'!$A:$X,MATCH('1) For HR (FIX)'!E$1,'HR Rep'!$A$1:$X$1,0),0),""),"")="","",IFERROR(_xlfn.IFNA(VLOOKUP($A408,'HR Rep'!$A:$X,MATCH('1) For HR (FIX)'!E$1,'HR Rep'!$A$1:$X$1,0),0),""),""))</f>
        <v/>
      </c>
      <c r="F408" s="140" t="str">
        <f>IF(IFERROR(_xlfn.IFNA(VLOOKUP($A408,'HR Rep'!$A:$X,MATCH('1) For HR (FIX)'!F$1,'HR Rep'!$A$1:$X$1,0),0),""),"")="","",IFERROR(_xlfn.IFNA(VLOOKUP($A408,'HR Rep'!$A:$X,MATCH('1) For HR (FIX)'!F$1,'HR Rep'!$A$1:$X$1,0),0),""),""))</f>
        <v/>
      </c>
      <c r="G408" s="196"/>
      <c r="H408" s="140" t="str">
        <f>IF(IFERROR(_xlfn.IFNA(VLOOKUP($A408,'HR Rep'!$A:$X,MATCH('1) For HR (FIX)'!H$1,'HR Rep'!$A$1:$X$1,0),0),""),"")="","",IFERROR(_xlfn.IFNA(VLOOKUP($A408,'HR Rep'!$A:$X,MATCH('1) For HR (FIX)'!H$1,'HR Rep'!$A$1:$X$1,0),0),""),""))</f>
        <v/>
      </c>
      <c r="I408" s="140" t="str">
        <f>IF(IFERROR(_xlfn.IFNA(VLOOKUP($A408,'HR Rep'!$A:$X,MATCH('1) For HR (FIX)'!I$1,'HR Rep'!$A$1:$X$1,0),0),""),"")="","",IFERROR(_xlfn.IFNA(VLOOKUP($A408,'HR Rep'!$A:$X,MATCH('1) For HR (FIX)'!I$1,'HR Rep'!$A$1:$X$1,0),0),""),""))</f>
        <v/>
      </c>
      <c r="J408" s="140" t="str">
        <f>IF(IFERROR(_xlfn.IFNA(VLOOKUP($A408,'HR Rep'!$A:$X,MATCH('1) For HR (FIX)'!J$1,'HR Rep'!$A$1:$X$1,0),0),""),"")="","",IFERROR(_xlfn.IFNA(VLOOKUP($A408,'HR Rep'!$A:$X,MATCH('1) For HR (FIX)'!J$1,'HR Rep'!$A$1:$X$1,0),0),""),""))</f>
        <v/>
      </c>
      <c r="K408" s="161">
        <f>_xlfn.XLOOKUP(G408,ค่าตอบแทนการขายในอัตราคงที่!A:A,ค่าตอบแทนการขายในอัตราคงที่!B:B)</f>
        <v>0</v>
      </c>
      <c r="L408" s="174">
        <f>Period!$A$2</f>
        <v>46113</v>
      </c>
      <c r="M408" s="175">
        <f>Period!$C$2</f>
        <v>46143</v>
      </c>
      <c r="N408" s="194" t="s">
        <v>279</v>
      </c>
    </row>
    <row r="409" spans="1:14" ht="11.4" x14ac:dyDescent="0.25">
      <c r="A409" s="137"/>
      <c r="B409" s="169" t="e">
        <f>IF(IF(VLOOKUP(A409,ASTBase!F:P,11,FALSE)="","",VLOOKUP(A409,ASTBase!F:P,11,FALSE))=0,"",IF(VLOOKUP(A409,ASTBase!F:P,11,FALSE)="","",VLOOKUP(A409,ASTBase!F:P,11,FALSE)))</f>
        <v>#N/A</v>
      </c>
      <c r="C409" s="140" t="str">
        <f>IF(IFERROR(_xlfn.IFNA(VLOOKUP($A409,'HR Rep'!$A:$X,MATCH('1) For HR (FIX)'!C$1,'HR Rep'!$A$1:$X$1,0),0),""),"")="","",IFERROR(_xlfn.IFNA(VLOOKUP($A409,'HR Rep'!$A:$X,MATCH('1) For HR (FIX)'!C$1,'HR Rep'!$A$1:$X$1,0),0),""),""))</f>
        <v/>
      </c>
      <c r="D409" s="140" t="str">
        <f>IF(IFERROR(_xlfn.IFNA(VLOOKUP($A409,'HR Rep'!$A:$X,MATCH('1) For HR (FIX)'!D$1,'HR Rep'!$A$1:$X$1,0),0),""),"")="","",IFERROR(_xlfn.IFNA(VLOOKUP($A409,'HR Rep'!$A:$X,MATCH('1) For HR (FIX)'!D$1,'HR Rep'!$A$1:$X$1,0),0),""),""))</f>
        <v/>
      </c>
      <c r="E409" s="140" t="str">
        <f>IF(IFERROR(_xlfn.IFNA(VLOOKUP($A409,'HR Rep'!$A:$X,MATCH('1) For HR (FIX)'!E$1,'HR Rep'!$A$1:$X$1,0),0),""),"")="","",IFERROR(_xlfn.IFNA(VLOOKUP($A409,'HR Rep'!$A:$X,MATCH('1) For HR (FIX)'!E$1,'HR Rep'!$A$1:$X$1,0),0),""),""))</f>
        <v/>
      </c>
      <c r="F409" s="140" t="str">
        <f>IF(IFERROR(_xlfn.IFNA(VLOOKUP($A409,'HR Rep'!$A:$X,MATCH('1) For HR (FIX)'!F$1,'HR Rep'!$A$1:$X$1,0),0),""),"")="","",IFERROR(_xlfn.IFNA(VLOOKUP($A409,'HR Rep'!$A:$X,MATCH('1) For HR (FIX)'!F$1,'HR Rep'!$A$1:$X$1,0),0),""),""))</f>
        <v/>
      </c>
      <c r="G409" s="196"/>
      <c r="H409" s="140" t="str">
        <f>IF(IFERROR(_xlfn.IFNA(VLOOKUP($A409,'HR Rep'!$A:$X,MATCH('1) For HR (FIX)'!H$1,'HR Rep'!$A$1:$X$1,0),0),""),"")="","",IFERROR(_xlfn.IFNA(VLOOKUP($A409,'HR Rep'!$A:$X,MATCH('1) For HR (FIX)'!H$1,'HR Rep'!$A$1:$X$1,0),0),""),""))</f>
        <v/>
      </c>
      <c r="I409" s="140" t="str">
        <f>IF(IFERROR(_xlfn.IFNA(VLOOKUP($A409,'HR Rep'!$A:$X,MATCH('1) For HR (FIX)'!I$1,'HR Rep'!$A$1:$X$1,0),0),""),"")="","",IFERROR(_xlfn.IFNA(VLOOKUP($A409,'HR Rep'!$A:$X,MATCH('1) For HR (FIX)'!I$1,'HR Rep'!$A$1:$X$1,0),0),""),""))</f>
        <v/>
      </c>
      <c r="J409" s="140" t="str">
        <f>IF(IFERROR(_xlfn.IFNA(VLOOKUP($A409,'HR Rep'!$A:$X,MATCH('1) For HR (FIX)'!J$1,'HR Rep'!$A$1:$X$1,0),0),""),"")="","",IFERROR(_xlfn.IFNA(VLOOKUP($A409,'HR Rep'!$A:$X,MATCH('1) For HR (FIX)'!J$1,'HR Rep'!$A$1:$X$1,0),0),""),""))</f>
        <v/>
      </c>
      <c r="K409" s="161">
        <f>_xlfn.XLOOKUP(G409,ค่าตอบแทนการขายในอัตราคงที่!A:A,ค่าตอบแทนการขายในอัตราคงที่!B:B)</f>
        <v>0</v>
      </c>
      <c r="L409" s="174">
        <f>Period!$A$2</f>
        <v>46113</v>
      </c>
      <c r="M409" s="175">
        <f>Period!$C$2</f>
        <v>46143</v>
      </c>
      <c r="N409" s="194" t="s">
        <v>279</v>
      </c>
    </row>
    <row r="410" spans="1:14" ht="11.4" x14ac:dyDescent="0.25">
      <c r="A410" s="137"/>
      <c r="B410" s="169" t="e">
        <f>IF(IF(VLOOKUP(A410,ASTBase!F:P,11,FALSE)="","",VLOOKUP(A410,ASTBase!F:P,11,FALSE))=0,"",IF(VLOOKUP(A410,ASTBase!F:P,11,FALSE)="","",VLOOKUP(A410,ASTBase!F:P,11,FALSE)))</f>
        <v>#N/A</v>
      </c>
      <c r="C410" s="140" t="str">
        <f>IF(IFERROR(_xlfn.IFNA(VLOOKUP($A410,'HR Rep'!$A:$X,MATCH('1) For HR (FIX)'!C$1,'HR Rep'!$A$1:$X$1,0),0),""),"")="","",IFERROR(_xlfn.IFNA(VLOOKUP($A410,'HR Rep'!$A:$X,MATCH('1) For HR (FIX)'!C$1,'HR Rep'!$A$1:$X$1,0),0),""),""))</f>
        <v/>
      </c>
      <c r="D410" s="140" t="str">
        <f>IF(IFERROR(_xlfn.IFNA(VLOOKUP($A410,'HR Rep'!$A:$X,MATCH('1) For HR (FIX)'!D$1,'HR Rep'!$A$1:$X$1,0),0),""),"")="","",IFERROR(_xlfn.IFNA(VLOOKUP($A410,'HR Rep'!$A:$X,MATCH('1) For HR (FIX)'!D$1,'HR Rep'!$A$1:$X$1,0),0),""),""))</f>
        <v/>
      </c>
      <c r="E410" s="140" t="str">
        <f>IF(IFERROR(_xlfn.IFNA(VLOOKUP($A410,'HR Rep'!$A:$X,MATCH('1) For HR (FIX)'!E$1,'HR Rep'!$A$1:$X$1,0),0),""),"")="","",IFERROR(_xlfn.IFNA(VLOOKUP($A410,'HR Rep'!$A:$X,MATCH('1) For HR (FIX)'!E$1,'HR Rep'!$A$1:$X$1,0),0),""),""))</f>
        <v/>
      </c>
      <c r="F410" s="140" t="str">
        <f>IF(IFERROR(_xlfn.IFNA(VLOOKUP($A410,'HR Rep'!$A:$X,MATCH('1) For HR (FIX)'!F$1,'HR Rep'!$A$1:$X$1,0),0),""),"")="","",IFERROR(_xlfn.IFNA(VLOOKUP($A410,'HR Rep'!$A:$X,MATCH('1) For HR (FIX)'!F$1,'HR Rep'!$A$1:$X$1,0),0),""),""))</f>
        <v/>
      </c>
      <c r="G410" s="196"/>
      <c r="H410" s="140" t="str">
        <f>IF(IFERROR(_xlfn.IFNA(VLOOKUP($A410,'HR Rep'!$A:$X,MATCH('1) For HR (FIX)'!H$1,'HR Rep'!$A$1:$X$1,0),0),""),"")="","",IFERROR(_xlfn.IFNA(VLOOKUP($A410,'HR Rep'!$A:$X,MATCH('1) For HR (FIX)'!H$1,'HR Rep'!$A$1:$X$1,0),0),""),""))</f>
        <v/>
      </c>
      <c r="I410" s="140" t="str">
        <f>IF(IFERROR(_xlfn.IFNA(VLOOKUP($A410,'HR Rep'!$A:$X,MATCH('1) For HR (FIX)'!I$1,'HR Rep'!$A$1:$X$1,0),0),""),"")="","",IFERROR(_xlfn.IFNA(VLOOKUP($A410,'HR Rep'!$A:$X,MATCH('1) For HR (FIX)'!I$1,'HR Rep'!$A$1:$X$1,0),0),""),""))</f>
        <v/>
      </c>
      <c r="J410" s="140" t="str">
        <f>IF(IFERROR(_xlfn.IFNA(VLOOKUP($A410,'HR Rep'!$A:$X,MATCH('1) For HR (FIX)'!J$1,'HR Rep'!$A$1:$X$1,0),0),""),"")="","",IFERROR(_xlfn.IFNA(VLOOKUP($A410,'HR Rep'!$A:$X,MATCH('1) For HR (FIX)'!J$1,'HR Rep'!$A$1:$X$1,0),0),""),""))</f>
        <v/>
      </c>
      <c r="K410" s="161">
        <f>_xlfn.XLOOKUP(G410,ค่าตอบแทนการขายในอัตราคงที่!A:A,ค่าตอบแทนการขายในอัตราคงที่!B:B)</f>
        <v>0</v>
      </c>
      <c r="L410" s="174">
        <f>Period!$A$2</f>
        <v>46113</v>
      </c>
      <c r="M410" s="175">
        <f>Period!$C$2</f>
        <v>46143</v>
      </c>
      <c r="N410" s="194" t="s">
        <v>279</v>
      </c>
    </row>
    <row r="411" spans="1:14" ht="11.4" x14ac:dyDescent="0.25">
      <c r="A411" s="137"/>
      <c r="B411" s="169" t="e">
        <f>IF(IF(VLOOKUP(A411,ASTBase!F:P,11,FALSE)="","",VLOOKUP(A411,ASTBase!F:P,11,FALSE))=0,"",IF(VLOOKUP(A411,ASTBase!F:P,11,FALSE)="","",VLOOKUP(A411,ASTBase!F:P,11,FALSE)))</f>
        <v>#N/A</v>
      </c>
      <c r="C411" s="140" t="str">
        <f>IF(IFERROR(_xlfn.IFNA(VLOOKUP($A411,'HR Rep'!$A:$X,MATCH('1) For HR (FIX)'!C$1,'HR Rep'!$A$1:$X$1,0),0),""),"")="","",IFERROR(_xlfn.IFNA(VLOOKUP($A411,'HR Rep'!$A:$X,MATCH('1) For HR (FIX)'!C$1,'HR Rep'!$A$1:$X$1,0),0),""),""))</f>
        <v/>
      </c>
      <c r="D411" s="140" t="str">
        <f>IF(IFERROR(_xlfn.IFNA(VLOOKUP($A411,'HR Rep'!$A:$X,MATCH('1) For HR (FIX)'!D$1,'HR Rep'!$A$1:$X$1,0),0),""),"")="","",IFERROR(_xlfn.IFNA(VLOOKUP($A411,'HR Rep'!$A:$X,MATCH('1) For HR (FIX)'!D$1,'HR Rep'!$A$1:$X$1,0),0),""),""))</f>
        <v/>
      </c>
      <c r="E411" s="140" t="str">
        <f>IF(IFERROR(_xlfn.IFNA(VLOOKUP($A411,'HR Rep'!$A:$X,MATCH('1) For HR (FIX)'!E$1,'HR Rep'!$A$1:$X$1,0),0),""),"")="","",IFERROR(_xlfn.IFNA(VLOOKUP($A411,'HR Rep'!$A:$X,MATCH('1) For HR (FIX)'!E$1,'HR Rep'!$A$1:$X$1,0),0),""),""))</f>
        <v/>
      </c>
      <c r="F411" s="140" t="str">
        <f>IF(IFERROR(_xlfn.IFNA(VLOOKUP($A411,'HR Rep'!$A:$X,MATCH('1) For HR (FIX)'!F$1,'HR Rep'!$A$1:$X$1,0),0),""),"")="","",IFERROR(_xlfn.IFNA(VLOOKUP($A411,'HR Rep'!$A:$X,MATCH('1) For HR (FIX)'!F$1,'HR Rep'!$A$1:$X$1,0),0),""),""))</f>
        <v/>
      </c>
      <c r="G411" s="196"/>
      <c r="H411" s="140" t="str">
        <f>IF(IFERROR(_xlfn.IFNA(VLOOKUP($A411,'HR Rep'!$A:$X,MATCH('1) For HR (FIX)'!H$1,'HR Rep'!$A$1:$X$1,0),0),""),"")="","",IFERROR(_xlfn.IFNA(VLOOKUP($A411,'HR Rep'!$A:$X,MATCH('1) For HR (FIX)'!H$1,'HR Rep'!$A$1:$X$1,0),0),""),""))</f>
        <v/>
      </c>
      <c r="I411" s="140" t="str">
        <f>IF(IFERROR(_xlfn.IFNA(VLOOKUP($A411,'HR Rep'!$A:$X,MATCH('1) For HR (FIX)'!I$1,'HR Rep'!$A$1:$X$1,0),0),""),"")="","",IFERROR(_xlfn.IFNA(VLOOKUP($A411,'HR Rep'!$A:$X,MATCH('1) For HR (FIX)'!I$1,'HR Rep'!$A$1:$X$1,0),0),""),""))</f>
        <v/>
      </c>
      <c r="J411" s="140" t="str">
        <f>IF(IFERROR(_xlfn.IFNA(VLOOKUP($A411,'HR Rep'!$A:$X,MATCH('1) For HR (FIX)'!J$1,'HR Rep'!$A$1:$X$1,0),0),""),"")="","",IFERROR(_xlfn.IFNA(VLOOKUP($A411,'HR Rep'!$A:$X,MATCH('1) For HR (FIX)'!J$1,'HR Rep'!$A$1:$X$1,0),0),""),""))</f>
        <v/>
      </c>
      <c r="K411" s="161">
        <f>_xlfn.XLOOKUP(G411,ค่าตอบแทนการขายในอัตราคงที่!A:A,ค่าตอบแทนการขายในอัตราคงที่!B:B)</f>
        <v>0</v>
      </c>
      <c r="L411" s="174">
        <f>Period!$A$2</f>
        <v>46113</v>
      </c>
      <c r="M411" s="175">
        <f>Period!$C$2</f>
        <v>46143</v>
      </c>
      <c r="N411" s="194" t="s">
        <v>279</v>
      </c>
    </row>
    <row r="412" spans="1:14" ht="11.4" x14ac:dyDescent="0.25">
      <c r="A412" s="137"/>
      <c r="B412" s="169" t="e">
        <f>IF(IF(VLOOKUP(A412,ASTBase!F:P,11,FALSE)="","",VLOOKUP(A412,ASTBase!F:P,11,FALSE))=0,"",IF(VLOOKUP(A412,ASTBase!F:P,11,FALSE)="","",VLOOKUP(A412,ASTBase!F:P,11,FALSE)))</f>
        <v>#N/A</v>
      </c>
      <c r="C412" s="140" t="str">
        <f>IF(IFERROR(_xlfn.IFNA(VLOOKUP($A412,'HR Rep'!$A:$X,MATCH('1) For HR (FIX)'!C$1,'HR Rep'!$A$1:$X$1,0),0),""),"")="","",IFERROR(_xlfn.IFNA(VLOOKUP($A412,'HR Rep'!$A:$X,MATCH('1) For HR (FIX)'!C$1,'HR Rep'!$A$1:$X$1,0),0),""),""))</f>
        <v/>
      </c>
      <c r="D412" s="140" t="str">
        <f>IF(IFERROR(_xlfn.IFNA(VLOOKUP($A412,'HR Rep'!$A:$X,MATCH('1) For HR (FIX)'!D$1,'HR Rep'!$A$1:$X$1,0),0),""),"")="","",IFERROR(_xlfn.IFNA(VLOOKUP($A412,'HR Rep'!$A:$X,MATCH('1) For HR (FIX)'!D$1,'HR Rep'!$A$1:$X$1,0),0),""),""))</f>
        <v/>
      </c>
      <c r="E412" s="140" t="str">
        <f>IF(IFERROR(_xlfn.IFNA(VLOOKUP($A412,'HR Rep'!$A:$X,MATCH('1) For HR (FIX)'!E$1,'HR Rep'!$A$1:$X$1,0),0),""),"")="","",IFERROR(_xlfn.IFNA(VLOOKUP($A412,'HR Rep'!$A:$X,MATCH('1) For HR (FIX)'!E$1,'HR Rep'!$A$1:$X$1,0),0),""),""))</f>
        <v/>
      </c>
      <c r="F412" s="140" t="str">
        <f>IF(IFERROR(_xlfn.IFNA(VLOOKUP($A412,'HR Rep'!$A:$X,MATCH('1) For HR (FIX)'!F$1,'HR Rep'!$A$1:$X$1,0),0),""),"")="","",IFERROR(_xlfn.IFNA(VLOOKUP($A412,'HR Rep'!$A:$X,MATCH('1) For HR (FIX)'!F$1,'HR Rep'!$A$1:$X$1,0),0),""),""))</f>
        <v/>
      </c>
      <c r="G412" s="196"/>
      <c r="H412" s="140" t="str">
        <f>IF(IFERROR(_xlfn.IFNA(VLOOKUP($A412,'HR Rep'!$A:$X,MATCH('1) For HR (FIX)'!H$1,'HR Rep'!$A$1:$X$1,0),0),""),"")="","",IFERROR(_xlfn.IFNA(VLOOKUP($A412,'HR Rep'!$A:$X,MATCH('1) For HR (FIX)'!H$1,'HR Rep'!$A$1:$X$1,0),0),""),""))</f>
        <v/>
      </c>
      <c r="I412" s="140" t="str">
        <f>IF(IFERROR(_xlfn.IFNA(VLOOKUP($A412,'HR Rep'!$A:$X,MATCH('1) For HR (FIX)'!I$1,'HR Rep'!$A$1:$X$1,0),0),""),"")="","",IFERROR(_xlfn.IFNA(VLOOKUP($A412,'HR Rep'!$A:$X,MATCH('1) For HR (FIX)'!I$1,'HR Rep'!$A$1:$X$1,0),0),""),""))</f>
        <v/>
      </c>
      <c r="J412" s="140" t="str">
        <f>IF(IFERROR(_xlfn.IFNA(VLOOKUP($A412,'HR Rep'!$A:$X,MATCH('1) For HR (FIX)'!J$1,'HR Rep'!$A$1:$X$1,0),0),""),"")="","",IFERROR(_xlfn.IFNA(VLOOKUP($A412,'HR Rep'!$A:$X,MATCH('1) For HR (FIX)'!J$1,'HR Rep'!$A$1:$X$1,0),0),""),""))</f>
        <v/>
      </c>
      <c r="K412" s="161">
        <f>_xlfn.XLOOKUP(G412,ค่าตอบแทนการขายในอัตราคงที่!A:A,ค่าตอบแทนการขายในอัตราคงที่!B:B)</f>
        <v>0</v>
      </c>
      <c r="L412" s="174">
        <f>Period!$A$2</f>
        <v>46113</v>
      </c>
      <c r="M412" s="175">
        <f>Period!$C$2</f>
        <v>46143</v>
      </c>
      <c r="N412" s="194" t="s">
        <v>279</v>
      </c>
    </row>
    <row r="413" spans="1:14" ht="11.4" x14ac:dyDescent="0.25">
      <c r="A413" s="137"/>
      <c r="B413" s="169" t="e">
        <f>IF(IF(VLOOKUP(A413,ASTBase!F:P,11,FALSE)="","",VLOOKUP(A413,ASTBase!F:P,11,FALSE))=0,"",IF(VLOOKUP(A413,ASTBase!F:P,11,FALSE)="","",VLOOKUP(A413,ASTBase!F:P,11,FALSE)))</f>
        <v>#N/A</v>
      </c>
      <c r="C413" s="140" t="str">
        <f>IF(IFERROR(_xlfn.IFNA(VLOOKUP($A413,'HR Rep'!$A:$X,MATCH('1) For HR (FIX)'!C$1,'HR Rep'!$A$1:$X$1,0),0),""),"")="","",IFERROR(_xlfn.IFNA(VLOOKUP($A413,'HR Rep'!$A:$X,MATCH('1) For HR (FIX)'!C$1,'HR Rep'!$A$1:$X$1,0),0),""),""))</f>
        <v/>
      </c>
      <c r="D413" s="140" t="str">
        <f>IF(IFERROR(_xlfn.IFNA(VLOOKUP($A413,'HR Rep'!$A:$X,MATCH('1) For HR (FIX)'!D$1,'HR Rep'!$A$1:$X$1,0),0),""),"")="","",IFERROR(_xlfn.IFNA(VLOOKUP($A413,'HR Rep'!$A:$X,MATCH('1) For HR (FIX)'!D$1,'HR Rep'!$A$1:$X$1,0),0),""),""))</f>
        <v/>
      </c>
      <c r="E413" s="140" t="str">
        <f>IF(IFERROR(_xlfn.IFNA(VLOOKUP($A413,'HR Rep'!$A:$X,MATCH('1) For HR (FIX)'!E$1,'HR Rep'!$A$1:$X$1,0),0),""),"")="","",IFERROR(_xlfn.IFNA(VLOOKUP($A413,'HR Rep'!$A:$X,MATCH('1) For HR (FIX)'!E$1,'HR Rep'!$A$1:$X$1,0),0),""),""))</f>
        <v/>
      </c>
      <c r="F413" s="140" t="str">
        <f>IF(IFERROR(_xlfn.IFNA(VLOOKUP($A413,'HR Rep'!$A:$X,MATCH('1) For HR (FIX)'!F$1,'HR Rep'!$A$1:$X$1,0),0),""),"")="","",IFERROR(_xlfn.IFNA(VLOOKUP($A413,'HR Rep'!$A:$X,MATCH('1) For HR (FIX)'!F$1,'HR Rep'!$A$1:$X$1,0),0),""),""))</f>
        <v/>
      </c>
      <c r="G413" s="196"/>
      <c r="H413" s="140" t="str">
        <f>IF(IFERROR(_xlfn.IFNA(VLOOKUP($A413,'HR Rep'!$A:$X,MATCH('1) For HR (FIX)'!H$1,'HR Rep'!$A$1:$X$1,0),0),""),"")="","",IFERROR(_xlfn.IFNA(VLOOKUP($A413,'HR Rep'!$A:$X,MATCH('1) For HR (FIX)'!H$1,'HR Rep'!$A$1:$X$1,0),0),""),""))</f>
        <v/>
      </c>
      <c r="I413" s="140" t="str">
        <f>IF(IFERROR(_xlfn.IFNA(VLOOKUP($A413,'HR Rep'!$A:$X,MATCH('1) For HR (FIX)'!I$1,'HR Rep'!$A$1:$X$1,0),0),""),"")="","",IFERROR(_xlfn.IFNA(VLOOKUP($A413,'HR Rep'!$A:$X,MATCH('1) For HR (FIX)'!I$1,'HR Rep'!$A$1:$X$1,0),0),""),""))</f>
        <v/>
      </c>
      <c r="J413" s="140" t="str">
        <f>IF(IFERROR(_xlfn.IFNA(VLOOKUP($A413,'HR Rep'!$A:$X,MATCH('1) For HR (FIX)'!J$1,'HR Rep'!$A$1:$X$1,0),0),""),"")="","",IFERROR(_xlfn.IFNA(VLOOKUP($A413,'HR Rep'!$A:$X,MATCH('1) For HR (FIX)'!J$1,'HR Rep'!$A$1:$X$1,0),0),""),""))</f>
        <v/>
      </c>
      <c r="K413" s="161">
        <f>_xlfn.XLOOKUP(G413,ค่าตอบแทนการขายในอัตราคงที่!A:A,ค่าตอบแทนการขายในอัตราคงที่!B:B)</f>
        <v>0</v>
      </c>
      <c r="L413" s="174">
        <f>Period!$A$2</f>
        <v>46113</v>
      </c>
      <c r="M413" s="175">
        <f>Period!$C$2</f>
        <v>46143</v>
      </c>
      <c r="N413" s="194" t="s">
        <v>279</v>
      </c>
    </row>
    <row r="414" spans="1:14" ht="11.4" x14ac:dyDescent="0.25">
      <c r="A414" s="137"/>
      <c r="B414" s="169" t="e">
        <f>IF(IF(VLOOKUP(A414,ASTBase!F:P,11,FALSE)="","",VLOOKUP(A414,ASTBase!F:P,11,FALSE))=0,"",IF(VLOOKUP(A414,ASTBase!F:P,11,FALSE)="","",VLOOKUP(A414,ASTBase!F:P,11,FALSE)))</f>
        <v>#N/A</v>
      </c>
      <c r="C414" s="140" t="str">
        <f>IF(IFERROR(_xlfn.IFNA(VLOOKUP($A414,'HR Rep'!$A:$X,MATCH('1) For HR (FIX)'!C$1,'HR Rep'!$A$1:$X$1,0),0),""),"")="","",IFERROR(_xlfn.IFNA(VLOOKUP($A414,'HR Rep'!$A:$X,MATCH('1) For HR (FIX)'!C$1,'HR Rep'!$A$1:$X$1,0),0),""),""))</f>
        <v/>
      </c>
      <c r="D414" s="140" t="str">
        <f>IF(IFERROR(_xlfn.IFNA(VLOOKUP($A414,'HR Rep'!$A:$X,MATCH('1) For HR (FIX)'!D$1,'HR Rep'!$A$1:$X$1,0),0),""),"")="","",IFERROR(_xlfn.IFNA(VLOOKUP($A414,'HR Rep'!$A:$X,MATCH('1) For HR (FIX)'!D$1,'HR Rep'!$A$1:$X$1,0),0),""),""))</f>
        <v/>
      </c>
      <c r="E414" s="140" t="str">
        <f>IF(IFERROR(_xlfn.IFNA(VLOOKUP($A414,'HR Rep'!$A:$X,MATCH('1) For HR (FIX)'!E$1,'HR Rep'!$A$1:$X$1,0),0),""),"")="","",IFERROR(_xlfn.IFNA(VLOOKUP($A414,'HR Rep'!$A:$X,MATCH('1) For HR (FIX)'!E$1,'HR Rep'!$A$1:$X$1,0),0),""),""))</f>
        <v/>
      </c>
      <c r="F414" s="140" t="str">
        <f>IF(IFERROR(_xlfn.IFNA(VLOOKUP($A414,'HR Rep'!$A:$X,MATCH('1) For HR (FIX)'!F$1,'HR Rep'!$A$1:$X$1,0),0),""),"")="","",IFERROR(_xlfn.IFNA(VLOOKUP($A414,'HR Rep'!$A:$X,MATCH('1) For HR (FIX)'!F$1,'HR Rep'!$A$1:$X$1,0),0),""),""))</f>
        <v/>
      </c>
      <c r="G414" s="196"/>
      <c r="H414" s="140" t="str">
        <f>IF(IFERROR(_xlfn.IFNA(VLOOKUP($A414,'HR Rep'!$A:$X,MATCH('1) For HR (FIX)'!H$1,'HR Rep'!$A$1:$X$1,0),0),""),"")="","",IFERROR(_xlfn.IFNA(VLOOKUP($A414,'HR Rep'!$A:$X,MATCH('1) For HR (FIX)'!H$1,'HR Rep'!$A$1:$X$1,0),0),""),""))</f>
        <v/>
      </c>
      <c r="I414" s="140" t="str">
        <f>IF(IFERROR(_xlfn.IFNA(VLOOKUP($A414,'HR Rep'!$A:$X,MATCH('1) For HR (FIX)'!I$1,'HR Rep'!$A$1:$X$1,0),0),""),"")="","",IFERROR(_xlfn.IFNA(VLOOKUP($A414,'HR Rep'!$A:$X,MATCH('1) For HR (FIX)'!I$1,'HR Rep'!$A$1:$X$1,0),0),""),""))</f>
        <v/>
      </c>
      <c r="J414" s="140" t="str">
        <f>IF(IFERROR(_xlfn.IFNA(VLOOKUP($A414,'HR Rep'!$A:$X,MATCH('1) For HR (FIX)'!J$1,'HR Rep'!$A$1:$X$1,0),0),""),"")="","",IFERROR(_xlfn.IFNA(VLOOKUP($A414,'HR Rep'!$A:$X,MATCH('1) For HR (FIX)'!J$1,'HR Rep'!$A$1:$X$1,0),0),""),""))</f>
        <v/>
      </c>
      <c r="K414" s="161">
        <f>_xlfn.XLOOKUP(G414,ค่าตอบแทนการขายในอัตราคงที่!A:A,ค่าตอบแทนการขายในอัตราคงที่!B:B)</f>
        <v>0</v>
      </c>
      <c r="L414" s="174">
        <f>Period!$A$2</f>
        <v>46113</v>
      </c>
      <c r="M414" s="175">
        <f>Period!$C$2</f>
        <v>46143</v>
      </c>
      <c r="N414" s="194" t="s">
        <v>279</v>
      </c>
    </row>
    <row r="415" spans="1:14" ht="11.4" x14ac:dyDescent="0.25">
      <c r="A415" s="137"/>
      <c r="B415" s="169" t="e">
        <f>IF(IF(VLOOKUP(A415,ASTBase!F:P,11,FALSE)="","",VLOOKUP(A415,ASTBase!F:P,11,FALSE))=0,"",IF(VLOOKUP(A415,ASTBase!F:P,11,FALSE)="","",VLOOKUP(A415,ASTBase!F:P,11,FALSE)))</f>
        <v>#N/A</v>
      </c>
      <c r="C415" s="140" t="str">
        <f>IF(IFERROR(_xlfn.IFNA(VLOOKUP($A415,'HR Rep'!$A:$X,MATCH('1) For HR (FIX)'!C$1,'HR Rep'!$A$1:$X$1,0),0),""),"")="","",IFERROR(_xlfn.IFNA(VLOOKUP($A415,'HR Rep'!$A:$X,MATCH('1) For HR (FIX)'!C$1,'HR Rep'!$A$1:$X$1,0),0),""),""))</f>
        <v/>
      </c>
      <c r="D415" s="140" t="str">
        <f>IF(IFERROR(_xlfn.IFNA(VLOOKUP($A415,'HR Rep'!$A:$X,MATCH('1) For HR (FIX)'!D$1,'HR Rep'!$A$1:$X$1,0),0),""),"")="","",IFERROR(_xlfn.IFNA(VLOOKUP($A415,'HR Rep'!$A:$X,MATCH('1) For HR (FIX)'!D$1,'HR Rep'!$A$1:$X$1,0),0),""),""))</f>
        <v/>
      </c>
      <c r="E415" s="140" t="str">
        <f>IF(IFERROR(_xlfn.IFNA(VLOOKUP($A415,'HR Rep'!$A:$X,MATCH('1) For HR (FIX)'!E$1,'HR Rep'!$A$1:$X$1,0),0),""),"")="","",IFERROR(_xlfn.IFNA(VLOOKUP($A415,'HR Rep'!$A:$X,MATCH('1) For HR (FIX)'!E$1,'HR Rep'!$A$1:$X$1,0),0),""),""))</f>
        <v/>
      </c>
      <c r="F415" s="140" t="str">
        <f>IF(IFERROR(_xlfn.IFNA(VLOOKUP($A415,'HR Rep'!$A:$X,MATCH('1) For HR (FIX)'!F$1,'HR Rep'!$A$1:$X$1,0),0),""),"")="","",IFERROR(_xlfn.IFNA(VLOOKUP($A415,'HR Rep'!$A:$X,MATCH('1) For HR (FIX)'!F$1,'HR Rep'!$A$1:$X$1,0),0),""),""))</f>
        <v/>
      </c>
      <c r="G415" s="196"/>
      <c r="H415" s="140" t="str">
        <f>IF(IFERROR(_xlfn.IFNA(VLOOKUP($A415,'HR Rep'!$A:$X,MATCH('1) For HR (FIX)'!H$1,'HR Rep'!$A$1:$X$1,0),0),""),"")="","",IFERROR(_xlfn.IFNA(VLOOKUP($A415,'HR Rep'!$A:$X,MATCH('1) For HR (FIX)'!H$1,'HR Rep'!$A$1:$X$1,0),0),""),""))</f>
        <v/>
      </c>
      <c r="I415" s="140" t="str">
        <f>IF(IFERROR(_xlfn.IFNA(VLOOKUP($A415,'HR Rep'!$A:$X,MATCH('1) For HR (FIX)'!I$1,'HR Rep'!$A$1:$X$1,0),0),""),"")="","",IFERROR(_xlfn.IFNA(VLOOKUP($A415,'HR Rep'!$A:$X,MATCH('1) For HR (FIX)'!I$1,'HR Rep'!$A$1:$X$1,0),0),""),""))</f>
        <v/>
      </c>
      <c r="J415" s="140" t="str">
        <f>IF(IFERROR(_xlfn.IFNA(VLOOKUP($A415,'HR Rep'!$A:$X,MATCH('1) For HR (FIX)'!J$1,'HR Rep'!$A$1:$X$1,0),0),""),"")="","",IFERROR(_xlfn.IFNA(VLOOKUP($A415,'HR Rep'!$A:$X,MATCH('1) For HR (FIX)'!J$1,'HR Rep'!$A$1:$X$1,0),0),""),""))</f>
        <v/>
      </c>
      <c r="K415" s="161">
        <f>_xlfn.XLOOKUP(G415,ค่าตอบแทนการขายในอัตราคงที่!A:A,ค่าตอบแทนการขายในอัตราคงที่!B:B)</f>
        <v>0</v>
      </c>
      <c r="L415" s="174">
        <f>Period!$A$2</f>
        <v>46113</v>
      </c>
      <c r="M415" s="175">
        <f>Period!$C$2</f>
        <v>46143</v>
      </c>
      <c r="N415" s="194" t="s">
        <v>279</v>
      </c>
    </row>
    <row r="416" spans="1:14" ht="11.4" x14ac:dyDescent="0.25">
      <c r="A416" s="137"/>
      <c r="B416" s="169" t="e">
        <f>IF(IF(VLOOKUP(A416,ASTBase!F:P,11,FALSE)="","",VLOOKUP(A416,ASTBase!F:P,11,FALSE))=0,"",IF(VLOOKUP(A416,ASTBase!F:P,11,FALSE)="","",VLOOKUP(A416,ASTBase!F:P,11,FALSE)))</f>
        <v>#N/A</v>
      </c>
      <c r="C416" s="140" t="str">
        <f>IF(IFERROR(_xlfn.IFNA(VLOOKUP($A416,'HR Rep'!$A:$X,MATCH('1) For HR (FIX)'!C$1,'HR Rep'!$A$1:$X$1,0),0),""),"")="","",IFERROR(_xlfn.IFNA(VLOOKUP($A416,'HR Rep'!$A:$X,MATCH('1) For HR (FIX)'!C$1,'HR Rep'!$A$1:$X$1,0),0),""),""))</f>
        <v/>
      </c>
      <c r="D416" s="140" t="str">
        <f>IF(IFERROR(_xlfn.IFNA(VLOOKUP($A416,'HR Rep'!$A:$X,MATCH('1) For HR (FIX)'!D$1,'HR Rep'!$A$1:$X$1,0),0),""),"")="","",IFERROR(_xlfn.IFNA(VLOOKUP($A416,'HR Rep'!$A:$X,MATCH('1) For HR (FIX)'!D$1,'HR Rep'!$A$1:$X$1,0),0),""),""))</f>
        <v/>
      </c>
      <c r="E416" s="140" t="str">
        <f>IF(IFERROR(_xlfn.IFNA(VLOOKUP($A416,'HR Rep'!$A:$X,MATCH('1) For HR (FIX)'!E$1,'HR Rep'!$A$1:$X$1,0),0),""),"")="","",IFERROR(_xlfn.IFNA(VLOOKUP($A416,'HR Rep'!$A:$X,MATCH('1) For HR (FIX)'!E$1,'HR Rep'!$A$1:$X$1,0),0),""),""))</f>
        <v/>
      </c>
      <c r="F416" s="140" t="str">
        <f>IF(IFERROR(_xlfn.IFNA(VLOOKUP($A416,'HR Rep'!$A:$X,MATCH('1) For HR (FIX)'!F$1,'HR Rep'!$A$1:$X$1,0),0),""),"")="","",IFERROR(_xlfn.IFNA(VLOOKUP($A416,'HR Rep'!$A:$X,MATCH('1) For HR (FIX)'!F$1,'HR Rep'!$A$1:$X$1,0),0),""),""))</f>
        <v/>
      </c>
      <c r="G416" s="196"/>
      <c r="H416" s="140" t="str">
        <f>IF(IFERROR(_xlfn.IFNA(VLOOKUP($A416,'HR Rep'!$A:$X,MATCH('1) For HR (FIX)'!H$1,'HR Rep'!$A$1:$X$1,0),0),""),"")="","",IFERROR(_xlfn.IFNA(VLOOKUP($A416,'HR Rep'!$A:$X,MATCH('1) For HR (FIX)'!H$1,'HR Rep'!$A$1:$X$1,0),0),""),""))</f>
        <v/>
      </c>
      <c r="I416" s="140" t="str">
        <f>IF(IFERROR(_xlfn.IFNA(VLOOKUP($A416,'HR Rep'!$A:$X,MATCH('1) For HR (FIX)'!I$1,'HR Rep'!$A$1:$X$1,0),0),""),"")="","",IFERROR(_xlfn.IFNA(VLOOKUP($A416,'HR Rep'!$A:$X,MATCH('1) For HR (FIX)'!I$1,'HR Rep'!$A$1:$X$1,0),0),""),""))</f>
        <v/>
      </c>
      <c r="J416" s="140" t="str">
        <f>IF(IFERROR(_xlfn.IFNA(VLOOKUP($A416,'HR Rep'!$A:$X,MATCH('1) For HR (FIX)'!J$1,'HR Rep'!$A$1:$X$1,0),0),""),"")="","",IFERROR(_xlfn.IFNA(VLOOKUP($A416,'HR Rep'!$A:$X,MATCH('1) For HR (FIX)'!J$1,'HR Rep'!$A$1:$X$1,0),0),""),""))</f>
        <v/>
      </c>
      <c r="K416" s="161">
        <f>_xlfn.XLOOKUP(G416,ค่าตอบแทนการขายในอัตราคงที่!A:A,ค่าตอบแทนการขายในอัตราคงที่!B:B)</f>
        <v>0</v>
      </c>
      <c r="L416" s="174">
        <f>Period!$A$2</f>
        <v>46113</v>
      </c>
      <c r="M416" s="175">
        <f>Period!$C$2</f>
        <v>46143</v>
      </c>
      <c r="N416" s="194" t="s">
        <v>279</v>
      </c>
    </row>
    <row r="417" spans="1:14" ht="11.4" x14ac:dyDescent="0.25">
      <c r="A417" s="137"/>
      <c r="B417" s="169" t="e">
        <f>IF(IF(VLOOKUP(A417,ASTBase!F:P,11,FALSE)="","",VLOOKUP(A417,ASTBase!F:P,11,FALSE))=0,"",IF(VLOOKUP(A417,ASTBase!F:P,11,FALSE)="","",VLOOKUP(A417,ASTBase!F:P,11,FALSE)))</f>
        <v>#N/A</v>
      </c>
      <c r="C417" s="140" t="str">
        <f>IF(IFERROR(_xlfn.IFNA(VLOOKUP($A417,'HR Rep'!$A:$X,MATCH('1) For HR (FIX)'!C$1,'HR Rep'!$A$1:$X$1,0),0),""),"")="","",IFERROR(_xlfn.IFNA(VLOOKUP($A417,'HR Rep'!$A:$X,MATCH('1) For HR (FIX)'!C$1,'HR Rep'!$A$1:$X$1,0),0),""),""))</f>
        <v/>
      </c>
      <c r="D417" s="140" t="str">
        <f>IF(IFERROR(_xlfn.IFNA(VLOOKUP($A417,'HR Rep'!$A:$X,MATCH('1) For HR (FIX)'!D$1,'HR Rep'!$A$1:$X$1,0),0),""),"")="","",IFERROR(_xlfn.IFNA(VLOOKUP($A417,'HR Rep'!$A:$X,MATCH('1) For HR (FIX)'!D$1,'HR Rep'!$A$1:$X$1,0),0),""),""))</f>
        <v/>
      </c>
      <c r="E417" s="140" t="str">
        <f>IF(IFERROR(_xlfn.IFNA(VLOOKUP($A417,'HR Rep'!$A:$X,MATCH('1) For HR (FIX)'!E$1,'HR Rep'!$A$1:$X$1,0),0),""),"")="","",IFERROR(_xlfn.IFNA(VLOOKUP($A417,'HR Rep'!$A:$X,MATCH('1) For HR (FIX)'!E$1,'HR Rep'!$A$1:$X$1,0),0),""),""))</f>
        <v/>
      </c>
      <c r="F417" s="140" t="str">
        <f>IF(IFERROR(_xlfn.IFNA(VLOOKUP($A417,'HR Rep'!$A:$X,MATCH('1) For HR (FIX)'!F$1,'HR Rep'!$A$1:$X$1,0),0),""),"")="","",IFERROR(_xlfn.IFNA(VLOOKUP($A417,'HR Rep'!$A:$X,MATCH('1) For HR (FIX)'!F$1,'HR Rep'!$A$1:$X$1,0),0),""),""))</f>
        <v/>
      </c>
      <c r="G417" s="196"/>
      <c r="H417" s="140" t="str">
        <f>IF(IFERROR(_xlfn.IFNA(VLOOKUP($A417,'HR Rep'!$A:$X,MATCH('1) For HR (FIX)'!H$1,'HR Rep'!$A$1:$X$1,0),0),""),"")="","",IFERROR(_xlfn.IFNA(VLOOKUP($A417,'HR Rep'!$A:$X,MATCH('1) For HR (FIX)'!H$1,'HR Rep'!$A$1:$X$1,0),0),""),""))</f>
        <v/>
      </c>
      <c r="I417" s="140" t="str">
        <f>IF(IFERROR(_xlfn.IFNA(VLOOKUP($A417,'HR Rep'!$A:$X,MATCH('1) For HR (FIX)'!I$1,'HR Rep'!$A$1:$X$1,0),0),""),"")="","",IFERROR(_xlfn.IFNA(VLOOKUP($A417,'HR Rep'!$A:$X,MATCH('1) For HR (FIX)'!I$1,'HR Rep'!$A$1:$X$1,0),0),""),""))</f>
        <v/>
      </c>
      <c r="J417" s="140" t="str">
        <f>IF(IFERROR(_xlfn.IFNA(VLOOKUP($A417,'HR Rep'!$A:$X,MATCH('1) For HR (FIX)'!J$1,'HR Rep'!$A$1:$X$1,0),0),""),"")="","",IFERROR(_xlfn.IFNA(VLOOKUP($A417,'HR Rep'!$A:$X,MATCH('1) For HR (FIX)'!J$1,'HR Rep'!$A$1:$X$1,0),0),""),""))</f>
        <v/>
      </c>
      <c r="K417" s="161">
        <f>_xlfn.XLOOKUP(G417,ค่าตอบแทนการขายในอัตราคงที่!A:A,ค่าตอบแทนการขายในอัตราคงที่!B:B)</f>
        <v>0</v>
      </c>
      <c r="L417" s="174">
        <f>Period!$A$2</f>
        <v>46113</v>
      </c>
      <c r="M417" s="175">
        <f>Period!$C$2</f>
        <v>46143</v>
      </c>
      <c r="N417" s="194" t="s">
        <v>279</v>
      </c>
    </row>
    <row r="418" spans="1:14" ht="11.4" x14ac:dyDescent="0.25">
      <c r="A418" s="137"/>
      <c r="B418" s="169" t="e">
        <f>IF(IF(VLOOKUP(A418,ASTBase!F:P,11,FALSE)="","",VLOOKUP(A418,ASTBase!F:P,11,FALSE))=0,"",IF(VLOOKUP(A418,ASTBase!F:P,11,FALSE)="","",VLOOKUP(A418,ASTBase!F:P,11,FALSE)))</f>
        <v>#N/A</v>
      </c>
      <c r="C418" s="140" t="str">
        <f>IF(IFERROR(_xlfn.IFNA(VLOOKUP($A418,'HR Rep'!$A:$X,MATCH('1) For HR (FIX)'!C$1,'HR Rep'!$A$1:$X$1,0),0),""),"")="","",IFERROR(_xlfn.IFNA(VLOOKUP($A418,'HR Rep'!$A:$X,MATCH('1) For HR (FIX)'!C$1,'HR Rep'!$A$1:$X$1,0),0),""),""))</f>
        <v/>
      </c>
      <c r="D418" s="140" t="str">
        <f>IF(IFERROR(_xlfn.IFNA(VLOOKUP($A418,'HR Rep'!$A:$X,MATCH('1) For HR (FIX)'!D$1,'HR Rep'!$A$1:$X$1,0),0),""),"")="","",IFERROR(_xlfn.IFNA(VLOOKUP($A418,'HR Rep'!$A:$X,MATCH('1) For HR (FIX)'!D$1,'HR Rep'!$A$1:$X$1,0),0),""),""))</f>
        <v/>
      </c>
      <c r="E418" s="140" t="str">
        <f>IF(IFERROR(_xlfn.IFNA(VLOOKUP($A418,'HR Rep'!$A:$X,MATCH('1) For HR (FIX)'!E$1,'HR Rep'!$A$1:$X$1,0),0),""),"")="","",IFERROR(_xlfn.IFNA(VLOOKUP($A418,'HR Rep'!$A:$X,MATCH('1) For HR (FIX)'!E$1,'HR Rep'!$A$1:$X$1,0),0),""),""))</f>
        <v/>
      </c>
      <c r="F418" s="140" t="str">
        <f>IF(IFERROR(_xlfn.IFNA(VLOOKUP($A418,'HR Rep'!$A:$X,MATCH('1) For HR (FIX)'!F$1,'HR Rep'!$A$1:$X$1,0),0),""),"")="","",IFERROR(_xlfn.IFNA(VLOOKUP($A418,'HR Rep'!$A:$X,MATCH('1) For HR (FIX)'!F$1,'HR Rep'!$A$1:$X$1,0),0),""),""))</f>
        <v/>
      </c>
      <c r="G418" s="196"/>
      <c r="H418" s="140" t="str">
        <f>IF(IFERROR(_xlfn.IFNA(VLOOKUP($A418,'HR Rep'!$A:$X,MATCH('1) For HR (FIX)'!H$1,'HR Rep'!$A$1:$X$1,0),0),""),"")="","",IFERROR(_xlfn.IFNA(VLOOKUP($A418,'HR Rep'!$A:$X,MATCH('1) For HR (FIX)'!H$1,'HR Rep'!$A$1:$X$1,0),0),""),""))</f>
        <v/>
      </c>
      <c r="I418" s="140" t="str">
        <f>IF(IFERROR(_xlfn.IFNA(VLOOKUP($A418,'HR Rep'!$A:$X,MATCH('1) For HR (FIX)'!I$1,'HR Rep'!$A$1:$X$1,0),0),""),"")="","",IFERROR(_xlfn.IFNA(VLOOKUP($A418,'HR Rep'!$A:$X,MATCH('1) For HR (FIX)'!I$1,'HR Rep'!$A$1:$X$1,0),0),""),""))</f>
        <v/>
      </c>
      <c r="J418" s="140" t="str">
        <f>IF(IFERROR(_xlfn.IFNA(VLOOKUP($A418,'HR Rep'!$A:$X,MATCH('1) For HR (FIX)'!J$1,'HR Rep'!$A$1:$X$1,0),0),""),"")="","",IFERROR(_xlfn.IFNA(VLOOKUP($A418,'HR Rep'!$A:$X,MATCH('1) For HR (FIX)'!J$1,'HR Rep'!$A$1:$X$1,0),0),""),""))</f>
        <v/>
      </c>
      <c r="K418" s="161">
        <f>_xlfn.XLOOKUP(G418,ค่าตอบแทนการขายในอัตราคงที่!A:A,ค่าตอบแทนการขายในอัตราคงที่!B:B)</f>
        <v>0</v>
      </c>
      <c r="L418" s="174">
        <f>Period!$A$2</f>
        <v>46113</v>
      </c>
      <c r="M418" s="175">
        <f>Period!$C$2</f>
        <v>46143</v>
      </c>
      <c r="N418" s="194" t="s">
        <v>279</v>
      </c>
    </row>
    <row r="419" spans="1:14" ht="11.4" x14ac:dyDescent="0.25">
      <c r="A419" s="137"/>
      <c r="B419" s="169" t="e">
        <f>IF(IF(VLOOKUP(A419,ASTBase!F:P,11,FALSE)="","",VLOOKUP(A419,ASTBase!F:P,11,FALSE))=0,"",IF(VLOOKUP(A419,ASTBase!F:P,11,FALSE)="","",VLOOKUP(A419,ASTBase!F:P,11,FALSE)))</f>
        <v>#N/A</v>
      </c>
      <c r="C419" s="140" t="str">
        <f>IF(IFERROR(_xlfn.IFNA(VLOOKUP($A419,'HR Rep'!$A:$X,MATCH('1) For HR (FIX)'!C$1,'HR Rep'!$A$1:$X$1,0),0),""),"")="","",IFERROR(_xlfn.IFNA(VLOOKUP($A419,'HR Rep'!$A:$X,MATCH('1) For HR (FIX)'!C$1,'HR Rep'!$A$1:$X$1,0),0),""),""))</f>
        <v/>
      </c>
      <c r="D419" s="140" t="str">
        <f>IF(IFERROR(_xlfn.IFNA(VLOOKUP($A419,'HR Rep'!$A:$X,MATCH('1) For HR (FIX)'!D$1,'HR Rep'!$A$1:$X$1,0),0),""),"")="","",IFERROR(_xlfn.IFNA(VLOOKUP($A419,'HR Rep'!$A:$X,MATCH('1) For HR (FIX)'!D$1,'HR Rep'!$A$1:$X$1,0),0),""),""))</f>
        <v/>
      </c>
      <c r="E419" s="140" t="str">
        <f>IF(IFERROR(_xlfn.IFNA(VLOOKUP($A419,'HR Rep'!$A:$X,MATCH('1) For HR (FIX)'!E$1,'HR Rep'!$A$1:$X$1,0),0),""),"")="","",IFERROR(_xlfn.IFNA(VLOOKUP($A419,'HR Rep'!$A:$X,MATCH('1) For HR (FIX)'!E$1,'HR Rep'!$A$1:$X$1,0),0),""),""))</f>
        <v/>
      </c>
      <c r="F419" s="140" t="str">
        <f>IF(IFERROR(_xlfn.IFNA(VLOOKUP($A419,'HR Rep'!$A:$X,MATCH('1) For HR (FIX)'!F$1,'HR Rep'!$A$1:$X$1,0),0),""),"")="","",IFERROR(_xlfn.IFNA(VLOOKUP($A419,'HR Rep'!$A:$X,MATCH('1) For HR (FIX)'!F$1,'HR Rep'!$A$1:$X$1,0),0),""),""))</f>
        <v/>
      </c>
      <c r="G419" s="196"/>
      <c r="H419" s="140" t="str">
        <f>IF(IFERROR(_xlfn.IFNA(VLOOKUP($A419,'HR Rep'!$A:$X,MATCH('1) For HR (FIX)'!H$1,'HR Rep'!$A$1:$X$1,0),0),""),"")="","",IFERROR(_xlfn.IFNA(VLOOKUP($A419,'HR Rep'!$A:$X,MATCH('1) For HR (FIX)'!H$1,'HR Rep'!$A$1:$X$1,0),0),""),""))</f>
        <v/>
      </c>
      <c r="I419" s="140" t="str">
        <f>IF(IFERROR(_xlfn.IFNA(VLOOKUP($A419,'HR Rep'!$A:$X,MATCH('1) For HR (FIX)'!I$1,'HR Rep'!$A$1:$X$1,0),0),""),"")="","",IFERROR(_xlfn.IFNA(VLOOKUP($A419,'HR Rep'!$A:$X,MATCH('1) For HR (FIX)'!I$1,'HR Rep'!$A$1:$X$1,0),0),""),""))</f>
        <v/>
      </c>
      <c r="J419" s="140" t="str">
        <f>IF(IFERROR(_xlfn.IFNA(VLOOKUP($A419,'HR Rep'!$A:$X,MATCH('1) For HR (FIX)'!J$1,'HR Rep'!$A$1:$X$1,0),0),""),"")="","",IFERROR(_xlfn.IFNA(VLOOKUP($A419,'HR Rep'!$A:$X,MATCH('1) For HR (FIX)'!J$1,'HR Rep'!$A$1:$X$1,0),0),""),""))</f>
        <v/>
      </c>
      <c r="K419" s="161">
        <f>_xlfn.XLOOKUP(G419,ค่าตอบแทนการขายในอัตราคงที่!A:A,ค่าตอบแทนการขายในอัตราคงที่!B:B)</f>
        <v>0</v>
      </c>
      <c r="L419" s="174">
        <f>Period!$A$2</f>
        <v>46113</v>
      </c>
      <c r="M419" s="175">
        <f>Period!$C$2</f>
        <v>46143</v>
      </c>
      <c r="N419" s="194" t="s">
        <v>279</v>
      </c>
    </row>
    <row r="420" spans="1:14" ht="11.4" x14ac:dyDescent="0.25">
      <c r="A420" s="137"/>
      <c r="B420" s="169" t="e">
        <f>IF(IF(VLOOKUP(A420,ASTBase!F:P,11,FALSE)="","",VLOOKUP(A420,ASTBase!F:P,11,FALSE))=0,"",IF(VLOOKUP(A420,ASTBase!F:P,11,FALSE)="","",VLOOKUP(A420,ASTBase!F:P,11,FALSE)))</f>
        <v>#N/A</v>
      </c>
      <c r="C420" s="140" t="str">
        <f>IF(IFERROR(_xlfn.IFNA(VLOOKUP($A420,'HR Rep'!$A:$X,MATCH('1) For HR (FIX)'!C$1,'HR Rep'!$A$1:$X$1,0),0),""),"")="","",IFERROR(_xlfn.IFNA(VLOOKUP($A420,'HR Rep'!$A:$X,MATCH('1) For HR (FIX)'!C$1,'HR Rep'!$A$1:$X$1,0),0),""),""))</f>
        <v/>
      </c>
      <c r="D420" s="140" t="str">
        <f>IF(IFERROR(_xlfn.IFNA(VLOOKUP($A420,'HR Rep'!$A:$X,MATCH('1) For HR (FIX)'!D$1,'HR Rep'!$A$1:$X$1,0),0),""),"")="","",IFERROR(_xlfn.IFNA(VLOOKUP($A420,'HR Rep'!$A:$X,MATCH('1) For HR (FIX)'!D$1,'HR Rep'!$A$1:$X$1,0),0),""),""))</f>
        <v/>
      </c>
      <c r="E420" s="140" t="str">
        <f>IF(IFERROR(_xlfn.IFNA(VLOOKUP($A420,'HR Rep'!$A:$X,MATCH('1) For HR (FIX)'!E$1,'HR Rep'!$A$1:$X$1,0),0),""),"")="","",IFERROR(_xlfn.IFNA(VLOOKUP($A420,'HR Rep'!$A:$X,MATCH('1) For HR (FIX)'!E$1,'HR Rep'!$A$1:$X$1,0),0),""),""))</f>
        <v/>
      </c>
      <c r="F420" s="140" t="str">
        <f>IF(IFERROR(_xlfn.IFNA(VLOOKUP($A420,'HR Rep'!$A:$X,MATCH('1) For HR (FIX)'!F$1,'HR Rep'!$A$1:$X$1,0),0),""),"")="","",IFERROR(_xlfn.IFNA(VLOOKUP($A420,'HR Rep'!$A:$X,MATCH('1) For HR (FIX)'!F$1,'HR Rep'!$A$1:$X$1,0),0),""),""))</f>
        <v/>
      </c>
      <c r="G420" s="196"/>
      <c r="H420" s="140" t="str">
        <f>IF(IFERROR(_xlfn.IFNA(VLOOKUP($A420,'HR Rep'!$A:$X,MATCH('1) For HR (FIX)'!H$1,'HR Rep'!$A$1:$X$1,0),0),""),"")="","",IFERROR(_xlfn.IFNA(VLOOKUP($A420,'HR Rep'!$A:$X,MATCH('1) For HR (FIX)'!H$1,'HR Rep'!$A$1:$X$1,0),0),""),""))</f>
        <v/>
      </c>
      <c r="I420" s="140" t="str">
        <f>IF(IFERROR(_xlfn.IFNA(VLOOKUP($A420,'HR Rep'!$A:$X,MATCH('1) For HR (FIX)'!I$1,'HR Rep'!$A$1:$X$1,0),0),""),"")="","",IFERROR(_xlfn.IFNA(VLOOKUP($A420,'HR Rep'!$A:$X,MATCH('1) For HR (FIX)'!I$1,'HR Rep'!$A$1:$X$1,0),0),""),""))</f>
        <v/>
      </c>
      <c r="J420" s="140" t="str">
        <f>IF(IFERROR(_xlfn.IFNA(VLOOKUP($A420,'HR Rep'!$A:$X,MATCH('1) For HR (FIX)'!J$1,'HR Rep'!$A$1:$X$1,0),0),""),"")="","",IFERROR(_xlfn.IFNA(VLOOKUP($A420,'HR Rep'!$A:$X,MATCH('1) For HR (FIX)'!J$1,'HR Rep'!$A$1:$X$1,0),0),""),""))</f>
        <v/>
      </c>
      <c r="K420" s="161">
        <f>_xlfn.XLOOKUP(G420,ค่าตอบแทนการขายในอัตราคงที่!A:A,ค่าตอบแทนการขายในอัตราคงที่!B:B)</f>
        <v>0</v>
      </c>
      <c r="L420" s="174">
        <f>Period!$A$2</f>
        <v>46113</v>
      </c>
      <c r="M420" s="175">
        <f>Period!$C$2</f>
        <v>46143</v>
      </c>
      <c r="N420" s="194" t="s">
        <v>279</v>
      </c>
    </row>
    <row r="421" spans="1:14" ht="11.4" x14ac:dyDescent="0.25">
      <c r="A421" s="137"/>
      <c r="B421" s="169" t="e">
        <f>IF(IF(VLOOKUP(A421,ASTBase!F:P,11,FALSE)="","",VLOOKUP(A421,ASTBase!F:P,11,FALSE))=0,"",IF(VLOOKUP(A421,ASTBase!F:P,11,FALSE)="","",VLOOKUP(A421,ASTBase!F:P,11,FALSE)))</f>
        <v>#N/A</v>
      </c>
      <c r="C421" s="140" t="str">
        <f>IF(IFERROR(_xlfn.IFNA(VLOOKUP($A421,'HR Rep'!$A:$X,MATCH('1) For HR (FIX)'!C$1,'HR Rep'!$A$1:$X$1,0),0),""),"")="","",IFERROR(_xlfn.IFNA(VLOOKUP($A421,'HR Rep'!$A:$X,MATCH('1) For HR (FIX)'!C$1,'HR Rep'!$A$1:$X$1,0),0),""),""))</f>
        <v/>
      </c>
      <c r="D421" s="140" t="str">
        <f>IF(IFERROR(_xlfn.IFNA(VLOOKUP($A421,'HR Rep'!$A:$X,MATCH('1) For HR (FIX)'!D$1,'HR Rep'!$A$1:$X$1,0),0),""),"")="","",IFERROR(_xlfn.IFNA(VLOOKUP($A421,'HR Rep'!$A:$X,MATCH('1) For HR (FIX)'!D$1,'HR Rep'!$A$1:$X$1,0),0),""),""))</f>
        <v/>
      </c>
      <c r="E421" s="140" t="str">
        <f>IF(IFERROR(_xlfn.IFNA(VLOOKUP($A421,'HR Rep'!$A:$X,MATCH('1) For HR (FIX)'!E$1,'HR Rep'!$A$1:$X$1,0),0),""),"")="","",IFERROR(_xlfn.IFNA(VLOOKUP($A421,'HR Rep'!$A:$X,MATCH('1) For HR (FIX)'!E$1,'HR Rep'!$A$1:$X$1,0),0),""),""))</f>
        <v/>
      </c>
      <c r="F421" s="140" t="str">
        <f>IF(IFERROR(_xlfn.IFNA(VLOOKUP($A421,'HR Rep'!$A:$X,MATCH('1) For HR (FIX)'!F$1,'HR Rep'!$A$1:$X$1,0),0),""),"")="","",IFERROR(_xlfn.IFNA(VLOOKUP($A421,'HR Rep'!$A:$X,MATCH('1) For HR (FIX)'!F$1,'HR Rep'!$A$1:$X$1,0),0),""),""))</f>
        <v/>
      </c>
      <c r="G421" s="196"/>
      <c r="H421" s="140" t="str">
        <f>IF(IFERROR(_xlfn.IFNA(VLOOKUP($A421,'HR Rep'!$A:$X,MATCH('1) For HR (FIX)'!H$1,'HR Rep'!$A$1:$X$1,0),0),""),"")="","",IFERROR(_xlfn.IFNA(VLOOKUP($A421,'HR Rep'!$A:$X,MATCH('1) For HR (FIX)'!H$1,'HR Rep'!$A$1:$X$1,0),0),""),""))</f>
        <v/>
      </c>
      <c r="I421" s="140" t="str">
        <f>IF(IFERROR(_xlfn.IFNA(VLOOKUP($A421,'HR Rep'!$A:$X,MATCH('1) For HR (FIX)'!I$1,'HR Rep'!$A$1:$X$1,0),0),""),"")="","",IFERROR(_xlfn.IFNA(VLOOKUP($A421,'HR Rep'!$A:$X,MATCH('1) For HR (FIX)'!I$1,'HR Rep'!$A$1:$X$1,0),0),""),""))</f>
        <v/>
      </c>
      <c r="J421" s="140" t="str">
        <f>IF(IFERROR(_xlfn.IFNA(VLOOKUP($A421,'HR Rep'!$A:$X,MATCH('1) For HR (FIX)'!J$1,'HR Rep'!$A$1:$X$1,0),0),""),"")="","",IFERROR(_xlfn.IFNA(VLOOKUP($A421,'HR Rep'!$A:$X,MATCH('1) For HR (FIX)'!J$1,'HR Rep'!$A$1:$X$1,0),0),""),""))</f>
        <v/>
      </c>
      <c r="K421" s="161">
        <f>_xlfn.XLOOKUP(G421,ค่าตอบแทนการขายในอัตราคงที่!A:A,ค่าตอบแทนการขายในอัตราคงที่!B:B)</f>
        <v>0</v>
      </c>
      <c r="L421" s="174">
        <f>Period!$A$2</f>
        <v>46113</v>
      </c>
      <c r="M421" s="175">
        <f>Period!$C$2</f>
        <v>46143</v>
      </c>
      <c r="N421" s="194" t="s">
        <v>279</v>
      </c>
    </row>
    <row r="422" spans="1:14" ht="11.4" x14ac:dyDescent="0.25">
      <c r="A422" s="137"/>
      <c r="B422" s="169" t="e">
        <f>IF(IF(VLOOKUP(A422,ASTBase!F:P,11,FALSE)="","",VLOOKUP(A422,ASTBase!F:P,11,FALSE))=0,"",IF(VLOOKUP(A422,ASTBase!F:P,11,FALSE)="","",VLOOKUP(A422,ASTBase!F:P,11,FALSE)))</f>
        <v>#N/A</v>
      </c>
      <c r="C422" s="140" t="str">
        <f>IF(IFERROR(_xlfn.IFNA(VLOOKUP($A422,'HR Rep'!$A:$X,MATCH('1) For HR (FIX)'!C$1,'HR Rep'!$A$1:$X$1,0),0),""),"")="","",IFERROR(_xlfn.IFNA(VLOOKUP($A422,'HR Rep'!$A:$X,MATCH('1) For HR (FIX)'!C$1,'HR Rep'!$A$1:$X$1,0),0),""),""))</f>
        <v/>
      </c>
      <c r="D422" s="140" t="str">
        <f>IF(IFERROR(_xlfn.IFNA(VLOOKUP($A422,'HR Rep'!$A:$X,MATCH('1) For HR (FIX)'!D$1,'HR Rep'!$A$1:$X$1,0),0),""),"")="","",IFERROR(_xlfn.IFNA(VLOOKUP($A422,'HR Rep'!$A:$X,MATCH('1) For HR (FIX)'!D$1,'HR Rep'!$A$1:$X$1,0),0),""),""))</f>
        <v/>
      </c>
      <c r="E422" s="140" t="str">
        <f>IF(IFERROR(_xlfn.IFNA(VLOOKUP($A422,'HR Rep'!$A:$X,MATCH('1) For HR (FIX)'!E$1,'HR Rep'!$A$1:$X$1,0),0),""),"")="","",IFERROR(_xlfn.IFNA(VLOOKUP($A422,'HR Rep'!$A:$X,MATCH('1) For HR (FIX)'!E$1,'HR Rep'!$A$1:$X$1,0),0),""),""))</f>
        <v/>
      </c>
      <c r="F422" s="140" t="str">
        <f>IF(IFERROR(_xlfn.IFNA(VLOOKUP($A422,'HR Rep'!$A:$X,MATCH('1) For HR (FIX)'!F$1,'HR Rep'!$A$1:$X$1,0),0),""),"")="","",IFERROR(_xlfn.IFNA(VLOOKUP($A422,'HR Rep'!$A:$X,MATCH('1) For HR (FIX)'!F$1,'HR Rep'!$A$1:$X$1,0),0),""),""))</f>
        <v/>
      </c>
      <c r="G422" s="196"/>
      <c r="H422" s="140" t="str">
        <f>IF(IFERROR(_xlfn.IFNA(VLOOKUP($A422,'HR Rep'!$A:$X,MATCH('1) For HR (FIX)'!H$1,'HR Rep'!$A$1:$X$1,0),0),""),"")="","",IFERROR(_xlfn.IFNA(VLOOKUP($A422,'HR Rep'!$A:$X,MATCH('1) For HR (FIX)'!H$1,'HR Rep'!$A$1:$X$1,0),0),""),""))</f>
        <v/>
      </c>
      <c r="I422" s="140" t="str">
        <f>IF(IFERROR(_xlfn.IFNA(VLOOKUP($A422,'HR Rep'!$A:$X,MATCH('1) For HR (FIX)'!I$1,'HR Rep'!$A$1:$X$1,0),0),""),"")="","",IFERROR(_xlfn.IFNA(VLOOKUP($A422,'HR Rep'!$A:$X,MATCH('1) For HR (FIX)'!I$1,'HR Rep'!$A$1:$X$1,0),0),""),""))</f>
        <v/>
      </c>
      <c r="J422" s="140" t="str">
        <f>IF(IFERROR(_xlfn.IFNA(VLOOKUP($A422,'HR Rep'!$A:$X,MATCH('1) For HR (FIX)'!J$1,'HR Rep'!$A$1:$X$1,0),0),""),"")="","",IFERROR(_xlfn.IFNA(VLOOKUP($A422,'HR Rep'!$A:$X,MATCH('1) For HR (FIX)'!J$1,'HR Rep'!$A$1:$X$1,0),0),""),""))</f>
        <v/>
      </c>
      <c r="K422" s="161">
        <f>_xlfn.XLOOKUP(G422,ค่าตอบแทนการขายในอัตราคงที่!A:A,ค่าตอบแทนการขายในอัตราคงที่!B:B)</f>
        <v>0</v>
      </c>
      <c r="L422" s="174">
        <f>Period!$A$2</f>
        <v>46113</v>
      </c>
      <c r="M422" s="175">
        <f>Period!$C$2</f>
        <v>46143</v>
      </c>
      <c r="N422" s="194" t="s">
        <v>279</v>
      </c>
    </row>
    <row r="423" spans="1:14" ht="11.4" x14ac:dyDescent="0.25">
      <c r="A423" s="137"/>
      <c r="B423" s="169" t="e">
        <f>IF(IF(VLOOKUP(A423,ASTBase!F:P,11,FALSE)="","",VLOOKUP(A423,ASTBase!F:P,11,FALSE))=0,"",IF(VLOOKUP(A423,ASTBase!F:P,11,FALSE)="","",VLOOKUP(A423,ASTBase!F:P,11,FALSE)))</f>
        <v>#N/A</v>
      </c>
      <c r="C423" s="140" t="str">
        <f>IF(IFERROR(_xlfn.IFNA(VLOOKUP($A423,'HR Rep'!$A:$X,MATCH('1) For HR (FIX)'!C$1,'HR Rep'!$A$1:$X$1,0),0),""),"")="","",IFERROR(_xlfn.IFNA(VLOOKUP($A423,'HR Rep'!$A:$X,MATCH('1) For HR (FIX)'!C$1,'HR Rep'!$A$1:$X$1,0),0),""),""))</f>
        <v/>
      </c>
      <c r="D423" s="140" t="str">
        <f>IF(IFERROR(_xlfn.IFNA(VLOOKUP($A423,'HR Rep'!$A:$X,MATCH('1) For HR (FIX)'!D$1,'HR Rep'!$A$1:$X$1,0),0),""),"")="","",IFERROR(_xlfn.IFNA(VLOOKUP($A423,'HR Rep'!$A:$X,MATCH('1) For HR (FIX)'!D$1,'HR Rep'!$A$1:$X$1,0),0),""),""))</f>
        <v/>
      </c>
      <c r="E423" s="140" t="str">
        <f>IF(IFERROR(_xlfn.IFNA(VLOOKUP($A423,'HR Rep'!$A:$X,MATCH('1) For HR (FIX)'!E$1,'HR Rep'!$A$1:$X$1,0),0),""),"")="","",IFERROR(_xlfn.IFNA(VLOOKUP($A423,'HR Rep'!$A:$X,MATCH('1) For HR (FIX)'!E$1,'HR Rep'!$A$1:$X$1,0),0),""),""))</f>
        <v/>
      </c>
      <c r="F423" s="140" t="str">
        <f>IF(IFERROR(_xlfn.IFNA(VLOOKUP($A423,'HR Rep'!$A:$X,MATCH('1) For HR (FIX)'!F$1,'HR Rep'!$A$1:$X$1,0),0),""),"")="","",IFERROR(_xlfn.IFNA(VLOOKUP($A423,'HR Rep'!$A:$X,MATCH('1) For HR (FIX)'!F$1,'HR Rep'!$A$1:$X$1,0),0),""),""))</f>
        <v/>
      </c>
      <c r="G423" s="196"/>
      <c r="H423" s="140" t="str">
        <f>IF(IFERROR(_xlfn.IFNA(VLOOKUP($A423,'HR Rep'!$A:$X,MATCH('1) For HR (FIX)'!H$1,'HR Rep'!$A$1:$X$1,0),0),""),"")="","",IFERROR(_xlfn.IFNA(VLOOKUP($A423,'HR Rep'!$A:$X,MATCH('1) For HR (FIX)'!H$1,'HR Rep'!$A$1:$X$1,0),0),""),""))</f>
        <v/>
      </c>
      <c r="I423" s="140" t="str">
        <f>IF(IFERROR(_xlfn.IFNA(VLOOKUP($A423,'HR Rep'!$A:$X,MATCH('1) For HR (FIX)'!I$1,'HR Rep'!$A$1:$X$1,0),0),""),"")="","",IFERROR(_xlfn.IFNA(VLOOKUP($A423,'HR Rep'!$A:$X,MATCH('1) For HR (FIX)'!I$1,'HR Rep'!$A$1:$X$1,0),0),""),""))</f>
        <v/>
      </c>
      <c r="J423" s="140" t="str">
        <f>IF(IFERROR(_xlfn.IFNA(VLOOKUP($A423,'HR Rep'!$A:$X,MATCH('1) For HR (FIX)'!J$1,'HR Rep'!$A$1:$X$1,0),0),""),"")="","",IFERROR(_xlfn.IFNA(VLOOKUP($A423,'HR Rep'!$A:$X,MATCH('1) For HR (FIX)'!J$1,'HR Rep'!$A$1:$X$1,0),0),""),""))</f>
        <v/>
      </c>
      <c r="K423" s="161">
        <f>_xlfn.XLOOKUP(G423,ค่าตอบแทนการขายในอัตราคงที่!A:A,ค่าตอบแทนการขายในอัตราคงที่!B:B)</f>
        <v>0</v>
      </c>
      <c r="L423" s="174">
        <f>Period!$A$2</f>
        <v>46113</v>
      </c>
      <c r="M423" s="175">
        <f>Period!$C$2</f>
        <v>46143</v>
      </c>
      <c r="N423" s="194" t="s">
        <v>279</v>
      </c>
    </row>
    <row r="424" spans="1:14" ht="11.4" x14ac:dyDescent="0.25">
      <c r="A424" s="137"/>
      <c r="B424" s="169" t="e">
        <f>IF(IF(VLOOKUP(A424,ASTBase!F:P,11,FALSE)="","",VLOOKUP(A424,ASTBase!F:P,11,FALSE))=0,"",IF(VLOOKUP(A424,ASTBase!F:P,11,FALSE)="","",VLOOKUP(A424,ASTBase!F:P,11,FALSE)))</f>
        <v>#N/A</v>
      </c>
      <c r="C424" s="140" t="str">
        <f>IF(IFERROR(_xlfn.IFNA(VLOOKUP($A424,'HR Rep'!$A:$X,MATCH('1) For HR (FIX)'!C$1,'HR Rep'!$A$1:$X$1,0),0),""),"")="","",IFERROR(_xlfn.IFNA(VLOOKUP($A424,'HR Rep'!$A:$X,MATCH('1) For HR (FIX)'!C$1,'HR Rep'!$A$1:$X$1,0),0),""),""))</f>
        <v/>
      </c>
      <c r="D424" s="140" t="str">
        <f>IF(IFERROR(_xlfn.IFNA(VLOOKUP($A424,'HR Rep'!$A:$X,MATCH('1) For HR (FIX)'!D$1,'HR Rep'!$A$1:$X$1,0),0),""),"")="","",IFERROR(_xlfn.IFNA(VLOOKUP($A424,'HR Rep'!$A:$X,MATCH('1) For HR (FIX)'!D$1,'HR Rep'!$A$1:$X$1,0),0),""),""))</f>
        <v/>
      </c>
      <c r="E424" s="140" t="str">
        <f>IF(IFERROR(_xlfn.IFNA(VLOOKUP($A424,'HR Rep'!$A:$X,MATCH('1) For HR (FIX)'!E$1,'HR Rep'!$A$1:$X$1,0),0),""),"")="","",IFERROR(_xlfn.IFNA(VLOOKUP($A424,'HR Rep'!$A:$X,MATCH('1) For HR (FIX)'!E$1,'HR Rep'!$A$1:$X$1,0),0),""),""))</f>
        <v/>
      </c>
      <c r="F424" s="140" t="str">
        <f>IF(IFERROR(_xlfn.IFNA(VLOOKUP($A424,'HR Rep'!$A:$X,MATCH('1) For HR (FIX)'!F$1,'HR Rep'!$A$1:$X$1,0),0),""),"")="","",IFERROR(_xlfn.IFNA(VLOOKUP($A424,'HR Rep'!$A:$X,MATCH('1) For HR (FIX)'!F$1,'HR Rep'!$A$1:$X$1,0),0),""),""))</f>
        <v/>
      </c>
      <c r="G424" s="196"/>
      <c r="H424" s="140" t="str">
        <f>IF(IFERROR(_xlfn.IFNA(VLOOKUP($A424,'HR Rep'!$A:$X,MATCH('1) For HR (FIX)'!H$1,'HR Rep'!$A$1:$X$1,0),0),""),"")="","",IFERROR(_xlfn.IFNA(VLOOKUP($A424,'HR Rep'!$A:$X,MATCH('1) For HR (FIX)'!H$1,'HR Rep'!$A$1:$X$1,0),0),""),""))</f>
        <v/>
      </c>
      <c r="I424" s="140" t="str">
        <f>IF(IFERROR(_xlfn.IFNA(VLOOKUP($A424,'HR Rep'!$A:$X,MATCH('1) For HR (FIX)'!I$1,'HR Rep'!$A$1:$X$1,0),0),""),"")="","",IFERROR(_xlfn.IFNA(VLOOKUP($A424,'HR Rep'!$A:$X,MATCH('1) For HR (FIX)'!I$1,'HR Rep'!$A$1:$X$1,0),0),""),""))</f>
        <v/>
      </c>
      <c r="J424" s="140" t="str">
        <f>IF(IFERROR(_xlfn.IFNA(VLOOKUP($A424,'HR Rep'!$A:$X,MATCH('1) For HR (FIX)'!J$1,'HR Rep'!$A$1:$X$1,0),0),""),"")="","",IFERROR(_xlfn.IFNA(VLOOKUP($A424,'HR Rep'!$A:$X,MATCH('1) For HR (FIX)'!J$1,'HR Rep'!$A$1:$X$1,0),0),""),""))</f>
        <v/>
      </c>
      <c r="K424" s="161">
        <f>_xlfn.XLOOKUP(G424,ค่าตอบแทนการขายในอัตราคงที่!A:A,ค่าตอบแทนการขายในอัตราคงที่!B:B)</f>
        <v>0</v>
      </c>
      <c r="L424" s="174">
        <f>Period!$A$2</f>
        <v>46113</v>
      </c>
      <c r="M424" s="175">
        <f>Period!$C$2</f>
        <v>46143</v>
      </c>
      <c r="N424" s="194" t="s">
        <v>279</v>
      </c>
    </row>
    <row r="425" spans="1:14" ht="11.4" x14ac:dyDescent="0.25">
      <c r="A425" s="137"/>
      <c r="B425" s="169" t="e">
        <f>IF(IF(VLOOKUP(A425,ASTBase!F:P,11,FALSE)="","",VLOOKUP(A425,ASTBase!F:P,11,FALSE))=0,"",IF(VLOOKUP(A425,ASTBase!F:P,11,FALSE)="","",VLOOKUP(A425,ASTBase!F:P,11,FALSE)))</f>
        <v>#N/A</v>
      </c>
      <c r="C425" s="140" t="str">
        <f>IF(IFERROR(_xlfn.IFNA(VLOOKUP($A425,'HR Rep'!$A:$X,MATCH('1) For HR (FIX)'!C$1,'HR Rep'!$A$1:$X$1,0),0),""),"")="","",IFERROR(_xlfn.IFNA(VLOOKUP($A425,'HR Rep'!$A:$X,MATCH('1) For HR (FIX)'!C$1,'HR Rep'!$A$1:$X$1,0),0),""),""))</f>
        <v/>
      </c>
      <c r="D425" s="140" t="str">
        <f>IF(IFERROR(_xlfn.IFNA(VLOOKUP($A425,'HR Rep'!$A:$X,MATCH('1) For HR (FIX)'!D$1,'HR Rep'!$A$1:$X$1,0),0),""),"")="","",IFERROR(_xlfn.IFNA(VLOOKUP($A425,'HR Rep'!$A:$X,MATCH('1) For HR (FIX)'!D$1,'HR Rep'!$A$1:$X$1,0),0),""),""))</f>
        <v/>
      </c>
      <c r="E425" s="140" t="str">
        <f>IF(IFERROR(_xlfn.IFNA(VLOOKUP($A425,'HR Rep'!$A:$X,MATCH('1) For HR (FIX)'!E$1,'HR Rep'!$A$1:$X$1,0),0),""),"")="","",IFERROR(_xlfn.IFNA(VLOOKUP($A425,'HR Rep'!$A:$X,MATCH('1) For HR (FIX)'!E$1,'HR Rep'!$A$1:$X$1,0),0),""),""))</f>
        <v/>
      </c>
      <c r="F425" s="140" t="str">
        <f>IF(IFERROR(_xlfn.IFNA(VLOOKUP($A425,'HR Rep'!$A:$X,MATCH('1) For HR (FIX)'!F$1,'HR Rep'!$A$1:$X$1,0),0),""),"")="","",IFERROR(_xlfn.IFNA(VLOOKUP($A425,'HR Rep'!$A:$X,MATCH('1) For HR (FIX)'!F$1,'HR Rep'!$A$1:$X$1,0),0),""),""))</f>
        <v/>
      </c>
      <c r="G425" s="196"/>
      <c r="H425" s="140" t="str">
        <f>IF(IFERROR(_xlfn.IFNA(VLOOKUP($A425,'HR Rep'!$A:$X,MATCH('1) For HR (FIX)'!H$1,'HR Rep'!$A$1:$X$1,0),0),""),"")="","",IFERROR(_xlfn.IFNA(VLOOKUP($A425,'HR Rep'!$A:$X,MATCH('1) For HR (FIX)'!H$1,'HR Rep'!$A$1:$X$1,0),0),""),""))</f>
        <v/>
      </c>
      <c r="I425" s="140" t="str">
        <f>IF(IFERROR(_xlfn.IFNA(VLOOKUP($A425,'HR Rep'!$A:$X,MATCH('1) For HR (FIX)'!I$1,'HR Rep'!$A$1:$X$1,0),0),""),"")="","",IFERROR(_xlfn.IFNA(VLOOKUP($A425,'HR Rep'!$A:$X,MATCH('1) For HR (FIX)'!I$1,'HR Rep'!$A$1:$X$1,0),0),""),""))</f>
        <v/>
      </c>
      <c r="J425" s="140" t="str">
        <f>IF(IFERROR(_xlfn.IFNA(VLOOKUP($A425,'HR Rep'!$A:$X,MATCH('1) For HR (FIX)'!J$1,'HR Rep'!$A$1:$X$1,0),0),""),"")="","",IFERROR(_xlfn.IFNA(VLOOKUP($A425,'HR Rep'!$A:$X,MATCH('1) For HR (FIX)'!J$1,'HR Rep'!$A$1:$X$1,0),0),""),""))</f>
        <v/>
      </c>
      <c r="K425" s="161">
        <f>_xlfn.XLOOKUP(G425,ค่าตอบแทนการขายในอัตราคงที่!A:A,ค่าตอบแทนการขายในอัตราคงที่!B:B)</f>
        <v>0</v>
      </c>
      <c r="L425" s="174">
        <f>Period!$A$2</f>
        <v>46113</v>
      </c>
      <c r="M425" s="175">
        <f>Period!$C$2</f>
        <v>46143</v>
      </c>
      <c r="N425" s="194" t="s">
        <v>279</v>
      </c>
    </row>
    <row r="426" spans="1:14" ht="11.4" x14ac:dyDescent="0.25">
      <c r="A426" s="137"/>
      <c r="B426" s="169" t="e">
        <f>IF(IF(VLOOKUP(A426,ASTBase!F:P,11,FALSE)="","",VLOOKUP(A426,ASTBase!F:P,11,FALSE))=0,"",IF(VLOOKUP(A426,ASTBase!F:P,11,FALSE)="","",VLOOKUP(A426,ASTBase!F:P,11,FALSE)))</f>
        <v>#N/A</v>
      </c>
      <c r="C426" s="140" t="str">
        <f>IF(IFERROR(_xlfn.IFNA(VLOOKUP($A426,'HR Rep'!$A:$X,MATCH('1) For HR (FIX)'!C$1,'HR Rep'!$A$1:$X$1,0),0),""),"")="","",IFERROR(_xlfn.IFNA(VLOOKUP($A426,'HR Rep'!$A:$X,MATCH('1) For HR (FIX)'!C$1,'HR Rep'!$A$1:$X$1,0),0),""),""))</f>
        <v/>
      </c>
      <c r="D426" s="140" t="str">
        <f>IF(IFERROR(_xlfn.IFNA(VLOOKUP($A426,'HR Rep'!$A:$X,MATCH('1) For HR (FIX)'!D$1,'HR Rep'!$A$1:$X$1,0),0),""),"")="","",IFERROR(_xlfn.IFNA(VLOOKUP($A426,'HR Rep'!$A:$X,MATCH('1) For HR (FIX)'!D$1,'HR Rep'!$A$1:$X$1,0),0),""),""))</f>
        <v/>
      </c>
      <c r="E426" s="140" t="str">
        <f>IF(IFERROR(_xlfn.IFNA(VLOOKUP($A426,'HR Rep'!$A:$X,MATCH('1) For HR (FIX)'!E$1,'HR Rep'!$A$1:$X$1,0),0),""),"")="","",IFERROR(_xlfn.IFNA(VLOOKUP($A426,'HR Rep'!$A:$X,MATCH('1) For HR (FIX)'!E$1,'HR Rep'!$A$1:$X$1,0),0),""),""))</f>
        <v/>
      </c>
      <c r="F426" s="140" t="str">
        <f>IF(IFERROR(_xlfn.IFNA(VLOOKUP($A426,'HR Rep'!$A:$X,MATCH('1) For HR (FIX)'!F$1,'HR Rep'!$A$1:$X$1,0),0),""),"")="","",IFERROR(_xlfn.IFNA(VLOOKUP($A426,'HR Rep'!$A:$X,MATCH('1) For HR (FIX)'!F$1,'HR Rep'!$A$1:$X$1,0),0),""),""))</f>
        <v/>
      </c>
      <c r="G426" s="196"/>
      <c r="H426" s="140" t="str">
        <f>IF(IFERROR(_xlfn.IFNA(VLOOKUP($A426,'HR Rep'!$A:$X,MATCH('1) For HR (FIX)'!H$1,'HR Rep'!$A$1:$X$1,0),0),""),"")="","",IFERROR(_xlfn.IFNA(VLOOKUP($A426,'HR Rep'!$A:$X,MATCH('1) For HR (FIX)'!H$1,'HR Rep'!$A$1:$X$1,0),0),""),""))</f>
        <v/>
      </c>
      <c r="I426" s="140" t="str">
        <f>IF(IFERROR(_xlfn.IFNA(VLOOKUP($A426,'HR Rep'!$A:$X,MATCH('1) For HR (FIX)'!I$1,'HR Rep'!$A$1:$X$1,0),0),""),"")="","",IFERROR(_xlfn.IFNA(VLOOKUP($A426,'HR Rep'!$A:$X,MATCH('1) For HR (FIX)'!I$1,'HR Rep'!$A$1:$X$1,0),0),""),""))</f>
        <v/>
      </c>
      <c r="J426" s="140" t="str">
        <f>IF(IFERROR(_xlfn.IFNA(VLOOKUP($A426,'HR Rep'!$A:$X,MATCH('1) For HR (FIX)'!J$1,'HR Rep'!$A$1:$X$1,0),0),""),"")="","",IFERROR(_xlfn.IFNA(VLOOKUP($A426,'HR Rep'!$A:$X,MATCH('1) For HR (FIX)'!J$1,'HR Rep'!$A$1:$X$1,0),0),""),""))</f>
        <v/>
      </c>
      <c r="K426" s="161">
        <f>_xlfn.XLOOKUP(G426,ค่าตอบแทนการขายในอัตราคงที่!A:A,ค่าตอบแทนการขายในอัตราคงที่!B:B)</f>
        <v>0</v>
      </c>
      <c r="L426" s="174">
        <f>Period!$A$2</f>
        <v>46113</v>
      </c>
      <c r="M426" s="175">
        <f>Period!$C$2</f>
        <v>46143</v>
      </c>
      <c r="N426" s="194" t="s">
        <v>279</v>
      </c>
    </row>
    <row r="427" spans="1:14" ht="11.4" x14ac:dyDescent="0.25">
      <c r="A427" s="137"/>
      <c r="B427" s="169" t="e">
        <f>IF(IF(VLOOKUP(A427,ASTBase!F:P,11,FALSE)="","",VLOOKUP(A427,ASTBase!F:P,11,FALSE))=0,"",IF(VLOOKUP(A427,ASTBase!F:P,11,FALSE)="","",VLOOKUP(A427,ASTBase!F:P,11,FALSE)))</f>
        <v>#N/A</v>
      </c>
      <c r="C427" s="140" t="str">
        <f>IF(IFERROR(_xlfn.IFNA(VLOOKUP($A427,'HR Rep'!$A:$X,MATCH('1) For HR (FIX)'!C$1,'HR Rep'!$A$1:$X$1,0),0),""),"")="","",IFERROR(_xlfn.IFNA(VLOOKUP($A427,'HR Rep'!$A:$X,MATCH('1) For HR (FIX)'!C$1,'HR Rep'!$A$1:$X$1,0),0),""),""))</f>
        <v/>
      </c>
      <c r="D427" s="140" t="str">
        <f>IF(IFERROR(_xlfn.IFNA(VLOOKUP($A427,'HR Rep'!$A:$X,MATCH('1) For HR (FIX)'!D$1,'HR Rep'!$A$1:$X$1,0),0),""),"")="","",IFERROR(_xlfn.IFNA(VLOOKUP($A427,'HR Rep'!$A:$X,MATCH('1) For HR (FIX)'!D$1,'HR Rep'!$A$1:$X$1,0),0),""),""))</f>
        <v/>
      </c>
      <c r="E427" s="140" t="str">
        <f>IF(IFERROR(_xlfn.IFNA(VLOOKUP($A427,'HR Rep'!$A:$X,MATCH('1) For HR (FIX)'!E$1,'HR Rep'!$A$1:$X$1,0),0),""),"")="","",IFERROR(_xlfn.IFNA(VLOOKUP($A427,'HR Rep'!$A:$X,MATCH('1) For HR (FIX)'!E$1,'HR Rep'!$A$1:$X$1,0),0),""),""))</f>
        <v/>
      </c>
      <c r="F427" s="140" t="str">
        <f>IF(IFERROR(_xlfn.IFNA(VLOOKUP($A427,'HR Rep'!$A:$X,MATCH('1) For HR (FIX)'!F$1,'HR Rep'!$A$1:$X$1,0),0),""),"")="","",IFERROR(_xlfn.IFNA(VLOOKUP($A427,'HR Rep'!$A:$X,MATCH('1) For HR (FIX)'!F$1,'HR Rep'!$A$1:$X$1,0),0),""),""))</f>
        <v/>
      </c>
      <c r="G427" s="196"/>
      <c r="H427" s="140" t="str">
        <f>IF(IFERROR(_xlfn.IFNA(VLOOKUP($A427,'HR Rep'!$A:$X,MATCH('1) For HR (FIX)'!H$1,'HR Rep'!$A$1:$X$1,0),0),""),"")="","",IFERROR(_xlfn.IFNA(VLOOKUP($A427,'HR Rep'!$A:$X,MATCH('1) For HR (FIX)'!H$1,'HR Rep'!$A$1:$X$1,0),0),""),""))</f>
        <v/>
      </c>
      <c r="I427" s="140" t="str">
        <f>IF(IFERROR(_xlfn.IFNA(VLOOKUP($A427,'HR Rep'!$A:$X,MATCH('1) For HR (FIX)'!I$1,'HR Rep'!$A$1:$X$1,0),0),""),"")="","",IFERROR(_xlfn.IFNA(VLOOKUP($A427,'HR Rep'!$A:$X,MATCH('1) For HR (FIX)'!I$1,'HR Rep'!$A$1:$X$1,0),0),""),""))</f>
        <v/>
      </c>
      <c r="J427" s="140" t="str">
        <f>IF(IFERROR(_xlfn.IFNA(VLOOKUP($A427,'HR Rep'!$A:$X,MATCH('1) For HR (FIX)'!J$1,'HR Rep'!$A$1:$X$1,0),0),""),"")="","",IFERROR(_xlfn.IFNA(VLOOKUP($A427,'HR Rep'!$A:$X,MATCH('1) For HR (FIX)'!J$1,'HR Rep'!$A$1:$X$1,0),0),""),""))</f>
        <v/>
      </c>
      <c r="K427" s="161">
        <f>_xlfn.XLOOKUP(G427,ค่าตอบแทนการขายในอัตราคงที่!A:A,ค่าตอบแทนการขายในอัตราคงที่!B:B)</f>
        <v>0</v>
      </c>
      <c r="L427" s="174">
        <f>Period!$A$2</f>
        <v>46113</v>
      </c>
      <c r="M427" s="175">
        <f>Period!$C$2</f>
        <v>46143</v>
      </c>
      <c r="N427" s="194" t="s">
        <v>279</v>
      </c>
    </row>
    <row r="428" spans="1:14" ht="11.4" x14ac:dyDescent="0.25">
      <c r="A428" s="137"/>
      <c r="B428" s="169" t="e">
        <f>IF(IF(VLOOKUP(A428,ASTBase!F:P,11,FALSE)="","",VLOOKUP(A428,ASTBase!F:P,11,FALSE))=0,"",IF(VLOOKUP(A428,ASTBase!F:P,11,FALSE)="","",VLOOKUP(A428,ASTBase!F:P,11,FALSE)))</f>
        <v>#N/A</v>
      </c>
      <c r="C428" s="140" t="str">
        <f>IF(IFERROR(_xlfn.IFNA(VLOOKUP($A428,'HR Rep'!$A:$X,MATCH('1) For HR (FIX)'!C$1,'HR Rep'!$A$1:$X$1,0),0),""),"")="","",IFERROR(_xlfn.IFNA(VLOOKUP($A428,'HR Rep'!$A:$X,MATCH('1) For HR (FIX)'!C$1,'HR Rep'!$A$1:$X$1,0),0),""),""))</f>
        <v/>
      </c>
      <c r="D428" s="140" t="str">
        <f>IF(IFERROR(_xlfn.IFNA(VLOOKUP($A428,'HR Rep'!$A:$X,MATCH('1) For HR (FIX)'!D$1,'HR Rep'!$A$1:$X$1,0),0),""),"")="","",IFERROR(_xlfn.IFNA(VLOOKUP($A428,'HR Rep'!$A:$X,MATCH('1) For HR (FIX)'!D$1,'HR Rep'!$A$1:$X$1,0),0),""),""))</f>
        <v/>
      </c>
      <c r="E428" s="140" t="str">
        <f>IF(IFERROR(_xlfn.IFNA(VLOOKUP($A428,'HR Rep'!$A:$X,MATCH('1) For HR (FIX)'!E$1,'HR Rep'!$A$1:$X$1,0),0),""),"")="","",IFERROR(_xlfn.IFNA(VLOOKUP($A428,'HR Rep'!$A:$X,MATCH('1) For HR (FIX)'!E$1,'HR Rep'!$A$1:$X$1,0),0),""),""))</f>
        <v/>
      </c>
      <c r="F428" s="140" t="str">
        <f>IF(IFERROR(_xlfn.IFNA(VLOOKUP($A428,'HR Rep'!$A:$X,MATCH('1) For HR (FIX)'!F$1,'HR Rep'!$A$1:$X$1,0),0),""),"")="","",IFERROR(_xlfn.IFNA(VLOOKUP($A428,'HR Rep'!$A:$X,MATCH('1) For HR (FIX)'!F$1,'HR Rep'!$A$1:$X$1,0),0),""),""))</f>
        <v/>
      </c>
      <c r="G428" s="196"/>
      <c r="H428" s="140" t="str">
        <f>IF(IFERROR(_xlfn.IFNA(VLOOKUP($A428,'HR Rep'!$A:$X,MATCH('1) For HR (FIX)'!H$1,'HR Rep'!$A$1:$X$1,0),0),""),"")="","",IFERROR(_xlfn.IFNA(VLOOKUP($A428,'HR Rep'!$A:$X,MATCH('1) For HR (FIX)'!H$1,'HR Rep'!$A$1:$X$1,0),0),""),""))</f>
        <v/>
      </c>
      <c r="I428" s="140" t="str">
        <f>IF(IFERROR(_xlfn.IFNA(VLOOKUP($A428,'HR Rep'!$A:$X,MATCH('1) For HR (FIX)'!I$1,'HR Rep'!$A$1:$X$1,0),0),""),"")="","",IFERROR(_xlfn.IFNA(VLOOKUP($A428,'HR Rep'!$A:$X,MATCH('1) For HR (FIX)'!I$1,'HR Rep'!$A$1:$X$1,0),0),""),""))</f>
        <v/>
      </c>
      <c r="J428" s="140" t="str">
        <f>IF(IFERROR(_xlfn.IFNA(VLOOKUP($A428,'HR Rep'!$A:$X,MATCH('1) For HR (FIX)'!J$1,'HR Rep'!$A$1:$X$1,0),0),""),"")="","",IFERROR(_xlfn.IFNA(VLOOKUP($A428,'HR Rep'!$A:$X,MATCH('1) For HR (FIX)'!J$1,'HR Rep'!$A$1:$X$1,0),0),""),""))</f>
        <v/>
      </c>
      <c r="K428" s="161">
        <f>_xlfn.XLOOKUP(G428,ค่าตอบแทนการขายในอัตราคงที่!A:A,ค่าตอบแทนการขายในอัตราคงที่!B:B)</f>
        <v>0</v>
      </c>
      <c r="L428" s="174">
        <f>Period!$A$2</f>
        <v>46113</v>
      </c>
      <c r="M428" s="175">
        <f>Period!$C$2</f>
        <v>46143</v>
      </c>
      <c r="N428" s="194" t="s">
        <v>279</v>
      </c>
    </row>
    <row r="429" spans="1:14" ht="11.4" x14ac:dyDescent="0.25">
      <c r="A429" s="137"/>
      <c r="B429" s="169" t="e">
        <f>IF(IF(VLOOKUP(A429,ASTBase!F:P,11,FALSE)="","",VLOOKUP(A429,ASTBase!F:P,11,FALSE))=0,"",IF(VLOOKUP(A429,ASTBase!F:P,11,FALSE)="","",VLOOKUP(A429,ASTBase!F:P,11,FALSE)))</f>
        <v>#N/A</v>
      </c>
      <c r="C429" s="140" t="str">
        <f>IF(IFERROR(_xlfn.IFNA(VLOOKUP($A429,'HR Rep'!$A:$X,MATCH('1) For HR (FIX)'!C$1,'HR Rep'!$A$1:$X$1,0),0),""),"")="","",IFERROR(_xlfn.IFNA(VLOOKUP($A429,'HR Rep'!$A:$X,MATCH('1) For HR (FIX)'!C$1,'HR Rep'!$A$1:$X$1,0),0),""),""))</f>
        <v/>
      </c>
      <c r="D429" s="140" t="str">
        <f>IF(IFERROR(_xlfn.IFNA(VLOOKUP($A429,'HR Rep'!$A:$X,MATCH('1) For HR (FIX)'!D$1,'HR Rep'!$A$1:$X$1,0),0),""),"")="","",IFERROR(_xlfn.IFNA(VLOOKUP($A429,'HR Rep'!$A:$X,MATCH('1) For HR (FIX)'!D$1,'HR Rep'!$A$1:$X$1,0),0),""),""))</f>
        <v/>
      </c>
      <c r="E429" s="140" t="str">
        <f>IF(IFERROR(_xlfn.IFNA(VLOOKUP($A429,'HR Rep'!$A:$X,MATCH('1) For HR (FIX)'!E$1,'HR Rep'!$A$1:$X$1,0),0),""),"")="","",IFERROR(_xlfn.IFNA(VLOOKUP($A429,'HR Rep'!$A:$X,MATCH('1) For HR (FIX)'!E$1,'HR Rep'!$A$1:$X$1,0),0),""),""))</f>
        <v/>
      </c>
      <c r="F429" s="140" t="str">
        <f>IF(IFERROR(_xlfn.IFNA(VLOOKUP($A429,'HR Rep'!$A:$X,MATCH('1) For HR (FIX)'!F$1,'HR Rep'!$A$1:$X$1,0),0),""),"")="","",IFERROR(_xlfn.IFNA(VLOOKUP($A429,'HR Rep'!$A:$X,MATCH('1) For HR (FIX)'!F$1,'HR Rep'!$A$1:$X$1,0),0),""),""))</f>
        <v/>
      </c>
      <c r="G429" s="196"/>
      <c r="H429" s="140" t="str">
        <f>IF(IFERROR(_xlfn.IFNA(VLOOKUP($A429,'HR Rep'!$A:$X,MATCH('1) For HR (FIX)'!H$1,'HR Rep'!$A$1:$X$1,0),0),""),"")="","",IFERROR(_xlfn.IFNA(VLOOKUP($A429,'HR Rep'!$A:$X,MATCH('1) For HR (FIX)'!H$1,'HR Rep'!$A$1:$X$1,0),0),""),""))</f>
        <v/>
      </c>
      <c r="I429" s="140" t="str">
        <f>IF(IFERROR(_xlfn.IFNA(VLOOKUP($A429,'HR Rep'!$A:$X,MATCH('1) For HR (FIX)'!I$1,'HR Rep'!$A$1:$X$1,0),0),""),"")="","",IFERROR(_xlfn.IFNA(VLOOKUP($A429,'HR Rep'!$A:$X,MATCH('1) For HR (FIX)'!I$1,'HR Rep'!$A$1:$X$1,0),0),""),""))</f>
        <v/>
      </c>
      <c r="J429" s="140" t="str">
        <f>IF(IFERROR(_xlfn.IFNA(VLOOKUP($A429,'HR Rep'!$A:$X,MATCH('1) For HR (FIX)'!J$1,'HR Rep'!$A$1:$X$1,0),0),""),"")="","",IFERROR(_xlfn.IFNA(VLOOKUP($A429,'HR Rep'!$A:$X,MATCH('1) For HR (FIX)'!J$1,'HR Rep'!$A$1:$X$1,0),0),""),""))</f>
        <v/>
      </c>
      <c r="K429" s="161">
        <f>_xlfn.XLOOKUP(G429,ค่าตอบแทนการขายในอัตราคงที่!A:A,ค่าตอบแทนการขายในอัตราคงที่!B:B)</f>
        <v>0</v>
      </c>
      <c r="L429" s="174">
        <f>Period!$A$2</f>
        <v>46113</v>
      </c>
      <c r="M429" s="175">
        <f>Period!$C$2</f>
        <v>46143</v>
      </c>
      <c r="N429" s="194" t="s">
        <v>279</v>
      </c>
    </row>
    <row r="430" spans="1:14" ht="11.4" x14ac:dyDescent="0.25">
      <c r="A430" s="137"/>
      <c r="B430" s="169" t="e">
        <f>IF(IF(VLOOKUP(A430,ASTBase!F:P,11,FALSE)="","",VLOOKUP(A430,ASTBase!F:P,11,FALSE))=0,"",IF(VLOOKUP(A430,ASTBase!F:P,11,FALSE)="","",VLOOKUP(A430,ASTBase!F:P,11,FALSE)))</f>
        <v>#N/A</v>
      </c>
      <c r="C430" s="140" t="str">
        <f>IF(IFERROR(_xlfn.IFNA(VLOOKUP($A430,'HR Rep'!$A:$X,MATCH('1) For HR (FIX)'!C$1,'HR Rep'!$A$1:$X$1,0),0),""),"")="","",IFERROR(_xlfn.IFNA(VLOOKUP($A430,'HR Rep'!$A:$X,MATCH('1) For HR (FIX)'!C$1,'HR Rep'!$A$1:$X$1,0),0),""),""))</f>
        <v/>
      </c>
      <c r="D430" s="140" t="str">
        <f>IF(IFERROR(_xlfn.IFNA(VLOOKUP($A430,'HR Rep'!$A:$X,MATCH('1) For HR (FIX)'!D$1,'HR Rep'!$A$1:$X$1,0),0),""),"")="","",IFERROR(_xlfn.IFNA(VLOOKUP($A430,'HR Rep'!$A:$X,MATCH('1) For HR (FIX)'!D$1,'HR Rep'!$A$1:$X$1,0),0),""),""))</f>
        <v/>
      </c>
      <c r="E430" s="140" t="str">
        <f>IF(IFERROR(_xlfn.IFNA(VLOOKUP($A430,'HR Rep'!$A:$X,MATCH('1) For HR (FIX)'!E$1,'HR Rep'!$A$1:$X$1,0),0),""),"")="","",IFERROR(_xlfn.IFNA(VLOOKUP($A430,'HR Rep'!$A:$X,MATCH('1) For HR (FIX)'!E$1,'HR Rep'!$A$1:$X$1,0),0),""),""))</f>
        <v/>
      </c>
      <c r="F430" s="140" t="str">
        <f>IF(IFERROR(_xlfn.IFNA(VLOOKUP($A430,'HR Rep'!$A:$X,MATCH('1) For HR (FIX)'!F$1,'HR Rep'!$A$1:$X$1,0),0),""),"")="","",IFERROR(_xlfn.IFNA(VLOOKUP($A430,'HR Rep'!$A:$X,MATCH('1) For HR (FIX)'!F$1,'HR Rep'!$A$1:$X$1,0),0),""),""))</f>
        <v/>
      </c>
      <c r="G430" s="196"/>
      <c r="H430" s="140" t="str">
        <f>IF(IFERROR(_xlfn.IFNA(VLOOKUP($A430,'HR Rep'!$A:$X,MATCH('1) For HR (FIX)'!H$1,'HR Rep'!$A$1:$X$1,0),0),""),"")="","",IFERROR(_xlfn.IFNA(VLOOKUP($A430,'HR Rep'!$A:$X,MATCH('1) For HR (FIX)'!H$1,'HR Rep'!$A$1:$X$1,0),0),""),""))</f>
        <v/>
      </c>
      <c r="I430" s="140" t="str">
        <f>IF(IFERROR(_xlfn.IFNA(VLOOKUP($A430,'HR Rep'!$A:$X,MATCH('1) For HR (FIX)'!I$1,'HR Rep'!$A$1:$X$1,0),0),""),"")="","",IFERROR(_xlfn.IFNA(VLOOKUP($A430,'HR Rep'!$A:$X,MATCH('1) For HR (FIX)'!I$1,'HR Rep'!$A$1:$X$1,0),0),""),""))</f>
        <v/>
      </c>
      <c r="J430" s="140" t="str">
        <f>IF(IFERROR(_xlfn.IFNA(VLOOKUP($A430,'HR Rep'!$A:$X,MATCH('1) For HR (FIX)'!J$1,'HR Rep'!$A$1:$X$1,0),0),""),"")="","",IFERROR(_xlfn.IFNA(VLOOKUP($A430,'HR Rep'!$A:$X,MATCH('1) For HR (FIX)'!J$1,'HR Rep'!$A$1:$X$1,0),0),""),""))</f>
        <v/>
      </c>
      <c r="K430" s="161">
        <f>_xlfn.XLOOKUP(G430,ค่าตอบแทนการขายในอัตราคงที่!A:A,ค่าตอบแทนการขายในอัตราคงที่!B:B)</f>
        <v>0</v>
      </c>
      <c r="L430" s="174">
        <f>Period!$A$2</f>
        <v>46113</v>
      </c>
      <c r="M430" s="175">
        <f>Period!$C$2</f>
        <v>46143</v>
      </c>
      <c r="N430" s="194" t="s">
        <v>279</v>
      </c>
    </row>
    <row r="431" spans="1:14" ht="11.4" x14ac:dyDescent="0.25">
      <c r="A431" s="137"/>
      <c r="B431" s="169" t="e">
        <f>IF(IF(VLOOKUP(A431,ASTBase!F:P,11,FALSE)="","",VLOOKUP(A431,ASTBase!F:P,11,FALSE))=0,"",IF(VLOOKUP(A431,ASTBase!F:P,11,FALSE)="","",VLOOKUP(A431,ASTBase!F:P,11,FALSE)))</f>
        <v>#N/A</v>
      </c>
      <c r="C431" s="140" t="str">
        <f>IF(IFERROR(_xlfn.IFNA(VLOOKUP($A431,'HR Rep'!$A:$X,MATCH('1) For HR (FIX)'!C$1,'HR Rep'!$A$1:$X$1,0),0),""),"")="","",IFERROR(_xlfn.IFNA(VLOOKUP($A431,'HR Rep'!$A:$X,MATCH('1) For HR (FIX)'!C$1,'HR Rep'!$A$1:$X$1,0),0),""),""))</f>
        <v/>
      </c>
      <c r="D431" s="140" t="str">
        <f>IF(IFERROR(_xlfn.IFNA(VLOOKUP($A431,'HR Rep'!$A:$X,MATCH('1) For HR (FIX)'!D$1,'HR Rep'!$A$1:$X$1,0),0),""),"")="","",IFERROR(_xlfn.IFNA(VLOOKUP($A431,'HR Rep'!$A:$X,MATCH('1) For HR (FIX)'!D$1,'HR Rep'!$A$1:$X$1,0),0),""),""))</f>
        <v/>
      </c>
      <c r="E431" s="140" t="str">
        <f>IF(IFERROR(_xlfn.IFNA(VLOOKUP($A431,'HR Rep'!$A:$X,MATCH('1) For HR (FIX)'!E$1,'HR Rep'!$A$1:$X$1,0),0),""),"")="","",IFERROR(_xlfn.IFNA(VLOOKUP($A431,'HR Rep'!$A:$X,MATCH('1) For HR (FIX)'!E$1,'HR Rep'!$A$1:$X$1,0),0),""),""))</f>
        <v/>
      </c>
      <c r="F431" s="140" t="str">
        <f>IF(IFERROR(_xlfn.IFNA(VLOOKUP($A431,'HR Rep'!$A:$X,MATCH('1) For HR (FIX)'!F$1,'HR Rep'!$A$1:$X$1,0),0),""),"")="","",IFERROR(_xlfn.IFNA(VLOOKUP($A431,'HR Rep'!$A:$X,MATCH('1) For HR (FIX)'!F$1,'HR Rep'!$A$1:$X$1,0),0),""),""))</f>
        <v/>
      </c>
      <c r="G431" s="196"/>
      <c r="H431" s="140" t="str">
        <f>IF(IFERROR(_xlfn.IFNA(VLOOKUP($A431,'HR Rep'!$A:$X,MATCH('1) For HR (FIX)'!H$1,'HR Rep'!$A$1:$X$1,0),0),""),"")="","",IFERROR(_xlfn.IFNA(VLOOKUP($A431,'HR Rep'!$A:$X,MATCH('1) For HR (FIX)'!H$1,'HR Rep'!$A$1:$X$1,0),0),""),""))</f>
        <v/>
      </c>
      <c r="I431" s="140" t="str">
        <f>IF(IFERROR(_xlfn.IFNA(VLOOKUP($A431,'HR Rep'!$A:$X,MATCH('1) For HR (FIX)'!I$1,'HR Rep'!$A$1:$X$1,0),0),""),"")="","",IFERROR(_xlfn.IFNA(VLOOKUP($A431,'HR Rep'!$A:$X,MATCH('1) For HR (FIX)'!I$1,'HR Rep'!$A$1:$X$1,0),0),""),""))</f>
        <v/>
      </c>
      <c r="J431" s="140" t="str">
        <f>IF(IFERROR(_xlfn.IFNA(VLOOKUP($A431,'HR Rep'!$A:$X,MATCH('1) For HR (FIX)'!J$1,'HR Rep'!$A$1:$X$1,0),0),""),"")="","",IFERROR(_xlfn.IFNA(VLOOKUP($A431,'HR Rep'!$A:$X,MATCH('1) For HR (FIX)'!J$1,'HR Rep'!$A$1:$X$1,0),0),""),""))</f>
        <v/>
      </c>
      <c r="K431" s="161">
        <f>_xlfn.XLOOKUP(G431,ค่าตอบแทนการขายในอัตราคงที่!A:A,ค่าตอบแทนการขายในอัตราคงที่!B:B)</f>
        <v>0</v>
      </c>
      <c r="L431" s="174">
        <f>Period!$A$2</f>
        <v>46113</v>
      </c>
      <c r="M431" s="175">
        <f>Period!$C$2</f>
        <v>46143</v>
      </c>
      <c r="N431" s="194" t="s">
        <v>279</v>
      </c>
    </row>
    <row r="432" spans="1:14" ht="11.4" x14ac:dyDescent="0.25">
      <c r="A432" s="137"/>
      <c r="B432" s="169" t="e">
        <f>IF(IF(VLOOKUP(A432,ASTBase!F:P,11,FALSE)="","",VLOOKUP(A432,ASTBase!F:P,11,FALSE))=0,"",IF(VLOOKUP(A432,ASTBase!F:P,11,FALSE)="","",VLOOKUP(A432,ASTBase!F:P,11,FALSE)))</f>
        <v>#N/A</v>
      </c>
      <c r="C432" s="140" t="str">
        <f>IF(IFERROR(_xlfn.IFNA(VLOOKUP($A432,'HR Rep'!$A:$X,MATCH('1) For HR (FIX)'!C$1,'HR Rep'!$A$1:$X$1,0),0),""),"")="","",IFERROR(_xlfn.IFNA(VLOOKUP($A432,'HR Rep'!$A:$X,MATCH('1) For HR (FIX)'!C$1,'HR Rep'!$A$1:$X$1,0),0),""),""))</f>
        <v/>
      </c>
      <c r="D432" s="140" t="str">
        <f>IF(IFERROR(_xlfn.IFNA(VLOOKUP($A432,'HR Rep'!$A:$X,MATCH('1) For HR (FIX)'!D$1,'HR Rep'!$A$1:$X$1,0),0),""),"")="","",IFERROR(_xlfn.IFNA(VLOOKUP($A432,'HR Rep'!$A:$X,MATCH('1) For HR (FIX)'!D$1,'HR Rep'!$A$1:$X$1,0),0),""),""))</f>
        <v/>
      </c>
      <c r="E432" s="140" t="str">
        <f>IF(IFERROR(_xlfn.IFNA(VLOOKUP($A432,'HR Rep'!$A:$X,MATCH('1) For HR (FIX)'!E$1,'HR Rep'!$A$1:$X$1,0),0),""),"")="","",IFERROR(_xlfn.IFNA(VLOOKUP($A432,'HR Rep'!$A:$X,MATCH('1) For HR (FIX)'!E$1,'HR Rep'!$A$1:$X$1,0),0),""),""))</f>
        <v/>
      </c>
      <c r="F432" s="140" t="str">
        <f>IF(IFERROR(_xlfn.IFNA(VLOOKUP($A432,'HR Rep'!$A:$X,MATCH('1) For HR (FIX)'!F$1,'HR Rep'!$A$1:$X$1,0),0),""),"")="","",IFERROR(_xlfn.IFNA(VLOOKUP($A432,'HR Rep'!$A:$X,MATCH('1) For HR (FIX)'!F$1,'HR Rep'!$A$1:$X$1,0),0),""),""))</f>
        <v/>
      </c>
      <c r="G432" s="196"/>
      <c r="H432" s="140" t="str">
        <f>IF(IFERROR(_xlfn.IFNA(VLOOKUP($A432,'HR Rep'!$A:$X,MATCH('1) For HR (FIX)'!H$1,'HR Rep'!$A$1:$X$1,0),0),""),"")="","",IFERROR(_xlfn.IFNA(VLOOKUP($A432,'HR Rep'!$A:$X,MATCH('1) For HR (FIX)'!H$1,'HR Rep'!$A$1:$X$1,0),0),""),""))</f>
        <v/>
      </c>
      <c r="I432" s="140" t="str">
        <f>IF(IFERROR(_xlfn.IFNA(VLOOKUP($A432,'HR Rep'!$A:$X,MATCH('1) For HR (FIX)'!I$1,'HR Rep'!$A$1:$X$1,0),0),""),"")="","",IFERROR(_xlfn.IFNA(VLOOKUP($A432,'HR Rep'!$A:$X,MATCH('1) For HR (FIX)'!I$1,'HR Rep'!$A$1:$X$1,0),0),""),""))</f>
        <v/>
      </c>
      <c r="J432" s="140" t="str">
        <f>IF(IFERROR(_xlfn.IFNA(VLOOKUP($A432,'HR Rep'!$A:$X,MATCH('1) For HR (FIX)'!J$1,'HR Rep'!$A$1:$X$1,0),0),""),"")="","",IFERROR(_xlfn.IFNA(VLOOKUP($A432,'HR Rep'!$A:$X,MATCH('1) For HR (FIX)'!J$1,'HR Rep'!$A$1:$X$1,0),0),""),""))</f>
        <v/>
      </c>
      <c r="K432" s="161">
        <f>_xlfn.XLOOKUP(G432,ค่าตอบแทนการขายในอัตราคงที่!A:A,ค่าตอบแทนการขายในอัตราคงที่!B:B)</f>
        <v>0</v>
      </c>
      <c r="L432" s="174">
        <f>Period!$A$2</f>
        <v>46113</v>
      </c>
      <c r="M432" s="175">
        <f>Period!$C$2</f>
        <v>46143</v>
      </c>
      <c r="N432" s="194" t="s">
        <v>279</v>
      </c>
    </row>
    <row r="433" spans="1:14" ht="11.4" x14ac:dyDescent="0.25">
      <c r="A433" s="137"/>
      <c r="B433" s="169" t="e">
        <f>IF(IF(VLOOKUP(A433,ASTBase!F:P,11,FALSE)="","",VLOOKUP(A433,ASTBase!F:P,11,FALSE))=0,"",IF(VLOOKUP(A433,ASTBase!F:P,11,FALSE)="","",VLOOKUP(A433,ASTBase!F:P,11,FALSE)))</f>
        <v>#N/A</v>
      </c>
      <c r="C433" s="140" t="str">
        <f>IF(IFERROR(_xlfn.IFNA(VLOOKUP($A433,'HR Rep'!$A:$X,MATCH('1) For HR (FIX)'!C$1,'HR Rep'!$A$1:$X$1,0),0),""),"")="","",IFERROR(_xlfn.IFNA(VLOOKUP($A433,'HR Rep'!$A:$X,MATCH('1) For HR (FIX)'!C$1,'HR Rep'!$A$1:$X$1,0),0),""),""))</f>
        <v/>
      </c>
      <c r="D433" s="140" t="str">
        <f>IF(IFERROR(_xlfn.IFNA(VLOOKUP($A433,'HR Rep'!$A:$X,MATCH('1) For HR (FIX)'!D$1,'HR Rep'!$A$1:$X$1,0),0),""),"")="","",IFERROR(_xlfn.IFNA(VLOOKUP($A433,'HR Rep'!$A:$X,MATCH('1) For HR (FIX)'!D$1,'HR Rep'!$A$1:$X$1,0),0),""),""))</f>
        <v/>
      </c>
      <c r="E433" s="140" t="str">
        <f>IF(IFERROR(_xlfn.IFNA(VLOOKUP($A433,'HR Rep'!$A:$X,MATCH('1) For HR (FIX)'!E$1,'HR Rep'!$A$1:$X$1,0),0),""),"")="","",IFERROR(_xlfn.IFNA(VLOOKUP($A433,'HR Rep'!$A:$X,MATCH('1) For HR (FIX)'!E$1,'HR Rep'!$A$1:$X$1,0),0),""),""))</f>
        <v/>
      </c>
      <c r="F433" s="140" t="str">
        <f>IF(IFERROR(_xlfn.IFNA(VLOOKUP($A433,'HR Rep'!$A:$X,MATCH('1) For HR (FIX)'!F$1,'HR Rep'!$A$1:$X$1,0),0),""),"")="","",IFERROR(_xlfn.IFNA(VLOOKUP($A433,'HR Rep'!$A:$X,MATCH('1) For HR (FIX)'!F$1,'HR Rep'!$A$1:$X$1,0),0),""),""))</f>
        <v/>
      </c>
      <c r="G433" s="196"/>
      <c r="H433" s="140" t="str">
        <f>IF(IFERROR(_xlfn.IFNA(VLOOKUP($A433,'HR Rep'!$A:$X,MATCH('1) For HR (FIX)'!H$1,'HR Rep'!$A$1:$X$1,0),0),""),"")="","",IFERROR(_xlfn.IFNA(VLOOKUP($A433,'HR Rep'!$A:$X,MATCH('1) For HR (FIX)'!H$1,'HR Rep'!$A$1:$X$1,0),0),""),""))</f>
        <v/>
      </c>
      <c r="I433" s="140" t="str">
        <f>IF(IFERROR(_xlfn.IFNA(VLOOKUP($A433,'HR Rep'!$A:$X,MATCH('1) For HR (FIX)'!I$1,'HR Rep'!$A$1:$X$1,0),0),""),"")="","",IFERROR(_xlfn.IFNA(VLOOKUP($A433,'HR Rep'!$A:$X,MATCH('1) For HR (FIX)'!I$1,'HR Rep'!$A$1:$X$1,0),0),""),""))</f>
        <v/>
      </c>
      <c r="J433" s="140" t="str">
        <f>IF(IFERROR(_xlfn.IFNA(VLOOKUP($A433,'HR Rep'!$A:$X,MATCH('1) For HR (FIX)'!J$1,'HR Rep'!$A$1:$X$1,0),0),""),"")="","",IFERROR(_xlfn.IFNA(VLOOKUP($A433,'HR Rep'!$A:$X,MATCH('1) For HR (FIX)'!J$1,'HR Rep'!$A$1:$X$1,0),0),""),""))</f>
        <v/>
      </c>
      <c r="K433" s="161">
        <f>_xlfn.XLOOKUP(G433,ค่าตอบแทนการขายในอัตราคงที่!A:A,ค่าตอบแทนการขายในอัตราคงที่!B:B)</f>
        <v>0</v>
      </c>
      <c r="L433" s="174">
        <f>Period!$A$2</f>
        <v>46113</v>
      </c>
      <c r="M433" s="175">
        <f>Period!$C$2</f>
        <v>46143</v>
      </c>
      <c r="N433" s="194" t="s">
        <v>279</v>
      </c>
    </row>
    <row r="434" spans="1:14" ht="11.4" x14ac:dyDescent="0.25">
      <c r="A434" s="137"/>
      <c r="B434" s="169" t="e">
        <f>IF(IF(VLOOKUP(A434,ASTBase!F:P,11,FALSE)="","",VLOOKUP(A434,ASTBase!F:P,11,FALSE))=0,"",IF(VLOOKUP(A434,ASTBase!F:P,11,FALSE)="","",VLOOKUP(A434,ASTBase!F:P,11,FALSE)))</f>
        <v>#N/A</v>
      </c>
      <c r="C434" s="140" t="str">
        <f>IF(IFERROR(_xlfn.IFNA(VLOOKUP($A434,'HR Rep'!$A:$X,MATCH('1) For HR (FIX)'!C$1,'HR Rep'!$A$1:$X$1,0),0),""),"")="","",IFERROR(_xlfn.IFNA(VLOOKUP($A434,'HR Rep'!$A:$X,MATCH('1) For HR (FIX)'!C$1,'HR Rep'!$A$1:$X$1,0),0),""),""))</f>
        <v/>
      </c>
      <c r="D434" s="140" t="str">
        <f>IF(IFERROR(_xlfn.IFNA(VLOOKUP($A434,'HR Rep'!$A:$X,MATCH('1) For HR (FIX)'!D$1,'HR Rep'!$A$1:$X$1,0),0),""),"")="","",IFERROR(_xlfn.IFNA(VLOOKUP($A434,'HR Rep'!$A:$X,MATCH('1) For HR (FIX)'!D$1,'HR Rep'!$A$1:$X$1,0),0),""),""))</f>
        <v/>
      </c>
      <c r="E434" s="140" t="str">
        <f>IF(IFERROR(_xlfn.IFNA(VLOOKUP($A434,'HR Rep'!$A:$X,MATCH('1) For HR (FIX)'!E$1,'HR Rep'!$A$1:$X$1,0),0),""),"")="","",IFERROR(_xlfn.IFNA(VLOOKUP($A434,'HR Rep'!$A:$X,MATCH('1) For HR (FIX)'!E$1,'HR Rep'!$A$1:$X$1,0),0),""),""))</f>
        <v/>
      </c>
      <c r="F434" s="140" t="str">
        <f>IF(IFERROR(_xlfn.IFNA(VLOOKUP($A434,'HR Rep'!$A:$X,MATCH('1) For HR (FIX)'!F$1,'HR Rep'!$A$1:$X$1,0),0),""),"")="","",IFERROR(_xlfn.IFNA(VLOOKUP($A434,'HR Rep'!$A:$X,MATCH('1) For HR (FIX)'!F$1,'HR Rep'!$A$1:$X$1,0),0),""),""))</f>
        <v/>
      </c>
      <c r="G434" s="196"/>
      <c r="H434" s="140" t="str">
        <f>IF(IFERROR(_xlfn.IFNA(VLOOKUP($A434,'HR Rep'!$A:$X,MATCH('1) For HR (FIX)'!H$1,'HR Rep'!$A$1:$X$1,0),0),""),"")="","",IFERROR(_xlfn.IFNA(VLOOKUP($A434,'HR Rep'!$A:$X,MATCH('1) For HR (FIX)'!H$1,'HR Rep'!$A$1:$X$1,0),0),""),""))</f>
        <v/>
      </c>
      <c r="I434" s="140" t="str">
        <f>IF(IFERROR(_xlfn.IFNA(VLOOKUP($A434,'HR Rep'!$A:$X,MATCH('1) For HR (FIX)'!I$1,'HR Rep'!$A$1:$X$1,0),0),""),"")="","",IFERROR(_xlfn.IFNA(VLOOKUP($A434,'HR Rep'!$A:$X,MATCH('1) For HR (FIX)'!I$1,'HR Rep'!$A$1:$X$1,0),0),""),""))</f>
        <v/>
      </c>
      <c r="J434" s="140" t="str">
        <f>IF(IFERROR(_xlfn.IFNA(VLOOKUP($A434,'HR Rep'!$A:$X,MATCH('1) For HR (FIX)'!J$1,'HR Rep'!$A$1:$X$1,0),0),""),"")="","",IFERROR(_xlfn.IFNA(VLOOKUP($A434,'HR Rep'!$A:$X,MATCH('1) For HR (FIX)'!J$1,'HR Rep'!$A$1:$X$1,0),0),""),""))</f>
        <v/>
      </c>
      <c r="K434" s="161">
        <f>_xlfn.XLOOKUP(G434,ค่าตอบแทนการขายในอัตราคงที่!A:A,ค่าตอบแทนการขายในอัตราคงที่!B:B)</f>
        <v>0</v>
      </c>
      <c r="L434" s="174">
        <f>Period!$A$2</f>
        <v>46113</v>
      </c>
      <c r="M434" s="175">
        <f>Period!$C$2</f>
        <v>46143</v>
      </c>
      <c r="N434" s="194" t="s">
        <v>279</v>
      </c>
    </row>
    <row r="435" spans="1:14" ht="11.4" x14ac:dyDescent="0.25">
      <c r="A435" s="137"/>
      <c r="B435" s="169" t="e">
        <f>IF(IF(VLOOKUP(A435,ASTBase!F:P,11,FALSE)="","",VLOOKUP(A435,ASTBase!F:P,11,FALSE))=0,"",IF(VLOOKUP(A435,ASTBase!F:P,11,FALSE)="","",VLOOKUP(A435,ASTBase!F:P,11,FALSE)))</f>
        <v>#N/A</v>
      </c>
      <c r="C435" s="140" t="str">
        <f>IF(IFERROR(_xlfn.IFNA(VLOOKUP($A435,'HR Rep'!$A:$X,MATCH('1) For HR (FIX)'!C$1,'HR Rep'!$A$1:$X$1,0),0),""),"")="","",IFERROR(_xlfn.IFNA(VLOOKUP($A435,'HR Rep'!$A:$X,MATCH('1) For HR (FIX)'!C$1,'HR Rep'!$A$1:$X$1,0),0),""),""))</f>
        <v/>
      </c>
      <c r="D435" s="140" t="str">
        <f>IF(IFERROR(_xlfn.IFNA(VLOOKUP($A435,'HR Rep'!$A:$X,MATCH('1) For HR (FIX)'!D$1,'HR Rep'!$A$1:$X$1,0),0),""),"")="","",IFERROR(_xlfn.IFNA(VLOOKUP($A435,'HR Rep'!$A:$X,MATCH('1) For HR (FIX)'!D$1,'HR Rep'!$A$1:$X$1,0),0),""),""))</f>
        <v/>
      </c>
      <c r="E435" s="140" t="str">
        <f>IF(IFERROR(_xlfn.IFNA(VLOOKUP($A435,'HR Rep'!$A:$X,MATCH('1) For HR (FIX)'!E$1,'HR Rep'!$A$1:$X$1,0),0),""),"")="","",IFERROR(_xlfn.IFNA(VLOOKUP($A435,'HR Rep'!$A:$X,MATCH('1) For HR (FIX)'!E$1,'HR Rep'!$A$1:$X$1,0),0),""),""))</f>
        <v/>
      </c>
      <c r="F435" s="140" t="str">
        <f>IF(IFERROR(_xlfn.IFNA(VLOOKUP($A435,'HR Rep'!$A:$X,MATCH('1) For HR (FIX)'!F$1,'HR Rep'!$A$1:$X$1,0),0),""),"")="","",IFERROR(_xlfn.IFNA(VLOOKUP($A435,'HR Rep'!$A:$X,MATCH('1) For HR (FIX)'!F$1,'HR Rep'!$A$1:$X$1,0),0),""),""))</f>
        <v/>
      </c>
      <c r="G435" s="196"/>
      <c r="H435" s="140" t="str">
        <f>IF(IFERROR(_xlfn.IFNA(VLOOKUP($A435,'HR Rep'!$A:$X,MATCH('1) For HR (FIX)'!H$1,'HR Rep'!$A$1:$X$1,0),0),""),"")="","",IFERROR(_xlfn.IFNA(VLOOKUP($A435,'HR Rep'!$A:$X,MATCH('1) For HR (FIX)'!H$1,'HR Rep'!$A$1:$X$1,0),0),""),""))</f>
        <v/>
      </c>
      <c r="I435" s="140" t="str">
        <f>IF(IFERROR(_xlfn.IFNA(VLOOKUP($A435,'HR Rep'!$A:$X,MATCH('1) For HR (FIX)'!I$1,'HR Rep'!$A$1:$X$1,0),0),""),"")="","",IFERROR(_xlfn.IFNA(VLOOKUP($A435,'HR Rep'!$A:$X,MATCH('1) For HR (FIX)'!I$1,'HR Rep'!$A$1:$X$1,0),0),""),""))</f>
        <v/>
      </c>
      <c r="J435" s="140" t="str">
        <f>IF(IFERROR(_xlfn.IFNA(VLOOKUP($A435,'HR Rep'!$A:$X,MATCH('1) For HR (FIX)'!J$1,'HR Rep'!$A$1:$X$1,0),0),""),"")="","",IFERROR(_xlfn.IFNA(VLOOKUP($A435,'HR Rep'!$A:$X,MATCH('1) For HR (FIX)'!J$1,'HR Rep'!$A$1:$X$1,0),0),""),""))</f>
        <v/>
      </c>
      <c r="K435" s="161">
        <f>_xlfn.XLOOKUP(G435,ค่าตอบแทนการขายในอัตราคงที่!A:A,ค่าตอบแทนการขายในอัตราคงที่!B:B)</f>
        <v>0</v>
      </c>
      <c r="L435" s="174">
        <f>Period!$A$2</f>
        <v>46113</v>
      </c>
      <c r="M435" s="175">
        <f>Period!$C$2</f>
        <v>46143</v>
      </c>
      <c r="N435" s="194" t="s">
        <v>279</v>
      </c>
    </row>
    <row r="436" spans="1:14" ht="11.4" x14ac:dyDescent="0.25">
      <c r="A436" s="137"/>
      <c r="B436" s="169" t="e">
        <f>IF(IF(VLOOKUP(A436,ASTBase!F:P,11,FALSE)="","",VLOOKUP(A436,ASTBase!F:P,11,FALSE))=0,"",IF(VLOOKUP(A436,ASTBase!F:P,11,FALSE)="","",VLOOKUP(A436,ASTBase!F:P,11,FALSE)))</f>
        <v>#N/A</v>
      </c>
      <c r="C436" s="140" t="str">
        <f>IF(IFERROR(_xlfn.IFNA(VLOOKUP($A436,'HR Rep'!$A:$X,MATCH('1) For HR (FIX)'!C$1,'HR Rep'!$A$1:$X$1,0),0),""),"")="","",IFERROR(_xlfn.IFNA(VLOOKUP($A436,'HR Rep'!$A:$X,MATCH('1) For HR (FIX)'!C$1,'HR Rep'!$A$1:$X$1,0),0),""),""))</f>
        <v/>
      </c>
      <c r="D436" s="140" t="str">
        <f>IF(IFERROR(_xlfn.IFNA(VLOOKUP($A436,'HR Rep'!$A:$X,MATCH('1) For HR (FIX)'!D$1,'HR Rep'!$A$1:$X$1,0),0),""),"")="","",IFERROR(_xlfn.IFNA(VLOOKUP($A436,'HR Rep'!$A:$X,MATCH('1) For HR (FIX)'!D$1,'HR Rep'!$A$1:$X$1,0),0),""),""))</f>
        <v/>
      </c>
      <c r="E436" s="140" t="str">
        <f>IF(IFERROR(_xlfn.IFNA(VLOOKUP($A436,'HR Rep'!$A:$X,MATCH('1) For HR (FIX)'!E$1,'HR Rep'!$A$1:$X$1,0),0),""),"")="","",IFERROR(_xlfn.IFNA(VLOOKUP($A436,'HR Rep'!$A:$X,MATCH('1) For HR (FIX)'!E$1,'HR Rep'!$A$1:$X$1,0),0),""),""))</f>
        <v/>
      </c>
      <c r="F436" s="140" t="str">
        <f>IF(IFERROR(_xlfn.IFNA(VLOOKUP($A436,'HR Rep'!$A:$X,MATCH('1) For HR (FIX)'!F$1,'HR Rep'!$A$1:$X$1,0),0),""),"")="","",IFERROR(_xlfn.IFNA(VLOOKUP($A436,'HR Rep'!$A:$X,MATCH('1) For HR (FIX)'!F$1,'HR Rep'!$A$1:$X$1,0),0),""),""))</f>
        <v/>
      </c>
      <c r="G436" s="196"/>
      <c r="H436" s="140" t="str">
        <f>IF(IFERROR(_xlfn.IFNA(VLOOKUP($A436,'HR Rep'!$A:$X,MATCH('1) For HR (FIX)'!H$1,'HR Rep'!$A$1:$X$1,0),0),""),"")="","",IFERROR(_xlfn.IFNA(VLOOKUP($A436,'HR Rep'!$A:$X,MATCH('1) For HR (FIX)'!H$1,'HR Rep'!$A$1:$X$1,0),0),""),""))</f>
        <v/>
      </c>
      <c r="I436" s="140" t="str">
        <f>IF(IFERROR(_xlfn.IFNA(VLOOKUP($A436,'HR Rep'!$A:$X,MATCH('1) For HR (FIX)'!I$1,'HR Rep'!$A$1:$X$1,0),0),""),"")="","",IFERROR(_xlfn.IFNA(VLOOKUP($A436,'HR Rep'!$A:$X,MATCH('1) For HR (FIX)'!I$1,'HR Rep'!$A$1:$X$1,0),0),""),""))</f>
        <v/>
      </c>
      <c r="J436" s="140" t="str">
        <f>IF(IFERROR(_xlfn.IFNA(VLOOKUP($A436,'HR Rep'!$A:$X,MATCH('1) For HR (FIX)'!J$1,'HR Rep'!$A$1:$X$1,0),0),""),"")="","",IFERROR(_xlfn.IFNA(VLOOKUP($A436,'HR Rep'!$A:$X,MATCH('1) For HR (FIX)'!J$1,'HR Rep'!$A$1:$X$1,0),0),""),""))</f>
        <v/>
      </c>
      <c r="K436" s="161">
        <f>_xlfn.XLOOKUP(G436,ค่าตอบแทนการขายในอัตราคงที่!A:A,ค่าตอบแทนการขายในอัตราคงที่!B:B)</f>
        <v>0</v>
      </c>
      <c r="L436" s="174">
        <f>Period!$A$2</f>
        <v>46113</v>
      </c>
      <c r="M436" s="175">
        <f>Period!$C$2</f>
        <v>46143</v>
      </c>
      <c r="N436" s="194" t="s">
        <v>279</v>
      </c>
    </row>
    <row r="437" spans="1:14" ht="11.4" x14ac:dyDescent="0.25">
      <c r="A437" s="137"/>
      <c r="B437" s="169" t="e">
        <f>IF(IF(VLOOKUP(A437,ASTBase!F:P,11,FALSE)="","",VLOOKUP(A437,ASTBase!F:P,11,FALSE))=0,"",IF(VLOOKUP(A437,ASTBase!F:P,11,FALSE)="","",VLOOKUP(A437,ASTBase!F:P,11,FALSE)))</f>
        <v>#N/A</v>
      </c>
      <c r="C437" s="140" t="str">
        <f>IF(IFERROR(_xlfn.IFNA(VLOOKUP($A437,'HR Rep'!$A:$X,MATCH('1) For HR (FIX)'!C$1,'HR Rep'!$A$1:$X$1,0),0),""),"")="","",IFERROR(_xlfn.IFNA(VLOOKUP($A437,'HR Rep'!$A:$X,MATCH('1) For HR (FIX)'!C$1,'HR Rep'!$A$1:$X$1,0),0),""),""))</f>
        <v/>
      </c>
      <c r="D437" s="140" t="str">
        <f>IF(IFERROR(_xlfn.IFNA(VLOOKUP($A437,'HR Rep'!$A:$X,MATCH('1) For HR (FIX)'!D$1,'HR Rep'!$A$1:$X$1,0),0),""),"")="","",IFERROR(_xlfn.IFNA(VLOOKUP($A437,'HR Rep'!$A:$X,MATCH('1) For HR (FIX)'!D$1,'HR Rep'!$A$1:$X$1,0),0),""),""))</f>
        <v/>
      </c>
      <c r="E437" s="140" t="str">
        <f>IF(IFERROR(_xlfn.IFNA(VLOOKUP($A437,'HR Rep'!$A:$X,MATCH('1) For HR (FIX)'!E$1,'HR Rep'!$A$1:$X$1,0),0),""),"")="","",IFERROR(_xlfn.IFNA(VLOOKUP($A437,'HR Rep'!$A:$X,MATCH('1) For HR (FIX)'!E$1,'HR Rep'!$A$1:$X$1,0),0),""),""))</f>
        <v/>
      </c>
      <c r="F437" s="140" t="str">
        <f>IF(IFERROR(_xlfn.IFNA(VLOOKUP($A437,'HR Rep'!$A:$X,MATCH('1) For HR (FIX)'!F$1,'HR Rep'!$A$1:$X$1,0),0),""),"")="","",IFERROR(_xlfn.IFNA(VLOOKUP($A437,'HR Rep'!$A:$X,MATCH('1) For HR (FIX)'!F$1,'HR Rep'!$A$1:$X$1,0),0),""),""))</f>
        <v/>
      </c>
      <c r="G437" s="196"/>
      <c r="H437" s="140" t="str">
        <f>IF(IFERROR(_xlfn.IFNA(VLOOKUP($A437,'HR Rep'!$A:$X,MATCH('1) For HR (FIX)'!H$1,'HR Rep'!$A$1:$X$1,0),0),""),"")="","",IFERROR(_xlfn.IFNA(VLOOKUP($A437,'HR Rep'!$A:$X,MATCH('1) For HR (FIX)'!H$1,'HR Rep'!$A$1:$X$1,0),0),""),""))</f>
        <v/>
      </c>
      <c r="I437" s="140" t="str">
        <f>IF(IFERROR(_xlfn.IFNA(VLOOKUP($A437,'HR Rep'!$A:$X,MATCH('1) For HR (FIX)'!I$1,'HR Rep'!$A$1:$X$1,0),0),""),"")="","",IFERROR(_xlfn.IFNA(VLOOKUP($A437,'HR Rep'!$A:$X,MATCH('1) For HR (FIX)'!I$1,'HR Rep'!$A$1:$X$1,0),0),""),""))</f>
        <v/>
      </c>
      <c r="J437" s="140" t="str">
        <f>IF(IFERROR(_xlfn.IFNA(VLOOKUP($A437,'HR Rep'!$A:$X,MATCH('1) For HR (FIX)'!J$1,'HR Rep'!$A$1:$X$1,0),0),""),"")="","",IFERROR(_xlfn.IFNA(VLOOKUP($A437,'HR Rep'!$A:$X,MATCH('1) For HR (FIX)'!J$1,'HR Rep'!$A$1:$X$1,0),0),""),""))</f>
        <v/>
      </c>
      <c r="K437" s="161">
        <f>_xlfn.XLOOKUP(G437,ค่าตอบแทนการขายในอัตราคงที่!A:A,ค่าตอบแทนการขายในอัตราคงที่!B:B)</f>
        <v>0</v>
      </c>
      <c r="L437" s="174">
        <f>Period!$A$2</f>
        <v>46113</v>
      </c>
      <c r="M437" s="175">
        <f>Period!$C$2</f>
        <v>46143</v>
      </c>
      <c r="N437" s="194" t="s">
        <v>279</v>
      </c>
    </row>
    <row r="438" spans="1:14" ht="11.4" x14ac:dyDescent="0.25">
      <c r="A438" s="137"/>
      <c r="B438" s="169" t="e">
        <f>IF(IF(VLOOKUP(A438,ASTBase!F:P,11,FALSE)="","",VLOOKUP(A438,ASTBase!F:P,11,FALSE))=0,"",IF(VLOOKUP(A438,ASTBase!F:P,11,FALSE)="","",VLOOKUP(A438,ASTBase!F:P,11,FALSE)))</f>
        <v>#N/A</v>
      </c>
      <c r="C438" s="140" t="str">
        <f>IF(IFERROR(_xlfn.IFNA(VLOOKUP($A438,'HR Rep'!$A:$X,MATCH('1) For HR (FIX)'!C$1,'HR Rep'!$A$1:$X$1,0),0),""),"")="","",IFERROR(_xlfn.IFNA(VLOOKUP($A438,'HR Rep'!$A:$X,MATCH('1) For HR (FIX)'!C$1,'HR Rep'!$A$1:$X$1,0),0),""),""))</f>
        <v/>
      </c>
      <c r="D438" s="140" t="str">
        <f>IF(IFERROR(_xlfn.IFNA(VLOOKUP($A438,'HR Rep'!$A:$X,MATCH('1) For HR (FIX)'!D$1,'HR Rep'!$A$1:$X$1,0),0),""),"")="","",IFERROR(_xlfn.IFNA(VLOOKUP($A438,'HR Rep'!$A:$X,MATCH('1) For HR (FIX)'!D$1,'HR Rep'!$A$1:$X$1,0),0),""),""))</f>
        <v/>
      </c>
      <c r="E438" s="140" t="str">
        <f>IF(IFERROR(_xlfn.IFNA(VLOOKUP($A438,'HR Rep'!$A:$X,MATCH('1) For HR (FIX)'!E$1,'HR Rep'!$A$1:$X$1,0),0),""),"")="","",IFERROR(_xlfn.IFNA(VLOOKUP($A438,'HR Rep'!$A:$X,MATCH('1) For HR (FIX)'!E$1,'HR Rep'!$A$1:$X$1,0),0),""),""))</f>
        <v/>
      </c>
      <c r="F438" s="140" t="str">
        <f>IF(IFERROR(_xlfn.IFNA(VLOOKUP($A438,'HR Rep'!$A:$X,MATCH('1) For HR (FIX)'!F$1,'HR Rep'!$A$1:$X$1,0),0),""),"")="","",IFERROR(_xlfn.IFNA(VLOOKUP($A438,'HR Rep'!$A:$X,MATCH('1) For HR (FIX)'!F$1,'HR Rep'!$A$1:$X$1,0),0),""),""))</f>
        <v/>
      </c>
      <c r="G438" s="196"/>
      <c r="H438" s="140" t="str">
        <f>IF(IFERROR(_xlfn.IFNA(VLOOKUP($A438,'HR Rep'!$A:$X,MATCH('1) For HR (FIX)'!H$1,'HR Rep'!$A$1:$X$1,0),0),""),"")="","",IFERROR(_xlfn.IFNA(VLOOKUP($A438,'HR Rep'!$A:$X,MATCH('1) For HR (FIX)'!H$1,'HR Rep'!$A$1:$X$1,0),0),""),""))</f>
        <v/>
      </c>
      <c r="I438" s="140" t="str">
        <f>IF(IFERROR(_xlfn.IFNA(VLOOKUP($A438,'HR Rep'!$A:$X,MATCH('1) For HR (FIX)'!I$1,'HR Rep'!$A$1:$X$1,0),0),""),"")="","",IFERROR(_xlfn.IFNA(VLOOKUP($A438,'HR Rep'!$A:$X,MATCH('1) For HR (FIX)'!I$1,'HR Rep'!$A$1:$X$1,0),0),""),""))</f>
        <v/>
      </c>
      <c r="J438" s="140" t="str">
        <f>IF(IFERROR(_xlfn.IFNA(VLOOKUP($A438,'HR Rep'!$A:$X,MATCH('1) For HR (FIX)'!J$1,'HR Rep'!$A$1:$X$1,0),0),""),"")="","",IFERROR(_xlfn.IFNA(VLOOKUP($A438,'HR Rep'!$A:$X,MATCH('1) For HR (FIX)'!J$1,'HR Rep'!$A$1:$X$1,0),0),""),""))</f>
        <v/>
      </c>
      <c r="K438" s="161">
        <f>_xlfn.XLOOKUP(G438,ค่าตอบแทนการขายในอัตราคงที่!A:A,ค่าตอบแทนการขายในอัตราคงที่!B:B)</f>
        <v>0</v>
      </c>
      <c r="L438" s="174">
        <f>Period!$A$2</f>
        <v>46113</v>
      </c>
      <c r="M438" s="175">
        <f>Period!$C$2</f>
        <v>46143</v>
      </c>
      <c r="N438" s="194" t="s">
        <v>279</v>
      </c>
    </row>
    <row r="439" spans="1:14" ht="11.4" x14ac:dyDescent="0.25">
      <c r="A439" s="137"/>
      <c r="B439" s="169" t="e">
        <f>IF(IF(VLOOKUP(A439,ASTBase!F:P,11,FALSE)="","",VLOOKUP(A439,ASTBase!F:P,11,FALSE))=0,"",IF(VLOOKUP(A439,ASTBase!F:P,11,FALSE)="","",VLOOKUP(A439,ASTBase!F:P,11,FALSE)))</f>
        <v>#N/A</v>
      </c>
      <c r="C439" s="140" t="str">
        <f>IF(IFERROR(_xlfn.IFNA(VLOOKUP($A439,'HR Rep'!$A:$X,MATCH('1) For HR (FIX)'!C$1,'HR Rep'!$A$1:$X$1,0),0),""),"")="","",IFERROR(_xlfn.IFNA(VLOOKUP($A439,'HR Rep'!$A:$X,MATCH('1) For HR (FIX)'!C$1,'HR Rep'!$A$1:$X$1,0),0),""),""))</f>
        <v/>
      </c>
      <c r="D439" s="140" t="str">
        <f>IF(IFERROR(_xlfn.IFNA(VLOOKUP($A439,'HR Rep'!$A:$X,MATCH('1) For HR (FIX)'!D$1,'HR Rep'!$A$1:$X$1,0),0),""),"")="","",IFERROR(_xlfn.IFNA(VLOOKUP($A439,'HR Rep'!$A:$X,MATCH('1) For HR (FIX)'!D$1,'HR Rep'!$A$1:$X$1,0),0),""),""))</f>
        <v/>
      </c>
      <c r="E439" s="140" t="str">
        <f>IF(IFERROR(_xlfn.IFNA(VLOOKUP($A439,'HR Rep'!$A:$X,MATCH('1) For HR (FIX)'!E$1,'HR Rep'!$A$1:$X$1,0),0),""),"")="","",IFERROR(_xlfn.IFNA(VLOOKUP($A439,'HR Rep'!$A:$X,MATCH('1) For HR (FIX)'!E$1,'HR Rep'!$A$1:$X$1,0),0),""),""))</f>
        <v/>
      </c>
      <c r="F439" s="140" t="str">
        <f>IF(IFERROR(_xlfn.IFNA(VLOOKUP($A439,'HR Rep'!$A:$X,MATCH('1) For HR (FIX)'!F$1,'HR Rep'!$A$1:$X$1,0),0),""),"")="","",IFERROR(_xlfn.IFNA(VLOOKUP($A439,'HR Rep'!$A:$X,MATCH('1) For HR (FIX)'!F$1,'HR Rep'!$A$1:$X$1,0),0),""),""))</f>
        <v/>
      </c>
      <c r="G439" s="196"/>
      <c r="H439" s="140" t="str">
        <f>IF(IFERROR(_xlfn.IFNA(VLOOKUP($A439,'HR Rep'!$A:$X,MATCH('1) For HR (FIX)'!H$1,'HR Rep'!$A$1:$X$1,0),0),""),"")="","",IFERROR(_xlfn.IFNA(VLOOKUP($A439,'HR Rep'!$A:$X,MATCH('1) For HR (FIX)'!H$1,'HR Rep'!$A$1:$X$1,0),0),""),""))</f>
        <v/>
      </c>
      <c r="I439" s="140" t="str">
        <f>IF(IFERROR(_xlfn.IFNA(VLOOKUP($A439,'HR Rep'!$A:$X,MATCH('1) For HR (FIX)'!I$1,'HR Rep'!$A$1:$X$1,0),0),""),"")="","",IFERROR(_xlfn.IFNA(VLOOKUP($A439,'HR Rep'!$A:$X,MATCH('1) For HR (FIX)'!I$1,'HR Rep'!$A$1:$X$1,0),0),""),""))</f>
        <v/>
      </c>
      <c r="J439" s="140" t="str">
        <f>IF(IFERROR(_xlfn.IFNA(VLOOKUP($A439,'HR Rep'!$A:$X,MATCH('1) For HR (FIX)'!J$1,'HR Rep'!$A$1:$X$1,0),0),""),"")="","",IFERROR(_xlfn.IFNA(VLOOKUP($A439,'HR Rep'!$A:$X,MATCH('1) For HR (FIX)'!J$1,'HR Rep'!$A$1:$X$1,0),0),""),""))</f>
        <v/>
      </c>
      <c r="K439" s="161">
        <f>_xlfn.XLOOKUP(G439,ค่าตอบแทนการขายในอัตราคงที่!A:A,ค่าตอบแทนการขายในอัตราคงที่!B:B)</f>
        <v>0</v>
      </c>
      <c r="L439" s="174">
        <f>Period!$A$2</f>
        <v>46113</v>
      </c>
      <c r="M439" s="175">
        <f>Period!$C$2</f>
        <v>46143</v>
      </c>
      <c r="N439" s="194" t="s">
        <v>279</v>
      </c>
    </row>
    <row r="440" spans="1:14" ht="11.4" x14ac:dyDescent="0.25">
      <c r="A440" s="137"/>
      <c r="B440" s="169" t="e">
        <f>IF(IF(VLOOKUP(A440,ASTBase!F:P,11,FALSE)="","",VLOOKUP(A440,ASTBase!F:P,11,FALSE))=0,"",IF(VLOOKUP(A440,ASTBase!F:P,11,FALSE)="","",VLOOKUP(A440,ASTBase!F:P,11,FALSE)))</f>
        <v>#N/A</v>
      </c>
      <c r="C440" s="140" t="str">
        <f>IF(IFERROR(_xlfn.IFNA(VLOOKUP($A440,'HR Rep'!$A:$X,MATCH('1) For HR (FIX)'!C$1,'HR Rep'!$A$1:$X$1,0),0),""),"")="","",IFERROR(_xlfn.IFNA(VLOOKUP($A440,'HR Rep'!$A:$X,MATCH('1) For HR (FIX)'!C$1,'HR Rep'!$A$1:$X$1,0),0),""),""))</f>
        <v/>
      </c>
      <c r="D440" s="140" t="str">
        <f>IF(IFERROR(_xlfn.IFNA(VLOOKUP($A440,'HR Rep'!$A:$X,MATCH('1) For HR (FIX)'!D$1,'HR Rep'!$A$1:$X$1,0),0),""),"")="","",IFERROR(_xlfn.IFNA(VLOOKUP($A440,'HR Rep'!$A:$X,MATCH('1) For HR (FIX)'!D$1,'HR Rep'!$A$1:$X$1,0),0),""),""))</f>
        <v/>
      </c>
      <c r="E440" s="140" t="str">
        <f>IF(IFERROR(_xlfn.IFNA(VLOOKUP($A440,'HR Rep'!$A:$X,MATCH('1) For HR (FIX)'!E$1,'HR Rep'!$A$1:$X$1,0),0),""),"")="","",IFERROR(_xlfn.IFNA(VLOOKUP($A440,'HR Rep'!$A:$X,MATCH('1) For HR (FIX)'!E$1,'HR Rep'!$A$1:$X$1,0),0),""),""))</f>
        <v/>
      </c>
      <c r="F440" s="140" t="str">
        <f>IF(IFERROR(_xlfn.IFNA(VLOOKUP($A440,'HR Rep'!$A:$X,MATCH('1) For HR (FIX)'!F$1,'HR Rep'!$A$1:$X$1,0),0),""),"")="","",IFERROR(_xlfn.IFNA(VLOOKUP($A440,'HR Rep'!$A:$X,MATCH('1) For HR (FIX)'!F$1,'HR Rep'!$A$1:$X$1,0),0),""),""))</f>
        <v/>
      </c>
      <c r="G440" s="196"/>
      <c r="H440" s="140" t="str">
        <f>IF(IFERROR(_xlfn.IFNA(VLOOKUP($A440,'HR Rep'!$A:$X,MATCH('1) For HR (FIX)'!H$1,'HR Rep'!$A$1:$X$1,0),0),""),"")="","",IFERROR(_xlfn.IFNA(VLOOKUP($A440,'HR Rep'!$A:$X,MATCH('1) For HR (FIX)'!H$1,'HR Rep'!$A$1:$X$1,0),0),""),""))</f>
        <v/>
      </c>
      <c r="I440" s="140" t="str">
        <f>IF(IFERROR(_xlfn.IFNA(VLOOKUP($A440,'HR Rep'!$A:$X,MATCH('1) For HR (FIX)'!I$1,'HR Rep'!$A$1:$X$1,0),0),""),"")="","",IFERROR(_xlfn.IFNA(VLOOKUP($A440,'HR Rep'!$A:$X,MATCH('1) For HR (FIX)'!I$1,'HR Rep'!$A$1:$X$1,0),0),""),""))</f>
        <v/>
      </c>
      <c r="J440" s="140" t="str">
        <f>IF(IFERROR(_xlfn.IFNA(VLOOKUP($A440,'HR Rep'!$A:$X,MATCH('1) For HR (FIX)'!J$1,'HR Rep'!$A$1:$X$1,0),0),""),"")="","",IFERROR(_xlfn.IFNA(VLOOKUP($A440,'HR Rep'!$A:$X,MATCH('1) For HR (FIX)'!J$1,'HR Rep'!$A$1:$X$1,0),0),""),""))</f>
        <v/>
      </c>
      <c r="K440" s="161">
        <f>_xlfn.XLOOKUP(G440,ค่าตอบแทนการขายในอัตราคงที่!A:A,ค่าตอบแทนการขายในอัตราคงที่!B:B)</f>
        <v>0</v>
      </c>
      <c r="L440" s="174">
        <f>Period!$A$2</f>
        <v>46113</v>
      </c>
      <c r="M440" s="175">
        <f>Period!$C$2</f>
        <v>46143</v>
      </c>
      <c r="N440" s="194" t="s">
        <v>279</v>
      </c>
    </row>
    <row r="441" spans="1:14" ht="11.4" x14ac:dyDescent="0.25">
      <c r="A441" s="137"/>
      <c r="B441" s="169" t="e">
        <f>IF(IF(VLOOKUP(A441,ASTBase!F:P,11,FALSE)="","",VLOOKUP(A441,ASTBase!F:P,11,FALSE))=0,"",IF(VLOOKUP(A441,ASTBase!F:P,11,FALSE)="","",VLOOKUP(A441,ASTBase!F:P,11,FALSE)))</f>
        <v>#N/A</v>
      </c>
      <c r="C441" s="140" t="str">
        <f>IF(IFERROR(_xlfn.IFNA(VLOOKUP($A441,'HR Rep'!$A:$X,MATCH('1) For HR (FIX)'!C$1,'HR Rep'!$A$1:$X$1,0),0),""),"")="","",IFERROR(_xlfn.IFNA(VLOOKUP($A441,'HR Rep'!$A:$X,MATCH('1) For HR (FIX)'!C$1,'HR Rep'!$A$1:$X$1,0),0),""),""))</f>
        <v/>
      </c>
      <c r="D441" s="140" t="str">
        <f>IF(IFERROR(_xlfn.IFNA(VLOOKUP($A441,'HR Rep'!$A:$X,MATCH('1) For HR (FIX)'!D$1,'HR Rep'!$A$1:$X$1,0),0),""),"")="","",IFERROR(_xlfn.IFNA(VLOOKUP($A441,'HR Rep'!$A:$X,MATCH('1) For HR (FIX)'!D$1,'HR Rep'!$A$1:$X$1,0),0),""),""))</f>
        <v/>
      </c>
      <c r="E441" s="140" t="str">
        <f>IF(IFERROR(_xlfn.IFNA(VLOOKUP($A441,'HR Rep'!$A:$X,MATCH('1) For HR (FIX)'!E$1,'HR Rep'!$A$1:$X$1,0),0),""),"")="","",IFERROR(_xlfn.IFNA(VLOOKUP($A441,'HR Rep'!$A:$X,MATCH('1) For HR (FIX)'!E$1,'HR Rep'!$A$1:$X$1,0),0),""),""))</f>
        <v/>
      </c>
      <c r="F441" s="140" t="str">
        <f>IF(IFERROR(_xlfn.IFNA(VLOOKUP($A441,'HR Rep'!$A:$X,MATCH('1) For HR (FIX)'!F$1,'HR Rep'!$A$1:$X$1,0),0),""),"")="","",IFERROR(_xlfn.IFNA(VLOOKUP($A441,'HR Rep'!$A:$X,MATCH('1) For HR (FIX)'!F$1,'HR Rep'!$A$1:$X$1,0),0),""),""))</f>
        <v/>
      </c>
      <c r="G441" s="196"/>
      <c r="H441" s="140" t="str">
        <f>IF(IFERROR(_xlfn.IFNA(VLOOKUP($A441,'HR Rep'!$A:$X,MATCH('1) For HR (FIX)'!H$1,'HR Rep'!$A$1:$X$1,0),0),""),"")="","",IFERROR(_xlfn.IFNA(VLOOKUP($A441,'HR Rep'!$A:$X,MATCH('1) For HR (FIX)'!H$1,'HR Rep'!$A$1:$X$1,0),0),""),""))</f>
        <v/>
      </c>
      <c r="I441" s="140" t="str">
        <f>IF(IFERROR(_xlfn.IFNA(VLOOKUP($A441,'HR Rep'!$A:$X,MATCH('1) For HR (FIX)'!I$1,'HR Rep'!$A$1:$X$1,0),0),""),"")="","",IFERROR(_xlfn.IFNA(VLOOKUP($A441,'HR Rep'!$A:$X,MATCH('1) For HR (FIX)'!I$1,'HR Rep'!$A$1:$X$1,0),0),""),""))</f>
        <v/>
      </c>
      <c r="J441" s="140" t="str">
        <f>IF(IFERROR(_xlfn.IFNA(VLOOKUP($A441,'HR Rep'!$A:$X,MATCH('1) For HR (FIX)'!J$1,'HR Rep'!$A$1:$X$1,0),0),""),"")="","",IFERROR(_xlfn.IFNA(VLOOKUP($A441,'HR Rep'!$A:$X,MATCH('1) For HR (FIX)'!J$1,'HR Rep'!$A$1:$X$1,0),0),""),""))</f>
        <v/>
      </c>
      <c r="K441" s="161">
        <f>_xlfn.XLOOKUP(G441,ค่าตอบแทนการขายในอัตราคงที่!A:A,ค่าตอบแทนการขายในอัตราคงที่!B:B)</f>
        <v>0</v>
      </c>
      <c r="L441" s="174">
        <f>Period!$A$2</f>
        <v>46113</v>
      </c>
      <c r="M441" s="175">
        <f>Period!$C$2</f>
        <v>46143</v>
      </c>
      <c r="N441" s="194" t="s">
        <v>279</v>
      </c>
    </row>
    <row r="442" spans="1:14" ht="11.4" x14ac:dyDescent="0.25">
      <c r="A442" s="137"/>
      <c r="B442" s="169" t="e">
        <f>IF(IF(VLOOKUP(A442,ASTBase!F:P,11,FALSE)="","",VLOOKUP(A442,ASTBase!F:P,11,FALSE))=0,"",IF(VLOOKUP(A442,ASTBase!F:P,11,FALSE)="","",VLOOKUP(A442,ASTBase!F:P,11,FALSE)))</f>
        <v>#N/A</v>
      </c>
      <c r="C442" s="140" t="str">
        <f>IF(IFERROR(_xlfn.IFNA(VLOOKUP($A442,'HR Rep'!$A:$X,MATCH('1) For HR (FIX)'!C$1,'HR Rep'!$A$1:$X$1,0),0),""),"")="","",IFERROR(_xlfn.IFNA(VLOOKUP($A442,'HR Rep'!$A:$X,MATCH('1) For HR (FIX)'!C$1,'HR Rep'!$A$1:$X$1,0),0),""),""))</f>
        <v/>
      </c>
      <c r="D442" s="140" t="str">
        <f>IF(IFERROR(_xlfn.IFNA(VLOOKUP($A442,'HR Rep'!$A:$X,MATCH('1) For HR (FIX)'!D$1,'HR Rep'!$A$1:$X$1,0),0),""),"")="","",IFERROR(_xlfn.IFNA(VLOOKUP($A442,'HR Rep'!$A:$X,MATCH('1) For HR (FIX)'!D$1,'HR Rep'!$A$1:$X$1,0),0),""),""))</f>
        <v/>
      </c>
      <c r="E442" s="140" t="str">
        <f>IF(IFERROR(_xlfn.IFNA(VLOOKUP($A442,'HR Rep'!$A:$X,MATCH('1) For HR (FIX)'!E$1,'HR Rep'!$A$1:$X$1,0),0),""),"")="","",IFERROR(_xlfn.IFNA(VLOOKUP($A442,'HR Rep'!$A:$X,MATCH('1) For HR (FIX)'!E$1,'HR Rep'!$A$1:$X$1,0),0),""),""))</f>
        <v/>
      </c>
      <c r="F442" s="140" t="str">
        <f>IF(IFERROR(_xlfn.IFNA(VLOOKUP($A442,'HR Rep'!$A:$X,MATCH('1) For HR (FIX)'!F$1,'HR Rep'!$A$1:$X$1,0),0),""),"")="","",IFERROR(_xlfn.IFNA(VLOOKUP($A442,'HR Rep'!$A:$X,MATCH('1) For HR (FIX)'!F$1,'HR Rep'!$A$1:$X$1,0),0),""),""))</f>
        <v/>
      </c>
      <c r="G442" s="196"/>
      <c r="H442" s="140" t="str">
        <f>IF(IFERROR(_xlfn.IFNA(VLOOKUP($A442,'HR Rep'!$A:$X,MATCH('1) For HR (FIX)'!H$1,'HR Rep'!$A$1:$X$1,0),0),""),"")="","",IFERROR(_xlfn.IFNA(VLOOKUP($A442,'HR Rep'!$A:$X,MATCH('1) For HR (FIX)'!H$1,'HR Rep'!$A$1:$X$1,0),0),""),""))</f>
        <v/>
      </c>
      <c r="I442" s="140" t="str">
        <f>IF(IFERROR(_xlfn.IFNA(VLOOKUP($A442,'HR Rep'!$A:$X,MATCH('1) For HR (FIX)'!I$1,'HR Rep'!$A$1:$X$1,0),0),""),"")="","",IFERROR(_xlfn.IFNA(VLOOKUP($A442,'HR Rep'!$A:$X,MATCH('1) For HR (FIX)'!I$1,'HR Rep'!$A$1:$X$1,0),0),""),""))</f>
        <v/>
      </c>
      <c r="J442" s="140" t="str">
        <f>IF(IFERROR(_xlfn.IFNA(VLOOKUP($A442,'HR Rep'!$A:$X,MATCH('1) For HR (FIX)'!J$1,'HR Rep'!$A$1:$X$1,0),0),""),"")="","",IFERROR(_xlfn.IFNA(VLOOKUP($A442,'HR Rep'!$A:$X,MATCH('1) For HR (FIX)'!J$1,'HR Rep'!$A$1:$X$1,0),0),""),""))</f>
        <v/>
      </c>
      <c r="K442" s="161">
        <f>_xlfn.XLOOKUP(G442,ค่าตอบแทนการขายในอัตราคงที่!A:A,ค่าตอบแทนการขายในอัตราคงที่!B:B)</f>
        <v>0</v>
      </c>
      <c r="L442" s="174">
        <f>Period!$A$2</f>
        <v>46113</v>
      </c>
      <c r="M442" s="175">
        <f>Period!$C$2</f>
        <v>46143</v>
      </c>
      <c r="N442" s="194" t="s">
        <v>279</v>
      </c>
    </row>
    <row r="443" spans="1:14" ht="11.4" x14ac:dyDescent="0.25">
      <c r="A443" s="137"/>
      <c r="B443" s="169" t="e">
        <f>IF(IF(VLOOKUP(A443,ASTBase!F:P,11,FALSE)="","",VLOOKUP(A443,ASTBase!F:P,11,FALSE))=0,"",IF(VLOOKUP(A443,ASTBase!F:P,11,FALSE)="","",VLOOKUP(A443,ASTBase!F:P,11,FALSE)))</f>
        <v>#N/A</v>
      </c>
      <c r="C443" s="140" t="str">
        <f>IF(IFERROR(_xlfn.IFNA(VLOOKUP($A443,'HR Rep'!$A:$X,MATCH('1) For HR (FIX)'!C$1,'HR Rep'!$A$1:$X$1,0),0),""),"")="","",IFERROR(_xlfn.IFNA(VLOOKUP($A443,'HR Rep'!$A:$X,MATCH('1) For HR (FIX)'!C$1,'HR Rep'!$A$1:$X$1,0),0),""),""))</f>
        <v/>
      </c>
      <c r="D443" s="140" t="str">
        <f>IF(IFERROR(_xlfn.IFNA(VLOOKUP($A443,'HR Rep'!$A:$X,MATCH('1) For HR (FIX)'!D$1,'HR Rep'!$A$1:$X$1,0),0),""),"")="","",IFERROR(_xlfn.IFNA(VLOOKUP($A443,'HR Rep'!$A:$X,MATCH('1) For HR (FIX)'!D$1,'HR Rep'!$A$1:$X$1,0),0),""),""))</f>
        <v/>
      </c>
      <c r="E443" s="140" t="str">
        <f>IF(IFERROR(_xlfn.IFNA(VLOOKUP($A443,'HR Rep'!$A:$X,MATCH('1) For HR (FIX)'!E$1,'HR Rep'!$A$1:$X$1,0),0),""),"")="","",IFERROR(_xlfn.IFNA(VLOOKUP($A443,'HR Rep'!$A:$X,MATCH('1) For HR (FIX)'!E$1,'HR Rep'!$A$1:$X$1,0),0),""),""))</f>
        <v/>
      </c>
      <c r="F443" s="140" t="str">
        <f>IF(IFERROR(_xlfn.IFNA(VLOOKUP($A443,'HR Rep'!$A:$X,MATCH('1) For HR (FIX)'!F$1,'HR Rep'!$A$1:$X$1,0),0),""),"")="","",IFERROR(_xlfn.IFNA(VLOOKUP($A443,'HR Rep'!$A:$X,MATCH('1) For HR (FIX)'!F$1,'HR Rep'!$A$1:$X$1,0),0),""),""))</f>
        <v/>
      </c>
      <c r="G443" s="196"/>
      <c r="H443" s="140" t="str">
        <f>IF(IFERROR(_xlfn.IFNA(VLOOKUP($A443,'HR Rep'!$A:$X,MATCH('1) For HR (FIX)'!H$1,'HR Rep'!$A$1:$X$1,0),0),""),"")="","",IFERROR(_xlfn.IFNA(VLOOKUP($A443,'HR Rep'!$A:$X,MATCH('1) For HR (FIX)'!H$1,'HR Rep'!$A$1:$X$1,0),0),""),""))</f>
        <v/>
      </c>
      <c r="I443" s="140" t="str">
        <f>IF(IFERROR(_xlfn.IFNA(VLOOKUP($A443,'HR Rep'!$A:$X,MATCH('1) For HR (FIX)'!I$1,'HR Rep'!$A$1:$X$1,0),0),""),"")="","",IFERROR(_xlfn.IFNA(VLOOKUP($A443,'HR Rep'!$A:$X,MATCH('1) For HR (FIX)'!I$1,'HR Rep'!$A$1:$X$1,0),0),""),""))</f>
        <v/>
      </c>
      <c r="J443" s="140" t="str">
        <f>IF(IFERROR(_xlfn.IFNA(VLOOKUP($A443,'HR Rep'!$A:$X,MATCH('1) For HR (FIX)'!J$1,'HR Rep'!$A$1:$X$1,0),0),""),"")="","",IFERROR(_xlfn.IFNA(VLOOKUP($A443,'HR Rep'!$A:$X,MATCH('1) For HR (FIX)'!J$1,'HR Rep'!$A$1:$X$1,0),0),""),""))</f>
        <v/>
      </c>
      <c r="K443" s="161">
        <f>_xlfn.XLOOKUP(G443,ค่าตอบแทนการขายในอัตราคงที่!A:A,ค่าตอบแทนการขายในอัตราคงที่!B:B)</f>
        <v>0</v>
      </c>
      <c r="L443" s="174">
        <f>Period!$A$2</f>
        <v>46113</v>
      </c>
      <c r="M443" s="175">
        <f>Period!$C$2</f>
        <v>46143</v>
      </c>
      <c r="N443" s="194" t="s">
        <v>279</v>
      </c>
    </row>
    <row r="444" spans="1:14" ht="11.4" x14ac:dyDescent="0.25">
      <c r="A444" s="137"/>
      <c r="B444" s="169" t="e">
        <f>IF(IF(VLOOKUP(A444,ASTBase!F:P,11,FALSE)="","",VLOOKUP(A444,ASTBase!F:P,11,FALSE))=0,"",IF(VLOOKUP(A444,ASTBase!F:P,11,FALSE)="","",VLOOKUP(A444,ASTBase!F:P,11,FALSE)))</f>
        <v>#N/A</v>
      </c>
      <c r="C444" s="140" t="str">
        <f>IF(IFERROR(_xlfn.IFNA(VLOOKUP($A444,'HR Rep'!$A:$X,MATCH('1) For HR (FIX)'!C$1,'HR Rep'!$A$1:$X$1,0),0),""),"")="","",IFERROR(_xlfn.IFNA(VLOOKUP($A444,'HR Rep'!$A:$X,MATCH('1) For HR (FIX)'!C$1,'HR Rep'!$A$1:$X$1,0),0),""),""))</f>
        <v/>
      </c>
      <c r="D444" s="140" t="str">
        <f>IF(IFERROR(_xlfn.IFNA(VLOOKUP($A444,'HR Rep'!$A:$X,MATCH('1) For HR (FIX)'!D$1,'HR Rep'!$A$1:$X$1,0),0),""),"")="","",IFERROR(_xlfn.IFNA(VLOOKUP($A444,'HR Rep'!$A:$X,MATCH('1) For HR (FIX)'!D$1,'HR Rep'!$A$1:$X$1,0),0),""),""))</f>
        <v/>
      </c>
      <c r="E444" s="140" t="str">
        <f>IF(IFERROR(_xlfn.IFNA(VLOOKUP($A444,'HR Rep'!$A:$X,MATCH('1) For HR (FIX)'!E$1,'HR Rep'!$A$1:$X$1,0),0),""),"")="","",IFERROR(_xlfn.IFNA(VLOOKUP($A444,'HR Rep'!$A:$X,MATCH('1) For HR (FIX)'!E$1,'HR Rep'!$A$1:$X$1,0),0),""),""))</f>
        <v/>
      </c>
      <c r="F444" s="140" t="str">
        <f>IF(IFERROR(_xlfn.IFNA(VLOOKUP($A444,'HR Rep'!$A:$X,MATCH('1) For HR (FIX)'!F$1,'HR Rep'!$A$1:$X$1,0),0),""),"")="","",IFERROR(_xlfn.IFNA(VLOOKUP($A444,'HR Rep'!$A:$X,MATCH('1) For HR (FIX)'!F$1,'HR Rep'!$A$1:$X$1,0),0),""),""))</f>
        <v/>
      </c>
      <c r="G444" s="196"/>
      <c r="H444" s="140" t="str">
        <f>IF(IFERROR(_xlfn.IFNA(VLOOKUP($A444,'HR Rep'!$A:$X,MATCH('1) For HR (FIX)'!H$1,'HR Rep'!$A$1:$X$1,0),0),""),"")="","",IFERROR(_xlfn.IFNA(VLOOKUP($A444,'HR Rep'!$A:$X,MATCH('1) For HR (FIX)'!H$1,'HR Rep'!$A$1:$X$1,0),0),""),""))</f>
        <v/>
      </c>
      <c r="I444" s="140" t="str">
        <f>IF(IFERROR(_xlfn.IFNA(VLOOKUP($A444,'HR Rep'!$A:$X,MATCH('1) For HR (FIX)'!I$1,'HR Rep'!$A$1:$X$1,0),0),""),"")="","",IFERROR(_xlfn.IFNA(VLOOKUP($A444,'HR Rep'!$A:$X,MATCH('1) For HR (FIX)'!I$1,'HR Rep'!$A$1:$X$1,0),0),""),""))</f>
        <v/>
      </c>
      <c r="J444" s="140" t="str">
        <f>IF(IFERROR(_xlfn.IFNA(VLOOKUP($A444,'HR Rep'!$A:$X,MATCH('1) For HR (FIX)'!J$1,'HR Rep'!$A$1:$X$1,0),0),""),"")="","",IFERROR(_xlfn.IFNA(VLOOKUP($A444,'HR Rep'!$A:$X,MATCH('1) For HR (FIX)'!J$1,'HR Rep'!$A$1:$X$1,0),0),""),""))</f>
        <v/>
      </c>
      <c r="K444" s="161">
        <f>_xlfn.XLOOKUP(G444,ค่าตอบแทนการขายในอัตราคงที่!A:A,ค่าตอบแทนการขายในอัตราคงที่!B:B)</f>
        <v>0</v>
      </c>
      <c r="L444" s="174">
        <f>Period!$A$2</f>
        <v>46113</v>
      </c>
      <c r="M444" s="175">
        <f>Period!$C$2</f>
        <v>46143</v>
      </c>
      <c r="N444" s="194" t="s">
        <v>279</v>
      </c>
    </row>
    <row r="445" spans="1:14" ht="11.4" x14ac:dyDescent="0.25">
      <c r="A445" s="137"/>
      <c r="B445" s="169" t="e">
        <f>IF(IF(VLOOKUP(A445,ASTBase!F:P,11,FALSE)="","",VLOOKUP(A445,ASTBase!F:P,11,FALSE))=0,"",IF(VLOOKUP(A445,ASTBase!F:P,11,FALSE)="","",VLOOKUP(A445,ASTBase!F:P,11,FALSE)))</f>
        <v>#N/A</v>
      </c>
      <c r="C445" s="140" t="str">
        <f>IF(IFERROR(_xlfn.IFNA(VLOOKUP($A445,'HR Rep'!$A:$X,MATCH('1) For HR (FIX)'!C$1,'HR Rep'!$A$1:$X$1,0),0),""),"")="","",IFERROR(_xlfn.IFNA(VLOOKUP($A445,'HR Rep'!$A:$X,MATCH('1) For HR (FIX)'!C$1,'HR Rep'!$A$1:$X$1,0),0),""),""))</f>
        <v/>
      </c>
      <c r="D445" s="140" t="str">
        <f>IF(IFERROR(_xlfn.IFNA(VLOOKUP($A445,'HR Rep'!$A:$X,MATCH('1) For HR (FIX)'!D$1,'HR Rep'!$A$1:$X$1,0),0),""),"")="","",IFERROR(_xlfn.IFNA(VLOOKUP($A445,'HR Rep'!$A:$X,MATCH('1) For HR (FIX)'!D$1,'HR Rep'!$A$1:$X$1,0),0),""),""))</f>
        <v/>
      </c>
      <c r="E445" s="140" t="str">
        <f>IF(IFERROR(_xlfn.IFNA(VLOOKUP($A445,'HR Rep'!$A:$X,MATCH('1) For HR (FIX)'!E$1,'HR Rep'!$A$1:$X$1,0),0),""),"")="","",IFERROR(_xlfn.IFNA(VLOOKUP($A445,'HR Rep'!$A:$X,MATCH('1) For HR (FIX)'!E$1,'HR Rep'!$A$1:$X$1,0),0),""),""))</f>
        <v/>
      </c>
      <c r="F445" s="140" t="str">
        <f>IF(IFERROR(_xlfn.IFNA(VLOOKUP($A445,'HR Rep'!$A:$X,MATCH('1) For HR (FIX)'!F$1,'HR Rep'!$A$1:$X$1,0),0),""),"")="","",IFERROR(_xlfn.IFNA(VLOOKUP($A445,'HR Rep'!$A:$X,MATCH('1) For HR (FIX)'!F$1,'HR Rep'!$A$1:$X$1,0),0),""),""))</f>
        <v/>
      </c>
      <c r="G445" s="196"/>
      <c r="H445" s="140" t="str">
        <f>IF(IFERROR(_xlfn.IFNA(VLOOKUP($A445,'HR Rep'!$A:$X,MATCH('1) For HR (FIX)'!H$1,'HR Rep'!$A$1:$X$1,0),0),""),"")="","",IFERROR(_xlfn.IFNA(VLOOKUP($A445,'HR Rep'!$A:$X,MATCH('1) For HR (FIX)'!H$1,'HR Rep'!$A$1:$X$1,0),0),""),""))</f>
        <v/>
      </c>
      <c r="I445" s="140" t="str">
        <f>IF(IFERROR(_xlfn.IFNA(VLOOKUP($A445,'HR Rep'!$A:$X,MATCH('1) For HR (FIX)'!I$1,'HR Rep'!$A$1:$X$1,0),0),""),"")="","",IFERROR(_xlfn.IFNA(VLOOKUP($A445,'HR Rep'!$A:$X,MATCH('1) For HR (FIX)'!I$1,'HR Rep'!$A$1:$X$1,0),0),""),""))</f>
        <v/>
      </c>
      <c r="J445" s="140" t="str">
        <f>IF(IFERROR(_xlfn.IFNA(VLOOKUP($A445,'HR Rep'!$A:$X,MATCH('1) For HR (FIX)'!J$1,'HR Rep'!$A$1:$X$1,0),0),""),"")="","",IFERROR(_xlfn.IFNA(VLOOKUP($A445,'HR Rep'!$A:$X,MATCH('1) For HR (FIX)'!J$1,'HR Rep'!$A$1:$X$1,0),0),""),""))</f>
        <v/>
      </c>
      <c r="K445" s="161">
        <f>_xlfn.XLOOKUP(G445,ค่าตอบแทนการขายในอัตราคงที่!A:A,ค่าตอบแทนการขายในอัตราคงที่!B:B)</f>
        <v>0</v>
      </c>
      <c r="L445" s="174">
        <f>Period!$A$2</f>
        <v>46113</v>
      </c>
      <c r="M445" s="175">
        <f>Period!$C$2</f>
        <v>46143</v>
      </c>
      <c r="N445" s="194" t="s">
        <v>279</v>
      </c>
    </row>
    <row r="446" spans="1:14" ht="11.4" x14ac:dyDescent="0.25">
      <c r="A446" s="137"/>
      <c r="B446" s="169" t="e">
        <f>IF(IF(VLOOKUP(A446,ASTBase!F:P,11,FALSE)="","",VLOOKUP(A446,ASTBase!F:P,11,FALSE))=0,"",IF(VLOOKUP(A446,ASTBase!F:P,11,FALSE)="","",VLOOKUP(A446,ASTBase!F:P,11,FALSE)))</f>
        <v>#N/A</v>
      </c>
      <c r="C446" s="140" t="str">
        <f>IF(IFERROR(_xlfn.IFNA(VLOOKUP($A446,'HR Rep'!$A:$X,MATCH('1) For HR (FIX)'!C$1,'HR Rep'!$A$1:$X$1,0),0),""),"")="","",IFERROR(_xlfn.IFNA(VLOOKUP($A446,'HR Rep'!$A:$X,MATCH('1) For HR (FIX)'!C$1,'HR Rep'!$A$1:$X$1,0),0),""),""))</f>
        <v/>
      </c>
      <c r="D446" s="140" t="str">
        <f>IF(IFERROR(_xlfn.IFNA(VLOOKUP($A446,'HR Rep'!$A:$X,MATCH('1) For HR (FIX)'!D$1,'HR Rep'!$A$1:$X$1,0),0),""),"")="","",IFERROR(_xlfn.IFNA(VLOOKUP($A446,'HR Rep'!$A:$X,MATCH('1) For HR (FIX)'!D$1,'HR Rep'!$A$1:$X$1,0),0),""),""))</f>
        <v/>
      </c>
      <c r="E446" s="140" t="str">
        <f>IF(IFERROR(_xlfn.IFNA(VLOOKUP($A446,'HR Rep'!$A:$X,MATCH('1) For HR (FIX)'!E$1,'HR Rep'!$A$1:$X$1,0),0),""),"")="","",IFERROR(_xlfn.IFNA(VLOOKUP($A446,'HR Rep'!$A:$X,MATCH('1) For HR (FIX)'!E$1,'HR Rep'!$A$1:$X$1,0),0),""),""))</f>
        <v/>
      </c>
      <c r="F446" s="140" t="str">
        <f>IF(IFERROR(_xlfn.IFNA(VLOOKUP($A446,'HR Rep'!$A:$X,MATCH('1) For HR (FIX)'!F$1,'HR Rep'!$A$1:$X$1,0),0),""),"")="","",IFERROR(_xlfn.IFNA(VLOOKUP($A446,'HR Rep'!$A:$X,MATCH('1) For HR (FIX)'!F$1,'HR Rep'!$A$1:$X$1,0),0),""),""))</f>
        <v/>
      </c>
      <c r="G446" s="196"/>
      <c r="H446" s="140" t="str">
        <f>IF(IFERROR(_xlfn.IFNA(VLOOKUP($A446,'HR Rep'!$A:$X,MATCH('1) For HR (FIX)'!H$1,'HR Rep'!$A$1:$X$1,0),0),""),"")="","",IFERROR(_xlfn.IFNA(VLOOKUP($A446,'HR Rep'!$A:$X,MATCH('1) For HR (FIX)'!H$1,'HR Rep'!$A$1:$X$1,0),0),""),""))</f>
        <v/>
      </c>
      <c r="I446" s="140" t="str">
        <f>IF(IFERROR(_xlfn.IFNA(VLOOKUP($A446,'HR Rep'!$A:$X,MATCH('1) For HR (FIX)'!I$1,'HR Rep'!$A$1:$X$1,0),0),""),"")="","",IFERROR(_xlfn.IFNA(VLOOKUP($A446,'HR Rep'!$A:$X,MATCH('1) For HR (FIX)'!I$1,'HR Rep'!$A$1:$X$1,0),0),""),""))</f>
        <v/>
      </c>
      <c r="J446" s="140" t="str">
        <f>IF(IFERROR(_xlfn.IFNA(VLOOKUP($A446,'HR Rep'!$A:$X,MATCH('1) For HR (FIX)'!J$1,'HR Rep'!$A$1:$X$1,0),0),""),"")="","",IFERROR(_xlfn.IFNA(VLOOKUP($A446,'HR Rep'!$A:$X,MATCH('1) For HR (FIX)'!J$1,'HR Rep'!$A$1:$X$1,0),0),""),""))</f>
        <v/>
      </c>
      <c r="K446" s="161">
        <f>_xlfn.XLOOKUP(G446,ค่าตอบแทนการขายในอัตราคงที่!A:A,ค่าตอบแทนการขายในอัตราคงที่!B:B)</f>
        <v>0</v>
      </c>
      <c r="L446" s="174">
        <f>Period!$A$2</f>
        <v>46113</v>
      </c>
      <c r="M446" s="175">
        <f>Period!$C$2</f>
        <v>46143</v>
      </c>
      <c r="N446" s="194" t="s">
        <v>279</v>
      </c>
    </row>
    <row r="447" spans="1:14" ht="11.4" x14ac:dyDescent="0.25">
      <c r="A447" s="137"/>
      <c r="B447" s="169" t="e">
        <f>IF(IF(VLOOKUP(A447,ASTBase!F:P,11,FALSE)="","",VLOOKUP(A447,ASTBase!F:P,11,FALSE))=0,"",IF(VLOOKUP(A447,ASTBase!F:P,11,FALSE)="","",VLOOKUP(A447,ASTBase!F:P,11,FALSE)))</f>
        <v>#N/A</v>
      </c>
      <c r="C447" s="140" t="str">
        <f>IF(IFERROR(_xlfn.IFNA(VLOOKUP($A447,'HR Rep'!$A:$X,MATCH('1) For HR (FIX)'!C$1,'HR Rep'!$A$1:$X$1,0),0),""),"")="","",IFERROR(_xlfn.IFNA(VLOOKUP($A447,'HR Rep'!$A:$X,MATCH('1) For HR (FIX)'!C$1,'HR Rep'!$A$1:$X$1,0),0),""),""))</f>
        <v/>
      </c>
      <c r="D447" s="140" t="str">
        <f>IF(IFERROR(_xlfn.IFNA(VLOOKUP($A447,'HR Rep'!$A:$X,MATCH('1) For HR (FIX)'!D$1,'HR Rep'!$A$1:$X$1,0),0),""),"")="","",IFERROR(_xlfn.IFNA(VLOOKUP($A447,'HR Rep'!$A:$X,MATCH('1) For HR (FIX)'!D$1,'HR Rep'!$A$1:$X$1,0),0),""),""))</f>
        <v/>
      </c>
      <c r="E447" s="140" t="str">
        <f>IF(IFERROR(_xlfn.IFNA(VLOOKUP($A447,'HR Rep'!$A:$X,MATCH('1) For HR (FIX)'!E$1,'HR Rep'!$A$1:$X$1,0),0),""),"")="","",IFERROR(_xlfn.IFNA(VLOOKUP($A447,'HR Rep'!$A:$X,MATCH('1) For HR (FIX)'!E$1,'HR Rep'!$A$1:$X$1,0),0),""),""))</f>
        <v/>
      </c>
      <c r="F447" s="140" t="str">
        <f>IF(IFERROR(_xlfn.IFNA(VLOOKUP($A447,'HR Rep'!$A:$X,MATCH('1) For HR (FIX)'!F$1,'HR Rep'!$A$1:$X$1,0),0),""),"")="","",IFERROR(_xlfn.IFNA(VLOOKUP($A447,'HR Rep'!$A:$X,MATCH('1) For HR (FIX)'!F$1,'HR Rep'!$A$1:$X$1,0),0),""),""))</f>
        <v/>
      </c>
      <c r="G447" s="196"/>
      <c r="H447" s="140" t="str">
        <f>IF(IFERROR(_xlfn.IFNA(VLOOKUP($A447,'HR Rep'!$A:$X,MATCH('1) For HR (FIX)'!H$1,'HR Rep'!$A$1:$X$1,0),0),""),"")="","",IFERROR(_xlfn.IFNA(VLOOKUP($A447,'HR Rep'!$A:$X,MATCH('1) For HR (FIX)'!H$1,'HR Rep'!$A$1:$X$1,0),0),""),""))</f>
        <v/>
      </c>
      <c r="I447" s="140" t="str">
        <f>IF(IFERROR(_xlfn.IFNA(VLOOKUP($A447,'HR Rep'!$A:$X,MATCH('1) For HR (FIX)'!I$1,'HR Rep'!$A$1:$X$1,0),0),""),"")="","",IFERROR(_xlfn.IFNA(VLOOKUP($A447,'HR Rep'!$A:$X,MATCH('1) For HR (FIX)'!I$1,'HR Rep'!$A$1:$X$1,0),0),""),""))</f>
        <v/>
      </c>
      <c r="J447" s="140" t="str">
        <f>IF(IFERROR(_xlfn.IFNA(VLOOKUP($A447,'HR Rep'!$A:$X,MATCH('1) For HR (FIX)'!J$1,'HR Rep'!$A$1:$X$1,0),0),""),"")="","",IFERROR(_xlfn.IFNA(VLOOKUP($A447,'HR Rep'!$A:$X,MATCH('1) For HR (FIX)'!J$1,'HR Rep'!$A$1:$X$1,0),0),""),""))</f>
        <v/>
      </c>
      <c r="K447" s="161">
        <f>_xlfn.XLOOKUP(G447,ค่าตอบแทนการขายในอัตราคงที่!A:A,ค่าตอบแทนการขายในอัตราคงที่!B:B)</f>
        <v>0</v>
      </c>
      <c r="L447" s="174">
        <f>Period!$A$2</f>
        <v>46113</v>
      </c>
      <c r="M447" s="175">
        <f>Period!$C$2</f>
        <v>46143</v>
      </c>
      <c r="N447" s="194" t="s">
        <v>279</v>
      </c>
    </row>
    <row r="448" spans="1:14" ht="11.4" x14ac:dyDescent="0.25">
      <c r="A448" s="137"/>
      <c r="B448" s="169" t="e">
        <f>IF(IF(VLOOKUP(A448,ASTBase!F:P,11,FALSE)="","",VLOOKUP(A448,ASTBase!F:P,11,FALSE))=0,"",IF(VLOOKUP(A448,ASTBase!F:P,11,FALSE)="","",VLOOKUP(A448,ASTBase!F:P,11,FALSE)))</f>
        <v>#N/A</v>
      </c>
      <c r="C448" s="140" t="str">
        <f>IF(IFERROR(_xlfn.IFNA(VLOOKUP($A448,'HR Rep'!$A:$X,MATCH('1) For HR (FIX)'!C$1,'HR Rep'!$A$1:$X$1,0),0),""),"")="","",IFERROR(_xlfn.IFNA(VLOOKUP($A448,'HR Rep'!$A:$X,MATCH('1) For HR (FIX)'!C$1,'HR Rep'!$A$1:$X$1,0),0),""),""))</f>
        <v/>
      </c>
      <c r="D448" s="140" t="str">
        <f>IF(IFERROR(_xlfn.IFNA(VLOOKUP($A448,'HR Rep'!$A:$X,MATCH('1) For HR (FIX)'!D$1,'HR Rep'!$A$1:$X$1,0),0),""),"")="","",IFERROR(_xlfn.IFNA(VLOOKUP($A448,'HR Rep'!$A:$X,MATCH('1) For HR (FIX)'!D$1,'HR Rep'!$A$1:$X$1,0),0),""),""))</f>
        <v/>
      </c>
      <c r="E448" s="140" t="str">
        <f>IF(IFERROR(_xlfn.IFNA(VLOOKUP($A448,'HR Rep'!$A:$X,MATCH('1) For HR (FIX)'!E$1,'HR Rep'!$A$1:$X$1,0),0),""),"")="","",IFERROR(_xlfn.IFNA(VLOOKUP($A448,'HR Rep'!$A:$X,MATCH('1) For HR (FIX)'!E$1,'HR Rep'!$A$1:$X$1,0),0),""),""))</f>
        <v/>
      </c>
      <c r="F448" s="140" t="str">
        <f>IF(IFERROR(_xlfn.IFNA(VLOOKUP($A448,'HR Rep'!$A:$X,MATCH('1) For HR (FIX)'!F$1,'HR Rep'!$A$1:$X$1,0),0),""),"")="","",IFERROR(_xlfn.IFNA(VLOOKUP($A448,'HR Rep'!$A:$X,MATCH('1) For HR (FIX)'!F$1,'HR Rep'!$A$1:$X$1,0),0),""),""))</f>
        <v/>
      </c>
      <c r="G448" s="196"/>
      <c r="H448" s="140" t="str">
        <f>IF(IFERROR(_xlfn.IFNA(VLOOKUP($A448,'HR Rep'!$A:$X,MATCH('1) For HR (FIX)'!H$1,'HR Rep'!$A$1:$X$1,0),0),""),"")="","",IFERROR(_xlfn.IFNA(VLOOKUP($A448,'HR Rep'!$A:$X,MATCH('1) For HR (FIX)'!H$1,'HR Rep'!$A$1:$X$1,0),0),""),""))</f>
        <v/>
      </c>
      <c r="I448" s="140" t="str">
        <f>IF(IFERROR(_xlfn.IFNA(VLOOKUP($A448,'HR Rep'!$A:$X,MATCH('1) For HR (FIX)'!I$1,'HR Rep'!$A$1:$X$1,0),0),""),"")="","",IFERROR(_xlfn.IFNA(VLOOKUP($A448,'HR Rep'!$A:$X,MATCH('1) For HR (FIX)'!I$1,'HR Rep'!$A$1:$X$1,0),0),""),""))</f>
        <v/>
      </c>
      <c r="J448" s="140" t="str">
        <f>IF(IFERROR(_xlfn.IFNA(VLOOKUP($A448,'HR Rep'!$A:$X,MATCH('1) For HR (FIX)'!J$1,'HR Rep'!$A$1:$X$1,0),0),""),"")="","",IFERROR(_xlfn.IFNA(VLOOKUP($A448,'HR Rep'!$A:$X,MATCH('1) For HR (FIX)'!J$1,'HR Rep'!$A$1:$X$1,0),0),""),""))</f>
        <v/>
      </c>
      <c r="K448" s="161">
        <f>_xlfn.XLOOKUP(G448,ค่าตอบแทนการขายในอัตราคงที่!A:A,ค่าตอบแทนการขายในอัตราคงที่!B:B)</f>
        <v>0</v>
      </c>
      <c r="L448" s="174">
        <f>Period!$A$2</f>
        <v>46113</v>
      </c>
      <c r="M448" s="175">
        <f>Period!$C$2</f>
        <v>46143</v>
      </c>
      <c r="N448" s="194" t="s">
        <v>279</v>
      </c>
    </row>
    <row r="449" spans="1:14" ht="11.4" x14ac:dyDescent="0.25">
      <c r="A449" s="137"/>
      <c r="B449" s="169" t="e">
        <f>IF(IF(VLOOKUP(A449,ASTBase!F:P,11,FALSE)="","",VLOOKUP(A449,ASTBase!F:P,11,FALSE))=0,"",IF(VLOOKUP(A449,ASTBase!F:P,11,FALSE)="","",VLOOKUP(A449,ASTBase!F:P,11,FALSE)))</f>
        <v>#N/A</v>
      </c>
      <c r="C449" s="140" t="str">
        <f>IF(IFERROR(_xlfn.IFNA(VLOOKUP($A449,'HR Rep'!$A:$X,MATCH('1) For HR (FIX)'!C$1,'HR Rep'!$A$1:$X$1,0),0),""),"")="","",IFERROR(_xlfn.IFNA(VLOOKUP($A449,'HR Rep'!$A:$X,MATCH('1) For HR (FIX)'!C$1,'HR Rep'!$A$1:$X$1,0),0),""),""))</f>
        <v/>
      </c>
      <c r="D449" s="140" t="str">
        <f>IF(IFERROR(_xlfn.IFNA(VLOOKUP($A449,'HR Rep'!$A:$X,MATCH('1) For HR (FIX)'!D$1,'HR Rep'!$A$1:$X$1,0),0),""),"")="","",IFERROR(_xlfn.IFNA(VLOOKUP($A449,'HR Rep'!$A:$X,MATCH('1) For HR (FIX)'!D$1,'HR Rep'!$A$1:$X$1,0),0),""),""))</f>
        <v/>
      </c>
      <c r="E449" s="140" t="str">
        <f>IF(IFERROR(_xlfn.IFNA(VLOOKUP($A449,'HR Rep'!$A:$X,MATCH('1) For HR (FIX)'!E$1,'HR Rep'!$A$1:$X$1,0),0),""),"")="","",IFERROR(_xlfn.IFNA(VLOOKUP($A449,'HR Rep'!$A:$X,MATCH('1) For HR (FIX)'!E$1,'HR Rep'!$A$1:$X$1,0),0),""),""))</f>
        <v/>
      </c>
      <c r="F449" s="140" t="str">
        <f>IF(IFERROR(_xlfn.IFNA(VLOOKUP($A449,'HR Rep'!$A:$X,MATCH('1) For HR (FIX)'!F$1,'HR Rep'!$A$1:$X$1,0),0),""),"")="","",IFERROR(_xlfn.IFNA(VLOOKUP($A449,'HR Rep'!$A:$X,MATCH('1) For HR (FIX)'!F$1,'HR Rep'!$A$1:$X$1,0),0),""),""))</f>
        <v/>
      </c>
      <c r="G449" s="196"/>
      <c r="H449" s="140" t="str">
        <f>IF(IFERROR(_xlfn.IFNA(VLOOKUP($A449,'HR Rep'!$A:$X,MATCH('1) For HR (FIX)'!H$1,'HR Rep'!$A$1:$X$1,0),0),""),"")="","",IFERROR(_xlfn.IFNA(VLOOKUP($A449,'HR Rep'!$A:$X,MATCH('1) For HR (FIX)'!H$1,'HR Rep'!$A$1:$X$1,0),0),""),""))</f>
        <v/>
      </c>
      <c r="I449" s="140" t="str">
        <f>IF(IFERROR(_xlfn.IFNA(VLOOKUP($A449,'HR Rep'!$A:$X,MATCH('1) For HR (FIX)'!I$1,'HR Rep'!$A$1:$X$1,0),0),""),"")="","",IFERROR(_xlfn.IFNA(VLOOKUP($A449,'HR Rep'!$A:$X,MATCH('1) For HR (FIX)'!I$1,'HR Rep'!$A$1:$X$1,0),0),""),""))</f>
        <v/>
      </c>
      <c r="J449" s="140" t="str">
        <f>IF(IFERROR(_xlfn.IFNA(VLOOKUP($A449,'HR Rep'!$A:$X,MATCH('1) For HR (FIX)'!J$1,'HR Rep'!$A$1:$X$1,0),0),""),"")="","",IFERROR(_xlfn.IFNA(VLOOKUP($A449,'HR Rep'!$A:$X,MATCH('1) For HR (FIX)'!J$1,'HR Rep'!$A$1:$X$1,0),0),""),""))</f>
        <v/>
      </c>
      <c r="K449" s="161">
        <f>_xlfn.XLOOKUP(G449,ค่าตอบแทนการขายในอัตราคงที่!A:A,ค่าตอบแทนการขายในอัตราคงที่!B:B)</f>
        <v>0</v>
      </c>
      <c r="L449" s="174">
        <f>Period!$A$2</f>
        <v>46113</v>
      </c>
      <c r="M449" s="175">
        <f>Period!$C$2</f>
        <v>46143</v>
      </c>
      <c r="N449" s="194" t="s">
        <v>279</v>
      </c>
    </row>
    <row r="450" spans="1:14" ht="11.4" x14ac:dyDescent="0.25">
      <c r="A450" s="137"/>
      <c r="B450" s="169" t="e">
        <f>IF(IF(VLOOKUP(A450,ASTBase!F:P,11,FALSE)="","",VLOOKUP(A450,ASTBase!F:P,11,FALSE))=0,"",IF(VLOOKUP(A450,ASTBase!F:P,11,FALSE)="","",VLOOKUP(A450,ASTBase!F:P,11,FALSE)))</f>
        <v>#N/A</v>
      </c>
      <c r="C450" s="140" t="str">
        <f>IF(IFERROR(_xlfn.IFNA(VLOOKUP($A450,'HR Rep'!$A:$X,MATCH('1) For HR (FIX)'!C$1,'HR Rep'!$A$1:$X$1,0),0),""),"")="","",IFERROR(_xlfn.IFNA(VLOOKUP($A450,'HR Rep'!$A:$X,MATCH('1) For HR (FIX)'!C$1,'HR Rep'!$A$1:$X$1,0),0),""),""))</f>
        <v/>
      </c>
      <c r="D450" s="140" t="str">
        <f>IF(IFERROR(_xlfn.IFNA(VLOOKUP($A450,'HR Rep'!$A:$X,MATCH('1) For HR (FIX)'!D$1,'HR Rep'!$A$1:$X$1,0),0),""),"")="","",IFERROR(_xlfn.IFNA(VLOOKUP($A450,'HR Rep'!$A:$X,MATCH('1) For HR (FIX)'!D$1,'HR Rep'!$A$1:$X$1,0),0),""),""))</f>
        <v/>
      </c>
      <c r="E450" s="140" t="str">
        <f>IF(IFERROR(_xlfn.IFNA(VLOOKUP($A450,'HR Rep'!$A:$X,MATCH('1) For HR (FIX)'!E$1,'HR Rep'!$A$1:$X$1,0),0),""),"")="","",IFERROR(_xlfn.IFNA(VLOOKUP($A450,'HR Rep'!$A:$X,MATCH('1) For HR (FIX)'!E$1,'HR Rep'!$A$1:$X$1,0),0),""),""))</f>
        <v/>
      </c>
      <c r="F450" s="140" t="str">
        <f>IF(IFERROR(_xlfn.IFNA(VLOOKUP($A450,'HR Rep'!$A:$X,MATCH('1) For HR (FIX)'!F$1,'HR Rep'!$A$1:$X$1,0),0),""),"")="","",IFERROR(_xlfn.IFNA(VLOOKUP($A450,'HR Rep'!$A:$X,MATCH('1) For HR (FIX)'!F$1,'HR Rep'!$A$1:$X$1,0),0),""),""))</f>
        <v/>
      </c>
      <c r="G450" s="196"/>
      <c r="H450" s="140" t="str">
        <f>IF(IFERROR(_xlfn.IFNA(VLOOKUP($A450,'HR Rep'!$A:$X,MATCH('1) For HR (FIX)'!H$1,'HR Rep'!$A$1:$X$1,0),0),""),"")="","",IFERROR(_xlfn.IFNA(VLOOKUP($A450,'HR Rep'!$A:$X,MATCH('1) For HR (FIX)'!H$1,'HR Rep'!$A$1:$X$1,0),0),""),""))</f>
        <v/>
      </c>
      <c r="I450" s="140" t="str">
        <f>IF(IFERROR(_xlfn.IFNA(VLOOKUP($A450,'HR Rep'!$A:$X,MATCH('1) For HR (FIX)'!I$1,'HR Rep'!$A$1:$X$1,0),0),""),"")="","",IFERROR(_xlfn.IFNA(VLOOKUP($A450,'HR Rep'!$A:$X,MATCH('1) For HR (FIX)'!I$1,'HR Rep'!$A$1:$X$1,0),0),""),""))</f>
        <v/>
      </c>
      <c r="J450" s="140" t="str">
        <f>IF(IFERROR(_xlfn.IFNA(VLOOKUP($A450,'HR Rep'!$A:$X,MATCH('1) For HR (FIX)'!J$1,'HR Rep'!$A$1:$X$1,0),0),""),"")="","",IFERROR(_xlfn.IFNA(VLOOKUP($A450,'HR Rep'!$A:$X,MATCH('1) For HR (FIX)'!J$1,'HR Rep'!$A$1:$X$1,0),0),""),""))</f>
        <v/>
      </c>
      <c r="K450" s="161">
        <f>_xlfn.XLOOKUP(G450,ค่าตอบแทนการขายในอัตราคงที่!A:A,ค่าตอบแทนการขายในอัตราคงที่!B:B)</f>
        <v>0</v>
      </c>
      <c r="L450" s="174">
        <f>Period!$A$2</f>
        <v>46113</v>
      </c>
      <c r="M450" s="175">
        <f>Period!$C$2</f>
        <v>46143</v>
      </c>
      <c r="N450" s="194" t="s">
        <v>279</v>
      </c>
    </row>
    <row r="451" spans="1:14" ht="11.4" x14ac:dyDescent="0.25">
      <c r="A451" s="137"/>
      <c r="B451" s="169" t="e">
        <f>IF(IF(VLOOKUP(A451,ASTBase!F:P,11,FALSE)="","",VLOOKUP(A451,ASTBase!F:P,11,FALSE))=0,"",IF(VLOOKUP(A451,ASTBase!F:P,11,FALSE)="","",VLOOKUP(A451,ASTBase!F:P,11,FALSE)))</f>
        <v>#N/A</v>
      </c>
      <c r="C451" s="140" t="str">
        <f>IF(IFERROR(_xlfn.IFNA(VLOOKUP($A451,'HR Rep'!$A:$X,MATCH('1) For HR (FIX)'!C$1,'HR Rep'!$A$1:$X$1,0),0),""),"")="","",IFERROR(_xlfn.IFNA(VLOOKUP($A451,'HR Rep'!$A:$X,MATCH('1) For HR (FIX)'!C$1,'HR Rep'!$A$1:$X$1,0),0),""),""))</f>
        <v/>
      </c>
      <c r="D451" s="140" t="str">
        <f>IF(IFERROR(_xlfn.IFNA(VLOOKUP($A451,'HR Rep'!$A:$X,MATCH('1) For HR (FIX)'!D$1,'HR Rep'!$A$1:$X$1,0),0),""),"")="","",IFERROR(_xlfn.IFNA(VLOOKUP($A451,'HR Rep'!$A:$X,MATCH('1) For HR (FIX)'!D$1,'HR Rep'!$A$1:$X$1,0),0),""),""))</f>
        <v/>
      </c>
      <c r="E451" s="140" t="str">
        <f>IF(IFERROR(_xlfn.IFNA(VLOOKUP($A451,'HR Rep'!$A:$X,MATCH('1) For HR (FIX)'!E$1,'HR Rep'!$A$1:$X$1,0),0),""),"")="","",IFERROR(_xlfn.IFNA(VLOOKUP($A451,'HR Rep'!$A:$X,MATCH('1) For HR (FIX)'!E$1,'HR Rep'!$A$1:$X$1,0),0),""),""))</f>
        <v/>
      </c>
      <c r="F451" s="140" t="str">
        <f>IF(IFERROR(_xlfn.IFNA(VLOOKUP($A451,'HR Rep'!$A:$X,MATCH('1) For HR (FIX)'!F$1,'HR Rep'!$A$1:$X$1,0),0),""),"")="","",IFERROR(_xlfn.IFNA(VLOOKUP($A451,'HR Rep'!$A:$X,MATCH('1) For HR (FIX)'!F$1,'HR Rep'!$A$1:$X$1,0),0),""),""))</f>
        <v/>
      </c>
      <c r="G451" s="196"/>
      <c r="H451" s="140" t="str">
        <f>IF(IFERROR(_xlfn.IFNA(VLOOKUP($A451,'HR Rep'!$A:$X,MATCH('1) For HR (FIX)'!H$1,'HR Rep'!$A$1:$X$1,0),0),""),"")="","",IFERROR(_xlfn.IFNA(VLOOKUP($A451,'HR Rep'!$A:$X,MATCH('1) For HR (FIX)'!H$1,'HR Rep'!$A$1:$X$1,0),0),""),""))</f>
        <v/>
      </c>
      <c r="I451" s="140" t="str">
        <f>IF(IFERROR(_xlfn.IFNA(VLOOKUP($A451,'HR Rep'!$A:$X,MATCH('1) For HR (FIX)'!I$1,'HR Rep'!$A$1:$X$1,0),0),""),"")="","",IFERROR(_xlfn.IFNA(VLOOKUP($A451,'HR Rep'!$A:$X,MATCH('1) For HR (FIX)'!I$1,'HR Rep'!$A$1:$X$1,0),0),""),""))</f>
        <v/>
      </c>
      <c r="J451" s="140" t="str">
        <f>IF(IFERROR(_xlfn.IFNA(VLOOKUP($A451,'HR Rep'!$A:$X,MATCH('1) For HR (FIX)'!J$1,'HR Rep'!$A$1:$X$1,0),0),""),"")="","",IFERROR(_xlfn.IFNA(VLOOKUP($A451,'HR Rep'!$A:$X,MATCH('1) For HR (FIX)'!J$1,'HR Rep'!$A$1:$X$1,0),0),""),""))</f>
        <v/>
      </c>
      <c r="K451" s="161">
        <f>_xlfn.XLOOKUP(G451,ค่าตอบแทนการขายในอัตราคงที่!A:A,ค่าตอบแทนการขายในอัตราคงที่!B:B)</f>
        <v>0</v>
      </c>
      <c r="L451" s="174">
        <f>Period!$A$2</f>
        <v>46113</v>
      </c>
      <c r="M451" s="175">
        <f>Period!$C$2</f>
        <v>46143</v>
      </c>
      <c r="N451" s="194" t="s">
        <v>279</v>
      </c>
    </row>
    <row r="452" spans="1:14" ht="11.4" x14ac:dyDescent="0.25">
      <c r="A452" s="137"/>
      <c r="B452" s="169" t="e">
        <f>IF(IF(VLOOKUP(A452,ASTBase!F:P,11,FALSE)="","",VLOOKUP(A452,ASTBase!F:P,11,FALSE))=0,"",IF(VLOOKUP(A452,ASTBase!F:P,11,FALSE)="","",VLOOKUP(A452,ASTBase!F:P,11,FALSE)))</f>
        <v>#N/A</v>
      </c>
      <c r="C452" s="140" t="str">
        <f>IF(IFERROR(_xlfn.IFNA(VLOOKUP($A452,'HR Rep'!$A:$X,MATCH('1) For HR (FIX)'!C$1,'HR Rep'!$A$1:$X$1,0),0),""),"")="","",IFERROR(_xlfn.IFNA(VLOOKUP($A452,'HR Rep'!$A:$X,MATCH('1) For HR (FIX)'!C$1,'HR Rep'!$A$1:$X$1,0),0),""),""))</f>
        <v/>
      </c>
      <c r="D452" s="140" t="str">
        <f>IF(IFERROR(_xlfn.IFNA(VLOOKUP($A452,'HR Rep'!$A:$X,MATCH('1) For HR (FIX)'!D$1,'HR Rep'!$A$1:$X$1,0),0),""),"")="","",IFERROR(_xlfn.IFNA(VLOOKUP($A452,'HR Rep'!$A:$X,MATCH('1) For HR (FIX)'!D$1,'HR Rep'!$A$1:$X$1,0),0),""),""))</f>
        <v/>
      </c>
      <c r="E452" s="140" t="str">
        <f>IF(IFERROR(_xlfn.IFNA(VLOOKUP($A452,'HR Rep'!$A:$X,MATCH('1) For HR (FIX)'!E$1,'HR Rep'!$A$1:$X$1,0),0),""),"")="","",IFERROR(_xlfn.IFNA(VLOOKUP($A452,'HR Rep'!$A:$X,MATCH('1) For HR (FIX)'!E$1,'HR Rep'!$A$1:$X$1,0),0),""),""))</f>
        <v/>
      </c>
      <c r="F452" s="140" t="str">
        <f>IF(IFERROR(_xlfn.IFNA(VLOOKUP($A452,'HR Rep'!$A:$X,MATCH('1) For HR (FIX)'!F$1,'HR Rep'!$A$1:$X$1,0),0),""),"")="","",IFERROR(_xlfn.IFNA(VLOOKUP($A452,'HR Rep'!$A:$X,MATCH('1) For HR (FIX)'!F$1,'HR Rep'!$A$1:$X$1,0),0),""),""))</f>
        <v/>
      </c>
      <c r="G452" s="196"/>
      <c r="H452" s="140" t="str">
        <f>IF(IFERROR(_xlfn.IFNA(VLOOKUP($A452,'HR Rep'!$A:$X,MATCH('1) For HR (FIX)'!H$1,'HR Rep'!$A$1:$X$1,0),0),""),"")="","",IFERROR(_xlfn.IFNA(VLOOKUP($A452,'HR Rep'!$A:$X,MATCH('1) For HR (FIX)'!H$1,'HR Rep'!$A$1:$X$1,0),0),""),""))</f>
        <v/>
      </c>
      <c r="I452" s="140" t="str">
        <f>IF(IFERROR(_xlfn.IFNA(VLOOKUP($A452,'HR Rep'!$A:$X,MATCH('1) For HR (FIX)'!I$1,'HR Rep'!$A$1:$X$1,0),0),""),"")="","",IFERROR(_xlfn.IFNA(VLOOKUP($A452,'HR Rep'!$A:$X,MATCH('1) For HR (FIX)'!I$1,'HR Rep'!$A$1:$X$1,0),0),""),""))</f>
        <v/>
      </c>
      <c r="J452" s="140" t="str">
        <f>IF(IFERROR(_xlfn.IFNA(VLOOKUP($A452,'HR Rep'!$A:$X,MATCH('1) For HR (FIX)'!J$1,'HR Rep'!$A$1:$X$1,0),0),""),"")="","",IFERROR(_xlfn.IFNA(VLOOKUP($A452,'HR Rep'!$A:$X,MATCH('1) For HR (FIX)'!J$1,'HR Rep'!$A$1:$X$1,0),0),""),""))</f>
        <v/>
      </c>
      <c r="K452" s="161">
        <f>_xlfn.XLOOKUP(G452,ค่าตอบแทนการขายในอัตราคงที่!A:A,ค่าตอบแทนการขายในอัตราคงที่!B:B)</f>
        <v>0</v>
      </c>
      <c r="L452" s="174">
        <f>Period!$A$2</f>
        <v>46113</v>
      </c>
      <c r="M452" s="175">
        <f>Period!$C$2</f>
        <v>46143</v>
      </c>
      <c r="N452" s="194" t="s">
        <v>279</v>
      </c>
    </row>
    <row r="453" spans="1:14" ht="11.4" x14ac:dyDescent="0.25">
      <c r="A453" s="137"/>
      <c r="B453" s="169" t="e">
        <f>IF(IF(VLOOKUP(A453,ASTBase!F:P,11,FALSE)="","",VLOOKUP(A453,ASTBase!F:P,11,FALSE))=0,"",IF(VLOOKUP(A453,ASTBase!F:P,11,FALSE)="","",VLOOKUP(A453,ASTBase!F:P,11,FALSE)))</f>
        <v>#N/A</v>
      </c>
      <c r="C453" s="140" t="str">
        <f>IF(IFERROR(_xlfn.IFNA(VLOOKUP($A453,'HR Rep'!$A:$X,MATCH('1) For HR (FIX)'!C$1,'HR Rep'!$A$1:$X$1,0),0),""),"")="","",IFERROR(_xlfn.IFNA(VLOOKUP($A453,'HR Rep'!$A:$X,MATCH('1) For HR (FIX)'!C$1,'HR Rep'!$A$1:$X$1,0),0),""),""))</f>
        <v/>
      </c>
      <c r="D453" s="140" t="str">
        <f>IF(IFERROR(_xlfn.IFNA(VLOOKUP($A453,'HR Rep'!$A:$X,MATCH('1) For HR (FIX)'!D$1,'HR Rep'!$A$1:$X$1,0),0),""),"")="","",IFERROR(_xlfn.IFNA(VLOOKUP($A453,'HR Rep'!$A:$X,MATCH('1) For HR (FIX)'!D$1,'HR Rep'!$A$1:$X$1,0),0),""),""))</f>
        <v/>
      </c>
      <c r="E453" s="140" t="str">
        <f>IF(IFERROR(_xlfn.IFNA(VLOOKUP($A453,'HR Rep'!$A:$X,MATCH('1) For HR (FIX)'!E$1,'HR Rep'!$A$1:$X$1,0),0),""),"")="","",IFERROR(_xlfn.IFNA(VLOOKUP($A453,'HR Rep'!$A:$X,MATCH('1) For HR (FIX)'!E$1,'HR Rep'!$A$1:$X$1,0),0),""),""))</f>
        <v/>
      </c>
      <c r="F453" s="140" t="str">
        <f>IF(IFERROR(_xlfn.IFNA(VLOOKUP($A453,'HR Rep'!$A:$X,MATCH('1) For HR (FIX)'!F$1,'HR Rep'!$A$1:$X$1,0),0),""),"")="","",IFERROR(_xlfn.IFNA(VLOOKUP($A453,'HR Rep'!$A:$X,MATCH('1) For HR (FIX)'!F$1,'HR Rep'!$A$1:$X$1,0),0),""),""))</f>
        <v/>
      </c>
      <c r="G453" s="196"/>
      <c r="H453" s="140" t="str">
        <f>IF(IFERROR(_xlfn.IFNA(VLOOKUP($A453,'HR Rep'!$A:$X,MATCH('1) For HR (FIX)'!H$1,'HR Rep'!$A$1:$X$1,0),0),""),"")="","",IFERROR(_xlfn.IFNA(VLOOKUP($A453,'HR Rep'!$A:$X,MATCH('1) For HR (FIX)'!H$1,'HR Rep'!$A$1:$X$1,0),0),""),""))</f>
        <v/>
      </c>
      <c r="I453" s="140" t="str">
        <f>IF(IFERROR(_xlfn.IFNA(VLOOKUP($A453,'HR Rep'!$A:$X,MATCH('1) For HR (FIX)'!I$1,'HR Rep'!$A$1:$X$1,0),0),""),"")="","",IFERROR(_xlfn.IFNA(VLOOKUP($A453,'HR Rep'!$A:$X,MATCH('1) For HR (FIX)'!I$1,'HR Rep'!$A$1:$X$1,0),0),""),""))</f>
        <v/>
      </c>
      <c r="J453" s="140" t="str">
        <f>IF(IFERROR(_xlfn.IFNA(VLOOKUP($A453,'HR Rep'!$A:$X,MATCH('1) For HR (FIX)'!J$1,'HR Rep'!$A$1:$X$1,0),0),""),"")="","",IFERROR(_xlfn.IFNA(VLOOKUP($A453,'HR Rep'!$A:$X,MATCH('1) For HR (FIX)'!J$1,'HR Rep'!$A$1:$X$1,0),0),""),""))</f>
        <v/>
      </c>
      <c r="K453" s="161">
        <f>_xlfn.XLOOKUP(G453,ค่าตอบแทนการขายในอัตราคงที่!A:A,ค่าตอบแทนการขายในอัตราคงที่!B:B)</f>
        <v>0</v>
      </c>
      <c r="L453" s="174">
        <f>Period!$A$2</f>
        <v>46113</v>
      </c>
      <c r="M453" s="175">
        <f>Period!$C$2</f>
        <v>46143</v>
      </c>
      <c r="N453" s="194" t="s">
        <v>279</v>
      </c>
    </row>
    <row r="454" spans="1:14" ht="11.4" x14ac:dyDescent="0.25">
      <c r="A454" s="137"/>
      <c r="B454" s="169" t="e">
        <f>IF(IF(VLOOKUP(A454,ASTBase!F:P,11,FALSE)="","",VLOOKUP(A454,ASTBase!F:P,11,FALSE))=0,"",IF(VLOOKUP(A454,ASTBase!F:P,11,FALSE)="","",VLOOKUP(A454,ASTBase!F:P,11,FALSE)))</f>
        <v>#N/A</v>
      </c>
      <c r="C454" s="140" t="str">
        <f>IF(IFERROR(_xlfn.IFNA(VLOOKUP($A454,'HR Rep'!$A:$X,MATCH('1) For HR (FIX)'!C$1,'HR Rep'!$A$1:$X$1,0),0),""),"")="","",IFERROR(_xlfn.IFNA(VLOOKUP($A454,'HR Rep'!$A:$X,MATCH('1) For HR (FIX)'!C$1,'HR Rep'!$A$1:$X$1,0),0),""),""))</f>
        <v/>
      </c>
      <c r="D454" s="140" t="str">
        <f>IF(IFERROR(_xlfn.IFNA(VLOOKUP($A454,'HR Rep'!$A:$X,MATCH('1) For HR (FIX)'!D$1,'HR Rep'!$A$1:$X$1,0),0),""),"")="","",IFERROR(_xlfn.IFNA(VLOOKUP($A454,'HR Rep'!$A:$X,MATCH('1) For HR (FIX)'!D$1,'HR Rep'!$A$1:$X$1,0),0),""),""))</f>
        <v/>
      </c>
      <c r="E454" s="140" t="str">
        <f>IF(IFERROR(_xlfn.IFNA(VLOOKUP($A454,'HR Rep'!$A:$X,MATCH('1) For HR (FIX)'!E$1,'HR Rep'!$A$1:$X$1,0),0),""),"")="","",IFERROR(_xlfn.IFNA(VLOOKUP($A454,'HR Rep'!$A:$X,MATCH('1) For HR (FIX)'!E$1,'HR Rep'!$A$1:$X$1,0),0),""),""))</f>
        <v/>
      </c>
      <c r="F454" s="140" t="str">
        <f>IF(IFERROR(_xlfn.IFNA(VLOOKUP($A454,'HR Rep'!$A:$X,MATCH('1) For HR (FIX)'!F$1,'HR Rep'!$A$1:$X$1,0),0),""),"")="","",IFERROR(_xlfn.IFNA(VLOOKUP($A454,'HR Rep'!$A:$X,MATCH('1) For HR (FIX)'!F$1,'HR Rep'!$A$1:$X$1,0),0),""),""))</f>
        <v/>
      </c>
      <c r="G454" s="196"/>
      <c r="H454" s="140" t="str">
        <f>IF(IFERROR(_xlfn.IFNA(VLOOKUP($A454,'HR Rep'!$A:$X,MATCH('1) For HR (FIX)'!H$1,'HR Rep'!$A$1:$X$1,0),0),""),"")="","",IFERROR(_xlfn.IFNA(VLOOKUP($A454,'HR Rep'!$A:$X,MATCH('1) For HR (FIX)'!H$1,'HR Rep'!$A$1:$X$1,0),0),""),""))</f>
        <v/>
      </c>
      <c r="I454" s="140" t="str">
        <f>IF(IFERROR(_xlfn.IFNA(VLOOKUP($A454,'HR Rep'!$A:$X,MATCH('1) For HR (FIX)'!I$1,'HR Rep'!$A$1:$X$1,0),0),""),"")="","",IFERROR(_xlfn.IFNA(VLOOKUP($A454,'HR Rep'!$A:$X,MATCH('1) For HR (FIX)'!I$1,'HR Rep'!$A$1:$X$1,0),0),""),""))</f>
        <v/>
      </c>
      <c r="J454" s="140" t="str">
        <f>IF(IFERROR(_xlfn.IFNA(VLOOKUP($A454,'HR Rep'!$A:$X,MATCH('1) For HR (FIX)'!J$1,'HR Rep'!$A$1:$X$1,0),0),""),"")="","",IFERROR(_xlfn.IFNA(VLOOKUP($A454,'HR Rep'!$A:$X,MATCH('1) For HR (FIX)'!J$1,'HR Rep'!$A$1:$X$1,0),0),""),""))</f>
        <v/>
      </c>
      <c r="K454" s="161">
        <f>_xlfn.XLOOKUP(G454,ค่าตอบแทนการขายในอัตราคงที่!A:A,ค่าตอบแทนการขายในอัตราคงที่!B:B)</f>
        <v>0</v>
      </c>
      <c r="L454" s="174">
        <f>Period!$A$2</f>
        <v>46113</v>
      </c>
      <c r="M454" s="175">
        <f>Period!$C$2</f>
        <v>46143</v>
      </c>
      <c r="N454" s="194" t="s">
        <v>279</v>
      </c>
    </row>
    <row r="455" spans="1:14" ht="11.4" x14ac:dyDescent="0.25">
      <c r="A455" s="137"/>
      <c r="B455" s="169" t="e">
        <f>IF(IF(VLOOKUP(A455,ASTBase!F:P,11,FALSE)="","",VLOOKUP(A455,ASTBase!F:P,11,FALSE))=0,"",IF(VLOOKUP(A455,ASTBase!F:P,11,FALSE)="","",VLOOKUP(A455,ASTBase!F:P,11,FALSE)))</f>
        <v>#N/A</v>
      </c>
      <c r="C455" s="140" t="str">
        <f>IF(IFERROR(_xlfn.IFNA(VLOOKUP($A455,'HR Rep'!$A:$X,MATCH('1) For HR (FIX)'!C$1,'HR Rep'!$A$1:$X$1,0),0),""),"")="","",IFERROR(_xlfn.IFNA(VLOOKUP($A455,'HR Rep'!$A:$X,MATCH('1) For HR (FIX)'!C$1,'HR Rep'!$A$1:$X$1,0),0),""),""))</f>
        <v/>
      </c>
      <c r="D455" s="140" t="str">
        <f>IF(IFERROR(_xlfn.IFNA(VLOOKUP($A455,'HR Rep'!$A:$X,MATCH('1) For HR (FIX)'!D$1,'HR Rep'!$A$1:$X$1,0),0),""),"")="","",IFERROR(_xlfn.IFNA(VLOOKUP($A455,'HR Rep'!$A:$X,MATCH('1) For HR (FIX)'!D$1,'HR Rep'!$A$1:$X$1,0),0),""),""))</f>
        <v/>
      </c>
      <c r="E455" s="140" t="str">
        <f>IF(IFERROR(_xlfn.IFNA(VLOOKUP($A455,'HR Rep'!$A:$X,MATCH('1) For HR (FIX)'!E$1,'HR Rep'!$A$1:$X$1,0),0),""),"")="","",IFERROR(_xlfn.IFNA(VLOOKUP($A455,'HR Rep'!$A:$X,MATCH('1) For HR (FIX)'!E$1,'HR Rep'!$A$1:$X$1,0),0),""),""))</f>
        <v/>
      </c>
      <c r="F455" s="140" t="str">
        <f>IF(IFERROR(_xlfn.IFNA(VLOOKUP($A455,'HR Rep'!$A:$X,MATCH('1) For HR (FIX)'!F$1,'HR Rep'!$A$1:$X$1,0),0),""),"")="","",IFERROR(_xlfn.IFNA(VLOOKUP($A455,'HR Rep'!$A:$X,MATCH('1) For HR (FIX)'!F$1,'HR Rep'!$A$1:$X$1,0),0),""),""))</f>
        <v/>
      </c>
      <c r="G455" s="196"/>
      <c r="H455" s="140" t="str">
        <f>IF(IFERROR(_xlfn.IFNA(VLOOKUP($A455,'HR Rep'!$A:$X,MATCH('1) For HR (FIX)'!H$1,'HR Rep'!$A$1:$X$1,0),0),""),"")="","",IFERROR(_xlfn.IFNA(VLOOKUP($A455,'HR Rep'!$A:$X,MATCH('1) For HR (FIX)'!H$1,'HR Rep'!$A$1:$X$1,0),0),""),""))</f>
        <v/>
      </c>
      <c r="I455" s="140" t="str">
        <f>IF(IFERROR(_xlfn.IFNA(VLOOKUP($A455,'HR Rep'!$A:$X,MATCH('1) For HR (FIX)'!I$1,'HR Rep'!$A$1:$X$1,0),0),""),"")="","",IFERROR(_xlfn.IFNA(VLOOKUP($A455,'HR Rep'!$A:$X,MATCH('1) For HR (FIX)'!I$1,'HR Rep'!$A$1:$X$1,0),0),""),""))</f>
        <v/>
      </c>
      <c r="J455" s="140" t="str">
        <f>IF(IFERROR(_xlfn.IFNA(VLOOKUP($A455,'HR Rep'!$A:$X,MATCH('1) For HR (FIX)'!J$1,'HR Rep'!$A$1:$X$1,0),0),""),"")="","",IFERROR(_xlfn.IFNA(VLOOKUP($A455,'HR Rep'!$A:$X,MATCH('1) For HR (FIX)'!J$1,'HR Rep'!$A$1:$X$1,0),0),""),""))</f>
        <v/>
      </c>
      <c r="K455" s="161">
        <f>_xlfn.XLOOKUP(G455,ค่าตอบแทนการขายในอัตราคงที่!A:A,ค่าตอบแทนการขายในอัตราคงที่!B:B)</f>
        <v>0</v>
      </c>
      <c r="L455" s="174">
        <f>Period!$A$2</f>
        <v>46113</v>
      </c>
      <c r="M455" s="175">
        <f>Period!$C$2</f>
        <v>46143</v>
      </c>
      <c r="N455" s="194" t="s">
        <v>279</v>
      </c>
    </row>
    <row r="456" spans="1:14" ht="11.4" x14ac:dyDescent="0.25">
      <c r="A456" s="137"/>
      <c r="B456" s="169" t="e">
        <f>IF(IF(VLOOKUP(A456,ASTBase!F:P,11,FALSE)="","",VLOOKUP(A456,ASTBase!F:P,11,FALSE))=0,"",IF(VLOOKUP(A456,ASTBase!F:P,11,FALSE)="","",VLOOKUP(A456,ASTBase!F:P,11,FALSE)))</f>
        <v>#N/A</v>
      </c>
      <c r="C456" s="140" t="str">
        <f>IF(IFERROR(_xlfn.IFNA(VLOOKUP($A456,'HR Rep'!$A:$X,MATCH('1) For HR (FIX)'!C$1,'HR Rep'!$A$1:$X$1,0),0),""),"")="","",IFERROR(_xlfn.IFNA(VLOOKUP($A456,'HR Rep'!$A:$X,MATCH('1) For HR (FIX)'!C$1,'HR Rep'!$A$1:$X$1,0),0),""),""))</f>
        <v/>
      </c>
      <c r="D456" s="140" t="str">
        <f>IF(IFERROR(_xlfn.IFNA(VLOOKUP($A456,'HR Rep'!$A:$X,MATCH('1) For HR (FIX)'!D$1,'HR Rep'!$A$1:$X$1,0),0),""),"")="","",IFERROR(_xlfn.IFNA(VLOOKUP($A456,'HR Rep'!$A:$X,MATCH('1) For HR (FIX)'!D$1,'HR Rep'!$A$1:$X$1,0),0),""),""))</f>
        <v/>
      </c>
      <c r="E456" s="140" t="str">
        <f>IF(IFERROR(_xlfn.IFNA(VLOOKUP($A456,'HR Rep'!$A:$X,MATCH('1) For HR (FIX)'!E$1,'HR Rep'!$A$1:$X$1,0),0),""),"")="","",IFERROR(_xlfn.IFNA(VLOOKUP($A456,'HR Rep'!$A:$X,MATCH('1) For HR (FIX)'!E$1,'HR Rep'!$A$1:$X$1,0),0),""),""))</f>
        <v/>
      </c>
      <c r="F456" s="140" t="str">
        <f>IF(IFERROR(_xlfn.IFNA(VLOOKUP($A456,'HR Rep'!$A:$X,MATCH('1) For HR (FIX)'!F$1,'HR Rep'!$A$1:$X$1,0),0),""),"")="","",IFERROR(_xlfn.IFNA(VLOOKUP($A456,'HR Rep'!$A:$X,MATCH('1) For HR (FIX)'!F$1,'HR Rep'!$A$1:$X$1,0),0),""),""))</f>
        <v/>
      </c>
      <c r="G456" s="196"/>
      <c r="H456" s="140" t="str">
        <f>IF(IFERROR(_xlfn.IFNA(VLOOKUP($A456,'HR Rep'!$A:$X,MATCH('1) For HR (FIX)'!H$1,'HR Rep'!$A$1:$X$1,0),0),""),"")="","",IFERROR(_xlfn.IFNA(VLOOKUP($A456,'HR Rep'!$A:$X,MATCH('1) For HR (FIX)'!H$1,'HR Rep'!$A$1:$X$1,0),0),""),""))</f>
        <v/>
      </c>
      <c r="I456" s="140" t="str">
        <f>IF(IFERROR(_xlfn.IFNA(VLOOKUP($A456,'HR Rep'!$A:$X,MATCH('1) For HR (FIX)'!I$1,'HR Rep'!$A$1:$X$1,0),0),""),"")="","",IFERROR(_xlfn.IFNA(VLOOKUP($A456,'HR Rep'!$A:$X,MATCH('1) For HR (FIX)'!I$1,'HR Rep'!$A$1:$X$1,0),0),""),""))</f>
        <v/>
      </c>
      <c r="J456" s="140" t="str">
        <f>IF(IFERROR(_xlfn.IFNA(VLOOKUP($A456,'HR Rep'!$A:$X,MATCH('1) For HR (FIX)'!J$1,'HR Rep'!$A$1:$X$1,0),0),""),"")="","",IFERROR(_xlfn.IFNA(VLOOKUP($A456,'HR Rep'!$A:$X,MATCH('1) For HR (FIX)'!J$1,'HR Rep'!$A$1:$X$1,0),0),""),""))</f>
        <v/>
      </c>
      <c r="K456" s="161">
        <f>_xlfn.XLOOKUP(G456,ค่าตอบแทนการขายในอัตราคงที่!A:A,ค่าตอบแทนการขายในอัตราคงที่!B:B)</f>
        <v>0</v>
      </c>
      <c r="L456" s="174">
        <f>Period!$A$2</f>
        <v>46113</v>
      </c>
      <c r="M456" s="175">
        <f>Period!$C$2</f>
        <v>46143</v>
      </c>
      <c r="N456" s="194" t="s">
        <v>279</v>
      </c>
    </row>
    <row r="457" spans="1:14" ht="11.4" x14ac:dyDescent="0.25">
      <c r="A457" s="137"/>
      <c r="B457" s="169" t="e">
        <f>IF(IF(VLOOKUP(A457,ASTBase!F:P,11,FALSE)="","",VLOOKUP(A457,ASTBase!F:P,11,FALSE))=0,"",IF(VLOOKUP(A457,ASTBase!F:P,11,FALSE)="","",VLOOKUP(A457,ASTBase!F:P,11,FALSE)))</f>
        <v>#N/A</v>
      </c>
      <c r="C457" s="140" t="str">
        <f>IF(IFERROR(_xlfn.IFNA(VLOOKUP($A457,'HR Rep'!$A:$X,MATCH('1) For HR (FIX)'!C$1,'HR Rep'!$A$1:$X$1,0),0),""),"")="","",IFERROR(_xlfn.IFNA(VLOOKUP($A457,'HR Rep'!$A:$X,MATCH('1) For HR (FIX)'!C$1,'HR Rep'!$A$1:$X$1,0),0),""),""))</f>
        <v/>
      </c>
      <c r="D457" s="140" t="str">
        <f>IF(IFERROR(_xlfn.IFNA(VLOOKUP($A457,'HR Rep'!$A:$X,MATCH('1) For HR (FIX)'!D$1,'HR Rep'!$A$1:$X$1,0),0),""),"")="","",IFERROR(_xlfn.IFNA(VLOOKUP($A457,'HR Rep'!$A:$X,MATCH('1) For HR (FIX)'!D$1,'HR Rep'!$A$1:$X$1,0),0),""),""))</f>
        <v/>
      </c>
      <c r="E457" s="140" t="str">
        <f>IF(IFERROR(_xlfn.IFNA(VLOOKUP($A457,'HR Rep'!$A:$X,MATCH('1) For HR (FIX)'!E$1,'HR Rep'!$A$1:$X$1,0),0),""),"")="","",IFERROR(_xlfn.IFNA(VLOOKUP($A457,'HR Rep'!$A:$X,MATCH('1) For HR (FIX)'!E$1,'HR Rep'!$A$1:$X$1,0),0),""),""))</f>
        <v/>
      </c>
      <c r="F457" s="140" t="str">
        <f>IF(IFERROR(_xlfn.IFNA(VLOOKUP($A457,'HR Rep'!$A:$X,MATCH('1) For HR (FIX)'!F$1,'HR Rep'!$A$1:$X$1,0),0),""),"")="","",IFERROR(_xlfn.IFNA(VLOOKUP($A457,'HR Rep'!$A:$X,MATCH('1) For HR (FIX)'!F$1,'HR Rep'!$A$1:$X$1,0),0),""),""))</f>
        <v/>
      </c>
      <c r="G457" s="196"/>
      <c r="H457" s="140" t="str">
        <f>IF(IFERROR(_xlfn.IFNA(VLOOKUP($A457,'HR Rep'!$A:$X,MATCH('1) For HR (FIX)'!H$1,'HR Rep'!$A$1:$X$1,0),0),""),"")="","",IFERROR(_xlfn.IFNA(VLOOKUP($A457,'HR Rep'!$A:$X,MATCH('1) For HR (FIX)'!H$1,'HR Rep'!$A$1:$X$1,0),0),""),""))</f>
        <v/>
      </c>
      <c r="I457" s="140" t="str">
        <f>IF(IFERROR(_xlfn.IFNA(VLOOKUP($A457,'HR Rep'!$A:$X,MATCH('1) For HR (FIX)'!I$1,'HR Rep'!$A$1:$X$1,0),0),""),"")="","",IFERROR(_xlfn.IFNA(VLOOKUP($A457,'HR Rep'!$A:$X,MATCH('1) For HR (FIX)'!I$1,'HR Rep'!$A$1:$X$1,0),0),""),""))</f>
        <v/>
      </c>
      <c r="J457" s="140" t="str">
        <f>IF(IFERROR(_xlfn.IFNA(VLOOKUP($A457,'HR Rep'!$A:$X,MATCH('1) For HR (FIX)'!J$1,'HR Rep'!$A$1:$X$1,0),0),""),"")="","",IFERROR(_xlfn.IFNA(VLOOKUP($A457,'HR Rep'!$A:$X,MATCH('1) For HR (FIX)'!J$1,'HR Rep'!$A$1:$X$1,0),0),""),""))</f>
        <v/>
      </c>
      <c r="K457" s="161">
        <f>_xlfn.XLOOKUP(G457,ค่าตอบแทนการขายในอัตราคงที่!A:A,ค่าตอบแทนการขายในอัตราคงที่!B:B)</f>
        <v>0</v>
      </c>
      <c r="L457" s="174">
        <f>Period!$A$2</f>
        <v>46113</v>
      </c>
      <c r="M457" s="175">
        <f>Period!$C$2</f>
        <v>46143</v>
      </c>
      <c r="N457" s="194" t="s">
        <v>279</v>
      </c>
    </row>
    <row r="458" spans="1:14" ht="11.4" x14ac:dyDescent="0.25">
      <c r="A458" s="137"/>
      <c r="B458" s="169" t="e">
        <f>IF(IF(VLOOKUP(A458,ASTBase!F:P,11,FALSE)="","",VLOOKUP(A458,ASTBase!F:P,11,FALSE))=0,"",IF(VLOOKUP(A458,ASTBase!F:P,11,FALSE)="","",VLOOKUP(A458,ASTBase!F:P,11,FALSE)))</f>
        <v>#N/A</v>
      </c>
      <c r="C458" s="140" t="str">
        <f>IF(IFERROR(_xlfn.IFNA(VLOOKUP($A458,'HR Rep'!$A:$X,MATCH('1) For HR (FIX)'!C$1,'HR Rep'!$A$1:$X$1,0),0),""),"")="","",IFERROR(_xlfn.IFNA(VLOOKUP($A458,'HR Rep'!$A:$X,MATCH('1) For HR (FIX)'!C$1,'HR Rep'!$A$1:$X$1,0),0),""),""))</f>
        <v/>
      </c>
      <c r="D458" s="140" t="str">
        <f>IF(IFERROR(_xlfn.IFNA(VLOOKUP($A458,'HR Rep'!$A:$X,MATCH('1) For HR (FIX)'!D$1,'HR Rep'!$A$1:$X$1,0),0),""),"")="","",IFERROR(_xlfn.IFNA(VLOOKUP($A458,'HR Rep'!$A:$X,MATCH('1) For HR (FIX)'!D$1,'HR Rep'!$A$1:$X$1,0),0),""),""))</f>
        <v/>
      </c>
      <c r="E458" s="140" t="str">
        <f>IF(IFERROR(_xlfn.IFNA(VLOOKUP($A458,'HR Rep'!$A:$X,MATCH('1) For HR (FIX)'!E$1,'HR Rep'!$A$1:$X$1,0),0),""),"")="","",IFERROR(_xlfn.IFNA(VLOOKUP($A458,'HR Rep'!$A:$X,MATCH('1) For HR (FIX)'!E$1,'HR Rep'!$A$1:$X$1,0),0),""),""))</f>
        <v/>
      </c>
      <c r="F458" s="140" t="str">
        <f>IF(IFERROR(_xlfn.IFNA(VLOOKUP($A458,'HR Rep'!$A:$X,MATCH('1) For HR (FIX)'!F$1,'HR Rep'!$A$1:$X$1,0),0),""),"")="","",IFERROR(_xlfn.IFNA(VLOOKUP($A458,'HR Rep'!$A:$X,MATCH('1) For HR (FIX)'!F$1,'HR Rep'!$A$1:$X$1,0),0),""),""))</f>
        <v/>
      </c>
      <c r="G458" s="196"/>
      <c r="H458" s="140" t="str">
        <f>IF(IFERROR(_xlfn.IFNA(VLOOKUP($A458,'HR Rep'!$A:$X,MATCH('1) For HR (FIX)'!H$1,'HR Rep'!$A$1:$X$1,0),0),""),"")="","",IFERROR(_xlfn.IFNA(VLOOKUP($A458,'HR Rep'!$A:$X,MATCH('1) For HR (FIX)'!H$1,'HR Rep'!$A$1:$X$1,0),0),""),""))</f>
        <v/>
      </c>
      <c r="I458" s="140" t="str">
        <f>IF(IFERROR(_xlfn.IFNA(VLOOKUP($A458,'HR Rep'!$A:$X,MATCH('1) For HR (FIX)'!I$1,'HR Rep'!$A$1:$X$1,0),0),""),"")="","",IFERROR(_xlfn.IFNA(VLOOKUP($A458,'HR Rep'!$A:$X,MATCH('1) For HR (FIX)'!I$1,'HR Rep'!$A$1:$X$1,0),0),""),""))</f>
        <v/>
      </c>
      <c r="J458" s="140" t="str">
        <f>IF(IFERROR(_xlfn.IFNA(VLOOKUP($A458,'HR Rep'!$A:$X,MATCH('1) For HR (FIX)'!J$1,'HR Rep'!$A$1:$X$1,0),0),""),"")="","",IFERROR(_xlfn.IFNA(VLOOKUP($A458,'HR Rep'!$A:$X,MATCH('1) For HR (FIX)'!J$1,'HR Rep'!$A$1:$X$1,0),0),""),""))</f>
        <v/>
      </c>
      <c r="K458" s="161">
        <f>_xlfn.XLOOKUP(G458,ค่าตอบแทนการขายในอัตราคงที่!A:A,ค่าตอบแทนการขายในอัตราคงที่!B:B)</f>
        <v>0</v>
      </c>
      <c r="L458" s="174">
        <f>Period!$A$2</f>
        <v>46113</v>
      </c>
      <c r="M458" s="175">
        <f>Period!$C$2</f>
        <v>46143</v>
      </c>
      <c r="N458" s="194" t="s">
        <v>279</v>
      </c>
    </row>
    <row r="459" spans="1:14" ht="11.4" x14ac:dyDescent="0.25">
      <c r="A459" s="137"/>
      <c r="B459" s="169" t="e">
        <f>IF(IF(VLOOKUP(A459,ASTBase!F:P,11,FALSE)="","",VLOOKUP(A459,ASTBase!F:P,11,FALSE))=0,"",IF(VLOOKUP(A459,ASTBase!F:P,11,FALSE)="","",VLOOKUP(A459,ASTBase!F:P,11,FALSE)))</f>
        <v>#N/A</v>
      </c>
      <c r="C459" s="140" t="str">
        <f>IF(IFERROR(_xlfn.IFNA(VLOOKUP($A459,'HR Rep'!$A:$X,MATCH('1) For HR (FIX)'!C$1,'HR Rep'!$A$1:$X$1,0),0),""),"")="","",IFERROR(_xlfn.IFNA(VLOOKUP($A459,'HR Rep'!$A:$X,MATCH('1) For HR (FIX)'!C$1,'HR Rep'!$A$1:$X$1,0),0),""),""))</f>
        <v/>
      </c>
      <c r="D459" s="140" t="str">
        <f>IF(IFERROR(_xlfn.IFNA(VLOOKUP($A459,'HR Rep'!$A:$X,MATCH('1) For HR (FIX)'!D$1,'HR Rep'!$A$1:$X$1,0),0),""),"")="","",IFERROR(_xlfn.IFNA(VLOOKUP($A459,'HR Rep'!$A:$X,MATCH('1) For HR (FIX)'!D$1,'HR Rep'!$A$1:$X$1,0),0),""),""))</f>
        <v/>
      </c>
      <c r="E459" s="140" t="str">
        <f>IF(IFERROR(_xlfn.IFNA(VLOOKUP($A459,'HR Rep'!$A:$X,MATCH('1) For HR (FIX)'!E$1,'HR Rep'!$A$1:$X$1,0),0),""),"")="","",IFERROR(_xlfn.IFNA(VLOOKUP($A459,'HR Rep'!$A:$X,MATCH('1) For HR (FIX)'!E$1,'HR Rep'!$A$1:$X$1,0),0),""),""))</f>
        <v/>
      </c>
      <c r="F459" s="140" t="str">
        <f>IF(IFERROR(_xlfn.IFNA(VLOOKUP($A459,'HR Rep'!$A:$X,MATCH('1) For HR (FIX)'!F$1,'HR Rep'!$A$1:$X$1,0),0),""),"")="","",IFERROR(_xlfn.IFNA(VLOOKUP($A459,'HR Rep'!$A:$X,MATCH('1) For HR (FIX)'!F$1,'HR Rep'!$A$1:$X$1,0),0),""),""))</f>
        <v/>
      </c>
      <c r="G459" s="196"/>
      <c r="H459" s="140" t="str">
        <f>IF(IFERROR(_xlfn.IFNA(VLOOKUP($A459,'HR Rep'!$A:$X,MATCH('1) For HR (FIX)'!H$1,'HR Rep'!$A$1:$X$1,0),0),""),"")="","",IFERROR(_xlfn.IFNA(VLOOKUP($A459,'HR Rep'!$A:$X,MATCH('1) For HR (FIX)'!H$1,'HR Rep'!$A$1:$X$1,0),0),""),""))</f>
        <v/>
      </c>
      <c r="I459" s="140" t="str">
        <f>IF(IFERROR(_xlfn.IFNA(VLOOKUP($A459,'HR Rep'!$A:$X,MATCH('1) For HR (FIX)'!I$1,'HR Rep'!$A$1:$X$1,0),0),""),"")="","",IFERROR(_xlfn.IFNA(VLOOKUP($A459,'HR Rep'!$A:$X,MATCH('1) For HR (FIX)'!I$1,'HR Rep'!$A$1:$X$1,0),0),""),""))</f>
        <v/>
      </c>
      <c r="J459" s="140" t="str">
        <f>IF(IFERROR(_xlfn.IFNA(VLOOKUP($A459,'HR Rep'!$A:$X,MATCH('1) For HR (FIX)'!J$1,'HR Rep'!$A$1:$X$1,0),0),""),"")="","",IFERROR(_xlfn.IFNA(VLOOKUP($A459,'HR Rep'!$A:$X,MATCH('1) For HR (FIX)'!J$1,'HR Rep'!$A$1:$X$1,0),0),""),""))</f>
        <v/>
      </c>
      <c r="K459" s="161">
        <f>_xlfn.XLOOKUP(G459,ค่าตอบแทนการขายในอัตราคงที่!A:A,ค่าตอบแทนการขายในอัตราคงที่!B:B)</f>
        <v>0</v>
      </c>
      <c r="L459" s="174">
        <f>Period!$A$2</f>
        <v>46113</v>
      </c>
      <c r="M459" s="175">
        <f>Period!$C$2</f>
        <v>46143</v>
      </c>
      <c r="N459" s="194" t="s">
        <v>279</v>
      </c>
    </row>
    <row r="460" spans="1:14" ht="11.4" x14ac:dyDescent="0.25">
      <c r="A460" s="137"/>
      <c r="B460" s="169" t="e">
        <f>IF(IF(VLOOKUP(A460,ASTBase!F:P,11,FALSE)="","",VLOOKUP(A460,ASTBase!F:P,11,FALSE))=0,"",IF(VLOOKUP(A460,ASTBase!F:P,11,FALSE)="","",VLOOKUP(A460,ASTBase!F:P,11,FALSE)))</f>
        <v>#N/A</v>
      </c>
      <c r="C460" s="140" t="str">
        <f>IF(IFERROR(_xlfn.IFNA(VLOOKUP($A460,'HR Rep'!$A:$X,MATCH('1) For HR (FIX)'!C$1,'HR Rep'!$A$1:$X$1,0),0),""),"")="","",IFERROR(_xlfn.IFNA(VLOOKUP($A460,'HR Rep'!$A:$X,MATCH('1) For HR (FIX)'!C$1,'HR Rep'!$A$1:$X$1,0),0),""),""))</f>
        <v/>
      </c>
      <c r="D460" s="140" t="str">
        <f>IF(IFERROR(_xlfn.IFNA(VLOOKUP($A460,'HR Rep'!$A:$X,MATCH('1) For HR (FIX)'!D$1,'HR Rep'!$A$1:$X$1,0),0),""),"")="","",IFERROR(_xlfn.IFNA(VLOOKUP($A460,'HR Rep'!$A:$X,MATCH('1) For HR (FIX)'!D$1,'HR Rep'!$A$1:$X$1,0),0),""),""))</f>
        <v/>
      </c>
      <c r="E460" s="140" t="str">
        <f>IF(IFERROR(_xlfn.IFNA(VLOOKUP($A460,'HR Rep'!$A:$X,MATCH('1) For HR (FIX)'!E$1,'HR Rep'!$A$1:$X$1,0),0),""),"")="","",IFERROR(_xlfn.IFNA(VLOOKUP($A460,'HR Rep'!$A:$X,MATCH('1) For HR (FIX)'!E$1,'HR Rep'!$A$1:$X$1,0),0),""),""))</f>
        <v/>
      </c>
      <c r="F460" s="140" t="str">
        <f>IF(IFERROR(_xlfn.IFNA(VLOOKUP($A460,'HR Rep'!$A:$X,MATCH('1) For HR (FIX)'!F$1,'HR Rep'!$A$1:$X$1,0),0),""),"")="","",IFERROR(_xlfn.IFNA(VLOOKUP($A460,'HR Rep'!$A:$X,MATCH('1) For HR (FIX)'!F$1,'HR Rep'!$A$1:$X$1,0),0),""),""))</f>
        <v/>
      </c>
      <c r="G460" s="196"/>
      <c r="H460" s="140" t="str">
        <f>IF(IFERROR(_xlfn.IFNA(VLOOKUP($A460,'HR Rep'!$A:$X,MATCH('1) For HR (FIX)'!H$1,'HR Rep'!$A$1:$X$1,0),0),""),"")="","",IFERROR(_xlfn.IFNA(VLOOKUP($A460,'HR Rep'!$A:$X,MATCH('1) For HR (FIX)'!H$1,'HR Rep'!$A$1:$X$1,0),0),""),""))</f>
        <v/>
      </c>
      <c r="I460" s="140" t="str">
        <f>IF(IFERROR(_xlfn.IFNA(VLOOKUP($A460,'HR Rep'!$A:$X,MATCH('1) For HR (FIX)'!I$1,'HR Rep'!$A$1:$X$1,0),0),""),"")="","",IFERROR(_xlfn.IFNA(VLOOKUP($A460,'HR Rep'!$A:$X,MATCH('1) For HR (FIX)'!I$1,'HR Rep'!$A$1:$X$1,0),0),""),""))</f>
        <v/>
      </c>
      <c r="J460" s="140" t="str">
        <f>IF(IFERROR(_xlfn.IFNA(VLOOKUP($A460,'HR Rep'!$A:$X,MATCH('1) For HR (FIX)'!J$1,'HR Rep'!$A$1:$X$1,0),0),""),"")="","",IFERROR(_xlfn.IFNA(VLOOKUP($A460,'HR Rep'!$A:$X,MATCH('1) For HR (FIX)'!J$1,'HR Rep'!$A$1:$X$1,0),0),""),""))</f>
        <v/>
      </c>
      <c r="K460" s="161">
        <f>_xlfn.XLOOKUP(G460,ค่าตอบแทนการขายในอัตราคงที่!A:A,ค่าตอบแทนการขายในอัตราคงที่!B:B)</f>
        <v>0</v>
      </c>
      <c r="L460" s="174">
        <f>Period!$A$2</f>
        <v>46113</v>
      </c>
      <c r="M460" s="175">
        <f>Period!$C$2</f>
        <v>46143</v>
      </c>
      <c r="N460" s="194" t="s">
        <v>279</v>
      </c>
    </row>
    <row r="461" spans="1:14" ht="11.4" x14ac:dyDescent="0.25">
      <c r="A461" s="137"/>
      <c r="B461" s="169" t="e">
        <f>IF(IF(VLOOKUP(A461,ASTBase!F:P,11,FALSE)="","",VLOOKUP(A461,ASTBase!F:P,11,FALSE))=0,"",IF(VLOOKUP(A461,ASTBase!F:P,11,FALSE)="","",VLOOKUP(A461,ASTBase!F:P,11,FALSE)))</f>
        <v>#N/A</v>
      </c>
      <c r="C461" s="140" t="str">
        <f>IF(IFERROR(_xlfn.IFNA(VLOOKUP($A461,'HR Rep'!$A:$X,MATCH('1) For HR (FIX)'!C$1,'HR Rep'!$A$1:$X$1,0),0),""),"")="","",IFERROR(_xlfn.IFNA(VLOOKUP($A461,'HR Rep'!$A:$X,MATCH('1) For HR (FIX)'!C$1,'HR Rep'!$A$1:$X$1,0),0),""),""))</f>
        <v/>
      </c>
      <c r="D461" s="140" t="str">
        <f>IF(IFERROR(_xlfn.IFNA(VLOOKUP($A461,'HR Rep'!$A:$X,MATCH('1) For HR (FIX)'!D$1,'HR Rep'!$A$1:$X$1,0),0),""),"")="","",IFERROR(_xlfn.IFNA(VLOOKUP($A461,'HR Rep'!$A:$X,MATCH('1) For HR (FIX)'!D$1,'HR Rep'!$A$1:$X$1,0),0),""),""))</f>
        <v/>
      </c>
      <c r="E461" s="140" t="str">
        <f>IF(IFERROR(_xlfn.IFNA(VLOOKUP($A461,'HR Rep'!$A:$X,MATCH('1) For HR (FIX)'!E$1,'HR Rep'!$A$1:$X$1,0),0),""),"")="","",IFERROR(_xlfn.IFNA(VLOOKUP($A461,'HR Rep'!$A:$X,MATCH('1) For HR (FIX)'!E$1,'HR Rep'!$A$1:$X$1,0),0),""),""))</f>
        <v/>
      </c>
      <c r="F461" s="140" t="str">
        <f>IF(IFERROR(_xlfn.IFNA(VLOOKUP($A461,'HR Rep'!$A:$X,MATCH('1) For HR (FIX)'!F$1,'HR Rep'!$A$1:$X$1,0),0),""),"")="","",IFERROR(_xlfn.IFNA(VLOOKUP($A461,'HR Rep'!$A:$X,MATCH('1) For HR (FIX)'!F$1,'HR Rep'!$A$1:$X$1,0),0),""),""))</f>
        <v/>
      </c>
      <c r="G461" s="196"/>
      <c r="H461" s="140" t="str">
        <f>IF(IFERROR(_xlfn.IFNA(VLOOKUP($A461,'HR Rep'!$A:$X,MATCH('1) For HR (FIX)'!H$1,'HR Rep'!$A$1:$X$1,0),0),""),"")="","",IFERROR(_xlfn.IFNA(VLOOKUP($A461,'HR Rep'!$A:$X,MATCH('1) For HR (FIX)'!H$1,'HR Rep'!$A$1:$X$1,0),0),""),""))</f>
        <v/>
      </c>
      <c r="I461" s="140" t="str">
        <f>IF(IFERROR(_xlfn.IFNA(VLOOKUP($A461,'HR Rep'!$A:$X,MATCH('1) For HR (FIX)'!I$1,'HR Rep'!$A$1:$X$1,0),0),""),"")="","",IFERROR(_xlfn.IFNA(VLOOKUP($A461,'HR Rep'!$A:$X,MATCH('1) For HR (FIX)'!I$1,'HR Rep'!$A$1:$X$1,0),0),""),""))</f>
        <v/>
      </c>
      <c r="J461" s="140" t="str">
        <f>IF(IFERROR(_xlfn.IFNA(VLOOKUP($A461,'HR Rep'!$A:$X,MATCH('1) For HR (FIX)'!J$1,'HR Rep'!$A$1:$X$1,0),0),""),"")="","",IFERROR(_xlfn.IFNA(VLOOKUP($A461,'HR Rep'!$A:$X,MATCH('1) For HR (FIX)'!J$1,'HR Rep'!$A$1:$X$1,0),0),""),""))</f>
        <v/>
      </c>
      <c r="K461" s="161">
        <f>_xlfn.XLOOKUP(G461,ค่าตอบแทนการขายในอัตราคงที่!A:A,ค่าตอบแทนการขายในอัตราคงที่!B:B)</f>
        <v>0</v>
      </c>
      <c r="L461" s="174">
        <f>Period!$A$2</f>
        <v>46113</v>
      </c>
      <c r="M461" s="175">
        <f>Period!$C$2</f>
        <v>46143</v>
      </c>
      <c r="N461" s="194" t="s">
        <v>279</v>
      </c>
    </row>
    <row r="462" spans="1:14" ht="11.4" x14ac:dyDescent="0.25">
      <c r="A462" s="137"/>
      <c r="B462" s="169" t="e">
        <f>IF(IF(VLOOKUP(A462,ASTBase!F:P,11,FALSE)="","",VLOOKUP(A462,ASTBase!F:P,11,FALSE))=0,"",IF(VLOOKUP(A462,ASTBase!F:P,11,FALSE)="","",VLOOKUP(A462,ASTBase!F:P,11,FALSE)))</f>
        <v>#N/A</v>
      </c>
      <c r="C462" s="140" t="str">
        <f>IF(IFERROR(_xlfn.IFNA(VLOOKUP($A462,'HR Rep'!$A:$X,MATCH('1) For HR (FIX)'!C$1,'HR Rep'!$A$1:$X$1,0),0),""),"")="","",IFERROR(_xlfn.IFNA(VLOOKUP($A462,'HR Rep'!$A:$X,MATCH('1) For HR (FIX)'!C$1,'HR Rep'!$A$1:$X$1,0),0),""),""))</f>
        <v/>
      </c>
      <c r="D462" s="140" t="str">
        <f>IF(IFERROR(_xlfn.IFNA(VLOOKUP($A462,'HR Rep'!$A:$X,MATCH('1) For HR (FIX)'!D$1,'HR Rep'!$A$1:$X$1,0),0),""),"")="","",IFERROR(_xlfn.IFNA(VLOOKUP($A462,'HR Rep'!$A:$X,MATCH('1) For HR (FIX)'!D$1,'HR Rep'!$A$1:$X$1,0),0),""),""))</f>
        <v/>
      </c>
      <c r="E462" s="140" t="str">
        <f>IF(IFERROR(_xlfn.IFNA(VLOOKUP($A462,'HR Rep'!$A:$X,MATCH('1) For HR (FIX)'!E$1,'HR Rep'!$A$1:$X$1,0),0),""),"")="","",IFERROR(_xlfn.IFNA(VLOOKUP($A462,'HR Rep'!$A:$X,MATCH('1) For HR (FIX)'!E$1,'HR Rep'!$A$1:$X$1,0),0),""),""))</f>
        <v/>
      </c>
      <c r="F462" s="140" t="str">
        <f>IF(IFERROR(_xlfn.IFNA(VLOOKUP($A462,'HR Rep'!$A:$X,MATCH('1) For HR (FIX)'!F$1,'HR Rep'!$A$1:$X$1,0),0),""),"")="","",IFERROR(_xlfn.IFNA(VLOOKUP($A462,'HR Rep'!$A:$X,MATCH('1) For HR (FIX)'!F$1,'HR Rep'!$A$1:$X$1,0),0),""),""))</f>
        <v/>
      </c>
      <c r="G462" s="196"/>
      <c r="H462" s="140" t="str">
        <f>IF(IFERROR(_xlfn.IFNA(VLOOKUP($A462,'HR Rep'!$A:$X,MATCH('1) For HR (FIX)'!H$1,'HR Rep'!$A$1:$X$1,0),0),""),"")="","",IFERROR(_xlfn.IFNA(VLOOKUP($A462,'HR Rep'!$A:$X,MATCH('1) For HR (FIX)'!H$1,'HR Rep'!$A$1:$X$1,0),0),""),""))</f>
        <v/>
      </c>
      <c r="I462" s="140" t="str">
        <f>IF(IFERROR(_xlfn.IFNA(VLOOKUP($A462,'HR Rep'!$A:$X,MATCH('1) For HR (FIX)'!I$1,'HR Rep'!$A$1:$X$1,0),0),""),"")="","",IFERROR(_xlfn.IFNA(VLOOKUP($A462,'HR Rep'!$A:$X,MATCH('1) For HR (FIX)'!I$1,'HR Rep'!$A$1:$X$1,0),0),""),""))</f>
        <v/>
      </c>
      <c r="J462" s="140" t="str">
        <f>IF(IFERROR(_xlfn.IFNA(VLOOKUP($A462,'HR Rep'!$A:$X,MATCH('1) For HR (FIX)'!J$1,'HR Rep'!$A$1:$X$1,0),0),""),"")="","",IFERROR(_xlfn.IFNA(VLOOKUP($A462,'HR Rep'!$A:$X,MATCH('1) For HR (FIX)'!J$1,'HR Rep'!$A$1:$X$1,0),0),""),""))</f>
        <v/>
      </c>
      <c r="K462" s="161">
        <f>_xlfn.XLOOKUP(G462,ค่าตอบแทนการขายในอัตราคงที่!A:A,ค่าตอบแทนการขายในอัตราคงที่!B:B)</f>
        <v>0</v>
      </c>
      <c r="L462" s="174">
        <f>Period!$A$2</f>
        <v>46113</v>
      </c>
      <c r="M462" s="175">
        <f>Period!$C$2</f>
        <v>46143</v>
      </c>
      <c r="N462" s="194" t="s">
        <v>279</v>
      </c>
    </row>
    <row r="463" spans="1:14" ht="11.4" x14ac:dyDescent="0.25">
      <c r="A463" s="137"/>
      <c r="B463" s="169" t="e">
        <f>IF(IF(VLOOKUP(A463,ASTBase!F:P,11,FALSE)="","",VLOOKUP(A463,ASTBase!F:P,11,FALSE))=0,"",IF(VLOOKUP(A463,ASTBase!F:P,11,FALSE)="","",VLOOKUP(A463,ASTBase!F:P,11,FALSE)))</f>
        <v>#N/A</v>
      </c>
      <c r="C463" s="140" t="str">
        <f>IF(IFERROR(_xlfn.IFNA(VLOOKUP($A463,'HR Rep'!$A:$X,MATCH('1) For HR (FIX)'!C$1,'HR Rep'!$A$1:$X$1,0),0),""),"")="","",IFERROR(_xlfn.IFNA(VLOOKUP($A463,'HR Rep'!$A:$X,MATCH('1) For HR (FIX)'!C$1,'HR Rep'!$A$1:$X$1,0),0),""),""))</f>
        <v/>
      </c>
      <c r="D463" s="140" t="str">
        <f>IF(IFERROR(_xlfn.IFNA(VLOOKUP($A463,'HR Rep'!$A:$X,MATCH('1) For HR (FIX)'!D$1,'HR Rep'!$A$1:$X$1,0),0),""),"")="","",IFERROR(_xlfn.IFNA(VLOOKUP($A463,'HR Rep'!$A:$X,MATCH('1) For HR (FIX)'!D$1,'HR Rep'!$A$1:$X$1,0),0),""),""))</f>
        <v/>
      </c>
      <c r="E463" s="140" t="str">
        <f>IF(IFERROR(_xlfn.IFNA(VLOOKUP($A463,'HR Rep'!$A:$X,MATCH('1) For HR (FIX)'!E$1,'HR Rep'!$A$1:$X$1,0),0),""),"")="","",IFERROR(_xlfn.IFNA(VLOOKUP($A463,'HR Rep'!$A:$X,MATCH('1) For HR (FIX)'!E$1,'HR Rep'!$A$1:$X$1,0),0),""),""))</f>
        <v/>
      </c>
      <c r="F463" s="140" t="str">
        <f>IF(IFERROR(_xlfn.IFNA(VLOOKUP($A463,'HR Rep'!$A:$X,MATCH('1) For HR (FIX)'!F$1,'HR Rep'!$A$1:$X$1,0),0),""),"")="","",IFERROR(_xlfn.IFNA(VLOOKUP($A463,'HR Rep'!$A:$X,MATCH('1) For HR (FIX)'!F$1,'HR Rep'!$A$1:$X$1,0),0),""),""))</f>
        <v/>
      </c>
      <c r="G463" s="196"/>
      <c r="H463" s="140" t="str">
        <f>IF(IFERROR(_xlfn.IFNA(VLOOKUP($A463,'HR Rep'!$A:$X,MATCH('1) For HR (FIX)'!H$1,'HR Rep'!$A$1:$X$1,0),0),""),"")="","",IFERROR(_xlfn.IFNA(VLOOKUP($A463,'HR Rep'!$A:$X,MATCH('1) For HR (FIX)'!H$1,'HR Rep'!$A$1:$X$1,0),0),""),""))</f>
        <v/>
      </c>
      <c r="I463" s="140" t="str">
        <f>IF(IFERROR(_xlfn.IFNA(VLOOKUP($A463,'HR Rep'!$A:$X,MATCH('1) For HR (FIX)'!I$1,'HR Rep'!$A$1:$X$1,0),0),""),"")="","",IFERROR(_xlfn.IFNA(VLOOKUP($A463,'HR Rep'!$A:$X,MATCH('1) For HR (FIX)'!I$1,'HR Rep'!$A$1:$X$1,0),0),""),""))</f>
        <v/>
      </c>
      <c r="J463" s="140" t="str">
        <f>IF(IFERROR(_xlfn.IFNA(VLOOKUP($A463,'HR Rep'!$A:$X,MATCH('1) For HR (FIX)'!J$1,'HR Rep'!$A$1:$X$1,0),0),""),"")="","",IFERROR(_xlfn.IFNA(VLOOKUP($A463,'HR Rep'!$A:$X,MATCH('1) For HR (FIX)'!J$1,'HR Rep'!$A$1:$X$1,0),0),""),""))</f>
        <v/>
      </c>
      <c r="K463" s="161">
        <f>_xlfn.XLOOKUP(G463,ค่าตอบแทนการขายในอัตราคงที่!A:A,ค่าตอบแทนการขายในอัตราคงที่!B:B)</f>
        <v>0</v>
      </c>
      <c r="L463" s="174">
        <f>Period!$A$2</f>
        <v>46113</v>
      </c>
      <c r="M463" s="175">
        <f>Period!$C$2</f>
        <v>46143</v>
      </c>
      <c r="N463" s="194" t="s">
        <v>279</v>
      </c>
    </row>
    <row r="464" spans="1:14" ht="11.4" x14ac:dyDescent="0.25">
      <c r="A464" s="137"/>
      <c r="B464" s="169" t="e">
        <f>IF(IF(VLOOKUP(A464,ASTBase!F:P,11,FALSE)="","",VLOOKUP(A464,ASTBase!F:P,11,FALSE))=0,"",IF(VLOOKUP(A464,ASTBase!F:P,11,FALSE)="","",VLOOKUP(A464,ASTBase!F:P,11,FALSE)))</f>
        <v>#N/A</v>
      </c>
      <c r="C464" s="140" t="str">
        <f>IF(IFERROR(_xlfn.IFNA(VLOOKUP($A464,'HR Rep'!$A:$X,MATCH('1) For HR (FIX)'!C$1,'HR Rep'!$A$1:$X$1,0),0),""),"")="","",IFERROR(_xlfn.IFNA(VLOOKUP($A464,'HR Rep'!$A:$X,MATCH('1) For HR (FIX)'!C$1,'HR Rep'!$A$1:$X$1,0),0),""),""))</f>
        <v/>
      </c>
      <c r="D464" s="140" t="str">
        <f>IF(IFERROR(_xlfn.IFNA(VLOOKUP($A464,'HR Rep'!$A:$X,MATCH('1) For HR (FIX)'!D$1,'HR Rep'!$A$1:$X$1,0),0),""),"")="","",IFERROR(_xlfn.IFNA(VLOOKUP($A464,'HR Rep'!$A:$X,MATCH('1) For HR (FIX)'!D$1,'HR Rep'!$A$1:$X$1,0),0),""),""))</f>
        <v/>
      </c>
      <c r="E464" s="140" t="str">
        <f>IF(IFERROR(_xlfn.IFNA(VLOOKUP($A464,'HR Rep'!$A:$X,MATCH('1) For HR (FIX)'!E$1,'HR Rep'!$A$1:$X$1,0),0),""),"")="","",IFERROR(_xlfn.IFNA(VLOOKUP($A464,'HR Rep'!$A:$X,MATCH('1) For HR (FIX)'!E$1,'HR Rep'!$A$1:$X$1,0),0),""),""))</f>
        <v/>
      </c>
      <c r="F464" s="140" t="str">
        <f>IF(IFERROR(_xlfn.IFNA(VLOOKUP($A464,'HR Rep'!$A:$X,MATCH('1) For HR (FIX)'!F$1,'HR Rep'!$A$1:$X$1,0),0),""),"")="","",IFERROR(_xlfn.IFNA(VLOOKUP($A464,'HR Rep'!$A:$X,MATCH('1) For HR (FIX)'!F$1,'HR Rep'!$A$1:$X$1,0),0),""),""))</f>
        <v/>
      </c>
      <c r="G464" s="196"/>
      <c r="H464" s="140" t="str">
        <f>IF(IFERROR(_xlfn.IFNA(VLOOKUP($A464,'HR Rep'!$A:$X,MATCH('1) For HR (FIX)'!H$1,'HR Rep'!$A$1:$X$1,0),0),""),"")="","",IFERROR(_xlfn.IFNA(VLOOKUP($A464,'HR Rep'!$A:$X,MATCH('1) For HR (FIX)'!H$1,'HR Rep'!$A$1:$X$1,0),0),""),""))</f>
        <v/>
      </c>
      <c r="I464" s="140" t="str">
        <f>IF(IFERROR(_xlfn.IFNA(VLOOKUP($A464,'HR Rep'!$A:$X,MATCH('1) For HR (FIX)'!I$1,'HR Rep'!$A$1:$X$1,0),0),""),"")="","",IFERROR(_xlfn.IFNA(VLOOKUP($A464,'HR Rep'!$A:$X,MATCH('1) For HR (FIX)'!I$1,'HR Rep'!$A$1:$X$1,0),0),""),""))</f>
        <v/>
      </c>
      <c r="J464" s="140" t="str">
        <f>IF(IFERROR(_xlfn.IFNA(VLOOKUP($A464,'HR Rep'!$A:$X,MATCH('1) For HR (FIX)'!J$1,'HR Rep'!$A$1:$X$1,0),0),""),"")="","",IFERROR(_xlfn.IFNA(VLOOKUP($A464,'HR Rep'!$A:$X,MATCH('1) For HR (FIX)'!J$1,'HR Rep'!$A$1:$X$1,0),0),""),""))</f>
        <v/>
      </c>
      <c r="K464" s="161">
        <f>_xlfn.XLOOKUP(G464,ค่าตอบแทนการขายในอัตราคงที่!A:A,ค่าตอบแทนการขายในอัตราคงที่!B:B)</f>
        <v>0</v>
      </c>
      <c r="L464" s="174">
        <f>Period!$A$2</f>
        <v>46113</v>
      </c>
      <c r="M464" s="175">
        <f>Period!$C$2</f>
        <v>46143</v>
      </c>
      <c r="N464" s="194" t="s">
        <v>279</v>
      </c>
    </row>
    <row r="465" spans="1:14" ht="11.4" x14ac:dyDescent="0.25">
      <c r="A465" s="137"/>
      <c r="B465" s="169" t="e">
        <f>IF(IF(VLOOKUP(A465,ASTBase!F:P,11,FALSE)="","",VLOOKUP(A465,ASTBase!F:P,11,FALSE))=0,"",IF(VLOOKUP(A465,ASTBase!F:P,11,FALSE)="","",VLOOKUP(A465,ASTBase!F:P,11,FALSE)))</f>
        <v>#N/A</v>
      </c>
      <c r="C465" s="140" t="str">
        <f>IF(IFERROR(_xlfn.IFNA(VLOOKUP($A465,'HR Rep'!$A:$X,MATCH('1) For HR (FIX)'!C$1,'HR Rep'!$A$1:$X$1,0),0),""),"")="","",IFERROR(_xlfn.IFNA(VLOOKUP($A465,'HR Rep'!$A:$X,MATCH('1) For HR (FIX)'!C$1,'HR Rep'!$A$1:$X$1,0),0),""),""))</f>
        <v/>
      </c>
      <c r="D465" s="140" t="str">
        <f>IF(IFERROR(_xlfn.IFNA(VLOOKUP($A465,'HR Rep'!$A:$X,MATCH('1) For HR (FIX)'!D$1,'HR Rep'!$A$1:$X$1,0),0),""),"")="","",IFERROR(_xlfn.IFNA(VLOOKUP($A465,'HR Rep'!$A:$X,MATCH('1) For HR (FIX)'!D$1,'HR Rep'!$A$1:$X$1,0),0),""),""))</f>
        <v/>
      </c>
      <c r="E465" s="140" t="str">
        <f>IF(IFERROR(_xlfn.IFNA(VLOOKUP($A465,'HR Rep'!$A:$X,MATCH('1) For HR (FIX)'!E$1,'HR Rep'!$A$1:$X$1,0),0),""),"")="","",IFERROR(_xlfn.IFNA(VLOOKUP($A465,'HR Rep'!$A:$X,MATCH('1) For HR (FIX)'!E$1,'HR Rep'!$A$1:$X$1,0),0),""),""))</f>
        <v/>
      </c>
      <c r="F465" s="140" t="str">
        <f>IF(IFERROR(_xlfn.IFNA(VLOOKUP($A465,'HR Rep'!$A:$X,MATCH('1) For HR (FIX)'!F$1,'HR Rep'!$A$1:$X$1,0),0),""),"")="","",IFERROR(_xlfn.IFNA(VLOOKUP($A465,'HR Rep'!$A:$X,MATCH('1) For HR (FIX)'!F$1,'HR Rep'!$A$1:$X$1,0),0),""),""))</f>
        <v/>
      </c>
      <c r="G465" s="196"/>
      <c r="H465" s="140" t="str">
        <f>IF(IFERROR(_xlfn.IFNA(VLOOKUP($A465,'HR Rep'!$A:$X,MATCH('1) For HR (FIX)'!H$1,'HR Rep'!$A$1:$X$1,0),0),""),"")="","",IFERROR(_xlfn.IFNA(VLOOKUP($A465,'HR Rep'!$A:$X,MATCH('1) For HR (FIX)'!H$1,'HR Rep'!$A$1:$X$1,0),0),""),""))</f>
        <v/>
      </c>
      <c r="I465" s="140" t="str">
        <f>IF(IFERROR(_xlfn.IFNA(VLOOKUP($A465,'HR Rep'!$A:$X,MATCH('1) For HR (FIX)'!I$1,'HR Rep'!$A$1:$X$1,0),0),""),"")="","",IFERROR(_xlfn.IFNA(VLOOKUP($A465,'HR Rep'!$A:$X,MATCH('1) For HR (FIX)'!I$1,'HR Rep'!$A$1:$X$1,0),0),""),""))</f>
        <v/>
      </c>
      <c r="J465" s="140" t="str">
        <f>IF(IFERROR(_xlfn.IFNA(VLOOKUP($A465,'HR Rep'!$A:$X,MATCH('1) For HR (FIX)'!J$1,'HR Rep'!$A$1:$X$1,0),0),""),"")="","",IFERROR(_xlfn.IFNA(VLOOKUP($A465,'HR Rep'!$A:$X,MATCH('1) For HR (FIX)'!J$1,'HR Rep'!$A$1:$X$1,0),0),""),""))</f>
        <v/>
      </c>
      <c r="K465" s="161">
        <f>_xlfn.XLOOKUP(G465,ค่าตอบแทนการขายในอัตราคงที่!A:A,ค่าตอบแทนการขายในอัตราคงที่!B:B)</f>
        <v>0</v>
      </c>
      <c r="L465" s="174">
        <f>Period!$A$2</f>
        <v>46113</v>
      </c>
      <c r="M465" s="175">
        <f>Period!$C$2</f>
        <v>46143</v>
      </c>
      <c r="N465" s="194" t="s">
        <v>279</v>
      </c>
    </row>
    <row r="466" spans="1:14" ht="11.4" x14ac:dyDescent="0.25">
      <c r="A466" s="137"/>
      <c r="B466" s="169" t="e">
        <f>IF(IF(VLOOKUP(A466,ASTBase!F:P,11,FALSE)="","",VLOOKUP(A466,ASTBase!F:P,11,FALSE))=0,"",IF(VLOOKUP(A466,ASTBase!F:P,11,FALSE)="","",VLOOKUP(A466,ASTBase!F:P,11,FALSE)))</f>
        <v>#N/A</v>
      </c>
      <c r="C466" s="140" t="str">
        <f>IF(IFERROR(_xlfn.IFNA(VLOOKUP($A466,'HR Rep'!$A:$X,MATCH('1) For HR (FIX)'!C$1,'HR Rep'!$A$1:$X$1,0),0),""),"")="","",IFERROR(_xlfn.IFNA(VLOOKUP($A466,'HR Rep'!$A:$X,MATCH('1) For HR (FIX)'!C$1,'HR Rep'!$A$1:$X$1,0),0),""),""))</f>
        <v/>
      </c>
      <c r="D466" s="140" t="str">
        <f>IF(IFERROR(_xlfn.IFNA(VLOOKUP($A466,'HR Rep'!$A:$X,MATCH('1) For HR (FIX)'!D$1,'HR Rep'!$A$1:$X$1,0),0),""),"")="","",IFERROR(_xlfn.IFNA(VLOOKUP($A466,'HR Rep'!$A:$X,MATCH('1) For HR (FIX)'!D$1,'HR Rep'!$A$1:$X$1,0),0),""),""))</f>
        <v/>
      </c>
      <c r="E466" s="140" t="str">
        <f>IF(IFERROR(_xlfn.IFNA(VLOOKUP($A466,'HR Rep'!$A:$X,MATCH('1) For HR (FIX)'!E$1,'HR Rep'!$A$1:$X$1,0),0),""),"")="","",IFERROR(_xlfn.IFNA(VLOOKUP($A466,'HR Rep'!$A:$X,MATCH('1) For HR (FIX)'!E$1,'HR Rep'!$A$1:$X$1,0),0),""),""))</f>
        <v/>
      </c>
      <c r="F466" s="140" t="str">
        <f>IF(IFERROR(_xlfn.IFNA(VLOOKUP($A466,'HR Rep'!$A:$X,MATCH('1) For HR (FIX)'!F$1,'HR Rep'!$A$1:$X$1,0),0),""),"")="","",IFERROR(_xlfn.IFNA(VLOOKUP($A466,'HR Rep'!$A:$X,MATCH('1) For HR (FIX)'!F$1,'HR Rep'!$A$1:$X$1,0),0),""),""))</f>
        <v/>
      </c>
      <c r="G466" s="196"/>
      <c r="H466" s="140" t="str">
        <f>IF(IFERROR(_xlfn.IFNA(VLOOKUP($A466,'HR Rep'!$A:$X,MATCH('1) For HR (FIX)'!H$1,'HR Rep'!$A$1:$X$1,0),0),""),"")="","",IFERROR(_xlfn.IFNA(VLOOKUP($A466,'HR Rep'!$A:$X,MATCH('1) For HR (FIX)'!H$1,'HR Rep'!$A$1:$X$1,0),0),""),""))</f>
        <v/>
      </c>
      <c r="I466" s="140" t="str">
        <f>IF(IFERROR(_xlfn.IFNA(VLOOKUP($A466,'HR Rep'!$A:$X,MATCH('1) For HR (FIX)'!I$1,'HR Rep'!$A$1:$X$1,0),0),""),"")="","",IFERROR(_xlfn.IFNA(VLOOKUP($A466,'HR Rep'!$A:$X,MATCH('1) For HR (FIX)'!I$1,'HR Rep'!$A$1:$X$1,0),0),""),""))</f>
        <v/>
      </c>
      <c r="J466" s="140" t="str">
        <f>IF(IFERROR(_xlfn.IFNA(VLOOKUP($A466,'HR Rep'!$A:$X,MATCH('1) For HR (FIX)'!J$1,'HR Rep'!$A$1:$X$1,0),0),""),"")="","",IFERROR(_xlfn.IFNA(VLOOKUP($A466,'HR Rep'!$A:$X,MATCH('1) For HR (FIX)'!J$1,'HR Rep'!$A$1:$X$1,0),0),""),""))</f>
        <v/>
      </c>
      <c r="K466" s="161">
        <f>_xlfn.XLOOKUP(G466,ค่าตอบแทนการขายในอัตราคงที่!A:A,ค่าตอบแทนการขายในอัตราคงที่!B:B)</f>
        <v>0</v>
      </c>
      <c r="L466" s="174">
        <f>Period!$A$2</f>
        <v>46113</v>
      </c>
      <c r="M466" s="175">
        <f>Period!$C$2</f>
        <v>46143</v>
      </c>
      <c r="N466" s="194" t="s">
        <v>279</v>
      </c>
    </row>
    <row r="467" spans="1:14" ht="11.4" x14ac:dyDescent="0.25">
      <c r="A467" s="137"/>
      <c r="B467" s="169" t="e">
        <f>IF(IF(VLOOKUP(A467,ASTBase!F:P,11,FALSE)="","",VLOOKUP(A467,ASTBase!F:P,11,FALSE))=0,"",IF(VLOOKUP(A467,ASTBase!F:P,11,FALSE)="","",VLOOKUP(A467,ASTBase!F:P,11,FALSE)))</f>
        <v>#N/A</v>
      </c>
      <c r="C467" s="140" t="str">
        <f>IF(IFERROR(_xlfn.IFNA(VLOOKUP($A467,'HR Rep'!$A:$X,MATCH('1) For HR (FIX)'!C$1,'HR Rep'!$A$1:$X$1,0),0),""),"")="","",IFERROR(_xlfn.IFNA(VLOOKUP($A467,'HR Rep'!$A:$X,MATCH('1) For HR (FIX)'!C$1,'HR Rep'!$A$1:$X$1,0),0),""),""))</f>
        <v/>
      </c>
      <c r="D467" s="140" t="str">
        <f>IF(IFERROR(_xlfn.IFNA(VLOOKUP($A467,'HR Rep'!$A:$X,MATCH('1) For HR (FIX)'!D$1,'HR Rep'!$A$1:$X$1,0),0),""),"")="","",IFERROR(_xlfn.IFNA(VLOOKUP($A467,'HR Rep'!$A:$X,MATCH('1) For HR (FIX)'!D$1,'HR Rep'!$A$1:$X$1,0),0),""),""))</f>
        <v/>
      </c>
      <c r="E467" s="140" t="str">
        <f>IF(IFERROR(_xlfn.IFNA(VLOOKUP($A467,'HR Rep'!$A:$X,MATCH('1) For HR (FIX)'!E$1,'HR Rep'!$A$1:$X$1,0),0),""),"")="","",IFERROR(_xlfn.IFNA(VLOOKUP($A467,'HR Rep'!$A:$X,MATCH('1) For HR (FIX)'!E$1,'HR Rep'!$A$1:$X$1,0),0),""),""))</f>
        <v/>
      </c>
      <c r="F467" s="140" t="str">
        <f>IF(IFERROR(_xlfn.IFNA(VLOOKUP($A467,'HR Rep'!$A:$X,MATCH('1) For HR (FIX)'!F$1,'HR Rep'!$A$1:$X$1,0),0),""),"")="","",IFERROR(_xlfn.IFNA(VLOOKUP($A467,'HR Rep'!$A:$X,MATCH('1) For HR (FIX)'!F$1,'HR Rep'!$A$1:$X$1,0),0),""),""))</f>
        <v/>
      </c>
      <c r="G467" s="196"/>
      <c r="H467" s="140" t="str">
        <f>IF(IFERROR(_xlfn.IFNA(VLOOKUP($A467,'HR Rep'!$A:$X,MATCH('1) For HR (FIX)'!H$1,'HR Rep'!$A$1:$X$1,0),0),""),"")="","",IFERROR(_xlfn.IFNA(VLOOKUP($A467,'HR Rep'!$A:$X,MATCH('1) For HR (FIX)'!H$1,'HR Rep'!$A$1:$X$1,0),0),""),""))</f>
        <v/>
      </c>
      <c r="I467" s="140" t="str">
        <f>IF(IFERROR(_xlfn.IFNA(VLOOKUP($A467,'HR Rep'!$A:$X,MATCH('1) For HR (FIX)'!I$1,'HR Rep'!$A$1:$X$1,0),0),""),"")="","",IFERROR(_xlfn.IFNA(VLOOKUP($A467,'HR Rep'!$A:$X,MATCH('1) For HR (FIX)'!I$1,'HR Rep'!$A$1:$X$1,0),0),""),""))</f>
        <v/>
      </c>
      <c r="J467" s="140" t="str">
        <f>IF(IFERROR(_xlfn.IFNA(VLOOKUP($A467,'HR Rep'!$A:$X,MATCH('1) For HR (FIX)'!J$1,'HR Rep'!$A$1:$X$1,0),0),""),"")="","",IFERROR(_xlfn.IFNA(VLOOKUP($A467,'HR Rep'!$A:$X,MATCH('1) For HR (FIX)'!J$1,'HR Rep'!$A$1:$X$1,0),0),""),""))</f>
        <v/>
      </c>
      <c r="K467" s="161">
        <f>_xlfn.XLOOKUP(G467,ค่าตอบแทนการขายในอัตราคงที่!A:A,ค่าตอบแทนการขายในอัตราคงที่!B:B)</f>
        <v>0</v>
      </c>
      <c r="L467" s="174">
        <f>Period!$A$2</f>
        <v>46113</v>
      </c>
      <c r="M467" s="175">
        <f>Period!$C$2</f>
        <v>46143</v>
      </c>
      <c r="N467" s="194" t="s">
        <v>279</v>
      </c>
    </row>
    <row r="468" spans="1:14" ht="11.4" x14ac:dyDescent="0.25">
      <c r="A468" s="137"/>
      <c r="B468" s="169" t="e">
        <f>IF(IF(VLOOKUP(A468,ASTBase!F:P,11,FALSE)="","",VLOOKUP(A468,ASTBase!F:P,11,FALSE))=0,"",IF(VLOOKUP(A468,ASTBase!F:P,11,FALSE)="","",VLOOKUP(A468,ASTBase!F:P,11,FALSE)))</f>
        <v>#N/A</v>
      </c>
      <c r="C468" s="140" t="str">
        <f>IF(IFERROR(_xlfn.IFNA(VLOOKUP($A468,'HR Rep'!$A:$X,MATCH('1) For HR (FIX)'!C$1,'HR Rep'!$A$1:$X$1,0),0),""),"")="","",IFERROR(_xlfn.IFNA(VLOOKUP($A468,'HR Rep'!$A:$X,MATCH('1) For HR (FIX)'!C$1,'HR Rep'!$A$1:$X$1,0),0),""),""))</f>
        <v/>
      </c>
      <c r="D468" s="140" t="str">
        <f>IF(IFERROR(_xlfn.IFNA(VLOOKUP($A468,'HR Rep'!$A:$X,MATCH('1) For HR (FIX)'!D$1,'HR Rep'!$A$1:$X$1,0),0),""),"")="","",IFERROR(_xlfn.IFNA(VLOOKUP($A468,'HR Rep'!$A:$X,MATCH('1) For HR (FIX)'!D$1,'HR Rep'!$A$1:$X$1,0),0),""),""))</f>
        <v/>
      </c>
      <c r="E468" s="140" t="str">
        <f>IF(IFERROR(_xlfn.IFNA(VLOOKUP($A468,'HR Rep'!$A:$X,MATCH('1) For HR (FIX)'!E$1,'HR Rep'!$A$1:$X$1,0),0),""),"")="","",IFERROR(_xlfn.IFNA(VLOOKUP($A468,'HR Rep'!$A:$X,MATCH('1) For HR (FIX)'!E$1,'HR Rep'!$A$1:$X$1,0),0),""),""))</f>
        <v/>
      </c>
      <c r="F468" s="140" t="str">
        <f>IF(IFERROR(_xlfn.IFNA(VLOOKUP($A468,'HR Rep'!$A:$X,MATCH('1) For HR (FIX)'!F$1,'HR Rep'!$A$1:$X$1,0),0),""),"")="","",IFERROR(_xlfn.IFNA(VLOOKUP($A468,'HR Rep'!$A:$X,MATCH('1) For HR (FIX)'!F$1,'HR Rep'!$A$1:$X$1,0),0),""),""))</f>
        <v/>
      </c>
      <c r="G468" s="196"/>
      <c r="H468" s="140" t="str">
        <f>IF(IFERROR(_xlfn.IFNA(VLOOKUP($A468,'HR Rep'!$A:$X,MATCH('1) For HR (FIX)'!H$1,'HR Rep'!$A$1:$X$1,0),0),""),"")="","",IFERROR(_xlfn.IFNA(VLOOKUP($A468,'HR Rep'!$A:$X,MATCH('1) For HR (FIX)'!H$1,'HR Rep'!$A$1:$X$1,0),0),""),""))</f>
        <v/>
      </c>
      <c r="I468" s="140" t="str">
        <f>IF(IFERROR(_xlfn.IFNA(VLOOKUP($A468,'HR Rep'!$A:$X,MATCH('1) For HR (FIX)'!I$1,'HR Rep'!$A$1:$X$1,0),0),""),"")="","",IFERROR(_xlfn.IFNA(VLOOKUP($A468,'HR Rep'!$A:$X,MATCH('1) For HR (FIX)'!I$1,'HR Rep'!$A$1:$X$1,0),0),""),""))</f>
        <v/>
      </c>
      <c r="J468" s="140" t="str">
        <f>IF(IFERROR(_xlfn.IFNA(VLOOKUP($A468,'HR Rep'!$A:$X,MATCH('1) For HR (FIX)'!J$1,'HR Rep'!$A$1:$X$1,0),0),""),"")="","",IFERROR(_xlfn.IFNA(VLOOKUP($A468,'HR Rep'!$A:$X,MATCH('1) For HR (FIX)'!J$1,'HR Rep'!$A$1:$X$1,0),0),""),""))</f>
        <v/>
      </c>
      <c r="K468" s="161">
        <f>_xlfn.XLOOKUP(G468,ค่าตอบแทนการขายในอัตราคงที่!A:A,ค่าตอบแทนการขายในอัตราคงที่!B:B)</f>
        <v>0</v>
      </c>
      <c r="L468" s="174">
        <f>Period!$A$2</f>
        <v>46113</v>
      </c>
      <c r="M468" s="175">
        <f>Period!$C$2</f>
        <v>46143</v>
      </c>
      <c r="N468" s="194" t="s">
        <v>279</v>
      </c>
    </row>
    <row r="469" spans="1:14" ht="11.4" x14ac:dyDescent="0.25">
      <c r="A469" s="137"/>
      <c r="B469" s="169" t="e">
        <f>IF(IF(VLOOKUP(A469,ASTBase!F:P,11,FALSE)="","",VLOOKUP(A469,ASTBase!F:P,11,FALSE))=0,"",IF(VLOOKUP(A469,ASTBase!F:P,11,FALSE)="","",VLOOKUP(A469,ASTBase!F:P,11,FALSE)))</f>
        <v>#N/A</v>
      </c>
      <c r="C469" s="140" t="str">
        <f>IF(IFERROR(_xlfn.IFNA(VLOOKUP($A469,'HR Rep'!$A:$X,MATCH('1) For HR (FIX)'!C$1,'HR Rep'!$A$1:$X$1,0),0),""),"")="","",IFERROR(_xlfn.IFNA(VLOOKUP($A469,'HR Rep'!$A:$X,MATCH('1) For HR (FIX)'!C$1,'HR Rep'!$A$1:$X$1,0),0),""),""))</f>
        <v/>
      </c>
      <c r="D469" s="140" t="str">
        <f>IF(IFERROR(_xlfn.IFNA(VLOOKUP($A469,'HR Rep'!$A:$X,MATCH('1) For HR (FIX)'!D$1,'HR Rep'!$A$1:$X$1,0),0),""),"")="","",IFERROR(_xlfn.IFNA(VLOOKUP($A469,'HR Rep'!$A:$X,MATCH('1) For HR (FIX)'!D$1,'HR Rep'!$A$1:$X$1,0),0),""),""))</f>
        <v/>
      </c>
      <c r="E469" s="140" t="str">
        <f>IF(IFERROR(_xlfn.IFNA(VLOOKUP($A469,'HR Rep'!$A:$X,MATCH('1) For HR (FIX)'!E$1,'HR Rep'!$A$1:$X$1,0),0),""),"")="","",IFERROR(_xlfn.IFNA(VLOOKUP($A469,'HR Rep'!$A:$X,MATCH('1) For HR (FIX)'!E$1,'HR Rep'!$A$1:$X$1,0),0),""),""))</f>
        <v/>
      </c>
      <c r="F469" s="140" t="str">
        <f>IF(IFERROR(_xlfn.IFNA(VLOOKUP($A469,'HR Rep'!$A:$X,MATCH('1) For HR (FIX)'!F$1,'HR Rep'!$A$1:$X$1,0),0),""),"")="","",IFERROR(_xlfn.IFNA(VLOOKUP($A469,'HR Rep'!$A:$X,MATCH('1) For HR (FIX)'!F$1,'HR Rep'!$A$1:$X$1,0),0),""),""))</f>
        <v/>
      </c>
      <c r="G469" s="196"/>
      <c r="H469" s="140" t="str">
        <f>IF(IFERROR(_xlfn.IFNA(VLOOKUP($A469,'HR Rep'!$A:$X,MATCH('1) For HR (FIX)'!H$1,'HR Rep'!$A$1:$X$1,0),0),""),"")="","",IFERROR(_xlfn.IFNA(VLOOKUP($A469,'HR Rep'!$A:$X,MATCH('1) For HR (FIX)'!H$1,'HR Rep'!$A$1:$X$1,0),0),""),""))</f>
        <v/>
      </c>
      <c r="I469" s="140" t="str">
        <f>IF(IFERROR(_xlfn.IFNA(VLOOKUP($A469,'HR Rep'!$A:$X,MATCH('1) For HR (FIX)'!I$1,'HR Rep'!$A$1:$X$1,0),0),""),"")="","",IFERROR(_xlfn.IFNA(VLOOKUP($A469,'HR Rep'!$A:$X,MATCH('1) For HR (FIX)'!I$1,'HR Rep'!$A$1:$X$1,0),0),""),""))</f>
        <v/>
      </c>
      <c r="J469" s="140" t="str">
        <f>IF(IFERROR(_xlfn.IFNA(VLOOKUP($A469,'HR Rep'!$A:$X,MATCH('1) For HR (FIX)'!J$1,'HR Rep'!$A$1:$X$1,0),0),""),"")="","",IFERROR(_xlfn.IFNA(VLOOKUP($A469,'HR Rep'!$A:$X,MATCH('1) For HR (FIX)'!J$1,'HR Rep'!$A$1:$X$1,0),0),""),""))</f>
        <v/>
      </c>
      <c r="K469" s="161">
        <f>_xlfn.XLOOKUP(G469,ค่าตอบแทนการขายในอัตราคงที่!A:A,ค่าตอบแทนการขายในอัตราคงที่!B:B)</f>
        <v>0</v>
      </c>
      <c r="L469" s="174">
        <f>Period!$A$2</f>
        <v>46113</v>
      </c>
      <c r="M469" s="175">
        <f>Period!$C$2</f>
        <v>46143</v>
      </c>
      <c r="N469" s="194" t="s">
        <v>279</v>
      </c>
    </row>
    <row r="470" spans="1:14" ht="11.4" x14ac:dyDescent="0.25">
      <c r="A470" s="137"/>
      <c r="B470" s="169" t="e">
        <f>IF(IF(VLOOKUP(A470,ASTBase!F:P,11,FALSE)="","",VLOOKUP(A470,ASTBase!F:P,11,FALSE))=0,"",IF(VLOOKUP(A470,ASTBase!F:P,11,FALSE)="","",VLOOKUP(A470,ASTBase!F:P,11,FALSE)))</f>
        <v>#N/A</v>
      </c>
      <c r="C470" s="140" t="str">
        <f>IF(IFERROR(_xlfn.IFNA(VLOOKUP($A470,'HR Rep'!$A:$X,MATCH('1) For HR (FIX)'!C$1,'HR Rep'!$A$1:$X$1,0),0),""),"")="","",IFERROR(_xlfn.IFNA(VLOOKUP($A470,'HR Rep'!$A:$X,MATCH('1) For HR (FIX)'!C$1,'HR Rep'!$A$1:$X$1,0),0),""),""))</f>
        <v/>
      </c>
      <c r="D470" s="140" t="str">
        <f>IF(IFERROR(_xlfn.IFNA(VLOOKUP($A470,'HR Rep'!$A:$X,MATCH('1) For HR (FIX)'!D$1,'HR Rep'!$A$1:$X$1,0),0),""),"")="","",IFERROR(_xlfn.IFNA(VLOOKUP($A470,'HR Rep'!$A:$X,MATCH('1) For HR (FIX)'!D$1,'HR Rep'!$A$1:$X$1,0),0),""),""))</f>
        <v/>
      </c>
      <c r="E470" s="140" t="str">
        <f>IF(IFERROR(_xlfn.IFNA(VLOOKUP($A470,'HR Rep'!$A:$X,MATCH('1) For HR (FIX)'!E$1,'HR Rep'!$A$1:$X$1,0),0),""),"")="","",IFERROR(_xlfn.IFNA(VLOOKUP($A470,'HR Rep'!$A:$X,MATCH('1) For HR (FIX)'!E$1,'HR Rep'!$A$1:$X$1,0),0),""),""))</f>
        <v/>
      </c>
      <c r="F470" s="140" t="str">
        <f>IF(IFERROR(_xlfn.IFNA(VLOOKUP($A470,'HR Rep'!$A:$X,MATCH('1) For HR (FIX)'!F$1,'HR Rep'!$A$1:$X$1,0),0),""),"")="","",IFERROR(_xlfn.IFNA(VLOOKUP($A470,'HR Rep'!$A:$X,MATCH('1) For HR (FIX)'!F$1,'HR Rep'!$A$1:$X$1,0),0),""),""))</f>
        <v/>
      </c>
      <c r="G470" s="196"/>
      <c r="H470" s="140" t="str">
        <f>IF(IFERROR(_xlfn.IFNA(VLOOKUP($A470,'HR Rep'!$A:$X,MATCH('1) For HR (FIX)'!H$1,'HR Rep'!$A$1:$X$1,0),0),""),"")="","",IFERROR(_xlfn.IFNA(VLOOKUP($A470,'HR Rep'!$A:$X,MATCH('1) For HR (FIX)'!H$1,'HR Rep'!$A$1:$X$1,0),0),""),""))</f>
        <v/>
      </c>
      <c r="I470" s="140" t="str">
        <f>IF(IFERROR(_xlfn.IFNA(VLOOKUP($A470,'HR Rep'!$A:$X,MATCH('1) For HR (FIX)'!I$1,'HR Rep'!$A$1:$X$1,0),0),""),"")="","",IFERROR(_xlfn.IFNA(VLOOKUP($A470,'HR Rep'!$A:$X,MATCH('1) For HR (FIX)'!I$1,'HR Rep'!$A$1:$X$1,0),0),""),""))</f>
        <v/>
      </c>
      <c r="J470" s="140" t="str">
        <f>IF(IFERROR(_xlfn.IFNA(VLOOKUP($A470,'HR Rep'!$A:$X,MATCH('1) For HR (FIX)'!J$1,'HR Rep'!$A$1:$X$1,0),0),""),"")="","",IFERROR(_xlfn.IFNA(VLOOKUP($A470,'HR Rep'!$A:$X,MATCH('1) For HR (FIX)'!J$1,'HR Rep'!$A$1:$X$1,0),0),""),""))</f>
        <v/>
      </c>
      <c r="K470" s="161">
        <f>_xlfn.XLOOKUP(G470,ค่าตอบแทนการขายในอัตราคงที่!A:A,ค่าตอบแทนการขายในอัตราคงที่!B:B)</f>
        <v>0</v>
      </c>
      <c r="L470" s="174">
        <f>Period!$A$2</f>
        <v>46113</v>
      </c>
      <c r="M470" s="175">
        <f>Period!$C$2</f>
        <v>46143</v>
      </c>
      <c r="N470" s="194" t="s">
        <v>279</v>
      </c>
    </row>
    <row r="471" spans="1:14" ht="11.4" x14ac:dyDescent="0.25">
      <c r="A471" s="137"/>
      <c r="B471" s="169" t="e">
        <f>IF(IF(VLOOKUP(A471,ASTBase!F:P,11,FALSE)="","",VLOOKUP(A471,ASTBase!F:P,11,FALSE))=0,"",IF(VLOOKUP(A471,ASTBase!F:P,11,FALSE)="","",VLOOKUP(A471,ASTBase!F:P,11,FALSE)))</f>
        <v>#N/A</v>
      </c>
      <c r="C471" s="140" t="str">
        <f>IF(IFERROR(_xlfn.IFNA(VLOOKUP($A471,'HR Rep'!$A:$X,MATCH('1) For HR (FIX)'!C$1,'HR Rep'!$A$1:$X$1,0),0),""),"")="","",IFERROR(_xlfn.IFNA(VLOOKUP($A471,'HR Rep'!$A:$X,MATCH('1) For HR (FIX)'!C$1,'HR Rep'!$A$1:$X$1,0),0),""),""))</f>
        <v/>
      </c>
      <c r="D471" s="140" t="str">
        <f>IF(IFERROR(_xlfn.IFNA(VLOOKUP($A471,'HR Rep'!$A:$X,MATCH('1) For HR (FIX)'!D$1,'HR Rep'!$A$1:$X$1,0),0),""),"")="","",IFERROR(_xlfn.IFNA(VLOOKUP($A471,'HR Rep'!$A:$X,MATCH('1) For HR (FIX)'!D$1,'HR Rep'!$A$1:$X$1,0),0),""),""))</f>
        <v/>
      </c>
      <c r="E471" s="140" t="str">
        <f>IF(IFERROR(_xlfn.IFNA(VLOOKUP($A471,'HR Rep'!$A:$X,MATCH('1) For HR (FIX)'!E$1,'HR Rep'!$A$1:$X$1,0),0),""),"")="","",IFERROR(_xlfn.IFNA(VLOOKUP($A471,'HR Rep'!$A:$X,MATCH('1) For HR (FIX)'!E$1,'HR Rep'!$A$1:$X$1,0),0),""),""))</f>
        <v/>
      </c>
      <c r="F471" s="140" t="str">
        <f>IF(IFERROR(_xlfn.IFNA(VLOOKUP($A471,'HR Rep'!$A:$X,MATCH('1) For HR (FIX)'!F$1,'HR Rep'!$A$1:$X$1,0),0),""),"")="","",IFERROR(_xlfn.IFNA(VLOOKUP($A471,'HR Rep'!$A:$X,MATCH('1) For HR (FIX)'!F$1,'HR Rep'!$A$1:$X$1,0),0),""),""))</f>
        <v/>
      </c>
      <c r="G471" s="196"/>
      <c r="H471" s="140" t="str">
        <f>IF(IFERROR(_xlfn.IFNA(VLOOKUP($A471,'HR Rep'!$A:$X,MATCH('1) For HR (FIX)'!H$1,'HR Rep'!$A$1:$X$1,0),0),""),"")="","",IFERROR(_xlfn.IFNA(VLOOKUP($A471,'HR Rep'!$A:$X,MATCH('1) For HR (FIX)'!H$1,'HR Rep'!$A$1:$X$1,0),0),""),""))</f>
        <v/>
      </c>
      <c r="I471" s="140" t="str">
        <f>IF(IFERROR(_xlfn.IFNA(VLOOKUP($A471,'HR Rep'!$A:$X,MATCH('1) For HR (FIX)'!I$1,'HR Rep'!$A$1:$X$1,0),0),""),"")="","",IFERROR(_xlfn.IFNA(VLOOKUP($A471,'HR Rep'!$A:$X,MATCH('1) For HR (FIX)'!I$1,'HR Rep'!$A$1:$X$1,0),0),""),""))</f>
        <v/>
      </c>
      <c r="J471" s="140" t="str">
        <f>IF(IFERROR(_xlfn.IFNA(VLOOKUP($A471,'HR Rep'!$A:$X,MATCH('1) For HR (FIX)'!J$1,'HR Rep'!$A$1:$X$1,0),0),""),"")="","",IFERROR(_xlfn.IFNA(VLOOKUP($A471,'HR Rep'!$A:$X,MATCH('1) For HR (FIX)'!J$1,'HR Rep'!$A$1:$X$1,0),0),""),""))</f>
        <v/>
      </c>
      <c r="K471" s="161">
        <f>_xlfn.XLOOKUP(G471,ค่าตอบแทนการขายในอัตราคงที่!A:A,ค่าตอบแทนการขายในอัตราคงที่!B:B)</f>
        <v>0</v>
      </c>
      <c r="L471" s="174">
        <f>Period!$A$2</f>
        <v>46113</v>
      </c>
      <c r="M471" s="175">
        <f>Period!$C$2</f>
        <v>46143</v>
      </c>
      <c r="N471" s="194" t="s">
        <v>279</v>
      </c>
    </row>
    <row r="472" spans="1:14" ht="11.4" x14ac:dyDescent="0.25">
      <c r="A472" s="137"/>
      <c r="B472" s="169" t="e">
        <f>IF(IF(VLOOKUP(A472,ASTBase!F:P,11,FALSE)="","",VLOOKUP(A472,ASTBase!F:P,11,FALSE))=0,"",IF(VLOOKUP(A472,ASTBase!F:P,11,FALSE)="","",VLOOKUP(A472,ASTBase!F:P,11,FALSE)))</f>
        <v>#N/A</v>
      </c>
      <c r="C472" s="140" t="str">
        <f>IF(IFERROR(_xlfn.IFNA(VLOOKUP($A472,'HR Rep'!$A:$X,MATCH('1) For HR (FIX)'!C$1,'HR Rep'!$A$1:$X$1,0),0),""),"")="","",IFERROR(_xlfn.IFNA(VLOOKUP($A472,'HR Rep'!$A:$X,MATCH('1) For HR (FIX)'!C$1,'HR Rep'!$A$1:$X$1,0),0),""),""))</f>
        <v/>
      </c>
      <c r="D472" s="140" t="str">
        <f>IF(IFERROR(_xlfn.IFNA(VLOOKUP($A472,'HR Rep'!$A:$X,MATCH('1) For HR (FIX)'!D$1,'HR Rep'!$A$1:$X$1,0),0),""),"")="","",IFERROR(_xlfn.IFNA(VLOOKUP($A472,'HR Rep'!$A:$X,MATCH('1) For HR (FIX)'!D$1,'HR Rep'!$A$1:$X$1,0),0),""),""))</f>
        <v/>
      </c>
      <c r="E472" s="140" t="str">
        <f>IF(IFERROR(_xlfn.IFNA(VLOOKUP($A472,'HR Rep'!$A:$X,MATCH('1) For HR (FIX)'!E$1,'HR Rep'!$A$1:$X$1,0),0),""),"")="","",IFERROR(_xlfn.IFNA(VLOOKUP($A472,'HR Rep'!$A:$X,MATCH('1) For HR (FIX)'!E$1,'HR Rep'!$A$1:$X$1,0),0),""),""))</f>
        <v/>
      </c>
      <c r="F472" s="140" t="str">
        <f>IF(IFERROR(_xlfn.IFNA(VLOOKUP($A472,'HR Rep'!$A:$X,MATCH('1) For HR (FIX)'!F$1,'HR Rep'!$A$1:$X$1,0),0),""),"")="","",IFERROR(_xlfn.IFNA(VLOOKUP($A472,'HR Rep'!$A:$X,MATCH('1) For HR (FIX)'!F$1,'HR Rep'!$A$1:$X$1,0),0),""),""))</f>
        <v/>
      </c>
      <c r="G472" s="196"/>
      <c r="H472" s="140" t="str">
        <f>IF(IFERROR(_xlfn.IFNA(VLOOKUP($A472,'HR Rep'!$A:$X,MATCH('1) For HR (FIX)'!H$1,'HR Rep'!$A$1:$X$1,0),0),""),"")="","",IFERROR(_xlfn.IFNA(VLOOKUP($A472,'HR Rep'!$A:$X,MATCH('1) For HR (FIX)'!H$1,'HR Rep'!$A$1:$X$1,0),0),""),""))</f>
        <v/>
      </c>
      <c r="I472" s="140" t="str">
        <f>IF(IFERROR(_xlfn.IFNA(VLOOKUP($A472,'HR Rep'!$A:$X,MATCH('1) For HR (FIX)'!I$1,'HR Rep'!$A$1:$X$1,0),0),""),"")="","",IFERROR(_xlfn.IFNA(VLOOKUP($A472,'HR Rep'!$A:$X,MATCH('1) For HR (FIX)'!I$1,'HR Rep'!$A$1:$X$1,0),0),""),""))</f>
        <v/>
      </c>
      <c r="J472" s="140" t="str">
        <f>IF(IFERROR(_xlfn.IFNA(VLOOKUP($A472,'HR Rep'!$A:$X,MATCH('1) For HR (FIX)'!J$1,'HR Rep'!$A$1:$X$1,0),0),""),"")="","",IFERROR(_xlfn.IFNA(VLOOKUP($A472,'HR Rep'!$A:$X,MATCH('1) For HR (FIX)'!J$1,'HR Rep'!$A$1:$X$1,0),0),""),""))</f>
        <v/>
      </c>
      <c r="K472" s="161">
        <f>_xlfn.XLOOKUP(G472,ค่าตอบแทนการขายในอัตราคงที่!A:A,ค่าตอบแทนการขายในอัตราคงที่!B:B)</f>
        <v>0</v>
      </c>
      <c r="L472" s="174">
        <f>Period!$A$2</f>
        <v>46113</v>
      </c>
      <c r="M472" s="175">
        <f>Period!$C$2</f>
        <v>46143</v>
      </c>
      <c r="N472" s="194" t="s">
        <v>279</v>
      </c>
    </row>
    <row r="473" spans="1:14" ht="11.4" x14ac:dyDescent="0.25">
      <c r="A473" s="137"/>
      <c r="B473" s="169" t="e">
        <f>IF(IF(VLOOKUP(A473,ASTBase!F:P,11,FALSE)="","",VLOOKUP(A473,ASTBase!F:P,11,FALSE))=0,"",IF(VLOOKUP(A473,ASTBase!F:P,11,FALSE)="","",VLOOKUP(A473,ASTBase!F:P,11,FALSE)))</f>
        <v>#N/A</v>
      </c>
      <c r="C473" s="140" t="str">
        <f>IF(IFERROR(_xlfn.IFNA(VLOOKUP($A473,'HR Rep'!$A:$X,MATCH('1) For HR (FIX)'!C$1,'HR Rep'!$A$1:$X$1,0),0),""),"")="","",IFERROR(_xlfn.IFNA(VLOOKUP($A473,'HR Rep'!$A:$X,MATCH('1) For HR (FIX)'!C$1,'HR Rep'!$A$1:$X$1,0),0),""),""))</f>
        <v/>
      </c>
      <c r="D473" s="140" t="str">
        <f>IF(IFERROR(_xlfn.IFNA(VLOOKUP($A473,'HR Rep'!$A:$X,MATCH('1) For HR (FIX)'!D$1,'HR Rep'!$A$1:$X$1,0),0),""),"")="","",IFERROR(_xlfn.IFNA(VLOOKUP($A473,'HR Rep'!$A:$X,MATCH('1) For HR (FIX)'!D$1,'HR Rep'!$A$1:$X$1,0),0),""),""))</f>
        <v/>
      </c>
      <c r="E473" s="140" t="str">
        <f>IF(IFERROR(_xlfn.IFNA(VLOOKUP($A473,'HR Rep'!$A:$X,MATCH('1) For HR (FIX)'!E$1,'HR Rep'!$A$1:$X$1,0),0),""),"")="","",IFERROR(_xlfn.IFNA(VLOOKUP($A473,'HR Rep'!$A:$X,MATCH('1) For HR (FIX)'!E$1,'HR Rep'!$A$1:$X$1,0),0),""),""))</f>
        <v/>
      </c>
      <c r="F473" s="140" t="str">
        <f>IF(IFERROR(_xlfn.IFNA(VLOOKUP($A473,'HR Rep'!$A:$X,MATCH('1) For HR (FIX)'!F$1,'HR Rep'!$A$1:$X$1,0),0),""),"")="","",IFERROR(_xlfn.IFNA(VLOOKUP($A473,'HR Rep'!$A:$X,MATCH('1) For HR (FIX)'!F$1,'HR Rep'!$A$1:$X$1,0),0),""),""))</f>
        <v/>
      </c>
      <c r="G473" s="196"/>
      <c r="H473" s="140" t="str">
        <f>IF(IFERROR(_xlfn.IFNA(VLOOKUP($A473,'HR Rep'!$A:$X,MATCH('1) For HR (FIX)'!H$1,'HR Rep'!$A$1:$X$1,0),0),""),"")="","",IFERROR(_xlfn.IFNA(VLOOKUP($A473,'HR Rep'!$A:$X,MATCH('1) For HR (FIX)'!H$1,'HR Rep'!$A$1:$X$1,0),0),""),""))</f>
        <v/>
      </c>
      <c r="I473" s="140" t="str">
        <f>IF(IFERROR(_xlfn.IFNA(VLOOKUP($A473,'HR Rep'!$A:$X,MATCH('1) For HR (FIX)'!I$1,'HR Rep'!$A$1:$X$1,0),0),""),"")="","",IFERROR(_xlfn.IFNA(VLOOKUP($A473,'HR Rep'!$A:$X,MATCH('1) For HR (FIX)'!I$1,'HR Rep'!$A$1:$X$1,0),0),""),""))</f>
        <v/>
      </c>
      <c r="J473" s="140" t="str">
        <f>IF(IFERROR(_xlfn.IFNA(VLOOKUP($A473,'HR Rep'!$A:$X,MATCH('1) For HR (FIX)'!J$1,'HR Rep'!$A$1:$X$1,0),0),""),"")="","",IFERROR(_xlfn.IFNA(VLOOKUP($A473,'HR Rep'!$A:$X,MATCH('1) For HR (FIX)'!J$1,'HR Rep'!$A$1:$X$1,0),0),""),""))</f>
        <v/>
      </c>
      <c r="K473" s="161">
        <f>_xlfn.XLOOKUP(G473,ค่าตอบแทนการขายในอัตราคงที่!A:A,ค่าตอบแทนการขายในอัตราคงที่!B:B)</f>
        <v>0</v>
      </c>
      <c r="L473" s="174">
        <f>Period!$A$2</f>
        <v>46113</v>
      </c>
      <c r="M473" s="175">
        <f>Period!$C$2</f>
        <v>46143</v>
      </c>
      <c r="N473" s="194" t="s">
        <v>279</v>
      </c>
    </row>
    <row r="474" spans="1:14" ht="11.4" x14ac:dyDescent="0.25">
      <c r="A474" s="137"/>
      <c r="B474" s="169" t="e">
        <f>IF(IF(VLOOKUP(A474,ASTBase!F:P,11,FALSE)="","",VLOOKUP(A474,ASTBase!F:P,11,FALSE))=0,"",IF(VLOOKUP(A474,ASTBase!F:P,11,FALSE)="","",VLOOKUP(A474,ASTBase!F:P,11,FALSE)))</f>
        <v>#N/A</v>
      </c>
      <c r="C474" s="140" t="str">
        <f>IF(IFERROR(_xlfn.IFNA(VLOOKUP($A474,'HR Rep'!$A:$X,MATCH('1) For HR (FIX)'!C$1,'HR Rep'!$A$1:$X$1,0),0),""),"")="","",IFERROR(_xlfn.IFNA(VLOOKUP($A474,'HR Rep'!$A:$X,MATCH('1) For HR (FIX)'!C$1,'HR Rep'!$A$1:$X$1,0),0),""),""))</f>
        <v/>
      </c>
      <c r="D474" s="140" t="str">
        <f>IF(IFERROR(_xlfn.IFNA(VLOOKUP($A474,'HR Rep'!$A:$X,MATCH('1) For HR (FIX)'!D$1,'HR Rep'!$A$1:$X$1,0),0),""),"")="","",IFERROR(_xlfn.IFNA(VLOOKUP($A474,'HR Rep'!$A:$X,MATCH('1) For HR (FIX)'!D$1,'HR Rep'!$A$1:$X$1,0),0),""),""))</f>
        <v/>
      </c>
      <c r="E474" s="140" t="str">
        <f>IF(IFERROR(_xlfn.IFNA(VLOOKUP($A474,'HR Rep'!$A:$X,MATCH('1) For HR (FIX)'!E$1,'HR Rep'!$A$1:$X$1,0),0),""),"")="","",IFERROR(_xlfn.IFNA(VLOOKUP($A474,'HR Rep'!$A:$X,MATCH('1) For HR (FIX)'!E$1,'HR Rep'!$A$1:$X$1,0),0),""),""))</f>
        <v/>
      </c>
      <c r="F474" s="140" t="str">
        <f>IF(IFERROR(_xlfn.IFNA(VLOOKUP($A474,'HR Rep'!$A:$X,MATCH('1) For HR (FIX)'!F$1,'HR Rep'!$A$1:$X$1,0),0),""),"")="","",IFERROR(_xlfn.IFNA(VLOOKUP($A474,'HR Rep'!$A:$X,MATCH('1) For HR (FIX)'!F$1,'HR Rep'!$A$1:$X$1,0),0),""),""))</f>
        <v/>
      </c>
      <c r="G474" s="196"/>
      <c r="H474" s="140" t="str">
        <f>IF(IFERROR(_xlfn.IFNA(VLOOKUP($A474,'HR Rep'!$A:$X,MATCH('1) For HR (FIX)'!H$1,'HR Rep'!$A$1:$X$1,0),0),""),"")="","",IFERROR(_xlfn.IFNA(VLOOKUP($A474,'HR Rep'!$A:$X,MATCH('1) For HR (FIX)'!H$1,'HR Rep'!$A$1:$X$1,0),0),""),""))</f>
        <v/>
      </c>
      <c r="I474" s="140" t="str">
        <f>IF(IFERROR(_xlfn.IFNA(VLOOKUP($A474,'HR Rep'!$A:$X,MATCH('1) For HR (FIX)'!I$1,'HR Rep'!$A$1:$X$1,0),0),""),"")="","",IFERROR(_xlfn.IFNA(VLOOKUP($A474,'HR Rep'!$A:$X,MATCH('1) For HR (FIX)'!I$1,'HR Rep'!$A$1:$X$1,0),0),""),""))</f>
        <v/>
      </c>
      <c r="J474" s="140" t="str">
        <f>IF(IFERROR(_xlfn.IFNA(VLOOKUP($A474,'HR Rep'!$A:$X,MATCH('1) For HR (FIX)'!J$1,'HR Rep'!$A$1:$X$1,0),0),""),"")="","",IFERROR(_xlfn.IFNA(VLOOKUP($A474,'HR Rep'!$A:$X,MATCH('1) For HR (FIX)'!J$1,'HR Rep'!$A$1:$X$1,0),0),""),""))</f>
        <v/>
      </c>
      <c r="K474" s="161">
        <f>_xlfn.XLOOKUP(G474,ค่าตอบแทนการขายในอัตราคงที่!A:A,ค่าตอบแทนการขายในอัตราคงที่!B:B)</f>
        <v>0</v>
      </c>
      <c r="L474" s="174">
        <f>Period!$A$2</f>
        <v>46113</v>
      </c>
      <c r="M474" s="175">
        <f>Period!$C$2</f>
        <v>46143</v>
      </c>
      <c r="N474" s="194" t="s">
        <v>279</v>
      </c>
    </row>
    <row r="475" spans="1:14" ht="11.4" x14ac:dyDescent="0.25">
      <c r="A475" s="137"/>
      <c r="B475" s="169" t="e">
        <f>IF(IF(VLOOKUP(A475,ASTBase!F:P,11,FALSE)="","",VLOOKUP(A475,ASTBase!F:P,11,FALSE))=0,"",IF(VLOOKUP(A475,ASTBase!F:P,11,FALSE)="","",VLOOKUP(A475,ASTBase!F:P,11,FALSE)))</f>
        <v>#N/A</v>
      </c>
      <c r="C475" s="140" t="str">
        <f>IF(IFERROR(_xlfn.IFNA(VLOOKUP($A475,'HR Rep'!$A:$X,MATCH('1) For HR (FIX)'!C$1,'HR Rep'!$A$1:$X$1,0),0),""),"")="","",IFERROR(_xlfn.IFNA(VLOOKUP($A475,'HR Rep'!$A:$X,MATCH('1) For HR (FIX)'!C$1,'HR Rep'!$A$1:$X$1,0),0),""),""))</f>
        <v/>
      </c>
      <c r="D475" s="140" t="str">
        <f>IF(IFERROR(_xlfn.IFNA(VLOOKUP($A475,'HR Rep'!$A:$X,MATCH('1) For HR (FIX)'!D$1,'HR Rep'!$A$1:$X$1,0),0),""),"")="","",IFERROR(_xlfn.IFNA(VLOOKUP($A475,'HR Rep'!$A:$X,MATCH('1) For HR (FIX)'!D$1,'HR Rep'!$A$1:$X$1,0),0),""),""))</f>
        <v/>
      </c>
      <c r="E475" s="140" t="str">
        <f>IF(IFERROR(_xlfn.IFNA(VLOOKUP($A475,'HR Rep'!$A:$X,MATCH('1) For HR (FIX)'!E$1,'HR Rep'!$A$1:$X$1,0),0),""),"")="","",IFERROR(_xlfn.IFNA(VLOOKUP($A475,'HR Rep'!$A:$X,MATCH('1) For HR (FIX)'!E$1,'HR Rep'!$A$1:$X$1,0),0),""),""))</f>
        <v/>
      </c>
      <c r="F475" s="140" t="str">
        <f>IF(IFERROR(_xlfn.IFNA(VLOOKUP($A475,'HR Rep'!$A:$X,MATCH('1) For HR (FIX)'!F$1,'HR Rep'!$A$1:$X$1,0),0),""),"")="","",IFERROR(_xlfn.IFNA(VLOOKUP($A475,'HR Rep'!$A:$X,MATCH('1) For HR (FIX)'!F$1,'HR Rep'!$A$1:$X$1,0),0),""),""))</f>
        <v/>
      </c>
      <c r="G475" s="196"/>
      <c r="H475" s="140" t="str">
        <f>IF(IFERROR(_xlfn.IFNA(VLOOKUP($A475,'HR Rep'!$A:$X,MATCH('1) For HR (FIX)'!H$1,'HR Rep'!$A$1:$X$1,0),0),""),"")="","",IFERROR(_xlfn.IFNA(VLOOKUP($A475,'HR Rep'!$A:$X,MATCH('1) For HR (FIX)'!H$1,'HR Rep'!$A$1:$X$1,0),0),""),""))</f>
        <v/>
      </c>
      <c r="I475" s="140" t="str">
        <f>IF(IFERROR(_xlfn.IFNA(VLOOKUP($A475,'HR Rep'!$A:$X,MATCH('1) For HR (FIX)'!I$1,'HR Rep'!$A$1:$X$1,0),0),""),"")="","",IFERROR(_xlfn.IFNA(VLOOKUP($A475,'HR Rep'!$A:$X,MATCH('1) For HR (FIX)'!I$1,'HR Rep'!$A$1:$X$1,0),0),""),""))</f>
        <v/>
      </c>
      <c r="J475" s="140" t="str">
        <f>IF(IFERROR(_xlfn.IFNA(VLOOKUP($A475,'HR Rep'!$A:$X,MATCH('1) For HR (FIX)'!J$1,'HR Rep'!$A$1:$X$1,0),0),""),"")="","",IFERROR(_xlfn.IFNA(VLOOKUP($A475,'HR Rep'!$A:$X,MATCH('1) For HR (FIX)'!J$1,'HR Rep'!$A$1:$X$1,0),0),""),""))</f>
        <v/>
      </c>
      <c r="K475" s="161">
        <f>_xlfn.XLOOKUP(G475,ค่าตอบแทนการขายในอัตราคงที่!A:A,ค่าตอบแทนการขายในอัตราคงที่!B:B)</f>
        <v>0</v>
      </c>
      <c r="L475" s="174">
        <f>Period!$A$2</f>
        <v>46113</v>
      </c>
      <c r="M475" s="175">
        <f>Period!$C$2</f>
        <v>46143</v>
      </c>
      <c r="N475" s="194" t="s">
        <v>279</v>
      </c>
    </row>
    <row r="476" spans="1:14" ht="11.4" x14ac:dyDescent="0.25">
      <c r="A476" s="137"/>
      <c r="B476" s="169" t="e">
        <f>IF(IF(VLOOKUP(A476,ASTBase!F:P,11,FALSE)="","",VLOOKUP(A476,ASTBase!F:P,11,FALSE))=0,"",IF(VLOOKUP(A476,ASTBase!F:P,11,FALSE)="","",VLOOKUP(A476,ASTBase!F:P,11,FALSE)))</f>
        <v>#N/A</v>
      </c>
      <c r="C476" s="140" t="str">
        <f>IF(IFERROR(_xlfn.IFNA(VLOOKUP($A476,'HR Rep'!$A:$X,MATCH('1) For HR (FIX)'!C$1,'HR Rep'!$A$1:$X$1,0),0),""),"")="","",IFERROR(_xlfn.IFNA(VLOOKUP($A476,'HR Rep'!$A:$X,MATCH('1) For HR (FIX)'!C$1,'HR Rep'!$A$1:$X$1,0),0),""),""))</f>
        <v/>
      </c>
      <c r="D476" s="140" t="str">
        <f>IF(IFERROR(_xlfn.IFNA(VLOOKUP($A476,'HR Rep'!$A:$X,MATCH('1) For HR (FIX)'!D$1,'HR Rep'!$A$1:$X$1,0),0),""),"")="","",IFERROR(_xlfn.IFNA(VLOOKUP($A476,'HR Rep'!$A:$X,MATCH('1) For HR (FIX)'!D$1,'HR Rep'!$A$1:$X$1,0),0),""),""))</f>
        <v/>
      </c>
      <c r="E476" s="140" t="str">
        <f>IF(IFERROR(_xlfn.IFNA(VLOOKUP($A476,'HR Rep'!$A:$X,MATCH('1) For HR (FIX)'!E$1,'HR Rep'!$A$1:$X$1,0),0),""),"")="","",IFERROR(_xlfn.IFNA(VLOOKUP($A476,'HR Rep'!$A:$X,MATCH('1) For HR (FIX)'!E$1,'HR Rep'!$A$1:$X$1,0),0),""),""))</f>
        <v/>
      </c>
      <c r="F476" s="140" t="str">
        <f>IF(IFERROR(_xlfn.IFNA(VLOOKUP($A476,'HR Rep'!$A:$X,MATCH('1) For HR (FIX)'!F$1,'HR Rep'!$A$1:$X$1,0),0),""),"")="","",IFERROR(_xlfn.IFNA(VLOOKUP($A476,'HR Rep'!$A:$X,MATCH('1) For HR (FIX)'!F$1,'HR Rep'!$A$1:$X$1,0),0),""),""))</f>
        <v/>
      </c>
      <c r="G476" s="196"/>
      <c r="H476" s="140" t="str">
        <f>IF(IFERROR(_xlfn.IFNA(VLOOKUP($A476,'HR Rep'!$A:$X,MATCH('1) For HR (FIX)'!H$1,'HR Rep'!$A$1:$X$1,0),0),""),"")="","",IFERROR(_xlfn.IFNA(VLOOKUP($A476,'HR Rep'!$A:$X,MATCH('1) For HR (FIX)'!H$1,'HR Rep'!$A$1:$X$1,0),0),""),""))</f>
        <v/>
      </c>
      <c r="I476" s="140" t="str">
        <f>IF(IFERROR(_xlfn.IFNA(VLOOKUP($A476,'HR Rep'!$A:$X,MATCH('1) For HR (FIX)'!I$1,'HR Rep'!$A$1:$X$1,0),0),""),"")="","",IFERROR(_xlfn.IFNA(VLOOKUP($A476,'HR Rep'!$A:$X,MATCH('1) For HR (FIX)'!I$1,'HR Rep'!$A$1:$X$1,0),0),""),""))</f>
        <v/>
      </c>
      <c r="J476" s="140" t="str">
        <f>IF(IFERROR(_xlfn.IFNA(VLOOKUP($A476,'HR Rep'!$A:$X,MATCH('1) For HR (FIX)'!J$1,'HR Rep'!$A$1:$X$1,0),0),""),"")="","",IFERROR(_xlfn.IFNA(VLOOKUP($A476,'HR Rep'!$A:$X,MATCH('1) For HR (FIX)'!J$1,'HR Rep'!$A$1:$X$1,0),0),""),""))</f>
        <v/>
      </c>
      <c r="K476" s="161">
        <f>_xlfn.XLOOKUP(G476,ค่าตอบแทนการขายในอัตราคงที่!A:A,ค่าตอบแทนการขายในอัตราคงที่!B:B)</f>
        <v>0</v>
      </c>
      <c r="L476" s="174">
        <f>Period!$A$2</f>
        <v>46113</v>
      </c>
      <c r="M476" s="175">
        <f>Period!$C$2</f>
        <v>46143</v>
      </c>
      <c r="N476" s="194" t="s">
        <v>279</v>
      </c>
    </row>
    <row r="477" spans="1:14" ht="11.4" x14ac:dyDescent="0.25">
      <c r="A477" s="137"/>
      <c r="B477" s="169" t="e">
        <f>IF(IF(VLOOKUP(A477,ASTBase!F:P,11,FALSE)="","",VLOOKUP(A477,ASTBase!F:P,11,FALSE))=0,"",IF(VLOOKUP(A477,ASTBase!F:P,11,FALSE)="","",VLOOKUP(A477,ASTBase!F:P,11,FALSE)))</f>
        <v>#N/A</v>
      </c>
      <c r="C477" s="140" t="str">
        <f>IF(IFERROR(_xlfn.IFNA(VLOOKUP($A477,'HR Rep'!$A:$X,MATCH('1) For HR (FIX)'!C$1,'HR Rep'!$A$1:$X$1,0),0),""),"")="","",IFERROR(_xlfn.IFNA(VLOOKUP($A477,'HR Rep'!$A:$X,MATCH('1) For HR (FIX)'!C$1,'HR Rep'!$A$1:$X$1,0),0),""),""))</f>
        <v/>
      </c>
      <c r="D477" s="140" t="str">
        <f>IF(IFERROR(_xlfn.IFNA(VLOOKUP($A477,'HR Rep'!$A:$X,MATCH('1) For HR (FIX)'!D$1,'HR Rep'!$A$1:$X$1,0),0),""),"")="","",IFERROR(_xlfn.IFNA(VLOOKUP($A477,'HR Rep'!$A:$X,MATCH('1) For HR (FIX)'!D$1,'HR Rep'!$A$1:$X$1,0),0),""),""))</f>
        <v/>
      </c>
      <c r="E477" s="140" t="str">
        <f>IF(IFERROR(_xlfn.IFNA(VLOOKUP($A477,'HR Rep'!$A:$X,MATCH('1) For HR (FIX)'!E$1,'HR Rep'!$A$1:$X$1,0),0),""),"")="","",IFERROR(_xlfn.IFNA(VLOOKUP($A477,'HR Rep'!$A:$X,MATCH('1) For HR (FIX)'!E$1,'HR Rep'!$A$1:$X$1,0),0),""),""))</f>
        <v/>
      </c>
      <c r="F477" s="140" t="str">
        <f>IF(IFERROR(_xlfn.IFNA(VLOOKUP($A477,'HR Rep'!$A:$X,MATCH('1) For HR (FIX)'!F$1,'HR Rep'!$A$1:$X$1,0),0),""),"")="","",IFERROR(_xlfn.IFNA(VLOOKUP($A477,'HR Rep'!$A:$X,MATCH('1) For HR (FIX)'!F$1,'HR Rep'!$A$1:$X$1,0),0),""),""))</f>
        <v/>
      </c>
      <c r="G477" s="196"/>
      <c r="H477" s="140" t="str">
        <f>IF(IFERROR(_xlfn.IFNA(VLOOKUP($A477,'HR Rep'!$A:$X,MATCH('1) For HR (FIX)'!H$1,'HR Rep'!$A$1:$X$1,0),0),""),"")="","",IFERROR(_xlfn.IFNA(VLOOKUP($A477,'HR Rep'!$A:$X,MATCH('1) For HR (FIX)'!H$1,'HR Rep'!$A$1:$X$1,0),0),""),""))</f>
        <v/>
      </c>
      <c r="I477" s="140" t="str">
        <f>IF(IFERROR(_xlfn.IFNA(VLOOKUP($A477,'HR Rep'!$A:$X,MATCH('1) For HR (FIX)'!I$1,'HR Rep'!$A$1:$X$1,0),0),""),"")="","",IFERROR(_xlfn.IFNA(VLOOKUP($A477,'HR Rep'!$A:$X,MATCH('1) For HR (FIX)'!I$1,'HR Rep'!$A$1:$X$1,0),0),""),""))</f>
        <v/>
      </c>
      <c r="J477" s="140" t="str">
        <f>IF(IFERROR(_xlfn.IFNA(VLOOKUP($A477,'HR Rep'!$A:$X,MATCH('1) For HR (FIX)'!J$1,'HR Rep'!$A$1:$X$1,0),0),""),"")="","",IFERROR(_xlfn.IFNA(VLOOKUP($A477,'HR Rep'!$A:$X,MATCH('1) For HR (FIX)'!J$1,'HR Rep'!$A$1:$X$1,0),0),""),""))</f>
        <v/>
      </c>
      <c r="K477" s="161">
        <f>_xlfn.XLOOKUP(G477,ค่าตอบแทนการขายในอัตราคงที่!A:A,ค่าตอบแทนการขายในอัตราคงที่!B:B)</f>
        <v>0</v>
      </c>
      <c r="L477" s="174">
        <f>Period!$A$2</f>
        <v>46113</v>
      </c>
      <c r="M477" s="175">
        <f>Period!$C$2</f>
        <v>46143</v>
      </c>
      <c r="N477" s="194" t="s">
        <v>279</v>
      </c>
    </row>
    <row r="478" spans="1:14" ht="11.4" x14ac:dyDescent="0.25">
      <c r="A478" s="137"/>
      <c r="B478" s="169" t="e">
        <f>IF(IF(VLOOKUP(A478,ASTBase!F:P,11,FALSE)="","",VLOOKUP(A478,ASTBase!F:P,11,FALSE))=0,"",IF(VLOOKUP(A478,ASTBase!F:P,11,FALSE)="","",VLOOKUP(A478,ASTBase!F:P,11,FALSE)))</f>
        <v>#N/A</v>
      </c>
      <c r="C478" s="140" t="str">
        <f>IF(IFERROR(_xlfn.IFNA(VLOOKUP($A478,'HR Rep'!$A:$X,MATCH('1) For HR (FIX)'!C$1,'HR Rep'!$A$1:$X$1,0),0),""),"")="","",IFERROR(_xlfn.IFNA(VLOOKUP($A478,'HR Rep'!$A:$X,MATCH('1) For HR (FIX)'!C$1,'HR Rep'!$A$1:$X$1,0),0),""),""))</f>
        <v/>
      </c>
      <c r="D478" s="140" t="str">
        <f>IF(IFERROR(_xlfn.IFNA(VLOOKUP($A478,'HR Rep'!$A:$X,MATCH('1) For HR (FIX)'!D$1,'HR Rep'!$A$1:$X$1,0),0),""),"")="","",IFERROR(_xlfn.IFNA(VLOOKUP($A478,'HR Rep'!$A:$X,MATCH('1) For HR (FIX)'!D$1,'HR Rep'!$A$1:$X$1,0),0),""),""))</f>
        <v/>
      </c>
      <c r="E478" s="140" t="str">
        <f>IF(IFERROR(_xlfn.IFNA(VLOOKUP($A478,'HR Rep'!$A:$X,MATCH('1) For HR (FIX)'!E$1,'HR Rep'!$A$1:$X$1,0),0),""),"")="","",IFERROR(_xlfn.IFNA(VLOOKUP($A478,'HR Rep'!$A:$X,MATCH('1) For HR (FIX)'!E$1,'HR Rep'!$A$1:$X$1,0),0),""),""))</f>
        <v/>
      </c>
      <c r="F478" s="140" t="str">
        <f>IF(IFERROR(_xlfn.IFNA(VLOOKUP($A478,'HR Rep'!$A:$X,MATCH('1) For HR (FIX)'!F$1,'HR Rep'!$A$1:$X$1,0),0),""),"")="","",IFERROR(_xlfn.IFNA(VLOOKUP($A478,'HR Rep'!$A:$X,MATCH('1) For HR (FIX)'!F$1,'HR Rep'!$A$1:$X$1,0),0),""),""))</f>
        <v/>
      </c>
      <c r="G478" s="196"/>
      <c r="H478" s="140" t="str">
        <f>IF(IFERROR(_xlfn.IFNA(VLOOKUP($A478,'HR Rep'!$A:$X,MATCH('1) For HR (FIX)'!H$1,'HR Rep'!$A$1:$X$1,0),0),""),"")="","",IFERROR(_xlfn.IFNA(VLOOKUP($A478,'HR Rep'!$A:$X,MATCH('1) For HR (FIX)'!H$1,'HR Rep'!$A$1:$X$1,0),0),""),""))</f>
        <v/>
      </c>
      <c r="I478" s="140" t="str">
        <f>IF(IFERROR(_xlfn.IFNA(VLOOKUP($A478,'HR Rep'!$A:$X,MATCH('1) For HR (FIX)'!I$1,'HR Rep'!$A$1:$X$1,0),0),""),"")="","",IFERROR(_xlfn.IFNA(VLOOKUP($A478,'HR Rep'!$A:$X,MATCH('1) For HR (FIX)'!I$1,'HR Rep'!$A$1:$X$1,0),0),""),""))</f>
        <v/>
      </c>
      <c r="J478" s="140" t="str">
        <f>IF(IFERROR(_xlfn.IFNA(VLOOKUP($A478,'HR Rep'!$A:$X,MATCH('1) For HR (FIX)'!J$1,'HR Rep'!$A$1:$X$1,0),0),""),"")="","",IFERROR(_xlfn.IFNA(VLOOKUP($A478,'HR Rep'!$A:$X,MATCH('1) For HR (FIX)'!J$1,'HR Rep'!$A$1:$X$1,0),0),""),""))</f>
        <v/>
      </c>
      <c r="K478" s="161">
        <f>_xlfn.XLOOKUP(G478,ค่าตอบแทนการขายในอัตราคงที่!A:A,ค่าตอบแทนการขายในอัตราคงที่!B:B)</f>
        <v>0</v>
      </c>
      <c r="L478" s="174">
        <f>Period!$A$2</f>
        <v>46113</v>
      </c>
      <c r="M478" s="175">
        <f>Period!$C$2</f>
        <v>46143</v>
      </c>
      <c r="N478" s="194" t="s">
        <v>279</v>
      </c>
    </row>
    <row r="479" spans="1:14" ht="11.4" x14ac:dyDescent="0.25">
      <c r="A479" s="137"/>
      <c r="B479" s="169" t="e">
        <f>IF(IF(VLOOKUP(A479,ASTBase!F:P,11,FALSE)="","",VLOOKUP(A479,ASTBase!F:P,11,FALSE))=0,"",IF(VLOOKUP(A479,ASTBase!F:P,11,FALSE)="","",VLOOKUP(A479,ASTBase!F:P,11,FALSE)))</f>
        <v>#N/A</v>
      </c>
      <c r="C479" s="140" t="str">
        <f>IF(IFERROR(_xlfn.IFNA(VLOOKUP($A479,'HR Rep'!$A:$X,MATCH('1) For HR (FIX)'!C$1,'HR Rep'!$A$1:$X$1,0),0),""),"")="","",IFERROR(_xlfn.IFNA(VLOOKUP($A479,'HR Rep'!$A:$X,MATCH('1) For HR (FIX)'!C$1,'HR Rep'!$A$1:$X$1,0),0),""),""))</f>
        <v/>
      </c>
      <c r="D479" s="140" t="str">
        <f>IF(IFERROR(_xlfn.IFNA(VLOOKUP($A479,'HR Rep'!$A:$X,MATCH('1) For HR (FIX)'!D$1,'HR Rep'!$A$1:$X$1,0),0),""),"")="","",IFERROR(_xlfn.IFNA(VLOOKUP($A479,'HR Rep'!$A:$X,MATCH('1) For HR (FIX)'!D$1,'HR Rep'!$A$1:$X$1,0),0),""),""))</f>
        <v/>
      </c>
      <c r="E479" s="140" t="str">
        <f>IF(IFERROR(_xlfn.IFNA(VLOOKUP($A479,'HR Rep'!$A:$X,MATCH('1) For HR (FIX)'!E$1,'HR Rep'!$A$1:$X$1,0),0),""),"")="","",IFERROR(_xlfn.IFNA(VLOOKUP($A479,'HR Rep'!$A:$X,MATCH('1) For HR (FIX)'!E$1,'HR Rep'!$A$1:$X$1,0),0),""),""))</f>
        <v/>
      </c>
      <c r="F479" s="140" t="str">
        <f>IF(IFERROR(_xlfn.IFNA(VLOOKUP($A479,'HR Rep'!$A:$X,MATCH('1) For HR (FIX)'!F$1,'HR Rep'!$A$1:$X$1,0),0),""),"")="","",IFERROR(_xlfn.IFNA(VLOOKUP($A479,'HR Rep'!$A:$X,MATCH('1) For HR (FIX)'!F$1,'HR Rep'!$A$1:$X$1,0),0),""),""))</f>
        <v/>
      </c>
      <c r="G479" s="196"/>
      <c r="H479" s="140" t="str">
        <f>IF(IFERROR(_xlfn.IFNA(VLOOKUP($A479,'HR Rep'!$A:$X,MATCH('1) For HR (FIX)'!H$1,'HR Rep'!$A$1:$X$1,0),0),""),"")="","",IFERROR(_xlfn.IFNA(VLOOKUP($A479,'HR Rep'!$A:$X,MATCH('1) For HR (FIX)'!H$1,'HR Rep'!$A$1:$X$1,0),0),""),""))</f>
        <v/>
      </c>
      <c r="I479" s="140" t="str">
        <f>IF(IFERROR(_xlfn.IFNA(VLOOKUP($A479,'HR Rep'!$A:$X,MATCH('1) For HR (FIX)'!I$1,'HR Rep'!$A$1:$X$1,0),0),""),"")="","",IFERROR(_xlfn.IFNA(VLOOKUP($A479,'HR Rep'!$A:$X,MATCH('1) For HR (FIX)'!I$1,'HR Rep'!$A$1:$X$1,0),0),""),""))</f>
        <v/>
      </c>
      <c r="J479" s="140" t="str">
        <f>IF(IFERROR(_xlfn.IFNA(VLOOKUP($A479,'HR Rep'!$A:$X,MATCH('1) For HR (FIX)'!J$1,'HR Rep'!$A$1:$X$1,0),0),""),"")="","",IFERROR(_xlfn.IFNA(VLOOKUP($A479,'HR Rep'!$A:$X,MATCH('1) For HR (FIX)'!J$1,'HR Rep'!$A$1:$X$1,0),0),""),""))</f>
        <v/>
      </c>
      <c r="K479" s="161">
        <f>_xlfn.XLOOKUP(G479,ค่าตอบแทนการขายในอัตราคงที่!A:A,ค่าตอบแทนการขายในอัตราคงที่!B:B)</f>
        <v>0</v>
      </c>
      <c r="L479" s="174">
        <f>Period!$A$2</f>
        <v>46113</v>
      </c>
      <c r="M479" s="175">
        <f>Period!$C$2</f>
        <v>46143</v>
      </c>
      <c r="N479" s="194" t="s">
        <v>279</v>
      </c>
    </row>
    <row r="480" spans="1:14" ht="11.4" x14ac:dyDescent="0.25">
      <c r="A480" s="137"/>
      <c r="B480" s="169" t="e">
        <f>IF(IF(VLOOKUP(A480,ASTBase!F:P,11,FALSE)="","",VLOOKUP(A480,ASTBase!F:P,11,FALSE))=0,"",IF(VLOOKUP(A480,ASTBase!F:P,11,FALSE)="","",VLOOKUP(A480,ASTBase!F:P,11,FALSE)))</f>
        <v>#N/A</v>
      </c>
      <c r="C480" s="140" t="str">
        <f>IF(IFERROR(_xlfn.IFNA(VLOOKUP($A480,'HR Rep'!$A:$X,MATCH('1) For HR (FIX)'!C$1,'HR Rep'!$A$1:$X$1,0),0),""),"")="","",IFERROR(_xlfn.IFNA(VLOOKUP($A480,'HR Rep'!$A:$X,MATCH('1) For HR (FIX)'!C$1,'HR Rep'!$A$1:$X$1,0),0),""),""))</f>
        <v/>
      </c>
      <c r="D480" s="140" t="str">
        <f>IF(IFERROR(_xlfn.IFNA(VLOOKUP($A480,'HR Rep'!$A:$X,MATCH('1) For HR (FIX)'!D$1,'HR Rep'!$A$1:$X$1,0),0),""),"")="","",IFERROR(_xlfn.IFNA(VLOOKUP($A480,'HR Rep'!$A:$X,MATCH('1) For HR (FIX)'!D$1,'HR Rep'!$A$1:$X$1,0),0),""),""))</f>
        <v/>
      </c>
      <c r="E480" s="140" t="str">
        <f>IF(IFERROR(_xlfn.IFNA(VLOOKUP($A480,'HR Rep'!$A:$X,MATCH('1) For HR (FIX)'!E$1,'HR Rep'!$A$1:$X$1,0),0),""),"")="","",IFERROR(_xlfn.IFNA(VLOOKUP($A480,'HR Rep'!$A:$X,MATCH('1) For HR (FIX)'!E$1,'HR Rep'!$A$1:$X$1,0),0),""),""))</f>
        <v/>
      </c>
      <c r="F480" s="140" t="str">
        <f>IF(IFERROR(_xlfn.IFNA(VLOOKUP($A480,'HR Rep'!$A:$X,MATCH('1) For HR (FIX)'!F$1,'HR Rep'!$A$1:$X$1,0),0),""),"")="","",IFERROR(_xlfn.IFNA(VLOOKUP($A480,'HR Rep'!$A:$X,MATCH('1) For HR (FIX)'!F$1,'HR Rep'!$A$1:$X$1,0),0),""),""))</f>
        <v/>
      </c>
      <c r="G480" s="196"/>
      <c r="H480" s="140" t="str">
        <f>IF(IFERROR(_xlfn.IFNA(VLOOKUP($A480,'HR Rep'!$A:$X,MATCH('1) For HR (FIX)'!H$1,'HR Rep'!$A$1:$X$1,0),0),""),"")="","",IFERROR(_xlfn.IFNA(VLOOKUP($A480,'HR Rep'!$A:$X,MATCH('1) For HR (FIX)'!H$1,'HR Rep'!$A$1:$X$1,0),0),""),""))</f>
        <v/>
      </c>
      <c r="I480" s="140" t="str">
        <f>IF(IFERROR(_xlfn.IFNA(VLOOKUP($A480,'HR Rep'!$A:$X,MATCH('1) For HR (FIX)'!I$1,'HR Rep'!$A$1:$X$1,0),0),""),"")="","",IFERROR(_xlfn.IFNA(VLOOKUP($A480,'HR Rep'!$A:$X,MATCH('1) For HR (FIX)'!I$1,'HR Rep'!$A$1:$X$1,0),0),""),""))</f>
        <v/>
      </c>
      <c r="J480" s="140" t="str">
        <f>IF(IFERROR(_xlfn.IFNA(VLOOKUP($A480,'HR Rep'!$A:$X,MATCH('1) For HR (FIX)'!J$1,'HR Rep'!$A$1:$X$1,0),0),""),"")="","",IFERROR(_xlfn.IFNA(VLOOKUP($A480,'HR Rep'!$A:$X,MATCH('1) For HR (FIX)'!J$1,'HR Rep'!$A$1:$X$1,0),0),""),""))</f>
        <v/>
      </c>
      <c r="K480" s="161">
        <f>_xlfn.XLOOKUP(G480,ค่าตอบแทนการขายในอัตราคงที่!A:A,ค่าตอบแทนการขายในอัตราคงที่!B:B)</f>
        <v>0</v>
      </c>
      <c r="L480" s="174">
        <f>Period!$A$2</f>
        <v>46113</v>
      </c>
      <c r="M480" s="175">
        <f>Period!$C$2</f>
        <v>46143</v>
      </c>
      <c r="N480" s="194" t="s">
        <v>279</v>
      </c>
    </row>
    <row r="481" spans="1:14" ht="11.4" x14ac:dyDescent="0.25">
      <c r="A481" s="137"/>
      <c r="B481" s="169" t="e">
        <f>IF(IF(VLOOKUP(A481,ASTBase!F:P,11,FALSE)="","",VLOOKUP(A481,ASTBase!F:P,11,FALSE))=0,"",IF(VLOOKUP(A481,ASTBase!F:P,11,FALSE)="","",VLOOKUP(A481,ASTBase!F:P,11,FALSE)))</f>
        <v>#N/A</v>
      </c>
      <c r="C481" s="140" t="str">
        <f>IF(IFERROR(_xlfn.IFNA(VLOOKUP($A481,'HR Rep'!$A:$X,MATCH('1) For HR (FIX)'!C$1,'HR Rep'!$A$1:$X$1,0),0),""),"")="","",IFERROR(_xlfn.IFNA(VLOOKUP($A481,'HR Rep'!$A:$X,MATCH('1) For HR (FIX)'!C$1,'HR Rep'!$A$1:$X$1,0),0),""),""))</f>
        <v/>
      </c>
      <c r="D481" s="140" t="str">
        <f>IF(IFERROR(_xlfn.IFNA(VLOOKUP($A481,'HR Rep'!$A:$X,MATCH('1) For HR (FIX)'!D$1,'HR Rep'!$A$1:$X$1,0),0),""),"")="","",IFERROR(_xlfn.IFNA(VLOOKUP($A481,'HR Rep'!$A:$X,MATCH('1) For HR (FIX)'!D$1,'HR Rep'!$A$1:$X$1,0),0),""),""))</f>
        <v/>
      </c>
      <c r="E481" s="140" t="str">
        <f>IF(IFERROR(_xlfn.IFNA(VLOOKUP($A481,'HR Rep'!$A:$X,MATCH('1) For HR (FIX)'!E$1,'HR Rep'!$A$1:$X$1,0),0),""),"")="","",IFERROR(_xlfn.IFNA(VLOOKUP($A481,'HR Rep'!$A:$X,MATCH('1) For HR (FIX)'!E$1,'HR Rep'!$A$1:$X$1,0),0),""),""))</f>
        <v/>
      </c>
      <c r="F481" s="140" t="str">
        <f>IF(IFERROR(_xlfn.IFNA(VLOOKUP($A481,'HR Rep'!$A:$X,MATCH('1) For HR (FIX)'!F$1,'HR Rep'!$A$1:$X$1,0),0),""),"")="","",IFERROR(_xlfn.IFNA(VLOOKUP($A481,'HR Rep'!$A:$X,MATCH('1) For HR (FIX)'!F$1,'HR Rep'!$A$1:$X$1,0),0),""),""))</f>
        <v/>
      </c>
      <c r="G481" s="196"/>
      <c r="H481" s="140" t="str">
        <f>IF(IFERROR(_xlfn.IFNA(VLOOKUP($A481,'HR Rep'!$A:$X,MATCH('1) For HR (FIX)'!H$1,'HR Rep'!$A$1:$X$1,0),0),""),"")="","",IFERROR(_xlfn.IFNA(VLOOKUP($A481,'HR Rep'!$A:$X,MATCH('1) For HR (FIX)'!H$1,'HR Rep'!$A$1:$X$1,0),0),""),""))</f>
        <v/>
      </c>
      <c r="I481" s="140" t="str">
        <f>IF(IFERROR(_xlfn.IFNA(VLOOKUP($A481,'HR Rep'!$A:$X,MATCH('1) For HR (FIX)'!I$1,'HR Rep'!$A$1:$X$1,0),0),""),"")="","",IFERROR(_xlfn.IFNA(VLOOKUP($A481,'HR Rep'!$A:$X,MATCH('1) For HR (FIX)'!I$1,'HR Rep'!$A$1:$X$1,0),0),""),""))</f>
        <v/>
      </c>
      <c r="J481" s="140" t="str">
        <f>IF(IFERROR(_xlfn.IFNA(VLOOKUP($A481,'HR Rep'!$A:$X,MATCH('1) For HR (FIX)'!J$1,'HR Rep'!$A$1:$X$1,0),0),""),"")="","",IFERROR(_xlfn.IFNA(VLOOKUP($A481,'HR Rep'!$A:$X,MATCH('1) For HR (FIX)'!J$1,'HR Rep'!$A$1:$X$1,0),0),""),""))</f>
        <v/>
      </c>
      <c r="K481" s="161">
        <f>_xlfn.XLOOKUP(G481,ค่าตอบแทนการขายในอัตราคงที่!A:A,ค่าตอบแทนการขายในอัตราคงที่!B:B)</f>
        <v>0</v>
      </c>
      <c r="L481" s="174">
        <f>Period!$A$2</f>
        <v>46113</v>
      </c>
      <c r="M481" s="175">
        <f>Period!$C$2</f>
        <v>46143</v>
      </c>
      <c r="N481" s="194" t="s">
        <v>279</v>
      </c>
    </row>
    <row r="482" spans="1:14" ht="11.4" x14ac:dyDescent="0.25">
      <c r="A482" s="137"/>
      <c r="B482" s="169" t="e">
        <f>IF(IF(VLOOKUP(A482,ASTBase!F:P,11,FALSE)="","",VLOOKUP(A482,ASTBase!F:P,11,FALSE))=0,"",IF(VLOOKUP(A482,ASTBase!F:P,11,FALSE)="","",VLOOKUP(A482,ASTBase!F:P,11,FALSE)))</f>
        <v>#N/A</v>
      </c>
      <c r="C482" s="140" t="str">
        <f>IF(IFERROR(_xlfn.IFNA(VLOOKUP($A482,'HR Rep'!$A:$X,MATCH('1) For HR (FIX)'!C$1,'HR Rep'!$A$1:$X$1,0),0),""),"")="","",IFERROR(_xlfn.IFNA(VLOOKUP($A482,'HR Rep'!$A:$X,MATCH('1) For HR (FIX)'!C$1,'HR Rep'!$A$1:$X$1,0),0),""),""))</f>
        <v/>
      </c>
      <c r="D482" s="140" t="str">
        <f>IF(IFERROR(_xlfn.IFNA(VLOOKUP($A482,'HR Rep'!$A:$X,MATCH('1) For HR (FIX)'!D$1,'HR Rep'!$A$1:$X$1,0),0),""),"")="","",IFERROR(_xlfn.IFNA(VLOOKUP($A482,'HR Rep'!$A:$X,MATCH('1) For HR (FIX)'!D$1,'HR Rep'!$A$1:$X$1,0),0),""),""))</f>
        <v/>
      </c>
      <c r="E482" s="140" t="str">
        <f>IF(IFERROR(_xlfn.IFNA(VLOOKUP($A482,'HR Rep'!$A:$X,MATCH('1) For HR (FIX)'!E$1,'HR Rep'!$A$1:$X$1,0),0),""),"")="","",IFERROR(_xlfn.IFNA(VLOOKUP($A482,'HR Rep'!$A:$X,MATCH('1) For HR (FIX)'!E$1,'HR Rep'!$A$1:$X$1,0),0),""),""))</f>
        <v/>
      </c>
      <c r="F482" s="140" t="str">
        <f>IF(IFERROR(_xlfn.IFNA(VLOOKUP($A482,'HR Rep'!$A:$X,MATCH('1) For HR (FIX)'!F$1,'HR Rep'!$A$1:$X$1,0),0),""),"")="","",IFERROR(_xlfn.IFNA(VLOOKUP($A482,'HR Rep'!$A:$X,MATCH('1) For HR (FIX)'!F$1,'HR Rep'!$A$1:$X$1,0),0),""),""))</f>
        <v/>
      </c>
      <c r="G482" s="196"/>
      <c r="H482" s="140" t="str">
        <f>IF(IFERROR(_xlfn.IFNA(VLOOKUP($A482,'HR Rep'!$A:$X,MATCH('1) For HR (FIX)'!H$1,'HR Rep'!$A$1:$X$1,0),0),""),"")="","",IFERROR(_xlfn.IFNA(VLOOKUP($A482,'HR Rep'!$A:$X,MATCH('1) For HR (FIX)'!H$1,'HR Rep'!$A$1:$X$1,0),0),""),""))</f>
        <v/>
      </c>
      <c r="I482" s="140" t="str">
        <f>IF(IFERROR(_xlfn.IFNA(VLOOKUP($A482,'HR Rep'!$A:$X,MATCH('1) For HR (FIX)'!I$1,'HR Rep'!$A$1:$X$1,0),0),""),"")="","",IFERROR(_xlfn.IFNA(VLOOKUP($A482,'HR Rep'!$A:$X,MATCH('1) For HR (FIX)'!I$1,'HR Rep'!$A$1:$X$1,0),0),""),""))</f>
        <v/>
      </c>
      <c r="J482" s="140" t="str">
        <f>IF(IFERROR(_xlfn.IFNA(VLOOKUP($A482,'HR Rep'!$A:$X,MATCH('1) For HR (FIX)'!J$1,'HR Rep'!$A$1:$X$1,0),0),""),"")="","",IFERROR(_xlfn.IFNA(VLOOKUP($A482,'HR Rep'!$A:$X,MATCH('1) For HR (FIX)'!J$1,'HR Rep'!$A$1:$X$1,0),0),""),""))</f>
        <v/>
      </c>
      <c r="K482" s="161">
        <f>_xlfn.XLOOKUP(G482,ค่าตอบแทนการขายในอัตราคงที่!A:A,ค่าตอบแทนการขายในอัตราคงที่!B:B)</f>
        <v>0</v>
      </c>
      <c r="L482" s="174">
        <f>Period!$A$2</f>
        <v>46113</v>
      </c>
      <c r="M482" s="175">
        <f>Period!$C$2</f>
        <v>46143</v>
      </c>
      <c r="N482" s="194" t="s">
        <v>279</v>
      </c>
    </row>
    <row r="483" spans="1:14" ht="11.4" x14ac:dyDescent="0.25">
      <c r="A483" s="137"/>
      <c r="B483" s="169" t="e">
        <f>IF(IF(VLOOKUP(A483,ASTBase!F:P,11,FALSE)="","",VLOOKUP(A483,ASTBase!F:P,11,FALSE))=0,"",IF(VLOOKUP(A483,ASTBase!F:P,11,FALSE)="","",VLOOKUP(A483,ASTBase!F:P,11,FALSE)))</f>
        <v>#N/A</v>
      </c>
      <c r="C483" s="140" t="str">
        <f>IF(IFERROR(_xlfn.IFNA(VLOOKUP($A483,'HR Rep'!$A:$X,MATCH('1) For HR (FIX)'!C$1,'HR Rep'!$A$1:$X$1,0),0),""),"")="","",IFERROR(_xlfn.IFNA(VLOOKUP($A483,'HR Rep'!$A:$X,MATCH('1) For HR (FIX)'!C$1,'HR Rep'!$A$1:$X$1,0),0),""),""))</f>
        <v/>
      </c>
      <c r="D483" s="140" t="str">
        <f>IF(IFERROR(_xlfn.IFNA(VLOOKUP($A483,'HR Rep'!$A:$X,MATCH('1) For HR (FIX)'!D$1,'HR Rep'!$A$1:$X$1,0),0),""),"")="","",IFERROR(_xlfn.IFNA(VLOOKUP($A483,'HR Rep'!$A:$X,MATCH('1) For HR (FIX)'!D$1,'HR Rep'!$A$1:$X$1,0),0),""),""))</f>
        <v/>
      </c>
      <c r="E483" s="140" t="str">
        <f>IF(IFERROR(_xlfn.IFNA(VLOOKUP($A483,'HR Rep'!$A:$X,MATCH('1) For HR (FIX)'!E$1,'HR Rep'!$A$1:$X$1,0),0),""),"")="","",IFERROR(_xlfn.IFNA(VLOOKUP($A483,'HR Rep'!$A:$X,MATCH('1) For HR (FIX)'!E$1,'HR Rep'!$A$1:$X$1,0),0),""),""))</f>
        <v/>
      </c>
      <c r="F483" s="140" t="str">
        <f>IF(IFERROR(_xlfn.IFNA(VLOOKUP($A483,'HR Rep'!$A:$X,MATCH('1) For HR (FIX)'!F$1,'HR Rep'!$A$1:$X$1,0),0),""),"")="","",IFERROR(_xlfn.IFNA(VLOOKUP($A483,'HR Rep'!$A:$X,MATCH('1) For HR (FIX)'!F$1,'HR Rep'!$A$1:$X$1,0),0),""),""))</f>
        <v/>
      </c>
      <c r="G483" s="196"/>
      <c r="H483" s="140" t="str">
        <f>IF(IFERROR(_xlfn.IFNA(VLOOKUP($A483,'HR Rep'!$A:$X,MATCH('1) For HR (FIX)'!H$1,'HR Rep'!$A$1:$X$1,0),0),""),"")="","",IFERROR(_xlfn.IFNA(VLOOKUP($A483,'HR Rep'!$A:$X,MATCH('1) For HR (FIX)'!H$1,'HR Rep'!$A$1:$X$1,0),0),""),""))</f>
        <v/>
      </c>
      <c r="I483" s="140" t="str">
        <f>IF(IFERROR(_xlfn.IFNA(VLOOKUP($A483,'HR Rep'!$A:$X,MATCH('1) For HR (FIX)'!I$1,'HR Rep'!$A$1:$X$1,0),0),""),"")="","",IFERROR(_xlfn.IFNA(VLOOKUP($A483,'HR Rep'!$A:$X,MATCH('1) For HR (FIX)'!I$1,'HR Rep'!$A$1:$X$1,0),0),""),""))</f>
        <v/>
      </c>
      <c r="J483" s="140" t="str">
        <f>IF(IFERROR(_xlfn.IFNA(VLOOKUP($A483,'HR Rep'!$A:$X,MATCH('1) For HR (FIX)'!J$1,'HR Rep'!$A$1:$X$1,0),0),""),"")="","",IFERROR(_xlfn.IFNA(VLOOKUP($A483,'HR Rep'!$A:$X,MATCH('1) For HR (FIX)'!J$1,'HR Rep'!$A$1:$X$1,0),0),""),""))</f>
        <v/>
      </c>
      <c r="K483" s="161">
        <f>_xlfn.XLOOKUP(G483,ค่าตอบแทนการขายในอัตราคงที่!A:A,ค่าตอบแทนการขายในอัตราคงที่!B:B)</f>
        <v>0</v>
      </c>
      <c r="L483" s="174">
        <f>Period!$A$2</f>
        <v>46113</v>
      </c>
      <c r="M483" s="175">
        <f>Period!$C$2</f>
        <v>46143</v>
      </c>
      <c r="N483" s="194" t="s">
        <v>279</v>
      </c>
    </row>
    <row r="484" spans="1:14" ht="11.4" x14ac:dyDescent="0.25">
      <c r="A484" s="137"/>
      <c r="B484" s="169" t="e">
        <f>IF(IF(VLOOKUP(A484,ASTBase!F:P,11,FALSE)="","",VLOOKUP(A484,ASTBase!F:P,11,FALSE))=0,"",IF(VLOOKUP(A484,ASTBase!F:P,11,FALSE)="","",VLOOKUP(A484,ASTBase!F:P,11,FALSE)))</f>
        <v>#N/A</v>
      </c>
      <c r="C484" s="140" t="str">
        <f>IF(IFERROR(_xlfn.IFNA(VLOOKUP($A484,'HR Rep'!$A:$X,MATCH('1) For HR (FIX)'!C$1,'HR Rep'!$A$1:$X$1,0),0),""),"")="","",IFERROR(_xlfn.IFNA(VLOOKUP($A484,'HR Rep'!$A:$X,MATCH('1) For HR (FIX)'!C$1,'HR Rep'!$A$1:$X$1,0),0),""),""))</f>
        <v/>
      </c>
      <c r="D484" s="140" t="str">
        <f>IF(IFERROR(_xlfn.IFNA(VLOOKUP($A484,'HR Rep'!$A:$X,MATCH('1) For HR (FIX)'!D$1,'HR Rep'!$A$1:$X$1,0),0),""),"")="","",IFERROR(_xlfn.IFNA(VLOOKUP($A484,'HR Rep'!$A:$X,MATCH('1) For HR (FIX)'!D$1,'HR Rep'!$A$1:$X$1,0),0),""),""))</f>
        <v/>
      </c>
      <c r="E484" s="140" t="str">
        <f>IF(IFERROR(_xlfn.IFNA(VLOOKUP($A484,'HR Rep'!$A:$X,MATCH('1) For HR (FIX)'!E$1,'HR Rep'!$A$1:$X$1,0),0),""),"")="","",IFERROR(_xlfn.IFNA(VLOOKUP($A484,'HR Rep'!$A:$X,MATCH('1) For HR (FIX)'!E$1,'HR Rep'!$A$1:$X$1,0),0),""),""))</f>
        <v/>
      </c>
      <c r="F484" s="140" t="str">
        <f>IF(IFERROR(_xlfn.IFNA(VLOOKUP($A484,'HR Rep'!$A:$X,MATCH('1) For HR (FIX)'!F$1,'HR Rep'!$A$1:$X$1,0),0),""),"")="","",IFERROR(_xlfn.IFNA(VLOOKUP($A484,'HR Rep'!$A:$X,MATCH('1) For HR (FIX)'!F$1,'HR Rep'!$A$1:$X$1,0),0),""),""))</f>
        <v/>
      </c>
      <c r="G484" s="196"/>
      <c r="H484" s="140" t="str">
        <f>IF(IFERROR(_xlfn.IFNA(VLOOKUP($A484,'HR Rep'!$A:$X,MATCH('1) For HR (FIX)'!H$1,'HR Rep'!$A$1:$X$1,0),0),""),"")="","",IFERROR(_xlfn.IFNA(VLOOKUP($A484,'HR Rep'!$A:$X,MATCH('1) For HR (FIX)'!H$1,'HR Rep'!$A$1:$X$1,0),0),""),""))</f>
        <v/>
      </c>
      <c r="I484" s="140" t="str">
        <f>IF(IFERROR(_xlfn.IFNA(VLOOKUP($A484,'HR Rep'!$A:$X,MATCH('1) For HR (FIX)'!I$1,'HR Rep'!$A$1:$X$1,0),0),""),"")="","",IFERROR(_xlfn.IFNA(VLOOKUP($A484,'HR Rep'!$A:$X,MATCH('1) For HR (FIX)'!I$1,'HR Rep'!$A$1:$X$1,0),0),""),""))</f>
        <v/>
      </c>
      <c r="J484" s="140" t="str">
        <f>IF(IFERROR(_xlfn.IFNA(VLOOKUP($A484,'HR Rep'!$A:$X,MATCH('1) For HR (FIX)'!J$1,'HR Rep'!$A$1:$X$1,0),0),""),"")="","",IFERROR(_xlfn.IFNA(VLOOKUP($A484,'HR Rep'!$A:$X,MATCH('1) For HR (FIX)'!J$1,'HR Rep'!$A$1:$X$1,0),0),""),""))</f>
        <v/>
      </c>
      <c r="K484" s="161">
        <f>_xlfn.XLOOKUP(G484,ค่าตอบแทนการขายในอัตราคงที่!A:A,ค่าตอบแทนการขายในอัตราคงที่!B:B)</f>
        <v>0</v>
      </c>
      <c r="L484" s="174">
        <f>Period!$A$2</f>
        <v>46113</v>
      </c>
      <c r="M484" s="175">
        <f>Period!$C$2</f>
        <v>46143</v>
      </c>
      <c r="N484" s="194" t="s">
        <v>279</v>
      </c>
    </row>
    <row r="485" spans="1:14" ht="11.4" x14ac:dyDescent="0.25">
      <c r="A485" s="137"/>
      <c r="B485" s="169" t="e">
        <f>IF(IF(VLOOKUP(A485,ASTBase!F:P,11,FALSE)="","",VLOOKUP(A485,ASTBase!F:P,11,FALSE))=0,"",IF(VLOOKUP(A485,ASTBase!F:P,11,FALSE)="","",VLOOKUP(A485,ASTBase!F:P,11,FALSE)))</f>
        <v>#N/A</v>
      </c>
      <c r="C485" s="140" t="str">
        <f>IF(IFERROR(_xlfn.IFNA(VLOOKUP($A485,'HR Rep'!$A:$X,MATCH('1) For HR (FIX)'!C$1,'HR Rep'!$A$1:$X$1,0),0),""),"")="","",IFERROR(_xlfn.IFNA(VLOOKUP($A485,'HR Rep'!$A:$X,MATCH('1) For HR (FIX)'!C$1,'HR Rep'!$A$1:$X$1,0),0),""),""))</f>
        <v/>
      </c>
      <c r="D485" s="140" t="str">
        <f>IF(IFERROR(_xlfn.IFNA(VLOOKUP($A485,'HR Rep'!$A:$X,MATCH('1) For HR (FIX)'!D$1,'HR Rep'!$A$1:$X$1,0),0),""),"")="","",IFERROR(_xlfn.IFNA(VLOOKUP($A485,'HR Rep'!$A:$X,MATCH('1) For HR (FIX)'!D$1,'HR Rep'!$A$1:$X$1,0),0),""),""))</f>
        <v/>
      </c>
      <c r="E485" s="140" t="str">
        <f>IF(IFERROR(_xlfn.IFNA(VLOOKUP($A485,'HR Rep'!$A:$X,MATCH('1) For HR (FIX)'!E$1,'HR Rep'!$A$1:$X$1,0),0),""),"")="","",IFERROR(_xlfn.IFNA(VLOOKUP($A485,'HR Rep'!$A:$X,MATCH('1) For HR (FIX)'!E$1,'HR Rep'!$A$1:$X$1,0),0),""),""))</f>
        <v/>
      </c>
      <c r="F485" s="140" t="str">
        <f>IF(IFERROR(_xlfn.IFNA(VLOOKUP($A485,'HR Rep'!$A:$X,MATCH('1) For HR (FIX)'!F$1,'HR Rep'!$A$1:$X$1,0),0),""),"")="","",IFERROR(_xlfn.IFNA(VLOOKUP($A485,'HR Rep'!$A:$X,MATCH('1) For HR (FIX)'!F$1,'HR Rep'!$A$1:$X$1,0),0),""),""))</f>
        <v/>
      </c>
      <c r="G485" s="196"/>
      <c r="H485" s="140" t="str">
        <f>IF(IFERROR(_xlfn.IFNA(VLOOKUP($A485,'HR Rep'!$A:$X,MATCH('1) For HR (FIX)'!H$1,'HR Rep'!$A$1:$X$1,0),0),""),"")="","",IFERROR(_xlfn.IFNA(VLOOKUP($A485,'HR Rep'!$A:$X,MATCH('1) For HR (FIX)'!H$1,'HR Rep'!$A$1:$X$1,0),0),""),""))</f>
        <v/>
      </c>
      <c r="I485" s="140" t="str">
        <f>IF(IFERROR(_xlfn.IFNA(VLOOKUP($A485,'HR Rep'!$A:$X,MATCH('1) For HR (FIX)'!I$1,'HR Rep'!$A$1:$X$1,0),0),""),"")="","",IFERROR(_xlfn.IFNA(VLOOKUP($A485,'HR Rep'!$A:$X,MATCH('1) For HR (FIX)'!I$1,'HR Rep'!$A$1:$X$1,0),0),""),""))</f>
        <v/>
      </c>
      <c r="J485" s="140" t="str">
        <f>IF(IFERROR(_xlfn.IFNA(VLOOKUP($A485,'HR Rep'!$A:$X,MATCH('1) For HR (FIX)'!J$1,'HR Rep'!$A$1:$X$1,0),0),""),"")="","",IFERROR(_xlfn.IFNA(VLOOKUP($A485,'HR Rep'!$A:$X,MATCH('1) For HR (FIX)'!J$1,'HR Rep'!$A$1:$X$1,0),0),""),""))</f>
        <v/>
      </c>
      <c r="K485" s="161">
        <f>_xlfn.XLOOKUP(G485,ค่าตอบแทนการขายในอัตราคงที่!A:A,ค่าตอบแทนการขายในอัตราคงที่!B:B)</f>
        <v>0</v>
      </c>
      <c r="L485" s="174">
        <f>Period!$A$2</f>
        <v>46113</v>
      </c>
      <c r="M485" s="175">
        <f>Period!$C$2</f>
        <v>46143</v>
      </c>
      <c r="N485" s="194" t="s">
        <v>279</v>
      </c>
    </row>
    <row r="486" spans="1:14" ht="11.4" x14ac:dyDescent="0.25">
      <c r="A486" s="137"/>
      <c r="B486" s="169" t="e">
        <f>IF(IF(VLOOKUP(A486,ASTBase!F:P,11,FALSE)="","",VLOOKUP(A486,ASTBase!F:P,11,FALSE))=0,"",IF(VLOOKUP(A486,ASTBase!F:P,11,FALSE)="","",VLOOKUP(A486,ASTBase!F:P,11,FALSE)))</f>
        <v>#N/A</v>
      </c>
      <c r="C486" s="140" t="str">
        <f>IF(IFERROR(_xlfn.IFNA(VLOOKUP($A486,'HR Rep'!$A:$X,MATCH('1) For HR (FIX)'!C$1,'HR Rep'!$A$1:$X$1,0),0),""),"")="","",IFERROR(_xlfn.IFNA(VLOOKUP($A486,'HR Rep'!$A:$X,MATCH('1) For HR (FIX)'!C$1,'HR Rep'!$A$1:$X$1,0),0),""),""))</f>
        <v/>
      </c>
      <c r="D486" s="140" t="str">
        <f>IF(IFERROR(_xlfn.IFNA(VLOOKUP($A486,'HR Rep'!$A:$X,MATCH('1) For HR (FIX)'!D$1,'HR Rep'!$A$1:$X$1,0),0),""),"")="","",IFERROR(_xlfn.IFNA(VLOOKUP($A486,'HR Rep'!$A:$X,MATCH('1) For HR (FIX)'!D$1,'HR Rep'!$A$1:$X$1,0),0),""),""))</f>
        <v/>
      </c>
      <c r="E486" s="140" t="str">
        <f>IF(IFERROR(_xlfn.IFNA(VLOOKUP($A486,'HR Rep'!$A:$X,MATCH('1) For HR (FIX)'!E$1,'HR Rep'!$A$1:$X$1,0),0),""),"")="","",IFERROR(_xlfn.IFNA(VLOOKUP($A486,'HR Rep'!$A:$X,MATCH('1) For HR (FIX)'!E$1,'HR Rep'!$A$1:$X$1,0),0),""),""))</f>
        <v/>
      </c>
      <c r="F486" s="140" t="str">
        <f>IF(IFERROR(_xlfn.IFNA(VLOOKUP($A486,'HR Rep'!$A:$X,MATCH('1) For HR (FIX)'!F$1,'HR Rep'!$A$1:$X$1,0),0),""),"")="","",IFERROR(_xlfn.IFNA(VLOOKUP($A486,'HR Rep'!$A:$X,MATCH('1) For HR (FIX)'!F$1,'HR Rep'!$A$1:$X$1,0),0),""),""))</f>
        <v/>
      </c>
      <c r="G486" s="196"/>
      <c r="H486" s="140" t="str">
        <f>IF(IFERROR(_xlfn.IFNA(VLOOKUP($A486,'HR Rep'!$A:$X,MATCH('1) For HR (FIX)'!H$1,'HR Rep'!$A$1:$X$1,0),0),""),"")="","",IFERROR(_xlfn.IFNA(VLOOKUP($A486,'HR Rep'!$A:$X,MATCH('1) For HR (FIX)'!H$1,'HR Rep'!$A$1:$X$1,0),0),""),""))</f>
        <v/>
      </c>
      <c r="I486" s="140" t="str">
        <f>IF(IFERROR(_xlfn.IFNA(VLOOKUP($A486,'HR Rep'!$A:$X,MATCH('1) For HR (FIX)'!I$1,'HR Rep'!$A$1:$X$1,0),0),""),"")="","",IFERROR(_xlfn.IFNA(VLOOKUP($A486,'HR Rep'!$A:$X,MATCH('1) For HR (FIX)'!I$1,'HR Rep'!$A$1:$X$1,0),0),""),""))</f>
        <v/>
      </c>
      <c r="J486" s="140" t="str">
        <f>IF(IFERROR(_xlfn.IFNA(VLOOKUP($A486,'HR Rep'!$A:$X,MATCH('1) For HR (FIX)'!J$1,'HR Rep'!$A$1:$X$1,0),0),""),"")="","",IFERROR(_xlfn.IFNA(VLOOKUP($A486,'HR Rep'!$A:$X,MATCH('1) For HR (FIX)'!J$1,'HR Rep'!$A$1:$X$1,0),0),""),""))</f>
        <v/>
      </c>
      <c r="K486" s="161">
        <f>_xlfn.XLOOKUP(G486,ค่าตอบแทนการขายในอัตราคงที่!A:A,ค่าตอบแทนการขายในอัตราคงที่!B:B)</f>
        <v>0</v>
      </c>
      <c r="L486" s="174">
        <f>Period!$A$2</f>
        <v>46113</v>
      </c>
      <c r="M486" s="175">
        <f>Period!$C$2</f>
        <v>46143</v>
      </c>
      <c r="N486" s="194" t="s">
        <v>279</v>
      </c>
    </row>
    <row r="487" spans="1:14" ht="11.4" x14ac:dyDescent="0.25">
      <c r="A487" s="137"/>
      <c r="B487" s="169" t="e">
        <f>IF(IF(VLOOKUP(A487,ASTBase!F:P,11,FALSE)="","",VLOOKUP(A487,ASTBase!F:P,11,FALSE))=0,"",IF(VLOOKUP(A487,ASTBase!F:P,11,FALSE)="","",VLOOKUP(A487,ASTBase!F:P,11,FALSE)))</f>
        <v>#N/A</v>
      </c>
      <c r="C487" s="140" t="str">
        <f>IF(IFERROR(_xlfn.IFNA(VLOOKUP($A487,'HR Rep'!$A:$X,MATCH('1) For HR (FIX)'!C$1,'HR Rep'!$A$1:$X$1,0),0),""),"")="","",IFERROR(_xlfn.IFNA(VLOOKUP($A487,'HR Rep'!$A:$X,MATCH('1) For HR (FIX)'!C$1,'HR Rep'!$A$1:$X$1,0),0),""),""))</f>
        <v/>
      </c>
      <c r="D487" s="140" t="str">
        <f>IF(IFERROR(_xlfn.IFNA(VLOOKUP($A487,'HR Rep'!$A:$X,MATCH('1) For HR (FIX)'!D$1,'HR Rep'!$A$1:$X$1,0),0),""),"")="","",IFERROR(_xlfn.IFNA(VLOOKUP($A487,'HR Rep'!$A:$X,MATCH('1) For HR (FIX)'!D$1,'HR Rep'!$A$1:$X$1,0),0),""),""))</f>
        <v/>
      </c>
      <c r="E487" s="140" t="str">
        <f>IF(IFERROR(_xlfn.IFNA(VLOOKUP($A487,'HR Rep'!$A:$X,MATCH('1) For HR (FIX)'!E$1,'HR Rep'!$A$1:$X$1,0),0),""),"")="","",IFERROR(_xlfn.IFNA(VLOOKUP($A487,'HR Rep'!$A:$X,MATCH('1) For HR (FIX)'!E$1,'HR Rep'!$A$1:$X$1,0),0),""),""))</f>
        <v/>
      </c>
      <c r="F487" s="140" t="str">
        <f>IF(IFERROR(_xlfn.IFNA(VLOOKUP($A487,'HR Rep'!$A:$X,MATCH('1) For HR (FIX)'!F$1,'HR Rep'!$A$1:$X$1,0),0),""),"")="","",IFERROR(_xlfn.IFNA(VLOOKUP($A487,'HR Rep'!$A:$X,MATCH('1) For HR (FIX)'!F$1,'HR Rep'!$A$1:$X$1,0),0),""),""))</f>
        <v/>
      </c>
      <c r="G487" s="196"/>
      <c r="H487" s="140" t="str">
        <f>IF(IFERROR(_xlfn.IFNA(VLOOKUP($A487,'HR Rep'!$A:$X,MATCH('1) For HR (FIX)'!H$1,'HR Rep'!$A$1:$X$1,0),0),""),"")="","",IFERROR(_xlfn.IFNA(VLOOKUP($A487,'HR Rep'!$A:$X,MATCH('1) For HR (FIX)'!H$1,'HR Rep'!$A$1:$X$1,0),0),""),""))</f>
        <v/>
      </c>
      <c r="I487" s="140" t="str">
        <f>IF(IFERROR(_xlfn.IFNA(VLOOKUP($A487,'HR Rep'!$A:$X,MATCH('1) For HR (FIX)'!I$1,'HR Rep'!$A$1:$X$1,0),0),""),"")="","",IFERROR(_xlfn.IFNA(VLOOKUP($A487,'HR Rep'!$A:$X,MATCH('1) For HR (FIX)'!I$1,'HR Rep'!$A$1:$X$1,0),0),""),""))</f>
        <v/>
      </c>
      <c r="J487" s="140" t="str">
        <f>IF(IFERROR(_xlfn.IFNA(VLOOKUP($A487,'HR Rep'!$A:$X,MATCH('1) For HR (FIX)'!J$1,'HR Rep'!$A$1:$X$1,0),0),""),"")="","",IFERROR(_xlfn.IFNA(VLOOKUP($A487,'HR Rep'!$A:$X,MATCH('1) For HR (FIX)'!J$1,'HR Rep'!$A$1:$X$1,0),0),""),""))</f>
        <v/>
      </c>
      <c r="K487" s="161">
        <f>_xlfn.XLOOKUP(G487,ค่าตอบแทนการขายในอัตราคงที่!A:A,ค่าตอบแทนการขายในอัตราคงที่!B:B)</f>
        <v>0</v>
      </c>
      <c r="L487" s="174">
        <f>Period!$A$2</f>
        <v>46113</v>
      </c>
      <c r="M487" s="175">
        <f>Period!$C$2</f>
        <v>46143</v>
      </c>
      <c r="N487" s="194" t="s">
        <v>279</v>
      </c>
    </row>
    <row r="488" spans="1:14" ht="11.4" x14ac:dyDescent="0.25">
      <c r="A488" s="137"/>
      <c r="B488" s="169" t="e">
        <f>IF(IF(VLOOKUP(A488,ASTBase!F:P,11,FALSE)="","",VLOOKUP(A488,ASTBase!F:P,11,FALSE))=0,"",IF(VLOOKUP(A488,ASTBase!F:P,11,FALSE)="","",VLOOKUP(A488,ASTBase!F:P,11,FALSE)))</f>
        <v>#N/A</v>
      </c>
      <c r="C488" s="140" t="str">
        <f>IF(IFERROR(_xlfn.IFNA(VLOOKUP($A488,'HR Rep'!$A:$X,MATCH('1) For HR (FIX)'!C$1,'HR Rep'!$A$1:$X$1,0),0),""),"")="","",IFERROR(_xlfn.IFNA(VLOOKUP($A488,'HR Rep'!$A:$X,MATCH('1) For HR (FIX)'!C$1,'HR Rep'!$A$1:$X$1,0),0),""),""))</f>
        <v/>
      </c>
      <c r="D488" s="140" t="str">
        <f>IF(IFERROR(_xlfn.IFNA(VLOOKUP($A488,'HR Rep'!$A:$X,MATCH('1) For HR (FIX)'!D$1,'HR Rep'!$A$1:$X$1,0),0),""),"")="","",IFERROR(_xlfn.IFNA(VLOOKUP($A488,'HR Rep'!$A:$X,MATCH('1) For HR (FIX)'!D$1,'HR Rep'!$A$1:$X$1,0),0),""),""))</f>
        <v/>
      </c>
      <c r="E488" s="140" t="str">
        <f>IF(IFERROR(_xlfn.IFNA(VLOOKUP($A488,'HR Rep'!$A:$X,MATCH('1) For HR (FIX)'!E$1,'HR Rep'!$A$1:$X$1,0),0),""),"")="","",IFERROR(_xlfn.IFNA(VLOOKUP($A488,'HR Rep'!$A:$X,MATCH('1) For HR (FIX)'!E$1,'HR Rep'!$A$1:$X$1,0),0),""),""))</f>
        <v/>
      </c>
      <c r="F488" s="140" t="str">
        <f>IF(IFERROR(_xlfn.IFNA(VLOOKUP($A488,'HR Rep'!$A:$X,MATCH('1) For HR (FIX)'!F$1,'HR Rep'!$A$1:$X$1,0),0),""),"")="","",IFERROR(_xlfn.IFNA(VLOOKUP($A488,'HR Rep'!$A:$X,MATCH('1) For HR (FIX)'!F$1,'HR Rep'!$A$1:$X$1,0),0),""),""))</f>
        <v/>
      </c>
      <c r="G488" s="196"/>
      <c r="H488" s="140" t="str">
        <f>IF(IFERROR(_xlfn.IFNA(VLOOKUP($A488,'HR Rep'!$A:$X,MATCH('1) For HR (FIX)'!H$1,'HR Rep'!$A$1:$X$1,0),0),""),"")="","",IFERROR(_xlfn.IFNA(VLOOKUP($A488,'HR Rep'!$A:$X,MATCH('1) For HR (FIX)'!H$1,'HR Rep'!$A$1:$X$1,0),0),""),""))</f>
        <v/>
      </c>
      <c r="I488" s="140" t="str">
        <f>IF(IFERROR(_xlfn.IFNA(VLOOKUP($A488,'HR Rep'!$A:$X,MATCH('1) For HR (FIX)'!I$1,'HR Rep'!$A$1:$X$1,0),0),""),"")="","",IFERROR(_xlfn.IFNA(VLOOKUP($A488,'HR Rep'!$A:$X,MATCH('1) For HR (FIX)'!I$1,'HR Rep'!$A$1:$X$1,0),0),""),""))</f>
        <v/>
      </c>
      <c r="J488" s="140" t="str">
        <f>IF(IFERROR(_xlfn.IFNA(VLOOKUP($A488,'HR Rep'!$A:$X,MATCH('1) For HR (FIX)'!J$1,'HR Rep'!$A$1:$X$1,0),0),""),"")="","",IFERROR(_xlfn.IFNA(VLOOKUP($A488,'HR Rep'!$A:$X,MATCH('1) For HR (FIX)'!J$1,'HR Rep'!$A$1:$X$1,0),0),""),""))</f>
        <v/>
      </c>
      <c r="K488" s="161">
        <f>_xlfn.XLOOKUP(G488,ค่าตอบแทนการขายในอัตราคงที่!A:A,ค่าตอบแทนการขายในอัตราคงที่!B:B)</f>
        <v>0</v>
      </c>
      <c r="L488" s="174">
        <f>Period!$A$2</f>
        <v>46113</v>
      </c>
      <c r="M488" s="175">
        <f>Period!$C$2</f>
        <v>46143</v>
      </c>
      <c r="N488" s="194" t="s">
        <v>279</v>
      </c>
    </row>
    <row r="489" spans="1:14" ht="11.4" x14ac:dyDescent="0.25">
      <c r="A489" s="137"/>
      <c r="B489" s="169" t="e">
        <f>IF(IF(VLOOKUP(A489,ASTBase!F:P,11,FALSE)="","",VLOOKUP(A489,ASTBase!F:P,11,FALSE))=0,"",IF(VLOOKUP(A489,ASTBase!F:P,11,FALSE)="","",VLOOKUP(A489,ASTBase!F:P,11,FALSE)))</f>
        <v>#N/A</v>
      </c>
      <c r="C489" s="140" t="str">
        <f>IF(IFERROR(_xlfn.IFNA(VLOOKUP($A489,'HR Rep'!$A:$X,MATCH('1) For HR (FIX)'!C$1,'HR Rep'!$A$1:$X$1,0),0),""),"")="","",IFERROR(_xlfn.IFNA(VLOOKUP($A489,'HR Rep'!$A:$X,MATCH('1) For HR (FIX)'!C$1,'HR Rep'!$A$1:$X$1,0),0),""),""))</f>
        <v/>
      </c>
      <c r="D489" s="140" t="str">
        <f>IF(IFERROR(_xlfn.IFNA(VLOOKUP($A489,'HR Rep'!$A:$X,MATCH('1) For HR (FIX)'!D$1,'HR Rep'!$A$1:$X$1,0),0),""),"")="","",IFERROR(_xlfn.IFNA(VLOOKUP($A489,'HR Rep'!$A:$X,MATCH('1) For HR (FIX)'!D$1,'HR Rep'!$A$1:$X$1,0),0),""),""))</f>
        <v/>
      </c>
      <c r="E489" s="140" t="str">
        <f>IF(IFERROR(_xlfn.IFNA(VLOOKUP($A489,'HR Rep'!$A:$X,MATCH('1) For HR (FIX)'!E$1,'HR Rep'!$A$1:$X$1,0),0),""),"")="","",IFERROR(_xlfn.IFNA(VLOOKUP($A489,'HR Rep'!$A:$X,MATCH('1) For HR (FIX)'!E$1,'HR Rep'!$A$1:$X$1,0),0),""),""))</f>
        <v/>
      </c>
      <c r="F489" s="140" t="str">
        <f>IF(IFERROR(_xlfn.IFNA(VLOOKUP($A489,'HR Rep'!$A:$X,MATCH('1) For HR (FIX)'!F$1,'HR Rep'!$A$1:$X$1,0),0),""),"")="","",IFERROR(_xlfn.IFNA(VLOOKUP($A489,'HR Rep'!$A:$X,MATCH('1) For HR (FIX)'!F$1,'HR Rep'!$A$1:$X$1,0),0),""),""))</f>
        <v/>
      </c>
      <c r="G489" s="196"/>
      <c r="H489" s="140" t="str">
        <f>IF(IFERROR(_xlfn.IFNA(VLOOKUP($A489,'HR Rep'!$A:$X,MATCH('1) For HR (FIX)'!H$1,'HR Rep'!$A$1:$X$1,0),0),""),"")="","",IFERROR(_xlfn.IFNA(VLOOKUP($A489,'HR Rep'!$A:$X,MATCH('1) For HR (FIX)'!H$1,'HR Rep'!$A$1:$X$1,0),0),""),""))</f>
        <v/>
      </c>
      <c r="I489" s="140" t="str">
        <f>IF(IFERROR(_xlfn.IFNA(VLOOKUP($A489,'HR Rep'!$A:$X,MATCH('1) For HR (FIX)'!I$1,'HR Rep'!$A$1:$X$1,0),0),""),"")="","",IFERROR(_xlfn.IFNA(VLOOKUP($A489,'HR Rep'!$A:$X,MATCH('1) For HR (FIX)'!I$1,'HR Rep'!$A$1:$X$1,0),0),""),""))</f>
        <v/>
      </c>
      <c r="J489" s="140" t="str">
        <f>IF(IFERROR(_xlfn.IFNA(VLOOKUP($A489,'HR Rep'!$A:$X,MATCH('1) For HR (FIX)'!J$1,'HR Rep'!$A$1:$X$1,0),0),""),"")="","",IFERROR(_xlfn.IFNA(VLOOKUP($A489,'HR Rep'!$A:$X,MATCH('1) For HR (FIX)'!J$1,'HR Rep'!$A$1:$X$1,0),0),""),""))</f>
        <v/>
      </c>
      <c r="K489" s="161">
        <f>_xlfn.XLOOKUP(G489,ค่าตอบแทนการขายในอัตราคงที่!A:A,ค่าตอบแทนการขายในอัตราคงที่!B:B)</f>
        <v>0</v>
      </c>
      <c r="L489" s="174">
        <f>Period!$A$2</f>
        <v>46113</v>
      </c>
      <c r="M489" s="175">
        <f>Period!$C$2</f>
        <v>46143</v>
      </c>
      <c r="N489" s="194" t="s">
        <v>279</v>
      </c>
    </row>
    <row r="490" spans="1:14" ht="11.4" x14ac:dyDescent="0.25">
      <c r="A490" s="137"/>
      <c r="B490" s="169" t="e">
        <f>IF(IF(VLOOKUP(A490,ASTBase!F:P,11,FALSE)="","",VLOOKUP(A490,ASTBase!F:P,11,FALSE))=0,"",IF(VLOOKUP(A490,ASTBase!F:P,11,FALSE)="","",VLOOKUP(A490,ASTBase!F:P,11,FALSE)))</f>
        <v>#N/A</v>
      </c>
      <c r="C490" s="140" t="str">
        <f>IF(IFERROR(_xlfn.IFNA(VLOOKUP($A490,'HR Rep'!$A:$X,MATCH('1) For HR (FIX)'!C$1,'HR Rep'!$A$1:$X$1,0),0),""),"")="","",IFERROR(_xlfn.IFNA(VLOOKUP($A490,'HR Rep'!$A:$X,MATCH('1) For HR (FIX)'!C$1,'HR Rep'!$A$1:$X$1,0),0),""),""))</f>
        <v/>
      </c>
      <c r="D490" s="140" t="str">
        <f>IF(IFERROR(_xlfn.IFNA(VLOOKUP($A490,'HR Rep'!$A:$X,MATCH('1) For HR (FIX)'!D$1,'HR Rep'!$A$1:$X$1,0),0),""),"")="","",IFERROR(_xlfn.IFNA(VLOOKUP($A490,'HR Rep'!$A:$X,MATCH('1) For HR (FIX)'!D$1,'HR Rep'!$A$1:$X$1,0),0),""),""))</f>
        <v/>
      </c>
      <c r="E490" s="140" t="str">
        <f>IF(IFERROR(_xlfn.IFNA(VLOOKUP($A490,'HR Rep'!$A:$X,MATCH('1) For HR (FIX)'!E$1,'HR Rep'!$A$1:$X$1,0),0),""),"")="","",IFERROR(_xlfn.IFNA(VLOOKUP($A490,'HR Rep'!$A:$X,MATCH('1) For HR (FIX)'!E$1,'HR Rep'!$A$1:$X$1,0),0),""),""))</f>
        <v/>
      </c>
      <c r="F490" s="140" t="str">
        <f>IF(IFERROR(_xlfn.IFNA(VLOOKUP($A490,'HR Rep'!$A:$X,MATCH('1) For HR (FIX)'!F$1,'HR Rep'!$A$1:$X$1,0),0),""),"")="","",IFERROR(_xlfn.IFNA(VLOOKUP($A490,'HR Rep'!$A:$X,MATCH('1) For HR (FIX)'!F$1,'HR Rep'!$A$1:$X$1,0),0),""),""))</f>
        <v/>
      </c>
      <c r="G490" s="196"/>
      <c r="H490" s="140" t="str">
        <f>IF(IFERROR(_xlfn.IFNA(VLOOKUP($A490,'HR Rep'!$A:$X,MATCH('1) For HR (FIX)'!H$1,'HR Rep'!$A$1:$X$1,0),0),""),"")="","",IFERROR(_xlfn.IFNA(VLOOKUP($A490,'HR Rep'!$A:$X,MATCH('1) For HR (FIX)'!H$1,'HR Rep'!$A$1:$X$1,0),0),""),""))</f>
        <v/>
      </c>
      <c r="I490" s="140" t="str">
        <f>IF(IFERROR(_xlfn.IFNA(VLOOKUP($A490,'HR Rep'!$A:$X,MATCH('1) For HR (FIX)'!I$1,'HR Rep'!$A$1:$X$1,0),0),""),"")="","",IFERROR(_xlfn.IFNA(VLOOKUP($A490,'HR Rep'!$A:$X,MATCH('1) For HR (FIX)'!I$1,'HR Rep'!$A$1:$X$1,0),0),""),""))</f>
        <v/>
      </c>
      <c r="J490" s="140" t="str">
        <f>IF(IFERROR(_xlfn.IFNA(VLOOKUP($A490,'HR Rep'!$A:$X,MATCH('1) For HR (FIX)'!J$1,'HR Rep'!$A$1:$X$1,0),0),""),"")="","",IFERROR(_xlfn.IFNA(VLOOKUP($A490,'HR Rep'!$A:$X,MATCH('1) For HR (FIX)'!J$1,'HR Rep'!$A$1:$X$1,0),0),""),""))</f>
        <v/>
      </c>
      <c r="K490" s="161">
        <f>_xlfn.XLOOKUP(G490,ค่าตอบแทนการขายในอัตราคงที่!A:A,ค่าตอบแทนการขายในอัตราคงที่!B:B)</f>
        <v>0</v>
      </c>
      <c r="L490" s="174">
        <f>Period!$A$2</f>
        <v>46113</v>
      </c>
      <c r="M490" s="175">
        <f>Period!$C$2</f>
        <v>46143</v>
      </c>
      <c r="N490" s="194" t="s">
        <v>279</v>
      </c>
    </row>
    <row r="491" spans="1:14" ht="11.4" x14ac:dyDescent="0.25">
      <c r="A491" s="137"/>
      <c r="B491" s="169" t="e">
        <f>IF(IF(VLOOKUP(A491,ASTBase!F:P,11,FALSE)="","",VLOOKUP(A491,ASTBase!F:P,11,FALSE))=0,"",IF(VLOOKUP(A491,ASTBase!F:P,11,FALSE)="","",VLOOKUP(A491,ASTBase!F:P,11,FALSE)))</f>
        <v>#N/A</v>
      </c>
      <c r="C491" s="140" t="str">
        <f>IF(IFERROR(_xlfn.IFNA(VLOOKUP($A491,'HR Rep'!$A:$X,MATCH('1) For HR (FIX)'!C$1,'HR Rep'!$A$1:$X$1,0),0),""),"")="","",IFERROR(_xlfn.IFNA(VLOOKUP($A491,'HR Rep'!$A:$X,MATCH('1) For HR (FIX)'!C$1,'HR Rep'!$A$1:$X$1,0),0),""),""))</f>
        <v/>
      </c>
      <c r="D491" s="140" t="str">
        <f>IF(IFERROR(_xlfn.IFNA(VLOOKUP($A491,'HR Rep'!$A:$X,MATCH('1) For HR (FIX)'!D$1,'HR Rep'!$A$1:$X$1,0),0),""),"")="","",IFERROR(_xlfn.IFNA(VLOOKUP($A491,'HR Rep'!$A:$X,MATCH('1) For HR (FIX)'!D$1,'HR Rep'!$A$1:$X$1,0),0),""),""))</f>
        <v/>
      </c>
      <c r="E491" s="140" t="str">
        <f>IF(IFERROR(_xlfn.IFNA(VLOOKUP($A491,'HR Rep'!$A:$X,MATCH('1) For HR (FIX)'!E$1,'HR Rep'!$A$1:$X$1,0),0),""),"")="","",IFERROR(_xlfn.IFNA(VLOOKUP($A491,'HR Rep'!$A:$X,MATCH('1) For HR (FIX)'!E$1,'HR Rep'!$A$1:$X$1,0),0),""),""))</f>
        <v/>
      </c>
      <c r="F491" s="140" t="str">
        <f>IF(IFERROR(_xlfn.IFNA(VLOOKUP($A491,'HR Rep'!$A:$X,MATCH('1) For HR (FIX)'!F$1,'HR Rep'!$A$1:$X$1,0),0),""),"")="","",IFERROR(_xlfn.IFNA(VLOOKUP($A491,'HR Rep'!$A:$X,MATCH('1) For HR (FIX)'!F$1,'HR Rep'!$A$1:$X$1,0),0),""),""))</f>
        <v/>
      </c>
      <c r="G491" s="196"/>
      <c r="H491" s="140" t="str">
        <f>IF(IFERROR(_xlfn.IFNA(VLOOKUP($A491,'HR Rep'!$A:$X,MATCH('1) For HR (FIX)'!H$1,'HR Rep'!$A$1:$X$1,0),0),""),"")="","",IFERROR(_xlfn.IFNA(VLOOKUP($A491,'HR Rep'!$A:$X,MATCH('1) For HR (FIX)'!H$1,'HR Rep'!$A$1:$X$1,0),0),""),""))</f>
        <v/>
      </c>
      <c r="I491" s="140" t="str">
        <f>IF(IFERROR(_xlfn.IFNA(VLOOKUP($A491,'HR Rep'!$A:$X,MATCH('1) For HR (FIX)'!I$1,'HR Rep'!$A$1:$X$1,0),0),""),"")="","",IFERROR(_xlfn.IFNA(VLOOKUP($A491,'HR Rep'!$A:$X,MATCH('1) For HR (FIX)'!I$1,'HR Rep'!$A$1:$X$1,0),0),""),""))</f>
        <v/>
      </c>
      <c r="J491" s="140" t="str">
        <f>IF(IFERROR(_xlfn.IFNA(VLOOKUP($A491,'HR Rep'!$A:$X,MATCH('1) For HR (FIX)'!J$1,'HR Rep'!$A$1:$X$1,0),0),""),"")="","",IFERROR(_xlfn.IFNA(VLOOKUP($A491,'HR Rep'!$A:$X,MATCH('1) For HR (FIX)'!J$1,'HR Rep'!$A$1:$X$1,0),0),""),""))</f>
        <v/>
      </c>
      <c r="K491" s="161">
        <f>_xlfn.XLOOKUP(G491,ค่าตอบแทนการขายในอัตราคงที่!A:A,ค่าตอบแทนการขายในอัตราคงที่!B:B)</f>
        <v>0</v>
      </c>
      <c r="L491" s="174">
        <f>Period!$A$2</f>
        <v>46113</v>
      </c>
      <c r="M491" s="175">
        <f>Period!$C$2</f>
        <v>46143</v>
      </c>
      <c r="N491" s="194" t="s">
        <v>279</v>
      </c>
    </row>
    <row r="492" spans="1:14" ht="11.4" x14ac:dyDescent="0.25">
      <c r="A492" s="137"/>
      <c r="B492" s="169" t="e">
        <f>IF(IF(VLOOKUP(A492,ASTBase!F:P,11,FALSE)="","",VLOOKUP(A492,ASTBase!F:P,11,FALSE))=0,"",IF(VLOOKUP(A492,ASTBase!F:P,11,FALSE)="","",VLOOKUP(A492,ASTBase!F:P,11,FALSE)))</f>
        <v>#N/A</v>
      </c>
      <c r="C492" s="140" t="str">
        <f>IF(IFERROR(_xlfn.IFNA(VLOOKUP($A492,'HR Rep'!$A:$X,MATCH('1) For HR (FIX)'!C$1,'HR Rep'!$A$1:$X$1,0),0),""),"")="","",IFERROR(_xlfn.IFNA(VLOOKUP($A492,'HR Rep'!$A:$X,MATCH('1) For HR (FIX)'!C$1,'HR Rep'!$A$1:$X$1,0),0),""),""))</f>
        <v/>
      </c>
      <c r="D492" s="140" t="str">
        <f>IF(IFERROR(_xlfn.IFNA(VLOOKUP($A492,'HR Rep'!$A:$X,MATCH('1) For HR (FIX)'!D$1,'HR Rep'!$A$1:$X$1,0),0),""),"")="","",IFERROR(_xlfn.IFNA(VLOOKUP($A492,'HR Rep'!$A:$X,MATCH('1) For HR (FIX)'!D$1,'HR Rep'!$A$1:$X$1,0),0),""),""))</f>
        <v/>
      </c>
      <c r="E492" s="140" t="str">
        <f>IF(IFERROR(_xlfn.IFNA(VLOOKUP($A492,'HR Rep'!$A:$X,MATCH('1) For HR (FIX)'!E$1,'HR Rep'!$A$1:$X$1,0),0),""),"")="","",IFERROR(_xlfn.IFNA(VLOOKUP($A492,'HR Rep'!$A:$X,MATCH('1) For HR (FIX)'!E$1,'HR Rep'!$A$1:$X$1,0),0),""),""))</f>
        <v/>
      </c>
      <c r="F492" s="140" t="str">
        <f>IF(IFERROR(_xlfn.IFNA(VLOOKUP($A492,'HR Rep'!$A:$X,MATCH('1) For HR (FIX)'!F$1,'HR Rep'!$A$1:$X$1,0),0),""),"")="","",IFERROR(_xlfn.IFNA(VLOOKUP($A492,'HR Rep'!$A:$X,MATCH('1) For HR (FIX)'!F$1,'HR Rep'!$A$1:$X$1,0),0),""),""))</f>
        <v/>
      </c>
      <c r="G492" s="196"/>
      <c r="H492" s="140" t="str">
        <f>IF(IFERROR(_xlfn.IFNA(VLOOKUP($A492,'HR Rep'!$A:$X,MATCH('1) For HR (FIX)'!H$1,'HR Rep'!$A$1:$X$1,0),0),""),"")="","",IFERROR(_xlfn.IFNA(VLOOKUP($A492,'HR Rep'!$A:$X,MATCH('1) For HR (FIX)'!H$1,'HR Rep'!$A$1:$X$1,0),0),""),""))</f>
        <v/>
      </c>
      <c r="I492" s="140" t="str">
        <f>IF(IFERROR(_xlfn.IFNA(VLOOKUP($A492,'HR Rep'!$A:$X,MATCH('1) For HR (FIX)'!I$1,'HR Rep'!$A$1:$X$1,0),0),""),"")="","",IFERROR(_xlfn.IFNA(VLOOKUP($A492,'HR Rep'!$A:$X,MATCH('1) For HR (FIX)'!I$1,'HR Rep'!$A$1:$X$1,0),0),""),""))</f>
        <v/>
      </c>
      <c r="J492" s="140" t="str">
        <f>IF(IFERROR(_xlfn.IFNA(VLOOKUP($A492,'HR Rep'!$A:$X,MATCH('1) For HR (FIX)'!J$1,'HR Rep'!$A$1:$X$1,0),0),""),"")="","",IFERROR(_xlfn.IFNA(VLOOKUP($A492,'HR Rep'!$A:$X,MATCH('1) For HR (FIX)'!J$1,'HR Rep'!$A$1:$X$1,0),0),""),""))</f>
        <v/>
      </c>
      <c r="K492" s="161">
        <f>_xlfn.XLOOKUP(G492,ค่าตอบแทนการขายในอัตราคงที่!A:A,ค่าตอบแทนการขายในอัตราคงที่!B:B)</f>
        <v>0</v>
      </c>
      <c r="L492" s="174">
        <f>Period!$A$2</f>
        <v>46113</v>
      </c>
      <c r="M492" s="175">
        <f>Period!$C$2</f>
        <v>46143</v>
      </c>
      <c r="N492" s="194" t="s">
        <v>279</v>
      </c>
    </row>
    <row r="493" spans="1:14" ht="11.4" x14ac:dyDescent="0.25">
      <c r="A493" s="137"/>
      <c r="B493" s="169" t="e">
        <f>IF(IF(VLOOKUP(A493,ASTBase!F:P,11,FALSE)="","",VLOOKUP(A493,ASTBase!F:P,11,FALSE))=0,"",IF(VLOOKUP(A493,ASTBase!F:P,11,FALSE)="","",VLOOKUP(A493,ASTBase!F:P,11,FALSE)))</f>
        <v>#N/A</v>
      </c>
      <c r="C493" s="140" t="str">
        <f>IF(IFERROR(_xlfn.IFNA(VLOOKUP($A493,'HR Rep'!$A:$X,MATCH('1) For HR (FIX)'!C$1,'HR Rep'!$A$1:$X$1,0),0),""),"")="","",IFERROR(_xlfn.IFNA(VLOOKUP($A493,'HR Rep'!$A:$X,MATCH('1) For HR (FIX)'!C$1,'HR Rep'!$A$1:$X$1,0),0),""),""))</f>
        <v/>
      </c>
      <c r="D493" s="140" t="str">
        <f>IF(IFERROR(_xlfn.IFNA(VLOOKUP($A493,'HR Rep'!$A:$X,MATCH('1) For HR (FIX)'!D$1,'HR Rep'!$A$1:$X$1,0),0),""),"")="","",IFERROR(_xlfn.IFNA(VLOOKUP($A493,'HR Rep'!$A:$X,MATCH('1) For HR (FIX)'!D$1,'HR Rep'!$A$1:$X$1,0),0),""),""))</f>
        <v/>
      </c>
      <c r="E493" s="140" t="str">
        <f>IF(IFERROR(_xlfn.IFNA(VLOOKUP($A493,'HR Rep'!$A:$X,MATCH('1) For HR (FIX)'!E$1,'HR Rep'!$A$1:$X$1,0),0),""),"")="","",IFERROR(_xlfn.IFNA(VLOOKUP($A493,'HR Rep'!$A:$X,MATCH('1) For HR (FIX)'!E$1,'HR Rep'!$A$1:$X$1,0),0),""),""))</f>
        <v/>
      </c>
      <c r="F493" s="140" t="str">
        <f>IF(IFERROR(_xlfn.IFNA(VLOOKUP($A493,'HR Rep'!$A:$X,MATCH('1) For HR (FIX)'!F$1,'HR Rep'!$A$1:$X$1,0),0),""),"")="","",IFERROR(_xlfn.IFNA(VLOOKUP($A493,'HR Rep'!$A:$X,MATCH('1) For HR (FIX)'!F$1,'HR Rep'!$A$1:$X$1,0),0),""),""))</f>
        <v/>
      </c>
      <c r="G493" s="196"/>
      <c r="H493" s="140" t="str">
        <f>IF(IFERROR(_xlfn.IFNA(VLOOKUP($A493,'HR Rep'!$A:$X,MATCH('1) For HR (FIX)'!H$1,'HR Rep'!$A$1:$X$1,0),0),""),"")="","",IFERROR(_xlfn.IFNA(VLOOKUP($A493,'HR Rep'!$A:$X,MATCH('1) For HR (FIX)'!H$1,'HR Rep'!$A$1:$X$1,0),0),""),""))</f>
        <v/>
      </c>
      <c r="I493" s="140" t="str">
        <f>IF(IFERROR(_xlfn.IFNA(VLOOKUP($A493,'HR Rep'!$A:$X,MATCH('1) For HR (FIX)'!I$1,'HR Rep'!$A$1:$X$1,0),0),""),"")="","",IFERROR(_xlfn.IFNA(VLOOKUP($A493,'HR Rep'!$A:$X,MATCH('1) For HR (FIX)'!I$1,'HR Rep'!$A$1:$X$1,0),0),""),""))</f>
        <v/>
      </c>
      <c r="J493" s="140" t="str">
        <f>IF(IFERROR(_xlfn.IFNA(VLOOKUP($A493,'HR Rep'!$A:$X,MATCH('1) For HR (FIX)'!J$1,'HR Rep'!$A$1:$X$1,0),0),""),"")="","",IFERROR(_xlfn.IFNA(VLOOKUP($A493,'HR Rep'!$A:$X,MATCH('1) For HR (FIX)'!J$1,'HR Rep'!$A$1:$X$1,0),0),""),""))</f>
        <v/>
      </c>
      <c r="K493" s="161">
        <f>_xlfn.XLOOKUP(G493,ค่าตอบแทนการขายในอัตราคงที่!A:A,ค่าตอบแทนการขายในอัตราคงที่!B:B)</f>
        <v>0</v>
      </c>
      <c r="L493" s="174">
        <f>Period!$A$2</f>
        <v>46113</v>
      </c>
      <c r="M493" s="175">
        <f>Period!$C$2</f>
        <v>46143</v>
      </c>
      <c r="N493" s="194" t="s">
        <v>279</v>
      </c>
    </row>
    <row r="494" spans="1:14" ht="11.4" x14ac:dyDescent="0.25">
      <c r="A494" s="137"/>
      <c r="B494" s="169" t="e">
        <f>IF(IF(VLOOKUP(A494,ASTBase!F:P,11,FALSE)="","",VLOOKUP(A494,ASTBase!F:P,11,FALSE))=0,"",IF(VLOOKUP(A494,ASTBase!F:P,11,FALSE)="","",VLOOKUP(A494,ASTBase!F:P,11,FALSE)))</f>
        <v>#N/A</v>
      </c>
      <c r="C494" s="140" t="str">
        <f>IF(IFERROR(_xlfn.IFNA(VLOOKUP($A494,'HR Rep'!$A:$X,MATCH('1) For HR (FIX)'!C$1,'HR Rep'!$A$1:$X$1,0),0),""),"")="","",IFERROR(_xlfn.IFNA(VLOOKUP($A494,'HR Rep'!$A:$X,MATCH('1) For HR (FIX)'!C$1,'HR Rep'!$A$1:$X$1,0),0),""),""))</f>
        <v/>
      </c>
      <c r="D494" s="140" t="str">
        <f>IF(IFERROR(_xlfn.IFNA(VLOOKUP($A494,'HR Rep'!$A:$X,MATCH('1) For HR (FIX)'!D$1,'HR Rep'!$A$1:$X$1,0),0),""),"")="","",IFERROR(_xlfn.IFNA(VLOOKUP($A494,'HR Rep'!$A:$X,MATCH('1) For HR (FIX)'!D$1,'HR Rep'!$A$1:$X$1,0),0),""),""))</f>
        <v/>
      </c>
      <c r="E494" s="140" t="str">
        <f>IF(IFERROR(_xlfn.IFNA(VLOOKUP($A494,'HR Rep'!$A:$X,MATCH('1) For HR (FIX)'!E$1,'HR Rep'!$A$1:$X$1,0),0),""),"")="","",IFERROR(_xlfn.IFNA(VLOOKUP($A494,'HR Rep'!$A:$X,MATCH('1) For HR (FIX)'!E$1,'HR Rep'!$A$1:$X$1,0),0),""),""))</f>
        <v/>
      </c>
      <c r="F494" s="140" t="str">
        <f>IF(IFERROR(_xlfn.IFNA(VLOOKUP($A494,'HR Rep'!$A:$X,MATCH('1) For HR (FIX)'!F$1,'HR Rep'!$A$1:$X$1,0),0),""),"")="","",IFERROR(_xlfn.IFNA(VLOOKUP($A494,'HR Rep'!$A:$X,MATCH('1) For HR (FIX)'!F$1,'HR Rep'!$A$1:$X$1,0),0),""),""))</f>
        <v/>
      </c>
      <c r="G494" s="196"/>
      <c r="H494" s="140" t="str">
        <f>IF(IFERROR(_xlfn.IFNA(VLOOKUP($A494,'HR Rep'!$A:$X,MATCH('1) For HR (FIX)'!H$1,'HR Rep'!$A$1:$X$1,0),0),""),"")="","",IFERROR(_xlfn.IFNA(VLOOKUP($A494,'HR Rep'!$A:$X,MATCH('1) For HR (FIX)'!H$1,'HR Rep'!$A$1:$X$1,0),0),""),""))</f>
        <v/>
      </c>
      <c r="I494" s="140" t="str">
        <f>IF(IFERROR(_xlfn.IFNA(VLOOKUP($A494,'HR Rep'!$A:$X,MATCH('1) For HR (FIX)'!I$1,'HR Rep'!$A$1:$X$1,0),0),""),"")="","",IFERROR(_xlfn.IFNA(VLOOKUP($A494,'HR Rep'!$A:$X,MATCH('1) For HR (FIX)'!I$1,'HR Rep'!$A$1:$X$1,0),0),""),""))</f>
        <v/>
      </c>
      <c r="J494" s="140" t="str">
        <f>IF(IFERROR(_xlfn.IFNA(VLOOKUP($A494,'HR Rep'!$A:$X,MATCH('1) For HR (FIX)'!J$1,'HR Rep'!$A$1:$X$1,0),0),""),"")="","",IFERROR(_xlfn.IFNA(VLOOKUP($A494,'HR Rep'!$A:$X,MATCH('1) For HR (FIX)'!J$1,'HR Rep'!$A$1:$X$1,0),0),""),""))</f>
        <v/>
      </c>
      <c r="K494" s="161">
        <f>_xlfn.XLOOKUP(G494,ค่าตอบแทนการขายในอัตราคงที่!A:A,ค่าตอบแทนการขายในอัตราคงที่!B:B)</f>
        <v>0</v>
      </c>
      <c r="L494" s="174">
        <f>Period!$A$2</f>
        <v>46113</v>
      </c>
      <c r="M494" s="175">
        <f>Period!$C$2</f>
        <v>46143</v>
      </c>
      <c r="N494" s="194" t="s">
        <v>279</v>
      </c>
    </row>
    <row r="495" spans="1:14" ht="11.4" x14ac:dyDescent="0.25">
      <c r="A495" s="137"/>
      <c r="B495" s="169" t="e">
        <f>IF(IF(VLOOKUP(A495,ASTBase!F:P,11,FALSE)="","",VLOOKUP(A495,ASTBase!F:P,11,FALSE))=0,"",IF(VLOOKUP(A495,ASTBase!F:P,11,FALSE)="","",VLOOKUP(A495,ASTBase!F:P,11,FALSE)))</f>
        <v>#N/A</v>
      </c>
      <c r="C495" s="140" t="str">
        <f>IF(IFERROR(_xlfn.IFNA(VLOOKUP($A495,'HR Rep'!$A:$X,MATCH('1) For HR (FIX)'!C$1,'HR Rep'!$A$1:$X$1,0),0),""),"")="","",IFERROR(_xlfn.IFNA(VLOOKUP($A495,'HR Rep'!$A:$X,MATCH('1) For HR (FIX)'!C$1,'HR Rep'!$A$1:$X$1,0),0),""),""))</f>
        <v/>
      </c>
      <c r="D495" s="140" t="str">
        <f>IF(IFERROR(_xlfn.IFNA(VLOOKUP($A495,'HR Rep'!$A:$X,MATCH('1) For HR (FIX)'!D$1,'HR Rep'!$A$1:$X$1,0),0),""),"")="","",IFERROR(_xlfn.IFNA(VLOOKUP($A495,'HR Rep'!$A:$X,MATCH('1) For HR (FIX)'!D$1,'HR Rep'!$A$1:$X$1,0),0),""),""))</f>
        <v/>
      </c>
      <c r="E495" s="140" t="str">
        <f>IF(IFERROR(_xlfn.IFNA(VLOOKUP($A495,'HR Rep'!$A:$X,MATCH('1) For HR (FIX)'!E$1,'HR Rep'!$A$1:$X$1,0),0),""),"")="","",IFERROR(_xlfn.IFNA(VLOOKUP($A495,'HR Rep'!$A:$X,MATCH('1) For HR (FIX)'!E$1,'HR Rep'!$A$1:$X$1,0),0),""),""))</f>
        <v/>
      </c>
      <c r="F495" s="140" t="str">
        <f>IF(IFERROR(_xlfn.IFNA(VLOOKUP($A495,'HR Rep'!$A:$X,MATCH('1) For HR (FIX)'!F$1,'HR Rep'!$A$1:$X$1,0),0),""),"")="","",IFERROR(_xlfn.IFNA(VLOOKUP($A495,'HR Rep'!$A:$X,MATCH('1) For HR (FIX)'!F$1,'HR Rep'!$A$1:$X$1,0),0),""),""))</f>
        <v/>
      </c>
      <c r="G495" s="196"/>
      <c r="H495" s="140" t="str">
        <f>IF(IFERROR(_xlfn.IFNA(VLOOKUP($A495,'HR Rep'!$A:$X,MATCH('1) For HR (FIX)'!H$1,'HR Rep'!$A$1:$X$1,0),0),""),"")="","",IFERROR(_xlfn.IFNA(VLOOKUP($A495,'HR Rep'!$A:$X,MATCH('1) For HR (FIX)'!H$1,'HR Rep'!$A$1:$X$1,0),0),""),""))</f>
        <v/>
      </c>
      <c r="I495" s="140" t="str">
        <f>IF(IFERROR(_xlfn.IFNA(VLOOKUP($A495,'HR Rep'!$A:$X,MATCH('1) For HR (FIX)'!I$1,'HR Rep'!$A$1:$X$1,0),0),""),"")="","",IFERROR(_xlfn.IFNA(VLOOKUP($A495,'HR Rep'!$A:$X,MATCH('1) For HR (FIX)'!I$1,'HR Rep'!$A$1:$X$1,0),0),""),""))</f>
        <v/>
      </c>
      <c r="J495" s="140" t="str">
        <f>IF(IFERROR(_xlfn.IFNA(VLOOKUP($A495,'HR Rep'!$A:$X,MATCH('1) For HR (FIX)'!J$1,'HR Rep'!$A$1:$X$1,0),0),""),"")="","",IFERROR(_xlfn.IFNA(VLOOKUP($A495,'HR Rep'!$A:$X,MATCH('1) For HR (FIX)'!J$1,'HR Rep'!$A$1:$X$1,0),0),""),""))</f>
        <v/>
      </c>
      <c r="K495" s="161">
        <f>_xlfn.XLOOKUP(G495,ค่าตอบแทนการขายในอัตราคงที่!A:A,ค่าตอบแทนการขายในอัตราคงที่!B:B)</f>
        <v>0</v>
      </c>
      <c r="L495" s="174">
        <f>Period!$A$2</f>
        <v>46113</v>
      </c>
      <c r="M495" s="175">
        <f>Period!$C$2</f>
        <v>46143</v>
      </c>
      <c r="N495" s="194" t="s">
        <v>279</v>
      </c>
    </row>
    <row r="496" spans="1:14" ht="11.4" x14ac:dyDescent="0.25">
      <c r="A496" s="137"/>
      <c r="B496" s="169" t="e">
        <f>IF(IF(VLOOKUP(A496,ASTBase!F:P,11,FALSE)="","",VLOOKUP(A496,ASTBase!F:P,11,FALSE))=0,"",IF(VLOOKUP(A496,ASTBase!F:P,11,FALSE)="","",VLOOKUP(A496,ASTBase!F:P,11,FALSE)))</f>
        <v>#N/A</v>
      </c>
      <c r="C496" s="140" t="str">
        <f>IF(IFERROR(_xlfn.IFNA(VLOOKUP($A496,'HR Rep'!$A:$X,MATCH('1) For HR (FIX)'!C$1,'HR Rep'!$A$1:$X$1,0),0),""),"")="","",IFERROR(_xlfn.IFNA(VLOOKUP($A496,'HR Rep'!$A:$X,MATCH('1) For HR (FIX)'!C$1,'HR Rep'!$A$1:$X$1,0),0),""),""))</f>
        <v/>
      </c>
      <c r="D496" s="140" t="str">
        <f>IF(IFERROR(_xlfn.IFNA(VLOOKUP($A496,'HR Rep'!$A:$X,MATCH('1) For HR (FIX)'!D$1,'HR Rep'!$A$1:$X$1,0),0),""),"")="","",IFERROR(_xlfn.IFNA(VLOOKUP($A496,'HR Rep'!$A:$X,MATCH('1) For HR (FIX)'!D$1,'HR Rep'!$A$1:$X$1,0),0),""),""))</f>
        <v/>
      </c>
      <c r="E496" s="140" t="str">
        <f>IF(IFERROR(_xlfn.IFNA(VLOOKUP($A496,'HR Rep'!$A:$X,MATCH('1) For HR (FIX)'!E$1,'HR Rep'!$A$1:$X$1,0),0),""),"")="","",IFERROR(_xlfn.IFNA(VLOOKUP($A496,'HR Rep'!$A:$X,MATCH('1) For HR (FIX)'!E$1,'HR Rep'!$A$1:$X$1,0),0),""),""))</f>
        <v/>
      </c>
      <c r="F496" s="140" t="str">
        <f>IF(IFERROR(_xlfn.IFNA(VLOOKUP($A496,'HR Rep'!$A:$X,MATCH('1) For HR (FIX)'!F$1,'HR Rep'!$A$1:$X$1,0),0),""),"")="","",IFERROR(_xlfn.IFNA(VLOOKUP($A496,'HR Rep'!$A:$X,MATCH('1) For HR (FIX)'!F$1,'HR Rep'!$A$1:$X$1,0),0),""),""))</f>
        <v/>
      </c>
      <c r="G496" s="196"/>
      <c r="H496" s="140" t="str">
        <f>IF(IFERROR(_xlfn.IFNA(VLOOKUP($A496,'HR Rep'!$A:$X,MATCH('1) For HR (FIX)'!H$1,'HR Rep'!$A$1:$X$1,0),0),""),"")="","",IFERROR(_xlfn.IFNA(VLOOKUP($A496,'HR Rep'!$A:$X,MATCH('1) For HR (FIX)'!H$1,'HR Rep'!$A$1:$X$1,0),0),""),""))</f>
        <v/>
      </c>
      <c r="I496" s="140" t="str">
        <f>IF(IFERROR(_xlfn.IFNA(VLOOKUP($A496,'HR Rep'!$A:$X,MATCH('1) For HR (FIX)'!I$1,'HR Rep'!$A$1:$X$1,0),0),""),"")="","",IFERROR(_xlfn.IFNA(VLOOKUP($A496,'HR Rep'!$A:$X,MATCH('1) For HR (FIX)'!I$1,'HR Rep'!$A$1:$X$1,0),0),""),""))</f>
        <v/>
      </c>
      <c r="J496" s="140" t="str">
        <f>IF(IFERROR(_xlfn.IFNA(VLOOKUP($A496,'HR Rep'!$A:$X,MATCH('1) For HR (FIX)'!J$1,'HR Rep'!$A$1:$X$1,0),0),""),"")="","",IFERROR(_xlfn.IFNA(VLOOKUP($A496,'HR Rep'!$A:$X,MATCH('1) For HR (FIX)'!J$1,'HR Rep'!$A$1:$X$1,0),0),""),""))</f>
        <v/>
      </c>
      <c r="K496" s="161">
        <f>_xlfn.XLOOKUP(G496,ค่าตอบแทนการขายในอัตราคงที่!A:A,ค่าตอบแทนการขายในอัตราคงที่!B:B)</f>
        <v>0</v>
      </c>
      <c r="L496" s="174">
        <f>Period!$A$2</f>
        <v>46113</v>
      </c>
      <c r="M496" s="175">
        <f>Period!$C$2</f>
        <v>46143</v>
      </c>
      <c r="N496" s="194" t="s">
        <v>279</v>
      </c>
    </row>
    <row r="497" spans="1:14" ht="11.4" x14ac:dyDescent="0.25">
      <c r="A497" s="137"/>
      <c r="B497" s="169" t="e">
        <f>IF(IF(VLOOKUP(A497,ASTBase!F:P,11,FALSE)="","",VLOOKUP(A497,ASTBase!F:P,11,FALSE))=0,"",IF(VLOOKUP(A497,ASTBase!F:P,11,FALSE)="","",VLOOKUP(A497,ASTBase!F:P,11,FALSE)))</f>
        <v>#N/A</v>
      </c>
      <c r="C497" s="140" t="str">
        <f>IF(IFERROR(_xlfn.IFNA(VLOOKUP($A497,'HR Rep'!$A:$X,MATCH('1) For HR (FIX)'!C$1,'HR Rep'!$A$1:$X$1,0),0),""),"")="","",IFERROR(_xlfn.IFNA(VLOOKUP($A497,'HR Rep'!$A:$X,MATCH('1) For HR (FIX)'!C$1,'HR Rep'!$A$1:$X$1,0),0),""),""))</f>
        <v/>
      </c>
      <c r="D497" s="140" t="str">
        <f>IF(IFERROR(_xlfn.IFNA(VLOOKUP($A497,'HR Rep'!$A:$X,MATCH('1) For HR (FIX)'!D$1,'HR Rep'!$A$1:$X$1,0),0),""),"")="","",IFERROR(_xlfn.IFNA(VLOOKUP($A497,'HR Rep'!$A:$X,MATCH('1) For HR (FIX)'!D$1,'HR Rep'!$A$1:$X$1,0),0),""),""))</f>
        <v/>
      </c>
      <c r="E497" s="140" t="str">
        <f>IF(IFERROR(_xlfn.IFNA(VLOOKUP($A497,'HR Rep'!$A:$X,MATCH('1) For HR (FIX)'!E$1,'HR Rep'!$A$1:$X$1,0),0),""),"")="","",IFERROR(_xlfn.IFNA(VLOOKUP($A497,'HR Rep'!$A:$X,MATCH('1) For HR (FIX)'!E$1,'HR Rep'!$A$1:$X$1,0),0),""),""))</f>
        <v/>
      </c>
      <c r="F497" s="140" t="str">
        <f>IF(IFERROR(_xlfn.IFNA(VLOOKUP($A497,'HR Rep'!$A:$X,MATCH('1) For HR (FIX)'!F$1,'HR Rep'!$A$1:$X$1,0),0),""),"")="","",IFERROR(_xlfn.IFNA(VLOOKUP($A497,'HR Rep'!$A:$X,MATCH('1) For HR (FIX)'!F$1,'HR Rep'!$A$1:$X$1,0),0),""),""))</f>
        <v/>
      </c>
      <c r="G497" s="196"/>
      <c r="H497" s="140" t="str">
        <f>IF(IFERROR(_xlfn.IFNA(VLOOKUP($A497,'HR Rep'!$A:$X,MATCH('1) For HR (FIX)'!H$1,'HR Rep'!$A$1:$X$1,0),0),""),"")="","",IFERROR(_xlfn.IFNA(VLOOKUP($A497,'HR Rep'!$A:$X,MATCH('1) For HR (FIX)'!H$1,'HR Rep'!$A$1:$X$1,0),0),""),""))</f>
        <v/>
      </c>
      <c r="I497" s="140" t="str">
        <f>IF(IFERROR(_xlfn.IFNA(VLOOKUP($A497,'HR Rep'!$A:$X,MATCH('1) For HR (FIX)'!I$1,'HR Rep'!$A$1:$X$1,0),0),""),"")="","",IFERROR(_xlfn.IFNA(VLOOKUP($A497,'HR Rep'!$A:$X,MATCH('1) For HR (FIX)'!I$1,'HR Rep'!$A$1:$X$1,0),0),""),""))</f>
        <v/>
      </c>
      <c r="J497" s="140" t="str">
        <f>IF(IFERROR(_xlfn.IFNA(VLOOKUP($A497,'HR Rep'!$A:$X,MATCH('1) For HR (FIX)'!J$1,'HR Rep'!$A$1:$X$1,0),0),""),"")="","",IFERROR(_xlfn.IFNA(VLOOKUP($A497,'HR Rep'!$A:$X,MATCH('1) For HR (FIX)'!J$1,'HR Rep'!$A$1:$X$1,0),0),""),""))</f>
        <v/>
      </c>
      <c r="K497" s="161">
        <f>_xlfn.XLOOKUP(G497,ค่าตอบแทนการขายในอัตราคงที่!A:A,ค่าตอบแทนการขายในอัตราคงที่!B:B)</f>
        <v>0</v>
      </c>
      <c r="L497" s="174">
        <f>Period!$A$2</f>
        <v>46113</v>
      </c>
      <c r="M497" s="175">
        <f>Period!$C$2</f>
        <v>46143</v>
      </c>
      <c r="N497" s="194" t="s">
        <v>279</v>
      </c>
    </row>
    <row r="498" spans="1:14" ht="11.4" x14ac:dyDescent="0.25">
      <c r="A498" s="137"/>
      <c r="B498" s="169" t="e">
        <f>IF(IF(VLOOKUP(A498,ASTBase!F:P,11,FALSE)="","",VLOOKUP(A498,ASTBase!F:P,11,FALSE))=0,"",IF(VLOOKUP(A498,ASTBase!F:P,11,FALSE)="","",VLOOKUP(A498,ASTBase!F:P,11,FALSE)))</f>
        <v>#N/A</v>
      </c>
      <c r="C498" s="140" t="str">
        <f>IF(IFERROR(_xlfn.IFNA(VLOOKUP($A498,'HR Rep'!$A:$X,MATCH('1) For HR (FIX)'!C$1,'HR Rep'!$A$1:$X$1,0),0),""),"")="","",IFERROR(_xlfn.IFNA(VLOOKUP($A498,'HR Rep'!$A:$X,MATCH('1) For HR (FIX)'!C$1,'HR Rep'!$A$1:$X$1,0),0),""),""))</f>
        <v/>
      </c>
      <c r="D498" s="140" t="str">
        <f>IF(IFERROR(_xlfn.IFNA(VLOOKUP($A498,'HR Rep'!$A:$X,MATCH('1) For HR (FIX)'!D$1,'HR Rep'!$A$1:$X$1,0),0),""),"")="","",IFERROR(_xlfn.IFNA(VLOOKUP($A498,'HR Rep'!$A:$X,MATCH('1) For HR (FIX)'!D$1,'HR Rep'!$A$1:$X$1,0),0),""),""))</f>
        <v/>
      </c>
      <c r="E498" s="140" t="str">
        <f>IF(IFERROR(_xlfn.IFNA(VLOOKUP($A498,'HR Rep'!$A:$X,MATCH('1) For HR (FIX)'!E$1,'HR Rep'!$A$1:$X$1,0),0),""),"")="","",IFERROR(_xlfn.IFNA(VLOOKUP($A498,'HR Rep'!$A:$X,MATCH('1) For HR (FIX)'!E$1,'HR Rep'!$A$1:$X$1,0),0),""),""))</f>
        <v/>
      </c>
      <c r="F498" s="140" t="str">
        <f>IF(IFERROR(_xlfn.IFNA(VLOOKUP($A498,'HR Rep'!$A:$X,MATCH('1) For HR (FIX)'!F$1,'HR Rep'!$A$1:$X$1,0),0),""),"")="","",IFERROR(_xlfn.IFNA(VLOOKUP($A498,'HR Rep'!$A:$X,MATCH('1) For HR (FIX)'!F$1,'HR Rep'!$A$1:$X$1,0),0),""),""))</f>
        <v/>
      </c>
      <c r="G498" s="196"/>
      <c r="H498" s="140" t="str">
        <f>IF(IFERROR(_xlfn.IFNA(VLOOKUP($A498,'HR Rep'!$A:$X,MATCH('1) For HR (FIX)'!H$1,'HR Rep'!$A$1:$X$1,0),0),""),"")="","",IFERROR(_xlfn.IFNA(VLOOKUP($A498,'HR Rep'!$A:$X,MATCH('1) For HR (FIX)'!H$1,'HR Rep'!$A$1:$X$1,0),0),""),""))</f>
        <v/>
      </c>
      <c r="I498" s="140" t="str">
        <f>IF(IFERROR(_xlfn.IFNA(VLOOKUP($A498,'HR Rep'!$A:$X,MATCH('1) For HR (FIX)'!I$1,'HR Rep'!$A$1:$X$1,0),0),""),"")="","",IFERROR(_xlfn.IFNA(VLOOKUP($A498,'HR Rep'!$A:$X,MATCH('1) For HR (FIX)'!I$1,'HR Rep'!$A$1:$X$1,0),0),""),""))</f>
        <v/>
      </c>
      <c r="J498" s="140" t="str">
        <f>IF(IFERROR(_xlfn.IFNA(VLOOKUP($A498,'HR Rep'!$A:$X,MATCH('1) For HR (FIX)'!J$1,'HR Rep'!$A$1:$X$1,0),0),""),"")="","",IFERROR(_xlfn.IFNA(VLOOKUP($A498,'HR Rep'!$A:$X,MATCH('1) For HR (FIX)'!J$1,'HR Rep'!$A$1:$X$1,0),0),""),""))</f>
        <v/>
      </c>
      <c r="K498" s="161">
        <f>_xlfn.XLOOKUP(G498,ค่าตอบแทนการขายในอัตราคงที่!A:A,ค่าตอบแทนการขายในอัตราคงที่!B:B)</f>
        <v>0</v>
      </c>
      <c r="L498" s="174">
        <f>Period!$A$2</f>
        <v>46113</v>
      </c>
      <c r="M498" s="175">
        <f>Period!$C$2</f>
        <v>46143</v>
      </c>
      <c r="N498" s="194" t="s">
        <v>279</v>
      </c>
    </row>
    <row r="499" spans="1:14" ht="11.4" x14ac:dyDescent="0.25">
      <c r="A499" s="137"/>
      <c r="B499" s="169" t="e">
        <f>IF(IF(VLOOKUP(A499,ASTBase!F:P,11,FALSE)="","",VLOOKUP(A499,ASTBase!F:P,11,FALSE))=0,"",IF(VLOOKUP(A499,ASTBase!F:P,11,FALSE)="","",VLOOKUP(A499,ASTBase!F:P,11,FALSE)))</f>
        <v>#N/A</v>
      </c>
      <c r="C499" s="140" t="str">
        <f>IF(IFERROR(_xlfn.IFNA(VLOOKUP($A499,'HR Rep'!$A:$X,MATCH('1) For HR (FIX)'!C$1,'HR Rep'!$A$1:$X$1,0),0),""),"")="","",IFERROR(_xlfn.IFNA(VLOOKUP($A499,'HR Rep'!$A:$X,MATCH('1) For HR (FIX)'!C$1,'HR Rep'!$A$1:$X$1,0),0),""),""))</f>
        <v/>
      </c>
      <c r="D499" s="140" t="str">
        <f>IF(IFERROR(_xlfn.IFNA(VLOOKUP($A499,'HR Rep'!$A:$X,MATCH('1) For HR (FIX)'!D$1,'HR Rep'!$A$1:$X$1,0),0),""),"")="","",IFERROR(_xlfn.IFNA(VLOOKUP($A499,'HR Rep'!$A:$X,MATCH('1) For HR (FIX)'!D$1,'HR Rep'!$A$1:$X$1,0),0),""),""))</f>
        <v/>
      </c>
      <c r="E499" s="140" t="str">
        <f>IF(IFERROR(_xlfn.IFNA(VLOOKUP($A499,'HR Rep'!$A:$X,MATCH('1) For HR (FIX)'!E$1,'HR Rep'!$A$1:$X$1,0),0),""),"")="","",IFERROR(_xlfn.IFNA(VLOOKUP($A499,'HR Rep'!$A:$X,MATCH('1) For HR (FIX)'!E$1,'HR Rep'!$A$1:$X$1,0),0),""),""))</f>
        <v/>
      </c>
      <c r="F499" s="140" t="str">
        <f>IF(IFERROR(_xlfn.IFNA(VLOOKUP($A499,'HR Rep'!$A:$X,MATCH('1) For HR (FIX)'!F$1,'HR Rep'!$A$1:$X$1,0),0),""),"")="","",IFERROR(_xlfn.IFNA(VLOOKUP($A499,'HR Rep'!$A:$X,MATCH('1) For HR (FIX)'!F$1,'HR Rep'!$A$1:$X$1,0),0),""),""))</f>
        <v/>
      </c>
      <c r="G499" s="196"/>
      <c r="H499" s="140" t="str">
        <f>IF(IFERROR(_xlfn.IFNA(VLOOKUP($A499,'HR Rep'!$A:$X,MATCH('1) For HR (FIX)'!H$1,'HR Rep'!$A$1:$X$1,0),0),""),"")="","",IFERROR(_xlfn.IFNA(VLOOKUP($A499,'HR Rep'!$A:$X,MATCH('1) For HR (FIX)'!H$1,'HR Rep'!$A$1:$X$1,0),0),""),""))</f>
        <v/>
      </c>
      <c r="I499" s="140" t="str">
        <f>IF(IFERROR(_xlfn.IFNA(VLOOKUP($A499,'HR Rep'!$A:$X,MATCH('1) For HR (FIX)'!I$1,'HR Rep'!$A$1:$X$1,0),0),""),"")="","",IFERROR(_xlfn.IFNA(VLOOKUP($A499,'HR Rep'!$A:$X,MATCH('1) For HR (FIX)'!I$1,'HR Rep'!$A$1:$X$1,0),0),""),""))</f>
        <v/>
      </c>
      <c r="J499" s="140" t="str">
        <f>IF(IFERROR(_xlfn.IFNA(VLOOKUP($A499,'HR Rep'!$A:$X,MATCH('1) For HR (FIX)'!J$1,'HR Rep'!$A$1:$X$1,0),0),""),"")="","",IFERROR(_xlfn.IFNA(VLOOKUP($A499,'HR Rep'!$A:$X,MATCH('1) For HR (FIX)'!J$1,'HR Rep'!$A$1:$X$1,0),0),""),""))</f>
        <v/>
      </c>
      <c r="K499" s="161">
        <f>_xlfn.XLOOKUP(G499,ค่าตอบแทนการขายในอัตราคงที่!A:A,ค่าตอบแทนการขายในอัตราคงที่!B:B)</f>
        <v>0</v>
      </c>
      <c r="L499" s="174">
        <f>Period!$A$2</f>
        <v>46113</v>
      </c>
      <c r="M499" s="175">
        <f>Period!$C$2</f>
        <v>46143</v>
      </c>
      <c r="N499" s="194" t="s">
        <v>279</v>
      </c>
    </row>
    <row r="500" spans="1:14" ht="11.4" x14ac:dyDescent="0.25">
      <c r="A500" s="137"/>
      <c r="B500" s="169" t="e">
        <f>IF(IF(VLOOKUP(A500,ASTBase!F:P,11,FALSE)="","",VLOOKUP(A500,ASTBase!F:P,11,FALSE))=0,"",IF(VLOOKUP(A500,ASTBase!F:P,11,FALSE)="","",VLOOKUP(A500,ASTBase!F:P,11,FALSE)))</f>
        <v>#N/A</v>
      </c>
      <c r="C500" s="140" t="str">
        <f>IF(IFERROR(_xlfn.IFNA(VLOOKUP($A500,'HR Rep'!$A:$X,MATCH('1) For HR (FIX)'!C$1,'HR Rep'!$A$1:$X$1,0),0),""),"")="","",IFERROR(_xlfn.IFNA(VLOOKUP($A500,'HR Rep'!$A:$X,MATCH('1) For HR (FIX)'!C$1,'HR Rep'!$A$1:$X$1,0),0),""),""))</f>
        <v/>
      </c>
      <c r="D500" s="140" t="str">
        <f>IF(IFERROR(_xlfn.IFNA(VLOOKUP($A500,'HR Rep'!$A:$X,MATCH('1) For HR (FIX)'!D$1,'HR Rep'!$A$1:$X$1,0),0),""),"")="","",IFERROR(_xlfn.IFNA(VLOOKUP($A500,'HR Rep'!$A:$X,MATCH('1) For HR (FIX)'!D$1,'HR Rep'!$A$1:$X$1,0),0),""),""))</f>
        <v/>
      </c>
      <c r="E500" s="140" t="str">
        <f>IF(IFERROR(_xlfn.IFNA(VLOOKUP($A500,'HR Rep'!$A:$X,MATCH('1) For HR (FIX)'!E$1,'HR Rep'!$A$1:$X$1,0),0),""),"")="","",IFERROR(_xlfn.IFNA(VLOOKUP($A500,'HR Rep'!$A:$X,MATCH('1) For HR (FIX)'!E$1,'HR Rep'!$A$1:$X$1,0),0),""),""))</f>
        <v/>
      </c>
      <c r="F500" s="140" t="str">
        <f>IF(IFERROR(_xlfn.IFNA(VLOOKUP($A500,'HR Rep'!$A:$X,MATCH('1) For HR (FIX)'!F$1,'HR Rep'!$A$1:$X$1,0),0),""),"")="","",IFERROR(_xlfn.IFNA(VLOOKUP($A500,'HR Rep'!$A:$X,MATCH('1) For HR (FIX)'!F$1,'HR Rep'!$A$1:$X$1,0),0),""),""))</f>
        <v/>
      </c>
      <c r="G500" s="196"/>
      <c r="H500" s="140" t="str">
        <f>IF(IFERROR(_xlfn.IFNA(VLOOKUP($A500,'HR Rep'!$A:$X,MATCH('1) For HR (FIX)'!H$1,'HR Rep'!$A$1:$X$1,0),0),""),"")="","",IFERROR(_xlfn.IFNA(VLOOKUP($A500,'HR Rep'!$A:$X,MATCH('1) For HR (FIX)'!H$1,'HR Rep'!$A$1:$X$1,0),0),""),""))</f>
        <v/>
      </c>
      <c r="I500" s="140" t="str">
        <f>IF(IFERROR(_xlfn.IFNA(VLOOKUP($A500,'HR Rep'!$A:$X,MATCH('1) For HR (FIX)'!I$1,'HR Rep'!$A$1:$X$1,0),0),""),"")="","",IFERROR(_xlfn.IFNA(VLOOKUP($A500,'HR Rep'!$A:$X,MATCH('1) For HR (FIX)'!I$1,'HR Rep'!$A$1:$X$1,0),0),""),""))</f>
        <v/>
      </c>
      <c r="J500" s="140" t="str">
        <f>IF(IFERROR(_xlfn.IFNA(VLOOKUP($A500,'HR Rep'!$A:$X,MATCH('1) For HR (FIX)'!J$1,'HR Rep'!$A$1:$X$1,0),0),""),"")="","",IFERROR(_xlfn.IFNA(VLOOKUP($A500,'HR Rep'!$A:$X,MATCH('1) For HR (FIX)'!J$1,'HR Rep'!$A$1:$X$1,0),0),""),""))</f>
        <v/>
      </c>
      <c r="K500" s="161">
        <f>_xlfn.XLOOKUP(G500,ค่าตอบแทนการขายในอัตราคงที่!A:A,ค่าตอบแทนการขายในอัตราคงที่!B:B)</f>
        <v>0</v>
      </c>
      <c r="L500" s="174">
        <f>Period!$A$2</f>
        <v>46113</v>
      </c>
      <c r="M500" s="175">
        <f>Period!$C$2</f>
        <v>46143</v>
      </c>
      <c r="N500" s="194" t="s">
        <v>279</v>
      </c>
    </row>
    <row r="501" spans="1:14" ht="11.4" x14ac:dyDescent="0.25">
      <c r="A501" s="137"/>
      <c r="B501" s="169" t="e">
        <f>IF(IF(VLOOKUP(A501,ASTBase!F:P,11,FALSE)="","",VLOOKUP(A501,ASTBase!F:P,11,FALSE))=0,"",IF(VLOOKUP(A501,ASTBase!F:P,11,FALSE)="","",VLOOKUP(A501,ASTBase!F:P,11,FALSE)))</f>
        <v>#N/A</v>
      </c>
      <c r="C501" s="140" t="str">
        <f>IF(IFERROR(_xlfn.IFNA(VLOOKUP($A501,'HR Rep'!$A:$X,MATCH('1) For HR (FIX)'!C$1,'HR Rep'!$A$1:$X$1,0),0),""),"")="","",IFERROR(_xlfn.IFNA(VLOOKUP($A501,'HR Rep'!$A:$X,MATCH('1) For HR (FIX)'!C$1,'HR Rep'!$A$1:$X$1,0),0),""),""))</f>
        <v/>
      </c>
      <c r="D501" s="140" t="str">
        <f>IF(IFERROR(_xlfn.IFNA(VLOOKUP($A501,'HR Rep'!$A:$X,MATCH('1) For HR (FIX)'!D$1,'HR Rep'!$A$1:$X$1,0),0),""),"")="","",IFERROR(_xlfn.IFNA(VLOOKUP($A501,'HR Rep'!$A:$X,MATCH('1) For HR (FIX)'!D$1,'HR Rep'!$A$1:$X$1,0),0),""),""))</f>
        <v/>
      </c>
      <c r="E501" s="140" t="str">
        <f>IF(IFERROR(_xlfn.IFNA(VLOOKUP($A501,'HR Rep'!$A:$X,MATCH('1) For HR (FIX)'!E$1,'HR Rep'!$A$1:$X$1,0),0),""),"")="","",IFERROR(_xlfn.IFNA(VLOOKUP($A501,'HR Rep'!$A:$X,MATCH('1) For HR (FIX)'!E$1,'HR Rep'!$A$1:$X$1,0),0),""),""))</f>
        <v/>
      </c>
      <c r="F501" s="140" t="str">
        <f>IF(IFERROR(_xlfn.IFNA(VLOOKUP($A501,'HR Rep'!$A:$X,MATCH('1) For HR (FIX)'!F$1,'HR Rep'!$A$1:$X$1,0),0),""),"")="","",IFERROR(_xlfn.IFNA(VLOOKUP($A501,'HR Rep'!$A:$X,MATCH('1) For HR (FIX)'!F$1,'HR Rep'!$A$1:$X$1,0),0),""),""))</f>
        <v/>
      </c>
      <c r="G501" s="196"/>
      <c r="H501" s="140" t="str">
        <f>IF(IFERROR(_xlfn.IFNA(VLOOKUP($A501,'HR Rep'!$A:$X,MATCH('1) For HR (FIX)'!H$1,'HR Rep'!$A$1:$X$1,0),0),""),"")="","",IFERROR(_xlfn.IFNA(VLOOKUP($A501,'HR Rep'!$A:$X,MATCH('1) For HR (FIX)'!H$1,'HR Rep'!$A$1:$X$1,0),0),""),""))</f>
        <v/>
      </c>
      <c r="I501" s="140" t="str">
        <f>IF(IFERROR(_xlfn.IFNA(VLOOKUP($A501,'HR Rep'!$A:$X,MATCH('1) For HR (FIX)'!I$1,'HR Rep'!$A$1:$X$1,0),0),""),"")="","",IFERROR(_xlfn.IFNA(VLOOKUP($A501,'HR Rep'!$A:$X,MATCH('1) For HR (FIX)'!I$1,'HR Rep'!$A$1:$X$1,0),0),""),""))</f>
        <v/>
      </c>
      <c r="J501" s="140" t="str">
        <f>IF(IFERROR(_xlfn.IFNA(VLOOKUP($A501,'HR Rep'!$A:$X,MATCH('1) For HR (FIX)'!J$1,'HR Rep'!$A$1:$X$1,0),0),""),"")="","",IFERROR(_xlfn.IFNA(VLOOKUP($A501,'HR Rep'!$A:$X,MATCH('1) For HR (FIX)'!J$1,'HR Rep'!$A$1:$X$1,0),0),""),""))</f>
        <v/>
      </c>
      <c r="K501" s="161">
        <f>_xlfn.XLOOKUP(G501,ค่าตอบแทนการขายในอัตราคงที่!A:A,ค่าตอบแทนการขายในอัตราคงที่!B:B)</f>
        <v>0</v>
      </c>
      <c r="L501" s="174">
        <f>Period!$A$2</f>
        <v>46113</v>
      </c>
      <c r="M501" s="175">
        <f>Period!$C$2</f>
        <v>46143</v>
      </c>
      <c r="N501" s="194" t="s">
        <v>279</v>
      </c>
    </row>
    <row r="502" spans="1:14" ht="11.4" x14ac:dyDescent="0.25">
      <c r="A502" s="137"/>
      <c r="B502" s="169" t="e">
        <f>IF(IF(VLOOKUP(A502,ASTBase!F:P,11,FALSE)="","",VLOOKUP(A502,ASTBase!F:P,11,FALSE))=0,"",IF(VLOOKUP(A502,ASTBase!F:P,11,FALSE)="","",VLOOKUP(A502,ASTBase!F:P,11,FALSE)))</f>
        <v>#N/A</v>
      </c>
      <c r="C502" s="140" t="str">
        <f>IF(IFERROR(_xlfn.IFNA(VLOOKUP($A502,'HR Rep'!$A:$X,MATCH('1) For HR (FIX)'!C$1,'HR Rep'!$A$1:$X$1,0),0),""),"")="","",IFERROR(_xlfn.IFNA(VLOOKUP($A502,'HR Rep'!$A:$X,MATCH('1) For HR (FIX)'!C$1,'HR Rep'!$A$1:$X$1,0),0),""),""))</f>
        <v/>
      </c>
      <c r="D502" s="140" t="str">
        <f>IF(IFERROR(_xlfn.IFNA(VLOOKUP($A502,'HR Rep'!$A:$X,MATCH('1) For HR (FIX)'!D$1,'HR Rep'!$A$1:$X$1,0),0),""),"")="","",IFERROR(_xlfn.IFNA(VLOOKUP($A502,'HR Rep'!$A:$X,MATCH('1) For HR (FIX)'!D$1,'HR Rep'!$A$1:$X$1,0),0),""),""))</f>
        <v/>
      </c>
      <c r="E502" s="140" t="str">
        <f>IF(IFERROR(_xlfn.IFNA(VLOOKUP($A502,'HR Rep'!$A:$X,MATCH('1) For HR (FIX)'!E$1,'HR Rep'!$A$1:$X$1,0),0),""),"")="","",IFERROR(_xlfn.IFNA(VLOOKUP($A502,'HR Rep'!$A:$X,MATCH('1) For HR (FIX)'!E$1,'HR Rep'!$A$1:$X$1,0),0),""),""))</f>
        <v/>
      </c>
      <c r="F502" s="140" t="str">
        <f>IF(IFERROR(_xlfn.IFNA(VLOOKUP($A502,'HR Rep'!$A:$X,MATCH('1) For HR (FIX)'!F$1,'HR Rep'!$A$1:$X$1,0),0),""),"")="","",IFERROR(_xlfn.IFNA(VLOOKUP($A502,'HR Rep'!$A:$X,MATCH('1) For HR (FIX)'!F$1,'HR Rep'!$A$1:$X$1,0),0),""),""))</f>
        <v/>
      </c>
      <c r="G502" s="196"/>
      <c r="H502" s="140" t="str">
        <f>IF(IFERROR(_xlfn.IFNA(VLOOKUP($A502,'HR Rep'!$A:$X,MATCH('1) For HR (FIX)'!H$1,'HR Rep'!$A$1:$X$1,0),0),""),"")="","",IFERROR(_xlfn.IFNA(VLOOKUP($A502,'HR Rep'!$A:$X,MATCH('1) For HR (FIX)'!H$1,'HR Rep'!$A$1:$X$1,0),0),""),""))</f>
        <v/>
      </c>
      <c r="I502" s="140" t="str">
        <f>IF(IFERROR(_xlfn.IFNA(VLOOKUP($A502,'HR Rep'!$A:$X,MATCH('1) For HR (FIX)'!I$1,'HR Rep'!$A$1:$X$1,0),0),""),"")="","",IFERROR(_xlfn.IFNA(VLOOKUP($A502,'HR Rep'!$A:$X,MATCH('1) For HR (FIX)'!I$1,'HR Rep'!$A$1:$X$1,0),0),""),""))</f>
        <v/>
      </c>
      <c r="J502" s="140" t="str">
        <f>IF(IFERROR(_xlfn.IFNA(VLOOKUP($A502,'HR Rep'!$A:$X,MATCH('1) For HR (FIX)'!J$1,'HR Rep'!$A$1:$X$1,0),0),""),"")="","",IFERROR(_xlfn.IFNA(VLOOKUP($A502,'HR Rep'!$A:$X,MATCH('1) For HR (FIX)'!J$1,'HR Rep'!$A$1:$X$1,0),0),""),""))</f>
        <v/>
      </c>
      <c r="K502" s="161">
        <f>_xlfn.XLOOKUP(G502,ค่าตอบแทนการขายในอัตราคงที่!A:A,ค่าตอบแทนการขายในอัตราคงที่!B:B)</f>
        <v>0</v>
      </c>
      <c r="L502" s="174">
        <f>Period!$A$2</f>
        <v>46113</v>
      </c>
      <c r="M502" s="175">
        <f>Period!$C$2</f>
        <v>46143</v>
      </c>
      <c r="N502" s="194" t="s">
        <v>279</v>
      </c>
    </row>
    <row r="503" spans="1:14" ht="11.4" x14ac:dyDescent="0.25">
      <c r="A503" s="137"/>
      <c r="B503" s="169" t="e">
        <f>IF(IF(VLOOKUP(A503,ASTBase!F:P,11,FALSE)="","",VLOOKUP(A503,ASTBase!F:P,11,FALSE))=0,"",IF(VLOOKUP(A503,ASTBase!F:P,11,FALSE)="","",VLOOKUP(A503,ASTBase!F:P,11,FALSE)))</f>
        <v>#N/A</v>
      </c>
      <c r="C503" s="140" t="str">
        <f>IF(IFERROR(_xlfn.IFNA(VLOOKUP($A503,'HR Rep'!$A:$X,MATCH('1) For HR (FIX)'!C$1,'HR Rep'!$A$1:$X$1,0),0),""),"")="","",IFERROR(_xlfn.IFNA(VLOOKUP($A503,'HR Rep'!$A:$X,MATCH('1) For HR (FIX)'!C$1,'HR Rep'!$A$1:$X$1,0),0),""),""))</f>
        <v/>
      </c>
      <c r="D503" s="140" t="str">
        <f>IF(IFERROR(_xlfn.IFNA(VLOOKUP($A503,'HR Rep'!$A:$X,MATCH('1) For HR (FIX)'!D$1,'HR Rep'!$A$1:$X$1,0),0),""),"")="","",IFERROR(_xlfn.IFNA(VLOOKUP($A503,'HR Rep'!$A:$X,MATCH('1) For HR (FIX)'!D$1,'HR Rep'!$A$1:$X$1,0),0),""),""))</f>
        <v/>
      </c>
      <c r="E503" s="140" t="str">
        <f>IF(IFERROR(_xlfn.IFNA(VLOOKUP($A503,'HR Rep'!$A:$X,MATCH('1) For HR (FIX)'!E$1,'HR Rep'!$A$1:$X$1,0),0),""),"")="","",IFERROR(_xlfn.IFNA(VLOOKUP($A503,'HR Rep'!$A:$X,MATCH('1) For HR (FIX)'!E$1,'HR Rep'!$A$1:$X$1,0),0),""),""))</f>
        <v/>
      </c>
      <c r="F503" s="140" t="str">
        <f>IF(IFERROR(_xlfn.IFNA(VLOOKUP($A503,'HR Rep'!$A:$X,MATCH('1) For HR (FIX)'!F$1,'HR Rep'!$A$1:$X$1,0),0),""),"")="","",IFERROR(_xlfn.IFNA(VLOOKUP($A503,'HR Rep'!$A:$X,MATCH('1) For HR (FIX)'!F$1,'HR Rep'!$A$1:$X$1,0),0),""),""))</f>
        <v/>
      </c>
      <c r="G503" s="196"/>
      <c r="H503" s="140" t="str">
        <f>IF(IFERROR(_xlfn.IFNA(VLOOKUP($A503,'HR Rep'!$A:$X,MATCH('1) For HR (FIX)'!H$1,'HR Rep'!$A$1:$X$1,0),0),""),"")="","",IFERROR(_xlfn.IFNA(VLOOKUP($A503,'HR Rep'!$A:$X,MATCH('1) For HR (FIX)'!H$1,'HR Rep'!$A$1:$X$1,0),0),""),""))</f>
        <v/>
      </c>
      <c r="I503" s="140" t="str">
        <f>IF(IFERROR(_xlfn.IFNA(VLOOKUP($A503,'HR Rep'!$A:$X,MATCH('1) For HR (FIX)'!I$1,'HR Rep'!$A$1:$X$1,0),0),""),"")="","",IFERROR(_xlfn.IFNA(VLOOKUP($A503,'HR Rep'!$A:$X,MATCH('1) For HR (FIX)'!I$1,'HR Rep'!$A$1:$X$1,0),0),""),""))</f>
        <v/>
      </c>
      <c r="J503" s="140" t="str">
        <f>IF(IFERROR(_xlfn.IFNA(VLOOKUP($A503,'HR Rep'!$A:$X,MATCH('1) For HR (FIX)'!J$1,'HR Rep'!$A$1:$X$1,0),0),""),"")="","",IFERROR(_xlfn.IFNA(VLOOKUP($A503,'HR Rep'!$A:$X,MATCH('1) For HR (FIX)'!J$1,'HR Rep'!$A$1:$X$1,0),0),""),""))</f>
        <v/>
      </c>
      <c r="K503" s="161">
        <f>_xlfn.XLOOKUP(G503,ค่าตอบแทนการขายในอัตราคงที่!A:A,ค่าตอบแทนการขายในอัตราคงที่!B:B)</f>
        <v>0</v>
      </c>
      <c r="L503" s="174">
        <f>Period!$A$2</f>
        <v>46113</v>
      </c>
      <c r="M503" s="175">
        <f>Period!$C$2</f>
        <v>46143</v>
      </c>
      <c r="N503" s="194" t="s">
        <v>279</v>
      </c>
    </row>
    <row r="504" spans="1:14" ht="11.4" x14ac:dyDescent="0.25">
      <c r="A504" s="137"/>
      <c r="B504" s="169" t="e">
        <f>IF(IF(VLOOKUP(A504,ASTBase!F:P,11,FALSE)="","",VLOOKUP(A504,ASTBase!F:P,11,FALSE))=0,"",IF(VLOOKUP(A504,ASTBase!F:P,11,FALSE)="","",VLOOKUP(A504,ASTBase!F:P,11,FALSE)))</f>
        <v>#N/A</v>
      </c>
      <c r="C504" s="140" t="str">
        <f>IF(IFERROR(_xlfn.IFNA(VLOOKUP($A504,'HR Rep'!$A:$X,MATCH('1) For HR (FIX)'!C$1,'HR Rep'!$A$1:$X$1,0),0),""),"")="","",IFERROR(_xlfn.IFNA(VLOOKUP($A504,'HR Rep'!$A:$X,MATCH('1) For HR (FIX)'!C$1,'HR Rep'!$A$1:$X$1,0),0),""),""))</f>
        <v/>
      </c>
      <c r="D504" s="140" t="str">
        <f>IF(IFERROR(_xlfn.IFNA(VLOOKUP($A504,'HR Rep'!$A:$X,MATCH('1) For HR (FIX)'!D$1,'HR Rep'!$A$1:$X$1,0),0),""),"")="","",IFERROR(_xlfn.IFNA(VLOOKUP($A504,'HR Rep'!$A:$X,MATCH('1) For HR (FIX)'!D$1,'HR Rep'!$A$1:$X$1,0),0),""),""))</f>
        <v/>
      </c>
      <c r="E504" s="140" t="str">
        <f>IF(IFERROR(_xlfn.IFNA(VLOOKUP($A504,'HR Rep'!$A:$X,MATCH('1) For HR (FIX)'!E$1,'HR Rep'!$A$1:$X$1,0),0),""),"")="","",IFERROR(_xlfn.IFNA(VLOOKUP($A504,'HR Rep'!$A:$X,MATCH('1) For HR (FIX)'!E$1,'HR Rep'!$A$1:$X$1,0),0),""),""))</f>
        <v/>
      </c>
      <c r="F504" s="140" t="str">
        <f>IF(IFERROR(_xlfn.IFNA(VLOOKUP($A504,'HR Rep'!$A:$X,MATCH('1) For HR (FIX)'!F$1,'HR Rep'!$A$1:$X$1,0),0),""),"")="","",IFERROR(_xlfn.IFNA(VLOOKUP($A504,'HR Rep'!$A:$X,MATCH('1) For HR (FIX)'!F$1,'HR Rep'!$A$1:$X$1,0),0),""),""))</f>
        <v/>
      </c>
      <c r="G504" s="196"/>
      <c r="H504" s="140" t="str">
        <f>IF(IFERROR(_xlfn.IFNA(VLOOKUP($A504,'HR Rep'!$A:$X,MATCH('1) For HR (FIX)'!H$1,'HR Rep'!$A$1:$X$1,0),0),""),"")="","",IFERROR(_xlfn.IFNA(VLOOKUP($A504,'HR Rep'!$A:$X,MATCH('1) For HR (FIX)'!H$1,'HR Rep'!$A$1:$X$1,0),0),""),""))</f>
        <v/>
      </c>
      <c r="I504" s="140" t="str">
        <f>IF(IFERROR(_xlfn.IFNA(VLOOKUP($A504,'HR Rep'!$A:$X,MATCH('1) For HR (FIX)'!I$1,'HR Rep'!$A$1:$X$1,0),0),""),"")="","",IFERROR(_xlfn.IFNA(VLOOKUP($A504,'HR Rep'!$A:$X,MATCH('1) For HR (FIX)'!I$1,'HR Rep'!$A$1:$X$1,0),0),""),""))</f>
        <v/>
      </c>
      <c r="J504" s="140" t="str">
        <f>IF(IFERROR(_xlfn.IFNA(VLOOKUP($A504,'HR Rep'!$A:$X,MATCH('1) For HR (FIX)'!J$1,'HR Rep'!$A$1:$X$1,0),0),""),"")="","",IFERROR(_xlfn.IFNA(VLOOKUP($A504,'HR Rep'!$A:$X,MATCH('1) For HR (FIX)'!J$1,'HR Rep'!$A$1:$X$1,0),0),""),""))</f>
        <v/>
      </c>
      <c r="K504" s="161">
        <f>_xlfn.XLOOKUP(G504,ค่าตอบแทนการขายในอัตราคงที่!A:A,ค่าตอบแทนการขายในอัตราคงที่!B:B)</f>
        <v>0</v>
      </c>
      <c r="L504" s="174">
        <f>Period!$A$2</f>
        <v>46113</v>
      </c>
      <c r="M504" s="175">
        <f>Period!$C$2</f>
        <v>46143</v>
      </c>
      <c r="N504" s="194" t="s">
        <v>279</v>
      </c>
    </row>
    <row r="505" spans="1:14" ht="11.4" x14ac:dyDescent="0.25">
      <c r="A505" s="137"/>
      <c r="B505" s="169" t="e">
        <f>IF(IF(VLOOKUP(A505,ASTBase!F:P,11,FALSE)="","",VLOOKUP(A505,ASTBase!F:P,11,FALSE))=0,"",IF(VLOOKUP(A505,ASTBase!F:P,11,FALSE)="","",VLOOKUP(A505,ASTBase!F:P,11,FALSE)))</f>
        <v>#N/A</v>
      </c>
      <c r="C505" s="140" t="str">
        <f>IF(IFERROR(_xlfn.IFNA(VLOOKUP($A505,'HR Rep'!$A:$X,MATCH('1) For HR (FIX)'!C$1,'HR Rep'!$A$1:$X$1,0),0),""),"")="","",IFERROR(_xlfn.IFNA(VLOOKUP($A505,'HR Rep'!$A:$X,MATCH('1) For HR (FIX)'!C$1,'HR Rep'!$A$1:$X$1,0),0),""),""))</f>
        <v/>
      </c>
      <c r="D505" s="140" t="str">
        <f>IF(IFERROR(_xlfn.IFNA(VLOOKUP($A505,'HR Rep'!$A:$X,MATCH('1) For HR (FIX)'!D$1,'HR Rep'!$A$1:$X$1,0),0),""),"")="","",IFERROR(_xlfn.IFNA(VLOOKUP($A505,'HR Rep'!$A:$X,MATCH('1) For HR (FIX)'!D$1,'HR Rep'!$A$1:$X$1,0),0),""),""))</f>
        <v/>
      </c>
      <c r="E505" s="140" t="str">
        <f>IF(IFERROR(_xlfn.IFNA(VLOOKUP($A505,'HR Rep'!$A:$X,MATCH('1) For HR (FIX)'!E$1,'HR Rep'!$A$1:$X$1,0),0),""),"")="","",IFERROR(_xlfn.IFNA(VLOOKUP($A505,'HR Rep'!$A:$X,MATCH('1) For HR (FIX)'!E$1,'HR Rep'!$A$1:$X$1,0),0),""),""))</f>
        <v/>
      </c>
      <c r="F505" s="140" t="str">
        <f>IF(IFERROR(_xlfn.IFNA(VLOOKUP($A505,'HR Rep'!$A:$X,MATCH('1) For HR (FIX)'!F$1,'HR Rep'!$A$1:$X$1,0),0),""),"")="","",IFERROR(_xlfn.IFNA(VLOOKUP($A505,'HR Rep'!$A:$X,MATCH('1) For HR (FIX)'!F$1,'HR Rep'!$A$1:$X$1,0),0),""),""))</f>
        <v/>
      </c>
      <c r="G505" s="196"/>
      <c r="H505" s="140" t="str">
        <f>IF(IFERROR(_xlfn.IFNA(VLOOKUP($A505,'HR Rep'!$A:$X,MATCH('1) For HR (FIX)'!H$1,'HR Rep'!$A$1:$X$1,0),0),""),"")="","",IFERROR(_xlfn.IFNA(VLOOKUP($A505,'HR Rep'!$A:$X,MATCH('1) For HR (FIX)'!H$1,'HR Rep'!$A$1:$X$1,0),0),""),""))</f>
        <v/>
      </c>
      <c r="I505" s="140" t="str">
        <f>IF(IFERROR(_xlfn.IFNA(VLOOKUP($A505,'HR Rep'!$A:$X,MATCH('1) For HR (FIX)'!I$1,'HR Rep'!$A$1:$X$1,0),0),""),"")="","",IFERROR(_xlfn.IFNA(VLOOKUP($A505,'HR Rep'!$A:$X,MATCH('1) For HR (FIX)'!I$1,'HR Rep'!$A$1:$X$1,0),0),""),""))</f>
        <v/>
      </c>
      <c r="J505" s="140" t="str">
        <f>IF(IFERROR(_xlfn.IFNA(VLOOKUP($A505,'HR Rep'!$A:$X,MATCH('1) For HR (FIX)'!J$1,'HR Rep'!$A$1:$X$1,0),0),""),"")="","",IFERROR(_xlfn.IFNA(VLOOKUP($A505,'HR Rep'!$A:$X,MATCH('1) For HR (FIX)'!J$1,'HR Rep'!$A$1:$X$1,0),0),""),""))</f>
        <v/>
      </c>
      <c r="K505" s="161">
        <f>_xlfn.XLOOKUP(G505,ค่าตอบแทนการขายในอัตราคงที่!A:A,ค่าตอบแทนการขายในอัตราคงที่!B:B)</f>
        <v>0</v>
      </c>
      <c r="L505" s="174">
        <f>Period!$A$2</f>
        <v>46113</v>
      </c>
      <c r="M505" s="175">
        <f>Period!$C$2</f>
        <v>46143</v>
      </c>
      <c r="N505" s="194" t="s">
        <v>279</v>
      </c>
    </row>
    <row r="506" spans="1:14" ht="11.4" x14ac:dyDescent="0.25">
      <c r="A506" s="137"/>
      <c r="B506" s="169" t="e">
        <f>IF(IF(VLOOKUP(A506,ASTBase!F:P,11,FALSE)="","",VLOOKUP(A506,ASTBase!F:P,11,FALSE))=0,"",IF(VLOOKUP(A506,ASTBase!F:P,11,FALSE)="","",VLOOKUP(A506,ASTBase!F:P,11,FALSE)))</f>
        <v>#N/A</v>
      </c>
      <c r="C506" s="140" t="str">
        <f>IF(IFERROR(_xlfn.IFNA(VLOOKUP($A506,'HR Rep'!$A:$X,MATCH('1) For HR (FIX)'!C$1,'HR Rep'!$A$1:$X$1,0),0),""),"")="","",IFERROR(_xlfn.IFNA(VLOOKUP($A506,'HR Rep'!$A:$X,MATCH('1) For HR (FIX)'!C$1,'HR Rep'!$A$1:$X$1,0),0),""),""))</f>
        <v/>
      </c>
      <c r="D506" s="140" t="str">
        <f>IF(IFERROR(_xlfn.IFNA(VLOOKUP($A506,'HR Rep'!$A:$X,MATCH('1) For HR (FIX)'!D$1,'HR Rep'!$A$1:$X$1,0),0),""),"")="","",IFERROR(_xlfn.IFNA(VLOOKUP($A506,'HR Rep'!$A:$X,MATCH('1) For HR (FIX)'!D$1,'HR Rep'!$A$1:$X$1,0),0),""),""))</f>
        <v/>
      </c>
      <c r="E506" s="140" t="str">
        <f>IF(IFERROR(_xlfn.IFNA(VLOOKUP($A506,'HR Rep'!$A:$X,MATCH('1) For HR (FIX)'!E$1,'HR Rep'!$A$1:$X$1,0),0),""),"")="","",IFERROR(_xlfn.IFNA(VLOOKUP($A506,'HR Rep'!$A:$X,MATCH('1) For HR (FIX)'!E$1,'HR Rep'!$A$1:$X$1,0),0),""),""))</f>
        <v/>
      </c>
      <c r="F506" s="140" t="str">
        <f>IF(IFERROR(_xlfn.IFNA(VLOOKUP($A506,'HR Rep'!$A:$X,MATCH('1) For HR (FIX)'!F$1,'HR Rep'!$A$1:$X$1,0),0),""),"")="","",IFERROR(_xlfn.IFNA(VLOOKUP($A506,'HR Rep'!$A:$X,MATCH('1) For HR (FIX)'!F$1,'HR Rep'!$A$1:$X$1,0),0),""),""))</f>
        <v/>
      </c>
      <c r="G506" s="196"/>
      <c r="H506" s="140" t="str">
        <f>IF(IFERROR(_xlfn.IFNA(VLOOKUP($A506,'HR Rep'!$A:$X,MATCH('1) For HR (FIX)'!H$1,'HR Rep'!$A$1:$X$1,0),0),""),"")="","",IFERROR(_xlfn.IFNA(VLOOKUP($A506,'HR Rep'!$A:$X,MATCH('1) For HR (FIX)'!H$1,'HR Rep'!$A$1:$X$1,0),0),""),""))</f>
        <v/>
      </c>
      <c r="I506" s="140" t="str">
        <f>IF(IFERROR(_xlfn.IFNA(VLOOKUP($A506,'HR Rep'!$A:$X,MATCH('1) For HR (FIX)'!I$1,'HR Rep'!$A$1:$X$1,0),0),""),"")="","",IFERROR(_xlfn.IFNA(VLOOKUP($A506,'HR Rep'!$A:$X,MATCH('1) For HR (FIX)'!I$1,'HR Rep'!$A$1:$X$1,0),0),""),""))</f>
        <v/>
      </c>
      <c r="J506" s="140" t="str">
        <f>IF(IFERROR(_xlfn.IFNA(VLOOKUP($A506,'HR Rep'!$A:$X,MATCH('1) For HR (FIX)'!J$1,'HR Rep'!$A$1:$X$1,0),0),""),"")="","",IFERROR(_xlfn.IFNA(VLOOKUP($A506,'HR Rep'!$A:$X,MATCH('1) For HR (FIX)'!J$1,'HR Rep'!$A$1:$X$1,0),0),""),""))</f>
        <v/>
      </c>
      <c r="K506" s="161">
        <f>_xlfn.XLOOKUP(G506,ค่าตอบแทนการขายในอัตราคงที่!A:A,ค่าตอบแทนการขายในอัตราคงที่!B:B)</f>
        <v>0</v>
      </c>
      <c r="L506" s="174">
        <f>Period!$A$2</f>
        <v>46113</v>
      </c>
      <c r="M506" s="175">
        <f>Period!$C$2</f>
        <v>46143</v>
      </c>
      <c r="N506" s="194" t="s">
        <v>279</v>
      </c>
    </row>
    <row r="507" spans="1:14" ht="11.4" x14ac:dyDescent="0.25">
      <c r="A507" s="137"/>
      <c r="B507" s="169" t="e">
        <f>IF(IF(VLOOKUP(A507,ASTBase!F:P,11,FALSE)="","",VLOOKUP(A507,ASTBase!F:P,11,FALSE))=0,"",IF(VLOOKUP(A507,ASTBase!F:P,11,FALSE)="","",VLOOKUP(A507,ASTBase!F:P,11,FALSE)))</f>
        <v>#N/A</v>
      </c>
      <c r="C507" s="140" t="str">
        <f>IF(IFERROR(_xlfn.IFNA(VLOOKUP($A507,'HR Rep'!$A:$X,MATCH('1) For HR (FIX)'!C$1,'HR Rep'!$A$1:$X$1,0),0),""),"")="","",IFERROR(_xlfn.IFNA(VLOOKUP($A507,'HR Rep'!$A:$X,MATCH('1) For HR (FIX)'!C$1,'HR Rep'!$A$1:$X$1,0),0),""),""))</f>
        <v/>
      </c>
      <c r="D507" s="140" t="str">
        <f>IF(IFERROR(_xlfn.IFNA(VLOOKUP($A507,'HR Rep'!$A:$X,MATCH('1) For HR (FIX)'!D$1,'HR Rep'!$A$1:$X$1,0),0),""),"")="","",IFERROR(_xlfn.IFNA(VLOOKUP($A507,'HR Rep'!$A:$X,MATCH('1) For HR (FIX)'!D$1,'HR Rep'!$A$1:$X$1,0),0),""),""))</f>
        <v/>
      </c>
      <c r="E507" s="140" t="str">
        <f>IF(IFERROR(_xlfn.IFNA(VLOOKUP($A507,'HR Rep'!$A:$X,MATCH('1) For HR (FIX)'!E$1,'HR Rep'!$A$1:$X$1,0),0),""),"")="","",IFERROR(_xlfn.IFNA(VLOOKUP($A507,'HR Rep'!$A:$X,MATCH('1) For HR (FIX)'!E$1,'HR Rep'!$A$1:$X$1,0),0),""),""))</f>
        <v/>
      </c>
      <c r="F507" s="140" t="str">
        <f>IF(IFERROR(_xlfn.IFNA(VLOOKUP($A507,'HR Rep'!$A:$X,MATCH('1) For HR (FIX)'!F$1,'HR Rep'!$A$1:$X$1,0),0),""),"")="","",IFERROR(_xlfn.IFNA(VLOOKUP($A507,'HR Rep'!$A:$X,MATCH('1) For HR (FIX)'!F$1,'HR Rep'!$A$1:$X$1,0),0),""),""))</f>
        <v/>
      </c>
      <c r="G507" s="196"/>
      <c r="H507" s="140" t="str">
        <f>IF(IFERROR(_xlfn.IFNA(VLOOKUP($A507,'HR Rep'!$A:$X,MATCH('1) For HR (FIX)'!H$1,'HR Rep'!$A$1:$X$1,0),0),""),"")="","",IFERROR(_xlfn.IFNA(VLOOKUP($A507,'HR Rep'!$A:$X,MATCH('1) For HR (FIX)'!H$1,'HR Rep'!$A$1:$X$1,0),0),""),""))</f>
        <v/>
      </c>
      <c r="I507" s="140" t="str">
        <f>IF(IFERROR(_xlfn.IFNA(VLOOKUP($A507,'HR Rep'!$A:$X,MATCH('1) For HR (FIX)'!I$1,'HR Rep'!$A$1:$X$1,0),0),""),"")="","",IFERROR(_xlfn.IFNA(VLOOKUP($A507,'HR Rep'!$A:$X,MATCH('1) For HR (FIX)'!I$1,'HR Rep'!$A$1:$X$1,0),0),""),""))</f>
        <v/>
      </c>
      <c r="J507" s="140" t="str">
        <f>IF(IFERROR(_xlfn.IFNA(VLOOKUP($A507,'HR Rep'!$A:$X,MATCH('1) For HR (FIX)'!J$1,'HR Rep'!$A$1:$X$1,0),0),""),"")="","",IFERROR(_xlfn.IFNA(VLOOKUP($A507,'HR Rep'!$A:$X,MATCH('1) For HR (FIX)'!J$1,'HR Rep'!$A$1:$X$1,0),0),""),""))</f>
        <v/>
      </c>
      <c r="K507" s="161">
        <f>_xlfn.XLOOKUP(G507,ค่าตอบแทนการขายในอัตราคงที่!A:A,ค่าตอบแทนการขายในอัตราคงที่!B:B)</f>
        <v>0</v>
      </c>
      <c r="L507" s="174">
        <f>Period!$A$2</f>
        <v>46113</v>
      </c>
      <c r="M507" s="175">
        <f>Period!$C$2</f>
        <v>46143</v>
      </c>
      <c r="N507" s="194" t="s">
        <v>279</v>
      </c>
    </row>
    <row r="508" spans="1:14" ht="11.4" x14ac:dyDescent="0.25">
      <c r="A508" s="137"/>
      <c r="B508" s="169" t="e">
        <f>IF(IF(VLOOKUP(A508,ASTBase!F:P,11,FALSE)="","",VLOOKUP(A508,ASTBase!F:P,11,FALSE))=0,"",IF(VLOOKUP(A508,ASTBase!F:P,11,FALSE)="","",VLOOKUP(A508,ASTBase!F:P,11,FALSE)))</f>
        <v>#N/A</v>
      </c>
      <c r="C508" s="140" t="str">
        <f>IF(IFERROR(_xlfn.IFNA(VLOOKUP($A508,'HR Rep'!$A:$X,MATCH('1) For HR (FIX)'!C$1,'HR Rep'!$A$1:$X$1,0),0),""),"")="","",IFERROR(_xlfn.IFNA(VLOOKUP($A508,'HR Rep'!$A:$X,MATCH('1) For HR (FIX)'!C$1,'HR Rep'!$A$1:$X$1,0),0),""),""))</f>
        <v/>
      </c>
      <c r="D508" s="140" t="str">
        <f>IF(IFERROR(_xlfn.IFNA(VLOOKUP($A508,'HR Rep'!$A:$X,MATCH('1) For HR (FIX)'!D$1,'HR Rep'!$A$1:$X$1,0),0),""),"")="","",IFERROR(_xlfn.IFNA(VLOOKUP($A508,'HR Rep'!$A:$X,MATCH('1) For HR (FIX)'!D$1,'HR Rep'!$A$1:$X$1,0),0),""),""))</f>
        <v/>
      </c>
      <c r="E508" s="140" t="str">
        <f>IF(IFERROR(_xlfn.IFNA(VLOOKUP($A508,'HR Rep'!$A:$X,MATCH('1) For HR (FIX)'!E$1,'HR Rep'!$A$1:$X$1,0),0),""),"")="","",IFERROR(_xlfn.IFNA(VLOOKUP($A508,'HR Rep'!$A:$X,MATCH('1) For HR (FIX)'!E$1,'HR Rep'!$A$1:$X$1,0),0),""),""))</f>
        <v/>
      </c>
      <c r="F508" s="140" t="str">
        <f>IF(IFERROR(_xlfn.IFNA(VLOOKUP($A508,'HR Rep'!$A:$X,MATCH('1) For HR (FIX)'!F$1,'HR Rep'!$A$1:$X$1,0),0),""),"")="","",IFERROR(_xlfn.IFNA(VLOOKUP($A508,'HR Rep'!$A:$X,MATCH('1) For HR (FIX)'!F$1,'HR Rep'!$A$1:$X$1,0),0),""),""))</f>
        <v/>
      </c>
      <c r="G508" s="196"/>
      <c r="H508" s="140" t="str">
        <f>IF(IFERROR(_xlfn.IFNA(VLOOKUP($A508,'HR Rep'!$A:$X,MATCH('1) For HR (FIX)'!H$1,'HR Rep'!$A$1:$X$1,0),0),""),"")="","",IFERROR(_xlfn.IFNA(VLOOKUP($A508,'HR Rep'!$A:$X,MATCH('1) For HR (FIX)'!H$1,'HR Rep'!$A$1:$X$1,0),0),""),""))</f>
        <v/>
      </c>
      <c r="I508" s="140" t="str">
        <f>IF(IFERROR(_xlfn.IFNA(VLOOKUP($A508,'HR Rep'!$A:$X,MATCH('1) For HR (FIX)'!I$1,'HR Rep'!$A$1:$X$1,0),0),""),"")="","",IFERROR(_xlfn.IFNA(VLOOKUP($A508,'HR Rep'!$A:$X,MATCH('1) For HR (FIX)'!I$1,'HR Rep'!$A$1:$X$1,0),0),""),""))</f>
        <v/>
      </c>
      <c r="J508" s="140" t="str">
        <f>IF(IFERROR(_xlfn.IFNA(VLOOKUP($A508,'HR Rep'!$A:$X,MATCH('1) For HR (FIX)'!J$1,'HR Rep'!$A$1:$X$1,0),0),""),"")="","",IFERROR(_xlfn.IFNA(VLOOKUP($A508,'HR Rep'!$A:$X,MATCH('1) For HR (FIX)'!J$1,'HR Rep'!$A$1:$X$1,0),0),""),""))</f>
        <v/>
      </c>
      <c r="K508" s="161">
        <f>_xlfn.XLOOKUP(G508,ค่าตอบแทนการขายในอัตราคงที่!A:A,ค่าตอบแทนการขายในอัตราคงที่!B:B)</f>
        <v>0</v>
      </c>
      <c r="L508" s="174">
        <f>Period!$A$2</f>
        <v>46113</v>
      </c>
      <c r="M508" s="175">
        <f>Period!$C$2</f>
        <v>46143</v>
      </c>
      <c r="N508" s="194" t="s">
        <v>279</v>
      </c>
    </row>
    <row r="509" spans="1:14" ht="11.4" x14ac:dyDescent="0.25">
      <c r="A509" s="137"/>
      <c r="B509" s="169" t="e">
        <f>IF(IF(VLOOKUP(A509,ASTBase!F:P,11,FALSE)="","",VLOOKUP(A509,ASTBase!F:P,11,FALSE))=0,"",IF(VLOOKUP(A509,ASTBase!F:P,11,FALSE)="","",VLOOKUP(A509,ASTBase!F:P,11,FALSE)))</f>
        <v>#N/A</v>
      </c>
      <c r="C509" s="140" t="str">
        <f>IF(IFERROR(_xlfn.IFNA(VLOOKUP($A509,'HR Rep'!$A:$X,MATCH('1) For HR (FIX)'!C$1,'HR Rep'!$A$1:$X$1,0),0),""),"")="","",IFERROR(_xlfn.IFNA(VLOOKUP($A509,'HR Rep'!$A:$X,MATCH('1) For HR (FIX)'!C$1,'HR Rep'!$A$1:$X$1,0),0),""),""))</f>
        <v/>
      </c>
      <c r="D509" s="140" t="str">
        <f>IF(IFERROR(_xlfn.IFNA(VLOOKUP($A509,'HR Rep'!$A:$X,MATCH('1) For HR (FIX)'!D$1,'HR Rep'!$A$1:$X$1,0),0),""),"")="","",IFERROR(_xlfn.IFNA(VLOOKUP($A509,'HR Rep'!$A:$X,MATCH('1) For HR (FIX)'!D$1,'HR Rep'!$A$1:$X$1,0),0),""),""))</f>
        <v/>
      </c>
      <c r="E509" s="140" t="str">
        <f>IF(IFERROR(_xlfn.IFNA(VLOOKUP($A509,'HR Rep'!$A:$X,MATCH('1) For HR (FIX)'!E$1,'HR Rep'!$A$1:$X$1,0),0),""),"")="","",IFERROR(_xlfn.IFNA(VLOOKUP($A509,'HR Rep'!$A:$X,MATCH('1) For HR (FIX)'!E$1,'HR Rep'!$A$1:$X$1,0),0),""),""))</f>
        <v/>
      </c>
      <c r="F509" s="140" t="str">
        <f>IF(IFERROR(_xlfn.IFNA(VLOOKUP($A509,'HR Rep'!$A:$X,MATCH('1) For HR (FIX)'!F$1,'HR Rep'!$A$1:$X$1,0),0),""),"")="","",IFERROR(_xlfn.IFNA(VLOOKUP($A509,'HR Rep'!$A:$X,MATCH('1) For HR (FIX)'!F$1,'HR Rep'!$A$1:$X$1,0),0),""),""))</f>
        <v/>
      </c>
      <c r="G509" s="196"/>
      <c r="H509" s="140" t="str">
        <f>IF(IFERROR(_xlfn.IFNA(VLOOKUP($A509,'HR Rep'!$A:$X,MATCH('1) For HR (FIX)'!H$1,'HR Rep'!$A$1:$X$1,0),0),""),"")="","",IFERROR(_xlfn.IFNA(VLOOKUP($A509,'HR Rep'!$A:$X,MATCH('1) For HR (FIX)'!H$1,'HR Rep'!$A$1:$X$1,0),0),""),""))</f>
        <v/>
      </c>
      <c r="I509" s="140" t="str">
        <f>IF(IFERROR(_xlfn.IFNA(VLOOKUP($A509,'HR Rep'!$A:$X,MATCH('1) For HR (FIX)'!I$1,'HR Rep'!$A$1:$X$1,0),0),""),"")="","",IFERROR(_xlfn.IFNA(VLOOKUP($A509,'HR Rep'!$A:$X,MATCH('1) For HR (FIX)'!I$1,'HR Rep'!$A$1:$X$1,0),0),""),""))</f>
        <v/>
      </c>
      <c r="J509" s="140" t="str">
        <f>IF(IFERROR(_xlfn.IFNA(VLOOKUP($A509,'HR Rep'!$A:$X,MATCH('1) For HR (FIX)'!J$1,'HR Rep'!$A$1:$X$1,0),0),""),"")="","",IFERROR(_xlfn.IFNA(VLOOKUP($A509,'HR Rep'!$A:$X,MATCH('1) For HR (FIX)'!J$1,'HR Rep'!$A$1:$X$1,0),0),""),""))</f>
        <v/>
      </c>
      <c r="K509" s="161">
        <f>_xlfn.XLOOKUP(G509,ค่าตอบแทนการขายในอัตราคงที่!A:A,ค่าตอบแทนการขายในอัตราคงที่!B:B)</f>
        <v>0</v>
      </c>
      <c r="L509" s="174">
        <f>Period!$A$2</f>
        <v>46113</v>
      </c>
      <c r="M509" s="175">
        <f>Period!$C$2</f>
        <v>46143</v>
      </c>
      <c r="N509" s="194" t="s">
        <v>279</v>
      </c>
    </row>
    <row r="510" spans="1:14" ht="11.4" x14ac:dyDescent="0.25">
      <c r="A510" s="137"/>
      <c r="B510" s="169" t="e">
        <f>IF(IF(VLOOKUP(A510,ASTBase!F:P,11,FALSE)="","",VLOOKUP(A510,ASTBase!F:P,11,FALSE))=0,"",IF(VLOOKUP(A510,ASTBase!F:P,11,FALSE)="","",VLOOKUP(A510,ASTBase!F:P,11,FALSE)))</f>
        <v>#N/A</v>
      </c>
      <c r="C510" s="140" t="str">
        <f>IF(IFERROR(_xlfn.IFNA(VLOOKUP($A510,'HR Rep'!$A:$X,MATCH('1) For HR (FIX)'!C$1,'HR Rep'!$A$1:$X$1,0),0),""),"")="","",IFERROR(_xlfn.IFNA(VLOOKUP($A510,'HR Rep'!$A:$X,MATCH('1) For HR (FIX)'!C$1,'HR Rep'!$A$1:$X$1,0),0),""),""))</f>
        <v/>
      </c>
      <c r="D510" s="140" t="str">
        <f>IF(IFERROR(_xlfn.IFNA(VLOOKUP($A510,'HR Rep'!$A:$X,MATCH('1) For HR (FIX)'!D$1,'HR Rep'!$A$1:$X$1,0),0),""),"")="","",IFERROR(_xlfn.IFNA(VLOOKUP($A510,'HR Rep'!$A:$X,MATCH('1) For HR (FIX)'!D$1,'HR Rep'!$A$1:$X$1,0),0),""),""))</f>
        <v/>
      </c>
      <c r="E510" s="140" t="str">
        <f>IF(IFERROR(_xlfn.IFNA(VLOOKUP($A510,'HR Rep'!$A:$X,MATCH('1) For HR (FIX)'!E$1,'HR Rep'!$A$1:$X$1,0),0),""),"")="","",IFERROR(_xlfn.IFNA(VLOOKUP($A510,'HR Rep'!$A:$X,MATCH('1) For HR (FIX)'!E$1,'HR Rep'!$A$1:$X$1,0),0),""),""))</f>
        <v/>
      </c>
      <c r="F510" s="140" t="str">
        <f>IF(IFERROR(_xlfn.IFNA(VLOOKUP($A510,'HR Rep'!$A:$X,MATCH('1) For HR (FIX)'!F$1,'HR Rep'!$A$1:$X$1,0),0),""),"")="","",IFERROR(_xlfn.IFNA(VLOOKUP($A510,'HR Rep'!$A:$X,MATCH('1) For HR (FIX)'!F$1,'HR Rep'!$A$1:$X$1,0),0),""),""))</f>
        <v/>
      </c>
      <c r="G510" s="196"/>
      <c r="H510" s="140" t="str">
        <f>IF(IFERROR(_xlfn.IFNA(VLOOKUP($A510,'HR Rep'!$A:$X,MATCH('1) For HR (FIX)'!H$1,'HR Rep'!$A$1:$X$1,0),0),""),"")="","",IFERROR(_xlfn.IFNA(VLOOKUP($A510,'HR Rep'!$A:$X,MATCH('1) For HR (FIX)'!H$1,'HR Rep'!$A$1:$X$1,0),0),""),""))</f>
        <v/>
      </c>
      <c r="I510" s="140" t="str">
        <f>IF(IFERROR(_xlfn.IFNA(VLOOKUP($A510,'HR Rep'!$A:$X,MATCH('1) For HR (FIX)'!I$1,'HR Rep'!$A$1:$X$1,0),0),""),"")="","",IFERROR(_xlfn.IFNA(VLOOKUP($A510,'HR Rep'!$A:$X,MATCH('1) For HR (FIX)'!I$1,'HR Rep'!$A$1:$X$1,0),0),""),""))</f>
        <v/>
      </c>
      <c r="J510" s="140" t="str">
        <f>IF(IFERROR(_xlfn.IFNA(VLOOKUP($A510,'HR Rep'!$A:$X,MATCH('1) For HR (FIX)'!J$1,'HR Rep'!$A$1:$X$1,0),0),""),"")="","",IFERROR(_xlfn.IFNA(VLOOKUP($A510,'HR Rep'!$A:$X,MATCH('1) For HR (FIX)'!J$1,'HR Rep'!$A$1:$X$1,0),0),""),""))</f>
        <v/>
      </c>
      <c r="K510" s="161">
        <f>_xlfn.XLOOKUP(G510,ค่าตอบแทนการขายในอัตราคงที่!A:A,ค่าตอบแทนการขายในอัตราคงที่!B:B)</f>
        <v>0</v>
      </c>
      <c r="L510" s="174">
        <f>Period!$A$2</f>
        <v>46113</v>
      </c>
      <c r="M510" s="175">
        <f>Period!$C$2</f>
        <v>46143</v>
      </c>
      <c r="N510" s="194" t="s">
        <v>279</v>
      </c>
    </row>
    <row r="511" spans="1:14" ht="11.4" x14ac:dyDescent="0.25">
      <c r="A511" s="137"/>
      <c r="B511" s="169" t="e">
        <f>IF(IF(VLOOKUP(A511,ASTBase!F:P,11,FALSE)="","",VLOOKUP(A511,ASTBase!F:P,11,FALSE))=0,"",IF(VLOOKUP(A511,ASTBase!F:P,11,FALSE)="","",VLOOKUP(A511,ASTBase!F:P,11,FALSE)))</f>
        <v>#N/A</v>
      </c>
      <c r="C511" s="140" t="str">
        <f>IF(IFERROR(_xlfn.IFNA(VLOOKUP($A511,'HR Rep'!$A:$X,MATCH('1) For HR (FIX)'!C$1,'HR Rep'!$A$1:$X$1,0),0),""),"")="","",IFERROR(_xlfn.IFNA(VLOOKUP($A511,'HR Rep'!$A:$X,MATCH('1) For HR (FIX)'!C$1,'HR Rep'!$A$1:$X$1,0),0),""),""))</f>
        <v/>
      </c>
      <c r="D511" s="140" t="str">
        <f>IF(IFERROR(_xlfn.IFNA(VLOOKUP($A511,'HR Rep'!$A:$X,MATCH('1) For HR (FIX)'!D$1,'HR Rep'!$A$1:$X$1,0),0),""),"")="","",IFERROR(_xlfn.IFNA(VLOOKUP($A511,'HR Rep'!$A:$X,MATCH('1) For HR (FIX)'!D$1,'HR Rep'!$A$1:$X$1,0),0),""),""))</f>
        <v/>
      </c>
      <c r="E511" s="140" t="str">
        <f>IF(IFERROR(_xlfn.IFNA(VLOOKUP($A511,'HR Rep'!$A:$X,MATCH('1) For HR (FIX)'!E$1,'HR Rep'!$A$1:$X$1,0),0),""),"")="","",IFERROR(_xlfn.IFNA(VLOOKUP($A511,'HR Rep'!$A:$X,MATCH('1) For HR (FIX)'!E$1,'HR Rep'!$A$1:$X$1,0),0),""),""))</f>
        <v/>
      </c>
      <c r="F511" s="140" t="str">
        <f>IF(IFERROR(_xlfn.IFNA(VLOOKUP($A511,'HR Rep'!$A:$X,MATCH('1) For HR (FIX)'!F$1,'HR Rep'!$A$1:$X$1,0),0),""),"")="","",IFERROR(_xlfn.IFNA(VLOOKUP($A511,'HR Rep'!$A:$X,MATCH('1) For HR (FIX)'!F$1,'HR Rep'!$A$1:$X$1,0),0),""),""))</f>
        <v/>
      </c>
      <c r="G511" s="196"/>
      <c r="H511" s="140" t="str">
        <f>IF(IFERROR(_xlfn.IFNA(VLOOKUP($A511,'HR Rep'!$A:$X,MATCH('1) For HR (FIX)'!H$1,'HR Rep'!$A$1:$X$1,0),0),""),"")="","",IFERROR(_xlfn.IFNA(VLOOKUP($A511,'HR Rep'!$A:$X,MATCH('1) For HR (FIX)'!H$1,'HR Rep'!$A$1:$X$1,0),0),""),""))</f>
        <v/>
      </c>
      <c r="I511" s="140" t="str">
        <f>IF(IFERROR(_xlfn.IFNA(VLOOKUP($A511,'HR Rep'!$A:$X,MATCH('1) For HR (FIX)'!I$1,'HR Rep'!$A$1:$X$1,0),0),""),"")="","",IFERROR(_xlfn.IFNA(VLOOKUP($A511,'HR Rep'!$A:$X,MATCH('1) For HR (FIX)'!I$1,'HR Rep'!$A$1:$X$1,0),0),""),""))</f>
        <v/>
      </c>
      <c r="J511" s="140" t="str">
        <f>IF(IFERROR(_xlfn.IFNA(VLOOKUP($A511,'HR Rep'!$A:$X,MATCH('1) For HR (FIX)'!J$1,'HR Rep'!$A$1:$X$1,0),0),""),"")="","",IFERROR(_xlfn.IFNA(VLOOKUP($A511,'HR Rep'!$A:$X,MATCH('1) For HR (FIX)'!J$1,'HR Rep'!$A$1:$X$1,0),0),""),""))</f>
        <v/>
      </c>
      <c r="K511" s="161">
        <f>_xlfn.XLOOKUP(G511,ค่าตอบแทนการขายในอัตราคงที่!A:A,ค่าตอบแทนการขายในอัตราคงที่!B:B)</f>
        <v>0</v>
      </c>
      <c r="L511" s="174">
        <f>Period!$A$2</f>
        <v>46113</v>
      </c>
      <c r="M511" s="175">
        <f>Period!$C$2</f>
        <v>46143</v>
      </c>
      <c r="N511" s="194" t="s">
        <v>279</v>
      </c>
    </row>
    <row r="512" spans="1:14" ht="11.4" x14ac:dyDescent="0.25">
      <c r="A512" s="137"/>
      <c r="B512" s="169" t="e">
        <f>IF(IF(VLOOKUP(A512,ASTBase!F:P,11,FALSE)="","",VLOOKUP(A512,ASTBase!F:P,11,FALSE))=0,"",IF(VLOOKUP(A512,ASTBase!F:P,11,FALSE)="","",VLOOKUP(A512,ASTBase!F:P,11,FALSE)))</f>
        <v>#N/A</v>
      </c>
      <c r="C512" s="140" t="str">
        <f>IF(IFERROR(_xlfn.IFNA(VLOOKUP($A512,'HR Rep'!$A:$X,MATCH('1) For HR (FIX)'!C$1,'HR Rep'!$A$1:$X$1,0),0),""),"")="","",IFERROR(_xlfn.IFNA(VLOOKUP($A512,'HR Rep'!$A:$X,MATCH('1) For HR (FIX)'!C$1,'HR Rep'!$A$1:$X$1,0),0),""),""))</f>
        <v/>
      </c>
      <c r="D512" s="140" t="str">
        <f>IF(IFERROR(_xlfn.IFNA(VLOOKUP($A512,'HR Rep'!$A:$X,MATCH('1) For HR (FIX)'!D$1,'HR Rep'!$A$1:$X$1,0),0),""),"")="","",IFERROR(_xlfn.IFNA(VLOOKUP($A512,'HR Rep'!$A:$X,MATCH('1) For HR (FIX)'!D$1,'HR Rep'!$A$1:$X$1,0),0),""),""))</f>
        <v/>
      </c>
      <c r="E512" s="140" t="str">
        <f>IF(IFERROR(_xlfn.IFNA(VLOOKUP($A512,'HR Rep'!$A:$X,MATCH('1) For HR (FIX)'!E$1,'HR Rep'!$A$1:$X$1,0),0),""),"")="","",IFERROR(_xlfn.IFNA(VLOOKUP($A512,'HR Rep'!$A:$X,MATCH('1) For HR (FIX)'!E$1,'HR Rep'!$A$1:$X$1,0),0),""),""))</f>
        <v/>
      </c>
      <c r="F512" s="140" t="str">
        <f>IF(IFERROR(_xlfn.IFNA(VLOOKUP($A512,'HR Rep'!$A:$X,MATCH('1) For HR (FIX)'!F$1,'HR Rep'!$A$1:$X$1,0),0),""),"")="","",IFERROR(_xlfn.IFNA(VLOOKUP($A512,'HR Rep'!$A:$X,MATCH('1) For HR (FIX)'!F$1,'HR Rep'!$A$1:$X$1,0),0),""),""))</f>
        <v/>
      </c>
      <c r="G512" s="196"/>
      <c r="H512" s="140" t="str">
        <f>IF(IFERROR(_xlfn.IFNA(VLOOKUP($A512,'HR Rep'!$A:$X,MATCH('1) For HR (FIX)'!H$1,'HR Rep'!$A$1:$X$1,0),0),""),"")="","",IFERROR(_xlfn.IFNA(VLOOKUP($A512,'HR Rep'!$A:$X,MATCH('1) For HR (FIX)'!H$1,'HR Rep'!$A$1:$X$1,0),0),""),""))</f>
        <v/>
      </c>
      <c r="I512" s="140" t="str">
        <f>IF(IFERROR(_xlfn.IFNA(VLOOKUP($A512,'HR Rep'!$A:$X,MATCH('1) For HR (FIX)'!I$1,'HR Rep'!$A$1:$X$1,0),0),""),"")="","",IFERROR(_xlfn.IFNA(VLOOKUP($A512,'HR Rep'!$A:$X,MATCH('1) For HR (FIX)'!I$1,'HR Rep'!$A$1:$X$1,0),0),""),""))</f>
        <v/>
      </c>
      <c r="J512" s="140" t="str">
        <f>IF(IFERROR(_xlfn.IFNA(VLOOKUP($A512,'HR Rep'!$A:$X,MATCH('1) For HR (FIX)'!J$1,'HR Rep'!$A$1:$X$1,0),0),""),"")="","",IFERROR(_xlfn.IFNA(VLOOKUP($A512,'HR Rep'!$A:$X,MATCH('1) For HR (FIX)'!J$1,'HR Rep'!$A$1:$X$1,0),0),""),""))</f>
        <v/>
      </c>
      <c r="K512" s="161">
        <f>_xlfn.XLOOKUP(G512,ค่าตอบแทนการขายในอัตราคงที่!A:A,ค่าตอบแทนการขายในอัตราคงที่!B:B)</f>
        <v>0</v>
      </c>
      <c r="L512" s="174">
        <f>Period!$A$2</f>
        <v>46113</v>
      </c>
      <c r="M512" s="175">
        <f>Period!$C$2</f>
        <v>46143</v>
      </c>
      <c r="N512" s="194" t="s">
        <v>279</v>
      </c>
    </row>
    <row r="513" spans="1:14" ht="11.4" x14ac:dyDescent="0.25">
      <c r="A513" s="137"/>
      <c r="B513" s="169" t="e">
        <f>IF(IF(VLOOKUP(A513,ASTBase!F:P,11,FALSE)="","",VLOOKUP(A513,ASTBase!F:P,11,FALSE))=0,"",IF(VLOOKUP(A513,ASTBase!F:P,11,FALSE)="","",VLOOKUP(A513,ASTBase!F:P,11,FALSE)))</f>
        <v>#N/A</v>
      </c>
      <c r="C513" s="140" t="str">
        <f>IF(IFERROR(_xlfn.IFNA(VLOOKUP($A513,'HR Rep'!$A:$X,MATCH('1) For HR (FIX)'!C$1,'HR Rep'!$A$1:$X$1,0),0),""),"")="","",IFERROR(_xlfn.IFNA(VLOOKUP($A513,'HR Rep'!$A:$X,MATCH('1) For HR (FIX)'!C$1,'HR Rep'!$A$1:$X$1,0),0),""),""))</f>
        <v/>
      </c>
      <c r="D513" s="140" t="str">
        <f>IF(IFERROR(_xlfn.IFNA(VLOOKUP($A513,'HR Rep'!$A:$X,MATCH('1) For HR (FIX)'!D$1,'HR Rep'!$A$1:$X$1,0),0),""),"")="","",IFERROR(_xlfn.IFNA(VLOOKUP($A513,'HR Rep'!$A:$X,MATCH('1) For HR (FIX)'!D$1,'HR Rep'!$A$1:$X$1,0),0),""),""))</f>
        <v/>
      </c>
      <c r="E513" s="140" t="str">
        <f>IF(IFERROR(_xlfn.IFNA(VLOOKUP($A513,'HR Rep'!$A:$X,MATCH('1) For HR (FIX)'!E$1,'HR Rep'!$A$1:$X$1,0),0),""),"")="","",IFERROR(_xlfn.IFNA(VLOOKUP($A513,'HR Rep'!$A:$X,MATCH('1) For HR (FIX)'!E$1,'HR Rep'!$A$1:$X$1,0),0),""),""))</f>
        <v/>
      </c>
      <c r="F513" s="140" t="str">
        <f>IF(IFERROR(_xlfn.IFNA(VLOOKUP($A513,'HR Rep'!$A:$X,MATCH('1) For HR (FIX)'!F$1,'HR Rep'!$A$1:$X$1,0),0),""),"")="","",IFERROR(_xlfn.IFNA(VLOOKUP($A513,'HR Rep'!$A:$X,MATCH('1) For HR (FIX)'!F$1,'HR Rep'!$A$1:$X$1,0),0),""),""))</f>
        <v/>
      </c>
      <c r="G513" s="196"/>
      <c r="H513" s="140" t="str">
        <f>IF(IFERROR(_xlfn.IFNA(VLOOKUP($A513,'HR Rep'!$A:$X,MATCH('1) For HR (FIX)'!H$1,'HR Rep'!$A$1:$X$1,0),0),""),"")="","",IFERROR(_xlfn.IFNA(VLOOKUP($A513,'HR Rep'!$A:$X,MATCH('1) For HR (FIX)'!H$1,'HR Rep'!$A$1:$X$1,0),0),""),""))</f>
        <v/>
      </c>
      <c r="I513" s="140" t="str">
        <f>IF(IFERROR(_xlfn.IFNA(VLOOKUP($A513,'HR Rep'!$A:$X,MATCH('1) For HR (FIX)'!I$1,'HR Rep'!$A$1:$X$1,0),0),""),"")="","",IFERROR(_xlfn.IFNA(VLOOKUP($A513,'HR Rep'!$A:$X,MATCH('1) For HR (FIX)'!I$1,'HR Rep'!$A$1:$X$1,0),0),""),""))</f>
        <v/>
      </c>
      <c r="J513" s="140" t="str">
        <f>IF(IFERROR(_xlfn.IFNA(VLOOKUP($A513,'HR Rep'!$A:$X,MATCH('1) For HR (FIX)'!J$1,'HR Rep'!$A$1:$X$1,0),0),""),"")="","",IFERROR(_xlfn.IFNA(VLOOKUP($A513,'HR Rep'!$A:$X,MATCH('1) For HR (FIX)'!J$1,'HR Rep'!$A$1:$X$1,0),0),""),""))</f>
        <v/>
      </c>
      <c r="K513" s="161">
        <f>_xlfn.XLOOKUP(G513,ค่าตอบแทนการขายในอัตราคงที่!A:A,ค่าตอบแทนการขายในอัตราคงที่!B:B)</f>
        <v>0</v>
      </c>
      <c r="L513" s="174">
        <f>Period!$A$2</f>
        <v>46113</v>
      </c>
      <c r="M513" s="175">
        <f>Period!$C$2</f>
        <v>46143</v>
      </c>
      <c r="N513" s="194" t="s">
        <v>279</v>
      </c>
    </row>
    <row r="514" spans="1:14" ht="11.4" x14ac:dyDescent="0.25">
      <c r="A514" s="137"/>
      <c r="B514" s="169" t="e">
        <f>IF(IF(VLOOKUP(A514,ASTBase!F:P,11,FALSE)="","",VLOOKUP(A514,ASTBase!F:P,11,FALSE))=0,"",IF(VLOOKUP(A514,ASTBase!F:P,11,FALSE)="","",VLOOKUP(A514,ASTBase!F:P,11,FALSE)))</f>
        <v>#N/A</v>
      </c>
      <c r="C514" s="140" t="str">
        <f>IF(IFERROR(_xlfn.IFNA(VLOOKUP($A514,'HR Rep'!$A:$X,MATCH('1) For HR (FIX)'!C$1,'HR Rep'!$A$1:$X$1,0),0),""),"")="","",IFERROR(_xlfn.IFNA(VLOOKUP($A514,'HR Rep'!$A:$X,MATCH('1) For HR (FIX)'!C$1,'HR Rep'!$A$1:$X$1,0),0),""),""))</f>
        <v/>
      </c>
      <c r="D514" s="140" t="str">
        <f>IF(IFERROR(_xlfn.IFNA(VLOOKUP($A514,'HR Rep'!$A:$X,MATCH('1) For HR (FIX)'!D$1,'HR Rep'!$A$1:$X$1,0),0),""),"")="","",IFERROR(_xlfn.IFNA(VLOOKUP($A514,'HR Rep'!$A:$X,MATCH('1) For HR (FIX)'!D$1,'HR Rep'!$A$1:$X$1,0),0),""),""))</f>
        <v/>
      </c>
      <c r="E514" s="140" t="str">
        <f>IF(IFERROR(_xlfn.IFNA(VLOOKUP($A514,'HR Rep'!$A:$X,MATCH('1) For HR (FIX)'!E$1,'HR Rep'!$A$1:$X$1,0),0),""),"")="","",IFERROR(_xlfn.IFNA(VLOOKUP($A514,'HR Rep'!$A:$X,MATCH('1) For HR (FIX)'!E$1,'HR Rep'!$A$1:$X$1,0),0),""),""))</f>
        <v/>
      </c>
      <c r="F514" s="140" t="str">
        <f>IF(IFERROR(_xlfn.IFNA(VLOOKUP($A514,'HR Rep'!$A:$X,MATCH('1) For HR (FIX)'!F$1,'HR Rep'!$A$1:$X$1,0),0),""),"")="","",IFERROR(_xlfn.IFNA(VLOOKUP($A514,'HR Rep'!$A:$X,MATCH('1) For HR (FIX)'!F$1,'HR Rep'!$A$1:$X$1,0),0),""),""))</f>
        <v/>
      </c>
      <c r="G514" s="196"/>
      <c r="H514" s="140" t="str">
        <f>IF(IFERROR(_xlfn.IFNA(VLOOKUP($A514,'HR Rep'!$A:$X,MATCH('1) For HR (FIX)'!H$1,'HR Rep'!$A$1:$X$1,0),0),""),"")="","",IFERROR(_xlfn.IFNA(VLOOKUP($A514,'HR Rep'!$A:$X,MATCH('1) For HR (FIX)'!H$1,'HR Rep'!$A$1:$X$1,0),0),""),""))</f>
        <v/>
      </c>
      <c r="I514" s="140" t="str">
        <f>IF(IFERROR(_xlfn.IFNA(VLOOKUP($A514,'HR Rep'!$A:$X,MATCH('1) For HR (FIX)'!I$1,'HR Rep'!$A$1:$X$1,0),0),""),"")="","",IFERROR(_xlfn.IFNA(VLOOKUP($A514,'HR Rep'!$A:$X,MATCH('1) For HR (FIX)'!I$1,'HR Rep'!$A$1:$X$1,0),0),""),""))</f>
        <v/>
      </c>
      <c r="J514" s="140" t="str">
        <f>IF(IFERROR(_xlfn.IFNA(VLOOKUP($A514,'HR Rep'!$A:$X,MATCH('1) For HR (FIX)'!J$1,'HR Rep'!$A$1:$X$1,0),0),""),"")="","",IFERROR(_xlfn.IFNA(VLOOKUP($A514,'HR Rep'!$A:$X,MATCH('1) For HR (FIX)'!J$1,'HR Rep'!$A$1:$X$1,0),0),""),""))</f>
        <v/>
      </c>
      <c r="K514" s="161">
        <f>_xlfn.XLOOKUP(G514,ค่าตอบแทนการขายในอัตราคงที่!A:A,ค่าตอบแทนการขายในอัตราคงที่!B:B)</f>
        <v>0</v>
      </c>
      <c r="L514" s="174">
        <f>Period!$A$2</f>
        <v>46113</v>
      </c>
      <c r="M514" s="175">
        <f>Period!$C$2</f>
        <v>46143</v>
      </c>
      <c r="N514" s="194" t="s">
        <v>279</v>
      </c>
    </row>
    <row r="515" spans="1:14" ht="11.4" x14ac:dyDescent="0.25">
      <c r="A515" s="137"/>
      <c r="B515" s="169" t="e">
        <f>IF(IF(VLOOKUP(A515,ASTBase!F:P,11,FALSE)="","",VLOOKUP(A515,ASTBase!F:P,11,FALSE))=0,"",IF(VLOOKUP(A515,ASTBase!F:P,11,FALSE)="","",VLOOKUP(A515,ASTBase!F:P,11,FALSE)))</f>
        <v>#N/A</v>
      </c>
      <c r="C515" s="140" t="str">
        <f>IF(IFERROR(_xlfn.IFNA(VLOOKUP($A515,'HR Rep'!$A:$X,MATCH('1) For HR (FIX)'!C$1,'HR Rep'!$A$1:$X$1,0),0),""),"")="","",IFERROR(_xlfn.IFNA(VLOOKUP($A515,'HR Rep'!$A:$X,MATCH('1) For HR (FIX)'!C$1,'HR Rep'!$A$1:$X$1,0),0),""),""))</f>
        <v/>
      </c>
      <c r="D515" s="140" t="str">
        <f>IF(IFERROR(_xlfn.IFNA(VLOOKUP($A515,'HR Rep'!$A:$X,MATCH('1) For HR (FIX)'!D$1,'HR Rep'!$A$1:$X$1,0),0),""),"")="","",IFERROR(_xlfn.IFNA(VLOOKUP($A515,'HR Rep'!$A:$X,MATCH('1) For HR (FIX)'!D$1,'HR Rep'!$A$1:$X$1,0),0),""),""))</f>
        <v/>
      </c>
      <c r="E515" s="140" t="str">
        <f>IF(IFERROR(_xlfn.IFNA(VLOOKUP($A515,'HR Rep'!$A:$X,MATCH('1) For HR (FIX)'!E$1,'HR Rep'!$A$1:$X$1,0),0),""),"")="","",IFERROR(_xlfn.IFNA(VLOOKUP($A515,'HR Rep'!$A:$X,MATCH('1) For HR (FIX)'!E$1,'HR Rep'!$A$1:$X$1,0),0),""),""))</f>
        <v/>
      </c>
      <c r="F515" s="140" t="str">
        <f>IF(IFERROR(_xlfn.IFNA(VLOOKUP($A515,'HR Rep'!$A:$X,MATCH('1) For HR (FIX)'!F$1,'HR Rep'!$A$1:$X$1,0),0),""),"")="","",IFERROR(_xlfn.IFNA(VLOOKUP($A515,'HR Rep'!$A:$X,MATCH('1) For HR (FIX)'!F$1,'HR Rep'!$A$1:$X$1,0),0),""),""))</f>
        <v/>
      </c>
      <c r="G515" s="196"/>
      <c r="H515" s="140" t="str">
        <f>IF(IFERROR(_xlfn.IFNA(VLOOKUP($A515,'HR Rep'!$A:$X,MATCH('1) For HR (FIX)'!H$1,'HR Rep'!$A$1:$X$1,0),0),""),"")="","",IFERROR(_xlfn.IFNA(VLOOKUP($A515,'HR Rep'!$A:$X,MATCH('1) For HR (FIX)'!H$1,'HR Rep'!$A$1:$X$1,0),0),""),""))</f>
        <v/>
      </c>
      <c r="I515" s="140" t="str">
        <f>IF(IFERROR(_xlfn.IFNA(VLOOKUP($A515,'HR Rep'!$A:$X,MATCH('1) For HR (FIX)'!I$1,'HR Rep'!$A$1:$X$1,0),0),""),"")="","",IFERROR(_xlfn.IFNA(VLOOKUP($A515,'HR Rep'!$A:$X,MATCH('1) For HR (FIX)'!I$1,'HR Rep'!$A$1:$X$1,0),0),""),""))</f>
        <v/>
      </c>
      <c r="J515" s="140" t="str">
        <f>IF(IFERROR(_xlfn.IFNA(VLOOKUP($A515,'HR Rep'!$A:$X,MATCH('1) For HR (FIX)'!J$1,'HR Rep'!$A$1:$X$1,0),0),""),"")="","",IFERROR(_xlfn.IFNA(VLOOKUP($A515,'HR Rep'!$A:$X,MATCH('1) For HR (FIX)'!J$1,'HR Rep'!$A$1:$X$1,0),0),""),""))</f>
        <v/>
      </c>
      <c r="K515" s="161">
        <f>_xlfn.XLOOKUP(G515,ค่าตอบแทนการขายในอัตราคงที่!A:A,ค่าตอบแทนการขายในอัตราคงที่!B:B)</f>
        <v>0</v>
      </c>
      <c r="L515" s="174">
        <f>Period!$A$2</f>
        <v>46113</v>
      </c>
      <c r="M515" s="175">
        <f>Period!$C$2</f>
        <v>46143</v>
      </c>
      <c r="N515" s="194" t="s">
        <v>279</v>
      </c>
    </row>
    <row r="516" spans="1:14" ht="11.4" x14ac:dyDescent="0.25">
      <c r="A516" s="137"/>
      <c r="B516" s="169" t="e">
        <f>IF(IF(VLOOKUP(A516,ASTBase!F:P,11,FALSE)="","",VLOOKUP(A516,ASTBase!F:P,11,FALSE))=0,"",IF(VLOOKUP(A516,ASTBase!F:P,11,FALSE)="","",VLOOKUP(A516,ASTBase!F:P,11,FALSE)))</f>
        <v>#N/A</v>
      </c>
      <c r="C516" s="140" t="str">
        <f>IF(IFERROR(_xlfn.IFNA(VLOOKUP($A516,'HR Rep'!$A:$X,MATCH('1) For HR (FIX)'!C$1,'HR Rep'!$A$1:$X$1,0),0),""),"")="","",IFERROR(_xlfn.IFNA(VLOOKUP($A516,'HR Rep'!$A:$X,MATCH('1) For HR (FIX)'!C$1,'HR Rep'!$A$1:$X$1,0),0),""),""))</f>
        <v/>
      </c>
      <c r="D516" s="140" t="str">
        <f>IF(IFERROR(_xlfn.IFNA(VLOOKUP($A516,'HR Rep'!$A:$X,MATCH('1) For HR (FIX)'!D$1,'HR Rep'!$A$1:$X$1,0),0),""),"")="","",IFERROR(_xlfn.IFNA(VLOOKUP($A516,'HR Rep'!$A:$X,MATCH('1) For HR (FIX)'!D$1,'HR Rep'!$A$1:$X$1,0),0),""),""))</f>
        <v/>
      </c>
      <c r="E516" s="140" t="str">
        <f>IF(IFERROR(_xlfn.IFNA(VLOOKUP($A516,'HR Rep'!$A:$X,MATCH('1) For HR (FIX)'!E$1,'HR Rep'!$A$1:$X$1,0),0),""),"")="","",IFERROR(_xlfn.IFNA(VLOOKUP($A516,'HR Rep'!$A:$X,MATCH('1) For HR (FIX)'!E$1,'HR Rep'!$A$1:$X$1,0),0),""),""))</f>
        <v/>
      </c>
      <c r="F516" s="140" t="str">
        <f>IF(IFERROR(_xlfn.IFNA(VLOOKUP($A516,'HR Rep'!$A:$X,MATCH('1) For HR (FIX)'!F$1,'HR Rep'!$A$1:$X$1,0),0),""),"")="","",IFERROR(_xlfn.IFNA(VLOOKUP($A516,'HR Rep'!$A:$X,MATCH('1) For HR (FIX)'!F$1,'HR Rep'!$A$1:$X$1,0),0),""),""))</f>
        <v/>
      </c>
      <c r="G516" s="196"/>
      <c r="H516" s="140" t="str">
        <f>IF(IFERROR(_xlfn.IFNA(VLOOKUP($A516,'HR Rep'!$A:$X,MATCH('1) For HR (FIX)'!H$1,'HR Rep'!$A$1:$X$1,0),0),""),"")="","",IFERROR(_xlfn.IFNA(VLOOKUP($A516,'HR Rep'!$A:$X,MATCH('1) For HR (FIX)'!H$1,'HR Rep'!$A$1:$X$1,0),0),""),""))</f>
        <v/>
      </c>
      <c r="I516" s="140" t="str">
        <f>IF(IFERROR(_xlfn.IFNA(VLOOKUP($A516,'HR Rep'!$A:$X,MATCH('1) For HR (FIX)'!I$1,'HR Rep'!$A$1:$X$1,0),0),""),"")="","",IFERROR(_xlfn.IFNA(VLOOKUP($A516,'HR Rep'!$A:$X,MATCH('1) For HR (FIX)'!I$1,'HR Rep'!$A$1:$X$1,0),0),""),""))</f>
        <v/>
      </c>
      <c r="J516" s="140" t="str">
        <f>IF(IFERROR(_xlfn.IFNA(VLOOKUP($A516,'HR Rep'!$A:$X,MATCH('1) For HR (FIX)'!J$1,'HR Rep'!$A$1:$X$1,0),0),""),"")="","",IFERROR(_xlfn.IFNA(VLOOKUP($A516,'HR Rep'!$A:$X,MATCH('1) For HR (FIX)'!J$1,'HR Rep'!$A$1:$X$1,0),0),""),""))</f>
        <v/>
      </c>
      <c r="K516" s="161">
        <f>_xlfn.XLOOKUP(G516,ค่าตอบแทนการขายในอัตราคงที่!A:A,ค่าตอบแทนการขายในอัตราคงที่!B:B)</f>
        <v>0</v>
      </c>
      <c r="L516" s="174">
        <f>Period!$A$2</f>
        <v>46113</v>
      </c>
      <c r="M516" s="175">
        <f>Period!$C$2</f>
        <v>46143</v>
      </c>
      <c r="N516" s="194" t="s">
        <v>279</v>
      </c>
    </row>
    <row r="517" spans="1:14" ht="11.4" x14ac:dyDescent="0.25">
      <c r="A517" s="137"/>
      <c r="B517" s="169"/>
      <c r="C517" s="140"/>
      <c r="D517" s="140"/>
      <c r="E517" s="140"/>
      <c r="F517" s="140"/>
      <c r="G517" s="196"/>
      <c r="H517" s="140"/>
      <c r="I517" s="140"/>
      <c r="J517" s="140"/>
      <c r="K517" s="161"/>
      <c r="L517" s="174"/>
      <c r="M517" s="175"/>
      <c r="N517" s="194"/>
    </row>
    <row r="518" spans="1:14" ht="11.4" x14ac:dyDescent="0.25">
      <c r="A518" s="137"/>
      <c r="B518" s="169"/>
      <c r="C518" s="140"/>
      <c r="D518" s="140"/>
      <c r="E518" s="140"/>
      <c r="F518" s="140"/>
      <c r="G518" s="196"/>
      <c r="H518" s="140"/>
      <c r="I518" s="140"/>
      <c r="J518" s="140"/>
      <c r="K518" s="161"/>
      <c r="L518" s="174"/>
      <c r="M518" s="175"/>
      <c r="N518" s="194"/>
    </row>
    <row r="519" spans="1:14" ht="11.4" x14ac:dyDescent="0.25">
      <c r="A519" s="137"/>
      <c r="B519" s="169"/>
      <c r="C519" s="140"/>
      <c r="D519" s="140"/>
      <c r="E519" s="140"/>
      <c r="F519" s="140"/>
      <c r="G519" s="196"/>
      <c r="H519" s="140"/>
      <c r="I519" s="140"/>
      <c r="J519" s="140"/>
      <c r="K519" s="161"/>
      <c r="L519" s="174"/>
      <c r="M519" s="175"/>
      <c r="N519" s="194"/>
    </row>
    <row r="520" spans="1:14" ht="11.4" x14ac:dyDescent="0.25">
      <c r="A520" s="137"/>
      <c r="B520" s="169"/>
      <c r="C520" s="140"/>
      <c r="D520" s="140"/>
      <c r="E520" s="140"/>
      <c r="F520" s="140"/>
      <c r="G520" s="196"/>
      <c r="H520" s="140"/>
      <c r="I520" s="140"/>
      <c r="J520" s="140"/>
      <c r="K520" s="161"/>
      <c r="L520" s="174"/>
      <c r="M520" s="175"/>
      <c r="N520" s="194"/>
    </row>
  </sheetData>
  <autoFilter ref="A1:N516" xr:uid="{BA081420-264F-406B-9600-A8F14231ADD7}"/>
  <dataValidations count="1">
    <dataValidation type="list" allowBlank="1" showInputMessage="1" showErrorMessage="1" sqref="N2:N520" xr:uid="{2C69E5A9-18D7-412B-8AA4-657CCF5E316D}">
      <formula1>"Fix,Variable"</formula1>
    </dataValidation>
  </dataValidation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EE18-5CB6-428F-90D3-3E15794731CA}">
  <sheetPr codeName="Sheet21">
    <tabColor rgb="FFFF9900"/>
  </sheetPr>
  <dimension ref="A1:M4"/>
  <sheetViews>
    <sheetView zoomScale="120" zoomScaleNormal="120" workbookViewId="0">
      <selection activeCell="G51" sqref="G51"/>
    </sheetView>
  </sheetViews>
  <sheetFormatPr defaultColWidth="9.09765625" defaultRowHeight="10.8" x14ac:dyDescent="0.25"/>
  <cols>
    <col min="1" max="1" width="12.59765625" style="156" bestFit="1" customWidth="1"/>
    <col min="2" max="13" width="6.3984375" style="156" customWidth="1"/>
    <col min="14" max="16384" width="9.09765625" style="156"/>
  </cols>
  <sheetData>
    <row r="1" spans="1:13" x14ac:dyDescent="0.25">
      <c r="A1" s="192" t="s">
        <v>116</v>
      </c>
      <c r="B1" s="204" t="s">
        <v>280</v>
      </c>
      <c r="C1" s="204" t="s">
        <v>248</v>
      </c>
      <c r="D1" s="204" t="s">
        <v>281</v>
      </c>
      <c r="E1" s="204" t="s">
        <v>282</v>
      </c>
      <c r="F1" s="204" t="s">
        <v>283</v>
      </c>
      <c r="G1" s="204" t="s">
        <v>284</v>
      </c>
      <c r="H1" s="204" t="s">
        <v>285</v>
      </c>
      <c r="I1" s="204" t="s">
        <v>286</v>
      </c>
      <c r="J1" s="204" t="s">
        <v>287</v>
      </c>
      <c r="K1" s="204" t="s">
        <v>288</v>
      </c>
      <c r="L1" s="204" t="s">
        <v>289</v>
      </c>
      <c r="M1" s="204" t="s">
        <v>290</v>
      </c>
    </row>
    <row r="2" spans="1:13" ht="11.4" x14ac:dyDescent="0.25">
      <c r="A2" s="278" t="s">
        <v>405</v>
      </c>
      <c r="B2" s="156" t="s">
        <v>106</v>
      </c>
    </row>
    <row r="3" spans="1:13" ht="11.4" x14ac:dyDescent="0.25">
      <c r="A3" s="278" t="s">
        <v>406</v>
      </c>
      <c r="B3" s="156" t="s">
        <v>106</v>
      </c>
    </row>
    <row r="4" spans="1:13" ht="11.4" x14ac:dyDescent="0.25">
      <c r="A4" s="278" t="s">
        <v>412</v>
      </c>
      <c r="B4" s="156" t="s">
        <v>106</v>
      </c>
    </row>
  </sheetData>
  <dataValidations count="1">
    <dataValidation type="list" allowBlank="1" showInputMessage="1" showErrorMessage="1" sqref="B2:M2 B3:B4" xr:uid="{B3E4A377-DAA7-40BA-9942-39307EDF7535}">
      <formula1>"Shortage"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E0A9-EFC8-4EF6-A87E-4D839EEA7FDF}">
  <sheetPr codeName="Sheet23"/>
  <dimension ref="A1:B8"/>
  <sheetViews>
    <sheetView workbookViewId="0">
      <selection activeCell="F8" sqref="F8"/>
    </sheetView>
  </sheetViews>
  <sheetFormatPr defaultRowHeight="16.8" x14ac:dyDescent="0.4"/>
  <cols>
    <col min="1" max="1" width="28.3984375" customWidth="1"/>
    <col min="2" max="2" width="28.5" customWidth="1"/>
  </cols>
  <sheetData>
    <row r="1" spans="1:2" ht="17.399999999999999" thickBot="1" x14ac:dyDescent="0.45">
      <c r="A1" t="s">
        <v>291</v>
      </c>
    </row>
    <row r="2" spans="1:2" x14ac:dyDescent="0.4">
      <c r="A2" s="211" t="s">
        <v>263</v>
      </c>
      <c r="B2" s="212" t="s">
        <v>292</v>
      </c>
    </row>
    <row r="3" spans="1:2" x14ac:dyDescent="0.4">
      <c r="A3" s="213" t="s">
        <v>293</v>
      </c>
      <c r="B3" s="214">
        <v>3000</v>
      </c>
    </row>
    <row r="4" spans="1:2" x14ac:dyDescent="0.4">
      <c r="A4" s="213" t="s">
        <v>294</v>
      </c>
      <c r="B4" s="214">
        <v>3000</v>
      </c>
    </row>
    <row r="5" spans="1:2" x14ac:dyDescent="0.4">
      <c r="A5" s="213" t="s">
        <v>295</v>
      </c>
      <c r="B5" s="214">
        <v>2500</v>
      </c>
    </row>
    <row r="6" spans="1:2" x14ac:dyDescent="0.4">
      <c r="A6" s="213" t="s">
        <v>296</v>
      </c>
      <c r="B6" s="214">
        <v>2500</v>
      </c>
    </row>
    <row r="7" spans="1:2" x14ac:dyDescent="0.4">
      <c r="A7" s="213" t="s">
        <v>297</v>
      </c>
      <c r="B7" s="214">
        <v>1500</v>
      </c>
    </row>
    <row r="8" spans="1:2" ht="17.399999999999999" thickBot="1" x14ac:dyDescent="0.45">
      <c r="A8" s="215" t="s">
        <v>298</v>
      </c>
      <c r="B8" s="216">
        <v>1200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BF3D-DAEE-464C-AD6B-5CA7FCE213B2}">
  <sheetPr codeName="Sheet24">
    <tabColor rgb="FF00B0F0"/>
  </sheetPr>
  <dimension ref="A1:BP58"/>
  <sheetViews>
    <sheetView zoomScale="50" zoomScaleNormal="50" workbookViewId="0">
      <pane xSplit="4" ySplit="1" topLeftCell="E2" activePane="bottomRight" state="frozen"/>
      <selection pane="topRight" activeCell="C11" sqref="C11"/>
      <selection pane="bottomLeft" activeCell="C11" sqref="C11"/>
      <selection pane="bottomRight" activeCell="C11" sqref="C11"/>
    </sheetView>
  </sheetViews>
  <sheetFormatPr defaultRowHeight="16.8" x14ac:dyDescent="0.4"/>
  <cols>
    <col min="1" max="1" width="13.5" customWidth="1"/>
    <col min="2" max="2" width="7.59765625" customWidth="1"/>
    <col min="3" max="3" width="27.5" customWidth="1"/>
    <col min="4" max="4" width="15.59765625" customWidth="1"/>
    <col min="5" max="10" width="8.59765625" customWidth="1"/>
    <col min="23" max="23" width="9.3984375" customWidth="1"/>
    <col min="31" max="31" width="9.59765625" bestFit="1" customWidth="1"/>
  </cols>
  <sheetData>
    <row r="1" spans="1:68" x14ac:dyDescent="0.4">
      <c r="A1" t="s">
        <v>79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140</v>
      </c>
      <c r="N1" t="s">
        <v>255</v>
      </c>
      <c r="O1" t="s">
        <v>256</v>
      </c>
      <c r="P1" t="s">
        <v>257</v>
      </c>
      <c r="R1" t="s">
        <v>247</v>
      </c>
      <c r="S1" t="s">
        <v>248</v>
      </c>
      <c r="T1" t="s">
        <v>249</v>
      </c>
      <c r="U1" t="s">
        <v>250</v>
      </c>
      <c r="V1" t="s">
        <v>251</v>
      </c>
      <c r="W1" t="s">
        <v>252</v>
      </c>
      <c r="X1" t="s">
        <v>253</v>
      </c>
      <c r="Y1" t="s">
        <v>254</v>
      </c>
      <c r="Z1" t="s">
        <v>140</v>
      </c>
      <c r="AA1" t="s">
        <v>255</v>
      </c>
      <c r="AB1" t="s">
        <v>256</v>
      </c>
      <c r="AC1" t="s">
        <v>257</v>
      </c>
      <c r="AE1" t="s">
        <v>247</v>
      </c>
      <c r="AF1" t="s">
        <v>248</v>
      </c>
      <c r="AG1" t="s">
        <v>249</v>
      </c>
      <c r="AH1" t="s">
        <v>250</v>
      </c>
      <c r="AI1" t="s">
        <v>251</v>
      </c>
      <c r="AJ1" t="s">
        <v>252</v>
      </c>
      <c r="AK1" t="s">
        <v>253</v>
      </c>
      <c r="AL1" t="s">
        <v>254</v>
      </c>
      <c r="AM1" t="s">
        <v>140</v>
      </c>
      <c r="AN1" t="s">
        <v>255</v>
      </c>
      <c r="AO1" t="s">
        <v>256</v>
      </c>
      <c r="AP1" t="s">
        <v>257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140</v>
      </c>
      <c r="BA1" t="s">
        <v>255</v>
      </c>
      <c r="BB1" t="s">
        <v>256</v>
      </c>
      <c r="BC1" t="s">
        <v>257</v>
      </c>
      <c r="BE1" t="s">
        <v>247</v>
      </c>
      <c r="BF1" t="s">
        <v>248</v>
      </c>
      <c r="BG1" t="s">
        <v>249</v>
      </c>
      <c r="BH1" t="s">
        <v>250</v>
      </c>
      <c r="BI1" t="s">
        <v>251</v>
      </c>
      <c r="BJ1" t="s">
        <v>252</v>
      </c>
      <c r="BK1" t="s">
        <v>253</v>
      </c>
      <c r="BL1" t="s">
        <v>254</v>
      </c>
      <c r="BM1" t="s">
        <v>140</v>
      </c>
      <c r="BN1" t="s">
        <v>255</v>
      </c>
      <c r="BO1" t="s">
        <v>256</v>
      </c>
      <c r="BP1" t="s">
        <v>257</v>
      </c>
    </row>
    <row r="2" spans="1:68" x14ac:dyDescent="0.4">
      <c r="A2">
        <v>1190011201</v>
      </c>
      <c r="B2">
        <v>76001</v>
      </c>
      <c r="C2" t="s">
        <v>299</v>
      </c>
      <c r="D2" t="s">
        <v>235</v>
      </c>
      <c r="E2" s="1">
        <v>15225.689283556538</v>
      </c>
      <c r="F2" s="1">
        <v>15484.091606751437</v>
      </c>
      <c r="G2" s="1">
        <v>15090.610033558611</v>
      </c>
      <c r="H2" s="1">
        <v>11820.563279213857</v>
      </c>
      <c r="I2" s="1">
        <v>10434.85259847138</v>
      </c>
      <c r="J2" s="1">
        <v>14552.083709503451</v>
      </c>
      <c r="K2" s="1">
        <v>11112.753199589726</v>
      </c>
      <c r="L2" s="1">
        <v>15501.103028148869</v>
      </c>
      <c r="M2" s="1">
        <v>9303.82015401223</v>
      </c>
      <c r="N2" s="1">
        <v>12834.51406442888</v>
      </c>
      <c r="O2" s="1">
        <v>14543.363896247103</v>
      </c>
      <c r="P2" s="1">
        <v>10966.255146517999</v>
      </c>
      <c r="R2" s="1" cm="1">
        <f t="array" ref="R2:W2">IFERROR(_xlfn.XLOOKUP(A2,'Actual_Aji Plus'!A:A,'Actual_Aji Plus'!C:H),0)</f>
        <v>10686.659999999994</v>
      </c>
      <c r="S2" s="1">
        <v>10938.919999999998</v>
      </c>
      <c r="T2" s="1">
        <v>12155.999999999991</v>
      </c>
      <c r="U2" s="1">
        <v>13346.339999999995</v>
      </c>
      <c r="V2" s="1">
        <v>11659.179999999997</v>
      </c>
      <c r="W2" s="1">
        <v>8412.4599999999973</v>
      </c>
      <c r="X2" s="111"/>
      <c r="Y2" s="111"/>
      <c r="Z2" s="111"/>
      <c r="AA2" s="111"/>
      <c r="AB2" s="111"/>
      <c r="AC2" s="111"/>
      <c r="AD2" s="1"/>
      <c r="AE2" s="109">
        <f>R2/E2</f>
        <v>0.70188349446624987</v>
      </c>
      <c r="AF2" s="97">
        <f t="shared" ref="AF2:AP2" si="0">S2/F2</f>
        <v>0.70646184986598537</v>
      </c>
      <c r="AG2" s="97">
        <f t="shared" si="0"/>
        <v>0.80553403560011083</v>
      </c>
      <c r="AH2" s="97">
        <f t="shared" si="0"/>
        <v>1.1290781737507531</v>
      </c>
      <c r="AI2" s="97">
        <f t="shared" si="0"/>
        <v>1.1173305890020881</v>
      </c>
      <c r="AJ2" s="97">
        <f t="shared" si="0"/>
        <v>0.57809315613722845</v>
      </c>
      <c r="AK2" s="99">
        <f t="shared" si="0"/>
        <v>0</v>
      </c>
      <c r="AL2" s="99">
        <f t="shared" si="0"/>
        <v>0</v>
      </c>
      <c r="AM2" s="99">
        <f t="shared" si="0"/>
        <v>0</v>
      </c>
      <c r="AN2" s="99">
        <f t="shared" si="0"/>
        <v>0</v>
      </c>
      <c r="AO2" s="99">
        <f t="shared" si="0"/>
        <v>0</v>
      </c>
      <c r="AP2" s="99">
        <f t="shared" si="0"/>
        <v>0</v>
      </c>
      <c r="AQ2" s="97"/>
      <c r="AR2" s="99">
        <f>ROUND(AE2,4)</f>
        <v>0.70189999999999997</v>
      </c>
      <c r="AS2" s="99">
        <f t="shared" ref="AS2:BA2" si="1">ROUND(AF2,4)</f>
        <v>0.70650000000000002</v>
      </c>
      <c r="AT2" s="99">
        <f t="shared" si="1"/>
        <v>0.80549999999999999</v>
      </c>
      <c r="AU2" s="99">
        <f t="shared" si="1"/>
        <v>1.1291</v>
      </c>
      <c r="AV2" s="99">
        <f t="shared" si="1"/>
        <v>1.1173</v>
      </c>
      <c r="AW2" s="99">
        <f t="shared" si="1"/>
        <v>0.57809999999999995</v>
      </c>
      <c r="AX2" s="99">
        <f t="shared" si="1"/>
        <v>0</v>
      </c>
      <c r="AY2" s="99">
        <f t="shared" si="1"/>
        <v>0</v>
      </c>
      <c r="AZ2" s="99">
        <f t="shared" si="1"/>
        <v>0</v>
      </c>
      <c r="BA2" s="99">
        <f t="shared" si="1"/>
        <v>0</v>
      </c>
      <c r="BB2" s="99">
        <f t="shared" ref="BB2" si="2">ROUND(AO2,4)</f>
        <v>0</v>
      </c>
      <c r="BC2" s="99">
        <f t="shared" ref="BC2" si="3">ROUND(AP2,4)</f>
        <v>0</v>
      </c>
      <c r="BD2" s="97"/>
      <c r="BE2" s="1">
        <f>IFERROR(VLOOKUP(AR2,'Top WS'!$A$19:$B$28,2),0)</f>
        <v>200</v>
      </c>
      <c r="BF2" s="1">
        <f>IFERROR(VLOOKUP(AS2,'Top WS'!$A$19:$B$28,2),0)</f>
        <v>200</v>
      </c>
      <c r="BG2" s="1">
        <f>IFERROR(VLOOKUP(AT2,'Top WS'!$A$19:$B$28,2),0)</f>
        <v>200</v>
      </c>
      <c r="BH2" s="1">
        <f>IFERROR(VLOOKUP(AU2,'Top WS'!$A$19:$B$28,2),0)</f>
        <v>230</v>
      </c>
      <c r="BI2" s="1">
        <f>IFERROR(VLOOKUP(AV2,'Top WS'!$A$19:$B$28,2),0)</f>
        <v>230</v>
      </c>
      <c r="BJ2" s="1">
        <f>IFERROR(VLOOKUP(AW2,'Top WS'!$A$19:$B$28,2),0)</f>
        <v>200</v>
      </c>
      <c r="BK2" s="98">
        <f>IFERROR(VLOOKUP(AX2,'Top WS'!$A$19:$B$28,2),0)</f>
        <v>200</v>
      </c>
      <c r="BL2" s="98">
        <f>IFERROR(VLOOKUP(AY2,'Top WS'!$A$19:$B$28,2),0)</f>
        <v>200</v>
      </c>
      <c r="BM2" s="98">
        <f>IFERROR(VLOOKUP(AZ2,'Top WS'!$A$19:$B$28,2),0)</f>
        <v>200</v>
      </c>
      <c r="BN2" s="98">
        <f>IFERROR(VLOOKUP(BA2,'Top WS'!$A$19:$B$28,2),0)</f>
        <v>200</v>
      </c>
      <c r="BO2" s="98">
        <f>IFERROR(VLOOKUP(BB2,'Top WS'!$A$19:$B$28,2),0)</f>
        <v>200</v>
      </c>
      <c r="BP2" s="98">
        <f>IFERROR(VLOOKUP(BC2,'Top WS'!$A$19:$B$28,2),0)</f>
        <v>200</v>
      </c>
    </row>
    <row r="3" spans="1:68" x14ac:dyDescent="0.4">
      <c r="A3">
        <v>1190011214</v>
      </c>
      <c r="B3">
        <v>71328</v>
      </c>
      <c r="C3" t="s">
        <v>300</v>
      </c>
      <c r="D3" t="s">
        <v>235</v>
      </c>
      <c r="E3" s="1">
        <v>11486.046301630371</v>
      </c>
      <c r="F3" s="1">
        <v>11680.981387549331</v>
      </c>
      <c r="G3" s="1">
        <v>11384.144411281057</v>
      </c>
      <c r="H3" s="1">
        <v>8917.2670351964189</v>
      </c>
      <c r="I3" s="1">
        <v>7871.9063462152526</v>
      </c>
      <c r="J3" s="1">
        <v>10977.887710678044</v>
      </c>
      <c r="K3" s="1">
        <v>8383.3050453045307</v>
      </c>
      <c r="L3" s="1">
        <v>11693.814565094763</v>
      </c>
      <c r="M3" s="1">
        <v>7018.6713442548407</v>
      </c>
      <c r="N3" s="1">
        <v>9682.1772766744198</v>
      </c>
      <c r="O3" s="1">
        <v>10971.309605940798</v>
      </c>
      <c r="P3" s="1">
        <v>8272.7889701802451</v>
      </c>
      <c r="R3" s="1" cm="1">
        <f t="array" ref="R3:W3">IFERROR(_xlfn.XLOOKUP(A3,'Actual_Aji Plus'!A:A,'Actual_Aji Plus'!C:H),0)</f>
        <v>4872.12</v>
      </c>
      <c r="S3" s="1">
        <v>5921.4</v>
      </c>
      <c r="T3" s="1">
        <v>8818.7999999999938</v>
      </c>
      <c r="U3" s="1">
        <v>12257.219999999992</v>
      </c>
      <c r="V3" s="1">
        <v>8300.2799999999988</v>
      </c>
      <c r="W3" s="1">
        <v>3425.5200000000023</v>
      </c>
      <c r="X3" s="111"/>
      <c r="Y3" s="111"/>
      <c r="Z3" s="111"/>
      <c r="AA3" s="111"/>
      <c r="AB3" s="111"/>
      <c r="AC3" s="111"/>
      <c r="AD3" s="1"/>
      <c r="AE3" s="97">
        <f t="shared" ref="AE3:AE58" si="4">R3/E3</f>
        <v>0.4241772906059445</v>
      </c>
      <c r="AF3" s="97">
        <f t="shared" ref="AF3:AF58" si="5">S3/F3</f>
        <v>0.50692658463710716</v>
      </c>
      <c r="AG3" s="97">
        <f t="shared" ref="AG3:AG58" si="6">T3/G3</f>
        <v>0.77465637130016118</v>
      </c>
      <c r="AH3" s="97">
        <f t="shared" ref="AH3:AH58" si="7">U3/H3</f>
        <v>1.3745489455032345</v>
      </c>
      <c r="AI3" s="97">
        <f t="shared" ref="AI3:AI58" si="8">V3/I3</f>
        <v>1.0544180322966754</v>
      </c>
      <c r="AJ3" s="97">
        <f t="shared" ref="AJ3:AJ58" si="9">W3/J3</f>
        <v>0.31203817075556756</v>
      </c>
      <c r="AK3" s="99">
        <f t="shared" ref="AK3:AK58" si="10">X3/K3</f>
        <v>0</v>
      </c>
      <c r="AL3" s="99">
        <f t="shared" ref="AL3:AL58" si="11">Y3/L3</f>
        <v>0</v>
      </c>
      <c r="AM3" s="99">
        <f t="shared" ref="AM3:AM58" si="12">Z3/M3</f>
        <v>0</v>
      </c>
      <c r="AN3" s="99">
        <f t="shared" ref="AN3:AN58" si="13">AA3/N3</f>
        <v>0</v>
      </c>
      <c r="AO3" s="99">
        <f t="shared" ref="AO3:AO58" si="14">AB3/O3</f>
        <v>0</v>
      </c>
      <c r="AP3" s="99">
        <f t="shared" ref="AP3:AP58" si="15">AC3/P3</f>
        <v>0</v>
      </c>
      <c r="AQ3" s="97"/>
      <c r="AR3" s="99">
        <f t="shared" ref="AR3:AR58" si="16">ROUND(AE3,4)</f>
        <v>0.42420000000000002</v>
      </c>
      <c r="AS3" s="99">
        <f t="shared" ref="AS3:AS58" si="17">ROUND(AF3,4)</f>
        <v>0.50690000000000002</v>
      </c>
      <c r="AT3" s="99">
        <f t="shared" ref="AT3:AT58" si="18">ROUND(AG3,4)</f>
        <v>0.77470000000000006</v>
      </c>
      <c r="AU3" s="99">
        <f t="shared" ref="AU3:AU58" si="19">ROUND(AH3,4)</f>
        <v>1.3745000000000001</v>
      </c>
      <c r="AV3" s="99">
        <f t="shared" ref="AV3:AV58" si="20">ROUND(AI3,4)</f>
        <v>1.0544</v>
      </c>
      <c r="AW3" s="99">
        <f t="shared" ref="AW3:AW58" si="21">ROUND(AJ3,4)</f>
        <v>0.312</v>
      </c>
      <c r="AX3" s="99">
        <f t="shared" ref="AX3:AX58" si="22">ROUND(AK3,4)</f>
        <v>0</v>
      </c>
      <c r="AY3" s="99">
        <f t="shared" ref="AY3:AY58" si="23">ROUND(AL3,4)</f>
        <v>0</v>
      </c>
      <c r="AZ3" s="99">
        <f t="shared" ref="AZ3:AZ58" si="24">ROUND(AM3,4)</f>
        <v>0</v>
      </c>
      <c r="BA3" s="99">
        <f t="shared" ref="BA3:BA58" si="25">ROUND(AN3,4)</f>
        <v>0</v>
      </c>
      <c r="BB3" s="99">
        <f t="shared" ref="BB3:BB58" si="26">ROUND(AO3,4)</f>
        <v>0</v>
      </c>
      <c r="BC3" s="99">
        <f t="shared" ref="BC3:BC58" si="27">ROUND(AP3,4)</f>
        <v>0</v>
      </c>
      <c r="BD3" s="97"/>
      <c r="BE3" s="1">
        <f>IFERROR(VLOOKUP(AR3,'Top WS'!$A$19:$B$28,2),0)</f>
        <v>200</v>
      </c>
      <c r="BF3" s="1">
        <f>IFERROR(VLOOKUP(AS3,'Top WS'!$A$19:$B$28,2),0)</f>
        <v>200</v>
      </c>
      <c r="BG3" s="1">
        <f>IFERROR(VLOOKUP(AT3,'Top WS'!$A$19:$B$28,2),0)</f>
        <v>200</v>
      </c>
      <c r="BH3" s="1">
        <f>IFERROR(VLOOKUP(AU3,'Top WS'!$A$19:$B$28,2),0)</f>
        <v>260</v>
      </c>
      <c r="BI3" s="1">
        <f>IFERROR(VLOOKUP(AV3,'Top WS'!$A$19:$B$28,2),0)</f>
        <v>216</v>
      </c>
      <c r="BJ3" s="1">
        <f>IFERROR(VLOOKUP(AW3,'Top WS'!$A$19:$B$28,2),0)</f>
        <v>200</v>
      </c>
      <c r="BK3" s="98">
        <f>IFERROR(VLOOKUP(AX3,'Top WS'!$A$19:$B$28,2),0)</f>
        <v>200</v>
      </c>
      <c r="BL3" s="98">
        <f>IFERROR(VLOOKUP(AY3,'Top WS'!$A$19:$B$28,2),0)</f>
        <v>200</v>
      </c>
      <c r="BM3" s="98">
        <f>IFERROR(VLOOKUP(AZ3,'Top WS'!$A$19:$B$28,2),0)</f>
        <v>200</v>
      </c>
      <c r="BN3" s="98">
        <f>IFERROR(VLOOKUP(BA3,'Top WS'!$A$19:$B$28,2),0)</f>
        <v>200</v>
      </c>
      <c r="BO3" s="98">
        <f>IFERROR(VLOOKUP(BB3,'Top WS'!$A$19:$B$28,2),0)</f>
        <v>200</v>
      </c>
      <c r="BP3" s="98">
        <f>IFERROR(VLOOKUP(BC3,'Top WS'!$A$19:$B$28,2),0)</f>
        <v>200</v>
      </c>
    </row>
    <row r="4" spans="1:68" x14ac:dyDescent="0.4">
      <c r="A4">
        <v>1190011401</v>
      </c>
      <c r="B4">
        <v>63723</v>
      </c>
      <c r="C4" t="s">
        <v>301</v>
      </c>
      <c r="D4" t="s">
        <v>232</v>
      </c>
      <c r="E4" s="1">
        <v>8422.4610198061528</v>
      </c>
      <c r="F4" s="1">
        <v>8766.5402444163501</v>
      </c>
      <c r="G4" s="1">
        <v>8616.9405815423543</v>
      </c>
      <c r="H4" s="1">
        <v>8826.380109565951</v>
      </c>
      <c r="I4" s="1">
        <v>8975.9797724399505</v>
      </c>
      <c r="J4" s="1">
        <v>8871.2600084281512</v>
      </c>
      <c r="K4" s="1">
        <v>8990.9397387273511</v>
      </c>
      <c r="L4" s="1">
        <v>8975.9797724399505</v>
      </c>
      <c r="M4" s="1">
        <v>9125.5794353139481</v>
      </c>
      <c r="N4" s="1">
        <v>9125.5794353139481</v>
      </c>
      <c r="O4" s="1">
        <v>8826.380109565951</v>
      </c>
      <c r="P4" s="1">
        <v>8975.9797724399505</v>
      </c>
      <c r="R4" s="1" cm="1">
        <f t="array" ref="R4:W4">IFERROR(_xlfn.XLOOKUP(A4,'Actual_Aji Plus'!A:A,'Actual_Aji Plus'!C:H),0)</f>
        <v>5775.84</v>
      </c>
      <c r="S4" s="1">
        <v>8476.8000000000011</v>
      </c>
      <c r="T4" s="1">
        <v>6833.4400000000005</v>
      </c>
      <c r="U4" s="1">
        <v>10179.999999999996</v>
      </c>
      <c r="V4" s="1">
        <v>9112.3199999999924</v>
      </c>
      <c r="W4" s="1">
        <v>5843.8199999999979</v>
      </c>
      <c r="X4" s="111"/>
      <c r="Y4" s="111"/>
      <c r="Z4" s="111"/>
      <c r="AA4" s="111"/>
      <c r="AB4" s="111"/>
      <c r="AC4" s="111"/>
      <c r="AD4" s="1"/>
      <c r="AE4" s="97">
        <f t="shared" si="4"/>
        <v>0.68576630825807416</v>
      </c>
      <c r="AF4" s="97">
        <f t="shared" si="5"/>
        <v>0.9669493053886461</v>
      </c>
      <c r="AG4" s="97">
        <f t="shared" si="6"/>
        <v>0.79302392018779322</v>
      </c>
      <c r="AH4" s="97">
        <f t="shared" si="7"/>
        <v>1.1533607066125562</v>
      </c>
      <c r="AI4" s="97">
        <f t="shared" si="8"/>
        <v>1.0151894535211259</v>
      </c>
      <c r="AJ4" s="97">
        <f t="shared" si="9"/>
        <v>0.65873618792010036</v>
      </c>
      <c r="AK4" s="99">
        <f t="shared" si="10"/>
        <v>0</v>
      </c>
      <c r="AL4" s="99">
        <f t="shared" si="11"/>
        <v>0</v>
      </c>
      <c r="AM4" s="99">
        <f t="shared" si="12"/>
        <v>0</v>
      </c>
      <c r="AN4" s="99">
        <f t="shared" si="13"/>
        <v>0</v>
      </c>
      <c r="AO4" s="99">
        <f t="shared" si="14"/>
        <v>0</v>
      </c>
      <c r="AP4" s="99">
        <f t="shared" si="15"/>
        <v>0</v>
      </c>
      <c r="AQ4" s="97"/>
      <c r="AR4" s="99">
        <f t="shared" si="16"/>
        <v>0.68579999999999997</v>
      </c>
      <c r="AS4" s="99">
        <f t="shared" si="17"/>
        <v>0.96689999999999998</v>
      </c>
      <c r="AT4" s="99">
        <f t="shared" si="18"/>
        <v>0.79300000000000004</v>
      </c>
      <c r="AU4" s="99">
        <f t="shared" si="19"/>
        <v>1.1534</v>
      </c>
      <c r="AV4" s="99">
        <f t="shared" si="20"/>
        <v>1.0152000000000001</v>
      </c>
      <c r="AW4" s="99">
        <f t="shared" si="21"/>
        <v>0.65869999999999995</v>
      </c>
      <c r="AX4" s="99">
        <f t="shared" si="22"/>
        <v>0</v>
      </c>
      <c r="AY4" s="99">
        <f t="shared" si="23"/>
        <v>0</v>
      </c>
      <c r="AZ4" s="99">
        <f t="shared" si="24"/>
        <v>0</v>
      </c>
      <c r="BA4" s="99">
        <f t="shared" si="25"/>
        <v>0</v>
      </c>
      <c r="BB4" s="99">
        <f t="shared" si="26"/>
        <v>0</v>
      </c>
      <c r="BC4" s="99">
        <f t="shared" si="27"/>
        <v>0</v>
      </c>
      <c r="BD4" s="97"/>
      <c r="BE4" s="1">
        <f>IFERROR(VLOOKUP(AR4,'Top WS'!$A$19:$B$28,2),0)</f>
        <v>200</v>
      </c>
      <c r="BF4" s="1">
        <f>IFERROR(VLOOKUP(AS4,'Top WS'!$A$19:$B$28,2),0)</f>
        <v>200</v>
      </c>
      <c r="BG4" s="1">
        <f>IFERROR(VLOOKUP(AT4,'Top WS'!$A$19:$B$28,2),0)</f>
        <v>200</v>
      </c>
      <c r="BH4" s="1">
        <f>IFERROR(VLOOKUP(AU4,'Top WS'!$A$19:$B$28,2),0)</f>
        <v>240</v>
      </c>
      <c r="BI4" s="1">
        <f>IFERROR(VLOOKUP(AV4,'Top WS'!$A$19:$B$28,2),0)</f>
        <v>206</v>
      </c>
      <c r="BJ4" s="1">
        <f>IFERROR(VLOOKUP(AW4,'Top WS'!$A$19:$B$28,2),0)</f>
        <v>200</v>
      </c>
      <c r="BK4" s="98">
        <f>IFERROR(VLOOKUP(AX4,'Top WS'!$A$19:$B$28,2),0)</f>
        <v>200</v>
      </c>
      <c r="BL4" s="98">
        <f>IFERROR(VLOOKUP(AY4,'Top WS'!$A$19:$B$28,2),0)</f>
        <v>200</v>
      </c>
      <c r="BM4" s="98">
        <f>IFERROR(VLOOKUP(AZ4,'Top WS'!$A$19:$B$28,2),0)</f>
        <v>200</v>
      </c>
      <c r="BN4" s="98">
        <f>IFERROR(VLOOKUP(BA4,'Top WS'!$A$19:$B$28,2),0)</f>
        <v>200</v>
      </c>
      <c r="BO4" s="98">
        <f>IFERROR(VLOOKUP(BB4,'Top WS'!$A$19:$B$28,2),0)</f>
        <v>200</v>
      </c>
      <c r="BP4" s="98">
        <f>IFERROR(VLOOKUP(BC4,'Top WS'!$A$19:$B$28,2),0)</f>
        <v>200</v>
      </c>
    </row>
    <row r="5" spans="1:68" x14ac:dyDescent="0.4">
      <c r="A5">
        <v>1190011412</v>
      </c>
      <c r="B5">
        <v>71043</v>
      </c>
      <c r="C5" t="s">
        <v>302</v>
      </c>
      <c r="D5" t="s">
        <v>232</v>
      </c>
      <c r="E5" s="1">
        <v>11046.472819216184</v>
      </c>
      <c r="F5" s="1">
        <v>11497.749683944374</v>
      </c>
      <c r="G5" s="1">
        <v>11301.542351453858</v>
      </c>
      <c r="H5" s="1">
        <v>11576.232616940582</v>
      </c>
      <c r="I5" s="1">
        <v>11772.4399494311</v>
      </c>
      <c r="J5" s="1">
        <v>11635.094816687739</v>
      </c>
      <c r="K5" s="1">
        <v>11792.060682680154</v>
      </c>
      <c r="L5" s="1">
        <v>11772.4399494311</v>
      </c>
      <c r="M5" s="1">
        <v>11968.647281921618</v>
      </c>
      <c r="N5" s="1">
        <v>11968.647281921618</v>
      </c>
      <c r="O5" s="1">
        <v>11576.232616940582</v>
      </c>
      <c r="P5" s="1">
        <v>11772.4399494311</v>
      </c>
      <c r="R5" s="1" cm="1">
        <f t="array" ref="R5:W5">IFERROR(_xlfn.XLOOKUP(A5,'Actual_Aji Plus'!A:A,'Actual_Aji Plus'!C:H),0)</f>
        <v>4843.3200000000015</v>
      </c>
      <c r="S5" s="1">
        <v>10705.38</v>
      </c>
      <c r="T5" s="1">
        <v>10573.439999999999</v>
      </c>
      <c r="U5" s="1">
        <v>10436.999999999995</v>
      </c>
      <c r="V5" s="1">
        <v>9570.3599999999988</v>
      </c>
      <c r="W5" s="1">
        <v>4474.8000000000011</v>
      </c>
      <c r="X5" s="111"/>
      <c r="Y5" s="111"/>
      <c r="Z5" s="111"/>
      <c r="AA5" s="111"/>
      <c r="AB5" s="111"/>
      <c r="AC5" s="111"/>
      <c r="AD5" s="1"/>
      <c r="AE5" s="97">
        <f t="shared" si="4"/>
        <v>0.43844945615352227</v>
      </c>
      <c r="AF5" s="97">
        <f t="shared" si="5"/>
        <v>0.93108480305056118</v>
      </c>
      <c r="AG5" s="97">
        <f t="shared" si="6"/>
        <v>0.93557495704467331</v>
      </c>
      <c r="AH5" s="97">
        <f t="shared" si="7"/>
        <v>0.90158865542547562</v>
      </c>
      <c r="AI5" s="97">
        <f t="shared" si="8"/>
        <v>0.81294617268041225</v>
      </c>
      <c r="AJ5" s="97">
        <f t="shared" si="9"/>
        <v>0.38459506093426754</v>
      </c>
      <c r="AK5" s="99">
        <f t="shared" si="10"/>
        <v>0</v>
      </c>
      <c r="AL5" s="99">
        <f t="shared" si="11"/>
        <v>0</v>
      </c>
      <c r="AM5" s="99">
        <f t="shared" si="12"/>
        <v>0</v>
      </c>
      <c r="AN5" s="99">
        <f t="shared" si="13"/>
        <v>0</v>
      </c>
      <c r="AO5" s="99">
        <f t="shared" si="14"/>
        <v>0</v>
      </c>
      <c r="AP5" s="99">
        <f t="shared" si="15"/>
        <v>0</v>
      </c>
      <c r="AQ5" s="97"/>
      <c r="AR5" s="99">
        <f t="shared" si="16"/>
        <v>0.43840000000000001</v>
      </c>
      <c r="AS5" s="99">
        <f t="shared" si="17"/>
        <v>0.93110000000000004</v>
      </c>
      <c r="AT5" s="99">
        <f t="shared" si="18"/>
        <v>0.93559999999999999</v>
      </c>
      <c r="AU5" s="99">
        <f t="shared" si="19"/>
        <v>0.90159999999999996</v>
      </c>
      <c r="AV5" s="99">
        <f t="shared" si="20"/>
        <v>0.81289999999999996</v>
      </c>
      <c r="AW5" s="99">
        <f t="shared" si="21"/>
        <v>0.3846</v>
      </c>
      <c r="AX5" s="99">
        <f t="shared" si="22"/>
        <v>0</v>
      </c>
      <c r="AY5" s="99">
        <f t="shared" si="23"/>
        <v>0</v>
      </c>
      <c r="AZ5" s="99">
        <f t="shared" si="24"/>
        <v>0</v>
      </c>
      <c r="BA5" s="99">
        <f t="shared" si="25"/>
        <v>0</v>
      </c>
      <c r="BB5" s="99">
        <f t="shared" si="26"/>
        <v>0</v>
      </c>
      <c r="BC5" s="99">
        <f t="shared" si="27"/>
        <v>0</v>
      </c>
      <c r="BD5" s="97"/>
      <c r="BE5" s="1">
        <f>IFERROR(VLOOKUP(AR5,'Top WS'!$A$19:$B$28,2),0)</f>
        <v>200</v>
      </c>
      <c r="BF5" s="1">
        <f>IFERROR(VLOOKUP(AS5,'Top WS'!$A$19:$B$28,2),0)</f>
        <v>200</v>
      </c>
      <c r="BG5" s="1">
        <f>IFERROR(VLOOKUP(AT5,'Top WS'!$A$19:$B$28,2),0)</f>
        <v>200</v>
      </c>
      <c r="BH5" s="1">
        <f>IFERROR(VLOOKUP(AU5,'Top WS'!$A$19:$B$28,2),0)</f>
        <v>200</v>
      </c>
      <c r="BI5" s="1">
        <f>IFERROR(VLOOKUP(AV5,'Top WS'!$A$19:$B$28,2),0)</f>
        <v>200</v>
      </c>
      <c r="BJ5" s="1">
        <f>IFERROR(VLOOKUP(AW5,'Top WS'!$A$19:$B$28,2),0)</f>
        <v>200</v>
      </c>
      <c r="BK5" s="98">
        <f>IFERROR(VLOOKUP(AX5,'Top WS'!$A$19:$B$28,2),0)</f>
        <v>200</v>
      </c>
      <c r="BL5" s="98">
        <f>IFERROR(VLOOKUP(AY5,'Top WS'!$A$19:$B$28,2),0)</f>
        <v>200</v>
      </c>
      <c r="BM5" s="98">
        <f>IFERROR(VLOOKUP(AZ5,'Top WS'!$A$19:$B$28,2),0)</f>
        <v>200</v>
      </c>
      <c r="BN5" s="98">
        <f>IFERROR(VLOOKUP(BA5,'Top WS'!$A$19:$B$28,2),0)</f>
        <v>200</v>
      </c>
      <c r="BO5" s="98">
        <f>IFERROR(VLOOKUP(BB5,'Top WS'!$A$19:$B$28,2),0)</f>
        <v>200</v>
      </c>
      <c r="BP5" s="98">
        <f>IFERROR(VLOOKUP(BC5,'Top WS'!$A$19:$B$28,2),0)</f>
        <v>200</v>
      </c>
    </row>
    <row r="6" spans="1:68" x14ac:dyDescent="0.4">
      <c r="A6">
        <v>1190011501</v>
      </c>
      <c r="B6">
        <v>71637</v>
      </c>
      <c r="C6" t="s">
        <v>303</v>
      </c>
      <c r="D6" t="s">
        <v>304</v>
      </c>
      <c r="E6" s="1">
        <v>29692.931591515677</v>
      </c>
      <c r="F6" s="1">
        <v>30905.96432083159</v>
      </c>
      <c r="G6" s="1">
        <v>30378.558786346421</v>
      </c>
      <c r="H6" s="1">
        <v>31116.926534625665</v>
      </c>
      <c r="I6" s="1">
        <v>31644.332069110846</v>
      </c>
      <c r="J6" s="1">
        <v>31275.148194971225</v>
      </c>
      <c r="K6" s="1">
        <v>31697.072622559368</v>
      </c>
      <c r="L6" s="1">
        <v>31644.332069110846</v>
      </c>
      <c r="M6" s="1">
        <v>32171.737603596022</v>
      </c>
      <c r="N6" s="1">
        <v>32171.737603596022</v>
      </c>
      <c r="O6" s="1">
        <v>31116.926534625665</v>
      </c>
      <c r="P6" s="1">
        <v>31644.332069110846</v>
      </c>
      <c r="R6" s="1" cm="1">
        <f t="array" ref="R6:W6">IFERROR(_xlfn.XLOOKUP(A6,'Actual_Aji Plus'!A:A,'Actual_Aji Plus'!C:H),0)</f>
        <v>31634.7</v>
      </c>
      <c r="S6" s="1">
        <v>28241.359999999997</v>
      </c>
      <c r="T6" s="1">
        <v>33036.840000000018</v>
      </c>
      <c r="U6" s="1">
        <v>37197.180000000022</v>
      </c>
      <c r="V6" s="1">
        <v>23767.460000000014</v>
      </c>
      <c r="W6" s="1">
        <v>29194.14000000001</v>
      </c>
      <c r="X6" s="111"/>
      <c r="Y6" s="111"/>
      <c r="Z6" s="111"/>
      <c r="AA6" s="111"/>
      <c r="AB6" s="111"/>
      <c r="AC6" s="111"/>
      <c r="AD6" s="1"/>
      <c r="AE6" s="97">
        <f t="shared" si="4"/>
        <v>1.0653949712745492</v>
      </c>
      <c r="AF6" s="97">
        <f t="shared" si="5"/>
        <v>0.91378349197680375</v>
      </c>
      <c r="AG6" s="97">
        <f t="shared" si="6"/>
        <v>1.0875051786475254</v>
      </c>
      <c r="AH6" s="97">
        <f t="shared" si="7"/>
        <v>1.1954001934801786</v>
      </c>
      <c r="AI6" s="97">
        <f t="shared" si="8"/>
        <v>0.75108110824055829</v>
      </c>
      <c r="AJ6" s="97">
        <f t="shared" si="9"/>
        <v>0.93346128427599828</v>
      </c>
      <c r="AK6" s="99">
        <f t="shared" si="10"/>
        <v>0</v>
      </c>
      <c r="AL6" s="99">
        <f t="shared" si="11"/>
        <v>0</v>
      </c>
      <c r="AM6" s="99">
        <f t="shared" si="12"/>
        <v>0</v>
      </c>
      <c r="AN6" s="99">
        <f t="shared" si="13"/>
        <v>0</v>
      </c>
      <c r="AO6" s="99">
        <f t="shared" si="14"/>
        <v>0</v>
      </c>
      <c r="AP6" s="99">
        <f t="shared" si="15"/>
        <v>0</v>
      </c>
      <c r="AQ6" s="97"/>
      <c r="AR6" s="99">
        <f t="shared" si="16"/>
        <v>1.0653999999999999</v>
      </c>
      <c r="AS6" s="99">
        <f t="shared" si="17"/>
        <v>0.91379999999999995</v>
      </c>
      <c r="AT6" s="99">
        <f t="shared" si="18"/>
        <v>1.0874999999999999</v>
      </c>
      <c r="AU6" s="99">
        <f t="shared" si="19"/>
        <v>1.1954</v>
      </c>
      <c r="AV6" s="99">
        <f t="shared" si="20"/>
        <v>0.75109999999999999</v>
      </c>
      <c r="AW6" s="99">
        <f t="shared" si="21"/>
        <v>0.9335</v>
      </c>
      <c r="AX6" s="99">
        <f t="shared" si="22"/>
        <v>0</v>
      </c>
      <c r="AY6" s="99">
        <f t="shared" si="23"/>
        <v>0</v>
      </c>
      <c r="AZ6" s="99">
        <f t="shared" si="24"/>
        <v>0</v>
      </c>
      <c r="BA6" s="99">
        <f t="shared" si="25"/>
        <v>0</v>
      </c>
      <c r="BB6" s="99">
        <f t="shared" si="26"/>
        <v>0</v>
      </c>
      <c r="BC6" s="99">
        <f t="shared" si="27"/>
        <v>0</v>
      </c>
      <c r="BD6" s="97"/>
      <c r="BE6" s="1">
        <f>IFERROR(VLOOKUP(AR6,'Top WS'!$A$19:$B$28,2),0)</f>
        <v>220</v>
      </c>
      <c r="BF6" s="1">
        <f>IFERROR(VLOOKUP(AS6,'Top WS'!$A$19:$B$28,2),0)</f>
        <v>200</v>
      </c>
      <c r="BG6" s="1">
        <f>IFERROR(VLOOKUP(AT6,'Top WS'!$A$19:$B$28,2),0)</f>
        <v>220</v>
      </c>
      <c r="BH6" s="1">
        <f>IFERROR(VLOOKUP(AU6,'Top WS'!$A$19:$B$28,2),0)</f>
        <v>240</v>
      </c>
      <c r="BI6" s="1">
        <f>IFERROR(VLOOKUP(AV6,'Top WS'!$A$19:$B$28,2),0)</f>
        <v>200</v>
      </c>
      <c r="BJ6" s="1">
        <f>IFERROR(VLOOKUP(AW6,'Top WS'!$A$19:$B$28,2),0)</f>
        <v>200</v>
      </c>
      <c r="BK6" s="98">
        <f>IFERROR(VLOOKUP(AX6,'Top WS'!$A$19:$B$28,2),0)</f>
        <v>200</v>
      </c>
      <c r="BL6" s="98">
        <f>IFERROR(VLOOKUP(AY6,'Top WS'!$A$19:$B$28,2),0)</f>
        <v>200</v>
      </c>
      <c r="BM6" s="98">
        <f>IFERROR(VLOOKUP(AZ6,'Top WS'!$A$19:$B$28,2),0)</f>
        <v>200</v>
      </c>
      <c r="BN6" s="98">
        <f>IFERROR(VLOOKUP(BA6,'Top WS'!$A$19:$B$28,2),0)</f>
        <v>200</v>
      </c>
      <c r="BO6" s="98">
        <f>IFERROR(VLOOKUP(BB6,'Top WS'!$A$19:$B$28,2),0)</f>
        <v>200</v>
      </c>
      <c r="BP6" s="98">
        <f>IFERROR(VLOOKUP(BC6,'Top WS'!$A$19:$B$28,2),0)</f>
        <v>200</v>
      </c>
    </row>
    <row r="7" spans="1:68" x14ac:dyDescent="0.4">
      <c r="A7">
        <v>1190011701</v>
      </c>
      <c r="B7">
        <v>29698</v>
      </c>
      <c r="C7" t="s">
        <v>305</v>
      </c>
      <c r="D7" t="s">
        <v>228</v>
      </c>
      <c r="E7" s="1">
        <v>21060</v>
      </c>
      <c r="F7" s="1">
        <v>20792</v>
      </c>
      <c r="G7" s="1">
        <v>20740</v>
      </c>
      <c r="H7" s="1">
        <v>24338</v>
      </c>
      <c r="I7" s="1">
        <v>20026</v>
      </c>
      <c r="J7" s="1">
        <v>21580</v>
      </c>
      <c r="K7" s="1">
        <v>22108</v>
      </c>
      <c r="L7" s="1">
        <v>23423</v>
      </c>
      <c r="M7" s="1">
        <v>21528</v>
      </c>
      <c r="N7" s="1">
        <v>20528</v>
      </c>
      <c r="O7" s="1">
        <v>21265</v>
      </c>
      <c r="P7" s="1">
        <v>25872</v>
      </c>
      <c r="R7" s="1" cm="1">
        <f t="array" ref="R7:W7">IFERROR(_xlfn.XLOOKUP(A7,'Actual_Aji Plus'!A:A,'Actual_Aji Plus'!C:H),0)</f>
        <v>18807.840000000007</v>
      </c>
      <c r="S7" s="1">
        <v>19533.839999999993</v>
      </c>
      <c r="T7" s="1">
        <v>21292.440000000006</v>
      </c>
      <c r="U7" s="1">
        <v>23776.560000000027</v>
      </c>
      <c r="V7" s="1">
        <v>22363.020000000008</v>
      </c>
      <c r="W7" s="1">
        <v>19757.46000000001</v>
      </c>
      <c r="X7" s="111"/>
      <c r="Y7" s="111"/>
      <c r="Z7" s="111"/>
      <c r="AA7" s="111"/>
      <c r="AB7" s="111"/>
      <c r="AC7" s="111"/>
      <c r="AD7" s="1"/>
      <c r="AE7" s="97">
        <f t="shared" si="4"/>
        <v>0.89305982905982939</v>
      </c>
      <c r="AF7" s="97">
        <f t="shared" si="5"/>
        <v>0.9394882647171986</v>
      </c>
      <c r="AG7" s="97">
        <f t="shared" si="6"/>
        <v>1.0266364513018325</v>
      </c>
      <c r="AH7" s="97">
        <f t="shared" si="7"/>
        <v>0.97693154737447718</v>
      </c>
      <c r="AI7" s="97">
        <f t="shared" si="8"/>
        <v>1.1166992909218021</v>
      </c>
      <c r="AJ7" s="97">
        <f t="shared" si="9"/>
        <v>0.91554494902687722</v>
      </c>
      <c r="AK7" s="99">
        <f t="shared" si="10"/>
        <v>0</v>
      </c>
      <c r="AL7" s="99">
        <f t="shared" si="11"/>
        <v>0</v>
      </c>
      <c r="AM7" s="99">
        <f t="shared" si="12"/>
        <v>0</v>
      </c>
      <c r="AN7" s="99">
        <f t="shared" si="13"/>
        <v>0</v>
      </c>
      <c r="AO7" s="99">
        <f t="shared" si="14"/>
        <v>0</v>
      </c>
      <c r="AP7" s="99">
        <f t="shared" si="15"/>
        <v>0</v>
      </c>
      <c r="AQ7" s="97"/>
      <c r="AR7" s="99">
        <f t="shared" si="16"/>
        <v>0.8931</v>
      </c>
      <c r="AS7" s="99">
        <f t="shared" si="17"/>
        <v>0.9395</v>
      </c>
      <c r="AT7" s="99">
        <f t="shared" si="18"/>
        <v>1.0266</v>
      </c>
      <c r="AU7" s="99">
        <f t="shared" si="19"/>
        <v>0.97689999999999999</v>
      </c>
      <c r="AV7" s="99">
        <f t="shared" si="20"/>
        <v>1.1167</v>
      </c>
      <c r="AW7" s="99">
        <f t="shared" si="21"/>
        <v>0.91549999999999998</v>
      </c>
      <c r="AX7" s="99">
        <f t="shared" si="22"/>
        <v>0</v>
      </c>
      <c r="AY7" s="99">
        <f t="shared" si="23"/>
        <v>0</v>
      </c>
      <c r="AZ7" s="99">
        <f t="shared" si="24"/>
        <v>0</v>
      </c>
      <c r="BA7" s="99">
        <f t="shared" si="25"/>
        <v>0</v>
      </c>
      <c r="BB7" s="99">
        <f t="shared" si="26"/>
        <v>0</v>
      </c>
      <c r="BC7" s="99">
        <f t="shared" si="27"/>
        <v>0</v>
      </c>
      <c r="BD7" s="97"/>
      <c r="BE7" s="1">
        <f>IFERROR(VLOOKUP(AR7,'Top WS'!$A$19:$B$28,2),0)</f>
        <v>200</v>
      </c>
      <c r="BF7" s="1">
        <f>IFERROR(VLOOKUP(AS7,'Top WS'!$A$19:$B$28,2),0)</f>
        <v>200</v>
      </c>
      <c r="BG7" s="1">
        <f>IFERROR(VLOOKUP(AT7,'Top WS'!$A$19:$B$28,2),0)</f>
        <v>206</v>
      </c>
      <c r="BH7" s="1">
        <f>IFERROR(VLOOKUP(AU7,'Top WS'!$A$19:$B$28,2),0)</f>
        <v>200</v>
      </c>
      <c r="BI7" s="1">
        <f>IFERROR(VLOOKUP(AV7,'Top WS'!$A$19:$B$28,2),0)</f>
        <v>230</v>
      </c>
      <c r="BJ7" s="1">
        <f>IFERROR(VLOOKUP(AW7,'Top WS'!$A$19:$B$28,2),0)</f>
        <v>200</v>
      </c>
      <c r="BK7" s="98">
        <f>IFERROR(VLOOKUP(AX7,'Top WS'!$A$19:$B$28,2),0)</f>
        <v>200</v>
      </c>
      <c r="BL7" s="98">
        <f>IFERROR(VLOOKUP(AY7,'Top WS'!$A$19:$B$28,2),0)</f>
        <v>200</v>
      </c>
      <c r="BM7" s="98">
        <f>IFERROR(VLOOKUP(AZ7,'Top WS'!$A$19:$B$28,2),0)</f>
        <v>200</v>
      </c>
      <c r="BN7" s="98">
        <f>IFERROR(VLOOKUP(BA7,'Top WS'!$A$19:$B$28,2),0)</f>
        <v>200</v>
      </c>
      <c r="BO7" s="98">
        <f>IFERROR(VLOOKUP(BB7,'Top WS'!$A$19:$B$28,2),0)</f>
        <v>200</v>
      </c>
      <c r="BP7" s="98">
        <f>IFERROR(VLOOKUP(BC7,'Top WS'!$A$19:$B$28,2),0)</f>
        <v>200</v>
      </c>
    </row>
    <row r="8" spans="1:68" x14ac:dyDescent="0.4">
      <c r="A8">
        <v>1190011801</v>
      </c>
      <c r="B8">
        <v>28236</v>
      </c>
      <c r="C8" t="s">
        <v>306</v>
      </c>
      <c r="D8" t="s">
        <v>307</v>
      </c>
      <c r="E8" s="1">
        <v>3536.0630618291743</v>
      </c>
      <c r="F8" s="1">
        <v>4756.8364862020808</v>
      </c>
      <c r="G8" s="1">
        <v>5608.0459117374712</v>
      </c>
      <c r="H8" s="1">
        <v>4333.9476945586557</v>
      </c>
      <c r="I8" s="1">
        <v>5010.2120545034722</v>
      </c>
      <c r="J8" s="1">
        <v>5037.9012015753615</v>
      </c>
      <c r="K8" s="1">
        <v>3343.7625978346819</v>
      </c>
      <c r="L8" s="1">
        <v>6389.8999856358569</v>
      </c>
      <c r="M8" s="1">
        <v>4531.6800008017044</v>
      </c>
      <c r="N8" s="1">
        <v>5549.5542445975698</v>
      </c>
      <c r="O8" s="1">
        <v>5569.4930801684741</v>
      </c>
      <c r="P8" s="1">
        <v>5822.6036805553013</v>
      </c>
      <c r="R8" s="1" cm="1">
        <f t="array" ref="R8:W8">IFERROR(_xlfn.XLOOKUP(A8,'Actual_Aji Plus'!A:A,'Actual_Aji Plus'!C:H),0)</f>
        <v>2748.54</v>
      </c>
      <c r="S8" s="1">
        <v>4218.1200000000008</v>
      </c>
      <c r="T8" s="1">
        <v>3963.5400000000004</v>
      </c>
      <c r="U8" s="1">
        <v>4472.4599999999982</v>
      </c>
      <c r="V8" s="1">
        <v>4387.1399999999967</v>
      </c>
      <c r="W8" s="1">
        <v>3008.280000000002</v>
      </c>
      <c r="X8" s="111"/>
      <c r="Y8" s="111"/>
      <c r="Z8" s="111"/>
      <c r="AA8" s="111"/>
      <c r="AB8" s="111"/>
      <c r="AC8" s="111"/>
      <c r="AD8" s="1"/>
      <c r="AE8" s="97">
        <f t="shared" si="4"/>
        <v>0.77728817386480786</v>
      </c>
      <c r="AF8" s="97">
        <f t="shared" si="5"/>
        <v>0.88674900056692973</v>
      </c>
      <c r="AG8" s="97">
        <f t="shared" si="6"/>
        <v>0.70675954911575001</v>
      </c>
      <c r="AH8" s="97">
        <f t="shared" si="7"/>
        <v>1.0319598470501263</v>
      </c>
      <c r="AI8" s="97">
        <f t="shared" si="8"/>
        <v>0.87563958416821464</v>
      </c>
      <c r="AJ8" s="97">
        <f t="shared" si="9"/>
        <v>0.59712961402643372</v>
      </c>
      <c r="AK8" s="99">
        <f t="shared" si="10"/>
        <v>0</v>
      </c>
      <c r="AL8" s="99">
        <f t="shared" si="11"/>
        <v>0</v>
      </c>
      <c r="AM8" s="99">
        <f t="shared" si="12"/>
        <v>0</v>
      </c>
      <c r="AN8" s="99">
        <f t="shared" si="13"/>
        <v>0</v>
      </c>
      <c r="AO8" s="99">
        <f t="shared" si="14"/>
        <v>0</v>
      </c>
      <c r="AP8" s="99">
        <f t="shared" si="15"/>
        <v>0</v>
      </c>
      <c r="AQ8" s="97"/>
      <c r="AR8" s="99">
        <f t="shared" si="16"/>
        <v>0.77729999999999999</v>
      </c>
      <c r="AS8" s="99">
        <f t="shared" si="17"/>
        <v>0.88670000000000004</v>
      </c>
      <c r="AT8" s="99">
        <f t="shared" si="18"/>
        <v>0.70679999999999998</v>
      </c>
      <c r="AU8" s="99">
        <f t="shared" si="19"/>
        <v>1.032</v>
      </c>
      <c r="AV8" s="99">
        <f t="shared" si="20"/>
        <v>0.87560000000000004</v>
      </c>
      <c r="AW8" s="99">
        <f t="shared" si="21"/>
        <v>0.59709999999999996</v>
      </c>
      <c r="AX8" s="99">
        <f t="shared" si="22"/>
        <v>0</v>
      </c>
      <c r="AY8" s="99">
        <f t="shared" si="23"/>
        <v>0</v>
      </c>
      <c r="AZ8" s="99">
        <f t="shared" si="24"/>
        <v>0</v>
      </c>
      <c r="BA8" s="99">
        <f t="shared" si="25"/>
        <v>0</v>
      </c>
      <c r="BB8" s="99">
        <f t="shared" si="26"/>
        <v>0</v>
      </c>
      <c r="BC8" s="99">
        <f t="shared" si="27"/>
        <v>0</v>
      </c>
      <c r="BD8" s="97"/>
      <c r="BE8" s="1">
        <f>IFERROR(VLOOKUP(AR8,'Top WS'!$A$19:$B$28,2),0)</f>
        <v>200</v>
      </c>
      <c r="BF8" s="1">
        <f>IFERROR(VLOOKUP(AS8,'Top WS'!$A$19:$B$28,2),0)</f>
        <v>200</v>
      </c>
      <c r="BG8" s="1">
        <f>IFERROR(VLOOKUP(AT8,'Top WS'!$A$19:$B$28,2),0)</f>
        <v>200</v>
      </c>
      <c r="BH8" s="1">
        <f>IFERROR(VLOOKUP(AU8,'Top WS'!$A$19:$B$28,2),0)</f>
        <v>216</v>
      </c>
      <c r="BI8" s="1">
        <f>IFERROR(VLOOKUP(AV8,'Top WS'!$A$19:$B$28,2),0)</f>
        <v>200</v>
      </c>
      <c r="BJ8" s="1">
        <f>IFERROR(VLOOKUP(AW8,'Top WS'!$A$19:$B$28,2),0)</f>
        <v>200</v>
      </c>
      <c r="BK8" s="98">
        <f>IFERROR(VLOOKUP(AX8,'Top WS'!$A$19:$B$28,2),0)</f>
        <v>200</v>
      </c>
      <c r="BL8" s="98">
        <f>IFERROR(VLOOKUP(AY8,'Top WS'!$A$19:$B$28,2),0)</f>
        <v>200</v>
      </c>
      <c r="BM8" s="98">
        <f>IFERROR(VLOOKUP(AZ8,'Top WS'!$A$19:$B$28,2),0)</f>
        <v>200</v>
      </c>
      <c r="BN8" s="98">
        <f>IFERROR(VLOOKUP(BA8,'Top WS'!$A$19:$B$28,2),0)</f>
        <v>200</v>
      </c>
      <c r="BO8" s="98">
        <f>IFERROR(VLOOKUP(BB8,'Top WS'!$A$19:$B$28,2),0)</f>
        <v>200</v>
      </c>
      <c r="BP8" s="98">
        <f>IFERROR(VLOOKUP(BC8,'Top WS'!$A$19:$B$28,2),0)</f>
        <v>200</v>
      </c>
    </row>
    <row r="9" spans="1:68" x14ac:dyDescent="0.4">
      <c r="A9">
        <v>1190017001</v>
      </c>
      <c r="B9">
        <v>77683</v>
      </c>
      <c r="C9" s="113" t="s">
        <v>308</v>
      </c>
      <c r="D9" t="s">
        <v>309</v>
      </c>
      <c r="E9" s="1">
        <v>31852.700048842922</v>
      </c>
      <c r="F9" s="1">
        <v>25349.909892248212</v>
      </c>
      <c r="G9" s="1">
        <v>22469.424401074681</v>
      </c>
      <c r="H9" s="1">
        <v>35484.175105822163</v>
      </c>
      <c r="I9" s="1">
        <v>25389.539084338267</v>
      </c>
      <c r="J9" s="1">
        <v>30544.936709871257</v>
      </c>
      <c r="K9" s="1">
        <v>18762.621127725946</v>
      </c>
      <c r="L9" s="1">
        <v>36541.062732884922</v>
      </c>
      <c r="M9" s="1">
        <v>24354.267380233709</v>
      </c>
      <c r="N9" s="1">
        <v>27179.730522059082</v>
      </c>
      <c r="O9" s="1">
        <v>29943.621034851982</v>
      </c>
      <c r="P9" s="1">
        <v>12733.088678322321</v>
      </c>
      <c r="R9" s="1" cm="1">
        <f t="array" ref="R9:W9">IFERROR(_xlfn.XLOOKUP(A9,'Actual_Aji Plus'!A:A,'Actual_Aji Plus'!C:H),0)</f>
        <v>22183.260000000006</v>
      </c>
      <c r="S9" s="1">
        <v>22958.459999999985</v>
      </c>
      <c r="T9" s="1">
        <v>24229.500000000007</v>
      </c>
      <c r="U9" s="1">
        <v>26343</v>
      </c>
      <c r="V9" s="1">
        <v>22603.800000000014</v>
      </c>
      <c r="W9" s="1">
        <v>23135.7</v>
      </c>
      <c r="X9" s="111"/>
      <c r="Y9" s="111"/>
      <c r="Z9" s="111"/>
      <c r="AA9" s="111"/>
      <c r="AB9" s="111"/>
      <c r="AC9" s="111"/>
      <c r="AD9" s="1"/>
      <c r="AE9" s="97">
        <f t="shared" si="4"/>
        <v>0.69643264043500863</v>
      </c>
      <c r="AF9" s="97">
        <f t="shared" si="5"/>
        <v>0.90566239081664301</v>
      </c>
      <c r="AG9" s="97">
        <f t="shared" si="6"/>
        <v>1.0783320287831291</v>
      </c>
      <c r="AH9" s="97">
        <f t="shared" si="7"/>
        <v>0.74238727324050713</v>
      </c>
      <c r="AI9" s="97">
        <f t="shared" si="8"/>
        <v>0.89028004505774361</v>
      </c>
      <c r="AJ9" s="97">
        <f t="shared" si="9"/>
        <v>0.75743159070037291</v>
      </c>
      <c r="AK9" s="99">
        <f t="shared" si="10"/>
        <v>0</v>
      </c>
      <c r="AL9" s="99">
        <f t="shared" si="11"/>
        <v>0</v>
      </c>
      <c r="AM9" s="99">
        <f t="shared" si="12"/>
        <v>0</v>
      </c>
      <c r="AN9" s="99">
        <f t="shared" si="13"/>
        <v>0</v>
      </c>
      <c r="AO9" s="99">
        <f t="shared" si="14"/>
        <v>0</v>
      </c>
      <c r="AP9" s="99">
        <f t="shared" si="15"/>
        <v>0</v>
      </c>
      <c r="AQ9" s="97"/>
      <c r="AR9" s="99">
        <f t="shared" si="16"/>
        <v>0.69640000000000002</v>
      </c>
      <c r="AS9" s="99">
        <f t="shared" si="17"/>
        <v>0.90569999999999995</v>
      </c>
      <c r="AT9" s="99">
        <f t="shared" si="18"/>
        <v>1.0783</v>
      </c>
      <c r="AU9" s="99">
        <f t="shared" si="19"/>
        <v>0.74239999999999995</v>
      </c>
      <c r="AV9" s="99">
        <f t="shared" si="20"/>
        <v>0.89029999999999998</v>
      </c>
      <c r="AW9" s="99">
        <f t="shared" si="21"/>
        <v>0.75739999999999996</v>
      </c>
      <c r="AX9" s="99">
        <f t="shared" si="22"/>
        <v>0</v>
      </c>
      <c r="AY9" s="99">
        <f t="shared" si="23"/>
        <v>0</v>
      </c>
      <c r="AZ9" s="99">
        <f t="shared" si="24"/>
        <v>0</v>
      </c>
      <c r="BA9" s="99">
        <f t="shared" si="25"/>
        <v>0</v>
      </c>
      <c r="BB9" s="99">
        <f t="shared" si="26"/>
        <v>0</v>
      </c>
      <c r="BC9" s="99">
        <f t="shared" si="27"/>
        <v>0</v>
      </c>
      <c r="BD9" s="97"/>
      <c r="BE9" s="117">
        <f>IFERROR(VLOOKUP(AR9,'Top WS'!$A$19:$B$28,2),0)</f>
        <v>200</v>
      </c>
      <c r="BF9" s="117">
        <f>IFERROR(VLOOKUP(AS9,'Top WS'!$A$19:$B$28,2),0)</f>
        <v>200</v>
      </c>
      <c r="BG9" s="117">
        <f>IFERROR(VLOOKUP(AT9,'Top WS'!$A$19:$B$28,2),0)</f>
        <v>220</v>
      </c>
      <c r="BH9" s="117">
        <f>IFERROR(VLOOKUP(AU9,'Top WS'!$A$19:$B$28,2),0)</f>
        <v>200</v>
      </c>
      <c r="BI9" s="117">
        <f>IFERROR(VLOOKUP(AV9,'Top WS'!$A$19:$B$28,2),0)</f>
        <v>200</v>
      </c>
      <c r="BJ9" s="117">
        <f>IFERROR(VLOOKUP(AW9,'Top WS'!$A$19:$B$28,2),0)</f>
        <v>200</v>
      </c>
      <c r="BK9" s="117">
        <f>IFERROR(VLOOKUP(AX9,'Top WS'!$A$19:$B$28,2),0)</f>
        <v>200</v>
      </c>
      <c r="BL9" s="117">
        <f>IFERROR(VLOOKUP(AY9,'Top WS'!$A$19:$B$28,2),0)</f>
        <v>200</v>
      </c>
      <c r="BM9" s="117">
        <f>IFERROR(VLOOKUP(AZ9,'Top WS'!$A$19:$B$28,2),0)</f>
        <v>200</v>
      </c>
      <c r="BN9" s="117">
        <f>IFERROR(VLOOKUP(BA9,'Top WS'!$A$19:$B$28,2),0)</f>
        <v>200</v>
      </c>
      <c r="BO9" s="117">
        <f>IFERROR(VLOOKUP(BB9,'Top WS'!$A$19:$B$28,2),0)</f>
        <v>200</v>
      </c>
      <c r="BP9" s="117">
        <f>IFERROR(VLOOKUP(BC9,'Top WS'!$A$19:$B$28,2),0)</f>
        <v>200</v>
      </c>
    </row>
    <row r="10" spans="1:68" x14ac:dyDescent="0.4">
      <c r="A10">
        <v>1190017013</v>
      </c>
      <c r="B10">
        <v>76289</v>
      </c>
      <c r="C10" s="115" t="s">
        <v>310</v>
      </c>
      <c r="D10" t="s">
        <v>309</v>
      </c>
      <c r="E10" s="1">
        <v>2598.7511106889815</v>
      </c>
      <c r="F10" s="1">
        <v>2068.2110586332765</v>
      </c>
      <c r="G10" s="1">
        <v>1833.2022569294277</v>
      </c>
      <c r="H10" s="1">
        <v>2895.0305414214781</v>
      </c>
      <c r="I10" s="1">
        <v>2071.4442667067465</v>
      </c>
      <c r="J10" s="1">
        <v>2492.0552442644835</v>
      </c>
      <c r="K10" s="1">
        <v>1530.777058784553</v>
      </c>
      <c r="L10" s="1">
        <v>2981.258330289962</v>
      </c>
      <c r="M10" s="1">
        <v>1986.9800458783361</v>
      </c>
      <c r="N10" s="1">
        <v>2217.4997652983607</v>
      </c>
      <c r="O10" s="1">
        <v>2442.995987876961</v>
      </c>
      <c r="P10" s="1">
        <v>1038.8484585153233</v>
      </c>
      <c r="R10" s="1" cm="1">
        <f t="array" ref="R10:W10">IFERROR(_xlfn.XLOOKUP(A10,'Actual_Aji Plus'!A:A,'Actual_Aji Plus'!C:H),0)</f>
        <v>2255.0999999999995</v>
      </c>
      <c r="S10" s="1">
        <v>2557.7400000000002</v>
      </c>
      <c r="T10" s="1">
        <v>3865.0800000000013</v>
      </c>
      <c r="U10" s="1">
        <v>4281.1799999999994</v>
      </c>
      <c r="V10" s="1">
        <v>5183.4599999999991</v>
      </c>
      <c r="W10" s="1">
        <v>5019.6000000000004</v>
      </c>
      <c r="X10" s="111"/>
      <c r="Y10" s="111"/>
      <c r="Z10" s="111"/>
      <c r="AA10" s="111"/>
      <c r="AB10" s="111"/>
      <c r="AC10" s="111"/>
      <c r="AD10" s="1"/>
      <c r="AE10" s="97">
        <f t="shared" si="4"/>
        <v>0.86776297688705051</v>
      </c>
      <c r="AF10" s="97">
        <f t="shared" si="5"/>
        <v>1.2366919659013023</v>
      </c>
      <c r="AG10" s="97">
        <f t="shared" si="6"/>
        <v>2.108376195474428</v>
      </c>
      <c r="AH10" s="97">
        <f t="shared" si="7"/>
        <v>1.4788030519007627</v>
      </c>
      <c r="AI10" s="97">
        <f t="shared" si="8"/>
        <v>2.5023410396847621</v>
      </c>
      <c r="AJ10" s="97">
        <f t="shared" si="9"/>
        <v>2.0142410612897579</v>
      </c>
      <c r="AK10" s="99">
        <f t="shared" si="10"/>
        <v>0</v>
      </c>
      <c r="AL10" s="99">
        <f t="shared" si="11"/>
        <v>0</v>
      </c>
      <c r="AM10" s="99">
        <f t="shared" si="12"/>
        <v>0</v>
      </c>
      <c r="AN10" s="99">
        <f t="shared" si="13"/>
        <v>0</v>
      </c>
      <c r="AO10" s="99">
        <f t="shared" si="14"/>
        <v>0</v>
      </c>
      <c r="AP10" s="99">
        <f t="shared" si="15"/>
        <v>0</v>
      </c>
      <c r="AQ10" s="97"/>
      <c r="AR10" s="99">
        <f t="shared" si="16"/>
        <v>0.86780000000000002</v>
      </c>
      <c r="AS10" s="99">
        <f t="shared" si="17"/>
        <v>1.2366999999999999</v>
      </c>
      <c r="AT10" s="99">
        <f t="shared" si="18"/>
        <v>2.1084000000000001</v>
      </c>
      <c r="AU10" s="99">
        <f t="shared" si="19"/>
        <v>1.4787999999999999</v>
      </c>
      <c r="AV10" s="99">
        <f t="shared" si="20"/>
        <v>2.5023</v>
      </c>
      <c r="AW10" s="99">
        <f t="shared" si="21"/>
        <v>2.0142000000000002</v>
      </c>
      <c r="AX10" s="99">
        <f t="shared" si="22"/>
        <v>0</v>
      </c>
      <c r="AY10" s="99">
        <f t="shared" si="23"/>
        <v>0</v>
      </c>
      <c r="AZ10" s="99">
        <f t="shared" si="24"/>
        <v>0</v>
      </c>
      <c r="BA10" s="99">
        <f t="shared" si="25"/>
        <v>0</v>
      </c>
      <c r="BB10" s="99">
        <f t="shared" si="26"/>
        <v>0</v>
      </c>
      <c r="BC10" s="99">
        <f t="shared" si="27"/>
        <v>0</v>
      </c>
      <c r="BD10" s="97"/>
      <c r="BE10" s="119">
        <f>IFERROR(VLOOKUP(AR10,' WS SF'!$A$19:$B$28,2),0)</f>
        <v>175</v>
      </c>
      <c r="BF10" s="119">
        <f>IFERROR(VLOOKUP(AS10,' WS SF'!$A$19:$B$28,2),0)</f>
        <v>227.5</v>
      </c>
      <c r="BG10" s="119">
        <f>IFERROR(VLOOKUP(AT10,' WS SF'!$A$19:$B$28,2),0)</f>
        <v>227.5</v>
      </c>
      <c r="BH10" s="119">
        <f>IFERROR(VLOOKUP(AU10,' WS SF'!$A$19:$B$28,2),0)</f>
        <v>227.5</v>
      </c>
      <c r="BI10" s="119">
        <f>IFERROR(VLOOKUP(AV10,' WS SF'!$A$19:$B$28,2),0)</f>
        <v>227.5</v>
      </c>
      <c r="BJ10" s="119">
        <f>IFERROR(VLOOKUP(AW10,' WS SF'!$A$19:$B$28,2),0)</f>
        <v>227.5</v>
      </c>
      <c r="BK10" s="119">
        <f>IFERROR(VLOOKUP(AX10,' WS SF'!$A$19:$B$28,2),0)</f>
        <v>175</v>
      </c>
      <c r="BL10" s="119">
        <f>IFERROR(VLOOKUP(AY10,' WS SF'!$A$19:$B$28,2),0)</f>
        <v>175</v>
      </c>
      <c r="BM10" s="119">
        <f>IFERROR(VLOOKUP(AZ10,' WS SF'!$A$19:$B$28,2),0)</f>
        <v>175</v>
      </c>
      <c r="BN10" s="119">
        <f>IFERROR(VLOOKUP(BA10,' WS SF'!$A$19:$B$28,2),0)</f>
        <v>175</v>
      </c>
      <c r="BO10" s="119">
        <f>IFERROR(VLOOKUP(BB10,' WS SF'!$A$19:$B$28,2),0)</f>
        <v>175</v>
      </c>
      <c r="BP10" s="119">
        <f>IFERROR(VLOOKUP(BC10,' WS SF'!$A$19:$B$28,2),0)</f>
        <v>175</v>
      </c>
    </row>
    <row r="11" spans="1:68" x14ac:dyDescent="0.4">
      <c r="A11">
        <v>1190017014</v>
      </c>
      <c r="B11">
        <v>63668</v>
      </c>
      <c r="C11" s="116" t="s">
        <v>311</v>
      </c>
      <c r="D11" t="s">
        <v>309</v>
      </c>
      <c r="E11" s="1">
        <v>2356.4136281645287</v>
      </c>
      <c r="F11" s="1">
        <v>1875.3472406181911</v>
      </c>
      <c r="G11" s="1">
        <v>1662.2533661044645</v>
      </c>
      <c r="H11" s="1">
        <v>2625.0645526225421</v>
      </c>
      <c r="I11" s="1">
        <v>1878.2789471350941</v>
      </c>
      <c r="J11" s="1">
        <v>2259.6673131067346</v>
      </c>
      <c r="K11" s="1">
        <v>1388.02977636639</v>
      </c>
      <c r="L11" s="1">
        <v>2703.2514693997782</v>
      </c>
      <c r="M11" s="1">
        <v>1801.6911430034406</v>
      </c>
      <c r="N11" s="1">
        <v>2010.7145489647739</v>
      </c>
      <c r="O11" s="1">
        <v>2215.1829067841427</v>
      </c>
      <c r="P11" s="1">
        <v>941.97426416653582</v>
      </c>
      <c r="R11" s="1" cm="1">
        <f t="array" ref="R11:W11">IFERROR(_xlfn.XLOOKUP(A11,'Actual_Aji Plus'!A:A,'Actual_Aji Plus'!C:H),0)</f>
        <v>302.39999999999998</v>
      </c>
      <c r="S11" s="1">
        <v>302.39999999999998</v>
      </c>
      <c r="T11" s="1">
        <v>317.39999999999998</v>
      </c>
      <c r="U11" s="1">
        <v>403.2</v>
      </c>
      <c r="V11" s="1">
        <v>302.39999999999998</v>
      </c>
      <c r="W11" s="1">
        <v>100.8</v>
      </c>
      <c r="X11" s="111"/>
      <c r="Y11" s="111"/>
      <c r="Z11" s="111"/>
      <c r="AA11" s="111"/>
      <c r="AB11" s="111"/>
      <c r="AC11" s="111"/>
      <c r="AD11" s="1"/>
      <c r="AE11" s="97">
        <f t="shared" si="4"/>
        <v>0.12833061071521096</v>
      </c>
      <c r="AF11" s="97">
        <f t="shared" si="5"/>
        <v>0.16125013728141172</v>
      </c>
      <c r="AG11" s="97">
        <f t="shared" si="6"/>
        <v>0.19094562024791409</v>
      </c>
      <c r="AH11" s="97">
        <f t="shared" si="7"/>
        <v>0.15359622284228683</v>
      </c>
      <c r="AI11" s="97">
        <f t="shared" si="8"/>
        <v>0.1609984504491441</v>
      </c>
      <c r="AJ11" s="97">
        <f t="shared" si="9"/>
        <v>4.4608336552611247E-2</v>
      </c>
      <c r="AK11" s="99">
        <f t="shared" si="10"/>
        <v>0</v>
      </c>
      <c r="AL11" s="99">
        <f t="shared" si="11"/>
        <v>0</v>
      </c>
      <c r="AM11" s="99">
        <f t="shared" si="12"/>
        <v>0</v>
      </c>
      <c r="AN11" s="99">
        <f t="shared" si="13"/>
        <v>0</v>
      </c>
      <c r="AO11" s="99">
        <f t="shared" si="14"/>
        <v>0</v>
      </c>
      <c r="AP11" s="99">
        <f t="shared" si="15"/>
        <v>0</v>
      </c>
      <c r="AQ11" s="97"/>
      <c r="AR11" s="99">
        <f t="shared" si="16"/>
        <v>0.1283</v>
      </c>
      <c r="AS11" s="99">
        <f t="shared" si="17"/>
        <v>0.1613</v>
      </c>
      <c r="AT11" s="99">
        <f t="shared" si="18"/>
        <v>0.19089999999999999</v>
      </c>
      <c r="AU11" s="99">
        <f t="shared" si="19"/>
        <v>0.15359999999999999</v>
      </c>
      <c r="AV11" s="99">
        <f t="shared" si="20"/>
        <v>0.161</v>
      </c>
      <c r="AW11" s="99">
        <f t="shared" si="21"/>
        <v>4.4600000000000001E-2</v>
      </c>
      <c r="AX11" s="99">
        <f t="shared" si="22"/>
        <v>0</v>
      </c>
      <c r="AY11" s="99">
        <f t="shared" si="23"/>
        <v>0</v>
      </c>
      <c r="AZ11" s="99">
        <f t="shared" si="24"/>
        <v>0</v>
      </c>
      <c r="BA11" s="99">
        <f t="shared" si="25"/>
        <v>0</v>
      </c>
      <c r="BB11" s="99">
        <f t="shared" si="26"/>
        <v>0</v>
      </c>
      <c r="BC11" s="99">
        <f t="shared" si="27"/>
        <v>0</v>
      </c>
      <c r="BD11" s="97"/>
      <c r="BE11" s="120">
        <f>IFERROR(VLOOKUP(AR11,'WS WH'!$A$19:$B$28,2),0)</f>
        <v>175</v>
      </c>
      <c r="BF11" s="120">
        <f>IFERROR(VLOOKUP(AS11,'WS WH'!$A$19:$B$28,2),0)</f>
        <v>175</v>
      </c>
      <c r="BG11" s="120">
        <f>IFERROR(VLOOKUP(AT11,'WS WH'!$A$19:$B$28,2),0)</f>
        <v>175</v>
      </c>
      <c r="BH11" s="120">
        <f>IFERROR(VLOOKUP(AU11,'WS WH'!$A$19:$B$28,2),0)</f>
        <v>175</v>
      </c>
      <c r="BI11" s="120">
        <f>IFERROR(VLOOKUP(AV11,'WS WH'!$A$19:$B$28,2),0)</f>
        <v>175</v>
      </c>
      <c r="BJ11" s="120">
        <f>IFERROR(VLOOKUP(AW11,'WS WH'!$A$19:$B$28,2),0)</f>
        <v>175</v>
      </c>
      <c r="BK11" s="120">
        <f>IFERROR(VLOOKUP(AX11,'WS WH'!$A$19:$B$28,2),0)</f>
        <v>175</v>
      </c>
      <c r="BL11" s="120">
        <f>IFERROR(VLOOKUP(AY11,'WS WH'!$A$19:$B$28,2),0)</f>
        <v>175</v>
      </c>
      <c r="BM11" s="120">
        <f>IFERROR(VLOOKUP(AZ11,'WS WH'!$A$19:$B$28,2),0)</f>
        <v>175</v>
      </c>
      <c r="BN11" s="120">
        <f>IFERROR(VLOOKUP(BA11,'WS WH'!$A$19:$B$28,2),0)</f>
        <v>175</v>
      </c>
      <c r="BO11" s="120">
        <f>IFERROR(VLOOKUP(BB11,'WS WH'!$A$19:$B$28,2),0)</f>
        <v>175</v>
      </c>
      <c r="BP11" s="120">
        <f>IFERROR(VLOOKUP(BC11,'WS WH'!$A$19:$B$28,2),0)</f>
        <v>175</v>
      </c>
    </row>
    <row r="12" spans="1:68" x14ac:dyDescent="0.4">
      <c r="A12">
        <v>1190021901</v>
      </c>
      <c r="B12">
        <v>76043</v>
      </c>
      <c r="C12" t="s">
        <v>312</v>
      </c>
      <c r="D12" t="s">
        <v>313</v>
      </c>
      <c r="E12" s="1">
        <v>5407.9953929690901</v>
      </c>
      <c r="F12" s="1">
        <v>4501.4980036930801</v>
      </c>
      <c r="G12" s="1">
        <v>4496.2859694568833</v>
      </c>
      <c r="H12" s="1">
        <v>4312.4767838118614</v>
      </c>
      <c r="I12" s="1">
        <v>2385.0438622476895</v>
      </c>
      <c r="J12" s="1">
        <v>4254.0396825658008</v>
      </c>
      <c r="K12" s="1">
        <v>3862.2590003872979</v>
      </c>
      <c r="L12" s="1">
        <v>5231.6926696751107</v>
      </c>
      <c r="M12" s="1">
        <v>2895.2283656615436</v>
      </c>
      <c r="N12" s="1">
        <v>4748.7297146361789</v>
      </c>
      <c r="O12" s="1">
        <v>4737.1159426968261</v>
      </c>
      <c r="P12" s="1">
        <v>4802.6346121985871</v>
      </c>
      <c r="R12" s="1" cm="1">
        <f t="array" ref="R12:W12">IFERROR(_xlfn.XLOOKUP(A12,'Actual_Aji Plus'!A:A,'Actual_Aji Plus'!C:H),0)</f>
        <v>4159.9800000000014</v>
      </c>
      <c r="S12" s="1">
        <v>4873.079999999999</v>
      </c>
      <c r="T12" s="1">
        <v>4888.8000000000011</v>
      </c>
      <c r="U12" s="1">
        <v>6105.6599999999989</v>
      </c>
      <c r="V12" s="1">
        <v>4719.5400000000009</v>
      </c>
      <c r="W12" s="1">
        <v>4298.5200000000013</v>
      </c>
      <c r="X12" s="111"/>
      <c r="Y12" s="111"/>
      <c r="Z12" s="111"/>
      <c r="AA12" s="111"/>
      <c r="AB12" s="111"/>
      <c r="AC12" s="111"/>
      <c r="AD12" s="1"/>
      <c r="AE12" s="97">
        <f t="shared" si="4"/>
        <v>0.7692277263047177</v>
      </c>
      <c r="AF12" s="97">
        <f t="shared" si="5"/>
        <v>1.0825462981438776</v>
      </c>
      <c r="AG12" s="97">
        <f t="shared" si="6"/>
        <v>1.0872973901592231</v>
      </c>
      <c r="AH12" s="97">
        <f t="shared" si="7"/>
        <v>1.4158128393686369</v>
      </c>
      <c r="AI12" s="97">
        <f t="shared" si="8"/>
        <v>1.9788063753059277</v>
      </c>
      <c r="AJ12" s="97">
        <f t="shared" si="9"/>
        <v>1.0104560184561731</v>
      </c>
      <c r="AK12" s="99">
        <f t="shared" si="10"/>
        <v>0</v>
      </c>
      <c r="AL12" s="99">
        <f t="shared" si="11"/>
        <v>0</v>
      </c>
      <c r="AM12" s="99">
        <f t="shared" si="12"/>
        <v>0</v>
      </c>
      <c r="AN12" s="99">
        <f t="shared" si="13"/>
        <v>0</v>
      </c>
      <c r="AO12" s="99">
        <f t="shared" si="14"/>
        <v>0</v>
      </c>
      <c r="AP12" s="99">
        <f t="shared" si="15"/>
        <v>0</v>
      </c>
      <c r="AQ12" s="97"/>
      <c r="AR12" s="99">
        <f t="shared" si="16"/>
        <v>0.76919999999999999</v>
      </c>
      <c r="AS12" s="99">
        <f t="shared" si="17"/>
        <v>1.0825</v>
      </c>
      <c r="AT12" s="99">
        <f t="shared" si="18"/>
        <v>1.0872999999999999</v>
      </c>
      <c r="AU12" s="99">
        <f t="shared" si="19"/>
        <v>1.4157999999999999</v>
      </c>
      <c r="AV12" s="99">
        <f t="shared" si="20"/>
        <v>1.9787999999999999</v>
      </c>
      <c r="AW12" s="99">
        <f t="shared" si="21"/>
        <v>1.0105</v>
      </c>
      <c r="AX12" s="99">
        <f t="shared" si="22"/>
        <v>0</v>
      </c>
      <c r="AY12" s="99">
        <f t="shared" si="23"/>
        <v>0</v>
      </c>
      <c r="AZ12" s="99">
        <f t="shared" si="24"/>
        <v>0</v>
      </c>
      <c r="BA12" s="99">
        <f t="shared" si="25"/>
        <v>0</v>
      </c>
      <c r="BB12" s="99">
        <f t="shared" si="26"/>
        <v>0</v>
      </c>
      <c r="BC12" s="99">
        <f t="shared" si="27"/>
        <v>0</v>
      </c>
      <c r="BD12" s="97"/>
      <c r="BE12" s="1">
        <f>IFERROR(VLOOKUP(AR12,'Top WS'!$A$19:$B$28,2),0)</f>
        <v>200</v>
      </c>
      <c r="BF12" s="1">
        <f>IFERROR(VLOOKUP(AS12,'Top WS'!$A$19:$B$28,2),0)</f>
        <v>220</v>
      </c>
      <c r="BG12" s="1">
        <f>IFERROR(VLOOKUP(AT12,'Top WS'!$A$19:$B$28,2),0)</f>
        <v>220</v>
      </c>
      <c r="BH12" s="1">
        <f>IFERROR(VLOOKUP(AU12,'Top WS'!$A$19:$B$28,2),0)</f>
        <v>260</v>
      </c>
      <c r="BI12" s="1">
        <f>IFERROR(VLOOKUP(AV12,'Top WS'!$A$19:$B$28,2),0)</f>
        <v>260</v>
      </c>
      <c r="BJ12" s="1">
        <f>IFERROR(VLOOKUP(AW12,'Top WS'!$A$19:$B$28,2),0)</f>
        <v>206</v>
      </c>
      <c r="BK12" s="98">
        <f>IFERROR(VLOOKUP(AX12,'Top WS'!$A$19:$B$28,2),0)</f>
        <v>200</v>
      </c>
      <c r="BL12" s="98">
        <f>IFERROR(VLOOKUP(AY12,'Top WS'!$A$19:$B$28,2),0)</f>
        <v>200</v>
      </c>
      <c r="BM12" s="98">
        <f>IFERROR(VLOOKUP(AZ12,'Top WS'!$A$19:$B$28,2),0)</f>
        <v>200</v>
      </c>
      <c r="BN12" s="98">
        <f>IFERROR(VLOOKUP(BA12,'Top WS'!$A$19:$B$28,2),0)</f>
        <v>200</v>
      </c>
      <c r="BO12" s="98">
        <f>IFERROR(VLOOKUP(BB12,'Top WS'!$A$19:$B$28,2),0)</f>
        <v>200</v>
      </c>
      <c r="BP12" s="98">
        <f>IFERROR(VLOOKUP(BC12,'Top WS'!$A$19:$B$28,2),0)</f>
        <v>200</v>
      </c>
    </row>
    <row r="13" spans="1:68" x14ac:dyDescent="0.4">
      <c r="A13">
        <v>1190021902</v>
      </c>
      <c r="B13">
        <v>75835</v>
      </c>
      <c r="C13" t="s">
        <v>314</v>
      </c>
      <c r="D13" t="s">
        <v>313</v>
      </c>
      <c r="E13" s="1">
        <v>2304.6952381579322</v>
      </c>
      <c r="F13" s="1">
        <v>1918.3783009831748</v>
      </c>
      <c r="G13" s="1">
        <v>1916.157117418393</v>
      </c>
      <c r="H13" s="1">
        <v>1837.8241818104002</v>
      </c>
      <c r="I13" s="1">
        <v>1016.4208422341513</v>
      </c>
      <c r="J13" s="1">
        <v>1812.9203682552618</v>
      </c>
      <c r="K13" s="1">
        <v>1645.9573797525418</v>
      </c>
      <c r="L13" s="1">
        <v>2229.5612897492169</v>
      </c>
      <c r="M13" s="1">
        <v>1233.8433269368118</v>
      </c>
      <c r="N13" s="1">
        <v>2023.7396605126196</v>
      </c>
      <c r="O13" s="1">
        <v>2018.7902840910942</v>
      </c>
      <c r="P13" s="1">
        <v>2046.7120100983814</v>
      </c>
      <c r="R13" s="1" cm="1">
        <f t="array" ref="R13:W13">IFERROR(_xlfn.XLOOKUP(A13,'Actual_Aji Plus'!A:A,'Actual_Aji Plus'!C:H),0)</f>
        <v>1421.2800000000002</v>
      </c>
      <c r="S13" s="1">
        <v>151.19999999999999</v>
      </c>
      <c r="T13" s="1">
        <v>461.1</v>
      </c>
      <c r="U13" s="1">
        <v>259.5</v>
      </c>
      <c r="V13" s="1">
        <v>151.19999999999999</v>
      </c>
      <c r="W13" s="1">
        <v>639.95999999999992</v>
      </c>
      <c r="X13" s="111"/>
      <c r="Y13" s="111"/>
      <c r="Z13" s="111"/>
      <c r="AA13" s="111"/>
      <c r="AB13" s="111"/>
      <c r="AC13" s="111"/>
      <c r="AD13" s="1"/>
      <c r="AE13" s="97">
        <f t="shared" si="4"/>
        <v>0.61668891247242863</v>
      </c>
      <c r="AF13" s="97">
        <f t="shared" si="5"/>
        <v>7.8816571227119034E-2</v>
      </c>
      <c r="AG13" s="97">
        <f t="shared" si="6"/>
        <v>0.24063788705449815</v>
      </c>
      <c r="AH13" s="97">
        <f t="shared" si="7"/>
        <v>0.14119957859318852</v>
      </c>
      <c r="AI13" s="97">
        <f t="shared" si="8"/>
        <v>0.14875728017112844</v>
      </c>
      <c r="AJ13" s="97">
        <f t="shared" si="9"/>
        <v>0.35299950908262545</v>
      </c>
      <c r="AK13" s="99">
        <f t="shared" si="10"/>
        <v>0</v>
      </c>
      <c r="AL13" s="99">
        <f t="shared" si="11"/>
        <v>0</v>
      </c>
      <c r="AM13" s="99">
        <f t="shared" si="12"/>
        <v>0</v>
      </c>
      <c r="AN13" s="99">
        <f t="shared" si="13"/>
        <v>0</v>
      </c>
      <c r="AO13" s="99">
        <f t="shared" si="14"/>
        <v>0</v>
      </c>
      <c r="AP13" s="99">
        <f t="shared" si="15"/>
        <v>0</v>
      </c>
      <c r="AQ13" s="97"/>
      <c r="AR13" s="99">
        <f t="shared" si="16"/>
        <v>0.61670000000000003</v>
      </c>
      <c r="AS13" s="99">
        <f t="shared" si="17"/>
        <v>7.8799999999999995E-2</v>
      </c>
      <c r="AT13" s="99">
        <f t="shared" si="18"/>
        <v>0.24060000000000001</v>
      </c>
      <c r="AU13" s="99">
        <f t="shared" si="19"/>
        <v>0.14119999999999999</v>
      </c>
      <c r="AV13" s="99">
        <f t="shared" si="20"/>
        <v>0.14879999999999999</v>
      </c>
      <c r="AW13" s="99">
        <f t="shared" si="21"/>
        <v>0.35299999999999998</v>
      </c>
      <c r="AX13" s="99">
        <f t="shared" si="22"/>
        <v>0</v>
      </c>
      <c r="AY13" s="99">
        <f t="shared" si="23"/>
        <v>0</v>
      </c>
      <c r="AZ13" s="99">
        <f t="shared" si="24"/>
        <v>0</v>
      </c>
      <c r="BA13" s="99">
        <f t="shared" si="25"/>
        <v>0</v>
      </c>
      <c r="BB13" s="99">
        <f t="shared" si="26"/>
        <v>0</v>
      </c>
      <c r="BC13" s="99">
        <f t="shared" si="27"/>
        <v>0</v>
      </c>
      <c r="BD13" s="97"/>
      <c r="BE13" s="1">
        <f>IFERROR(VLOOKUP(AR13,'Top WS'!$A$19:$B$28,2),0)</f>
        <v>200</v>
      </c>
      <c r="BF13" s="1">
        <f>IFERROR(VLOOKUP(AS13,'Top WS'!$A$19:$B$28,2),0)</f>
        <v>200</v>
      </c>
      <c r="BG13" s="1">
        <f>IFERROR(VLOOKUP(AT13,'Top WS'!$A$19:$B$28,2),0)</f>
        <v>200</v>
      </c>
      <c r="BH13" s="1">
        <f>IFERROR(VLOOKUP(AU13,'Top WS'!$A$19:$B$28,2),0)</f>
        <v>200</v>
      </c>
      <c r="BI13" s="1">
        <f>IFERROR(VLOOKUP(AV13,'Top WS'!$A$19:$B$28,2),0)</f>
        <v>200</v>
      </c>
      <c r="BJ13" s="1">
        <f>IFERROR(VLOOKUP(AW13,'Top WS'!$A$19:$B$28,2),0)</f>
        <v>200</v>
      </c>
      <c r="BK13" s="98">
        <f>IFERROR(VLOOKUP(AX13,'Top WS'!$A$19:$B$28,2),0)</f>
        <v>200</v>
      </c>
      <c r="BL13" s="98">
        <f>IFERROR(VLOOKUP(AY13,'Top WS'!$A$19:$B$28,2),0)</f>
        <v>200</v>
      </c>
      <c r="BM13" s="98">
        <f>IFERROR(VLOOKUP(AZ13,'Top WS'!$A$19:$B$28,2),0)</f>
        <v>200</v>
      </c>
      <c r="BN13" s="98">
        <f>IFERROR(VLOOKUP(BA13,'Top WS'!$A$19:$B$28,2),0)</f>
        <v>200</v>
      </c>
      <c r="BO13" s="98">
        <f>IFERROR(VLOOKUP(BB13,'Top WS'!$A$19:$B$28,2),0)</f>
        <v>200</v>
      </c>
      <c r="BP13" s="98">
        <f>IFERROR(VLOOKUP(BC13,'Top WS'!$A$19:$B$28,2),0)</f>
        <v>200</v>
      </c>
    </row>
    <row r="14" spans="1:68" x14ac:dyDescent="0.4">
      <c r="A14">
        <v>1190022001</v>
      </c>
      <c r="B14">
        <v>100352</v>
      </c>
      <c r="C14" t="s">
        <v>315</v>
      </c>
      <c r="D14" t="s">
        <v>316</v>
      </c>
      <c r="E14" s="1">
        <v>4031.2528841944472</v>
      </c>
      <c r="F14" s="1">
        <v>3355.5274167163097</v>
      </c>
      <c r="G14" s="1">
        <v>3351.6422381019743</v>
      </c>
      <c r="H14" s="1">
        <v>3214.6263466431401</v>
      </c>
      <c r="I14" s="1">
        <v>1777.8704029807993</v>
      </c>
      <c r="J14" s="1">
        <v>3171.0658929400147</v>
      </c>
      <c r="K14" s="1">
        <v>2879.0229287287129</v>
      </c>
      <c r="L14" s="1">
        <v>3899.8324945443014</v>
      </c>
      <c r="M14" s="1">
        <v>2158.1744900612534</v>
      </c>
      <c r="N14" s="1">
        <v>3539.8200196832868</v>
      </c>
      <c r="O14" s="1">
        <v>3531.1628282056904</v>
      </c>
      <c r="P14" s="1">
        <v>3580.0020572000317</v>
      </c>
      <c r="R14" s="1" cm="1">
        <f t="array" ref="R14:W14">IFERROR(_xlfn.XLOOKUP(A14,'Actual_Aji Plus'!A:A,'Actual_Aji Plus'!C:H),0)</f>
        <v>4966.7600000000011</v>
      </c>
      <c r="S14" s="1">
        <v>5569.0199999999995</v>
      </c>
      <c r="T14" s="1">
        <v>3174.0999999999995</v>
      </c>
      <c r="U14" s="1">
        <v>3941.56</v>
      </c>
      <c r="V14" s="1">
        <v>3601.6600000000008</v>
      </c>
      <c r="W14" s="1">
        <v>5840.5599999999986</v>
      </c>
      <c r="X14" s="111"/>
      <c r="Y14" s="111"/>
      <c r="Z14" s="111"/>
      <c r="AA14" s="111"/>
      <c r="AB14" s="111"/>
      <c r="AC14" s="111"/>
      <c r="AD14" s="1"/>
      <c r="AE14" s="97">
        <f t="shared" si="4"/>
        <v>1.2320636146329216</v>
      </c>
      <c r="AF14" s="97">
        <f t="shared" si="5"/>
        <v>1.6596556393062627</v>
      </c>
      <c r="AG14" s="97">
        <f t="shared" si="6"/>
        <v>0.94702828479613732</v>
      </c>
      <c r="AH14" s="97">
        <f t="shared" si="7"/>
        <v>1.2261331722475171</v>
      </c>
      <c r="AI14" s="97">
        <f t="shared" si="8"/>
        <v>2.0258282009540252</v>
      </c>
      <c r="AJ14" s="97">
        <f t="shared" si="9"/>
        <v>1.8418286460093061</v>
      </c>
      <c r="AK14" s="99">
        <f t="shared" si="10"/>
        <v>0</v>
      </c>
      <c r="AL14" s="99">
        <f t="shared" si="11"/>
        <v>0</v>
      </c>
      <c r="AM14" s="99">
        <f t="shared" si="12"/>
        <v>0</v>
      </c>
      <c r="AN14" s="99">
        <f t="shared" si="13"/>
        <v>0</v>
      </c>
      <c r="AO14" s="99">
        <f t="shared" si="14"/>
        <v>0</v>
      </c>
      <c r="AP14" s="99">
        <f t="shared" si="15"/>
        <v>0</v>
      </c>
      <c r="AQ14" s="97"/>
      <c r="AR14" s="99">
        <f t="shared" si="16"/>
        <v>1.2321</v>
      </c>
      <c r="AS14" s="99">
        <f t="shared" si="17"/>
        <v>1.6597</v>
      </c>
      <c r="AT14" s="99">
        <f t="shared" si="18"/>
        <v>0.94699999999999995</v>
      </c>
      <c r="AU14" s="99">
        <f t="shared" si="19"/>
        <v>1.2261</v>
      </c>
      <c r="AV14" s="99">
        <f t="shared" si="20"/>
        <v>2.0257999999999998</v>
      </c>
      <c r="AW14" s="99">
        <f t="shared" si="21"/>
        <v>1.8418000000000001</v>
      </c>
      <c r="AX14" s="99">
        <f t="shared" si="22"/>
        <v>0</v>
      </c>
      <c r="AY14" s="99">
        <f t="shared" si="23"/>
        <v>0</v>
      </c>
      <c r="AZ14" s="99">
        <f t="shared" si="24"/>
        <v>0</v>
      </c>
      <c r="BA14" s="99">
        <f t="shared" si="25"/>
        <v>0</v>
      </c>
      <c r="BB14" s="99">
        <f t="shared" si="26"/>
        <v>0</v>
      </c>
      <c r="BC14" s="99">
        <f t="shared" si="27"/>
        <v>0</v>
      </c>
      <c r="BD14" s="97"/>
      <c r="BE14" s="1">
        <f>IFERROR(VLOOKUP(AR14,'Top WS'!$A$19:$B$28,2),0)</f>
        <v>260</v>
      </c>
      <c r="BF14" s="1">
        <f>IFERROR(VLOOKUP(AS14,'Top WS'!$A$19:$B$28,2),0)</f>
        <v>260</v>
      </c>
      <c r="BG14" s="1">
        <f>IFERROR(VLOOKUP(AT14,'Top WS'!$A$19:$B$28,2),0)</f>
        <v>200</v>
      </c>
      <c r="BH14" s="1">
        <f>IFERROR(VLOOKUP(AU14,'Top WS'!$A$19:$B$28,2),0)</f>
        <v>260</v>
      </c>
      <c r="BI14" s="1">
        <f>IFERROR(VLOOKUP(AV14,'Top WS'!$A$19:$B$28,2),0)</f>
        <v>260</v>
      </c>
      <c r="BJ14" s="1">
        <f>IFERROR(VLOOKUP(AW14,'Top WS'!$A$19:$B$28,2),0)</f>
        <v>260</v>
      </c>
      <c r="BK14" s="98">
        <f>IFERROR(VLOOKUP(AX14,'Top WS'!$A$19:$B$28,2),0)</f>
        <v>200</v>
      </c>
      <c r="BL14" s="98">
        <f>IFERROR(VLOOKUP(AY14,'Top WS'!$A$19:$B$28,2),0)</f>
        <v>200</v>
      </c>
      <c r="BM14" s="98">
        <f>IFERROR(VLOOKUP(AZ14,'Top WS'!$A$19:$B$28,2),0)</f>
        <v>200</v>
      </c>
      <c r="BN14" s="98">
        <f>IFERROR(VLOOKUP(BA14,'Top WS'!$A$19:$B$28,2),0)</f>
        <v>200</v>
      </c>
      <c r="BO14" s="98">
        <f>IFERROR(VLOOKUP(BB14,'Top WS'!$A$19:$B$28,2),0)</f>
        <v>200</v>
      </c>
      <c r="BP14" s="98">
        <f>IFERROR(VLOOKUP(BC14,'Top WS'!$A$19:$B$28,2),0)</f>
        <v>200</v>
      </c>
    </row>
    <row r="15" spans="1:68" x14ac:dyDescent="0.4">
      <c r="A15">
        <v>1190022101</v>
      </c>
      <c r="B15">
        <v>61276</v>
      </c>
      <c r="C15" t="s">
        <v>317</v>
      </c>
      <c r="D15" t="s">
        <v>233</v>
      </c>
      <c r="E15" s="1">
        <v>5160.2969499677947</v>
      </c>
      <c r="F15" s="1">
        <v>4295.3191951575109</v>
      </c>
      <c r="G15" s="1">
        <v>4290.3458838993056</v>
      </c>
      <c r="H15" s="1">
        <v>4114.955575450962</v>
      </c>
      <c r="I15" s="1">
        <v>2275.8034490741484</v>
      </c>
      <c r="J15" s="1">
        <v>4059.195025854885</v>
      </c>
      <c r="K15" s="1">
        <v>3685.3587866579292</v>
      </c>
      <c r="L15" s="1">
        <v>4992.0692908858855</v>
      </c>
      <c r="M15" s="1">
        <v>2762.6203462020771</v>
      </c>
      <c r="N15" s="1">
        <v>4531.2271335358673</v>
      </c>
      <c r="O15" s="1">
        <v>4520.1452986670402</v>
      </c>
      <c r="P15" s="1">
        <v>4582.6630646465464</v>
      </c>
      <c r="R15" s="1" cm="1">
        <f t="array" ref="R15:W15">IFERROR(_xlfn.XLOOKUP(A15,'Actual_Aji Plus'!A:A,'Actual_Aji Plus'!C:H),0)</f>
        <v>4833.1799999999967</v>
      </c>
      <c r="S15" s="1">
        <v>3659.6999999999985</v>
      </c>
      <c r="T15" s="1">
        <v>3928.56</v>
      </c>
      <c r="U15" s="1">
        <v>3633.6600000000021</v>
      </c>
      <c r="V15" s="1">
        <v>4533.3599999999997</v>
      </c>
      <c r="W15" s="1">
        <v>3332.2200000000016</v>
      </c>
      <c r="X15" s="111"/>
      <c r="Y15" s="111"/>
      <c r="Z15" s="111"/>
      <c r="AA15" s="111"/>
      <c r="AB15" s="111"/>
      <c r="AC15" s="111"/>
      <c r="AD15" s="1"/>
      <c r="AE15" s="97">
        <f t="shared" si="4"/>
        <v>0.93660889031398864</v>
      </c>
      <c r="AF15" s="97">
        <f t="shared" si="5"/>
        <v>0.85202049806354285</v>
      </c>
      <c r="AG15" s="97">
        <f t="shared" si="6"/>
        <v>0.91567442493226336</v>
      </c>
      <c r="AH15" s="97">
        <f t="shared" si="7"/>
        <v>0.88303747959703938</v>
      </c>
      <c r="AI15" s="97">
        <f t="shared" si="8"/>
        <v>1.9919822170250596</v>
      </c>
      <c r="AJ15" s="97">
        <f t="shared" si="9"/>
        <v>0.82090660310124441</v>
      </c>
      <c r="AK15" s="99">
        <f t="shared" si="10"/>
        <v>0</v>
      </c>
      <c r="AL15" s="99">
        <f t="shared" si="11"/>
        <v>0</v>
      </c>
      <c r="AM15" s="99">
        <f t="shared" si="12"/>
        <v>0</v>
      </c>
      <c r="AN15" s="99">
        <f t="shared" si="13"/>
        <v>0</v>
      </c>
      <c r="AO15" s="99">
        <f t="shared" si="14"/>
        <v>0</v>
      </c>
      <c r="AP15" s="99">
        <f t="shared" si="15"/>
        <v>0</v>
      </c>
      <c r="AQ15" s="97"/>
      <c r="AR15" s="99">
        <f t="shared" si="16"/>
        <v>0.93659999999999999</v>
      </c>
      <c r="AS15" s="99">
        <f t="shared" si="17"/>
        <v>0.85199999999999998</v>
      </c>
      <c r="AT15" s="99">
        <f t="shared" si="18"/>
        <v>0.91569999999999996</v>
      </c>
      <c r="AU15" s="99">
        <f t="shared" si="19"/>
        <v>0.88300000000000001</v>
      </c>
      <c r="AV15" s="99">
        <f t="shared" si="20"/>
        <v>1.992</v>
      </c>
      <c r="AW15" s="99">
        <f t="shared" si="21"/>
        <v>0.82089999999999996</v>
      </c>
      <c r="AX15" s="99">
        <f t="shared" si="22"/>
        <v>0</v>
      </c>
      <c r="AY15" s="99">
        <f t="shared" si="23"/>
        <v>0</v>
      </c>
      <c r="AZ15" s="99">
        <f t="shared" si="24"/>
        <v>0</v>
      </c>
      <c r="BA15" s="99">
        <f t="shared" si="25"/>
        <v>0</v>
      </c>
      <c r="BB15" s="99">
        <f t="shared" si="26"/>
        <v>0</v>
      </c>
      <c r="BC15" s="99">
        <f t="shared" si="27"/>
        <v>0</v>
      </c>
      <c r="BD15" s="97"/>
      <c r="BE15" s="1">
        <f>IFERROR(VLOOKUP(AR15,'Top WS'!$A$19:$B$28,2),0)</f>
        <v>200</v>
      </c>
      <c r="BF15" s="1">
        <f>IFERROR(VLOOKUP(AS15,'Top WS'!$A$19:$B$28,2),0)</f>
        <v>200</v>
      </c>
      <c r="BG15" s="1">
        <f>IFERROR(VLOOKUP(AT15,'Top WS'!$A$19:$B$28,2),0)</f>
        <v>200</v>
      </c>
      <c r="BH15" s="1">
        <f>IFERROR(VLOOKUP(AU15,'Top WS'!$A$19:$B$28,2),0)</f>
        <v>200</v>
      </c>
      <c r="BI15" s="1">
        <f>IFERROR(VLOOKUP(AV15,'Top WS'!$A$19:$B$28,2),0)</f>
        <v>260</v>
      </c>
      <c r="BJ15" s="1">
        <f>IFERROR(VLOOKUP(AW15,'Top WS'!$A$19:$B$28,2),0)</f>
        <v>200</v>
      </c>
      <c r="BK15" s="98">
        <f>IFERROR(VLOOKUP(AX15,'Top WS'!$A$19:$B$28,2),0)</f>
        <v>200</v>
      </c>
      <c r="BL15" s="98">
        <f>IFERROR(VLOOKUP(AY15,'Top WS'!$A$19:$B$28,2),0)</f>
        <v>200</v>
      </c>
      <c r="BM15" s="98">
        <f>IFERROR(VLOOKUP(AZ15,'Top WS'!$A$19:$B$28,2),0)</f>
        <v>200</v>
      </c>
      <c r="BN15" s="98">
        <f>IFERROR(VLOOKUP(BA15,'Top WS'!$A$19:$B$28,2),0)</f>
        <v>200</v>
      </c>
      <c r="BO15" s="98">
        <f>IFERROR(VLOOKUP(BB15,'Top WS'!$A$19:$B$28,2),0)</f>
        <v>200</v>
      </c>
      <c r="BP15" s="98">
        <f>IFERROR(VLOOKUP(BC15,'Top WS'!$A$19:$B$28,2),0)</f>
        <v>200</v>
      </c>
    </row>
    <row r="16" spans="1:68" x14ac:dyDescent="0.4">
      <c r="A16">
        <v>1190022201</v>
      </c>
      <c r="B16">
        <v>61616</v>
      </c>
      <c r="C16" t="s">
        <v>318</v>
      </c>
      <c r="D16" t="s">
        <v>236</v>
      </c>
      <c r="E16" s="1">
        <v>1417.6552377408279</v>
      </c>
      <c r="F16" s="1">
        <v>1369.2038092660569</v>
      </c>
      <c r="G16" s="1">
        <v>2144.825183105263</v>
      </c>
      <c r="H16" s="1">
        <v>1469.1479896479984</v>
      </c>
      <c r="I16" s="1">
        <v>936.79054111199457</v>
      </c>
      <c r="J16" s="1">
        <v>771.4474196112925</v>
      </c>
      <c r="K16" s="1">
        <v>1413.5861567347215</v>
      </c>
      <c r="L16" s="1">
        <v>1489.7870396995893</v>
      </c>
      <c r="M16" s="1">
        <v>1963.0379404252446</v>
      </c>
      <c r="N16" s="1">
        <v>1901.4773592246149</v>
      </c>
      <c r="O16" s="1">
        <v>1715.2644665843475</v>
      </c>
      <c r="P16" s="1">
        <v>2007.7768568480533</v>
      </c>
      <c r="R16" s="1" cm="1">
        <f t="array" ref="R16:W16">IFERROR(_xlfn.XLOOKUP(A16,'Actual_Aji Plus'!A:A,'Actual_Aji Plus'!C:H),0)</f>
        <v>1649.5800000000006</v>
      </c>
      <c r="S16" s="1">
        <v>1236.7799999999997</v>
      </c>
      <c r="T16" s="1">
        <v>992.51999999999975</v>
      </c>
      <c r="U16" s="1">
        <v>1992.9600000000003</v>
      </c>
      <c r="V16" s="1">
        <v>1637.4000000000005</v>
      </c>
      <c r="W16" s="1">
        <v>1773.8600000000006</v>
      </c>
      <c r="X16" s="111"/>
      <c r="Y16" s="111"/>
      <c r="Z16" s="111"/>
      <c r="AA16" s="111"/>
      <c r="AB16" s="111"/>
      <c r="AC16" s="111"/>
      <c r="AD16" s="1"/>
      <c r="AE16" s="97">
        <f t="shared" si="4"/>
        <v>1.1635974361642167</v>
      </c>
      <c r="AF16" s="97">
        <f t="shared" si="5"/>
        <v>0.90328407767354879</v>
      </c>
      <c r="AG16" s="97">
        <f t="shared" si="6"/>
        <v>0.46275100078927467</v>
      </c>
      <c r="AH16" s="97">
        <f t="shared" si="7"/>
        <v>1.3565413518875691</v>
      </c>
      <c r="AI16" s="97">
        <f t="shared" si="8"/>
        <v>1.7478827209937073</v>
      </c>
      <c r="AJ16" s="97">
        <f t="shared" si="9"/>
        <v>2.2993919674963608</v>
      </c>
      <c r="AK16" s="99">
        <f t="shared" si="10"/>
        <v>0</v>
      </c>
      <c r="AL16" s="99">
        <f t="shared" si="11"/>
        <v>0</v>
      </c>
      <c r="AM16" s="99">
        <f t="shared" si="12"/>
        <v>0</v>
      </c>
      <c r="AN16" s="99">
        <f t="shared" si="13"/>
        <v>0</v>
      </c>
      <c r="AO16" s="99">
        <f t="shared" si="14"/>
        <v>0</v>
      </c>
      <c r="AP16" s="99">
        <f t="shared" si="15"/>
        <v>0</v>
      </c>
      <c r="AQ16" s="97"/>
      <c r="AR16" s="99">
        <f t="shared" si="16"/>
        <v>1.1636</v>
      </c>
      <c r="AS16" s="99">
        <f t="shared" si="17"/>
        <v>0.90329999999999999</v>
      </c>
      <c r="AT16" s="99">
        <f t="shared" si="18"/>
        <v>0.46279999999999999</v>
      </c>
      <c r="AU16" s="99">
        <f t="shared" si="19"/>
        <v>1.3565</v>
      </c>
      <c r="AV16" s="99">
        <f t="shared" si="20"/>
        <v>1.7479</v>
      </c>
      <c r="AW16" s="99">
        <f t="shared" si="21"/>
        <v>2.2993999999999999</v>
      </c>
      <c r="AX16" s="99">
        <f t="shared" si="22"/>
        <v>0</v>
      </c>
      <c r="AY16" s="99">
        <f t="shared" si="23"/>
        <v>0</v>
      </c>
      <c r="AZ16" s="99">
        <f t="shared" si="24"/>
        <v>0</v>
      </c>
      <c r="BA16" s="99">
        <f t="shared" si="25"/>
        <v>0</v>
      </c>
      <c r="BB16" s="99">
        <f t="shared" si="26"/>
        <v>0</v>
      </c>
      <c r="BC16" s="99">
        <f t="shared" si="27"/>
        <v>0</v>
      </c>
      <c r="BD16" s="97"/>
      <c r="BE16" s="1">
        <f>IFERROR(VLOOKUP(AR16,'Top WS'!$A$19:$B$28,2),0)</f>
        <v>240</v>
      </c>
      <c r="BF16" s="1">
        <f>IFERROR(VLOOKUP(AS16,'Top WS'!$A$19:$B$28,2),0)</f>
        <v>200</v>
      </c>
      <c r="BG16" s="1">
        <f>IFERROR(VLOOKUP(AT16,'Top WS'!$A$19:$B$28,2),0)</f>
        <v>200</v>
      </c>
      <c r="BH16" s="1">
        <f>IFERROR(VLOOKUP(AU16,'Top WS'!$A$19:$B$28,2),0)</f>
        <v>260</v>
      </c>
      <c r="BI16" s="1">
        <f>IFERROR(VLOOKUP(AV16,'Top WS'!$A$19:$B$28,2),0)</f>
        <v>260</v>
      </c>
      <c r="BJ16" s="1">
        <f>IFERROR(VLOOKUP(AW16,'Top WS'!$A$19:$B$28,2),0)</f>
        <v>260</v>
      </c>
      <c r="BK16" s="98">
        <f>IFERROR(VLOOKUP(AX16,'Top WS'!$A$19:$B$28,2),0)</f>
        <v>200</v>
      </c>
      <c r="BL16" s="98">
        <f>IFERROR(VLOOKUP(AY16,'Top WS'!$A$19:$B$28,2),0)</f>
        <v>200</v>
      </c>
      <c r="BM16" s="98">
        <f>IFERROR(VLOOKUP(AZ16,'Top WS'!$A$19:$B$28,2),0)</f>
        <v>200</v>
      </c>
      <c r="BN16" s="98">
        <f>IFERROR(VLOOKUP(BA16,'Top WS'!$A$19:$B$28,2),0)</f>
        <v>200</v>
      </c>
      <c r="BO16" s="98">
        <f>IFERROR(VLOOKUP(BB16,'Top WS'!$A$19:$B$28,2),0)</f>
        <v>200</v>
      </c>
      <c r="BP16" s="98">
        <f>IFERROR(VLOOKUP(BC16,'Top WS'!$A$19:$B$28,2),0)</f>
        <v>200</v>
      </c>
    </row>
    <row r="17" spans="1:68" x14ac:dyDescent="0.4">
      <c r="A17">
        <v>1190022301</v>
      </c>
      <c r="B17">
        <v>64151</v>
      </c>
      <c r="C17" t="s">
        <v>319</v>
      </c>
      <c r="D17" t="s">
        <v>320</v>
      </c>
      <c r="E17" s="1">
        <v>2699</v>
      </c>
      <c r="F17" s="1">
        <v>2732</v>
      </c>
      <c r="G17" s="1">
        <v>2527</v>
      </c>
      <c r="H17" s="1">
        <v>2052</v>
      </c>
      <c r="I17" s="1">
        <v>2107</v>
      </c>
      <c r="J17" s="1">
        <v>2341</v>
      </c>
      <c r="K17" s="1">
        <v>2648</v>
      </c>
      <c r="L17" s="1">
        <v>2919</v>
      </c>
      <c r="M17" s="1">
        <v>3163</v>
      </c>
      <c r="N17" s="1">
        <v>3455</v>
      </c>
      <c r="O17" s="1">
        <v>2389</v>
      </c>
      <c r="P17" s="1">
        <v>1756</v>
      </c>
      <c r="R17" s="1" cm="1">
        <f t="array" ref="R17:W17">IFERROR(_xlfn.XLOOKUP(A17,'Actual_Aji Plus'!A:A,'Actual_Aji Plus'!C:H),0)</f>
        <v>1055.3400000000001</v>
      </c>
      <c r="S17" s="1">
        <v>2815.8</v>
      </c>
      <c r="T17" s="1">
        <v>1541.7600000000002</v>
      </c>
      <c r="U17" s="1">
        <v>1961.5800000000006</v>
      </c>
      <c r="V17" s="1">
        <v>2677.7400000000002</v>
      </c>
      <c r="W17" s="1">
        <v>1848.8400000000004</v>
      </c>
      <c r="X17" s="111"/>
      <c r="Y17" s="111"/>
      <c r="Z17" s="111"/>
      <c r="AA17" s="111"/>
      <c r="AB17" s="111"/>
      <c r="AC17" s="111"/>
      <c r="AD17" s="1"/>
      <c r="AE17" s="97">
        <f t="shared" si="4"/>
        <v>0.39101148573545763</v>
      </c>
      <c r="AF17" s="97">
        <f t="shared" si="5"/>
        <v>1.0306734992679356</v>
      </c>
      <c r="AG17" s="97">
        <f t="shared" si="6"/>
        <v>0.61011476058567482</v>
      </c>
      <c r="AH17" s="97">
        <f t="shared" si="7"/>
        <v>0.95593567251462019</v>
      </c>
      <c r="AI17" s="97">
        <f t="shared" si="8"/>
        <v>1.2708780256288563</v>
      </c>
      <c r="AJ17" s="97">
        <f t="shared" si="9"/>
        <v>0.78976505766766358</v>
      </c>
      <c r="AK17" s="99">
        <f t="shared" si="10"/>
        <v>0</v>
      </c>
      <c r="AL17" s="99">
        <f t="shared" si="11"/>
        <v>0</v>
      </c>
      <c r="AM17" s="99">
        <f t="shared" si="12"/>
        <v>0</v>
      </c>
      <c r="AN17" s="99">
        <f t="shared" si="13"/>
        <v>0</v>
      </c>
      <c r="AO17" s="99">
        <f t="shared" si="14"/>
        <v>0</v>
      </c>
      <c r="AP17" s="99">
        <f t="shared" si="15"/>
        <v>0</v>
      </c>
      <c r="AQ17" s="97"/>
      <c r="AR17" s="99">
        <f t="shared" si="16"/>
        <v>0.39100000000000001</v>
      </c>
      <c r="AS17" s="99">
        <f t="shared" si="17"/>
        <v>1.0306999999999999</v>
      </c>
      <c r="AT17" s="99">
        <f t="shared" si="18"/>
        <v>0.61009999999999998</v>
      </c>
      <c r="AU17" s="99">
        <f t="shared" si="19"/>
        <v>0.95589999999999997</v>
      </c>
      <c r="AV17" s="99">
        <f t="shared" si="20"/>
        <v>1.2708999999999999</v>
      </c>
      <c r="AW17" s="99">
        <f t="shared" si="21"/>
        <v>0.78979999999999995</v>
      </c>
      <c r="AX17" s="99">
        <f t="shared" si="22"/>
        <v>0</v>
      </c>
      <c r="AY17" s="99">
        <f t="shared" si="23"/>
        <v>0</v>
      </c>
      <c r="AZ17" s="99">
        <f t="shared" si="24"/>
        <v>0</v>
      </c>
      <c r="BA17" s="99">
        <f t="shared" si="25"/>
        <v>0</v>
      </c>
      <c r="BB17" s="99">
        <f t="shared" si="26"/>
        <v>0</v>
      </c>
      <c r="BC17" s="99">
        <f t="shared" si="27"/>
        <v>0</v>
      </c>
      <c r="BD17" s="97"/>
      <c r="BE17" s="1">
        <f>IFERROR(VLOOKUP(AR17,'Top WS'!$A$19:$B$28,2),0)</f>
        <v>200</v>
      </c>
      <c r="BF17" s="1">
        <f>IFERROR(VLOOKUP(AS17,'Top WS'!$A$19:$B$28,2),0)</f>
        <v>216</v>
      </c>
      <c r="BG17" s="1">
        <f>IFERROR(VLOOKUP(AT17,'Top WS'!$A$19:$B$28,2),0)</f>
        <v>200</v>
      </c>
      <c r="BH17" s="1">
        <f>IFERROR(VLOOKUP(AU17,'Top WS'!$A$19:$B$28,2),0)</f>
        <v>200</v>
      </c>
      <c r="BI17" s="1">
        <f>IFERROR(VLOOKUP(AV17,'Top WS'!$A$19:$B$28,2),0)</f>
        <v>260</v>
      </c>
      <c r="BJ17" s="1">
        <f>IFERROR(VLOOKUP(AW17,'Top WS'!$A$19:$B$28,2),0)</f>
        <v>200</v>
      </c>
      <c r="BK17" s="98">
        <f>IFERROR(VLOOKUP(AX17,'Top WS'!$A$19:$B$28,2),0)</f>
        <v>200</v>
      </c>
      <c r="BL17" s="98">
        <f>IFERROR(VLOOKUP(AY17,'Top WS'!$A$19:$B$28,2),0)</f>
        <v>200</v>
      </c>
      <c r="BM17" s="98">
        <f>IFERROR(VLOOKUP(AZ17,'Top WS'!$A$19:$B$28,2),0)</f>
        <v>200</v>
      </c>
      <c r="BN17" s="98">
        <f>IFERROR(VLOOKUP(BA17,'Top WS'!$A$19:$B$28,2),0)</f>
        <v>200</v>
      </c>
      <c r="BO17" s="98">
        <f>IFERROR(VLOOKUP(BB17,'Top WS'!$A$19:$B$28,2),0)</f>
        <v>200</v>
      </c>
      <c r="BP17" s="98">
        <f>IFERROR(VLOOKUP(BC17,'Top WS'!$A$19:$B$28,2),0)</f>
        <v>200</v>
      </c>
    </row>
    <row r="18" spans="1:68" x14ac:dyDescent="0.4">
      <c r="A18">
        <v>1190022302</v>
      </c>
      <c r="B18">
        <v>65589</v>
      </c>
      <c r="C18" t="s">
        <v>321</v>
      </c>
      <c r="D18" t="s">
        <v>320</v>
      </c>
      <c r="E18" s="1">
        <v>2648</v>
      </c>
      <c r="F18" s="1">
        <v>2680</v>
      </c>
      <c r="G18" s="1">
        <v>2480</v>
      </c>
      <c r="H18" s="1">
        <v>2013</v>
      </c>
      <c r="I18" s="1">
        <v>2068</v>
      </c>
      <c r="J18" s="1">
        <v>2296</v>
      </c>
      <c r="K18" s="1">
        <v>2598</v>
      </c>
      <c r="L18" s="1">
        <v>2864</v>
      </c>
      <c r="M18" s="1">
        <v>3103</v>
      </c>
      <c r="N18" s="1">
        <v>3390</v>
      </c>
      <c r="O18" s="1">
        <v>2344</v>
      </c>
      <c r="P18" s="1">
        <v>1720</v>
      </c>
      <c r="R18" s="1" cm="1">
        <f t="array" ref="R18:W18">IFERROR(_xlfn.XLOOKUP(A18,'Actual_Aji Plus'!A:A,'Actual_Aji Plus'!C:H),0)</f>
        <v>1118.8800000000001</v>
      </c>
      <c r="S18" s="1">
        <v>2900.2200000000003</v>
      </c>
      <c r="T18" s="1">
        <v>3043.920000000001</v>
      </c>
      <c r="U18" s="1">
        <v>1078.08</v>
      </c>
      <c r="V18" s="1">
        <v>1189.44</v>
      </c>
      <c r="W18" s="1">
        <v>2325.9000000000019</v>
      </c>
      <c r="X18" s="111"/>
      <c r="Y18" s="111"/>
      <c r="Z18" s="111"/>
      <c r="AA18" s="111"/>
      <c r="AB18" s="111"/>
      <c r="AC18" s="111"/>
      <c r="AD18" s="1"/>
      <c r="AE18" s="97">
        <f t="shared" si="4"/>
        <v>0.4225377643504532</v>
      </c>
      <c r="AF18" s="97">
        <f t="shared" si="5"/>
        <v>1.082171641791045</v>
      </c>
      <c r="AG18" s="97">
        <f t="shared" si="6"/>
        <v>1.227387096774194</v>
      </c>
      <c r="AH18" s="97">
        <f t="shared" si="7"/>
        <v>0.53555886736214597</v>
      </c>
      <c r="AI18" s="97">
        <f t="shared" si="8"/>
        <v>0.5751644100580271</v>
      </c>
      <c r="AJ18" s="97">
        <f t="shared" si="9"/>
        <v>1.0130226480836246</v>
      </c>
      <c r="AK18" s="99">
        <f t="shared" si="10"/>
        <v>0</v>
      </c>
      <c r="AL18" s="99">
        <f t="shared" si="11"/>
        <v>0</v>
      </c>
      <c r="AM18" s="99">
        <f t="shared" si="12"/>
        <v>0</v>
      </c>
      <c r="AN18" s="99">
        <f t="shared" si="13"/>
        <v>0</v>
      </c>
      <c r="AO18" s="99">
        <f t="shared" si="14"/>
        <v>0</v>
      </c>
      <c r="AP18" s="99">
        <f t="shared" si="15"/>
        <v>0</v>
      </c>
      <c r="AQ18" s="97"/>
      <c r="AR18" s="99">
        <f t="shared" si="16"/>
        <v>0.42249999999999999</v>
      </c>
      <c r="AS18" s="99">
        <f t="shared" si="17"/>
        <v>1.0822000000000001</v>
      </c>
      <c r="AT18" s="99">
        <f t="shared" si="18"/>
        <v>1.2274</v>
      </c>
      <c r="AU18" s="99">
        <f t="shared" si="19"/>
        <v>0.53559999999999997</v>
      </c>
      <c r="AV18" s="99">
        <f t="shared" si="20"/>
        <v>0.57520000000000004</v>
      </c>
      <c r="AW18" s="99">
        <f t="shared" si="21"/>
        <v>1.0129999999999999</v>
      </c>
      <c r="AX18" s="99">
        <f t="shared" si="22"/>
        <v>0</v>
      </c>
      <c r="AY18" s="99">
        <f t="shared" si="23"/>
        <v>0</v>
      </c>
      <c r="AZ18" s="99">
        <f t="shared" si="24"/>
        <v>0</v>
      </c>
      <c r="BA18" s="99">
        <f t="shared" si="25"/>
        <v>0</v>
      </c>
      <c r="BB18" s="99">
        <f t="shared" si="26"/>
        <v>0</v>
      </c>
      <c r="BC18" s="99">
        <f t="shared" si="27"/>
        <v>0</v>
      </c>
      <c r="BD18" s="97"/>
      <c r="BE18" s="1">
        <f>IFERROR(VLOOKUP(AR18,'Top WS'!$A$19:$B$28,2),0)</f>
        <v>200</v>
      </c>
      <c r="BF18" s="1">
        <f>IFERROR(VLOOKUP(AS18,'Top WS'!$A$19:$B$28,2),0)</f>
        <v>220</v>
      </c>
      <c r="BG18" s="1">
        <f>IFERROR(VLOOKUP(AT18,'Top WS'!$A$19:$B$28,2),0)</f>
        <v>260</v>
      </c>
      <c r="BH18" s="1">
        <f>IFERROR(VLOOKUP(AU18,'Top WS'!$A$19:$B$28,2),0)</f>
        <v>200</v>
      </c>
      <c r="BI18" s="1">
        <f>IFERROR(VLOOKUP(AV18,'Top WS'!$A$19:$B$28,2),0)</f>
        <v>200</v>
      </c>
      <c r="BJ18" s="1">
        <f>IFERROR(VLOOKUP(AW18,'Top WS'!$A$19:$B$28,2),0)</f>
        <v>206</v>
      </c>
      <c r="BK18" s="98">
        <f>IFERROR(VLOOKUP(AX18,'Top WS'!$A$19:$B$28,2),0)</f>
        <v>200</v>
      </c>
      <c r="BL18" s="98">
        <f>IFERROR(VLOOKUP(AY18,'Top WS'!$A$19:$B$28,2),0)</f>
        <v>200</v>
      </c>
      <c r="BM18" s="98">
        <f>IFERROR(VLOOKUP(AZ18,'Top WS'!$A$19:$B$28,2),0)</f>
        <v>200</v>
      </c>
      <c r="BN18" s="98">
        <f>IFERROR(VLOOKUP(BA18,'Top WS'!$A$19:$B$28,2),0)</f>
        <v>200</v>
      </c>
      <c r="BO18" s="98">
        <f>IFERROR(VLOOKUP(BB18,'Top WS'!$A$19:$B$28,2),0)</f>
        <v>200</v>
      </c>
      <c r="BP18" s="98">
        <f>IFERROR(VLOOKUP(BC18,'Top WS'!$A$19:$B$28,2),0)</f>
        <v>200</v>
      </c>
    </row>
    <row r="19" spans="1:68" x14ac:dyDescent="0.4">
      <c r="A19">
        <v>1190022401</v>
      </c>
      <c r="B19">
        <v>75673</v>
      </c>
      <c r="C19" t="s">
        <v>322</v>
      </c>
      <c r="D19" t="s">
        <v>323</v>
      </c>
      <c r="E19" s="1">
        <v>3782.5909417285939</v>
      </c>
      <c r="F19" s="1">
        <v>3828.7560702921141</v>
      </c>
      <c r="G19" s="1">
        <v>3542.625418476613</v>
      </c>
      <c r="H19" s="1">
        <v>2875.6664152281382</v>
      </c>
      <c r="I19" s="1">
        <v>2953.7532068799214</v>
      </c>
      <c r="J19" s="1">
        <v>3280.6931337559859</v>
      </c>
      <c r="K19" s="1">
        <v>3711.5482617491716</v>
      </c>
      <c r="L19" s="1">
        <v>4091.0764603390408</v>
      </c>
      <c r="M19" s="1">
        <v>4432.8614159461185</v>
      </c>
      <c r="N19" s="1">
        <v>4843.3216090421829</v>
      </c>
      <c r="O19" s="1">
        <v>3348.6891869239439</v>
      </c>
      <c r="P19" s="1">
        <v>2741.6342407900484</v>
      </c>
      <c r="R19" s="1" cm="1">
        <f t="array" ref="R19:W19">IFERROR(_xlfn.XLOOKUP(A19,'Actual_Aji Plus'!A:A,'Actual_Aji Plus'!C:H),0)</f>
        <v>2386.1399999999994</v>
      </c>
      <c r="S19" s="1">
        <v>4933.32</v>
      </c>
      <c r="T19" s="1">
        <v>1947.5399999999997</v>
      </c>
      <c r="U19" s="1">
        <v>2993.28</v>
      </c>
      <c r="V19" s="1">
        <v>3842.1000000000004</v>
      </c>
      <c r="W19" s="1">
        <v>2690.64</v>
      </c>
      <c r="X19" s="111"/>
      <c r="Y19" s="111"/>
      <c r="Z19" s="111"/>
      <c r="AA19" s="111"/>
      <c r="AB19" s="111"/>
      <c r="AC19" s="111"/>
      <c r="AD19" s="1"/>
      <c r="AE19" s="97">
        <f t="shared" si="4"/>
        <v>0.63082158149238443</v>
      </c>
      <c r="AF19" s="97">
        <f t="shared" si="5"/>
        <v>1.2884915908533221</v>
      </c>
      <c r="AG19" s="97">
        <f t="shared" si="6"/>
        <v>0.54974482761925014</v>
      </c>
      <c r="AH19" s="97">
        <f t="shared" si="7"/>
        <v>1.0408995925775804</v>
      </c>
      <c r="AI19" s="97">
        <f t="shared" si="8"/>
        <v>1.3007518675056975</v>
      </c>
      <c r="AJ19" s="97">
        <f t="shared" si="9"/>
        <v>0.82014375935232675</v>
      </c>
      <c r="AK19" s="99">
        <f t="shared" si="10"/>
        <v>0</v>
      </c>
      <c r="AL19" s="99">
        <f t="shared" si="11"/>
        <v>0</v>
      </c>
      <c r="AM19" s="99">
        <f t="shared" si="12"/>
        <v>0</v>
      </c>
      <c r="AN19" s="99">
        <f t="shared" si="13"/>
        <v>0</v>
      </c>
      <c r="AO19" s="99">
        <f t="shared" si="14"/>
        <v>0</v>
      </c>
      <c r="AP19" s="99">
        <f t="shared" si="15"/>
        <v>0</v>
      </c>
      <c r="AQ19" s="97"/>
      <c r="AR19" s="99">
        <f t="shared" si="16"/>
        <v>0.63080000000000003</v>
      </c>
      <c r="AS19" s="99">
        <f t="shared" si="17"/>
        <v>1.2885</v>
      </c>
      <c r="AT19" s="99">
        <f t="shared" si="18"/>
        <v>0.54969999999999997</v>
      </c>
      <c r="AU19" s="99">
        <f t="shared" si="19"/>
        <v>1.0408999999999999</v>
      </c>
      <c r="AV19" s="99">
        <f t="shared" si="20"/>
        <v>1.3008</v>
      </c>
      <c r="AW19" s="99">
        <f t="shared" si="21"/>
        <v>0.82010000000000005</v>
      </c>
      <c r="AX19" s="99">
        <f t="shared" si="22"/>
        <v>0</v>
      </c>
      <c r="AY19" s="99">
        <f t="shared" si="23"/>
        <v>0</v>
      </c>
      <c r="AZ19" s="99">
        <f t="shared" si="24"/>
        <v>0</v>
      </c>
      <c r="BA19" s="99">
        <f t="shared" si="25"/>
        <v>0</v>
      </c>
      <c r="BB19" s="99">
        <f t="shared" si="26"/>
        <v>0</v>
      </c>
      <c r="BC19" s="99">
        <f t="shared" si="27"/>
        <v>0</v>
      </c>
      <c r="BD19" s="97"/>
      <c r="BE19" s="1">
        <f>IFERROR(VLOOKUP(AR19,'Top WS'!$A$19:$B$28,2),0)</f>
        <v>200</v>
      </c>
      <c r="BF19" s="1">
        <f>IFERROR(VLOOKUP(AS19,'Top WS'!$A$19:$B$28,2),0)</f>
        <v>260</v>
      </c>
      <c r="BG19" s="1">
        <f>IFERROR(VLOOKUP(AT19,'Top WS'!$A$19:$B$28,2),0)</f>
        <v>200</v>
      </c>
      <c r="BH19" s="1">
        <f>IFERROR(VLOOKUP(AU19,'Top WS'!$A$19:$B$28,2),0)</f>
        <v>216</v>
      </c>
      <c r="BI19" s="1">
        <f>IFERROR(VLOOKUP(AV19,'Top WS'!$A$19:$B$28,2),0)</f>
        <v>260</v>
      </c>
      <c r="BJ19" s="1">
        <f>IFERROR(VLOOKUP(AW19,'Top WS'!$A$19:$B$28,2),0)</f>
        <v>200</v>
      </c>
      <c r="BK19" s="98">
        <f>IFERROR(VLOOKUP(AX19,'Top WS'!$A$19:$B$28,2),0)</f>
        <v>200</v>
      </c>
      <c r="BL19" s="98">
        <f>IFERROR(VLOOKUP(AY19,'Top WS'!$A$19:$B$28,2),0)</f>
        <v>200</v>
      </c>
      <c r="BM19" s="98">
        <f>IFERROR(VLOOKUP(AZ19,'Top WS'!$A$19:$B$28,2),0)</f>
        <v>200</v>
      </c>
      <c r="BN19" s="98">
        <f>IFERROR(VLOOKUP(BA19,'Top WS'!$A$19:$B$28,2),0)</f>
        <v>200</v>
      </c>
      <c r="BO19" s="98">
        <f>IFERROR(VLOOKUP(BB19,'Top WS'!$A$19:$B$28,2),0)</f>
        <v>200</v>
      </c>
      <c r="BP19" s="98">
        <f>IFERROR(VLOOKUP(BC19,'Top WS'!$A$19:$B$28,2),0)</f>
        <v>200</v>
      </c>
    </row>
    <row r="20" spans="1:68" x14ac:dyDescent="0.4">
      <c r="A20">
        <v>1190022402</v>
      </c>
      <c r="B20">
        <v>63074</v>
      </c>
      <c r="C20" t="s">
        <v>324</v>
      </c>
      <c r="D20" t="s">
        <v>323</v>
      </c>
      <c r="E20" s="1">
        <v>439.52347250630294</v>
      </c>
      <c r="F20" s="1">
        <v>444.88769452436384</v>
      </c>
      <c r="G20" s="1">
        <v>411.64034115895612</v>
      </c>
      <c r="H20" s="1">
        <v>334.14210208340086</v>
      </c>
      <c r="I20" s="1">
        <v>343.21550662340741</v>
      </c>
      <c r="J20" s="1">
        <v>381.20475107918162</v>
      </c>
      <c r="K20" s="1">
        <v>431.26856842554594</v>
      </c>
      <c r="L20" s="1">
        <v>475.36838104817394</v>
      </c>
      <c r="M20" s="1">
        <v>515.08256448831764</v>
      </c>
      <c r="N20" s="1">
        <v>562.77656370060004</v>
      </c>
      <c r="O20" s="1">
        <v>389.10564807425732</v>
      </c>
      <c r="P20" s="1">
        <v>318.56804513563094</v>
      </c>
      <c r="R20" s="1" cm="1">
        <f t="array" ref="R20:W20">IFERROR(_xlfn.XLOOKUP(A20,'Actual_Aji Plus'!A:A,'Actual_Aji Plus'!C:H),0)</f>
        <v>209.1</v>
      </c>
      <c r="S20" s="1">
        <v>408.11999999999995</v>
      </c>
      <c r="T20" s="1">
        <v>395.46</v>
      </c>
      <c r="U20" s="1">
        <v>282.24</v>
      </c>
      <c r="V20" s="1">
        <v>312.47999999999996</v>
      </c>
      <c r="W20" s="1">
        <v>100.8</v>
      </c>
      <c r="X20" s="111"/>
      <c r="Y20" s="111"/>
      <c r="Z20" s="111"/>
      <c r="AA20" s="111"/>
      <c r="AB20" s="111"/>
      <c r="AC20" s="111"/>
      <c r="AD20" s="1"/>
      <c r="AE20" s="97">
        <f t="shared" si="4"/>
        <v>0.47574250996800044</v>
      </c>
      <c r="AF20" s="97">
        <f t="shared" si="5"/>
        <v>0.91735511011678394</v>
      </c>
      <c r="AG20" s="97">
        <f t="shared" si="6"/>
        <v>0.96069301392229667</v>
      </c>
      <c r="AH20" s="97">
        <f t="shared" si="7"/>
        <v>0.8446705705153964</v>
      </c>
      <c r="AI20" s="97">
        <f t="shared" si="8"/>
        <v>0.91044837418394409</v>
      </c>
      <c r="AJ20" s="97">
        <f t="shared" si="9"/>
        <v>0.26442482606693013</v>
      </c>
      <c r="AK20" s="99">
        <f t="shared" si="10"/>
        <v>0</v>
      </c>
      <c r="AL20" s="99">
        <f t="shared" si="11"/>
        <v>0</v>
      </c>
      <c r="AM20" s="99">
        <f t="shared" si="12"/>
        <v>0</v>
      </c>
      <c r="AN20" s="99">
        <f t="shared" si="13"/>
        <v>0</v>
      </c>
      <c r="AO20" s="99">
        <f t="shared" si="14"/>
        <v>0</v>
      </c>
      <c r="AP20" s="99">
        <f t="shared" si="15"/>
        <v>0</v>
      </c>
      <c r="AQ20" s="97"/>
      <c r="AR20" s="99">
        <f t="shared" si="16"/>
        <v>0.47570000000000001</v>
      </c>
      <c r="AS20" s="99">
        <f t="shared" si="17"/>
        <v>0.91739999999999999</v>
      </c>
      <c r="AT20" s="99">
        <f t="shared" si="18"/>
        <v>0.9607</v>
      </c>
      <c r="AU20" s="99">
        <f t="shared" si="19"/>
        <v>0.84470000000000001</v>
      </c>
      <c r="AV20" s="99">
        <f t="shared" si="20"/>
        <v>0.91039999999999999</v>
      </c>
      <c r="AW20" s="99">
        <f t="shared" si="21"/>
        <v>0.26440000000000002</v>
      </c>
      <c r="AX20" s="99">
        <f t="shared" si="22"/>
        <v>0</v>
      </c>
      <c r="AY20" s="99">
        <f t="shared" si="23"/>
        <v>0</v>
      </c>
      <c r="AZ20" s="99">
        <f t="shared" si="24"/>
        <v>0</v>
      </c>
      <c r="BA20" s="99">
        <f t="shared" si="25"/>
        <v>0</v>
      </c>
      <c r="BB20" s="99">
        <f t="shared" si="26"/>
        <v>0</v>
      </c>
      <c r="BC20" s="99">
        <f t="shared" si="27"/>
        <v>0</v>
      </c>
      <c r="BD20" s="97"/>
      <c r="BE20" s="1">
        <f>IFERROR(VLOOKUP(AR20,'Top WS'!$A$19:$B$28,2),0)</f>
        <v>200</v>
      </c>
      <c r="BF20" s="1">
        <f>IFERROR(VLOOKUP(AS20,'Top WS'!$A$19:$B$28,2),0)</f>
        <v>200</v>
      </c>
      <c r="BG20" s="1">
        <f>IFERROR(VLOOKUP(AT20,'Top WS'!$A$19:$B$28,2),0)</f>
        <v>200</v>
      </c>
      <c r="BH20" s="1">
        <f>IFERROR(VLOOKUP(AU20,'Top WS'!$A$19:$B$28,2),0)</f>
        <v>200</v>
      </c>
      <c r="BI20" s="1">
        <f>IFERROR(VLOOKUP(AV20,'Top WS'!$A$19:$B$28,2),0)</f>
        <v>200</v>
      </c>
      <c r="BJ20" s="1">
        <f>IFERROR(VLOOKUP(AW20,'Top WS'!$A$19:$B$28,2),0)</f>
        <v>200</v>
      </c>
      <c r="BK20" s="98">
        <f>IFERROR(VLOOKUP(AX20,'Top WS'!$A$19:$B$28,2),0)</f>
        <v>200</v>
      </c>
      <c r="BL20" s="98">
        <f>IFERROR(VLOOKUP(AY20,'Top WS'!$A$19:$B$28,2),0)</f>
        <v>200</v>
      </c>
      <c r="BM20" s="98">
        <f>IFERROR(VLOOKUP(AZ20,'Top WS'!$A$19:$B$28,2),0)</f>
        <v>200</v>
      </c>
      <c r="BN20" s="98">
        <f>IFERROR(VLOOKUP(BA20,'Top WS'!$A$19:$B$28,2),0)</f>
        <v>200</v>
      </c>
      <c r="BO20" s="98">
        <f>IFERROR(VLOOKUP(BB20,'Top WS'!$A$19:$B$28,2),0)</f>
        <v>200</v>
      </c>
      <c r="BP20" s="98">
        <f>IFERROR(VLOOKUP(BC20,'Top WS'!$A$19:$B$28,2),0)</f>
        <v>200</v>
      </c>
    </row>
    <row r="21" spans="1:68" x14ac:dyDescent="0.4">
      <c r="A21">
        <v>1190022510</v>
      </c>
      <c r="B21">
        <v>60961</v>
      </c>
      <c r="C21" t="s">
        <v>325</v>
      </c>
      <c r="D21" t="s">
        <v>326</v>
      </c>
      <c r="E21" s="1">
        <v>2000</v>
      </c>
      <c r="F21" s="1">
        <v>2000</v>
      </c>
      <c r="G21" s="1">
        <v>2000</v>
      </c>
      <c r="H21" s="1">
        <v>2000</v>
      </c>
      <c r="I21" s="1">
        <v>2000</v>
      </c>
      <c r="J21" s="1">
        <v>2000</v>
      </c>
      <c r="K21" s="1">
        <v>2000</v>
      </c>
      <c r="L21" s="1">
        <v>2000</v>
      </c>
      <c r="M21" s="1">
        <v>2000</v>
      </c>
      <c r="N21" s="1">
        <v>2000</v>
      </c>
      <c r="O21" s="1">
        <v>2000</v>
      </c>
      <c r="P21" s="1">
        <v>2000</v>
      </c>
      <c r="R21" s="1" cm="1">
        <f t="array" ref="R21:W21">IFERROR(_xlfn.XLOOKUP(A21,'Actual_Aji Plus'!A:A,'Actual_Aji Plus'!C:H),0)</f>
        <v>962.27999999999986</v>
      </c>
      <c r="S21" s="1">
        <v>2307.3599999999997</v>
      </c>
      <c r="T21" s="1">
        <v>1541.7599999999998</v>
      </c>
      <c r="U21" s="1">
        <v>1894.3199999999997</v>
      </c>
      <c r="V21" s="1">
        <v>1919.4000000000005</v>
      </c>
      <c r="W21" s="1">
        <v>1417.74</v>
      </c>
      <c r="X21" s="111"/>
      <c r="Y21" s="111"/>
      <c r="Z21" s="111"/>
      <c r="AA21" s="111"/>
      <c r="AB21" s="111"/>
      <c r="AC21" s="111"/>
      <c r="AD21" s="1"/>
      <c r="AE21" s="97">
        <f t="shared" si="4"/>
        <v>0.48113999999999996</v>
      </c>
      <c r="AF21" s="97">
        <f t="shared" si="5"/>
        <v>1.1536799999999998</v>
      </c>
      <c r="AG21" s="97">
        <f t="shared" si="6"/>
        <v>0.7708799999999999</v>
      </c>
      <c r="AH21" s="97">
        <f t="shared" si="7"/>
        <v>0.94715999999999989</v>
      </c>
      <c r="AI21" s="97">
        <f t="shared" si="8"/>
        <v>0.95970000000000022</v>
      </c>
      <c r="AJ21" s="97">
        <f t="shared" si="9"/>
        <v>0.70887</v>
      </c>
      <c r="AK21" s="99">
        <f t="shared" si="10"/>
        <v>0</v>
      </c>
      <c r="AL21" s="99">
        <f t="shared" si="11"/>
        <v>0</v>
      </c>
      <c r="AM21" s="99">
        <f t="shared" si="12"/>
        <v>0</v>
      </c>
      <c r="AN21" s="99">
        <f t="shared" si="13"/>
        <v>0</v>
      </c>
      <c r="AO21" s="99">
        <f t="shared" si="14"/>
        <v>0</v>
      </c>
      <c r="AP21" s="99">
        <f t="shared" si="15"/>
        <v>0</v>
      </c>
      <c r="AQ21" s="97"/>
      <c r="AR21" s="99">
        <f t="shared" si="16"/>
        <v>0.48110000000000003</v>
      </c>
      <c r="AS21" s="99">
        <f t="shared" si="17"/>
        <v>1.1536999999999999</v>
      </c>
      <c r="AT21" s="99">
        <f t="shared" si="18"/>
        <v>0.77090000000000003</v>
      </c>
      <c r="AU21" s="99">
        <f t="shared" si="19"/>
        <v>0.94720000000000004</v>
      </c>
      <c r="AV21" s="99">
        <f t="shared" si="20"/>
        <v>0.9597</v>
      </c>
      <c r="AW21" s="99">
        <f t="shared" si="21"/>
        <v>0.70889999999999997</v>
      </c>
      <c r="AX21" s="99">
        <f t="shared" si="22"/>
        <v>0</v>
      </c>
      <c r="AY21" s="99">
        <f t="shared" si="23"/>
        <v>0</v>
      </c>
      <c r="AZ21" s="99">
        <f t="shared" si="24"/>
        <v>0</v>
      </c>
      <c r="BA21" s="99">
        <f t="shared" si="25"/>
        <v>0</v>
      </c>
      <c r="BB21" s="99">
        <f t="shared" si="26"/>
        <v>0</v>
      </c>
      <c r="BC21" s="99">
        <f t="shared" si="27"/>
        <v>0</v>
      </c>
      <c r="BD21" s="97"/>
      <c r="BE21" s="1">
        <f>IFERROR(VLOOKUP(AR21,'Top WS'!$A$19:$B$28,2),0)</f>
        <v>200</v>
      </c>
      <c r="BF21" s="1">
        <f>IFERROR(VLOOKUP(AS21,'Top WS'!$A$19:$B$28,2),0)</f>
        <v>240</v>
      </c>
      <c r="BG21" s="1">
        <f>IFERROR(VLOOKUP(AT21,'Top WS'!$A$19:$B$28,2),0)</f>
        <v>200</v>
      </c>
      <c r="BH21" s="1">
        <f>IFERROR(VLOOKUP(AU21,'Top WS'!$A$19:$B$28,2),0)</f>
        <v>200</v>
      </c>
      <c r="BI21" s="1">
        <f>IFERROR(VLOOKUP(AV21,'Top WS'!$A$19:$B$28,2),0)</f>
        <v>200</v>
      </c>
      <c r="BJ21" s="1">
        <f>IFERROR(VLOOKUP(AW21,'Top WS'!$A$19:$B$28,2),0)</f>
        <v>200</v>
      </c>
      <c r="BK21" s="98">
        <f>IFERROR(VLOOKUP(AX21,'Top WS'!$A$19:$B$28,2),0)</f>
        <v>200</v>
      </c>
      <c r="BL21" s="98">
        <f>IFERROR(VLOOKUP(AY21,'Top WS'!$A$19:$B$28,2),0)</f>
        <v>200</v>
      </c>
      <c r="BM21" s="98">
        <f>IFERROR(VLOOKUP(AZ21,'Top WS'!$A$19:$B$28,2),0)</f>
        <v>200</v>
      </c>
      <c r="BN21" s="98">
        <f>IFERROR(VLOOKUP(BA21,'Top WS'!$A$19:$B$28,2),0)</f>
        <v>200</v>
      </c>
      <c r="BO21" s="98">
        <f>IFERROR(VLOOKUP(BB21,'Top WS'!$A$19:$B$28,2),0)</f>
        <v>200</v>
      </c>
      <c r="BP21" s="98">
        <f>IFERROR(VLOOKUP(BC21,'Top WS'!$A$19:$B$28,2),0)</f>
        <v>200</v>
      </c>
    </row>
    <row r="22" spans="1:68" x14ac:dyDescent="0.4">
      <c r="A22">
        <v>1190027101</v>
      </c>
      <c r="B22">
        <v>70526</v>
      </c>
      <c r="C22" t="s">
        <v>327</v>
      </c>
      <c r="D22" t="s">
        <v>229</v>
      </c>
      <c r="E22" s="1">
        <v>1445</v>
      </c>
      <c r="F22" s="1">
        <v>1462</v>
      </c>
      <c r="G22" s="1">
        <v>1353</v>
      </c>
      <c r="H22" s="1">
        <v>1098</v>
      </c>
      <c r="I22" s="1">
        <v>1128</v>
      </c>
      <c r="J22" s="1">
        <v>1253</v>
      </c>
      <c r="K22" s="1">
        <v>1418</v>
      </c>
      <c r="L22" s="1">
        <v>1563</v>
      </c>
      <c r="M22" s="1">
        <v>1693</v>
      </c>
      <c r="N22" s="1">
        <v>1850</v>
      </c>
      <c r="O22" s="1">
        <v>1279</v>
      </c>
      <c r="P22" s="1">
        <v>1048</v>
      </c>
      <c r="R22" s="1" cm="1">
        <f t="array" ref="R22:W22">IFERROR(_xlfn.XLOOKUP(A22,'Actual_Aji Plus'!A:A,'Actual_Aji Plus'!C:H),0)</f>
        <v>1952.46</v>
      </c>
      <c r="S22" s="1">
        <v>1169.2800000000002</v>
      </c>
      <c r="T22" s="1">
        <v>778.5</v>
      </c>
      <c r="U22" s="1">
        <v>1577.4</v>
      </c>
      <c r="V22" s="1">
        <v>234.18</v>
      </c>
      <c r="W22" s="1">
        <v>903.9</v>
      </c>
      <c r="X22" s="111"/>
      <c r="Y22" s="111"/>
      <c r="Z22" s="111"/>
      <c r="AA22" s="111"/>
      <c r="AB22" s="111"/>
      <c r="AC22" s="111"/>
      <c r="AD22" s="1"/>
      <c r="AE22" s="97">
        <f t="shared" si="4"/>
        <v>1.3511833910034603</v>
      </c>
      <c r="AF22" s="97">
        <f t="shared" si="5"/>
        <v>0.79978112175102611</v>
      </c>
      <c r="AG22" s="97">
        <f t="shared" si="6"/>
        <v>0.57538802660753885</v>
      </c>
      <c r="AH22" s="97">
        <f t="shared" si="7"/>
        <v>1.4366120218579235</v>
      </c>
      <c r="AI22" s="97">
        <f t="shared" si="8"/>
        <v>0.20760638297872341</v>
      </c>
      <c r="AJ22" s="97">
        <f t="shared" si="9"/>
        <v>0.72138866719872308</v>
      </c>
      <c r="AK22" s="99">
        <f t="shared" si="10"/>
        <v>0</v>
      </c>
      <c r="AL22" s="99">
        <f t="shared" si="11"/>
        <v>0</v>
      </c>
      <c r="AM22" s="99">
        <f t="shared" si="12"/>
        <v>0</v>
      </c>
      <c r="AN22" s="99">
        <f t="shared" si="13"/>
        <v>0</v>
      </c>
      <c r="AO22" s="99">
        <f t="shared" si="14"/>
        <v>0</v>
      </c>
      <c r="AP22" s="99">
        <f t="shared" si="15"/>
        <v>0</v>
      </c>
      <c r="AQ22" s="97"/>
      <c r="AR22" s="99">
        <f t="shared" si="16"/>
        <v>1.3512</v>
      </c>
      <c r="AS22" s="99">
        <f t="shared" si="17"/>
        <v>0.79979999999999996</v>
      </c>
      <c r="AT22" s="99">
        <f t="shared" si="18"/>
        <v>0.57540000000000002</v>
      </c>
      <c r="AU22" s="99">
        <f t="shared" si="19"/>
        <v>1.4366000000000001</v>
      </c>
      <c r="AV22" s="99">
        <f t="shared" si="20"/>
        <v>0.20760000000000001</v>
      </c>
      <c r="AW22" s="99">
        <f t="shared" si="21"/>
        <v>0.72140000000000004</v>
      </c>
      <c r="AX22" s="99">
        <f t="shared" si="22"/>
        <v>0</v>
      </c>
      <c r="AY22" s="99">
        <f t="shared" si="23"/>
        <v>0</v>
      </c>
      <c r="AZ22" s="99">
        <f t="shared" si="24"/>
        <v>0</v>
      </c>
      <c r="BA22" s="99">
        <f t="shared" si="25"/>
        <v>0</v>
      </c>
      <c r="BB22" s="99">
        <f t="shared" si="26"/>
        <v>0</v>
      </c>
      <c r="BC22" s="99">
        <f t="shared" si="27"/>
        <v>0</v>
      </c>
      <c r="BD22" s="97"/>
      <c r="BE22" s="1">
        <f>IFERROR(VLOOKUP(AR22,'Top WS'!$A$19:$B$28,2),0)</f>
        <v>260</v>
      </c>
      <c r="BF22" s="1">
        <f>IFERROR(VLOOKUP(AS22,'Top WS'!$A$19:$B$28,2),0)</f>
        <v>200</v>
      </c>
      <c r="BG22" s="1">
        <f>IFERROR(VLOOKUP(AT22,'Top WS'!$A$19:$B$28,2),0)</f>
        <v>200</v>
      </c>
      <c r="BH22" s="1">
        <f>IFERROR(VLOOKUP(AU22,'Top WS'!$A$19:$B$28,2),0)</f>
        <v>260</v>
      </c>
      <c r="BI22" s="1">
        <f>IFERROR(VLOOKUP(AV22,'Top WS'!$A$19:$B$28,2),0)</f>
        <v>200</v>
      </c>
      <c r="BJ22" s="1">
        <f>IFERROR(VLOOKUP(AW22,'Top WS'!$A$19:$B$28,2),0)</f>
        <v>200</v>
      </c>
      <c r="BK22" s="98">
        <f>IFERROR(VLOOKUP(AX22,'Top WS'!$A$19:$B$28,2),0)</f>
        <v>200</v>
      </c>
      <c r="BL22" s="98">
        <f>IFERROR(VLOOKUP(AY22,'Top WS'!$A$19:$B$28,2),0)</f>
        <v>200</v>
      </c>
      <c r="BM22" s="98">
        <f>IFERROR(VLOOKUP(AZ22,'Top WS'!$A$19:$B$28,2),0)</f>
        <v>200</v>
      </c>
      <c r="BN22" s="98">
        <f>IFERROR(VLOOKUP(BA22,'Top WS'!$A$19:$B$28,2),0)</f>
        <v>200</v>
      </c>
      <c r="BO22" s="98">
        <f>IFERROR(VLOOKUP(BB22,'Top WS'!$A$19:$B$28,2),0)</f>
        <v>200</v>
      </c>
      <c r="BP22" s="98">
        <f>IFERROR(VLOOKUP(BC22,'Top WS'!$A$19:$B$28,2),0)</f>
        <v>200</v>
      </c>
    </row>
    <row r="23" spans="1:68" x14ac:dyDescent="0.4">
      <c r="A23">
        <v>1190032602</v>
      </c>
      <c r="B23">
        <v>66632</v>
      </c>
      <c r="C23" t="s">
        <v>328</v>
      </c>
      <c r="D23" t="s">
        <v>237</v>
      </c>
      <c r="E23" s="1">
        <v>29000</v>
      </c>
      <c r="F23" s="1">
        <v>30300</v>
      </c>
      <c r="G23" s="1">
        <v>24900</v>
      </c>
      <c r="H23" s="1">
        <v>40500</v>
      </c>
      <c r="I23" s="1">
        <v>29800</v>
      </c>
      <c r="J23" s="1">
        <v>33650</v>
      </c>
      <c r="K23" s="1">
        <v>27000</v>
      </c>
      <c r="L23" s="1">
        <v>34850</v>
      </c>
      <c r="M23" s="1">
        <v>26400</v>
      </c>
      <c r="N23" s="1">
        <v>33600</v>
      </c>
      <c r="O23" s="1">
        <v>29200</v>
      </c>
      <c r="P23" s="1">
        <v>27800</v>
      </c>
      <c r="R23" s="1" cm="1">
        <f t="array" ref="R23:W23">IFERROR(_xlfn.XLOOKUP(A23,'Actual_Aji Plus'!A:A,'Actual_Aji Plus'!C:H),0)</f>
        <v>27554.340000000018</v>
      </c>
      <c r="S23" s="1">
        <v>27829.559999999994</v>
      </c>
      <c r="T23" s="1">
        <v>26126.340000000011</v>
      </c>
      <c r="U23" s="1">
        <v>24269.759999999984</v>
      </c>
      <c r="V23" s="1">
        <v>33572.040000000037</v>
      </c>
      <c r="W23" s="1">
        <v>31694.16</v>
      </c>
      <c r="X23" s="111"/>
      <c r="Y23" s="111"/>
      <c r="Z23" s="111"/>
      <c r="AA23" s="111"/>
      <c r="AB23" s="111"/>
      <c r="AC23" s="111"/>
      <c r="AD23" s="1"/>
      <c r="AE23" s="97">
        <f t="shared" si="4"/>
        <v>0.95014965517241445</v>
      </c>
      <c r="AF23" s="97">
        <f t="shared" si="5"/>
        <v>0.91846732673267306</v>
      </c>
      <c r="AG23" s="97">
        <f t="shared" si="6"/>
        <v>1.0492506024096391</v>
      </c>
      <c r="AH23" s="97">
        <f t="shared" si="7"/>
        <v>0.59925333333333297</v>
      </c>
      <c r="AI23" s="97">
        <f t="shared" si="8"/>
        <v>1.1265785234899341</v>
      </c>
      <c r="AJ23" s="97">
        <f t="shared" si="9"/>
        <v>0.9418769687964339</v>
      </c>
      <c r="AK23" s="99">
        <f t="shared" si="10"/>
        <v>0</v>
      </c>
      <c r="AL23" s="99">
        <f t="shared" si="11"/>
        <v>0</v>
      </c>
      <c r="AM23" s="99">
        <f t="shared" si="12"/>
        <v>0</v>
      </c>
      <c r="AN23" s="99">
        <f t="shared" si="13"/>
        <v>0</v>
      </c>
      <c r="AO23" s="99">
        <f t="shared" si="14"/>
        <v>0</v>
      </c>
      <c r="AP23" s="99">
        <f t="shared" si="15"/>
        <v>0</v>
      </c>
      <c r="AQ23" s="97"/>
      <c r="AR23" s="99">
        <f t="shared" si="16"/>
        <v>0.95009999999999994</v>
      </c>
      <c r="AS23" s="99">
        <f t="shared" si="17"/>
        <v>0.91849999999999998</v>
      </c>
      <c r="AT23" s="99">
        <f t="shared" si="18"/>
        <v>1.0492999999999999</v>
      </c>
      <c r="AU23" s="99">
        <f t="shared" si="19"/>
        <v>0.59930000000000005</v>
      </c>
      <c r="AV23" s="99">
        <f t="shared" si="20"/>
        <v>1.1266</v>
      </c>
      <c r="AW23" s="99">
        <f t="shared" si="21"/>
        <v>0.94189999999999996</v>
      </c>
      <c r="AX23" s="99">
        <f t="shared" si="22"/>
        <v>0</v>
      </c>
      <c r="AY23" s="99">
        <f t="shared" si="23"/>
        <v>0</v>
      </c>
      <c r="AZ23" s="99">
        <f t="shared" si="24"/>
        <v>0</v>
      </c>
      <c r="BA23" s="99">
        <f t="shared" si="25"/>
        <v>0</v>
      </c>
      <c r="BB23" s="99">
        <f t="shared" si="26"/>
        <v>0</v>
      </c>
      <c r="BC23" s="99">
        <f t="shared" si="27"/>
        <v>0</v>
      </c>
      <c r="BD23" s="97"/>
      <c r="BE23" s="1">
        <f>IFERROR(VLOOKUP(AR23,'Top WS'!$A$19:$B$28,2),0)</f>
        <v>200</v>
      </c>
      <c r="BF23" s="1">
        <f>IFERROR(VLOOKUP(AS23,'Top WS'!$A$19:$B$28,2),0)</f>
        <v>200</v>
      </c>
      <c r="BG23" s="1">
        <f>IFERROR(VLOOKUP(AT23,'Top WS'!$A$19:$B$28,2),0)</f>
        <v>216</v>
      </c>
      <c r="BH23" s="1">
        <f>IFERROR(VLOOKUP(AU23,'Top WS'!$A$19:$B$28,2),0)</f>
        <v>200</v>
      </c>
      <c r="BI23" s="1">
        <f>IFERROR(VLOOKUP(AV23,'Top WS'!$A$19:$B$28,2),0)</f>
        <v>230</v>
      </c>
      <c r="BJ23" s="1">
        <f>IFERROR(VLOOKUP(AW23,'Top WS'!$A$19:$B$28,2),0)</f>
        <v>200</v>
      </c>
      <c r="BK23" s="98">
        <f>IFERROR(VLOOKUP(AX23,'Top WS'!$A$19:$B$28,2),0)</f>
        <v>200</v>
      </c>
      <c r="BL23" s="98">
        <f>IFERROR(VLOOKUP(AY23,'Top WS'!$A$19:$B$28,2),0)</f>
        <v>200</v>
      </c>
      <c r="BM23" s="98">
        <f>IFERROR(VLOOKUP(AZ23,'Top WS'!$A$19:$B$28,2),0)</f>
        <v>200</v>
      </c>
      <c r="BN23" s="98">
        <f>IFERROR(VLOOKUP(BA23,'Top WS'!$A$19:$B$28,2),0)</f>
        <v>200</v>
      </c>
      <c r="BO23" s="98">
        <f>IFERROR(VLOOKUP(BB23,'Top WS'!$A$19:$B$28,2),0)</f>
        <v>200</v>
      </c>
      <c r="BP23" s="98">
        <f>IFERROR(VLOOKUP(BC23,'Top WS'!$A$19:$B$28,2),0)</f>
        <v>200</v>
      </c>
    </row>
    <row r="24" spans="1:68" x14ac:dyDescent="0.4">
      <c r="A24">
        <v>1190032701</v>
      </c>
      <c r="B24">
        <v>70330</v>
      </c>
      <c r="C24" t="s">
        <v>329</v>
      </c>
      <c r="D24" t="s">
        <v>239</v>
      </c>
      <c r="E24" s="1">
        <v>6178</v>
      </c>
      <c r="F24" s="1">
        <v>6521</v>
      </c>
      <c r="G24" s="1">
        <v>4665</v>
      </c>
      <c r="H24" s="1">
        <v>5274</v>
      </c>
      <c r="I24" s="1">
        <v>4130</v>
      </c>
      <c r="J24" s="1">
        <v>6498</v>
      </c>
      <c r="K24" s="1">
        <v>4725</v>
      </c>
      <c r="L24" s="1">
        <v>6842</v>
      </c>
      <c r="M24" s="1">
        <v>5606</v>
      </c>
      <c r="N24" s="1">
        <v>6109</v>
      </c>
      <c r="O24" s="1">
        <v>5595</v>
      </c>
      <c r="P24" s="1">
        <v>5503</v>
      </c>
      <c r="R24" s="1" cm="1">
        <f t="array" ref="R24:W24">IFERROR(_xlfn.XLOOKUP(A24,'Actual_Aji Plus'!A:A,'Actual_Aji Plus'!C:H),0)</f>
        <v>5130.7199999999984</v>
      </c>
      <c r="S24" s="1">
        <v>3245.7599999999993</v>
      </c>
      <c r="T24" s="1">
        <v>5201.2800000000007</v>
      </c>
      <c r="U24" s="1">
        <v>5433.119999999999</v>
      </c>
      <c r="V24" s="1">
        <v>4455.3599999999988</v>
      </c>
      <c r="W24" s="1">
        <v>5019.8399999999983</v>
      </c>
      <c r="X24" s="111"/>
      <c r="Y24" s="111"/>
      <c r="Z24" s="111"/>
      <c r="AA24" s="111"/>
      <c r="AB24" s="111"/>
      <c r="AC24" s="111"/>
      <c r="AD24" s="1"/>
      <c r="AE24" s="97">
        <f t="shared" si="4"/>
        <v>0.8304823567497569</v>
      </c>
      <c r="AF24" s="97">
        <f t="shared" si="5"/>
        <v>0.49773961048918869</v>
      </c>
      <c r="AG24" s="97">
        <f t="shared" si="6"/>
        <v>1.1149581993569133</v>
      </c>
      <c r="AH24" s="97">
        <f t="shared" si="7"/>
        <v>1.0301706484641637</v>
      </c>
      <c r="AI24" s="97">
        <f t="shared" si="8"/>
        <v>1.0787796610169489</v>
      </c>
      <c r="AJ24" s="97">
        <f t="shared" si="9"/>
        <v>0.77252077562326849</v>
      </c>
      <c r="AK24" s="99">
        <f t="shared" si="10"/>
        <v>0</v>
      </c>
      <c r="AL24" s="99">
        <f t="shared" si="11"/>
        <v>0</v>
      </c>
      <c r="AM24" s="99">
        <f t="shared" si="12"/>
        <v>0</v>
      </c>
      <c r="AN24" s="99">
        <f t="shared" si="13"/>
        <v>0</v>
      </c>
      <c r="AO24" s="99">
        <f t="shared" si="14"/>
        <v>0</v>
      </c>
      <c r="AP24" s="99">
        <f t="shared" si="15"/>
        <v>0</v>
      </c>
      <c r="AQ24" s="97"/>
      <c r="AR24" s="99">
        <f t="shared" si="16"/>
        <v>0.83050000000000002</v>
      </c>
      <c r="AS24" s="99">
        <f t="shared" si="17"/>
        <v>0.49769999999999998</v>
      </c>
      <c r="AT24" s="99">
        <f t="shared" si="18"/>
        <v>1.115</v>
      </c>
      <c r="AU24" s="99">
        <f t="shared" si="19"/>
        <v>1.0302</v>
      </c>
      <c r="AV24" s="99">
        <f t="shared" si="20"/>
        <v>1.0788</v>
      </c>
      <c r="AW24" s="99">
        <f t="shared" si="21"/>
        <v>0.77249999999999996</v>
      </c>
      <c r="AX24" s="99">
        <f t="shared" si="22"/>
        <v>0</v>
      </c>
      <c r="AY24" s="99">
        <f t="shared" si="23"/>
        <v>0</v>
      </c>
      <c r="AZ24" s="99">
        <f t="shared" si="24"/>
        <v>0</v>
      </c>
      <c r="BA24" s="99">
        <f t="shared" si="25"/>
        <v>0</v>
      </c>
      <c r="BB24" s="99">
        <f t="shared" si="26"/>
        <v>0</v>
      </c>
      <c r="BC24" s="99">
        <f t="shared" si="27"/>
        <v>0</v>
      </c>
      <c r="BD24" s="97"/>
      <c r="BE24" s="1">
        <f>IFERROR(VLOOKUP(AR24,'Top WS'!$A$19:$B$28,2),0)</f>
        <v>200</v>
      </c>
      <c r="BF24" s="1">
        <f>IFERROR(VLOOKUP(AS24,'Top WS'!$A$19:$B$28,2),0)</f>
        <v>200</v>
      </c>
      <c r="BG24" s="1">
        <f>IFERROR(VLOOKUP(AT24,'Top WS'!$A$19:$B$28,2),0)</f>
        <v>230</v>
      </c>
      <c r="BH24" s="1">
        <f>IFERROR(VLOOKUP(AU24,'Top WS'!$A$19:$B$28,2),0)</f>
        <v>216</v>
      </c>
      <c r="BI24" s="1">
        <f>IFERROR(VLOOKUP(AV24,'Top WS'!$A$19:$B$28,2),0)</f>
        <v>220</v>
      </c>
      <c r="BJ24" s="1">
        <f>IFERROR(VLOOKUP(AW24,'Top WS'!$A$19:$B$28,2),0)</f>
        <v>200</v>
      </c>
      <c r="BK24" s="98">
        <f>IFERROR(VLOOKUP(AX24,'Top WS'!$A$19:$B$28,2),0)</f>
        <v>200</v>
      </c>
      <c r="BL24" s="98">
        <f>IFERROR(VLOOKUP(AY24,'Top WS'!$A$19:$B$28,2),0)</f>
        <v>200</v>
      </c>
      <c r="BM24" s="98">
        <f>IFERROR(VLOOKUP(AZ24,'Top WS'!$A$19:$B$28,2),0)</f>
        <v>200</v>
      </c>
      <c r="BN24" s="98">
        <f>IFERROR(VLOOKUP(BA24,'Top WS'!$A$19:$B$28,2),0)</f>
        <v>200</v>
      </c>
      <c r="BO24" s="98">
        <f>IFERROR(VLOOKUP(BB24,'Top WS'!$A$19:$B$28,2),0)</f>
        <v>200</v>
      </c>
      <c r="BP24" s="98">
        <f>IFERROR(VLOOKUP(BC24,'Top WS'!$A$19:$B$28,2),0)</f>
        <v>200</v>
      </c>
    </row>
    <row r="25" spans="1:68" x14ac:dyDescent="0.4">
      <c r="A25">
        <v>1190032801</v>
      </c>
      <c r="B25">
        <v>71360</v>
      </c>
      <c r="C25" t="s">
        <v>330</v>
      </c>
      <c r="D25" t="s">
        <v>331</v>
      </c>
      <c r="E25" s="1">
        <v>3410.3224260000006</v>
      </c>
      <c r="F25" s="1">
        <v>6267.1273139999994</v>
      </c>
      <c r="G25" s="1">
        <v>5601.1223660000005</v>
      </c>
      <c r="H25" s="1">
        <v>3588.9776020000008</v>
      </c>
      <c r="I25" s="1">
        <v>2610</v>
      </c>
      <c r="J25" s="1">
        <v>4347.599760000001</v>
      </c>
      <c r="K25" s="1">
        <v>3328.7883720000013</v>
      </c>
      <c r="L25" s="1">
        <v>4332.5646419999994</v>
      </c>
      <c r="M25" s="1">
        <v>4379.3920800000014</v>
      </c>
      <c r="N25" s="1">
        <v>4727.1868140000015</v>
      </c>
      <c r="O25" s="1">
        <v>3190.0943760000009</v>
      </c>
      <c r="P25" s="1">
        <v>4546.8316320000004</v>
      </c>
      <c r="R25" s="1" cm="1">
        <f t="array" ref="R25:W25">IFERROR(_xlfn.XLOOKUP(A25,'Actual_Aji Plus'!A:A,'Actual_Aji Plus'!C:H),0)</f>
        <v>3469.0800000000013</v>
      </c>
      <c r="S25" s="1">
        <v>4433.9399999999996</v>
      </c>
      <c r="T25" s="1">
        <v>4046.4600000000005</v>
      </c>
      <c r="U25" s="1">
        <v>4325.16</v>
      </c>
      <c r="V25" s="1">
        <v>3069.1800000000007</v>
      </c>
      <c r="W25" s="1">
        <v>3514.0800000000004</v>
      </c>
      <c r="X25" s="111"/>
      <c r="Y25" s="111"/>
      <c r="Z25" s="111"/>
      <c r="AA25" s="111"/>
      <c r="AB25" s="111"/>
      <c r="AC25" s="111"/>
      <c r="AD25" s="1"/>
      <c r="AE25" s="97">
        <f t="shared" si="4"/>
        <v>1.017229331031001</v>
      </c>
      <c r="AF25" s="97">
        <f t="shared" si="5"/>
        <v>0.70749161104404523</v>
      </c>
      <c r="AG25" s="97">
        <f t="shared" si="6"/>
        <v>0.72243735015733102</v>
      </c>
      <c r="AH25" s="97">
        <f t="shared" si="7"/>
        <v>1.2051231519499459</v>
      </c>
      <c r="AI25" s="97">
        <f t="shared" si="8"/>
        <v>1.1759310344827589</v>
      </c>
      <c r="AJ25" s="97">
        <f t="shared" si="9"/>
        <v>0.80828047520179258</v>
      </c>
      <c r="AK25" s="99">
        <f t="shared" si="10"/>
        <v>0</v>
      </c>
      <c r="AL25" s="99">
        <f t="shared" si="11"/>
        <v>0</v>
      </c>
      <c r="AM25" s="99">
        <f t="shared" si="12"/>
        <v>0</v>
      </c>
      <c r="AN25" s="99">
        <f t="shared" si="13"/>
        <v>0</v>
      </c>
      <c r="AO25" s="99">
        <f t="shared" si="14"/>
        <v>0</v>
      </c>
      <c r="AP25" s="99">
        <f t="shared" si="15"/>
        <v>0</v>
      </c>
      <c r="AQ25" s="97"/>
      <c r="AR25" s="99">
        <f t="shared" si="16"/>
        <v>1.0172000000000001</v>
      </c>
      <c r="AS25" s="99">
        <f t="shared" si="17"/>
        <v>0.70750000000000002</v>
      </c>
      <c r="AT25" s="99">
        <f t="shared" si="18"/>
        <v>0.72240000000000004</v>
      </c>
      <c r="AU25" s="99">
        <f t="shared" si="19"/>
        <v>1.2051000000000001</v>
      </c>
      <c r="AV25" s="99">
        <f t="shared" si="20"/>
        <v>1.1758999999999999</v>
      </c>
      <c r="AW25" s="99">
        <f t="shared" si="21"/>
        <v>0.80830000000000002</v>
      </c>
      <c r="AX25" s="99">
        <f t="shared" si="22"/>
        <v>0</v>
      </c>
      <c r="AY25" s="99">
        <f t="shared" si="23"/>
        <v>0</v>
      </c>
      <c r="AZ25" s="99">
        <f t="shared" si="24"/>
        <v>0</v>
      </c>
      <c r="BA25" s="99">
        <f t="shared" si="25"/>
        <v>0</v>
      </c>
      <c r="BB25" s="99">
        <f t="shared" si="26"/>
        <v>0</v>
      </c>
      <c r="BC25" s="99">
        <f t="shared" si="27"/>
        <v>0</v>
      </c>
      <c r="BD25" s="97"/>
      <c r="BE25" s="1">
        <f>IFERROR(VLOOKUP(AR25,'Top WS'!$A$19:$B$28,2),0)</f>
        <v>206</v>
      </c>
      <c r="BF25" s="1">
        <f>IFERROR(VLOOKUP(AS25,'Top WS'!$A$19:$B$28,2),0)</f>
        <v>200</v>
      </c>
      <c r="BG25" s="1">
        <f>IFERROR(VLOOKUP(AT25,'Top WS'!$A$19:$B$28,2),0)</f>
        <v>200</v>
      </c>
      <c r="BH25" s="1">
        <f>IFERROR(VLOOKUP(AU25,'Top WS'!$A$19:$B$28,2),0)</f>
        <v>260</v>
      </c>
      <c r="BI25" s="1">
        <f>IFERROR(VLOOKUP(AV25,'Top WS'!$A$19:$B$28,2),0)</f>
        <v>240</v>
      </c>
      <c r="BJ25" s="1">
        <f>IFERROR(VLOOKUP(AW25,'Top WS'!$A$19:$B$28,2),0)</f>
        <v>200</v>
      </c>
      <c r="BK25" s="98">
        <f>IFERROR(VLOOKUP(AX25,'Top WS'!$A$19:$B$28,2),0)</f>
        <v>200</v>
      </c>
      <c r="BL25" s="98">
        <f>IFERROR(VLOOKUP(AY25,'Top WS'!$A$19:$B$28,2),0)</f>
        <v>200</v>
      </c>
      <c r="BM25" s="98">
        <f>IFERROR(VLOOKUP(AZ25,'Top WS'!$A$19:$B$28,2),0)</f>
        <v>200</v>
      </c>
      <c r="BN25" s="98">
        <f>IFERROR(VLOOKUP(BA25,'Top WS'!$A$19:$B$28,2),0)</f>
        <v>200</v>
      </c>
      <c r="BO25" s="98">
        <f>IFERROR(VLOOKUP(BB25,'Top WS'!$A$19:$B$28,2),0)</f>
        <v>200</v>
      </c>
      <c r="BP25" s="98">
        <f>IFERROR(VLOOKUP(BC25,'Top WS'!$A$19:$B$28,2),0)</f>
        <v>200</v>
      </c>
    </row>
    <row r="26" spans="1:68" x14ac:dyDescent="0.4">
      <c r="A26">
        <v>1190032901</v>
      </c>
      <c r="B26">
        <v>70259</v>
      </c>
      <c r="C26" t="s">
        <v>332</v>
      </c>
      <c r="D26" t="s">
        <v>234</v>
      </c>
      <c r="E26" s="1">
        <v>2753.4506776599001</v>
      </c>
      <c r="F26" s="1">
        <v>3060.4055681959871</v>
      </c>
      <c r="G26" s="1">
        <v>3400.5377107304457</v>
      </c>
      <c r="H26" s="1">
        <v>3315.3087464432983</v>
      </c>
      <c r="I26" s="1">
        <v>2169.6485996807282</v>
      </c>
      <c r="J26" s="1">
        <v>4409.1131095706232</v>
      </c>
      <c r="K26" s="1">
        <v>2675.5363831046748</v>
      </c>
      <c r="L26" s="1">
        <v>3290.1427993894176</v>
      </c>
      <c r="M26" s="1">
        <v>2327.8283326335813</v>
      </c>
      <c r="N26" s="1">
        <v>3800.8852594509208</v>
      </c>
      <c r="O26" s="1">
        <v>3221.5024611014537</v>
      </c>
      <c r="P26" s="1">
        <v>2405.8297065903762</v>
      </c>
      <c r="R26" s="1" cm="1">
        <f t="array" ref="R26:W26">IFERROR(_xlfn.XLOOKUP(A26,'Actual_Aji Plus'!A:A,'Actual_Aji Plus'!C:H),0)</f>
        <v>1215.9000000000001</v>
      </c>
      <c r="S26" s="1">
        <v>2899.9799999999991</v>
      </c>
      <c r="T26" s="1">
        <v>2392.920000000001</v>
      </c>
      <c r="U26" s="1">
        <v>2680.0800000000004</v>
      </c>
      <c r="V26" s="1">
        <v>3277.3799999999992</v>
      </c>
      <c r="W26" s="1">
        <v>2353.0800000000008</v>
      </c>
      <c r="X26" s="111"/>
      <c r="Y26" s="111"/>
      <c r="Z26" s="111"/>
      <c r="AA26" s="111"/>
      <c r="AB26" s="111"/>
      <c r="AC26" s="111"/>
      <c r="AD26" s="1"/>
      <c r="AE26" s="97">
        <f t="shared" si="4"/>
        <v>0.4415913493076869</v>
      </c>
      <c r="AF26" s="97">
        <f t="shared" si="5"/>
        <v>0.94758029136296673</v>
      </c>
      <c r="AG26" s="97">
        <f t="shared" si="6"/>
        <v>0.7036887114791015</v>
      </c>
      <c r="AH26" s="97">
        <f t="shared" si="7"/>
        <v>0.80839529738375693</v>
      </c>
      <c r="AI26" s="97">
        <f t="shared" si="8"/>
        <v>1.5105579772145028</v>
      </c>
      <c r="AJ26" s="97">
        <f t="shared" si="9"/>
        <v>0.53368556023030966</v>
      </c>
      <c r="AK26" s="99">
        <f t="shared" si="10"/>
        <v>0</v>
      </c>
      <c r="AL26" s="99">
        <f t="shared" si="11"/>
        <v>0</v>
      </c>
      <c r="AM26" s="99">
        <f t="shared" si="12"/>
        <v>0</v>
      </c>
      <c r="AN26" s="99">
        <f t="shared" si="13"/>
        <v>0</v>
      </c>
      <c r="AO26" s="99">
        <f t="shared" si="14"/>
        <v>0</v>
      </c>
      <c r="AP26" s="99">
        <f t="shared" si="15"/>
        <v>0</v>
      </c>
      <c r="AQ26" s="97"/>
      <c r="AR26" s="99">
        <f t="shared" si="16"/>
        <v>0.44159999999999999</v>
      </c>
      <c r="AS26" s="99">
        <f t="shared" si="17"/>
        <v>0.9476</v>
      </c>
      <c r="AT26" s="99">
        <f t="shared" si="18"/>
        <v>0.70369999999999999</v>
      </c>
      <c r="AU26" s="99">
        <f t="shared" si="19"/>
        <v>0.80840000000000001</v>
      </c>
      <c r="AV26" s="99">
        <f t="shared" si="20"/>
        <v>1.5105999999999999</v>
      </c>
      <c r="AW26" s="99">
        <f t="shared" si="21"/>
        <v>0.53369999999999995</v>
      </c>
      <c r="AX26" s="99">
        <f t="shared" si="22"/>
        <v>0</v>
      </c>
      <c r="AY26" s="99">
        <f t="shared" si="23"/>
        <v>0</v>
      </c>
      <c r="AZ26" s="99">
        <f t="shared" si="24"/>
        <v>0</v>
      </c>
      <c r="BA26" s="99">
        <f t="shared" si="25"/>
        <v>0</v>
      </c>
      <c r="BB26" s="99">
        <f t="shared" si="26"/>
        <v>0</v>
      </c>
      <c r="BC26" s="99">
        <f t="shared" si="27"/>
        <v>0</v>
      </c>
      <c r="BD26" s="97"/>
      <c r="BE26" s="1">
        <f>IFERROR(VLOOKUP(AR26,'Top WS'!$A$19:$B$28,2),0)</f>
        <v>200</v>
      </c>
      <c r="BF26" s="1">
        <f>IFERROR(VLOOKUP(AS26,'Top WS'!$A$19:$B$28,2),0)</f>
        <v>200</v>
      </c>
      <c r="BG26" s="1">
        <f>IFERROR(VLOOKUP(AT26,'Top WS'!$A$19:$B$28,2),0)</f>
        <v>200</v>
      </c>
      <c r="BH26" s="1">
        <f>IFERROR(VLOOKUP(AU26,'Top WS'!$A$19:$B$28,2),0)</f>
        <v>200</v>
      </c>
      <c r="BI26" s="1">
        <f>IFERROR(VLOOKUP(AV26,'Top WS'!$A$19:$B$28,2),0)</f>
        <v>260</v>
      </c>
      <c r="BJ26" s="1">
        <f>IFERROR(VLOOKUP(AW26,'Top WS'!$A$19:$B$28,2),0)</f>
        <v>200</v>
      </c>
      <c r="BK26" s="98">
        <f>IFERROR(VLOOKUP(AX26,'Top WS'!$A$19:$B$28,2),0)</f>
        <v>200</v>
      </c>
      <c r="BL26" s="98">
        <f>IFERROR(VLOOKUP(AY26,'Top WS'!$A$19:$B$28,2),0)</f>
        <v>200</v>
      </c>
      <c r="BM26" s="98">
        <f>IFERROR(VLOOKUP(AZ26,'Top WS'!$A$19:$B$28,2),0)</f>
        <v>200</v>
      </c>
      <c r="BN26" s="98">
        <f>IFERROR(VLOOKUP(BA26,'Top WS'!$A$19:$B$28,2),0)</f>
        <v>200</v>
      </c>
      <c r="BO26" s="98">
        <f>IFERROR(VLOOKUP(BB26,'Top WS'!$A$19:$B$28,2),0)</f>
        <v>200</v>
      </c>
      <c r="BP26" s="98">
        <f>IFERROR(VLOOKUP(BC26,'Top WS'!$A$19:$B$28,2),0)</f>
        <v>200</v>
      </c>
    </row>
    <row r="27" spans="1:68" x14ac:dyDescent="0.4">
      <c r="A27">
        <v>1190032902</v>
      </c>
      <c r="B27">
        <v>71996</v>
      </c>
      <c r="C27" t="s">
        <v>333</v>
      </c>
      <c r="D27" t="s">
        <v>234</v>
      </c>
      <c r="E27" s="1">
        <v>5785.7162914463152</v>
      </c>
      <c r="F27" s="1">
        <v>6430.7083827602974</v>
      </c>
      <c r="G27" s="1">
        <v>7145.4145128801374</v>
      </c>
      <c r="H27" s="1">
        <v>6966.3262832706168</v>
      </c>
      <c r="I27" s="1">
        <v>4558.9962267110523</v>
      </c>
      <c r="J27" s="1">
        <v>9264.6938461060745</v>
      </c>
      <c r="K27" s="1">
        <v>5621.9980861404447</v>
      </c>
      <c r="L27" s="1">
        <v>6913.446080606861</v>
      </c>
      <c r="M27" s="1">
        <v>4891.3730022775371</v>
      </c>
      <c r="N27" s="1">
        <v>7986.6488787854023</v>
      </c>
      <c r="O27" s="1">
        <v>6769.2148704002648</v>
      </c>
      <c r="P27" s="1">
        <v>5055.2741840632116</v>
      </c>
      <c r="R27" s="1" cm="1">
        <f t="array" ref="R27:W27">IFERROR(_xlfn.XLOOKUP(A27,'Actual_Aji Plus'!A:A,'Actual_Aji Plus'!C:H),0)</f>
        <v>4472.46</v>
      </c>
      <c r="S27" s="1">
        <v>6888.8399999999983</v>
      </c>
      <c r="T27" s="1">
        <v>7100.7599999999993</v>
      </c>
      <c r="U27" s="1">
        <v>6750.0599999999977</v>
      </c>
      <c r="V27" s="1">
        <v>7229.2199999999984</v>
      </c>
      <c r="W27" s="1">
        <v>4386.8999999999987</v>
      </c>
      <c r="X27" s="111"/>
      <c r="Y27" s="111"/>
      <c r="Z27" s="111"/>
      <c r="AA27" s="111"/>
      <c r="AB27" s="111"/>
      <c r="AC27" s="111"/>
      <c r="AD27" s="1"/>
      <c r="AE27" s="97">
        <f t="shared" si="4"/>
        <v>0.7730175097960037</v>
      </c>
      <c r="AF27" s="97">
        <f t="shared" si="5"/>
        <v>1.0712412365747883</v>
      </c>
      <c r="AG27" s="97">
        <f t="shared" si="6"/>
        <v>0.99375060567869855</v>
      </c>
      <c r="AH27" s="97">
        <f t="shared" si="7"/>
        <v>0.96895547603189724</v>
      </c>
      <c r="AI27" s="97">
        <f t="shared" si="8"/>
        <v>1.585704317464482</v>
      </c>
      <c r="AJ27" s="97">
        <f t="shared" si="9"/>
        <v>0.47350728182386737</v>
      </c>
      <c r="AK27" s="99">
        <f t="shared" si="10"/>
        <v>0</v>
      </c>
      <c r="AL27" s="99">
        <f t="shared" si="11"/>
        <v>0</v>
      </c>
      <c r="AM27" s="99">
        <f t="shared" si="12"/>
        <v>0</v>
      </c>
      <c r="AN27" s="99">
        <f t="shared" si="13"/>
        <v>0</v>
      </c>
      <c r="AO27" s="99">
        <f t="shared" si="14"/>
        <v>0</v>
      </c>
      <c r="AP27" s="99">
        <f t="shared" si="15"/>
        <v>0</v>
      </c>
      <c r="AQ27" s="97"/>
      <c r="AR27" s="99">
        <f t="shared" si="16"/>
        <v>0.77300000000000002</v>
      </c>
      <c r="AS27" s="99">
        <f t="shared" si="17"/>
        <v>1.0711999999999999</v>
      </c>
      <c r="AT27" s="99">
        <f t="shared" si="18"/>
        <v>0.99380000000000002</v>
      </c>
      <c r="AU27" s="99">
        <f t="shared" si="19"/>
        <v>0.96899999999999997</v>
      </c>
      <c r="AV27" s="99">
        <f t="shared" si="20"/>
        <v>1.5857000000000001</v>
      </c>
      <c r="AW27" s="99">
        <f t="shared" si="21"/>
        <v>0.47349999999999998</v>
      </c>
      <c r="AX27" s="99">
        <f t="shared" si="22"/>
        <v>0</v>
      </c>
      <c r="AY27" s="99">
        <f t="shared" si="23"/>
        <v>0</v>
      </c>
      <c r="AZ27" s="99">
        <f t="shared" si="24"/>
        <v>0</v>
      </c>
      <c r="BA27" s="99">
        <f t="shared" si="25"/>
        <v>0</v>
      </c>
      <c r="BB27" s="99">
        <f t="shared" si="26"/>
        <v>0</v>
      </c>
      <c r="BC27" s="99">
        <f t="shared" si="27"/>
        <v>0</v>
      </c>
      <c r="BD27" s="97"/>
      <c r="BE27" s="1">
        <f>IFERROR(VLOOKUP(AR27,'Top WS'!$A$19:$B$28,2),0)</f>
        <v>200</v>
      </c>
      <c r="BF27" s="1">
        <f>IFERROR(VLOOKUP(AS27,'Top WS'!$A$19:$B$28,2),0)</f>
        <v>220</v>
      </c>
      <c r="BG27" s="1">
        <f>IFERROR(VLOOKUP(AT27,'Top WS'!$A$19:$B$28,2),0)</f>
        <v>200</v>
      </c>
      <c r="BH27" s="1">
        <f>IFERROR(VLOOKUP(AU27,'Top WS'!$A$19:$B$28,2),0)</f>
        <v>200</v>
      </c>
      <c r="BI27" s="1">
        <f>IFERROR(VLOOKUP(AV27,'Top WS'!$A$19:$B$28,2),0)</f>
        <v>260</v>
      </c>
      <c r="BJ27" s="1">
        <f>IFERROR(VLOOKUP(AW27,'Top WS'!$A$19:$B$28,2),0)</f>
        <v>200</v>
      </c>
      <c r="BK27" s="98">
        <f>IFERROR(VLOOKUP(AX27,'Top WS'!$A$19:$B$28,2),0)</f>
        <v>200</v>
      </c>
      <c r="BL27" s="98">
        <f>IFERROR(VLOOKUP(AY27,'Top WS'!$A$19:$B$28,2),0)</f>
        <v>200</v>
      </c>
      <c r="BM27" s="98">
        <f>IFERROR(VLOOKUP(AZ27,'Top WS'!$A$19:$B$28,2),0)</f>
        <v>200</v>
      </c>
      <c r="BN27" s="98">
        <f>IFERROR(VLOOKUP(BA27,'Top WS'!$A$19:$B$28,2),0)</f>
        <v>200</v>
      </c>
      <c r="BO27" s="98">
        <f>IFERROR(VLOOKUP(BB27,'Top WS'!$A$19:$B$28,2),0)</f>
        <v>200</v>
      </c>
      <c r="BP27" s="98">
        <f>IFERROR(VLOOKUP(BC27,'Top WS'!$A$19:$B$28,2),0)</f>
        <v>200</v>
      </c>
    </row>
    <row r="28" spans="1:68" x14ac:dyDescent="0.4">
      <c r="A28">
        <v>1190033001</v>
      </c>
      <c r="B28">
        <v>75518</v>
      </c>
      <c r="C28" t="s">
        <v>334</v>
      </c>
      <c r="D28" t="s">
        <v>335</v>
      </c>
      <c r="E28" s="1">
        <v>1776.9401721351535</v>
      </c>
      <c r="F28" s="1">
        <v>1714.1473904728889</v>
      </c>
      <c r="G28" s="1">
        <v>1830.031064785223</v>
      </c>
      <c r="H28" s="1">
        <v>2914.0946632994214</v>
      </c>
      <c r="I28" s="1">
        <v>3091.0806386128043</v>
      </c>
      <c r="J28" s="1">
        <v>2497.1339332525686</v>
      </c>
      <c r="K28" s="1">
        <v>1664.8539543806241</v>
      </c>
      <c r="L28" s="1">
        <v>2624.5733087031658</v>
      </c>
      <c r="M28" s="1">
        <v>2362.3609750301266</v>
      </c>
      <c r="N28" s="1">
        <v>2490.1515131301558</v>
      </c>
      <c r="O28" s="1">
        <v>1962.060054398155</v>
      </c>
      <c r="P28" s="1">
        <v>2462.2953317996848</v>
      </c>
      <c r="R28" s="1" cm="1">
        <f t="array" ref="R28:W28">IFERROR(_xlfn.XLOOKUP(A28,'Actual_Aji Plus'!A:A,'Actual_Aji Plus'!C:H),0)</f>
        <v>2589.7600000000002</v>
      </c>
      <c r="S28" s="1">
        <v>1895.04</v>
      </c>
      <c r="T28" s="1">
        <v>2367.2000000000003</v>
      </c>
      <c r="U28" s="1">
        <v>2812.32</v>
      </c>
      <c r="V28" s="1">
        <v>2548.6400000000008</v>
      </c>
      <c r="W28" s="1">
        <v>1925.2800000000004</v>
      </c>
      <c r="X28" s="111"/>
      <c r="Y28" s="111"/>
      <c r="Z28" s="111"/>
      <c r="AA28" s="111"/>
      <c r="AB28" s="111"/>
      <c r="AC28" s="111"/>
      <c r="AD28" s="1"/>
      <c r="AE28" s="97">
        <f t="shared" si="4"/>
        <v>1.4574266712019746</v>
      </c>
      <c r="AF28" s="97">
        <f t="shared" si="5"/>
        <v>1.105529203925228</v>
      </c>
      <c r="AG28" s="97">
        <f t="shared" si="6"/>
        <v>1.2935299545190075</v>
      </c>
      <c r="AH28" s="97">
        <f t="shared" si="7"/>
        <v>0.96507503185082222</v>
      </c>
      <c r="AI28" s="97">
        <f t="shared" si="8"/>
        <v>0.8245142388597676</v>
      </c>
      <c r="AJ28" s="97">
        <f t="shared" si="9"/>
        <v>0.77099589027340776</v>
      </c>
      <c r="AK28" s="99">
        <f t="shared" si="10"/>
        <v>0</v>
      </c>
      <c r="AL28" s="99">
        <f t="shared" si="11"/>
        <v>0</v>
      </c>
      <c r="AM28" s="99">
        <f t="shared" si="12"/>
        <v>0</v>
      </c>
      <c r="AN28" s="99">
        <f t="shared" si="13"/>
        <v>0</v>
      </c>
      <c r="AO28" s="99">
        <f t="shared" si="14"/>
        <v>0</v>
      </c>
      <c r="AP28" s="99">
        <f t="shared" si="15"/>
        <v>0</v>
      </c>
      <c r="AQ28" s="97"/>
      <c r="AR28" s="99">
        <f t="shared" si="16"/>
        <v>1.4574</v>
      </c>
      <c r="AS28" s="99">
        <f t="shared" si="17"/>
        <v>1.1054999999999999</v>
      </c>
      <c r="AT28" s="99">
        <f t="shared" si="18"/>
        <v>1.2935000000000001</v>
      </c>
      <c r="AU28" s="99">
        <f t="shared" si="19"/>
        <v>0.96509999999999996</v>
      </c>
      <c r="AV28" s="99">
        <f t="shared" si="20"/>
        <v>0.82450000000000001</v>
      </c>
      <c r="AW28" s="99">
        <f t="shared" si="21"/>
        <v>0.77100000000000002</v>
      </c>
      <c r="AX28" s="99">
        <f t="shared" si="22"/>
        <v>0</v>
      </c>
      <c r="AY28" s="99">
        <f t="shared" si="23"/>
        <v>0</v>
      </c>
      <c r="AZ28" s="99">
        <f t="shared" si="24"/>
        <v>0</v>
      </c>
      <c r="BA28" s="99">
        <f t="shared" si="25"/>
        <v>0</v>
      </c>
      <c r="BB28" s="99">
        <f t="shared" si="26"/>
        <v>0</v>
      </c>
      <c r="BC28" s="99">
        <f t="shared" si="27"/>
        <v>0</v>
      </c>
      <c r="BD28" s="97"/>
      <c r="BE28" s="1">
        <f>IFERROR(VLOOKUP(AR28,'Top WS'!$A$19:$B$28,2),0)</f>
        <v>260</v>
      </c>
      <c r="BF28" s="1">
        <f>IFERROR(VLOOKUP(AS28,'Top WS'!$A$19:$B$28,2),0)</f>
        <v>230</v>
      </c>
      <c r="BG28" s="1">
        <f>IFERROR(VLOOKUP(AT28,'Top WS'!$A$19:$B$28,2),0)</f>
        <v>260</v>
      </c>
      <c r="BH28" s="1">
        <f>IFERROR(VLOOKUP(AU28,'Top WS'!$A$19:$B$28,2),0)</f>
        <v>200</v>
      </c>
      <c r="BI28" s="1">
        <f>IFERROR(VLOOKUP(AV28,'Top WS'!$A$19:$B$28,2),0)</f>
        <v>200</v>
      </c>
      <c r="BJ28" s="1">
        <f>IFERROR(VLOOKUP(AW28,'Top WS'!$A$19:$B$28,2),0)</f>
        <v>200</v>
      </c>
      <c r="BK28" s="98">
        <f>IFERROR(VLOOKUP(AX28,'Top WS'!$A$19:$B$28,2),0)</f>
        <v>200</v>
      </c>
      <c r="BL28" s="98">
        <f>IFERROR(VLOOKUP(AY28,'Top WS'!$A$19:$B$28,2),0)</f>
        <v>200</v>
      </c>
      <c r="BM28" s="98">
        <f>IFERROR(VLOOKUP(AZ28,'Top WS'!$A$19:$B$28,2),0)</f>
        <v>200</v>
      </c>
      <c r="BN28" s="98">
        <f>IFERROR(VLOOKUP(BA28,'Top WS'!$A$19:$B$28,2),0)</f>
        <v>200</v>
      </c>
      <c r="BO28" s="98">
        <f>IFERROR(VLOOKUP(BB28,'Top WS'!$A$19:$B$28,2),0)</f>
        <v>200</v>
      </c>
      <c r="BP28" s="98">
        <f>IFERROR(VLOOKUP(BC28,'Top WS'!$A$19:$B$28,2),0)</f>
        <v>200</v>
      </c>
    </row>
    <row r="29" spans="1:68" x14ac:dyDescent="0.4">
      <c r="A29">
        <v>1190033002</v>
      </c>
      <c r="B29">
        <v>27905</v>
      </c>
      <c r="C29" t="s">
        <v>336</v>
      </c>
      <c r="D29" t="s">
        <v>335</v>
      </c>
      <c r="E29" s="1">
        <v>2990.809149397322</v>
      </c>
      <c r="F29" s="1">
        <v>2885.1211645925496</v>
      </c>
      <c r="G29" s="1">
        <v>3080.1676601550048</v>
      </c>
      <c r="H29" s="1">
        <v>4904.7802046893676</v>
      </c>
      <c r="I29" s="1">
        <v>5202.6693979120264</v>
      </c>
      <c r="J29" s="1">
        <v>4202.9839450746886</v>
      </c>
      <c r="K29" s="1">
        <v>2802.1542408987539</v>
      </c>
      <c r="L29" s="1">
        <v>4417.4801087992919</v>
      </c>
      <c r="M29" s="1">
        <v>3976.1444583750967</v>
      </c>
      <c r="N29" s="1">
        <v>4191.2316720862536</v>
      </c>
      <c r="O29" s="1">
        <v>3302.3887097503693</v>
      </c>
      <c r="P29" s="1">
        <v>4144.3462882692302</v>
      </c>
      <c r="R29" s="1" cm="1">
        <f t="array" ref="R29:W29">IFERROR(_xlfn.XLOOKUP(A29,'Actual_Aji Plus'!A:A,'Actual_Aji Plus'!C:H),0)</f>
        <v>3189.96</v>
      </c>
      <c r="S29" s="1">
        <v>2945.7000000000003</v>
      </c>
      <c r="T29" s="1">
        <v>2302.92</v>
      </c>
      <c r="U29" s="1">
        <v>3736.8600000000006</v>
      </c>
      <c r="V29" s="1">
        <v>4316.34</v>
      </c>
      <c r="W29" s="1">
        <v>2978.0400000000009</v>
      </c>
      <c r="X29" s="111"/>
      <c r="Y29" s="111"/>
      <c r="Z29" s="111"/>
      <c r="AA29" s="111"/>
      <c r="AB29" s="111"/>
      <c r="AC29" s="111"/>
      <c r="AD29" s="1"/>
      <c r="AE29" s="97">
        <f t="shared" si="4"/>
        <v>1.066587615810527</v>
      </c>
      <c r="AF29" s="97">
        <f t="shared" si="5"/>
        <v>1.0209969813922897</v>
      </c>
      <c r="AG29" s="97">
        <f t="shared" si="6"/>
        <v>0.74766059971037713</v>
      </c>
      <c r="AH29" s="97">
        <f t="shared" si="7"/>
        <v>0.76188123505050431</v>
      </c>
      <c r="AI29" s="97">
        <f t="shared" si="8"/>
        <v>0.82963949270585313</v>
      </c>
      <c r="AJ29" s="97">
        <f t="shared" si="9"/>
        <v>0.70855374156017148</v>
      </c>
      <c r="AK29" s="99">
        <f t="shared" si="10"/>
        <v>0</v>
      </c>
      <c r="AL29" s="99">
        <f t="shared" si="11"/>
        <v>0</v>
      </c>
      <c r="AM29" s="99">
        <f t="shared" si="12"/>
        <v>0</v>
      </c>
      <c r="AN29" s="99">
        <f t="shared" si="13"/>
        <v>0</v>
      </c>
      <c r="AO29" s="99">
        <f t="shared" si="14"/>
        <v>0</v>
      </c>
      <c r="AP29" s="99">
        <f t="shared" si="15"/>
        <v>0</v>
      </c>
      <c r="AQ29" s="97"/>
      <c r="AR29" s="99">
        <f t="shared" si="16"/>
        <v>1.0666</v>
      </c>
      <c r="AS29" s="99">
        <f t="shared" si="17"/>
        <v>1.0209999999999999</v>
      </c>
      <c r="AT29" s="99">
        <f t="shared" si="18"/>
        <v>0.74770000000000003</v>
      </c>
      <c r="AU29" s="99">
        <f t="shared" si="19"/>
        <v>0.76190000000000002</v>
      </c>
      <c r="AV29" s="99">
        <f t="shared" si="20"/>
        <v>0.8296</v>
      </c>
      <c r="AW29" s="99">
        <f t="shared" si="21"/>
        <v>0.70860000000000001</v>
      </c>
      <c r="AX29" s="99">
        <f t="shared" si="22"/>
        <v>0</v>
      </c>
      <c r="AY29" s="99">
        <f t="shared" si="23"/>
        <v>0</v>
      </c>
      <c r="AZ29" s="99">
        <f t="shared" si="24"/>
        <v>0</v>
      </c>
      <c r="BA29" s="99">
        <f t="shared" si="25"/>
        <v>0</v>
      </c>
      <c r="BB29" s="99">
        <f t="shared" si="26"/>
        <v>0</v>
      </c>
      <c r="BC29" s="99">
        <f t="shared" si="27"/>
        <v>0</v>
      </c>
      <c r="BD29" s="97"/>
      <c r="BE29" s="1">
        <f>IFERROR(VLOOKUP(AR29,'Top WS'!$A$19:$B$28,2),0)</f>
        <v>220</v>
      </c>
      <c r="BF29" s="1">
        <f>IFERROR(VLOOKUP(AS29,'Top WS'!$A$19:$B$28,2),0)</f>
        <v>206</v>
      </c>
      <c r="BG29" s="1">
        <f>IFERROR(VLOOKUP(AT29,'Top WS'!$A$19:$B$28,2),0)</f>
        <v>200</v>
      </c>
      <c r="BH29" s="1">
        <f>IFERROR(VLOOKUP(AU29,'Top WS'!$A$19:$B$28,2),0)</f>
        <v>200</v>
      </c>
      <c r="BI29" s="1">
        <f>IFERROR(VLOOKUP(AV29,'Top WS'!$A$19:$B$28,2),0)</f>
        <v>200</v>
      </c>
      <c r="BJ29" s="1">
        <f>IFERROR(VLOOKUP(AW29,'Top WS'!$A$19:$B$28,2),0)</f>
        <v>200</v>
      </c>
      <c r="BK29" s="98">
        <f>IFERROR(VLOOKUP(AX29,'Top WS'!$A$19:$B$28,2),0)</f>
        <v>200</v>
      </c>
      <c r="BL29" s="98">
        <f>IFERROR(VLOOKUP(AY29,'Top WS'!$A$19:$B$28,2),0)</f>
        <v>200</v>
      </c>
      <c r="BM29" s="98">
        <f>IFERROR(VLOOKUP(AZ29,'Top WS'!$A$19:$B$28,2),0)</f>
        <v>200</v>
      </c>
      <c r="BN29" s="98">
        <f>IFERROR(VLOOKUP(BA29,'Top WS'!$A$19:$B$28,2),0)</f>
        <v>200</v>
      </c>
      <c r="BO29" s="98">
        <f>IFERROR(VLOOKUP(BB29,'Top WS'!$A$19:$B$28,2),0)</f>
        <v>200</v>
      </c>
      <c r="BP29" s="98">
        <f>IFERROR(VLOOKUP(BC29,'Top WS'!$A$19:$B$28,2),0)</f>
        <v>200</v>
      </c>
    </row>
    <row r="30" spans="1:68" x14ac:dyDescent="0.4">
      <c r="A30">
        <v>1190033101</v>
      </c>
      <c r="B30">
        <v>66381</v>
      </c>
      <c r="C30" t="s">
        <v>337</v>
      </c>
      <c r="D30" t="s">
        <v>338</v>
      </c>
      <c r="E30" s="1">
        <v>966.57425750001823</v>
      </c>
      <c r="F30" s="1">
        <v>886.34520162582908</v>
      </c>
      <c r="G30" s="1">
        <v>796.37172600983513</v>
      </c>
      <c r="H30" s="1">
        <v>1491.1127631569996</v>
      </c>
      <c r="I30" s="1">
        <v>362.23978129070576</v>
      </c>
      <c r="J30" s="1">
        <v>1201.6313159384329</v>
      </c>
      <c r="K30" s="1">
        <v>692.03425388555195</v>
      </c>
      <c r="L30" s="1">
        <v>513.53092039309092</v>
      </c>
      <c r="M30" s="1">
        <v>940.91395217993329</v>
      </c>
      <c r="N30" s="1">
        <v>972.78181377998249</v>
      </c>
      <c r="O30" s="1">
        <v>1151.4295090463963</v>
      </c>
      <c r="P30" s="1">
        <v>609.13450519323828</v>
      </c>
      <c r="R30" s="1" cm="1">
        <f t="array" ref="R30:W30">IFERROR(_xlfn.XLOOKUP(A30,'Actual_Aji Plus'!A:A,'Actual_Aji Plus'!C:H),0)</f>
        <v>692.45999999999992</v>
      </c>
      <c r="S30" s="1">
        <v>612.06000000000006</v>
      </c>
      <c r="T30" s="1">
        <v>480.78</v>
      </c>
      <c r="U30" s="1">
        <v>1100.3399999999999</v>
      </c>
      <c r="V30" s="1">
        <v>951.95999999999992</v>
      </c>
      <c r="W30" s="1">
        <v>720.36</v>
      </c>
      <c r="X30" s="111"/>
      <c r="Y30" s="111"/>
      <c r="Z30" s="111"/>
      <c r="AA30" s="111"/>
      <c r="AB30" s="111"/>
      <c r="AC30" s="111"/>
      <c r="AD30" s="1"/>
      <c r="AE30" s="97">
        <f t="shared" si="4"/>
        <v>0.71640641639991831</v>
      </c>
      <c r="AF30" s="97">
        <f t="shared" si="5"/>
        <v>0.69054359280931876</v>
      </c>
      <c r="AG30" s="97">
        <f t="shared" si="6"/>
        <v>0.6037130454252998</v>
      </c>
      <c r="AH30" s="97">
        <f t="shared" si="7"/>
        <v>0.73793211833982864</v>
      </c>
      <c r="AI30" s="97">
        <f t="shared" si="8"/>
        <v>2.6279830354580249</v>
      </c>
      <c r="AJ30" s="97">
        <f t="shared" si="9"/>
        <v>0.59948504208000231</v>
      </c>
      <c r="AK30" s="99">
        <f t="shared" si="10"/>
        <v>0</v>
      </c>
      <c r="AL30" s="99">
        <f t="shared" si="11"/>
        <v>0</v>
      </c>
      <c r="AM30" s="99">
        <f t="shared" si="12"/>
        <v>0</v>
      </c>
      <c r="AN30" s="99">
        <f t="shared" si="13"/>
        <v>0</v>
      </c>
      <c r="AO30" s="99">
        <f t="shared" si="14"/>
        <v>0</v>
      </c>
      <c r="AP30" s="99">
        <f t="shared" si="15"/>
        <v>0</v>
      </c>
      <c r="AQ30" s="97"/>
      <c r="AR30" s="99">
        <f t="shared" si="16"/>
        <v>0.71640000000000004</v>
      </c>
      <c r="AS30" s="99">
        <f t="shared" si="17"/>
        <v>0.6905</v>
      </c>
      <c r="AT30" s="99">
        <f t="shared" si="18"/>
        <v>0.60370000000000001</v>
      </c>
      <c r="AU30" s="99">
        <f t="shared" si="19"/>
        <v>0.7379</v>
      </c>
      <c r="AV30" s="99">
        <f t="shared" si="20"/>
        <v>2.6280000000000001</v>
      </c>
      <c r="AW30" s="99">
        <f t="shared" si="21"/>
        <v>0.59950000000000003</v>
      </c>
      <c r="AX30" s="99">
        <f t="shared" si="22"/>
        <v>0</v>
      </c>
      <c r="AY30" s="99">
        <f t="shared" si="23"/>
        <v>0</v>
      </c>
      <c r="AZ30" s="99">
        <f t="shared" si="24"/>
        <v>0</v>
      </c>
      <c r="BA30" s="99">
        <f t="shared" si="25"/>
        <v>0</v>
      </c>
      <c r="BB30" s="99">
        <f t="shared" si="26"/>
        <v>0</v>
      </c>
      <c r="BC30" s="99">
        <f t="shared" si="27"/>
        <v>0</v>
      </c>
      <c r="BD30" s="97"/>
      <c r="BE30" s="1">
        <f>IFERROR(VLOOKUP(AR30,'Top WS'!$A$19:$B$28,2),0)</f>
        <v>200</v>
      </c>
      <c r="BF30" s="1">
        <f>IFERROR(VLOOKUP(AS30,'Top WS'!$A$19:$B$28,2),0)</f>
        <v>200</v>
      </c>
      <c r="BG30" s="1">
        <f>IFERROR(VLOOKUP(AT30,'Top WS'!$A$19:$B$28,2),0)</f>
        <v>200</v>
      </c>
      <c r="BH30" s="1">
        <f>IFERROR(VLOOKUP(AU30,'Top WS'!$A$19:$B$28,2),0)</f>
        <v>200</v>
      </c>
      <c r="BI30" s="1">
        <f>IFERROR(VLOOKUP(AV30,'Top WS'!$A$19:$B$28,2),0)</f>
        <v>260</v>
      </c>
      <c r="BJ30" s="1">
        <f>IFERROR(VLOOKUP(AW30,'Top WS'!$A$19:$B$28,2),0)</f>
        <v>200</v>
      </c>
      <c r="BK30" s="98">
        <f>IFERROR(VLOOKUP(AX30,'Top WS'!$A$19:$B$28,2),0)</f>
        <v>200</v>
      </c>
      <c r="BL30" s="98">
        <f>IFERROR(VLOOKUP(AY30,'Top WS'!$A$19:$B$28,2),0)</f>
        <v>200</v>
      </c>
      <c r="BM30" s="98">
        <f>IFERROR(VLOOKUP(AZ30,'Top WS'!$A$19:$B$28,2),0)</f>
        <v>200</v>
      </c>
      <c r="BN30" s="98">
        <f>IFERROR(VLOOKUP(BA30,'Top WS'!$A$19:$B$28,2),0)</f>
        <v>200</v>
      </c>
      <c r="BO30" s="98">
        <f>IFERROR(VLOOKUP(BB30,'Top WS'!$A$19:$B$28,2),0)</f>
        <v>200</v>
      </c>
      <c r="BP30" s="98">
        <f>IFERROR(VLOOKUP(BC30,'Top WS'!$A$19:$B$28,2),0)</f>
        <v>200</v>
      </c>
    </row>
    <row r="31" spans="1:68" x14ac:dyDescent="0.4">
      <c r="A31">
        <v>1190033102</v>
      </c>
      <c r="B31">
        <v>28090</v>
      </c>
      <c r="C31" t="s">
        <v>339</v>
      </c>
      <c r="D31" t="s">
        <v>338</v>
      </c>
      <c r="E31" s="1">
        <v>857.15075665095958</v>
      </c>
      <c r="F31" s="1">
        <v>786.00423540403699</v>
      </c>
      <c r="G31" s="1">
        <v>706.21643627287267</v>
      </c>
      <c r="H31" s="1">
        <v>1322.3075446863957</v>
      </c>
      <c r="I31" s="1">
        <v>321.23150416345607</v>
      </c>
      <c r="J31" s="1">
        <v>1065.5975820586102</v>
      </c>
      <c r="K31" s="1">
        <v>613.69075344567807</v>
      </c>
      <c r="L31" s="1">
        <v>455.39534449953345</v>
      </c>
      <c r="M31" s="1">
        <v>834.39539155578984</v>
      </c>
      <c r="N31" s="1">
        <v>862.65557071055036</v>
      </c>
      <c r="O31" s="1">
        <v>1021.0789985883137</v>
      </c>
      <c r="P31" s="1">
        <v>540.17588196381507</v>
      </c>
      <c r="R31" s="1" cm="1">
        <f t="array" ref="R31:W31">IFERROR(_xlfn.XLOOKUP(A31,'Actual_Aji Plus'!A:A,'Actual_Aji Plus'!C:H),0)</f>
        <v>753.18</v>
      </c>
      <c r="S31" s="1">
        <v>826.56000000000006</v>
      </c>
      <c r="T31" s="1">
        <v>1015.2599999999999</v>
      </c>
      <c r="U31" s="1">
        <v>813.65999999999985</v>
      </c>
      <c r="V31" s="1">
        <v>995.34000000000015</v>
      </c>
      <c r="W31" s="1">
        <v>843.9</v>
      </c>
      <c r="X31" s="111"/>
      <c r="Y31" s="111"/>
      <c r="Z31" s="111"/>
      <c r="AA31" s="111"/>
      <c r="AB31" s="111"/>
      <c r="AC31" s="111"/>
      <c r="AD31" s="1"/>
      <c r="AE31" s="97">
        <f t="shared" si="4"/>
        <v>0.87870190180174157</v>
      </c>
      <c r="AF31" s="97">
        <f t="shared" si="5"/>
        <v>1.0515973868450159</v>
      </c>
      <c r="AG31" s="97">
        <f t="shared" si="6"/>
        <v>1.4376046037078027</v>
      </c>
      <c r="AH31" s="97">
        <f t="shared" si="7"/>
        <v>0.61533340202862652</v>
      </c>
      <c r="AI31" s="97">
        <f t="shared" si="8"/>
        <v>3.098513025962514</v>
      </c>
      <c r="AJ31" s="97">
        <f t="shared" si="9"/>
        <v>0.79194999520333331</v>
      </c>
      <c r="AK31" s="99">
        <f t="shared" si="10"/>
        <v>0</v>
      </c>
      <c r="AL31" s="99">
        <f t="shared" si="11"/>
        <v>0</v>
      </c>
      <c r="AM31" s="99">
        <f t="shared" si="12"/>
        <v>0</v>
      </c>
      <c r="AN31" s="99">
        <f t="shared" si="13"/>
        <v>0</v>
      </c>
      <c r="AO31" s="99">
        <f t="shared" si="14"/>
        <v>0</v>
      </c>
      <c r="AP31" s="99">
        <f t="shared" si="15"/>
        <v>0</v>
      </c>
      <c r="AQ31" s="97"/>
      <c r="AR31" s="99">
        <f t="shared" si="16"/>
        <v>0.87870000000000004</v>
      </c>
      <c r="AS31" s="99">
        <f t="shared" si="17"/>
        <v>1.0516000000000001</v>
      </c>
      <c r="AT31" s="99">
        <f t="shared" si="18"/>
        <v>1.4376</v>
      </c>
      <c r="AU31" s="99">
        <f t="shared" si="19"/>
        <v>0.61529999999999996</v>
      </c>
      <c r="AV31" s="99">
        <f t="shared" si="20"/>
        <v>3.0985</v>
      </c>
      <c r="AW31" s="99">
        <f t="shared" si="21"/>
        <v>0.79190000000000005</v>
      </c>
      <c r="AX31" s="99">
        <f t="shared" si="22"/>
        <v>0</v>
      </c>
      <c r="AY31" s="99">
        <f t="shared" si="23"/>
        <v>0</v>
      </c>
      <c r="AZ31" s="99">
        <f t="shared" si="24"/>
        <v>0</v>
      </c>
      <c r="BA31" s="99">
        <f t="shared" si="25"/>
        <v>0</v>
      </c>
      <c r="BB31" s="99">
        <f t="shared" si="26"/>
        <v>0</v>
      </c>
      <c r="BC31" s="99">
        <f t="shared" si="27"/>
        <v>0</v>
      </c>
      <c r="BD31" s="97"/>
      <c r="BE31" s="1">
        <f>IFERROR(VLOOKUP(AR31,'Top WS'!$A$19:$B$28,2),0)</f>
        <v>200</v>
      </c>
      <c r="BF31" s="1">
        <f>IFERROR(VLOOKUP(AS31,'Top WS'!$A$19:$B$28,2),0)</f>
        <v>216</v>
      </c>
      <c r="BG31" s="1">
        <f>IFERROR(VLOOKUP(AT31,'Top WS'!$A$19:$B$28,2),0)</f>
        <v>260</v>
      </c>
      <c r="BH31" s="1">
        <f>IFERROR(VLOOKUP(AU31,'Top WS'!$A$19:$B$28,2),0)</f>
        <v>200</v>
      </c>
      <c r="BI31" s="1">
        <f>IFERROR(VLOOKUP(AV31,'Top WS'!$A$19:$B$28,2),0)</f>
        <v>260</v>
      </c>
      <c r="BJ31" s="1">
        <f>IFERROR(VLOOKUP(AW31,'Top WS'!$A$19:$B$28,2),0)</f>
        <v>200</v>
      </c>
      <c r="BK31" s="98">
        <f>IFERROR(VLOOKUP(AX31,'Top WS'!$A$19:$B$28,2),0)</f>
        <v>200</v>
      </c>
      <c r="BL31" s="98">
        <f>IFERROR(VLOOKUP(AY31,'Top WS'!$A$19:$B$28,2),0)</f>
        <v>200</v>
      </c>
      <c r="BM31" s="98">
        <f>IFERROR(VLOOKUP(AZ31,'Top WS'!$A$19:$B$28,2),0)</f>
        <v>200</v>
      </c>
      <c r="BN31" s="98">
        <f>IFERROR(VLOOKUP(BA31,'Top WS'!$A$19:$B$28,2),0)</f>
        <v>200</v>
      </c>
      <c r="BO31" s="98">
        <f>IFERROR(VLOOKUP(BB31,'Top WS'!$A$19:$B$28,2),0)</f>
        <v>200</v>
      </c>
      <c r="BP31" s="98">
        <f>IFERROR(VLOOKUP(BC31,'Top WS'!$A$19:$B$28,2),0)</f>
        <v>200</v>
      </c>
    </row>
    <row r="32" spans="1:68" x14ac:dyDescent="0.4">
      <c r="A32">
        <v>1190033201</v>
      </c>
      <c r="B32">
        <v>76475</v>
      </c>
      <c r="C32" t="s">
        <v>340</v>
      </c>
      <c r="D32" t="s">
        <v>238</v>
      </c>
      <c r="E32" s="1">
        <v>2861.7329953091694</v>
      </c>
      <c r="F32" s="1">
        <v>2277.5046842346501</v>
      </c>
      <c r="G32" s="1">
        <v>2018.7140523585283</v>
      </c>
      <c r="H32" s="1">
        <v>3187.9945673663001</v>
      </c>
      <c r="I32" s="1">
        <v>2281.0650783741626</v>
      </c>
      <c r="J32" s="1">
        <v>2744.2399887052643</v>
      </c>
      <c r="K32" s="1">
        <v>1685.6847889618307</v>
      </c>
      <c r="L32" s="1">
        <v>3282.9482193349459</v>
      </c>
      <c r="M32" s="1">
        <v>2188.0534595725226</v>
      </c>
      <c r="N32" s="1">
        <v>2441.9007342962645</v>
      </c>
      <c r="O32" s="1">
        <v>2690.2161569685331</v>
      </c>
      <c r="P32" s="1">
        <v>1143.9752343467749</v>
      </c>
      <c r="R32" s="1" cm="1">
        <f t="array" ref="R32:W32">IFERROR(_xlfn.XLOOKUP(A32,'Actual_Aji Plus'!A:A,'Actual_Aji Plus'!C:H),0)</f>
        <v>2678.2200000000016</v>
      </c>
      <c r="S32" s="1">
        <v>2353.3200000000002</v>
      </c>
      <c r="T32" s="1">
        <v>2159.2200000000007</v>
      </c>
      <c r="U32" s="1">
        <v>2382.3600000000006</v>
      </c>
      <c r="V32" s="1">
        <v>2650.8</v>
      </c>
      <c r="W32" s="1">
        <v>2433.7200000000007</v>
      </c>
      <c r="X32" s="111"/>
      <c r="Y32" s="111"/>
      <c r="Z32" s="111"/>
      <c r="AA32" s="111"/>
      <c r="AB32" s="111"/>
      <c r="AC32" s="111"/>
      <c r="AD32" s="1"/>
      <c r="AE32" s="97">
        <f t="shared" si="4"/>
        <v>0.93587347400684329</v>
      </c>
      <c r="AF32" s="97">
        <f t="shared" si="5"/>
        <v>1.0332887639222694</v>
      </c>
      <c r="AG32" s="97">
        <f t="shared" si="6"/>
        <v>1.0696017088092862</v>
      </c>
      <c r="AH32" s="97">
        <f t="shared" si="7"/>
        <v>0.747291110338416</v>
      </c>
      <c r="AI32" s="97">
        <f t="shared" si="8"/>
        <v>1.1620887212430464</v>
      </c>
      <c r="AJ32" s="97">
        <f t="shared" si="9"/>
        <v>0.88684663514003848</v>
      </c>
      <c r="AK32" s="99">
        <f t="shared" si="10"/>
        <v>0</v>
      </c>
      <c r="AL32" s="99">
        <f t="shared" si="11"/>
        <v>0</v>
      </c>
      <c r="AM32" s="99">
        <f t="shared" si="12"/>
        <v>0</v>
      </c>
      <c r="AN32" s="99">
        <f t="shared" si="13"/>
        <v>0</v>
      </c>
      <c r="AO32" s="99">
        <f t="shared" si="14"/>
        <v>0</v>
      </c>
      <c r="AP32" s="99">
        <f t="shared" si="15"/>
        <v>0</v>
      </c>
      <c r="AQ32" s="97"/>
      <c r="AR32" s="99">
        <f t="shared" si="16"/>
        <v>0.93589999999999995</v>
      </c>
      <c r="AS32" s="99">
        <f t="shared" si="17"/>
        <v>1.0333000000000001</v>
      </c>
      <c r="AT32" s="99">
        <f t="shared" si="18"/>
        <v>1.0696000000000001</v>
      </c>
      <c r="AU32" s="99">
        <f t="shared" si="19"/>
        <v>0.74729999999999996</v>
      </c>
      <c r="AV32" s="99">
        <f t="shared" si="20"/>
        <v>1.1620999999999999</v>
      </c>
      <c r="AW32" s="99">
        <f t="shared" si="21"/>
        <v>0.88680000000000003</v>
      </c>
      <c r="AX32" s="99">
        <f t="shared" si="22"/>
        <v>0</v>
      </c>
      <c r="AY32" s="99">
        <f t="shared" si="23"/>
        <v>0</v>
      </c>
      <c r="AZ32" s="99">
        <f t="shared" si="24"/>
        <v>0</v>
      </c>
      <c r="BA32" s="99">
        <f t="shared" si="25"/>
        <v>0</v>
      </c>
      <c r="BB32" s="99">
        <f t="shared" si="26"/>
        <v>0</v>
      </c>
      <c r="BC32" s="99">
        <f t="shared" si="27"/>
        <v>0</v>
      </c>
      <c r="BD32" s="97"/>
      <c r="BE32" s="1">
        <f>IFERROR(VLOOKUP(AR32,'Top WS'!$A$19:$B$28,2),0)</f>
        <v>200</v>
      </c>
      <c r="BF32" s="1">
        <f>IFERROR(VLOOKUP(AS32,'Top WS'!$A$19:$B$28,2),0)</f>
        <v>216</v>
      </c>
      <c r="BG32" s="1">
        <f>IFERROR(VLOOKUP(AT32,'Top WS'!$A$19:$B$28,2),0)</f>
        <v>220</v>
      </c>
      <c r="BH32" s="1">
        <f>IFERROR(VLOOKUP(AU32,'Top WS'!$A$19:$B$28,2),0)</f>
        <v>200</v>
      </c>
      <c r="BI32" s="1">
        <f>IFERROR(VLOOKUP(AV32,'Top WS'!$A$19:$B$28,2),0)</f>
        <v>240</v>
      </c>
      <c r="BJ32" s="1">
        <f>IFERROR(VLOOKUP(AW32,'Top WS'!$A$19:$B$28,2),0)</f>
        <v>200</v>
      </c>
      <c r="BK32" s="98">
        <f>IFERROR(VLOOKUP(AX32,'Top WS'!$A$19:$B$28,2),0)</f>
        <v>200</v>
      </c>
      <c r="BL32" s="98">
        <f>IFERROR(VLOOKUP(AY32,'Top WS'!$A$19:$B$28,2),0)</f>
        <v>200</v>
      </c>
      <c r="BM32" s="98">
        <f>IFERROR(VLOOKUP(AZ32,'Top WS'!$A$19:$B$28,2),0)</f>
        <v>200</v>
      </c>
      <c r="BN32" s="98">
        <f>IFERROR(VLOOKUP(BA32,'Top WS'!$A$19:$B$28,2),0)</f>
        <v>200</v>
      </c>
      <c r="BO32" s="98">
        <f>IFERROR(VLOOKUP(BB32,'Top WS'!$A$19:$B$28,2),0)</f>
        <v>200</v>
      </c>
      <c r="BP32" s="98">
        <f>IFERROR(VLOOKUP(BC32,'Top WS'!$A$19:$B$28,2),0)</f>
        <v>200</v>
      </c>
    </row>
    <row r="33" spans="1:68" x14ac:dyDescent="0.4">
      <c r="A33">
        <v>1190033202</v>
      </c>
      <c r="B33">
        <v>63537</v>
      </c>
      <c r="C33" t="s">
        <v>341</v>
      </c>
      <c r="D33" t="s">
        <v>238</v>
      </c>
      <c r="E33" s="1">
        <v>3884.2560434637412</v>
      </c>
      <c r="F33" s="1">
        <v>3091.2776797332522</v>
      </c>
      <c r="G33" s="1">
        <v>2740.0188175318094</v>
      </c>
      <c r="H33" s="1">
        <v>4327.093822211853</v>
      </c>
      <c r="I33" s="1">
        <v>3096.11023485848</v>
      </c>
      <c r="J33" s="1">
        <v>3724.7817243312402</v>
      </c>
      <c r="K33" s="1">
        <v>2287.9951901985582</v>
      </c>
      <c r="L33" s="1">
        <v>4455.9752717086176</v>
      </c>
      <c r="M33" s="1">
        <v>2969.8647245209286</v>
      </c>
      <c r="N33" s="1">
        <v>3314.4139234080076</v>
      </c>
      <c r="O33" s="1">
        <v>3651.4546895385351</v>
      </c>
      <c r="P33" s="1">
        <v>1552.7279186660301</v>
      </c>
      <c r="R33" s="1" cm="1">
        <f t="array" ref="R33:W33">IFERROR(_xlfn.XLOOKUP(A33,'Actual_Aji Plus'!A:A,'Actual_Aji Plus'!C:H),0)</f>
        <v>2638.1400000000012</v>
      </c>
      <c r="S33" s="1">
        <v>2600.6400000000003</v>
      </c>
      <c r="T33" s="1">
        <v>2348.6400000000003</v>
      </c>
      <c r="U33" s="1">
        <v>2738.9400000000014</v>
      </c>
      <c r="V33" s="1">
        <v>2509.920000000001</v>
      </c>
      <c r="W33" s="1">
        <v>1831.74</v>
      </c>
      <c r="X33" s="111"/>
      <c r="Y33" s="111"/>
      <c r="Z33" s="111"/>
      <c r="AA33" s="111"/>
      <c r="AB33" s="111"/>
      <c r="AC33" s="111"/>
      <c r="AD33" s="1"/>
      <c r="AE33" s="97">
        <f t="shared" si="4"/>
        <v>0.67918797589035085</v>
      </c>
      <c r="AF33" s="97">
        <f t="shared" si="5"/>
        <v>0.84128320695681102</v>
      </c>
      <c r="AG33" s="97">
        <f t="shared" si="6"/>
        <v>0.85716199646965907</v>
      </c>
      <c r="AH33" s="97">
        <f t="shared" si="7"/>
        <v>0.63297448877592277</v>
      </c>
      <c r="AI33" s="97">
        <f t="shared" si="8"/>
        <v>0.81066881008993752</v>
      </c>
      <c r="AJ33" s="97">
        <f t="shared" si="9"/>
        <v>0.49177109843366101</v>
      </c>
      <c r="AK33" s="99">
        <f t="shared" si="10"/>
        <v>0</v>
      </c>
      <c r="AL33" s="99">
        <f t="shared" si="11"/>
        <v>0</v>
      </c>
      <c r="AM33" s="99">
        <f t="shared" si="12"/>
        <v>0</v>
      </c>
      <c r="AN33" s="99">
        <f t="shared" si="13"/>
        <v>0</v>
      </c>
      <c r="AO33" s="99">
        <f t="shared" si="14"/>
        <v>0</v>
      </c>
      <c r="AP33" s="99">
        <f t="shared" si="15"/>
        <v>0</v>
      </c>
      <c r="AQ33" s="97"/>
      <c r="AR33" s="99">
        <f t="shared" si="16"/>
        <v>0.67920000000000003</v>
      </c>
      <c r="AS33" s="99">
        <f t="shared" si="17"/>
        <v>0.84130000000000005</v>
      </c>
      <c r="AT33" s="99">
        <f t="shared" si="18"/>
        <v>0.85719999999999996</v>
      </c>
      <c r="AU33" s="99">
        <f t="shared" si="19"/>
        <v>0.63300000000000001</v>
      </c>
      <c r="AV33" s="99">
        <f t="shared" si="20"/>
        <v>0.81069999999999998</v>
      </c>
      <c r="AW33" s="99">
        <f t="shared" si="21"/>
        <v>0.49180000000000001</v>
      </c>
      <c r="AX33" s="99">
        <f t="shared" si="22"/>
        <v>0</v>
      </c>
      <c r="AY33" s="99">
        <f t="shared" si="23"/>
        <v>0</v>
      </c>
      <c r="AZ33" s="99">
        <f t="shared" si="24"/>
        <v>0</v>
      </c>
      <c r="BA33" s="99">
        <f t="shared" si="25"/>
        <v>0</v>
      </c>
      <c r="BB33" s="99">
        <f t="shared" si="26"/>
        <v>0</v>
      </c>
      <c r="BC33" s="99">
        <f t="shared" si="27"/>
        <v>0</v>
      </c>
      <c r="BD33" s="97"/>
      <c r="BE33" s="1">
        <f>IFERROR(VLOOKUP(AR33,'Top WS'!$A$19:$B$28,2),0)</f>
        <v>200</v>
      </c>
      <c r="BF33" s="1">
        <f>IFERROR(VLOOKUP(AS33,'Top WS'!$A$19:$B$28,2),0)</f>
        <v>200</v>
      </c>
      <c r="BG33" s="1">
        <f>IFERROR(VLOOKUP(AT33,'Top WS'!$A$19:$B$28,2),0)</f>
        <v>200</v>
      </c>
      <c r="BH33" s="1">
        <f>IFERROR(VLOOKUP(AU33,'Top WS'!$A$19:$B$28,2),0)</f>
        <v>200</v>
      </c>
      <c r="BI33" s="1">
        <f>IFERROR(VLOOKUP(AV33,'Top WS'!$A$19:$B$28,2),0)</f>
        <v>200</v>
      </c>
      <c r="BJ33" s="1">
        <f>IFERROR(VLOOKUP(AW33,'Top WS'!$A$19:$B$28,2),0)</f>
        <v>200</v>
      </c>
      <c r="BK33" s="98">
        <f>IFERROR(VLOOKUP(AX33,'Top WS'!$A$19:$B$28,2),0)</f>
        <v>200</v>
      </c>
      <c r="BL33" s="98">
        <f>IFERROR(VLOOKUP(AY33,'Top WS'!$A$19:$B$28,2),0)</f>
        <v>200</v>
      </c>
      <c r="BM33" s="98">
        <f>IFERROR(VLOOKUP(AZ33,'Top WS'!$A$19:$B$28,2),0)</f>
        <v>200</v>
      </c>
      <c r="BN33" s="98">
        <f>IFERROR(VLOOKUP(BA33,'Top WS'!$A$19:$B$28,2),0)</f>
        <v>200</v>
      </c>
      <c r="BO33" s="98">
        <f>IFERROR(VLOOKUP(BB33,'Top WS'!$A$19:$B$28,2),0)</f>
        <v>200</v>
      </c>
      <c r="BP33" s="98">
        <f>IFERROR(VLOOKUP(BC33,'Top WS'!$A$19:$B$28,2),0)</f>
        <v>200</v>
      </c>
    </row>
    <row r="34" spans="1:68" x14ac:dyDescent="0.4">
      <c r="A34">
        <v>1190033301</v>
      </c>
      <c r="B34">
        <v>63139</v>
      </c>
      <c r="C34" t="s">
        <v>342</v>
      </c>
      <c r="D34" t="s">
        <v>343</v>
      </c>
      <c r="E34" s="1">
        <v>11144.148805211129</v>
      </c>
      <c r="F34" s="1">
        <v>9276.1476211196987</v>
      </c>
      <c r="G34" s="1">
        <v>9265.4072855821451</v>
      </c>
      <c r="H34" s="1">
        <v>8886.6353437169746</v>
      </c>
      <c r="I34" s="1">
        <v>4914.8125648182549</v>
      </c>
      <c r="J34" s="1">
        <v>8766.2151686410198</v>
      </c>
      <c r="K34" s="1">
        <v>7958.880490271903</v>
      </c>
      <c r="L34" s="1">
        <v>10780.845281375581</v>
      </c>
      <c r="M34" s="1">
        <v>5966.1396483339922</v>
      </c>
      <c r="N34" s="1">
        <v>9785.6131024880506</v>
      </c>
      <c r="O34" s="1">
        <v>9761.6808330837175</v>
      </c>
      <c r="P34" s="1">
        <v>9896.6938553574309</v>
      </c>
      <c r="R34" s="1" cm="1">
        <f t="array" ref="R34:W34">IFERROR(_xlfn.XLOOKUP(A34,'Actual_Aji Plus'!A:A,'Actual_Aji Plus'!C:H),0)</f>
        <v>7639.9200000000019</v>
      </c>
      <c r="S34" s="1">
        <v>5810.2799999999988</v>
      </c>
      <c r="T34" s="1">
        <v>7818.5399999999954</v>
      </c>
      <c r="U34" s="1">
        <v>6727.8</v>
      </c>
      <c r="V34" s="1">
        <v>8032.559999999994</v>
      </c>
      <c r="W34" s="1">
        <v>7382.2799999999961</v>
      </c>
      <c r="X34" s="111"/>
      <c r="Y34" s="111"/>
      <c r="Z34" s="111"/>
      <c r="AA34" s="111"/>
      <c r="AB34" s="111"/>
      <c r="AC34" s="111"/>
      <c r="AD34" s="1"/>
      <c r="AE34" s="97">
        <f t="shared" si="4"/>
        <v>0.68555437777602979</v>
      </c>
      <c r="AF34" s="97">
        <f t="shared" si="5"/>
        <v>0.62636778082005728</v>
      </c>
      <c r="AG34" s="97">
        <f t="shared" si="6"/>
        <v>0.84384202000125641</v>
      </c>
      <c r="AH34" s="97">
        <f t="shared" si="7"/>
        <v>0.75706943514416702</v>
      </c>
      <c r="AI34" s="97">
        <f t="shared" si="8"/>
        <v>1.634357342027555</v>
      </c>
      <c r="AJ34" s="97">
        <f t="shared" si="9"/>
        <v>0.84212854213392896</v>
      </c>
      <c r="AK34" s="99">
        <f t="shared" si="10"/>
        <v>0</v>
      </c>
      <c r="AL34" s="99">
        <f t="shared" si="11"/>
        <v>0</v>
      </c>
      <c r="AM34" s="99">
        <f t="shared" si="12"/>
        <v>0</v>
      </c>
      <c r="AN34" s="99">
        <f t="shared" si="13"/>
        <v>0</v>
      </c>
      <c r="AO34" s="99">
        <f t="shared" si="14"/>
        <v>0</v>
      </c>
      <c r="AP34" s="99">
        <f t="shared" si="15"/>
        <v>0</v>
      </c>
      <c r="AQ34" s="97"/>
      <c r="AR34" s="99">
        <f t="shared" si="16"/>
        <v>0.68559999999999999</v>
      </c>
      <c r="AS34" s="99">
        <f t="shared" si="17"/>
        <v>0.62639999999999996</v>
      </c>
      <c r="AT34" s="99">
        <f t="shared" si="18"/>
        <v>0.84379999999999999</v>
      </c>
      <c r="AU34" s="99">
        <f t="shared" si="19"/>
        <v>0.7571</v>
      </c>
      <c r="AV34" s="99">
        <f t="shared" si="20"/>
        <v>1.6344000000000001</v>
      </c>
      <c r="AW34" s="99">
        <f t="shared" si="21"/>
        <v>0.84209999999999996</v>
      </c>
      <c r="AX34" s="99">
        <f t="shared" si="22"/>
        <v>0</v>
      </c>
      <c r="AY34" s="99">
        <f t="shared" si="23"/>
        <v>0</v>
      </c>
      <c r="AZ34" s="99">
        <f t="shared" si="24"/>
        <v>0</v>
      </c>
      <c r="BA34" s="99">
        <f t="shared" si="25"/>
        <v>0</v>
      </c>
      <c r="BB34" s="99">
        <f t="shared" si="26"/>
        <v>0</v>
      </c>
      <c r="BC34" s="99">
        <f t="shared" si="27"/>
        <v>0</v>
      </c>
      <c r="BD34" s="97"/>
      <c r="BE34" s="1">
        <f>IFERROR(VLOOKUP(AR34,'Top WS'!$A$19:$B$28,2),0)</f>
        <v>200</v>
      </c>
      <c r="BF34" s="1">
        <f>IFERROR(VLOOKUP(AS34,'Top WS'!$A$19:$B$28,2),0)</f>
        <v>200</v>
      </c>
      <c r="BG34" s="1">
        <f>IFERROR(VLOOKUP(AT34,'Top WS'!$A$19:$B$28,2),0)</f>
        <v>200</v>
      </c>
      <c r="BH34" s="1">
        <f>IFERROR(VLOOKUP(AU34,'Top WS'!$A$19:$B$28,2),0)</f>
        <v>200</v>
      </c>
      <c r="BI34" s="1">
        <f>IFERROR(VLOOKUP(AV34,'Top WS'!$A$19:$B$28,2),0)</f>
        <v>260</v>
      </c>
      <c r="BJ34" s="1">
        <f>IFERROR(VLOOKUP(AW34,'Top WS'!$A$19:$B$28,2),0)</f>
        <v>200</v>
      </c>
      <c r="BK34" s="98">
        <f>IFERROR(VLOOKUP(AX34,'Top WS'!$A$19:$B$28,2),0)</f>
        <v>200</v>
      </c>
      <c r="BL34" s="98">
        <f>IFERROR(VLOOKUP(AY34,'Top WS'!$A$19:$B$28,2),0)</f>
        <v>200</v>
      </c>
      <c r="BM34" s="98">
        <f>IFERROR(VLOOKUP(AZ34,'Top WS'!$A$19:$B$28,2),0)</f>
        <v>200</v>
      </c>
      <c r="BN34" s="98">
        <f>IFERROR(VLOOKUP(BA34,'Top WS'!$A$19:$B$28,2),0)</f>
        <v>200</v>
      </c>
      <c r="BO34" s="98">
        <f>IFERROR(VLOOKUP(BB34,'Top WS'!$A$19:$B$28,2),0)</f>
        <v>200</v>
      </c>
      <c r="BP34" s="98">
        <f>IFERROR(VLOOKUP(BC34,'Top WS'!$A$19:$B$28,2),0)</f>
        <v>200</v>
      </c>
    </row>
    <row r="35" spans="1:68" x14ac:dyDescent="0.4">
      <c r="A35">
        <v>1190033302</v>
      </c>
      <c r="B35">
        <v>101039</v>
      </c>
      <c r="C35" t="s">
        <v>344</v>
      </c>
      <c r="D35" t="s">
        <v>343</v>
      </c>
      <c r="E35" s="1">
        <v>1363.3133779663447</v>
      </c>
      <c r="F35" s="1">
        <v>1134.7924699237342</v>
      </c>
      <c r="G35" s="1">
        <v>1133.4785568220582</v>
      </c>
      <c r="H35" s="1">
        <v>1087.1416974917511</v>
      </c>
      <c r="I35" s="1">
        <v>601.25091982625122</v>
      </c>
      <c r="J35" s="1">
        <v>1072.4101609224144</v>
      </c>
      <c r="K35" s="1">
        <v>973.64531250239895</v>
      </c>
      <c r="L35" s="1">
        <v>1318.8688391357334</v>
      </c>
      <c r="M35" s="1">
        <v>729.86444631695304</v>
      </c>
      <c r="N35" s="1">
        <v>1197.1176522684596</v>
      </c>
      <c r="O35" s="1">
        <v>1194.1899111179855</v>
      </c>
      <c r="P35" s="1">
        <v>1210.7066557059036</v>
      </c>
      <c r="R35" s="1" cm="1">
        <f t="array" ref="R35:W35">IFERROR(_xlfn.XLOOKUP(A35,'Actual_Aji Plus'!A:A,'Actual_Aji Plus'!C:H),0)</f>
        <v>1247.3399999999999</v>
      </c>
      <c r="S35" s="1">
        <v>1189.4399999999998</v>
      </c>
      <c r="T35" s="1">
        <v>755.99999999999989</v>
      </c>
      <c r="U35" s="1">
        <v>1522.0800000000002</v>
      </c>
      <c r="V35" s="1">
        <v>1552.3200000000002</v>
      </c>
      <c r="W35" s="1">
        <v>1005.4200000000001</v>
      </c>
      <c r="X35" s="111"/>
      <c r="Y35" s="111"/>
      <c r="Z35" s="111"/>
      <c r="AA35" s="111"/>
      <c r="AB35" s="111"/>
      <c r="AC35" s="111"/>
      <c r="AD35" s="1"/>
      <c r="AE35" s="97">
        <f t="shared" si="4"/>
        <v>0.91493270744592681</v>
      </c>
      <c r="AF35" s="97">
        <f t="shared" si="5"/>
        <v>1.0481564087924713</v>
      </c>
      <c r="AG35" s="97">
        <f t="shared" si="6"/>
        <v>0.66697335864879737</v>
      </c>
      <c r="AH35" s="97">
        <f t="shared" si="7"/>
        <v>1.4000750808397258</v>
      </c>
      <c r="AI35" s="97">
        <f t="shared" si="8"/>
        <v>2.5818172560111639</v>
      </c>
      <c r="AJ35" s="97">
        <f t="shared" si="9"/>
        <v>0.93753307888765813</v>
      </c>
      <c r="AK35" s="99">
        <f t="shared" si="10"/>
        <v>0</v>
      </c>
      <c r="AL35" s="99">
        <f t="shared" si="11"/>
        <v>0</v>
      </c>
      <c r="AM35" s="99">
        <f t="shared" si="12"/>
        <v>0</v>
      </c>
      <c r="AN35" s="99">
        <f t="shared" si="13"/>
        <v>0</v>
      </c>
      <c r="AO35" s="99">
        <f t="shared" si="14"/>
        <v>0</v>
      </c>
      <c r="AP35" s="99">
        <f t="shared" si="15"/>
        <v>0</v>
      </c>
      <c r="AQ35" s="97"/>
      <c r="AR35" s="99">
        <f t="shared" si="16"/>
        <v>0.91490000000000005</v>
      </c>
      <c r="AS35" s="99">
        <f t="shared" si="17"/>
        <v>1.0482</v>
      </c>
      <c r="AT35" s="99">
        <f t="shared" si="18"/>
        <v>0.66700000000000004</v>
      </c>
      <c r="AU35" s="99">
        <f t="shared" si="19"/>
        <v>1.4000999999999999</v>
      </c>
      <c r="AV35" s="99">
        <f t="shared" si="20"/>
        <v>2.5817999999999999</v>
      </c>
      <c r="AW35" s="99">
        <f t="shared" si="21"/>
        <v>0.9375</v>
      </c>
      <c r="AX35" s="99">
        <f t="shared" si="22"/>
        <v>0</v>
      </c>
      <c r="AY35" s="99">
        <f t="shared" si="23"/>
        <v>0</v>
      </c>
      <c r="AZ35" s="99">
        <f t="shared" si="24"/>
        <v>0</v>
      </c>
      <c r="BA35" s="99">
        <f t="shared" si="25"/>
        <v>0</v>
      </c>
      <c r="BB35" s="99">
        <f t="shared" si="26"/>
        <v>0</v>
      </c>
      <c r="BC35" s="99">
        <f t="shared" si="27"/>
        <v>0</v>
      </c>
      <c r="BD35" s="97"/>
      <c r="BE35" s="1">
        <f>IFERROR(VLOOKUP(AR35,'Top WS'!$A$19:$B$28,2),0)</f>
        <v>200</v>
      </c>
      <c r="BF35" s="1">
        <f>IFERROR(VLOOKUP(AS35,'Top WS'!$A$19:$B$28,2),0)</f>
        <v>216</v>
      </c>
      <c r="BG35" s="1">
        <f>IFERROR(VLOOKUP(AT35,'Top WS'!$A$19:$B$28,2),0)</f>
        <v>200</v>
      </c>
      <c r="BH35" s="1">
        <f>IFERROR(VLOOKUP(AU35,'Top WS'!$A$19:$B$28,2),0)</f>
        <v>260</v>
      </c>
      <c r="BI35" s="1">
        <f>IFERROR(VLOOKUP(AV35,'Top WS'!$A$19:$B$28,2),0)</f>
        <v>260</v>
      </c>
      <c r="BJ35" s="1">
        <f>IFERROR(VLOOKUP(AW35,'Top WS'!$A$19:$B$28,2),0)</f>
        <v>200</v>
      </c>
      <c r="BK35" s="98">
        <f>IFERROR(VLOOKUP(AX35,'Top WS'!$A$19:$B$28,2),0)</f>
        <v>200</v>
      </c>
      <c r="BL35" s="98">
        <f>IFERROR(VLOOKUP(AY35,'Top WS'!$A$19:$B$28,2),0)</f>
        <v>200</v>
      </c>
      <c r="BM35" s="98">
        <f>IFERROR(VLOOKUP(AZ35,'Top WS'!$A$19:$B$28,2),0)</f>
        <v>200</v>
      </c>
      <c r="BN35" s="98">
        <f>IFERROR(VLOOKUP(BA35,'Top WS'!$A$19:$B$28,2),0)</f>
        <v>200</v>
      </c>
      <c r="BO35" s="98">
        <f>IFERROR(VLOOKUP(BB35,'Top WS'!$A$19:$B$28,2),0)</f>
        <v>200</v>
      </c>
      <c r="BP35" s="98">
        <f>IFERROR(VLOOKUP(BC35,'Top WS'!$A$19:$B$28,2),0)</f>
        <v>200</v>
      </c>
    </row>
    <row r="36" spans="1:68" x14ac:dyDescent="0.4">
      <c r="A36">
        <v>1190037301</v>
      </c>
      <c r="B36">
        <v>100570</v>
      </c>
      <c r="C36" s="112" t="s">
        <v>345</v>
      </c>
      <c r="D36" t="s">
        <v>242</v>
      </c>
      <c r="E36" s="1">
        <v>14439</v>
      </c>
      <c r="F36" s="1">
        <v>15548</v>
      </c>
      <c r="G36" s="1">
        <v>14252</v>
      </c>
      <c r="H36" s="1">
        <v>16375</v>
      </c>
      <c r="I36" s="1">
        <v>17533</v>
      </c>
      <c r="J36" s="1">
        <v>15209</v>
      </c>
      <c r="K36" s="1">
        <v>16640</v>
      </c>
      <c r="L36" s="1">
        <v>16711</v>
      </c>
      <c r="M36" s="1">
        <v>18181</v>
      </c>
      <c r="N36" s="1">
        <v>13335</v>
      </c>
      <c r="O36" s="1">
        <v>15079</v>
      </c>
      <c r="P36" s="1">
        <v>16634</v>
      </c>
      <c r="R36" s="1" cm="1">
        <f t="array" ref="R36:W36">IFERROR(_xlfn.XLOOKUP(A36,'Actual_Aji Plus'!A:A,'Actual_Aji Plus'!C:H),0)</f>
        <v>16321.379999999996</v>
      </c>
      <c r="S36" s="1">
        <v>14294.819999999998</v>
      </c>
      <c r="T36" s="1">
        <v>13745.819999999991</v>
      </c>
      <c r="U36" s="1">
        <v>3467.28</v>
      </c>
      <c r="V36" s="1">
        <v>2081.16</v>
      </c>
      <c r="W36" s="1">
        <v>3953.7</v>
      </c>
      <c r="X36" s="111"/>
      <c r="Y36" s="111"/>
      <c r="Z36" s="111"/>
      <c r="AA36" s="111"/>
      <c r="AB36" s="111"/>
      <c r="AC36" s="111"/>
      <c r="AD36" s="1"/>
      <c r="AE36" s="97">
        <f t="shared" si="4"/>
        <v>1.1303677539995842</v>
      </c>
      <c r="AF36" s="97">
        <f t="shared" si="5"/>
        <v>0.91939927965011559</v>
      </c>
      <c r="AG36" s="97">
        <f t="shared" si="6"/>
        <v>0.96448358125175349</v>
      </c>
      <c r="AH36" s="97">
        <f t="shared" si="7"/>
        <v>0.21174229007633588</v>
      </c>
      <c r="AI36" s="97">
        <f t="shared" si="8"/>
        <v>0.11869959504933553</v>
      </c>
      <c r="AJ36" s="97">
        <f t="shared" si="9"/>
        <v>0.2599579196528371</v>
      </c>
      <c r="AK36" s="99">
        <f t="shared" si="10"/>
        <v>0</v>
      </c>
      <c r="AL36" s="99">
        <f t="shared" si="11"/>
        <v>0</v>
      </c>
      <c r="AM36" s="99">
        <f t="shared" si="12"/>
        <v>0</v>
      </c>
      <c r="AN36" s="99">
        <f t="shared" si="13"/>
        <v>0</v>
      </c>
      <c r="AO36" s="99">
        <f t="shared" si="14"/>
        <v>0</v>
      </c>
      <c r="AP36" s="99">
        <f t="shared" si="15"/>
        <v>0</v>
      </c>
      <c r="AQ36" s="97"/>
      <c r="AR36" s="99">
        <f t="shared" si="16"/>
        <v>1.1304000000000001</v>
      </c>
      <c r="AS36" s="99">
        <f t="shared" si="17"/>
        <v>0.9194</v>
      </c>
      <c r="AT36" s="99">
        <f t="shared" si="18"/>
        <v>0.96450000000000002</v>
      </c>
      <c r="AU36" s="99">
        <f t="shared" si="19"/>
        <v>0.2117</v>
      </c>
      <c r="AV36" s="99">
        <f t="shared" si="20"/>
        <v>0.1187</v>
      </c>
      <c r="AW36" s="99">
        <f t="shared" si="21"/>
        <v>0.26</v>
      </c>
      <c r="AX36" s="99">
        <f t="shared" si="22"/>
        <v>0</v>
      </c>
      <c r="AY36" s="99">
        <f t="shared" si="23"/>
        <v>0</v>
      </c>
      <c r="AZ36" s="99">
        <f t="shared" si="24"/>
        <v>0</v>
      </c>
      <c r="BA36" s="99">
        <f t="shared" si="25"/>
        <v>0</v>
      </c>
      <c r="BB36" s="99">
        <f t="shared" si="26"/>
        <v>0</v>
      </c>
      <c r="BC36" s="99">
        <f t="shared" si="27"/>
        <v>0</v>
      </c>
      <c r="BD36" s="97"/>
      <c r="BE36" s="1">
        <f>IFERROR(VLOOKUP(AR36,'Top WS'!$A$19:$B$28,2),0)</f>
        <v>230</v>
      </c>
      <c r="BF36" s="1">
        <f>IFERROR(VLOOKUP(AS36,'Top WS'!$A$19:$B$28,2),0)</f>
        <v>200</v>
      </c>
      <c r="BG36" s="1">
        <f>IFERROR(VLOOKUP(AT36,'Top WS'!$A$19:$B$28,2),0)</f>
        <v>200</v>
      </c>
      <c r="BH36" s="1">
        <f>IFERROR(VLOOKUP(AU36,'Top WS'!$A$19:$B$28,2),0)</f>
        <v>200</v>
      </c>
      <c r="BI36" s="1">
        <f>IFERROR(VLOOKUP(AV36,'Top WS'!$A$19:$B$28,2),0)</f>
        <v>200</v>
      </c>
      <c r="BJ36" s="1">
        <f>IFERROR(VLOOKUP(AW36,'Top WS'!$A$19:$B$28,2),0)</f>
        <v>200</v>
      </c>
      <c r="BK36" s="98">
        <f>IFERROR(VLOOKUP(AX36,'Top WS'!$A$19:$B$28,2),0)</f>
        <v>200</v>
      </c>
      <c r="BL36" s="98">
        <f>IFERROR(VLOOKUP(AY36,'Top WS'!$A$19:$B$28,2),0)</f>
        <v>200</v>
      </c>
      <c r="BM36" s="98">
        <f>IFERROR(VLOOKUP(AZ36,'Top WS'!$A$19:$B$28,2),0)</f>
        <v>200</v>
      </c>
      <c r="BN36" s="98">
        <f>IFERROR(VLOOKUP(BA36,'Top WS'!$A$19:$B$28,2),0)</f>
        <v>200</v>
      </c>
      <c r="BO36" s="98">
        <f>IFERROR(VLOOKUP(BB36,'Top WS'!$A$19:$B$28,2),0)</f>
        <v>200</v>
      </c>
      <c r="BP36" s="98">
        <f>IFERROR(VLOOKUP(BC36,'Top WS'!$A$19:$B$28,2),0)</f>
        <v>200</v>
      </c>
    </row>
    <row r="37" spans="1:68" x14ac:dyDescent="0.4">
      <c r="A37">
        <v>1190037401</v>
      </c>
      <c r="B37">
        <v>28171</v>
      </c>
      <c r="C37" t="s">
        <v>346</v>
      </c>
      <c r="D37" t="s">
        <v>347</v>
      </c>
      <c r="E37" s="1">
        <v>3086.0851141110252</v>
      </c>
      <c r="F37" s="1">
        <v>3055.1364085800219</v>
      </c>
      <c r="G37" s="1">
        <v>3496.6712741556885</v>
      </c>
      <c r="H37" s="1">
        <v>3712.247311177031</v>
      </c>
      <c r="I37" s="1">
        <v>1162.8726516940098</v>
      </c>
      <c r="J37" s="1">
        <v>4528.4944609237873</v>
      </c>
      <c r="K37" s="1">
        <v>2661.1893375305226</v>
      </c>
      <c r="L37" s="1">
        <v>4923.7061027369191</v>
      </c>
      <c r="M37" s="1">
        <v>2359.2897068022698</v>
      </c>
      <c r="N37" s="1">
        <v>3533.3438263010298</v>
      </c>
      <c r="O37" s="1">
        <v>3656.3399721532805</v>
      </c>
      <c r="P37" s="1">
        <v>3404.6238338344415</v>
      </c>
      <c r="R37" s="1" cm="1">
        <f t="array" ref="R37:W37">IFERROR(_xlfn.XLOOKUP(A37,'Actual_Aji Plus'!A:A,'Actual_Aji Plus'!C:H),0)</f>
        <v>1098.72</v>
      </c>
      <c r="S37" s="1">
        <v>5443.199999999998</v>
      </c>
      <c r="T37" s="1">
        <v>1310.3999999999999</v>
      </c>
      <c r="U37" s="1">
        <v>1380.9599999999998</v>
      </c>
      <c r="V37" s="1">
        <v>4009.2599999999998</v>
      </c>
      <c r="W37" s="1">
        <v>4112.6399999999994</v>
      </c>
      <c r="X37" s="111"/>
      <c r="Y37" s="111"/>
      <c r="Z37" s="111"/>
      <c r="AA37" s="111"/>
      <c r="AB37" s="111"/>
      <c r="AC37" s="111"/>
      <c r="AD37" s="1"/>
      <c r="AE37" s="97">
        <f t="shared" si="4"/>
        <v>0.35602388118724854</v>
      </c>
      <c r="AF37" s="97">
        <f t="shared" si="5"/>
        <v>1.7816553083238302</v>
      </c>
      <c r="AG37" s="97">
        <f t="shared" si="6"/>
        <v>0.37475641753496286</v>
      </c>
      <c r="AH37" s="97">
        <f t="shared" si="7"/>
        <v>0.37200107757964623</v>
      </c>
      <c r="AI37" s="97">
        <f t="shared" si="8"/>
        <v>3.4477206030768093</v>
      </c>
      <c r="AJ37" s="97">
        <f t="shared" si="9"/>
        <v>0.90816937847397616</v>
      </c>
      <c r="AK37" s="99">
        <f t="shared" si="10"/>
        <v>0</v>
      </c>
      <c r="AL37" s="99">
        <f t="shared" si="11"/>
        <v>0</v>
      </c>
      <c r="AM37" s="99">
        <f t="shared" si="12"/>
        <v>0</v>
      </c>
      <c r="AN37" s="99">
        <f t="shared" si="13"/>
        <v>0</v>
      </c>
      <c r="AO37" s="99">
        <f t="shared" si="14"/>
        <v>0</v>
      </c>
      <c r="AP37" s="99">
        <f t="shared" si="15"/>
        <v>0</v>
      </c>
      <c r="AQ37" s="97"/>
      <c r="AR37" s="99">
        <f t="shared" si="16"/>
        <v>0.35599999999999998</v>
      </c>
      <c r="AS37" s="99">
        <f t="shared" si="17"/>
        <v>1.7817000000000001</v>
      </c>
      <c r="AT37" s="99">
        <f t="shared" si="18"/>
        <v>0.37480000000000002</v>
      </c>
      <c r="AU37" s="99">
        <f t="shared" si="19"/>
        <v>0.372</v>
      </c>
      <c r="AV37" s="99">
        <f t="shared" si="20"/>
        <v>3.4477000000000002</v>
      </c>
      <c r="AW37" s="99">
        <f t="shared" si="21"/>
        <v>0.90820000000000001</v>
      </c>
      <c r="AX37" s="99">
        <f t="shared" si="22"/>
        <v>0</v>
      </c>
      <c r="AY37" s="99">
        <f t="shared" si="23"/>
        <v>0</v>
      </c>
      <c r="AZ37" s="99">
        <f t="shared" si="24"/>
        <v>0</v>
      </c>
      <c r="BA37" s="99">
        <f t="shared" si="25"/>
        <v>0</v>
      </c>
      <c r="BB37" s="99">
        <f t="shared" si="26"/>
        <v>0</v>
      </c>
      <c r="BC37" s="99">
        <f t="shared" si="27"/>
        <v>0</v>
      </c>
      <c r="BD37" s="97"/>
      <c r="BE37" s="1">
        <f>IFERROR(VLOOKUP(AR37,'Top WS'!$A$19:$B$28,2),0)</f>
        <v>200</v>
      </c>
      <c r="BF37" s="1">
        <f>IFERROR(VLOOKUP(AS37,'Top WS'!$A$19:$B$28,2),0)</f>
        <v>260</v>
      </c>
      <c r="BG37" s="1">
        <f>IFERROR(VLOOKUP(AT37,'Top WS'!$A$19:$B$28,2),0)</f>
        <v>200</v>
      </c>
      <c r="BH37" s="1">
        <f>IFERROR(VLOOKUP(AU37,'Top WS'!$A$19:$B$28,2),0)</f>
        <v>200</v>
      </c>
      <c r="BI37" s="1">
        <f>IFERROR(VLOOKUP(AV37,'Top WS'!$A$19:$B$28,2),0)</f>
        <v>260</v>
      </c>
      <c r="BJ37" s="1">
        <f>IFERROR(VLOOKUP(AW37,'Top WS'!$A$19:$B$28,2),0)</f>
        <v>200</v>
      </c>
      <c r="BK37" s="98">
        <f>IFERROR(VLOOKUP(AX37,'Top WS'!$A$19:$B$28,2),0)</f>
        <v>200</v>
      </c>
      <c r="BL37" s="98">
        <f>IFERROR(VLOOKUP(AY37,'Top WS'!$A$19:$B$28,2),0)</f>
        <v>200</v>
      </c>
      <c r="BM37" s="98">
        <f>IFERROR(VLOOKUP(AZ37,'Top WS'!$A$19:$B$28,2),0)</f>
        <v>200</v>
      </c>
      <c r="BN37" s="98">
        <f>IFERROR(VLOOKUP(BA37,'Top WS'!$A$19:$B$28,2),0)</f>
        <v>200</v>
      </c>
      <c r="BO37" s="98">
        <f>IFERROR(VLOOKUP(BB37,'Top WS'!$A$19:$B$28,2),0)</f>
        <v>200</v>
      </c>
      <c r="BP37" s="98">
        <f>IFERROR(VLOOKUP(BC37,'Top WS'!$A$19:$B$28,2),0)</f>
        <v>200</v>
      </c>
    </row>
    <row r="38" spans="1:68" x14ac:dyDescent="0.4">
      <c r="A38">
        <v>1190043401</v>
      </c>
      <c r="B38">
        <v>75885</v>
      </c>
      <c r="C38" t="s">
        <v>348</v>
      </c>
      <c r="D38" t="s">
        <v>241</v>
      </c>
      <c r="E38" s="1">
        <v>7542.4857488694606</v>
      </c>
      <c r="F38" s="1">
        <v>6788.2371739825148</v>
      </c>
      <c r="G38" s="1">
        <v>6411.112886539041</v>
      </c>
      <c r="H38" s="1">
        <v>7542.4857488694606</v>
      </c>
      <c r="I38" s="1">
        <v>8296.7343237564073</v>
      </c>
      <c r="J38" s="1">
        <v>6411.112886539041</v>
      </c>
      <c r="K38" s="1">
        <v>6788.2371739825148</v>
      </c>
      <c r="L38" s="1">
        <v>6788.2371739825148</v>
      </c>
      <c r="M38" s="1">
        <v>9050.9828986433531</v>
      </c>
      <c r="N38" s="1">
        <v>9050.9828986433531</v>
      </c>
      <c r="O38" s="1">
        <v>7542.4857488694606</v>
      </c>
      <c r="P38" s="1">
        <v>8296.7343237564073</v>
      </c>
      <c r="R38" s="1" cm="1">
        <f t="array" ref="R38:W38">IFERROR(_xlfn.XLOOKUP(A38,'Actual_Aji Plus'!A:A,'Actual_Aji Plus'!C:H),0)</f>
        <v>7752.119999999999</v>
      </c>
      <c r="S38" s="1">
        <v>4687.8600000000006</v>
      </c>
      <c r="T38" s="1">
        <v>5597.1600000000008</v>
      </c>
      <c r="U38" s="1">
        <v>5745.06</v>
      </c>
      <c r="V38" s="1">
        <v>4211.5200000000004</v>
      </c>
      <c r="W38" s="1">
        <v>5825.9400000000005</v>
      </c>
      <c r="X38" s="111"/>
      <c r="Y38" s="111"/>
      <c r="Z38" s="111"/>
      <c r="AA38" s="111"/>
      <c r="AB38" s="111"/>
      <c r="AC38" s="111"/>
      <c r="AD38" s="1"/>
      <c r="AE38" s="97">
        <f t="shared" si="4"/>
        <v>1.0277937881635322</v>
      </c>
      <c r="AF38" s="97">
        <f t="shared" si="5"/>
        <v>0.69058577062794824</v>
      </c>
      <c r="AG38" s="97">
        <f t="shared" si="6"/>
        <v>0.87304031282181294</v>
      </c>
      <c r="AH38" s="97">
        <f t="shared" si="7"/>
        <v>0.76169318594484914</v>
      </c>
      <c r="AI38" s="97">
        <f t="shared" si="8"/>
        <v>0.50761177056627793</v>
      </c>
      <c r="AJ38" s="97">
        <f t="shared" si="9"/>
        <v>0.90872522494999475</v>
      </c>
      <c r="AK38" s="99">
        <f t="shared" si="10"/>
        <v>0</v>
      </c>
      <c r="AL38" s="99">
        <f t="shared" si="11"/>
        <v>0</v>
      </c>
      <c r="AM38" s="99">
        <f t="shared" si="12"/>
        <v>0</v>
      </c>
      <c r="AN38" s="99">
        <f t="shared" si="13"/>
        <v>0</v>
      </c>
      <c r="AO38" s="99">
        <f t="shared" si="14"/>
        <v>0</v>
      </c>
      <c r="AP38" s="99">
        <f t="shared" si="15"/>
        <v>0</v>
      </c>
      <c r="AQ38" s="97"/>
      <c r="AR38" s="99">
        <f t="shared" si="16"/>
        <v>1.0278</v>
      </c>
      <c r="AS38" s="99">
        <f t="shared" si="17"/>
        <v>0.69059999999999999</v>
      </c>
      <c r="AT38" s="99">
        <f t="shared" si="18"/>
        <v>0.873</v>
      </c>
      <c r="AU38" s="99">
        <f t="shared" si="19"/>
        <v>0.76170000000000004</v>
      </c>
      <c r="AV38" s="99">
        <f t="shared" si="20"/>
        <v>0.50760000000000005</v>
      </c>
      <c r="AW38" s="99">
        <f t="shared" si="21"/>
        <v>0.90869999999999995</v>
      </c>
      <c r="AX38" s="99">
        <f t="shared" si="22"/>
        <v>0</v>
      </c>
      <c r="AY38" s="99">
        <f t="shared" si="23"/>
        <v>0</v>
      </c>
      <c r="AZ38" s="99">
        <f t="shared" si="24"/>
        <v>0</v>
      </c>
      <c r="BA38" s="99">
        <f t="shared" si="25"/>
        <v>0</v>
      </c>
      <c r="BB38" s="99">
        <f t="shared" si="26"/>
        <v>0</v>
      </c>
      <c r="BC38" s="99">
        <f t="shared" si="27"/>
        <v>0</v>
      </c>
      <c r="BD38" s="97"/>
      <c r="BE38" s="1">
        <f>IFERROR(VLOOKUP(AR38,'Top WS'!$A$19:$B$28,2),0)</f>
        <v>206</v>
      </c>
      <c r="BF38" s="1">
        <f>IFERROR(VLOOKUP(AS38,'Top WS'!$A$19:$B$28,2),0)</f>
        <v>200</v>
      </c>
      <c r="BG38" s="1">
        <f>IFERROR(VLOOKUP(AT38,'Top WS'!$A$19:$B$28,2),0)</f>
        <v>200</v>
      </c>
      <c r="BH38" s="1">
        <f>IFERROR(VLOOKUP(AU38,'Top WS'!$A$19:$B$28,2),0)</f>
        <v>200</v>
      </c>
      <c r="BI38" s="1">
        <f>IFERROR(VLOOKUP(AV38,'Top WS'!$A$19:$B$28,2),0)</f>
        <v>200</v>
      </c>
      <c r="BJ38" s="1">
        <f>IFERROR(VLOOKUP(AW38,'Top WS'!$A$19:$B$28,2),0)</f>
        <v>200</v>
      </c>
      <c r="BK38" s="98">
        <f>IFERROR(VLOOKUP(AX38,'Top WS'!$A$19:$B$28,2),0)</f>
        <v>200</v>
      </c>
      <c r="BL38" s="98">
        <f>IFERROR(VLOOKUP(AY38,'Top WS'!$A$19:$B$28,2),0)</f>
        <v>200</v>
      </c>
      <c r="BM38" s="98">
        <f>IFERROR(VLOOKUP(AZ38,'Top WS'!$A$19:$B$28,2),0)</f>
        <v>200</v>
      </c>
      <c r="BN38" s="98">
        <f>IFERROR(VLOOKUP(BA38,'Top WS'!$A$19:$B$28,2),0)</f>
        <v>200</v>
      </c>
      <c r="BO38" s="98">
        <f>IFERROR(VLOOKUP(BB38,'Top WS'!$A$19:$B$28,2),0)</f>
        <v>200</v>
      </c>
      <c r="BP38" s="98">
        <f>IFERROR(VLOOKUP(BC38,'Top WS'!$A$19:$B$28,2),0)</f>
        <v>200</v>
      </c>
    </row>
    <row r="39" spans="1:68" x14ac:dyDescent="0.4">
      <c r="A39">
        <v>1190043402</v>
      </c>
      <c r="B39">
        <v>63707</v>
      </c>
      <c r="C39" t="s">
        <v>349</v>
      </c>
      <c r="D39" t="s">
        <v>241</v>
      </c>
      <c r="E39" s="1">
        <v>15921.869452026374</v>
      </c>
      <c r="F39" s="1">
        <v>14329.682506823738</v>
      </c>
      <c r="G39" s="1">
        <v>13533.589034222417</v>
      </c>
      <c r="H39" s="1">
        <v>15921.869452026374</v>
      </c>
      <c r="I39" s="1">
        <v>17514.056397229015</v>
      </c>
      <c r="J39" s="1">
        <v>13533.589034222417</v>
      </c>
      <c r="K39" s="1">
        <v>14329.682506823738</v>
      </c>
      <c r="L39" s="1">
        <v>14329.682506823738</v>
      </c>
      <c r="M39" s="1">
        <v>19106.243342431648</v>
      </c>
      <c r="N39" s="1">
        <v>19106.243342431648</v>
      </c>
      <c r="O39" s="1">
        <v>15921.869452026374</v>
      </c>
      <c r="P39" s="1">
        <v>17514.056397229015</v>
      </c>
      <c r="R39" s="1" cm="1">
        <f t="array" ref="R39:W39">IFERROR(_xlfn.XLOOKUP(A39,'Actual_Aji Plus'!A:A,'Actual_Aji Plus'!C:H),0)</f>
        <v>13297.559999999994</v>
      </c>
      <c r="S39" s="1">
        <v>17280.78</v>
      </c>
      <c r="T39" s="1">
        <v>14171.199999999997</v>
      </c>
      <c r="U39" s="1">
        <v>15502.979999999996</v>
      </c>
      <c r="V39" s="1">
        <v>18404.639999999992</v>
      </c>
      <c r="W39" s="1">
        <v>12283.019999999999</v>
      </c>
      <c r="X39" s="111"/>
      <c r="Y39" s="111"/>
      <c r="Z39" s="111"/>
      <c r="AA39" s="111"/>
      <c r="AB39" s="111"/>
      <c r="AC39" s="111"/>
      <c r="AD39" s="1"/>
      <c r="AE39" s="97">
        <f t="shared" si="4"/>
        <v>0.83517579641425932</v>
      </c>
      <c r="AF39" s="97">
        <f t="shared" si="5"/>
        <v>1.2059429782740099</v>
      </c>
      <c r="AG39" s="97">
        <f t="shared" si="6"/>
        <v>1.0471132206072795</v>
      </c>
      <c r="AH39" s="97">
        <f t="shared" si="7"/>
        <v>0.97369093790848371</v>
      </c>
      <c r="AI39" s="97">
        <f t="shared" si="8"/>
        <v>1.050849647995417</v>
      </c>
      <c r="AJ39" s="97">
        <f t="shared" si="9"/>
        <v>0.90759516702774834</v>
      </c>
      <c r="AK39" s="99">
        <f t="shared" si="10"/>
        <v>0</v>
      </c>
      <c r="AL39" s="99">
        <f t="shared" si="11"/>
        <v>0</v>
      </c>
      <c r="AM39" s="99">
        <f t="shared" si="12"/>
        <v>0</v>
      </c>
      <c r="AN39" s="99">
        <f t="shared" si="13"/>
        <v>0</v>
      </c>
      <c r="AO39" s="99">
        <f t="shared" si="14"/>
        <v>0</v>
      </c>
      <c r="AP39" s="99">
        <f t="shared" si="15"/>
        <v>0</v>
      </c>
      <c r="AQ39" s="97"/>
      <c r="AR39" s="99">
        <f t="shared" si="16"/>
        <v>0.83520000000000005</v>
      </c>
      <c r="AS39" s="99">
        <f t="shared" si="17"/>
        <v>1.2059</v>
      </c>
      <c r="AT39" s="99">
        <f t="shared" si="18"/>
        <v>1.0470999999999999</v>
      </c>
      <c r="AU39" s="99">
        <f t="shared" si="19"/>
        <v>0.97370000000000001</v>
      </c>
      <c r="AV39" s="99">
        <f t="shared" si="20"/>
        <v>1.0508</v>
      </c>
      <c r="AW39" s="99">
        <f t="shared" si="21"/>
        <v>0.90759999999999996</v>
      </c>
      <c r="AX39" s="99">
        <f t="shared" si="22"/>
        <v>0</v>
      </c>
      <c r="AY39" s="99">
        <f t="shared" si="23"/>
        <v>0</v>
      </c>
      <c r="AZ39" s="99">
        <f t="shared" si="24"/>
        <v>0</v>
      </c>
      <c r="BA39" s="99">
        <f t="shared" si="25"/>
        <v>0</v>
      </c>
      <c r="BB39" s="99">
        <f t="shared" si="26"/>
        <v>0</v>
      </c>
      <c r="BC39" s="99">
        <f t="shared" si="27"/>
        <v>0</v>
      </c>
      <c r="BD39" s="97"/>
      <c r="BE39" s="1">
        <f>IFERROR(VLOOKUP(AR39,'Top WS'!$A$19:$B$28,2),0)</f>
        <v>200</v>
      </c>
      <c r="BF39" s="1">
        <f>IFERROR(VLOOKUP(AS39,'Top WS'!$A$19:$B$28,2),0)</f>
        <v>260</v>
      </c>
      <c r="BG39" s="1">
        <f>IFERROR(VLOOKUP(AT39,'Top WS'!$A$19:$B$28,2),0)</f>
        <v>216</v>
      </c>
      <c r="BH39" s="1">
        <f>IFERROR(VLOOKUP(AU39,'Top WS'!$A$19:$B$28,2),0)</f>
        <v>200</v>
      </c>
      <c r="BI39" s="1">
        <f>IFERROR(VLOOKUP(AV39,'Top WS'!$A$19:$B$28,2),0)</f>
        <v>216</v>
      </c>
      <c r="BJ39" s="1">
        <f>IFERROR(VLOOKUP(AW39,'Top WS'!$A$19:$B$28,2),0)</f>
        <v>200</v>
      </c>
      <c r="BK39" s="98">
        <f>IFERROR(VLOOKUP(AX39,'Top WS'!$A$19:$B$28,2),0)</f>
        <v>200</v>
      </c>
      <c r="BL39" s="98">
        <f>IFERROR(VLOOKUP(AY39,'Top WS'!$A$19:$B$28,2),0)</f>
        <v>200</v>
      </c>
      <c r="BM39" s="98">
        <f>IFERROR(VLOOKUP(AZ39,'Top WS'!$A$19:$B$28,2),0)</f>
        <v>200</v>
      </c>
      <c r="BN39" s="98">
        <f>IFERROR(VLOOKUP(BA39,'Top WS'!$A$19:$B$28,2),0)</f>
        <v>200</v>
      </c>
      <c r="BO39" s="98">
        <f>IFERROR(VLOOKUP(BB39,'Top WS'!$A$19:$B$28,2),0)</f>
        <v>200</v>
      </c>
      <c r="BP39" s="98">
        <f>IFERROR(VLOOKUP(BC39,'Top WS'!$A$19:$B$28,2),0)</f>
        <v>200</v>
      </c>
    </row>
    <row r="40" spans="1:68" x14ac:dyDescent="0.4">
      <c r="A40">
        <v>1190043501</v>
      </c>
      <c r="B40">
        <v>76645</v>
      </c>
      <c r="C40" t="s">
        <v>350</v>
      </c>
      <c r="D40" t="s">
        <v>351</v>
      </c>
      <c r="E40" s="1">
        <v>18580.214707416886</v>
      </c>
      <c r="F40" s="1">
        <v>19339.264331343329</v>
      </c>
      <c r="G40" s="1">
        <v>19009.242755723142</v>
      </c>
      <c r="H40" s="1">
        <v>19471.27296159141</v>
      </c>
      <c r="I40" s="1">
        <v>19801.294537211601</v>
      </c>
      <c r="J40" s="1">
        <v>19570.279434277469</v>
      </c>
      <c r="K40" s="1">
        <v>19834.296694773624</v>
      </c>
      <c r="L40" s="1">
        <v>19801.294537211601</v>
      </c>
      <c r="M40" s="1">
        <v>20131.316112831795</v>
      </c>
      <c r="N40" s="1">
        <v>20131.316112831795</v>
      </c>
      <c r="O40" s="1">
        <v>19471.27296159141</v>
      </c>
      <c r="P40" s="1">
        <v>19801.294537211601</v>
      </c>
      <c r="R40" s="1" cm="1">
        <f t="array" ref="R40:W40">IFERROR(_xlfn.XLOOKUP(A40,'Actual_Aji Plus'!A:A,'Actual_Aji Plus'!C:H),0)</f>
        <v>16863.179999999989</v>
      </c>
      <c r="S40" s="1">
        <v>19660.979999999992</v>
      </c>
      <c r="T40" s="1">
        <v>14237.519999999993</v>
      </c>
      <c r="U40" s="1">
        <v>17745.12</v>
      </c>
      <c r="V40" s="1">
        <v>17510.219999999994</v>
      </c>
      <c r="W40" s="1">
        <v>14760.239999999985</v>
      </c>
      <c r="X40" s="111"/>
      <c r="Y40" s="111"/>
      <c r="Z40" s="111"/>
      <c r="AA40" s="111"/>
      <c r="AB40" s="111"/>
      <c r="AC40" s="111"/>
      <c r="AD40" s="1"/>
      <c r="AE40" s="97">
        <f t="shared" si="4"/>
        <v>0.9075880050658679</v>
      </c>
      <c r="AF40" s="97">
        <f t="shared" si="5"/>
        <v>1.0166353622942759</v>
      </c>
      <c r="AG40" s="97">
        <f t="shared" si="6"/>
        <v>0.74897880904348391</v>
      </c>
      <c r="AH40" s="97">
        <f t="shared" si="7"/>
        <v>0.91134873590461285</v>
      </c>
      <c r="AI40" s="97">
        <f t="shared" si="8"/>
        <v>0.88429672954431826</v>
      </c>
      <c r="AJ40" s="97">
        <f t="shared" si="9"/>
        <v>0.75421713060199491</v>
      </c>
      <c r="AK40" s="99">
        <f t="shared" si="10"/>
        <v>0</v>
      </c>
      <c r="AL40" s="99">
        <f t="shared" si="11"/>
        <v>0</v>
      </c>
      <c r="AM40" s="99">
        <f t="shared" si="12"/>
        <v>0</v>
      </c>
      <c r="AN40" s="99">
        <f t="shared" si="13"/>
        <v>0</v>
      </c>
      <c r="AO40" s="99">
        <f t="shared" si="14"/>
        <v>0</v>
      </c>
      <c r="AP40" s="99">
        <f t="shared" si="15"/>
        <v>0</v>
      </c>
      <c r="AQ40" s="97"/>
      <c r="AR40" s="99">
        <f t="shared" si="16"/>
        <v>0.90759999999999996</v>
      </c>
      <c r="AS40" s="99">
        <f t="shared" si="17"/>
        <v>1.0165999999999999</v>
      </c>
      <c r="AT40" s="99">
        <f t="shared" si="18"/>
        <v>0.749</v>
      </c>
      <c r="AU40" s="99">
        <f t="shared" si="19"/>
        <v>0.9113</v>
      </c>
      <c r="AV40" s="99">
        <f t="shared" si="20"/>
        <v>0.88429999999999997</v>
      </c>
      <c r="AW40" s="99">
        <f t="shared" si="21"/>
        <v>0.75419999999999998</v>
      </c>
      <c r="AX40" s="99">
        <f t="shared" si="22"/>
        <v>0</v>
      </c>
      <c r="AY40" s="99">
        <f t="shared" si="23"/>
        <v>0</v>
      </c>
      <c r="AZ40" s="99">
        <f t="shared" si="24"/>
        <v>0</v>
      </c>
      <c r="BA40" s="99">
        <f t="shared" si="25"/>
        <v>0</v>
      </c>
      <c r="BB40" s="99">
        <f t="shared" si="26"/>
        <v>0</v>
      </c>
      <c r="BC40" s="99">
        <f t="shared" si="27"/>
        <v>0</v>
      </c>
      <c r="BD40" s="97"/>
      <c r="BE40" s="1">
        <f>IFERROR(VLOOKUP(AR40,'Top WS'!$A$19:$B$28,2),0)</f>
        <v>200</v>
      </c>
      <c r="BF40" s="1">
        <f>IFERROR(VLOOKUP(AS40,'Top WS'!$A$19:$B$28,2),0)</f>
        <v>206</v>
      </c>
      <c r="BG40" s="1">
        <f>IFERROR(VLOOKUP(AT40,'Top WS'!$A$19:$B$28,2),0)</f>
        <v>200</v>
      </c>
      <c r="BH40" s="1">
        <f>IFERROR(VLOOKUP(AU40,'Top WS'!$A$19:$B$28,2),0)</f>
        <v>200</v>
      </c>
      <c r="BI40" s="1">
        <f>IFERROR(VLOOKUP(AV40,'Top WS'!$A$19:$B$28,2),0)</f>
        <v>200</v>
      </c>
      <c r="BJ40" s="1">
        <f>IFERROR(VLOOKUP(AW40,'Top WS'!$A$19:$B$28,2),0)</f>
        <v>200</v>
      </c>
      <c r="BK40" s="98">
        <f>IFERROR(VLOOKUP(AX40,'Top WS'!$A$19:$B$28,2),0)</f>
        <v>200</v>
      </c>
      <c r="BL40" s="98">
        <f>IFERROR(VLOOKUP(AY40,'Top WS'!$A$19:$B$28,2),0)</f>
        <v>200</v>
      </c>
      <c r="BM40" s="98">
        <f>IFERROR(VLOOKUP(AZ40,'Top WS'!$A$19:$B$28,2),0)</f>
        <v>200</v>
      </c>
      <c r="BN40" s="98">
        <f>IFERROR(VLOOKUP(BA40,'Top WS'!$A$19:$B$28,2),0)</f>
        <v>200</v>
      </c>
      <c r="BO40" s="98">
        <f>IFERROR(VLOOKUP(BB40,'Top WS'!$A$19:$B$28,2),0)</f>
        <v>200</v>
      </c>
      <c r="BP40" s="98">
        <f>IFERROR(VLOOKUP(BC40,'Top WS'!$A$19:$B$28,2),0)</f>
        <v>200</v>
      </c>
    </row>
    <row r="41" spans="1:68" x14ac:dyDescent="0.4">
      <c r="A41">
        <v>1190043502</v>
      </c>
      <c r="B41">
        <v>26006</v>
      </c>
      <c r="C41" t="s">
        <v>352</v>
      </c>
      <c r="D41" t="s">
        <v>351</v>
      </c>
      <c r="E41" s="1">
        <v>4326.2580289945963</v>
      </c>
      <c r="F41" s="1">
        <v>4502.996811706631</v>
      </c>
      <c r="G41" s="1">
        <v>4426.1538627013997</v>
      </c>
      <c r="H41" s="1">
        <v>4533.7339913087244</v>
      </c>
      <c r="I41" s="1">
        <v>4610.5769403139575</v>
      </c>
      <c r="J41" s="1">
        <v>4556.7868760102947</v>
      </c>
      <c r="K41" s="1">
        <v>4618.2612352144806</v>
      </c>
      <c r="L41" s="1">
        <v>4610.5769403139575</v>
      </c>
      <c r="M41" s="1">
        <v>4687.4198893191888</v>
      </c>
      <c r="N41" s="1">
        <v>4687.4198893191888</v>
      </c>
      <c r="O41" s="1">
        <v>4533.7339913087244</v>
      </c>
      <c r="P41" s="1">
        <v>4610.5769403139575</v>
      </c>
      <c r="R41" s="1" cm="1">
        <f t="array" ref="R41:W41">IFERROR(_xlfn.XLOOKUP(A41,'Actual_Aji Plus'!A:A,'Actual_Aji Plus'!C:H),0)</f>
        <v>5570.2199999999966</v>
      </c>
      <c r="S41" s="1">
        <v>5489.8199999999988</v>
      </c>
      <c r="T41" s="1">
        <v>3575.1000000000022</v>
      </c>
      <c r="U41" s="1">
        <v>4018.3800000000028</v>
      </c>
      <c r="V41" s="1">
        <v>4429.5600000000004</v>
      </c>
      <c r="W41" s="1">
        <v>4502.4600000000009</v>
      </c>
      <c r="X41" s="111"/>
      <c r="Y41" s="111"/>
      <c r="Z41" s="111"/>
      <c r="AA41" s="111"/>
      <c r="AB41" s="111"/>
      <c r="AC41" s="111"/>
      <c r="AD41" s="1"/>
      <c r="AE41" s="97">
        <f t="shared" si="4"/>
        <v>1.2875376278225577</v>
      </c>
      <c r="AF41" s="97">
        <f t="shared" si="5"/>
        <v>1.2191480983792575</v>
      </c>
      <c r="AG41" s="97">
        <f t="shared" si="6"/>
        <v>0.80772158196462318</v>
      </c>
      <c r="AH41" s="97">
        <f t="shared" si="7"/>
        <v>0.88632901879627979</v>
      </c>
      <c r="AI41" s="97">
        <f t="shared" si="8"/>
        <v>0.96073876595981267</v>
      </c>
      <c r="AJ41" s="97">
        <f t="shared" si="9"/>
        <v>0.98807781063970679</v>
      </c>
      <c r="AK41" s="99">
        <f t="shared" si="10"/>
        <v>0</v>
      </c>
      <c r="AL41" s="99">
        <f t="shared" si="11"/>
        <v>0</v>
      </c>
      <c r="AM41" s="99">
        <f t="shared" si="12"/>
        <v>0</v>
      </c>
      <c r="AN41" s="99">
        <f t="shared" si="13"/>
        <v>0</v>
      </c>
      <c r="AO41" s="99">
        <f t="shared" si="14"/>
        <v>0</v>
      </c>
      <c r="AP41" s="99">
        <f t="shared" si="15"/>
        <v>0</v>
      </c>
      <c r="AQ41" s="97"/>
      <c r="AR41" s="99">
        <f t="shared" si="16"/>
        <v>1.2875000000000001</v>
      </c>
      <c r="AS41" s="99">
        <f t="shared" si="17"/>
        <v>1.2191000000000001</v>
      </c>
      <c r="AT41" s="99">
        <f t="shared" si="18"/>
        <v>0.80769999999999997</v>
      </c>
      <c r="AU41" s="99">
        <f t="shared" si="19"/>
        <v>0.88629999999999998</v>
      </c>
      <c r="AV41" s="99">
        <f t="shared" si="20"/>
        <v>0.9607</v>
      </c>
      <c r="AW41" s="99">
        <f t="shared" si="21"/>
        <v>0.98809999999999998</v>
      </c>
      <c r="AX41" s="99">
        <f t="shared" si="22"/>
        <v>0</v>
      </c>
      <c r="AY41" s="99">
        <f t="shared" si="23"/>
        <v>0</v>
      </c>
      <c r="AZ41" s="99">
        <f t="shared" si="24"/>
        <v>0</v>
      </c>
      <c r="BA41" s="99">
        <f t="shared" si="25"/>
        <v>0</v>
      </c>
      <c r="BB41" s="99">
        <f t="shared" si="26"/>
        <v>0</v>
      </c>
      <c r="BC41" s="99">
        <f t="shared" si="27"/>
        <v>0</v>
      </c>
      <c r="BD41" s="97"/>
      <c r="BE41" s="1">
        <f>IFERROR(VLOOKUP(AR41,'Top WS'!$A$19:$B$28,2),0)</f>
        <v>260</v>
      </c>
      <c r="BF41" s="1">
        <f>IFERROR(VLOOKUP(AS41,'Top WS'!$A$19:$B$28,2),0)</f>
        <v>260</v>
      </c>
      <c r="BG41" s="1">
        <f>IFERROR(VLOOKUP(AT41,'Top WS'!$A$19:$B$28,2),0)</f>
        <v>200</v>
      </c>
      <c r="BH41" s="1">
        <f>IFERROR(VLOOKUP(AU41,'Top WS'!$A$19:$B$28,2),0)</f>
        <v>200</v>
      </c>
      <c r="BI41" s="1">
        <f>IFERROR(VLOOKUP(AV41,'Top WS'!$A$19:$B$28,2),0)</f>
        <v>200</v>
      </c>
      <c r="BJ41" s="1">
        <f>IFERROR(VLOOKUP(AW41,'Top WS'!$A$19:$B$28,2),0)</f>
        <v>200</v>
      </c>
      <c r="BK41" s="98">
        <f>IFERROR(VLOOKUP(AX41,'Top WS'!$A$19:$B$28,2),0)</f>
        <v>200</v>
      </c>
      <c r="BL41" s="98">
        <f>IFERROR(VLOOKUP(AY41,'Top WS'!$A$19:$B$28,2),0)</f>
        <v>200</v>
      </c>
      <c r="BM41" s="98">
        <f>IFERROR(VLOOKUP(AZ41,'Top WS'!$A$19:$B$28,2),0)</f>
        <v>200</v>
      </c>
      <c r="BN41" s="98">
        <f>IFERROR(VLOOKUP(BA41,'Top WS'!$A$19:$B$28,2),0)</f>
        <v>200</v>
      </c>
      <c r="BO41" s="98">
        <f>IFERROR(VLOOKUP(BB41,'Top WS'!$A$19:$B$28,2),0)</f>
        <v>200</v>
      </c>
      <c r="BP41" s="98">
        <f>IFERROR(VLOOKUP(BC41,'Top WS'!$A$19:$B$28,2),0)</f>
        <v>200</v>
      </c>
    </row>
    <row r="42" spans="1:68" x14ac:dyDescent="0.4">
      <c r="A42">
        <v>1190043601</v>
      </c>
      <c r="B42">
        <v>77489</v>
      </c>
      <c r="C42" t="s">
        <v>353</v>
      </c>
      <c r="D42" t="s">
        <v>231</v>
      </c>
      <c r="E42" s="1">
        <v>24521.541984027503</v>
      </c>
      <c r="F42" s="1">
        <v>25523.310129023292</v>
      </c>
      <c r="G42" s="1">
        <v>25087.758761633824</v>
      </c>
      <c r="H42" s="1">
        <v>25697.530675979087</v>
      </c>
      <c r="I42" s="1">
        <v>26133.082043368562</v>
      </c>
      <c r="J42" s="1">
        <v>25828.196086195931</v>
      </c>
      <c r="K42" s="1">
        <v>26176.637180107511</v>
      </c>
      <c r="L42" s="1">
        <v>26133.082043368562</v>
      </c>
      <c r="M42" s="1">
        <v>26568.633410758033</v>
      </c>
      <c r="N42" s="1">
        <v>26568.633410758033</v>
      </c>
      <c r="O42" s="1">
        <v>25697.530675979087</v>
      </c>
      <c r="P42" s="1">
        <v>26133.082043368562</v>
      </c>
      <c r="R42" s="1" cm="1">
        <f t="array" ref="R42:W42">IFERROR(_xlfn.XLOOKUP(A42,'Actual_Aji Plus'!A:A,'Actual_Aji Plus'!C:H),0)</f>
        <v>20609.460000000003</v>
      </c>
      <c r="S42" s="1">
        <v>24314.940000000002</v>
      </c>
      <c r="T42" s="1">
        <v>24506.520000000019</v>
      </c>
      <c r="U42" s="1">
        <v>26982.360000000015</v>
      </c>
      <c r="V42" s="1">
        <v>25987.980000000007</v>
      </c>
      <c r="W42" s="1">
        <v>21946.920000000002</v>
      </c>
      <c r="X42" s="111"/>
      <c r="Y42" s="111"/>
      <c r="Z42" s="111"/>
      <c r="AA42" s="111"/>
      <c r="AB42" s="111"/>
      <c r="AC42" s="111"/>
      <c r="AD42" s="1"/>
      <c r="AE42" s="97">
        <f t="shared" si="4"/>
        <v>0.84046345916681353</v>
      </c>
      <c r="AF42" s="97">
        <f t="shared" si="5"/>
        <v>0.95265621414640822</v>
      </c>
      <c r="AG42" s="97">
        <f t="shared" si="6"/>
        <v>0.97683177811312971</v>
      </c>
      <c r="AH42" s="97">
        <f t="shared" si="7"/>
        <v>1.04999816286714</v>
      </c>
      <c r="AI42" s="97">
        <f t="shared" si="8"/>
        <v>0.99444757250110205</v>
      </c>
      <c r="AJ42" s="97">
        <f t="shared" si="9"/>
        <v>0.84972717129593478</v>
      </c>
      <c r="AK42" s="99">
        <f t="shared" si="10"/>
        <v>0</v>
      </c>
      <c r="AL42" s="99">
        <f t="shared" si="11"/>
        <v>0</v>
      </c>
      <c r="AM42" s="99">
        <f t="shared" si="12"/>
        <v>0</v>
      </c>
      <c r="AN42" s="99">
        <f t="shared" si="13"/>
        <v>0</v>
      </c>
      <c r="AO42" s="99">
        <f t="shared" si="14"/>
        <v>0</v>
      </c>
      <c r="AP42" s="99">
        <f t="shared" si="15"/>
        <v>0</v>
      </c>
      <c r="AQ42" s="97"/>
      <c r="AR42" s="99">
        <f t="shared" si="16"/>
        <v>0.84050000000000002</v>
      </c>
      <c r="AS42" s="99">
        <f t="shared" si="17"/>
        <v>0.95269999999999999</v>
      </c>
      <c r="AT42" s="99">
        <f t="shared" si="18"/>
        <v>0.9768</v>
      </c>
      <c r="AU42" s="99">
        <f t="shared" si="19"/>
        <v>1.05</v>
      </c>
      <c r="AV42" s="99">
        <f t="shared" si="20"/>
        <v>0.99439999999999995</v>
      </c>
      <c r="AW42" s="99">
        <f t="shared" si="21"/>
        <v>0.84970000000000001</v>
      </c>
      <c r="AX42" s="99">
        <f t="shared" si="22"/>
        <v>0</v>
      </c>
      <c r="AY42" s="99">
        <f t="shared" si="23"/>
        <v>0</v>
      </c>
      <c r="AZ42" s="99">
        <f t="shared" si="24"/>
        <v>0</v>
      </c>
      <c r="BA42" s="99">
        <f t="shared" si="25"/>
        <v>0</v>
      </c>
      <c r="BB42" s="99">
        <f t="shared" si="26"/>
        <v>0</v>
      </c>
      <c r="BC42" s="99">
        <f t="shared" si="27"/>
        <v>0</v>
      </c>
      <c r="BD42" s="97"/>
      <c r="BE42" s="1">
        <f>IFERROR(VLOOKUP(AR42,'Top WS'!$A$19:$B$28,2),0)</f>
        <v>200</v>
      </c>
      <c r="BF42" s="1">
        <f>IFERROR(VLOOKUP(AS42,'Top WS'!$A$19:$B$28,2),0)</f>
        <v>200</v>
      </c>
      <c r="BG42" s="1">
        <f>IFERROR(VLOOKUP(AT42,'Top WS'!$A$19:$B$28,2),0)</f>
        <v>200</v>
      </c>
      <c r="BH42" s="1">
        <f>IFERROR(VLOOKUP(AU42,'Top WS'!$A$19:$B$28,2),0)</f>
        <v>216</v>
      </c>
      <c r="BI42" s="1">
        <f>IFERROR(VLOOKUP(AV42,'Top WS'!$A$19:$B$28,2),0)</f>
        <v>200</v>
      </c>
      <c r="BJ42" s="1">
        <f>IFERROR(VLOOKUP(AW42,'Top WS'!$A$19:$B$28,2),0)</f>
        <v>200</v>
      </c>
      <c r="BK42" s="98">
        <f>IFERROR(VLOOKUP(AX42,'Top WS'!$A$19:$B$28,2),0)</f>
        <v>200</v>
      </c>
      <c r="BL42" s="98">
        <f>IFERROR(VLOOKUP(AY42,'Top WS'!$A$19:$B$28,2),0)</f>
        <v>200</v>
      </c>
      <c r="BM42" s="98">
        <f>IFERROR(VLOOKUP(AZ42,'Top WS'!$A$19:$B$28,2),0)</f>
        <v>200</v>
      </c>
      <c r="BN42" s="98">
        <f>IFERROR(VLOOKUP(BA42,'Top WS'!$A$19:$B$28,2),0)</f>
        <v>200</v>
      </c>
      <c r="BO42" s="98">
        <f>IFERROR(VLOOKUP(BB42,'Top WS'!$A$19:$B$28,2),0)</f>
        <v>200</v>
      </c>
      <c r="BP42" s="98">
        <f>IFERROR(VLOOKUP(BC42,'Top WS'!$A$19:$B$28,2),0)</f>
        <v>200</v>
      </c>
    </row>
    <row r="43" spans="1:68" x14ac:dyDescent="0.4">
      <c r="A43">
        <v>1190043602</v>
      </c>
      <c r="B43">
        <v>70403</v>
      </c>
      <c r="C43" t="s">
        <v>354</v>
      </c>
      <c r="D43" t="s">
        <v>231</v>
      </c>
      <c r="E43" s="1">
        <v>52778.168534227363</v>
      </c>
      <c r="F43" s="1">
        <v>54934.292648414266</v>
      </c>
      <c r="G43" s="1">
        <v>53996.847381376494</v>
      </c>
      <c r="H43" s="1">
        <v>55309.270755229387</v>
      </c>
      <c r="I43" s="1">
        <v>56246.716022267174</v>
      </c>
      <c r="J43" s="1">
        <v>55590.504335340731</v>
      </c>
      <c r="K43" s="1">
        <v>56340.460548970957</v>
      </c>
      <c r="L43" s="1">
        <v>56246.716022267174</v>
      </c>
      <c r="M43" s="1">
        <v>57184.161289304953</v>
      </c>
      <c r="N43" s="1">
        <v>57184.161289304953</v>
      </c>
      <c r="O43" s="1">
        <v>55309.270755229387</v>
      </c>
      <c r="P43" s="1">
        <v>56246.716022267174</v>
      </c>
      <c r="R43" s="1" cm="1">
        <f t="array" ref="R43:W43">IFERROR(_xlfn.XLOOKUP(A43,'Actual_Aji Plus'!A:A,'Actual_Aji Plus'!C:H),0)</f>
        <v>48073.520000000019</v>
      </c>
      <c r="S43" s="1">
        <v>51983.819999999992</v>
      </c>
      <c r="T43" s="1">
        <v>53789.16</v>
      </c>
      <c r="U43" s="1">
        <v>47565.239999999991</v>
      </c>
      <c r="V43" s="1">
        <v>44672.740000000005</v>
      </c>
      <c r="W43" s="1">
        <v>54307.619999999995</v>
      </c>
      <c r="X43" s="111"/>
      <c r="Y43" s="111"/>
      <c r="Z43" s="111"/>
      <c r="AA43" s="111"/>
      <c r="AB43" s="111"/>
      <c r="AC43" s="111"/>
      <c r="AD43" s="1"/>
      <c r="AE43" s="97">
        <f t="shared" si="4"/>
        <v>0.91085995090609639</v>
      </c>
      <c r="AF43" s="97">
        <f t="shared" si="5"/>
        <v>0.94629087758902009</v>
      </c>
      <c r="AG43" s="97">
        <f t="shared" si="6"/>
        <v>0.99615371282864706</v>
      </c>
      <c r="AH43" s="97">
        <f t="shared" si="7"/>
        <v>0.85998674996999103</v>
      </c>
      <c r="AI43" s="97">
        <f t="shared" si="8"/>
        <v>0.79422841294974067</v>
      </c>
      <c r="AJ43" s="97">
        <f t="shared" si="9"/>
        <v>0.97692259944968396</v>
      </c>
      <c r="AK43" s="99">
        <f t="shared" si="10"/>
        <v>0</v>
      </c>
      <c r="AL43" s="99">
        <f t="shared" si="11"/>
        <v>0</v>
      </c>
      <c r="AM43" s="99">
        <f t="shared" si="12"/>
        <v>0</v>
      </c>
      <c r="AN43" s="99">
        <f t="shared" si="13"/>
        <v>0</v>
      </c>
      <c r="AO43" s="99">
        <f t="shared" si="14"/>
        <v>0</v>
      </c>
      <c r="AP43" s="99">
        <f t="shared" si="15"/>
        <v>0</v>
      </c>
      <c r="AQ43" s="97"/>
      <c r="AR43" s="99">
        <f t="shared" si="16"/>
        <v>0.91090000000000004</v>
      </c>
      <c r="AS43" s="99">
        <f t="shared" si="17"/>
        <v>0.94630000000000003</v>
      </c>
      <c r="AT43" s="99">
        <f t="shared" si="18"/>
        <v>0.99619999999999997</v>
      </c>
      <c r="AU43" s="99">
        <f t="shared" si="19"/>
        <v>0.86</v>
      </c>
      <c r="AV43" s="99">
        <f t="shared" si="20"/>
        <v>0.79420000000000002</v>
      </c>
      <c r="AW43" s="99">
        <f t="shared" si="21"/>
        <v>0.97689999999999999</v>
      </c>
      <c r="AX43" s="99">
        <f t="shared" si="22"/>
        <v>0</v>
      </c>
      <c r="AY43" s="99">
        <f t="shared" si="23"/>
        <v>0</v>
      </c>
      <c r="AZ43" s="99">
        <f t="shared" si="24"/>
        <v>0</v>
      </c>
      <c r="BA43" s="99">
        <f t="shared" si="25"/>
        <v>0</v>
      </c>
      <c r="BB43" s="99">
        <f t="shared" si="26"/>
        <v>0</v>
      </c>
      <c r="BC43" s="99">
        <f t="shared" si="27"/>
        <v>0</v>
      </c>
      <c r="BD43" s="97"/>
      <c r="BE43" s="1">
        <f>IFERROR(VLOOKUP(AR43,'Top WS'!$A$19:$B$28,2),0)</f>
        <v>200</v>
      </c>
      <c r="BF43" s="1">
        <f>IFERROR(VLOOKUP(AS43,'Top WS'!$A$19:$B$28,2),0)</f>
        <v>200</v>
      </c>
      <c r="BG43" s="1">
        <f>IFERROR(VLOOKUP(AT43,'Top WS'!$A$19:$B$28,2),0)</f>
        <v>200</v>
      </c>
      <c r="BH43" s="1">
        <f>IFERROR(VLOOKUP(AU43,'Top WS'!$A$19:$B$28,2),0)</f>
        <v>200</v>
      </c>
      <c r="BI43" s="1">
        <f>IFERROR(VLOOKUP(AV43,'Top WS'!$A$19:$B$28,2),0)</f>
        <v>200</v>
      </c>
      <c r="BJ43" s="1">
        <f>IFERROR(VLOOKUP(AW43,'Top WS'!$A$19:$B$28,2),0)</f>
        <v>200</v>
      </c>
      <c r="BK43" s="98">
        <f>IFERROR(VLOOKUP(AX43,'Top WS'!$A$19:$B$28,2),0)</f>
        <v>200</v>
      </c>
      <c r="BL43" s="98">
        <f>IFERROR(VLOOKUP(AY43,'Top WS'!$A$19:$B$28,2),0)</f>
        <v>200</v>
      </c>
      <c r="BM43" s="98">
        <f>IFERROR(VLOOKUP(AZ43,'Top WS'!$A$19:$B$28,2),0)</f>
        <v>200</v>
      </c>
      <c r="BN43" s="98">
        <f>IFERROR(VLOOKUP(BA43,'Top WS'!$A$19:$B$28,2),0)</f>
        <v>200</v>
      </c>
      <c r="BO43" s="98">
        <f>IFERROR(VLOOKUP(BB43,'Top WS'!$A$19:$B$28,2),0)</f>
        <v>200</v>
      </c>
      <c r="BP43" s="98">
        <f>IFERROR(VLOOKUP(BC43,'Top WS'!$A$19:$B$28,2),0)</f>
        <v>200</v>
      </c>
    </row>
    <row r="44" spans="1:68" x14ac:dyDescent="0.4">
      <c r="A44">
        <v>1190043701</v>
      </c>
      <c r="B44">
        <v>63286</v>
      </c>
      <c r="C44" t="s">
        <v>355</v>
      </c>
      <c r="D44" t="s">
        <v>230</v>
      </c>
      <c r="E44" s="1">
        <v>7370</v>
      </c>
      <c r="F44" s="1">
        <v>6635</v>
      </c>
      <c r="G44" s="1">
        <v>6265</v>
      </c>
      <c r="H44" s="1">
        <v>7370</v>
      </c>
      <c r="I44" s="1">
        <v>8107</v>
      </c>
      <c r="J44" s="1">
        <v>6265</v>
      </c>
      <c r="K44" s="1">
        <v>6633</v>
      </c>
      <c r="L44" s="1">
        <v>6633</v>
      </c>
      <c r="M44" s="1">
        <v>8845</v>
      </c>
      <c r="N44" s="1">
        <v>8845</v>
      </c>
      <c r="O44" s="1">
        <v>7370</v>
      </c>
      <c r="P44" s="1">
        <v>8107</v>
      </c>
      <c r="R44" s="1" cm="1">
        <f t="array" ref="R44:W44">IFERROR(_xlfn.XLOOKUP(A44,'Actual_Aji Plus'!A:A,'Actual_Aji Plus'!C:H),0)</f>
        <v>5260.9799999999987</v>
      </c>
      <c r="S44" s="1">
        <v>7123.9199999999973</v>
      </c>
      <c r="T44" s="1">
        <v>5424.36</v>
      </c>
      <c r="U44" s="1">
        <v>4843.2599999999993</v>
      </c>
      <c r="V44" s="1">
        <v>7203.8399999999974</v>
      </c>
      <c r="W44" s="1">
        <v>4702.8599999999988</v>
      </c>
      <c r="X44" s="111"/>
      <c r="Y44" s="111"/>
      <c r="Z44" s="111"/>
      <c r="AA44" s="111"/>
      <c r="AB44" s="111"/>
      <c r="AC44" s="111"/>
      <c r="AD44" s="1"/>
      <c r="AE44" s="97">
        <f t="shared" si="4"/>
        <v>0.71383717774762534</v>
      </c>
      <c r="AF44" s="97">
        <f t="shared" si="5"/>
        <v>1.0736880180859076</v>
      </c>
      <c r="AG44" s="97">
        <f t="shared" si="6"/>
        <v>0.86581963288108532</v>
      </c>
      <c r="AH44" s="97">
        <f t="shared" si="7"/>
        <v>0.65715875169606508</v>
      </c>
      <c r="AI44" s="97">
        <f t="shared" si="8"/>
        <v>0.88859504132231371</v>
      </c>
      <c r="AJ44" s="97">
        <f t="shared" si="9"/>
        <v>0.75065602553870692</v>
      </c>
      <c r="AK44" s="99">
        <f t="shared" si="10"/>
        <v>0</v>
      </c>
      <c r="AL44" s="99">
        <f t="shared" si="11"/>
        <v>0</v>
      </c>
      <c r="AM44" s="99">
        <f t="shared" si="12"/>
        <v>0</v>
      </c>
      <c r="AN44" s="99">
        <f t="shared" si="13"/>
        <v>0</v>
      </c>
      <c r="AO44" s="99">
        <f t="shared" si="14"/>
        <v>0</v>
      </c>
      <c r="AP44" s="99">
        <f t="shared" si="15"/>
        <v>0</v>
      </c>
      <c r="AQ44" s="97"/>
      <c r="AR44" s="99">
        <f t="shared" si="16"/>
        <v>0.71379999999999999</v>
      </c>
      <c r="AS44" s="99">
        <f t="shared" si="17"/>
        <v>1.0737000000000001</v>
      </c>
      <c r="AT44" s="99">
        <f t="shared" si="18"/>
        <v>0.86580000000000001</v>
      </c>
      <c r="AU44" s="99">
        <f t="shared" si="19"/>
        <v>0.65720000000000001</v>
      </c>
      <c r="AV44" s="99">
        <f t="shared" si="20"/>
        <v>0.88859999999999995</v>
      </c>
      <c r="AW44" s="99">
        <f t="shared" si="21"/>
        <v>0.75070000000000003</v>
      </c>
      <c r="AX44" s="99">
        <f t="shared" si="22"/>
        <v>0</v>
      </c>
      <c r="AY44" s="99">
        <f t="shared" si="23"/>
        <v>0</v>
      </c>
      <c r="AZ44" s="99">
        <f t="shared" si="24"/>
        <v>0</v>
      </c>
      <c r="BA44" s="99">
        <f t="shared" si="25"/>
        <v>0</v>
      </c>
      <c r="BB44" s="99">
        <f t="shared" si="26"/>
        <v>0</v>
      </c>
      <c r="BC44" s="99">
        <f t="shared" si="27"/>
        <v>0</v>
      </c>
      <c r="BD44" s="97"/>
      <c r="BE44" s="1">
        <f>IFERROR(VLOOKUP(AR44,'Top WS'!$A$19:$B$28,2),0)</f>
        <v>200</v>
      </c>
      <c r="BF44" s="1">
        <f>IFERROR(VLOOKUP(AS44,'Top WS'!$A$19:$B$28,2),0)</f>
        <v>220</v>
      </c>
      <c r="BG44" s="1">
        <f>IFERROR(VLOOKUP(AT44,'Top WS'!$A$19:$B$28,2),0)</f>
        <v>200</v>
      </c>
      <c r="BH44" s="1">
        <f>IFERROR(VLOOKUP(AU44,'Top WS'!$A$19:$B$28,2),0)</f>
        <v>200</v>
      </c>
      <c r="BI44" s="1">
        <f>IFERROR(VLOOKUP(AV44,'Top WS'!$A$19:$B$28,2),0)</f>
        <v>200</v>
      </c>
      <c r="BJ44" s="1">
        <f>IFERROR(VLOOKUP(AW44,'Top WS'!$A$19:$B$28,2),0)</f>
        <v>200</v>
      </c>
      <c r="BK44" s="98">
        <f>IFERROR(VLOOKUP(AX44,'Top WS'!$A$19:$B$28,2),0)</f>
        <v>200</v>
      </c>
      <c r="BL44" s="98">
        <f>IFERROR(VLOOKUP(AY44,'Top WS'!$A$19:$B$28,2),0)</f>
        <v>200</v>
      </c>
      <c r="BM44" s="98">
        <f>IFERROR(VLOOKUP(AZ44,'Top WS'!$A$19:$B$28,2),0)</f>
        <v>200</v>
      </c>
      <c r="BN44" s="98">
        <f>IFERROR(VLOOKUP(BA44,'Top WS'!$A$19:$B$28,2),0)</f>
        <v>200</v>
      </c>
      <c r="BO44" s="98">
        <f>IFERROR(VLOOKUP(BB44,'Top WS'!$A$19:$B$28,2),0)</f>
        <v>200</v>
      </c>
      <c r="BP44" s="98">
        <f>IFERROR(VLOOKUP(BC44,'Top WS'!$A$19:$B$28,2),0)</f>
        <v>200</v>
      </c>
    </row>
    <row r="45" spans="1:68" x14ac:dyDescent="0.4">
      <c r="A45">
        <v>1190043702</v>
      </c>
      <c r="B45">
        <v>70479</v>
      </c>
      <c r="C45" t="s">
        <v>356</v>
      </c>
      <c r="D45" t="s">
        <v>230</v>
      </c>
      <c r="E45" s="1">
        <v>4146</v>
      </c>
      <c r="F45" s="1">
        <v>3732</v>
      </c>
      <c r="G45" s="1">
        <v>3524</v>
      </c>
      <c r="H45" s="1">
        <v>4146</v>
      </c>
      <c r="I45" s="1">
        <v>4562</v>
      </c>
      <c r="J45" s="1">
        <v>3524</v>
      </c>
      <c r="K45" s="1">
        <v>3732</v>
      </c>
      <c r="L45" s="1">
        <v>3732</v>
      </c>
      <c r="M45" s="1">
        <v>4975</v>
      </c>
      <c r="N45" s="1">
        <v>4975</v>
      </c>
      <c r="O45" s="1">
        <v>4146</v>
      </c>
      <c r="P45" s="1">
        <v>4561</v>
      </c>
      <c r="R45" s="1" cm="1">
        <f t="array" ref="R45:W45">IFERROR(_xlfn.XLOOKUP(A45,'Actual_Aji Plus'!A:A,'Actual_Aji Plus'!C:H),0)</f>
        <v>3158.0400000000009</v>
      </c>
      <c r="S45" s="1">
        <v>4557.0600000000004</v>
      </c>
      <c r="T45" s="1">
        <v>3002.3999999999996</v>
      </c>
      <c r="U45" s="1">
        <v>4567.8599999999988</v>
      </c>
      <c r="V45" s="1">
        <v>4612.6199999999981</v>
      </c>
      <c r="W45" s="1">
        <v>2851.92</v>
      </c>
      <c r="X45" s="111"/>
      <c r="Y45" s="111"/>
      <c r="Z45" s="111"/>
      <c r="AA45" s="111"/>
      <c r="AB45" s="111"/>
      <c r="AC45" s="111"/>
      <c r="AD45" s="1"/>
      <c r="AE45" s="97">
        <f t="shared" si="4"/>
        <v>0.76170767004341555</v>
      </c>
      <c r="AF45" s="97">
        <f t="shared" si="5"/>
        <v>1.2210771704180066</v>
      </c>
      <c r="AG45" s="97">
        <f t="shared" si="6"/>
        <v>0.85198637911464237</v>
      </c>
      <c r="AH45" s="97">
        <f t="shared" si="7"/>
        <v>1.101751085383502</v>
      </c>
      <c r="AI45" s="97">
        <f t="shared" si="8"/>
        <v>1.0110960105217006</v>
      </c>
      <c r="AJ45" s="97">
        <f t="shared" si="9"/>
        <v>0.80928490351872873</v>
      </c>
      <c r="AK45" s="99">
        <f t="shared" si="10"/>
        <v>0</v>
      </c>
      <c r="AL45" s="99">
        <f t="shared" si="11"/>
        <v>0</v>
      </c>
      <c r="AM45" s="99">
        <f t="shared" si="12"/>
        <v>0</v>
      </c>
      <c r="AN45" s="99">
        <f t="shared" si="13"/>
        <v>0</v>
      </c>
      <c r="AO45" s="99">
        <f t="shared" si="14"/>
        <v>0</v>
      </c>
      <c r="AP45" s="99">
        <f t="shared" si="15"/>
        <v>0</v>
      </c>
      <c r="AQ45" s="97"/>
      <c r="AR45" s="99">
        <f t="shared" si="16"/>
        <v>0.76170000000000004</v>
      </c>
      <c r="AS45" s="99">
        <f t="shared" si="17"/>
        <v>1.2211000000000001</v>
      </c>
      <c r="AT45" s="99">
        <f t="shared" si="18"/>
        <v>0.85199999999999998</v>
      </c>
      <c r="AU45" s="99">
        <f t="shared" si="19"/>
        <v>1.1017999999999999</v>
      </c>
      <c r="AV45" s="99">
        <f t="shared" si="20"/>
        <v>1.0111000000000001</v>
      </c>
      <c r="AW45" s="99">
        <f t="shared" si="21"/>
        <v>0.80930000000000002</v>
      </c>
      <c r="AX45" s="99">
        <f t="shared" si="22"/>
        <v>0</v>
      </c>
      <c r="AY45" s="99">
        <f t="shared" si="23"/>
        <v>0</v>
      </c>
      <c r="AZ45" s="99">
        <f t="shared" si="24"/>
        <v>0</v>
      </c>
      <c r="BA45" s="99">
        <f t="shared" si="25"/>
        <v>0</v>
      </c>
      <c r="BB45" s="99">
        <f t="shared" si="26"/>
        <v>0</v>
      </c>
      <c r="BC45" s="99">
        <f t="shared" si="27"/>
        <v>0</v>
      </c>
      <c r="BD45" s="97"/>
      <c r="BE45" s="1">
        <f>IFERROR(VLOOKUP(AR45,'Top WS'!$A$19:$B$28,2),0)</f>
        <v>200</v>
      </c>
      <c r="BF45" s="1">
        <f>IFERROR(VLOOKUP(AS45,'Top WS'!$A$19:$B$28,2),0)</f>
        <v>260</v>
      </c>
      <c r="BG45" s="1">
        <f>IFERROR(VLOOKUP(AT45,'Top WS'!$A$19:$B$28,2),0)</f>
        <v>200</v>
      </c>
      <c r="BH45" s="1">
        <f>IFERROR(VLOOKUP(AU45,'Top WS'!$A$19:$B$28,2),0)</f>
        <v>230</v>
      </c>
      <c r="BI45" s="1">
        <f>IFERROR(VLOOKUP(AV45,'Top WS'!$A$19:$B$28,2),0)</f>
        <v>206</v>
      </c>
      <c r="BJ45" s="1">
        <f>IFERROR(VLOOKUP(AW45,'Top WS'!$A$19:$B$28,2),0)</f>
        <v>200</v>
      </c>
      <c r="BK45" s="98">
        <f>IFERROR(VLOOKUP(AX45,'Top WS'!$A$19:$B$28,2),0)</f>
        <v>200</v>
      </c>
      <c r="BL45" s="98">
        <f>IFERROR(VLOOKUP(AY45,'Top WS'!$A$19:$B$28,2),0)</f>
        <v>200</v>
      </c>
      <c r="BM45" s="98">
        <f>IFERROR(VLOOKUP(AZ45,'Top WS'!$A$19:$B$28,2),0)</f>
        <v>200</v>
      </c>
      <c r="BN45" s="98">
        <f>IFERROR(VLOOKUP(BA45,'Top WS'!$A$19:$B$28,2),0)</f>
        <v>200</v>
      </c>
      <c r="BO45" s="98">
        <f>IFERROR(VLOOKUP(BB45,'Top WS'!$A$19:$B$28,2),0)</f>
        <v>200</v>
      </c>
      <c r="BP45" s="98">
        <f>IFERROR(VLOOKUP(BC45,'Top WS'!$A$19:$B$28,2),0)</f>
        <v>200</v>
      </c>
    </row>
    <row r="46" spans="1:68" x14ac:dyDescent="0.4">
      <c r="A46">
        <v>1190043801</v>
      </c>
      <c r="B46">
        <v>75712</v>
      </c>
      <c r="C46" t="s">
        <v>357</v>
      </c>
      <c r="D46" t="s">
        <v>358</v>
      </c>
      <c r="E46" s="1">
        <v>25231.979029729257</v>
      </c>
      <c r="F46" s="1">
        <v>25269.721716043608</v>
      </c>
      <c r="G46" s="1">
        <v>24808.863651573669</v>
      </c>
      <c r="H46" s="1">
        <v>24582.407533687572</v>
      </c>
      <c r="I46" s="1">
        <v>26045.631888379641</v>
      </c>
      <c r="J46" s="1">
        <v>25007.509369017604</v>
      </c>
      <c r="K46" s="1">
        <v>25004.72832897339</v>
      </c>
      <c r="L46" s="1">
        <v>25483.46450801329</v>
      </c>
      <c r="M46" s="1">
        <v>25562.525503555975</v>
      </c>
      <c r="N46" s="1">
        <v>25978.092344448698</v>
      </c>
      <c r="O46" s="1">
        <v>24097.314691689466</v>
      </c>
      <c r="P46" s="1">
        <v>24948.710236654202</v>
      </c>
      <c r="R46" s="1" cm="1">
        <f t="array" ref="R46:W46">IFERROR(_xlfn.XLOOKUP(A46,'Actual_Aji Plus'!A:A,'Actual_Aji Plus'!C:H),0)</f>
        <v>16781.999999999993</v>
      </c>
      <c r="S46" s="1">
        <v>18727.85999999999</v>
      </c>
      <c r="T46" s="1">
        <v>25912.319999999992</v>
      </c>
      <c r="U46" s="1">
        <v>18244.559999999994</v>
      </c>
      <c r="V46" s="1">
        <v>22056.120000000006</v>
      </c>
      <c r="W46" s="1">
        <v>21881.580000000005</v>
      </c>
      <c r="X46" s="111"/>
      <c r="Y46" s="111"/>
      <c r="Z46" s="111"/>
      <c r="AA46" s="111"/>
      <c r="AB46" s="111"/>
      <c r="AC46" s="111"/>
      <c r="AD46" s="1"/>
      <c r="AE46" s="97">
        <f t="shared" si="4"/>
        <v>0.66510835238991028</v>
      </c>
      <c r="AF46" s="97">
        <f t="shared" si="5"/>
        <v>0.74111856910991514</v>
      </c>
      <c r="AG46" s="97">
        <f t="shared" si="6"/>
        <v>1.044478310813576</v>
      </c>
      <c r="AH46" s="97">
        <f t="shared" si="7"/>
        <v>0.74217954343966375</v>
      </c>
      <c r="AI46" s="97">
        <f t="shared" si="8"/>
        <v>0.84682606644073888</v>
      </c>
      <c r="AJ46" s="97">
        <f t="shared" si="9"/>
        <v>0.8750003719726529</v>
      </c>
      <c r="AK46" s="99">
        <f t="shared" si="10"/>
        <v>0</v>
      </c>
      <c r="AL46" s="99">
        <f t="shared" si="11"/>
        <v>0</v>
      </c>
      <c r="AM46" s="99">
        <f t="shared" si="12"/>
        <v>0</v>
      </c>
      <c r="AN46" s="99">
        <f t="shared" si="13"/>
        <v>0</v>
      </c>
      <c r="AO46" s="99">
        <f t="shared" si="14"/>
        <v>0</v>
      </c>
      <c r="AP46" s="99">
        <f t="shared" si="15"/>
        <v>0</v>
      </c>
      <c r="AQ46" s="97"/>
      <c r="AR46" s="99">
        <f t="shared" si="16"/>
        <v>0.66510000000000002</v>
      </c>
      <c r="AS46" s="99">
        <f t="shared" si="17"/>
        <v>0.74109999999999998</v>
      </c>
      <c r="AT46" s="99">
        <f t="shared" si="18"/>
        <v>1.0445</v>
      </c>
      <c r="AU46" s="99">
        <f t="shared" si="19"/>
        <v>0.74219999999999997</v>
      </c>
      <c r="AV46" s="99">
        <f t="shared" si="20"/>
        <v>0.8468</v>
      </c>
      <c r="AW46" s="99">
        <f t="shared" si="21"/>
        <v>0.875</v>
      </c>
      <c r="AX46" s="99">
        <f t="shared" si="22"/>
        <v>0</v>
      </c>
      <c r="AY46" s="99">
        <f t="shared" si="23"/>
        <v>0</v>
      </c>
      <c r="AZ46" s="99">
        <f t="shared" si="24"/>
        <v>0</v>
      </c>
      <c r="BA46" s="99">
        <f t="shared" si="25"/>
        <v>0</v>
      </c>
      <c r="BB46" s="99">
        <f t="shared" si="26"/>
        <v>0</v>
      </c>
      <c r="BC46" s="99">
        <f t="shared" si="27"/>
        <v>0</v>
      </c>
      <c r="BD46" s="97"/>
      <c r="BE46" s="1">
        <f>IFERROR(VLOOKUP(AR46,'Top WS'!$A$19:$B$28,2),0)</f>
        <v>200</v>
      </c>
      <c r="BF46" s="1">
        <f>IFERROR(VLOOKUP(AS46,'Top WS'!$A$19:$B$28,2),0)</f>
        <v>200</v>
      </c>
      <c r="BG46" s="1">
        <f>IFERROR(VLOOKUP(AT46,'Top WS'!$A$19:$B$28,2),0)</f>
        <v>216</v>
      </c>
      <c r="BH46" s="1">
        <f>IFERROR(VLOOKUP(AU46,'Top WS'!$A$19:$B$28,2),0)</f>
        <v>200</v>
      </c>
      <c r="BI46" s="1">
        <f>IFERROR(VLOOKUP(AV46,'Top WS'!$A$19:$B$28,2),0)</f>
        <v>200</v>
      </c>
      <c r="BJ46" s="1">
        <f>IFERROR(VLOOKUP(AW46,'Top WS'!$A$19:$B$28,2),0)</f>
        <v>200</v>
      </c>
      <c r="BK46" s="98">
        <f>IFERROR(VLOOKUP(AX46,'Top WS'!$A$19:$B$28,2),0)</f>
        <v>200</v>
      </c>
      <c r="BL46" s="98">
        <f>IFERROR(VLOOKUP(AY46,'Top WS'!$A$19:$B$28,2),0)</f>
        <v>200</v>
      </c>
      <c r="BM46" s="98">
        <f>IFERROR(VLOOKUP(AZ46,'Top WS'!$A$19:$B$28,2),0)</f>
        <v>200</v>
      </c>
      <c r="BN46" s="98">
        <f>IFERROR(VLOOKUP(BA46,'Top WS'!$A$19:$B$28,2),0)</f>
        <v>200</v>
      </c>
      <c r="BO46" s="98">
        <f>IFERROR(VLOOKUP(BB46,'Top WS'!$A$19:$B$28,2),0)</f>
        <v>200</v>
      </c>
      <c r="BP46" s="98">
        <f>IFERROR(VLOOKUP(BC46,'Top WS'!$A$19:$B$28,2),0)</f>
        <v>200</v>
      </c>
    </row>
    <row r="47" spans="1:68" x14ac:dyDescent="0.4">
      <c r="A47">
        <v>1190043802</v>
      </c>
      <c r="B47">
        <v>62573</v>
      </c>
      <c r="C47" t="s">
        <v>359</v>
      </c>
      <c r="D47" t="s">
        <v>358</v>
      </c>
      <c r="E47" s="1">
        <v>10510.566747697723</v>
      </c>
      <c r="F47" s="1">
        <v>10526.288741730654</v>
      </c>
      <c r="G47" s="1">
        <v>10334.314919854898</v>
      </c>
      <c r="H47" s="1">
        <v>10239.982955657326</v>
      </c>
      <c r="I47" s="1">
        <v>10849.499840112858</v>
      </c>
      <c r="J47" s="1">
        <v>10417.062256870307</v>
      </c>
      <c r="K47" s="1">
        <v>10415.903794152093</v>
      </c>
      <c r="L47" s="1">
        <v>10615.324876359238</v>
      </c>
      <c r="M47" s="1">
        <v>10648.258316491372</v>
      </c>
      <c r="N47" s="1">
        <v>10821.365745527615</v>
      </c>
      <c r="O47" s="1">
        <v>10037.913958665686</v>
      </c>
      <c r="P47" s="1">
        <v>10392.569045113747</v>
      </c>
      <c r="R47" s="1" cm="1">
        <f t="array" ref="R47:W47">IFERROR(_xlfn.XLOOKUP(A47,'Actual_Aji Plus'!A:A,'Actual_Aji Plus'!C:H),0)</f>
        <v>7359.2599999999966</v>
      </c>
      <c r="S47" s="1">
        <v>11957.359999999993</v>
      </c>
      <c r="T47" s="1">
        <v>7973.8799999999983</v>
      </c>
      <c r="U47" s="1">
        <v>12599.099999999991</v>
      </c>
      <c r="V47" s="1">
        <v>7964.1399999999976</v>
      </c>
      <c r="W47" s="1">
        <v>10144.179999999989</v>
      </c>
      <c r="X47" s="111"/>
      <c r="Y47" s="111"/>
      <c r="Z47" s="111"/>
      <c r="AA47" s="111"/>
      <c r="AB47" s="111"/>
      <c r="AC47" s="111"/>
      <c r="AD47" s="1"/>
      <c r="AE47" s="97">
        <f t="shared" si="4"/>
        <v>0.70017727651194439</v>
      </c>
      <c r="AF47" s="97">
        <f t="shared" si="5"/>
        <v>1.1359521188693948</v>
      </c>
      <c r="AG47" s="97">
        <f t="shared" si="6"/>
        <v>0.77159251114750793</v>
      </c>
      <c r="AH47" s="97">
        <f t="shared" si="7"/>
        <v>1.2303829073308481</v>
      </c>
      <c r="AI47" s="97">
        <f t="shared" si="8"/>
        <v>0.73405595809632762</v>
      </c>
      <c r="AJ47" s="97">
        <f t="shared" si="9"/>
        <v>0.97380429816569969</v>
      </c>
      <c r="AK47" s="99">
        <f t="shared" si="10"/>
        <v>0</v>
      </c>
      <c r="AL47" s="99">
        <f t="shared" si="11"/>
        <v>0</v>
      </c>
      <c r="AM47" s="99">
        <f t="shared" si="12"/>
        <v>0</v>
      </c>
      <c r="AN47" s="99">
        <f t="shared" si="13"/>
        <v>0</v>
      </c>
      <c r="AO47" s="99">
        <f t="shared" si="14"/>
        <v>0</v>
      </c>
      <c r="AP47" s="99">
        <f t="shared" si="15"/>
        <v>0</v>
      </c>
      <c r="AQ47" s="97"/>
      <c r="AR47" s="99">
        <f t="shared" si="16"/>
        <v>0.70020000000000004</v>
      </c>
      <c r="AS47" s="99">
        <f t="shared" si="17"/>
        <v>1.1359999999999999</v>
      </c>
      <c r="AT47" s="99">
        <f t="shared" si="18"/>
        <v>0.77159999999999995</v>
      </c>
      <c r="AU47" s="99">
        <f t="shared" si="19"/>
        <v>1.2303999999999999</v>
      </c>
      <c r="AV47" s="99">
        <f t="shared" si="20"/>
        <v>0.73409999999999997</v>
      </c>
      <c r="AW47" s="99">
        <f t="shared" si="21"/>
        <v>0.9738</v>
      </c>
      <c r="AX47" s="99">
        <f t="shared" si="22"/>
        <v>0</v>
      </c>
      <c r="AY47" s="99">
        <f t="shared" si="23"/>
        <v>0</v>
      </c>
      <c r="AZ47" s="99">
        <f t="shared" si="24"/>
        <v>0</v>
      </c>
      <c r="BA47" s="99">
        <f t="shared" si="25"/>
        <v>0</v>
      </c>
      <c r="BB47" s="99">
        <f t="shared" si="26"/>
        <v>0</v>
      </c>
      <c r="BC47" s="99">
        <f t="shared" si="27"/>
        <v>0</v>
      </c>
      <c r="BD47" s="97"/>
      <c r="BE47" s="1">
        <f>IFERROR(VLOOKUP(AR47,'Top WS'!$A$19:$B$28,2),0)</f>
        <v>200</v>
      </c>
      <c r="BF47" s="1">
        <f>IFERROR(VLOOKUP(AS47,'Top WS'!$A$19:$B$28,2),0)</f>
        <v>230</v>
      </c>
      <c r="BG47" s="1">
        <f>IFERROR(VLOOKUP(AT47,'Top WS'!$A$19:$B$28,2),0)</f>
        <v>200</v>
      </c>
      <c r="BH47" s="1">
        <f>IFERROR(VLOOKUP(AU47,'Top WS'!$A$19:$B$28,2),0)</f>
        <v>260</v>
      </c>
      <c r="BI47" s="1">
        <f>IFERROR(VLOOKUP(AV47,'Top WS'!$A$19:$B$28,2),0)</f>
        <v>200</v>
      </c>
      <c r="BJ47" s="1">
        <f>IFERROR(VLOOKUP(AW47,'Top WS'!$A$19:$B$28,2),0)</f>
        <v>200</v>
      </c>
      <c r="BK47" s="98">
        <f>IFERROR(VLOOKUP(AX47,'Top WS'!$A$19:$B$28,2),0)</f>
        <v>200</v>
      </c>
      <c r="BL47" s="98">
        <f>IFERROR(VLOOKUP(AY47,'Top WS'!$A$19:$B$28,2),0)</f>
        <v>200</v>
      </c>
      <c r="BM47" s="98">
        <f>IFERROR(VLOOKUP(AZ47,'Top WS'!$A$19:$B$28,2),0)</f>
        <v>200</v>
      </c>
      <c r="BN47" s="98">
        <f>IFERROR(VLOOKUP(BA47,'Top WS'!$A$19:$B$28,2),0)</f>
        <v>200</v>
      </c>
      <c r="BO47" s="98">
        <f>IFERROR(VLOOKUP(BB47,'Top WS'!$A$19:$B$28,2),0)</f>
        <v>200</v>
      </c>
      <c r="BP47" s="98">
        <f>IFERROR(VLOOKUP(BC47,'Top WS'!$A$19:$B$28,2),0)</f>
        <v>200</v>
      </c>
    </row>
    <row r="48" spans="1:68" x14ac:dyDescent="0.4">
      <c r="A48">
        <v>1190043901</v>
      </c>
      <c r="B48">
        <v>63244</v>
      </c>
      <c r="C48" t="s">
        <v>360</v>
      </c>
      <c r="D48" t="s">
        <v>361</v>
      </c>
      <c r="E48" s="1">
        <v>28421.809253441872</v>
      </c>
      <c r="F48" s="1">
        <v>28464.323375297918</v>
      </c>
      <c r="G48" s="1">
        <v>27945.203571582086</v>
      </c>
      <c r="H48" s="1">
        <v>27690.118840445852</v>
      </c>
      <c r="I48" s="1">
        <v>29338.324217243626</v>
      </c>
      <c r="J48" s="1">
        <v>28168.962107666488</v>
      </c>
      <c r="K48" s="1">
        <v>28165.829488161311</v>
      </c>
      <c r="L48" s="1">
        <v>28705.087560124743</v>
      </c>
      <c r="M48" s="1">
        <v>28794.143457486334</v>
      </c>
      <c r="N48" s="1">
        <v>29262.246314974924</v>
      </c>
      <c r="O48" s="1">
        <v>27143.700495327714</v>
      </c>
      <c r="P48" s="1">
        <v>28102.729580985506</v>
      </c>
      <c r="R48" s="1" cm="1">
        <f t="array" ref="R48:W48">IFERROR(_xlfn.XLOOKUP(A48,'Actual_Aji Plus'!A:A,'Actual_Aji Plus'!C:H),0)</f>
        <v>20904.88</v>
      </c>
      <c r="S48" s="1">
        <v>24018.099999999995</v>
      </c>
      <c r="T48" s="1">
        <v>16037.19999999999</v>
      </c>
      <c r="U48" s="1">
        <v>23907.160000000003</v>
      </c>
      <c r="V48" s="1">
        <v>28802.500000000004</v>
      </c>
      <c r="W48" s="1">
        <v>21744.440000000002</v>
      </c>
      <c r="X48" s="111"/>
      <c r="Y48" s="111"/>
      <c r="Z48" s="111"/>
      <c r="AA48" s="111"/>
      <c r="AB48" s="111"/>
      <c r="AC48" s="111"/>
      <c r="AD48" s="1"/>
      <c r="AE48" s="97">
        <f t="shared" si="4"/>
        <v>0.73552249308225959</v>
      </c>
      <c r="AF48" s="97">
        <f t="shared" si="5"/>
        <v>0.84379662510592224</v>
      </c>
      <c r="AG48" s="97">
        <f t="shared" si="6"/>
        <v>0.57388023525827769</v>
      </c>
      <c r="AH48" s="97">
        <f t="shared" si="7"/>
        <v>0.8633823544693412</v>
      </c>
      <c r="AI48" s="97">
        <f t="shared" si="8"/>
        <v>0.98173637276362602</v>
      </c>
      <c r="AJ48" s="97">
        <f t="shared" si="9"/>
        <v>0.77192904434636656</v>
      </c>
      <c r="AK48" s="99">
        <f t="shared" si="10"/>
        <v>0</v>
      </c>
      <c r="AL48" s="99">
        <f t="shared" si="11"/>
        <v>0</v>
      </c>
      <c r="AM48" s="99">
        <f t="shared" si="12"/>
        <v>0</v>
      </c>
      <c r="AN48" s="99">
        <f t="shared" si="13"/>
        <v>0</v>
      </c>
      <c r="AO48" s="99">
        <f t="shared" si="14"/>
        <v>0</v>
      </c>
      <c r="AP48" s="99">
        <f t="shared" si="15"/>
        <v>0</v>
      </c>
      <c r="AQ48" s="97"/>
      <c r="AR48" s="99">
        <f t="shared" si="16"/>
        <v>0.73550000000000004</v>
      </c>
      <c r="AS48" s="99">
        <f t="shared" si="17"/>
        <v>0.84379999999999999</v>
      </c>
      <c r="AT48" s="99">
        <f t="shared" si="18"/>
        <v>0.57389999999999997</v>
      </c>
      <c r="AU48" s="99">
        <f t="shared" si="19"/>
        <v>0.86339999999999995</v>
      </c>
      <c r="AV48" s="99">
        <f t="shared" si="20"/>
        <v>0.98170000000000002</v>
      </c>
      <c r="AW48" s="99">
        <f t="shared" si="21"/>
        <v>0.77190000000000003</v>
      </c>
      <c r="AX48" s="99">
        <f t="shared" si="22"/>
        <v>0</v>
      </c>
      <c r="AY48" s="99">
        <f t="shared" si="23"/>
        <v>0</v>
      </c>
      <c r="AZ48" s="99">
        <f t="shared" si="24"/>
        <v>0</v>
      </c>
      <c r="BA48" s="99">
        <f t="shared" si="25"/>
        <v>0</v>
      </c>
      <c r="BB48" s="99">
        <f t="shared" si="26"/>
        <v>0</v>
      </c>
      <c r="BC48" s="99">
        <f t="shared" si="27"/>
        <v>0</v>
      </c>
      <c r="BD48" s="97"/>
      <c r="BE48" s="1">
        <f>IFERROR(VLOOKUP(AR48,'Top WS'!$A$19:$B$28,2),0)</f>
        <v>200</v>
      </c>
      <c r="BF48" s="1">
        <f>IFERROR(VLOOKUP(AS48,'Top WS'!$A$19:$B$28,2),0)</f>
        <v>200</v>
      </c>
      <c r="BG48" s="1">
        <f>IFERROR(VLOOKUP(AT48,'Top WS'!$A$19:$B$28,2),0)</f>
        <v>200</v>
      </c>
      <c r="BH48" s="1">
        <f>IFERROR(VLOOKUP(AU48,'Top WS'!$A$19:$B$28,2),0)</f>
        <v>200</v>
      </c>
      <c r="BI48" s="1">
        <f>IFERROR(VLOOKUP(AV48,'Top WS'!$A$19:$B$28,2),0)</f>
        <v>200</v>
      </c>
      <c r="BJ48" s="1">
        <f>IFERROR(VLOOKUP(AW48,'Top WS'!$A$19:$B$28,2),0)</f>
        <v>200</v>
      </c>
      <c r="BK48" s="98">
        <f>IFERROR(VLOOKUP(AX48,'Top WS'!$A$19:$B$28,2),0)</f>
        <v>200</v>
      </c>
      <c r="BL48" s="98">
        <f>IFERROR(VLOOKUP(AY48,'Top WS'!$A$19:$B$28,2),0)</f>
        <v>200</v>
      </c>
      <c r="BM48" s="98">
        <f>IFERROR(VLOOKUP(AZ48,'Top WS'!$A$19:$B$28,2),0)</f>
        <v>200</v>
      </c>
      <c r="BN48" s="98">
        <f>IFERROR(VLOOKUP(BA48,'Top WS'!$A$19:$B$28,2),0)</f>
        <v>200</v>
      </c>
      <c r="BO48" s="98">
        <f>IFERROR(VLOOKUP(BB48,'Top WS'!$A$19:$B$28,2),0)</f>
        <v>200</v>
      </c>
      <c r="BP48" s="98">
        <f>IFERROR(VLOOKUP(BC48,'Top WS'!$A$19:$B$28,2),0)</f>
        <v>200</v>
      </c>
    </row>
    <row r="49" spans="1:68" x14ac:dyDescent="0.4">
      <c r="A49">
        <v>1190043902</v>
      </c>
      <c r="B49">
        <v>63553</v>
      </c>
      <c r="C49" t="s">
        <v>362</v>
      </c>
      <c r="D49" t="s">
        <v>361</v>
      </c>
      <c r="E49" s="1">
        <v>21338.551441111991</v>
      </c>
      <c r="F49" s="1">
        <v>21370.470231647432</v>
      </c>
      <c r="G49" s="1">
        <v>20980.724999846305</v>
      </c>
      <c r="H49" s="1">
        <v>20789.212256633673</v>
      </c>
      <c r="I49" s="1">
        <v>22026.65336760227</v>
      </c>
      <c r="J49" s="1">
        <v>21148.718634243338</v>
      </c>
      <c r="K49" s="1">
        <v>21146.366723361782</v>
      </c>
      <c r="L49" s="1">
        <v>21551.231382258647</v>
      </c>
      <c r="M49" s="1">
        <v>21618.092848748667</v>
      </c>
      <c r="N49" s="1">
        <v>21969.535531907277</v>
      </c>
      <c r="O49" s="1">
        <v>20378.971801436099</v>
      </c>
      <c r="P49" s="1">
        <v>21098.992518461815</v>
      </c>
      <c r="R49" s="1" cm="1">
        <f t="array" ref="R49:W49">IFERROR(_xlfn.XLOOKUP(A49,'Actual_Aji Plus'!A:A,'Actual_Aji Plus'!C:H),0)</f>
        <v>21602.21999999999</v>
      </c>
      <c r="S49" s="1">
        <v>25573.980000000003</v>
      </c>
      <c r="T49" s="1">
        <v>20009.939999999995</v>
      </c>
      <c r="U49" s="1">
        <v>24315.960000000014</v>
      </c>
      <c r="V49" s="1">
        <v>24832.5</v>
      </c>
      <c r="W49" s="1">
        <v>24810.539999999986</v>
      </c>
      <c r="X49" s="111"/>
      <c r="Y49" s="111"/>
      <c r="Z49" s="111"/>
      <c r="AA49" s="111"/>
      <c r="AB49" s="111"/>
      <c r="AC49" s="111"/>
      <c r="AD49" s="1"/>
      <c r="AE49" s="97">
        <f t="shared" si="4"/>
        <v>1.0123564413271278</v>
      </c>
      <c r="AF49" s="97">
        <f t="shared" si="5"/>
        <v>1.1966971116118732</v>
      </c>
      <c r="AG49" s="97">
        <f t="shared" si="6"/>
        <v>0.95372967331427194</v>
      </c>
      <c r="AH49" s="97">
        <f t="shared" si="7"/>
        <v>1.1696431639559111</v>
      </c>
      <c r="AI49" s="97">
        <f t="shared" si="8"/>
        <v>1.127384155258224</v>
      </c>
      <c r="AJ49" s="97">
        <f t="shared" si="9"/>
        <v>1.1731462519827345</v>
      </c>
      <c r="AK49" s="99">
        <f t="shared" si="10"/>
        <v>0</v>
      </c>
      <c r="AL49" s="99">
        <f t="shared" si="11"/>
        <v>0</v>
      </c>
      <c r="AM49" s="99">
        <f t="shared" si="12"/>
        <v>0</v>
      </c>
      <c r="AN49" s="99">
        <f t="shared" si="13"/>
        <v>0</v>
      </c>
      <c r="AO49" s="99">
        <f t="shared" si="14"/>
        <v>0</v>
      </c>
      <c r="AP49" s="99">
        <f t="shared" si="15"/>
        <v>0</v>
      </c>
      <c r="AQ49" s="97"/>
      <c r="AR49" s="99">
        <f t="shared" si="16"/>
        <v>1.0124</v>
      </c>
      <c r="AS49" s="99">
        <f t="shared" si="17"/>
        <v>1.1967000000000001</v>
      </c>
      <c r="AT49" s="99">
        <f t="shared" si="18"/>
        <v>0.95369999999999999</v>
      </c>
      <c r="AU49" s="99">
        <f t="shared" si="19"/>
        <v>1.1696</v>
      </c>
      <c r="AV49" s="99">
        <f t="shared" si="20"/>
        <v>1.1274</v>
      </c>
      <c r="AW49" s="99">
        <f t="shared" si="21"/>
        <v>1.1731</v>
      </c>
      <c r="AX49" s="99">
        <f t="shared" si="22"/>
        <v>0</v>
      </c>
      <c r="AY49" s="99">
        <f t="shared" si="23"/>
        <v>0</v>
      </c>
      <c r="AZ49" s="99">
        <f t="shared" si="24"/>
        <v>0</v>
      </c>
      <c r="BA49" s="99">
        <f t="shared" si="25"/>
        <v>0</v>
      </c>
      <c r="BB49" s="99">
        <f t="shared" si="26"/>
        <v>0</v>
      </c>
      <c r="BC49" s="99">
        <f t="shared" si="27"/>
        <v>0</v>
      </c>
      <c r="BD49" s="97"/>
      <c r="BE49" s="1">
        <f>IFERROR(VLOOKUP(AR49,'Top WS'!$A$19:$B$28,2),0)</f>
        <v>206</v>
      </c>
      <c r="BF49" s="1">
        <f>IFERROR(VLOOKUP(AS49,'Top WS'!$A$19:$B$28,2),0)</f>
        <v>240</v>
      </c>
      <c r="BG49" s="1">
        <f>IFERROR(VLOOKUP(AT49,'Top WS'!$A$19:$B$28,2),0)</f>
        <v>200</v>
      </c>
      <c r="BH49" s="1">
        <f>IFERROR(VLOOKUP(AU49,'Top WS'!$A$19:$B$28,2),0)</f>
        <v>240</v>
      </c>
      <c r="BI49" s="1">
        <f>IFERROR(VLOOKUP(AV49,'Top WS'!$A$19:$B$28,2),0)</f>
        <v>230</v>
      </c>
      <c r="BJ49" s="1">
        <f>IFERROR(VLOOKUP(AW49,'Top WS'!$A$19:$B$28,2),0)</f>
        <v>240</v>
      </c>
      <c r="BK49" s="98">
        <f>IFERROR(VLOOKUP(AX49,'Top WS'!$A$19:$B$28,2),0)</f>
        <v>200</v>
      </c>
      <c r="BL49" s="98">
        <f>IFERROR(VLOOKUP(AY49,'Top WS'!$A$19:$B$28,2),0)</f>
        <v>200</v>
      </c>
      <c r="BM49" s="98">
        <f>IFERROR(VLOOKUP(AZ49,'Top WS'!$A$19:$B$28,2),0)</f>
        <v>200</v>
      </c>
      <c r="BN49" s="98">
        <f>IFERROR(VLOOKUP(BA49,'Top WS'!$A$19:$B$28,2),0)</f>
        <v>200</v>
      </c>
      <c r="BO49" s="98">
        <f>IFERROR(VLOOKUP(BB49,'Top WS'!$A$19:$B$28,2),0)</f>
        <v>200</v>
      </c>
      <c r="BP49" s="98">
        <f>IFERROR(VLOOKUP(BC49,'Top WS'!$A$19:$B$28,2),0)</f>
        <v>200</v>
      </c>
    </row>
    <row r="50" spans="1:68" x14ac:dyDescent="0.4">
      <c r="A50">
        <v>1190044001</v>
      </c>
      <c r="B50">
        <v>78443</v>
      </c>
      <c r="C50" s="114" t="s">
        <v>363</v>
      </c>
      <c r="D50" t="s">
        <v>364</v>
      </c>
      <c r="E50" s="1">
        <v>25503.95680393196</v>
      </c>
      <c r="F50" s="1">
        <v>25542.106322060979</v>
      </c>
      <c r="G50" s="1">
        <v>25076.280627011995</v>
      </c>
      <c r="H50" s="1">
        <v>24847.383518237919</v>
      </c>
      <c r="I50" s="1">
        <v>26326.380100018454</v>
      </c>
      <c r="J50" s="1">
        <v>25277.067564533103</v>
      </c>
      <c r="K50" s="1">
        <v>25274.256547407807</v>
      </c>
      <c r="L50" s="1">
        <v>25758.1530668337</v>
      </c>
      <c r="M50" s="1">
        <v>25838.0662679671</v>
      </c>
      <c r="N50" s="1">
        <v>26258.112541261271</v>
      </c>
      <c r="O50" s="1">
        <v>24357.061816811354</v>
      </c>
      <c r="P50" s="1">
        <v>25217.634631026856</v>
      </c>
      <c r="R50" s="1" cm="1">
        <f t="array" ref="R50:W50">IFERROR(_xlfn.XLOOKUP(A50,'Actual_Aji Plus'!A:A,'Actual_Aji Plus'!C:H),0)</f>
        <v>19681.920000000009</v>
      </c>
      <c r="S50" s="1">
        <v>24766.080000000002</v>
      </c>
      <c r="T50" s="1">
        <v>21331.800000000007</v>
      </c>
      <c r="U50" s="1">
        <v>23069.100000000006</v>
      </c>
      <c r="V50" s="1">
        <v>25231.439999999988</v>
      </c>
      <c r="W50" s="1">
        <v>21521.4</v>
      </c>
      <c r="X50" s="111"/>
      <c r="Y50" s="111"/>
      <c r="Z50" s="111"/>
      <c r="AA50" s="111"/>
      <c r="AB50" s="111"/>
      <c r="AC50" s="111"/>
      <c r="AD50" s="1"/>
      <c r="AE50" s="97">
        <f t="shared" si="4"/>
        <v>0.7717202531085543</v>
      </c>
      <c r="AF50" s="97">
        <f t="shared" si="5"/>
        <v>0.96961776322296822</v>
      </c>
      <c r="AG50" s="97">
        <f t="shared" si="6"/>
        <v>0.85067639484866586</v>
      </c>
      <c r="AH50" s="97">
        <f t="shared" si="7"/>
        <v>0.92843175954793555</v>
      </c>
      <c r="AI50" s="97">
        <f t="shared" si="8"/>
        <v>0.95840901423368496</v>
      </c>
      <c r="AJ50" s="97">
        <f t="shared" si="9"/>
        <v>0.85141996574781587</v>
      </c>
      <c r="AK50" s="99">
        <f t="shared" si="10"/>
        <v>0</v>
      </c>
      <c r="AL50" s="99">
        <f t="shared" si="11"/>
        <v>0</v>
      </c>
      <c r="AM50" s="99">
        <f t="shared" si="12"/>
        <v>0</v>
      </c>
      <c r="AN50" s="99">
        <f t="shared" si="13"/>
        <v>0</v>
      </c>
      <c r="AO50" s="99">
        <f t="shared" si="14"/>
        <v>0</v>
      </c>
      <c r="AP50" s="99">
        <f t="shared" si="15"/>
        <v>0</v>
      </c>
      <c r="AQ50" s="97"/>
      <c r="AR50" s="99">
        <f t="shared" si="16"/>
        <v>0.77170000000000005</v>
      </c>
      <c r="AS50" s="99">
        <f t="shared" si="17"/>
        <v>0.96960000000000002</v>
      </c>
      <c r="AT50" s="99">
        <f t="shared" si="18"/>
        <v>0.85070000000000001</v>
      </c>
      <c r="AU50" s="99">
        <f t="shared" si="19"/>
        <v>0.9284</v>
      </c>
      <c r="AV50" s="99">
        <f t="shared" si="20"/>
        <v>0.95840000000000003</v>
      </c>
      <c r="AW50" s="99">
        <f t="shared" si="21"/>
        <v>0.85140000000000005</v>
      </c>
      <c r="AX50" s="99">
        <f t="shared" si="22"/>
        <v>0</v>
      </c>
      <c r="AY50" s="99">
        <f t="shared" si="23"/>
        <v>0</v>
      </c>
      <c r="AZ50" s="99">
        <f t="shared" si="24"/>
        <v>0</v>
      </c>
      <c r="BA50" s="99">
        <f t="shared" si="25"/>
        <v>0</v>
      </c>
      <c r="BB50" s="99">
        <f t="shared" si="26"/>
        <v>0</v>
      </c>
      <c r="BC50" s="99">
        <f t="shared" si="27"/>
        <v>0</v>
      </c>
      <c r="BD50" s="97"/>
      <c r="BE50" s="1">
        <f>IFERROR(VLOOKUP(AR50,'Top WS'!$A$19:$B$28,2),0)</f>
        <v>200</v>
      </c>
      <c r="BF50" s="1">
        <f>IFERROR(VLOOKUP(AS50,'Top WS'!$A$19:$B$28,2),0)</f>
        <v>200</v>
      </c>
      <c r="BG50" s="1">
        <f>IFERROR(VLOOKUP(AT50,'Top WS'!$A$19:$B$28,2),0)</f>
        <v>200</v>
      </c>
      <c r="BH50" s="1">
        <f>IFERROR(VLOOKUP(AU50,'Top WS'!$A$19:$B$28,2),0)</f>
        <v>200</v>
      </c>
      <c r="BI50" s="1">
        <f>IFERROR(VLOOKUP(AV50,'Top WS'!$A$19:$B$28,2),0)</f>
        <v>200</v>
      </c>
      <c r="BJ50" s="1">
        <f>IFERROR(VLOOKUP(AW50,'Top WS'!$A$19:$B$28,2),0)</f>
        <v>200</v>
      </c>
      <c r="BK50" s="98">
        <f>IFERROR(VLOOKUP(AX50,'Top WS'!$A$19:$B$28,2),0)</f>
        <v>200</v>
      </c>
      <c r="BL50" s="98">
        <f>IFERROR(VLOOKUP(AY50,'Top WS'!$A$19:$B$28,2),0)</f>
        <v>200</v>
      </c>
      <c r="BM50" s="98">
        <f>IFERROR(VLOOKUP(AZ50,'Top WS'!$A$19:$B$28,2),0)</f>
        <v>200</v>
      </c>
      <c r="BN50" s="98">
        <f>IFERROR(VLOOKUP(BA50,'Top WS'!$A$19:$B$28,2),0)</f>
        <v>200</v>
      </c>
      <c r="BO50" s="98">
        <f>IFERROR(VLOOKUP(BB50,'Top WS'!$A$19:$B$28,2),0)</f>
        <v>200</v>
      </c>
      <c r="BP50" s="98">
        <f>IFERROR(VLOOKUP(BC50,'Top WS'!$A$19:$B$28,2),0)</f>
        <v>200</v>
      </c>
    </row>
    <row r="51" spans="1:68" x14ac:dyDescent="0.4">
      <c r="A51">
        <v>1190044002</v>
      </c>
      <c r="B51">
        <v>62434</v>
      </c>
      <c r="C51" s="112" t="s">
        <v>365</v>
      </c>
      <c r="D51" t="s">
        <v>364</v>
      </c>
      <c r="E51" s="1">
        <v>10224.386526770528</v>
      </c>
      <c r="F51" s="1">
        <v>10239.68044457943</v>
      </c>
      <c r="G51" s="1">
        <v>10052.933658702343</v>
      </c>
      <c r="H51" s="1">
        <v>9961.1701518489444</v>
      </c>
      <c r="I51" s="1">
        <v>10554.091197008698</v>
      </c>
      <c r="J51" s="1">
        <v>10133.427962959706</v>
      </c>
      <c r="K51" s="1">
        <v>10132.301042700103</v>
      </c>
      <c r="L51" s="1">
        <v>10326.292315960354</v>
      </c>
      <c r="M51" s="1">
        <v>10358.329049054784</v>
      </c>
      <c r="N51" s="1">
        <v>10526.723133561192</v>
      </c>
      <c r="O51" s="1">
        <v>9764.6030608524561</v>
      </c>
      <c r="P51" s="1">
        <v>10109.601648899526</v>
      </c>
      <c r="R51" s="1" cm="1">
        <f t="array" ref="R51:W51">IFERROR(_xlfn.XLOOKUP(A51,'Actual_Aji Plus'!A:A,'Actual_Aji Plus'!C:H),0)</f>
        <v>8764.0799999999945</v>
      </c>
      <c r="S51" s="1">
        <v>11128.859999999995</v>
      </c>
      <c r="T51" s="1">
        <v>8158.1399999999958</v>
      </c>
      <c r="U51" s="1">
        <v>8395.14</v>
      </c>
      <c r="V51" s="1">
        <v>10125.839999999993</v>
      </c>
      <c r="W51" s="1">
        <v>4734.2400000000007</v>
      </c>
      <c r="X51" s="111"/>
      <c r="Y51" s="111"/>
      <c r="Z51" s="111"/>
      <c r="AA51" s="111"/>
      <c r="AB51" s="111"/>
      <c r="AC51" s="111"/>
      <c r="AD51" s="1"/>
      <c r="AE51" s="97">
        <f t="shared" si="4"/>
        <v>0.85717416659209722</v>
      </c>
      <c r="AF51" s="97">
        <f t="shared" si="5"/>
        <v>1.0868366508342817</v>
      </c>
      <c r="AG51" s="97">
        <f t="shared" si="6"/>
        <v>0.81151833653431948</v>
      </c>
      <c r="AH51" s="97">
        <f t="shared" si="7"/>
        <v>0.8427865272878341</v>
      </c>
      <c r="AI51" s="97">
        <f t="shared" si="8"/>
        <v>0.95942320480136811</v>
      </c>
      <c r="AJ51" s="97">
        <f t="shared" si="9"/>
        <v>0.46719037400817076</v>
      </c>
      <c r="AK51" s="99">
        <f t="shared" si="10"/>
        <v>0</v>
      </c>
      <c r="AL51" s="99">
        <f t="shared" si="11"/>
        <v>0</v>
      </c>
      <c r="AM51" s="99">
        <f t="shared" si="12"/>
        <v>0</v>
      </c>
      <c r="AN51" s="99">
        <f t="shared" si="13"/>
        <v>0</v>
      </c>
      <c r="AO51" s="99">
        <f t="shared" si="14"/>
        <v>0</v>
      </c>
      <c r="AP51" s="99">
        <f t="shared" si="15"/>
        <v>0</v>
      </c>
      <c r="AQ51" s="97"/>
      <c r="AR51" s="99">
        <f t="shared" si="16"/>
        <v>0.85719999999999996</v>
      </c>
      <c r="AS51" s="99">
        <f t="shared" si="17"/>
        <v>1.0868</v>
      </c>
      <c r="AT51" s="99">
        <f t="shared" si="18"/>
        <v>0.8115</v>
      </c>
      <c r="AU51" s="99">
        <f t="shared" si="19"/>
        <v>0.84279999999999999</v>
      </c>
      <c r="AV51" s="99">
        <f t="shared" si="20"/>
        <v>0.95940000000000003</v>
      </c>
      <c r="AW51" s="99">
        <f t="shared" si="21"/>
        <v>0.4672</v>
      </c>
      <c r="AX51" s="99">
        <f t="shared" si="22"/>
        <v>0</v>
      </c>
      <c r="AY51" s="99">
        <f t="shared" si="23"/>
        <v>0</v>
      </c>
      <c r="AZ51" s="99">
        <f t="shared" si="24"/>
        <v>0</v>
      </c>
      <c r="BA51" s="99">
        <f t="shared" si="25"/>
        <v>0</v>
      </c>
      <c r="BB51" s="99">
        <f t="shared" si="26"/>
        <v>0</v>
      </c>
      <c r="BC51" s="99">
        <f t="shared" si="27"/>
        <v>0</v>
      </c>
      <c r="BD51" s="97"/>
      <c r="BE51" s="1">
        <f>IFERROR(VLOOKUP(AR51,'Top WS'!$A$19:$B$28,2),0)</f>
        <v>200</v>
      </c>
      <c r="BF51" s="1">
        <f>IFERROR(VLOOKUP(AS51,'Top WS'!$A$19:$B$28,2),0)</f>
        <v>220</v>
      </c>
      <c r="BG51" s="1">
        <f>IFERROR(VLOOKUP(AT51,'Top WS'!$A$19:$B$28,2),0)</f>
        <v>200</v>
      </c>
      <c r="BH51" s="1">
        <f>IFERROR(VLOOKUP(AU51,'Top WS'!$A$19:$B$28,2),0)</f>
        <v>200</v>
      </c>
      <c r="BI51" s="1">
        <f>IFERROR(VLOOKUP(AV51,'Top WS'!$A$19:$B$28,2),0)</f>
        <v>200</v>
      </c>
      <c r="BJ51" s="1">
        <f>IFERROR(VLOOKUP(AW51,'Top WS'!$A$19:$B$28,2),0)</f>
        <v>200</v>
      </c>
      <c r="BK51" s="98">
        <f>IFERROR(VLOOKUP(AX51,'Top WS'!$A$19:$B$28,2),0)</f>
        <v>200</v>
      </c>
      <c r="BL51" s="98">
        <f>IFERROR(VLOOKUP(AY51,'Top WS'!$A$19:$B$28,2),0)</f>
        <v>200</v>
      </c>
      <c r="BM51" s="98">
        <f>IFERROR(VLOOKUP(AZ51,'Top WS'!$A$19:$B$28,2),0)</f>
        <v>200</v>
      </c>
      <c r="BN51" s="98">
        <f>IFERROR(VLOOKUP(BA51,'Top WS'!$A$19:$B$28,2),0)</f>
        <v>200</v>
      </c>
      <c r="BO51" s="98">
        <f>IFERROR(VLOOKUP(BB51,'Top WS'!$A$19:$B$28,2),0)</f>
        <v>200</v>
      </c>
      <c r="BP51" s="98">
        <f>IFERROR(VLOOKUP(BC51,'Top WS'!$A$19:$B$28,2),0)</f>
        <v>200</v>
      </c>
    </row>
    <row r="52" spans="1:68" x14ac:dyDescent="0.4">
      <c r="A52">
        <v>1190044101</v>
      </c>
      <c r="B52">
        <v>61187</v>
      </c>
      <c r="C52" t="s">
        <v>366</v>
      </c>
      <c r="D52" t="s">
        <v>367</v>
      </c>
      <c r="E52" s="1">
        <v>20375</v>
      </c>
      <c r="F52" s="1">
        <v>20405</v>
      </c>
      <c r="G52" s="1">
        <v>20035</v>
      </c>
      <c r="H52" s="1">
        <v>19850</v>
      </c>
      <c r="I52" s="1">
        <v>21032</v>
      </c>
      <c r="J52" s="1">
        <v>20194</v>
      </c>
      <c r="K52" s="1">
        <v>20191</v>
      </c>
      <c r="L52" s="1">
        <v>20580</v>
      </c>
      <c r="M52" s="1">
        <v>20642</v>
      </c>
      <c r="N52" s="1">
        <v>20980</v>
      </c>
      <c r="O52" s="1">
        <v>19460</v>
      </c>
      <c r="P52" s="1">
        <v>20146</v>
      </c>
      <c r="R52" s="1" cm="1">
        <f t="array" ref="R52:W52">IFERROR(_xlfn.XLOOKUP(A52,'Actual_Aji Plus'!A:A,'Actual_Aji Plus'!C:H),0)</f>
        <v>19702.499999999993</v>
      </c>
      <c r="S52" s="1">
        <v>21208.919999999995</v>
      </c>
      <c r="T52" s="1">
        <v>15986.639999999996</v>
      </c>
      <c r="U52" s="1">
        <v>20076.30000000001</v>
      </c>
      <c r="V52" s="1">
        <v>21206.040000000012</v>
      </c>
      <c r="W52" s="1">
        <v>20499.48</v>
      </c>
      <c r="X52" s="111"/>
      <c r="Y52" s="111"/>
      <c r="Z52" s="111"/>
      <c r="AA52" s="111"/>
      <c r="AB52" s="111"/>
      <c r="AC52" s="111"/>
      <c r="AD52" s="1"/>
      <c r="AE52" s="97">
        <f t="shared" si="4"/>
        <v>0.96699386503067453</v>
      </c>
      <c r="AF52" s="97">
        <f t="shared" si="5"/>
        <v>1.0393981867189412</v>
      </c>
      <c r="AG52" s="97">
        <f t="shared" si="6"/>
        <v>0.79793561267781365</v>
      </c>
      <c r="AH52" s="97">
        <f t="shared" si="7"/>
        <v>1.011400503778338</v>
      </c>
      <c r="AI52" s="97">
        <f t="shared" si="8"/>
        <v>1.0082750095093196</v>
      </c>
      <c r="AJ52" s="97">
        <f t="shared" si="9"/>
        <v>1.0151272655244132</v>
      </c>
      <c r="AK52" s="99">
        <f t="shared" si="10"/>
        <v>0</v>
      </c>
      <c r="AL52" s="99">
        <f t="shared" si="11"/>
        <v>0</v>
      </c>
      <c r="AM52" s="99">
        <f t="shared" si="12"/>
        <v>0</v>
      </c>
      <c r="AN52" s="99">
        <f t="shared" si="13"/>
        <v>0</v>
      </c>
      <c r="AO52" s="99">
        <f t="shared" si="14"/>
        <v>0</v>
      </c>
      <c r="AP52" s="99">
        <f t="shared" si="15"/>
        <v>0</v>
      </c>
      <c r="AQ52" s="97"/>
      <c r="AR52" s="99">
        <f t="shared" si="16"/>
        <v>0.96699999999999997</v>
      </c>
      <c r="AS52" s="99">
        <f t="shared" si="17"/>
        <v>1.0394000000000001</v>
      </c>
      <c r="AT52" s="99">
        <f t="shared" si="18"/>
        <v>0.79790000000000005</v>
      </c>
      <c r="AU52" s="99">
        <f t="shared" si="19"/>
        <v>1.0114000000000001</v>
      </c>
      <c r="AV52" s="99">
        <f t="shared" si="20"/>
        <v>1.0083</v>
      </c>
      <c r="AW52" s="99">
        <f t="shared" si="21"/>
        <v>1.0150999999999999</v>
      </c>
      <c r="AX52" s="99">
        <f t="shared" si="22"/>
        <v>0</v>
      </c>
      <c r="AY52" s="99">
        <f t="shared" si="23"/>
        <v>0</v>
      </c>
      <c r="AZ52" s="99">
        <f t="shared" si="24"/>
        <v>0</v>
      </c>
      <c r="BA52" s="99">
        <f t="shared" si="25"/>
        <v>0</v>
      </c>
      <c r="BB52" s="99">
        <f t="shared" si="26"/>
        <v>0</v>
      </c>
      <c r="BC52" s="99">
        <f t="shared" si="27"/>
        <v>0</v>
      </c>
      <c r="BD52" s="97"/>
      <c r="BE52" s="1">
        <f>IFERROR(VLOOKUP(AR52,'Top WS'!$A$19:$B$28,2),0)</f>
        <v>200</v>
      </c>
      <c r="BF52" s="1">
        <f>IFERROR(VLOOKUP(AS52,'Top WS'!$A$19:$B$28,2),0)</f>
        <v>216</v>
      </c>
      <c r="BG52" s="1">
        <f>IFERROR(VLOOKUP(AT52,'Top WS'!$A$19:$B$28,2),0)</f>
        <v>200</v>
      </c>
      <c r="BH52" s="1">
        <f>IFERROR(VLOOKUP(AU52,'Top WS'!$A$19:$B$28,2),0)</f>
        <v>206</v>
      </c>
      <c r="BI52" s="1">
        <f>IFERROR(VLOOKUP(AV52,'Top WS'!$A$19:$B$28,2),0)</f>
        <v>206</v>
      </c>
      <c r="BJ52" s="1">
        <f>IFERROR(VLOOKUP(AW52,'Top WS'!$A$19:$B$28,2),0)</f>
        <v>206</v>
      </c>
      <c r="BK52" s="98">
        <f>IFERROR(VLOOKUP(AX52,'Top WS'!$A$19:$B$28,2),0)</f>
        <v>200</v>
      </c>
      <c r="BL52" s="98">
        <f>IFERROR(VLOOKUP(AY52,'Top WS'!$A$19:$B$28,2),0)</f>
        <v>200</v>
      </c>
      <c r="BM52" s="98">
        <f>IFERROR(VLOOKUP(AZ52,'Top WS'!$A$19:$B$28,2),0)</f>
        <v>200</v>
      </c>
      <c r="BN52" s="98">
        <f>IFERROR(VLOOKUP(BA52,'Top WS'!$A$19:$B$28,2),0)</f>
        <v>200</v>
      </c>
      <c r="BO52" s="98">
        <f>IFERROR(VLOOKUP(BB52,'Top WS'!$A$19:$B$28,2),0)</f>
        <v>200</v>
      </c>
      <c r="BP52" s="98">
        <f>IFERROR(VLOOKUP(BC52,'Top WS'!$A$19:$B$28,2),0)</f>
        <v>200</v>
      </c>
    </row>
    <row r="53" spans="1:68" x14ac:dyDescent="0.4">
      <c r="A53">
        <v>1190054201</v>
      </c>
      <c r="B53">
        <v>75411</v>
      </c>
      <c r="C53" t="s">
        <v>368</v>
      </c>
      <c r="D53" t="s">
        <v>369</v>
      </c>
      <c r="E53" s="1">
        <v>2325.3968800281518</v>
      </c>
      <c r="F53" s="1">
        <v>2317.9227448712736</v>
      </c>
      <c r="G53" s="1">
        <v>2249.5501986122231</v>
      </c>
      <c r="H53" s="1">
        <v>2078.1385408286351</v>
      </c>
      <c r="I53" s="1">
        <v>2122.312258648426</v>
      </c>
      <c r="J53" s="1">
        <v>2137.1552594529317</v>
      </c>
      <c r="K53" s="1">
        <v>2319.3373039018452</v>
      </c>
      <c r="L53" s="1">
        <v>2044.978645414315</v>
      </c>
      <c r="M53" s="1">
        <v>1999.2653610217167</v>
      </c>
      <c r="N53" s="1">
        <v>2501.9930611423915</v>
      </c>
      <c r="O53" s="1">
        <v>2376.281529062745</v>
      </c>
      <c r="P53" s="1">
        <v>1697.6682170152828</v>
      </c>
      <c r="R53" s="1" cm="1">
        <f t="array" ref="R53:W53">IFERROR(_xlfn.XLOOKUP(A53,'Actual_Aji Plus'!A:A,'Actual_Aji Plus'!C:H),0)</f>
        <v>1517.2799999999997</v>
      </c>
      <c r="S53" s="1">
        <v>2989.0800000000004</v>
      </c>
      <c r="T53" s="1">
        <v>1635.84</v>
      </c>
      <c r="U53" s="1">
        <v>1740.9600000000003</v>
      </c>
      <c r="V53" s="1">
        <v>2162.34</v>
      </c>
      <c r="W53" s="1">
        <v>1204.3799999999997</v>
      </c>
      <c r="X53" s="111"/>
      <c r="Y53" s="111"/>
      <c r="Z53" s="111"/>
      <c r="AA53" s="111"/>
      <c r="AB53" s="111"/>
      <c r="AC53" s="111"/>
      <c r="AD53" s="1"/>
      <c r="AE53" s="97">
        <f t="shared" si="4"/>
        <v>0.65248216897135902</v>
      </c>
      <c r="AF53" s="97">
        <f t="shared" si="5"/>
        <v>1.2895511753416957</v>
      </c>
      <c r="AG53" s="97">
        <f t="shared" si="6"/>
        <v>0.72718537288439755</v>
      </c>
      <c r="AH53" s="97">
        <f t="shared" si="7"/>
        <v>0.83774972928696634</v>
      </c>
      <c r="AI53" s="97">
        <f t="shared" si="8"/>
        <v>1.018860439215983</v>
      </c>
      <c r="AJ53" s="97">
        <f t="shared" si="9"/>
        <v>0.56354352107684325</v>
      </c>
      <c r="AK53" s="99">
        <f t="shared" si="10"/>
        <v>0</v>
      </c>
      <c r="AL53" s="99">
        <f t="shared" si="11"/>
        <v>0</v>
      </c>
      <c r="AM53" s="99">
        <f t="shared" si="12"/>
        <v>0</v>
      </c>
      <c r="AN53" s="99">
        <f t="shared" si="13"/>
        <v>0</v>
      </c>
      <c r="AO53" s="99">
        <f t="shared" si="14"/>
        <v>0</v>
      </c>
      <c r="AP53" s="99">
        <f t="shared" si="15"/>
        <v>0</v>
      </c>
      <c r="AQ53" s="97"/>
      <c r="AR53" s="99">
        <f t="shared" si="16"/>
        <v>0.65249999999999997</v>
      </c>
      <c r="AS53" s="99">
        <f t="shared" si="17"/>
        <v>1.2896000000000001</v>
      </c>
      <c r="AT53" s="99">
        <f t="shared" si="18"/>
        <v>0.72719999999999996</v>
      </c>
      <c r="AU53" s="99">
        <f t="shared" si="19"/>
        <v>0.8377</v>
      </c>
      <c r="AV53" s="99">
        <f t="shared" si="20"/>
        <v>1.0188999999999999</v>
      </c>
      <c r="AW53" s="99">
        <f t="shared" si="21"/>
        <v>0.5635</v>
      </c>
      <c r="AX53" s="99">
        <f t="shared" si="22"/>
        <v>0</v>
      </c>
      <c r="AY53" s="99">
        <f t="shared" si="23"/>
        <v>0</v>
      </c>
      <c r="AZ53" s="99">
        <f t="shared" si="24"/>
        <v>0</v>
      </c>
      <c r="BA53" s="99">
        <f t="shared" si="25"/>
        <v>0</v>
      </c>
      <c r="BB53" s="99">
        <f t="shared" si="26"/>
        <v>0</v>
      </c>
      <c r="BC53" s="99">
        <f t="shared" si="27"/>
        <v>0</v>
      </c>
      <c r="BD53" s="97"/>
      <c r="BE53" s="1">
        <f>IFERROR(VLOOKUP(AR53,'Top WS'!$A$19:$B$28,2),0)</f>
        <v>200</v>
      </c>
      <c r="BF53" s="1">
        <f>IFERROR(VLOOKUP(AS53,'Top WS'!$A$19:$B$28,2),0)</f>
        <v>260</v>
      </c>
      <c r="BG53" s="1">
        <f>IFERROR(VLOOKUP(AT53,'Top WS'!$A$19:$B$28,2),0)</f>
        <v>200</v>
      </c>
      <c r="BH53" s="1">
        <f>IFERROR(VLOOKUP(AU53,'Top WS'!$A$19:$B$28,2),0)</f>
        <v>200</v>
      </c>
      <c r="BI53" s="1">
        <f>IFERROR(VLOOKUP(AV53,'Top WS'!$A$19:$B$28,2),0)</f>
        <v>206</v>
      </c>
      <c r="BJ53" s="1">
        <f>IFERROR(VLOOKUP(AW53,'Top WS'!$A$19:$B$28,2),0)</f>
        <v>200</v>
      </c>
      <c r="BK53" s="98">
        <f>IFERROR(VLOOKUP(AX53,'Top WS'!$A$19:$B$28,2),0)</f>
        <v>200</v>
      </c>
      <c r="BL53" s="98">
        <f>IFERROR(VLOOKUP(AY53,'Top WS'!$A$19:$B$28,2),0)</f>
        <v>200</v>
      </c>
      <c r="BM53" s="98">
        <f>IFERROR(VLOOKUP(AZ53,'Top WS'!$A$19:$B$28,2),0)</f>
        <v>200</v>
      </c>
      <c r="BN53" s="98">
        <f>IFERROR(VLOOKUP(BA53,'Top WS'!$A$19:$B$28,2),0)</f>
        <v>200</v>
      </c>
      <c r="BO53" s="98">
        <f>IFERROR(VLOOKUP(BB53,'Top WS'!$A$19:$B$28,2),0)</f>
        <v>200</v>
      </c>
      <c r="BP53" s="98">
        <f>IFERROR(VLOOKUP(BC53,'Top WS'!$A$19:$B$28,2),0)</f>
        <v>200</v>
      </c>
    </row>
    <row r="54" spans="1:68" x14ac:dyDescent="0.4">
      <c r="A54">
        <v>1190054202</v>
      </c>
      <c r="B54">
        <v>65181</v>
      </c>
      <c r="C54" t="s">
        <v>370</v>
      </c>
      <c r="D54" t="s">
        <v>369</v>
      </c>
      <c r="E54" s="1">
        <v>840.59054203539608</v>
      </c>
      <c r="F54" s="1">
        <v>837.88877212389184</v>
      </c>
      <c r="G54" s="1">
        <v>813.17328539822813</v>
      </c>
      <c r="H54" s="1">
        <v>751.21095132743176</v>
      </c>
      <c r="I54" s="1">
        <v>767.17898230088304</v>
      </c>
      <c r="J54" s="1">
        <v>772.54446902654684</v>
      </c>
      <c r="K54" s="1">
        <v>838.40011061946711</v>
      </c>
      <c r="L54" s="1">
        <v>739.22422566371495</v>
      </c>
      <c r="M54" s="1">
        <v>722.69966814159113</v>
      </c>
      <c r="N54" s="1">
        <v>904.42699115044024</v>
      </c>
      <c r="O54" s="1">
        <v>858.98445796459941</v>
      </c>
      <c r="P54" s="1">
        <v>613.67754424778661</v>
      </c>
      <c r="R54" s="1" cm="1">
        <f t="array" ref="R54:W54">IFERROR(_xlfn.XLOOKUP(A54,'Actual_Aji Plus'!A:A,'Actual_Aji Plus'!C:H),0)</f>
        <v>566.58000000000004</v>
      </c>
      <c r="S54" s="1">
        <v>700.19999999999993</v>
      </c>
      <c r="T54" s="1">
        <v>473.52</v>
      </c>
      <c r="U54" s="1">
        <v>1007.5199999999998</v>
      </c>
      <c r="V54" s="1">
        <v>652.37999999999988</v>
      </c>
      <c r="W54" s="1">
        <v>531.41999999999996</v>
      </c>
      <c r="X54" s="111"/>
      <c r="Y54" s="111"/>
      <c r="Z54" s="111"/>
      <c r="AA54" s="111"/>
      <c r="AB54" s="111"/>
      <c r="AC54" s="111"/>
      <c r="AD54" s="1"/>
      <c r="AE54" s="97">
        <f t="shared" si="4"/>
        <v>0.67402614194074784</v>
      </c>
      <c r="AF54" s="97">
        <f t="shared" si="5"/>
        <v>0.8356717780393732</v>
      </c>
      <c r="AG54" s="97">
        <f t="shared" si="6"/>
        <v>0.58231130867525638</v>
      </c>
      <c r="AH54" s="97">
        <f t="shared" si="7"/>
        <v>1.3411945049784693</v>
      </c>
      <c r="AI54" s="97">
        <f t="shared" si="8"/>
        <v>0.85036219063694363</v>
      </c>
      <c r="AJ54" s="97">
        <f t="shared" si="9"/>
        <v>0.68788273207058437</v>
      </c>
      <c r="AK54" s="99">
        <f t="shared" si="10"/>
        <v>0</v>
      </c>
      <c r="AL54" s="99">
        <f t="shared" si="11"/>
        <v>0</v>
      </c>
      <c r="AM54" s="99">
        <f t="shared" si="12"/>
        <v>0</v>
      </c>
      <c r="AN54" s="99">
        <f t="shared" si="13"/>
        <v>0</v>
      </c>
      <c r="AO54" s="99">
        <f t="shared" si="14"/>
        <v>0</v>
      </c>
      <c r="AP54" s="99">
        <f t="shared" si="15"/>
        <v>0</v>
      </c>
      <c r="AQ54" s="97"/>
      <c r="AR54" s="99">
        <f t="shared" si="16"/>
        <v>0.67400000000000004</v>
      </c>
      <c r="AS54" s="99">
        <f t="shared" si="17"/>
        <v>0.8357</v>
      </c>
      <c r="AT54" s="99">
        <f t="shared" si="18"/>
        <v>0.58230000000000004</v>
      </c>
      <c r="AU54" s="99">
        <f t="shared" si="19"/>
        <v>1.3411999999999999</v>
      </c>
      <c r="AV54" s="99">
        <f t="shared" si="20"/>
        <v>0.85040000000000004</v>
      </c>
      <c r="AW54" s="99">
        <f t="shared" si="21"/>
        <v>0.68789999999999996</v>
      </c>
      <c r="AX54" s="99">
        <f t="shared" si="22"/>
        <v>0</v>
      </c>
      <c r="AY54" s="99">
        <f t="shared" si="23"/>
        <v>0</v>
      </c>
      <c r="AZ54" s="99">
        <f t="shared" si="24"/>
        <v>0</v>
      </c>
      <c r="BA54" s="99">
        <f t="shared" si="25"/>
        <v>0</v>
      </c>
      <c r="BB54" s="99">
        <f t="shared" si="26"/>
        <v>0</v>
      </c>
      <c r="BC54" s="99">
        <f t="shared" si="27"/>
        <v>0</v>
      </c>
      <c r="BD54" s="97"/>
      <c r="BE54" s="1">
        <f>IFERROR(VLOOKUP(AR54,'Top WS'!$A$19:$B$28,2),0)</f>
        <v>200</v>
      </c>
      <c r="BF54" s="1">
        <f>IFERROR(VLOOKUP(AS54,'Top WS'!$A$19:$B$28,2),0)</f>
        <v>200</v>
      </c>
      <c r="BG54" s="1">
        <f>IFERROR(VLOOKUP(AT54,'Top WS'!$A$19:$B$28,2),0)</f>
        <v>200</v>
      </c>
      <c r="BH54" s="1">
        <f>IFERROR(VLOOKUP(AU54,'Top WS'!$A$19:$B$28,2),0)</f>
        <v>260</v>
      </c>
      <c r="BI54" s="1">
        <f>IFERROR(VLOOKUP(AV54,'Top WS'!$A$19:$B$28,2),0)</f>
        <v>200</v>
      </c>
      <c r="BJ54" s="1">
        <f>IFERROR(VLOOKUP(AW54,'Top WS'!$A$19:$B$28,2),0)</f>
        <v>200</v>
      </c>
      <c r="BK54" s="98">
        <f>IFERROR(VLOOKUP(AX54,'Top WS'!$A$19:$B$28,2),0)</f>
        <v>200</v>
      </c>
      <c r="BL54" s="98">
        <f>IFERROR(VLOOKUP(AY54,'Top WS'!$A$19:$B$28,2),0)</f>
        <v>200</v>
      </c>
      <c r="BM54" s="98">
        <f>IFERROR(VLOOKUP(AZ54,'Top WS'!$A$19:$B$28,2),0)</f>
        <v>200</v>
      </c>
      <c r="BN54" s="98">
        <f>IFERROR(VLOOKUP(BA54,'Top WS'!$A$19:$B$28,2),0)</f>
        <v>200</v>
      </c>
      <c r="BO54" s="98">
        <f>IFERROR(VLOOKUP(BB54,'Top WS'!$A$19:$B$28,2),0)</f>
        <v>200</v>
      </c>
      <c r="BP54" s="98">
        <f>IFERROR(VLOOKUP(BC54,'Top WS'!$A$19:$B$28,2),0)</f>
        <v>200</v>
      </c>
    </row>
    <row r="55" spans="1:68" x14ac:dyDescent="0.4">
      <c r="A55">
        <v>1190054301</v>
      </c>
      <c r="B55">
        <v>61802</v>
      </c>
      <c r="C55" t="s">
        <v>371</v>
      </c>
      <c r="D55" t="s">
        <v>372</v>
      </c>
      <c r="E55" s="1">
        <v>450</v>
      </c>
      <c r="F55" s="1">
        <v>300</v>
      </c>
      <c r="G55" s="1">
        <v>300</v>
      </c>
      <c r="H55" s="1">
        <v>240</v>
      </c>
      <c r="I55" s="1">
        <v>350</v>
      </c>
      <c r="J55" s="1">
        <v>340</v>
      </c>
      <c r="K55" s="1">
        <v>250</v>
      </c>
      <c r="L55" s="1">
        <v>450</v>
      </c>
      <c r="M55" s="1">
        <v>300</v>
      </c>
      <c r="N55" s="1">
        <v>200</v>
      </c>
      <c r="O55" s="1">
        <v>250</v>
      </c>
      <c r="P55" s="1">
        <v>350</v>
      </c>
      <c r="R55" s="1" cm="1">
        <f t="array" ref="R55:W55">IFERROR(_xlfn.XLOOKUP(A55,'Actual_Aji Plus'!A:A,'Actual_Aji Plus'!C:H),0)</f>
        <v>375.29999999999995</v>
      </c>
      <c r="S55" s="1">
        <v>294.66000000000003</v>
      </c>
      <c r="T55" s="1">
        <v>110.63999999999999</v>
      </c>
      <c r="U55" s="1">
        <v>473.51999999999992</v>
      </c>
      <c r="V55" s="1">
        <v>319.74</v>
      </c>
      <c r="W55" s="1">
        <v>596.81999999999994</v>
      </c>
      <c r="X55" s="111"/>
      <c r="Y55" s="111"/>
      <c r="Z55" s="111"/>
      <c r="AA55" s="111"/>
      <c r="AB55" s="111"/>
      <c r="AC55" s="111"/>
      <c r="AD55" s="1"/>
      <c r="AE55" s="97">
        <f t="shared" si="4"/>
        <v>0.83399999999999985</v>
      </c>
      <c r="AF55" s="97">
        <f t="shared" si="5"/>
        <v>0.98220000000000007</v>
      </c>
      <c r="AG55" s="97">
        <f t="shared" si="6"/>
        <v>0.36879999999999996</v>
      </c>
      <c r="AH55" s="97">
        <f t="shared" si="7"/>
        <v>1.9729999999999996</v>
      </c>
      <c r="AI55" s="97">
        <f t="shared" si="8"/>
        <v>0.91354285714285721</v>
      </c>
      <c r="AJ55" s="97">
        <f t="shared" si="9"/>
        <v>1.7553529411764703</v>
      </c>
      <c r="AK55" s="99">
        <f t="shared" si="10"/>
        <v>0</v>
      </c>
      <c r="AL55" s="99">
        <f t="shared" si="11"/>
        <v>0</v>
      </c>
      <c r="AM55" s="99">
        <f t="shared" si="12"/>
        <v>0</v>
      </c>
      <c r="AN55" s="99">
        <f t="shared" si="13"/>
        <v>0</v>
      </c>
      <c r="AO55" s="99">
        <f t="shared" si="14"/>
        <v>0</v>
      </c>
      <c r="AP55" s="99">
        <f t="shared" si="15"/>
        <v>0</v>
      </c>
      <c r="AQ55" s="97"/>
      <c r="AR55" s="99">
        <f t="shared" si="16"/>
        <v>0.83399999999999996</v>
      </c>
      <c r="AS55" s="99">
        <f t="shared" si="17"/>
        <v>0.98219999999999996</v>
      </c>
      <c r="AT55" s="99">
        <f t="shared" si="18"/>
        <v>0.36880000000000002</v>
      </c>
      <c r="AU55" s="99">
        <f t="shared" si="19"/>
        <v>1.9730000000000001</v>
      </c>
      <c r="AV55" s="99">
        <f t="shared" si="20"/>
        <v>0.91349999999999998</v>
      </c>
      <c r="AW55" s="99">
        <f t="shared" si="21"/>
        <v>1.7554000000000001</v>
      </c>
      <c r="AX55" s="99">
        <f t="shared" si="22"/>
        <v>0</v>
      </c>
      <c r="AY55" s="99">
        <f t="shared" si="23"/>
        <v>0</v>
      </c>
      <c r="AZ55" s="99">
        <f t="shared" si="24"/>
        <v>0</v>
      </c>
      <c r="BA55" s="99">
        <f t="shared" si="25"/>
        <v>0</v>
      </c>
      <c r="BB55" s="99">
        <f t="shared" si="26"/>
        <v>0</v>
      </c>
      <c r="BC55" s="99">
        <f t="shared" si="27"/>
        <v>0</v>
      </c>
      <c r="BD55" s="97"/>
      <c r="BE55" s="1">
        <f>IFERROR(VLOOKUP(AR55,'Top WS'!$A$19:$B$28,2),0)</f>
        <v>200</v>
      </c>
      <c r="BF55" s="1">
        <f>IFERROR(VLOOKUP(AS55,'Top WS'!$A$19:$B$28,2),0)</f>
        <v>200</v>
      </c>
      <c r="BG55" s="1">
        <f>IFERROR(VLOOKUP(AT55,'Top WS'!$A$19:$B$28,2),0)</f>
        <v>200</v>
      </c>
      <c r="BH55" s="1">
        <f>IFERROR(VLOOKUP(AU55,'Top WS'!$A$19:$B$28,2),0)</f>
        <v>260</v>
      </c>
      <c r="BI55" s="1">
        <f>IFERROR(VLOOKUP(AV55,'Top WS'!$A$19:$B$28,2),0)</f>
        <v>200</v>
      </c>
      <c r="BJ55" s="1">
        <f>IFERROR(VLOOKUP(AW55,'Top WS'!$A$19:$B$28,2),0)</f>
        <v>260</v>
      </c>
      <c r="BK55" s="98">
        <f>IFERROR(VLOOKUP(AX55,'Top WS'!$A$19:$B$28,2),0)</f>
        <v>200</v>
      </c>
      <c r="BL55" s="98">
        <f>IFERROR(VLOOKUP(AY55,'Top WS'!$A$19:$B$28,2),0)</f>
        <v>200</v>
      </c>
      <c r="BM55" s="98">
        <f>IFERROR(VLOOKUP(AZ55,'Top WS'!$A$19:$B$28,2),0)</f>
        <v>200</v>
      </c>
      <c r="BN55" s="98">
        <f>IFERROR(VLOOKUP(BA55,'Top WS'!$A$19:$B$28,2),0)</f>
        <v>200</v>
      </c>
      <c r="BO55" s="98">
        <f>IFERROR(VLOOKUP(BB55,'Top WS'!$A$19:$B$28,2),0)</f>
        <v>200</v>
      </c>
      <c r="BP55" s="98">
        <f>IFERROR(VLOOKUP(BC55,'Top WS'!$A$19:$B$28,2),0)</f>
        <v>200</v>
      </c>
    </row>
    <row r="56" spans="1:68" x14ac:dyDescent="0.4">
      <c r="A56">
        <v>1190054401</v>
      </c>
      <c r="B56">
        <v>75194</v>
      </c>
      <c r="C56" t="s">
        <v>373</v>
      </c>
      <c r="D56" t="s">
        <v>374</v>
      </c>
      <c r="E56" s="1">
        <v>1450</v>
      </c>
      <c r="F56" s="1">
        <v>1440</v>
      </c>
      <c r="G56" s="1">
        <v>1400</v>
      </c>
      <c r="H56" s="1">
        <v>1500</v>
      </c>
      <c r="I56" s="1">
        <v>1500</v>
      </c>
      <c r="J56" s="1">
        <v>1500</v>
      </c>
      <c r="K56" s="1">
        <v>1530</v>
      </c>
      <c r="L56" s="1">
        <v>1530</v>
      </c>
      <c r="M56" s="1">
        <v>1530</v>
      </c>
      <c r="N56" s="1">
        <v>1500</v>
      </c>
      <c r="O56" s="1">
        <v>1500</v>
      </c>
      <c r="P56" s="1">
        <v>1500</v>
      </c>
      <c r="R56" s="1" cm="1">
        <f t="array" ref="R56:W56">IFERROR(_xlfn.XLOOKUP(A56,'Actual_Aji Plus'!A:A,'Actual_Aji Plus'!C:H),0)</f>
        <v>969.77999999999975</v>
      </c>
      <c r="S56" s="1">
        <v>1563.7799999999997</v>
      </c>
      <c r="T56" s="1">
        <v>795.3599999999999</v>
      </c>
      <c r="U56" s="1">
        <v>1093.3200000000002</v>
      </c>
      <c r="V56" s="1">
        <v>1140.42</v>
      </c>
      <c r="W56" s="1">
        <v>1162.92</v>
      </c>
      <c r="X56" s="111"/>
      <c r="Y56" s="111"/>
      <c r="Z56" s="111"/>
      <c r="AA56" s="111"/>
      <c r="AB56" s="111"/>
      <c r="AC56" s="111"/>
      <c r="AD56" s="1"/>
      <c r="AE56" s="97">
        <f t="shared" si="4"/>
        <v>0.66881379310344813</v>
      </c>
      <c r="AF56" s="97">
        <f t="shared" si="5"/>
        <v>1.0859583333333331</v>
      </c>
      <c r="AG56" s="97">
        <f t="shared" si="6"/>
        <v>0.56811428571428568</v>
      </c>
      <c r="AH56" s="97">
        <f t="shared" si="7"/>
        <v>0.72888000000000008</v>
      </c>
      <c r="AI56" s="97">
        <f t="shared" si="8"/>
        <v>0.76028000000000007</v>
      </c>
      <c r="AJ56" s="97">
        <f t="shared" si="9"/>
        <v>0.77528000000000008</v>
      </c>
      <c r="AK56" s="99">
        <f t="shared" si="10"/>
        <v>0</v>
      </c>
      <c r="AL56" s="99">
        <f t="shared" si="11"/>
        <v>0</v>
      </c>
      <c r="AM56" s="99">
        <f t="shared" si="12"/>
        <v>0</v>
      </c>
      <c r="AN56" s="99">
        <f t="shared" si="13"/>
        <v>0</v>
      </c>
      <c r="AO56" s="99">
        <f t="shared" si="14"/>
        <v>0</v>
      </c>
      <c r="AP56" s="99">
        <f t="shared" si="15"/>
        <v>0</v>
      </c>
      <c r="AQ56" s="97"/>
      <c r="AR56" s="99">
        <f t="shared" si="16"/>
        <v>0.66879999999999995</v>
      </c>
      <c r="AS56" s="99">
        <f t="shared" si="17"/>
        <v>1.0860000000000001</v>
      </c>
      <c r="AT56" s="99">
        <f t="shared" si="18"/>
        <v>0.56810000000000005</v>
      </c>
      <c r="AU56" s="99">
        <f t="shared" si="19"/>
        <v>0.72889999999999999</v>
      </c>
      <c r="AV56" s="99">
        <f t="shared" si="20"/>
        <v>0.76029999999999998</v>
      </c>
      <c r="AW56" s="99">
        <f t="shared" si="21"/>
        <v>0.77529999999999999</v>
      </c>
      <c r="AX56" s="99">
        <f t="shared" si="22"/>
        <v>0</v>
      </c>
      <c r="AY56" s="99">
        <f t="shared" si="23"/>
        <v>0</v>
      </c>
      <c r="AZ56" s="99">
        <f t="shared" si="24"/>
        <v>0</v>
      </c>
      <c r="BA56" s="99">
        <f t="shared" si="25"/>
        <v>0</v>
      </c>
      <c r="BB56" s="99">
        <f t="shared" si="26"/>
        <v>0</v>
      </c>
      <c r="BC56" s="99">
        <f t="shared" si="27"/>
        <v>0</v>
      </c>
      <c r="BD56" s="97"/>
      <c r="BE56" s="1">
        <f>IFERROR(VLOOKUP(AR56,'Top WS'!$A$19:$B$28,2),0)</f>
        <v>200</v>
      </c>
      <c r="BF56" s="1">
        <f>IFERROR(VLOOKUP(AS56,'Top WS'!$A$19:$B$28,2),0)</f>
        <v>220</v>
      </c>
      <c r="BG56" s="1">
        <f>IFERROR(VLOOKUP(AT56,'Top WS'!$A$19:$B$28,2),0)</f>
        <v>200</v>
      </c>
      <c r="BH56" s="1">
        <f>IFERROR(VLOOKUP(AU56,'Top WS'!$A$19:$B$28,2),0)</f>
        <v>200</v>
      </c>
      <c r="BI56" s="1">
        <f>IFERROR(VLOOKUP(AV56,'Top WS'!$A$19:$B$28,2),0)</f>
        <v>200</v>
      </c>
      <c r="BJ56" s="1">
        <f>IFERROR(VLOOKUP(AW56,'Top WS'!$A$19:$B$28,2),0)</f>
        <v>200</v>
      </c>
      <c r="BK56" s="98">
        <f>IFERROR(VLOOKUP(AX56,'Top WS'!$A$19:$B$28,2),0)</f>
        <v>200</v>
      </c>
      <c r="BL56" s="98">
        <f>IFERROR(VLOOKUP(AY56,'Top WS'!$A$19:$B$28,2),0)</f>
        <v>200</v>
      </c>
      <c r="BM56" s="98">
        <f>IFERROR(VLOOKUP(AZ56,'Top WS'!$A$19:$B$28,2),0)</f>
        <v>200</v>
      </c>
      <c r="BN56" s="98">
        <f>IFERROR(VLOOKUP(BA56,'Top WS'!$A$19:$B$28,2),0)</f>
        <v>200</v>
      </c>
      <c r="BO56" s="98">
        <f>IFERROR(VLOOKUP(BB56,'Top WS'!$A$19:$B$28,2),0)</f>
        <v>200</v>
      </c>
      <c r="BP56" s="98">
        <f>IFERROR(VLOOKUP(BC56,'Top WS'!$A$19:$B$28,2),0)</f>
        <v>200</v>
      </c>
    </row>
    <row r="57" spans="1:68" x14ac:dyDescent="0.4">
      <c r="A57">
        <v>1190054501</v>
      </c>
      <c r="B57">
        <v>70437</v>
      </c>
      <c r="C57" t="s">
        <v>375</v>
      </c>
      <c r="D57" t="s">
        <v>240</v>
      </c>
      <c r="E57" s="1">
        <v>410</v>
      </c>
      <c r="F57" s="1">
        <v>400</v>
      </c>
      <c r="G57" s="1">
        <v>400</v>
      </c>
      <c r="H57" s="1">
        <v>400</v>
      </c>
      <c r="I57" s="1">
        <v>400</v>
      </c>
      <c r="J57" s="1">
        <v>400</v>
      </c>
      <c r="K57" s="1">
        <v>400</v>
      </c>
      <c r="L57" s="1">
        <v>410</v>
      </c>
      <c r="M57" s="1">
        <v>410</v>
      </c>
      <c r="N57" s="1">
        <v>420</v>
      </c>
      <c r="O57" s="1">
        <v>400</v>
      </c>
      <c r="P57" s="1">
        <v>400</v>
      </c>
      <c r="R57" s="1" cm="1">
        <f t="array" ref="R57:W57">IFERROR(_xlfn.XLOOKUP(A57,'Actual_Aji Plus'!A:A,'Actual_Aji Plus'!C:H),0)</f>
        <v>193.86</v>
      </c>
      <c r="S57" s="1">
        <v>415.38</v>
      </c>
      <c r="T57" s="1">
        <v>307.32</v>
      </c>
      <c r="U57" s="1">
        <v>196.20000000000002</v>
      </c>
      <c r="V57" s="1">
        <v>534.24</v>
      </c>
      <c r="W57" s="1">
        <v>100.8</v>
      </c>
      <c r="X57" s="111"/>
      <c r="Y57" s="111"/>
      <c r="Z57" s="111"/>
      <c r="AA57" s="111"/>
      <c r="AB57" s="111"/>
      <c r="AC57" s="111"/>
      <c r="AD57" s="1"/>
      <c r="AE57" s="97">
        <f t="shared" si="4"/>
        <v>0.47282926829268296</v>
      </c>
      <c r="AF57" s="97">
        <f t="shared" si="5"/>
        <v>1.0384500000000001</v>
      </c>
      <c r="AG57" s="97">
        <f t="shared" si="6"/>
        <v>0.76829999999999998</v>
      </c>
      <c r="AH57" s="97">
        <f t="shared" si="7"/>
        <v>0.49050000000000005</v>
      </c>
      <c r="AI57" s="97">
        <f t="shared" si="8"/>
        <v>1.3356000000000001</v>
      </c>
      <c r="AJ57" s="97">
        <f t="shared" si="9"/>
        <v>0.252</v>
      </c>
      <c r="AK57" s="99">
        <f t="shared" si="10"/>
        <v>0</v>
      </c>
      <c r="AL57" s="99">
        <f t="shared" si="11"/>
        <v>0</v>
      </c>
      <c r="AM57" s="99">
        <f t="shared" si="12"/>
        <v>0</v>
      </c>
      <c r="AN57" s="99">
        <f t="shared" si="13"/>
        <v>0</v>
      </c>
      <c r="AO57" s="99">
        <f t="shared" si="14"/>
        <v>0</v>
      </c>
      <c r="AP57" s="99">
        <f t="shared" si="15"/>
        <v>0</v>
      </c>
      <c r="AQ57" s="97"/>
      <c r="AR57" s="99">
        <f t="shared" si="16"/>
        <v>0.4728</v>
      </c>
      <c r="AS57" s="99">
        <f t="shared" si="17"/>
        <v>1.0385</v>
      </c>
      <c r="AT57" s="99">
        <f t="shared" si="18"/>
        <v>0.76829999999999998</v>
      </c>
      <c r="AU57" s="99">
        <f t="shared" si="19"/>
        <v>0.49049999999999999</v>
      </c>
      <c r="AV57" s="99">
        <f t="shared" si="20"/>
        <v>1.3355999999999999</v>
      </c>
      <c r="AW57" s="99">
        <f t="shared" si="21"/>
        <v>0.252</v>
      </c>
      <c r="AX57" s="99">
        <f t="shared" si="22"/>
        <v>0</v>
      </c>
      <c r="AY57" s="99">
        <f t="shared" si="23"/>
        <v>0</v>
      </c>
      <c r="AZ57" s="99">
        <f t="shared" si="24"/>
        <v>0</v>
      </c>
      <c r="BA57" s="99">
        <f t="shared" si="25"/>
        <v>0</v>
      </c>
      <c r="BB57" s="99">
        <f t="shared" si="26"/>
        <v>0</v>
      </c>
      <c r="BC57" s="99">
        <f t="shared" si="27"/>
        <v>0</v>
      </c>
      <c r="BD57" s="97"/>
      <c r="BE57" s="1">
        <f>IFERROR(VLOOKUP(AR57,'Top WS'!$A$19:$B$28,2),0)</f>
        <v>200</v>
      </c>
      <c r="BF57" s="1">
        <f>IFERROR(VLOOKUP(AS57,'Top WS'!$A$19:$B$28,2),0)</f>
        <v>216</v>
      </c>
      <c r="BG57" s="1">
        <f>IFERROR(VLOOKUP(AT57,'Top WS'!$A$19:$B$28,2),0)</f>
        <v>200</v>
      </c>
      <c r="BH57" s="1">
        <f>IFERROR(VLOOKUP(AU57,'Top WS'!$A$19:$B$28,2),0)</f>
        <v>200</v>
      </c>
      <c r="BI57" s="1">
        <f>IFERROR(VLOOKUP(AV57,'Top WS'!$A$19:$B$28,2),0)</f>
        <v>260</v>
      </c>
      <c r="BJ57" s="1">
        <f>IFERROR(VLOOKUP(AW57,'Top WS'!$A$19:$B$28,2),0)</f>
        <v>200</v>
      </c>
      <c r="BK57" s="98">
        <f>IFERROR(VLOOKUP(AX57,'Top WS'!$A$19:$B$28,2),0)</f>
        <v>200</v>
      </c>
      <c r="BL57" s="98">
        <f>IFERROR(VLOOKUP(AY57,'Top WS'!$A$19:$B$28,2),0)</f>
        <v>200</v>
      </c>
      <c r="BM57" s="98">
        <f>IFERROR(VLOOKUP(AZ57,'Top WS'!$A$19:$B$28,2),0)</f>
        <v>200</v>
      </c>
      <c r="BN57" s="98">
        <f>IFERROR(VLOOKUP(BA57,'Top WS'!$A$19:$B$28,2),0)</f>
        <v>200</v>
      </c>
      <c r="BO57" s="98">
        <f>IFERROR(VLOOKUP(BB57,'Top WS'!$A$19:$B$28,2),0)</f>
        <v>200</v>
      </c>
      <c r="BP57" s="98">
        <f>IFERROR(VLOOKUP(BC57,'Top WS'!$A$19:$B$28,2),0)</f>
        <v>200</v>
      </c>
    </row>
    <row r="58" spans="1:68" x14ac:dyDescent="0.4">
      <c r="A58">
        <v>1190054601</v>
      </c>
      <c r="B58">
        <v>63804</v>
      </c>
      <c r="C58" t="s">
        <v>376</v>
      </c>
      <c r="D58" t="s">
        <v>226</v>
      </c>
      <c r="E58" s="1">
        <v>6584.1666734928904</v>
      </c>
      <c r="F58" s="1">
        <v>6864.4357633058116</v>
      </c>
      <c r="G58" s="1">
        <v>6077.1869015106686</v>
      </c>
      <c r="H58" s="1">
        <v>4227.9949409476867</v>
      </c>
      <c r="I58" s="1">
        <v>5070.4613927793807</v>
      </c>
      <c r="J58" s="1">
        <v>8352.9878389425758</v>
      </c>
      <c r="K58" s="1">
        <v>7304.9155049795918</v>
      </c>
      <c r="L58" s="1">
        <v>8521.5607700637756</v>
      </c>
      <c r="M58" s="1">
        <v>6020.4428636726279</v>
      </c>
      <c r="N58" s="1">
        <v>9306.9513475788426</v>
      </c>
      <c r="O58" s="1">
        <v>7452.516370654218</v>
      </c>
      <c r="P58" s="1">
        <v>5236.3796320718993</v>
      </c>
      <c r="R58" s="1" cm="1">
        <f t="array" ref="R58:W58">IFERROR(_xlfn.XLOOKUP(A58,'Actual_Aji Plus'!A:A,'Actual_Aji Plus'!C:H),0)</f>
        <v>7277.4</v>
      </c>
      <c r="S58" s="1">
        <v>6016.2000000000007</v>
      </c>
      <c r="T58" s="1">
        <v>4300.5600000000004</v>
      </c>
      <c r="U58" s="1">
        <v>7682.46</v>
      </c>
      <c r="V58" s="1">
        <v>6576.239999999998</v>
      </c>
      <c r="W58" s="1">
        <v>4494.12</v>
      </c>
      <c r="X58" s="111"/>
      <c r="Y58" s="111"/>
      <c r="Z58" s="111"/>
      <c r="AA58" s="111"/>
      <c r="AB58" s="111"/>
      <c r="AC58" s="111"/>
      <c r="AD58" s="1"/>
      <c r="AE58" s="97">
        <f t="shared" si="4"/>
        <v>1.1052879370897442</v>
      </c>
      <c r="AF58" s="97">
        <f t="shared" si="5"/>
        <v>0.8764303735144412</v>
      </c>
      <c r="AG58" s="97">
        <f t="shared" si="6"/>
        <v>0.70765636629193784</v>
      </c>
      <c r="AH58" s="97">
        <f t="shared" si="7"/>
        <v>1.817045693597261</v>
      </c>
      <c r="AI58" s="97">
        <f t="shared" si="8"/>
        <v>1.2969707272330147</v>
      </c>
      <c r="AJ58" s="97">
        <f t="shared" si="9"/>
        <v>0.5380254451045533</v>
      </c>
      <c r="AK58" s="99">
        <f t="shared" si="10"/>
        <v>0</v>
      </c>
      <c r="AL58" s="99">
        <f t="shared" si="11"/>
        <v>0</v>
      </c>
      <c r="AM58" s="99">
        <f t="shared" si="12"/>
        <v>0</v>
      </c>
      <c r="AN58" s="99">
        <f t="shared" si="13"/>
        <v>0</v>
      </c>
      <c r="AO58" s="99">
        <f t="shared" si="14"/>
        <v>0</v>
      </c>
      <c r="AP58" s="99">
        <f t="shared" si="15"/>
        <v>0</v>
      </c>
      <c r="AQ58" s="97"/>
      <c r="AR58" s="99">
        <f t="shared" si="16"/>
        <v>1.1052999999999999</v>
      </c>
      <c r="AS58" s="99">
        <f t="shared" si="17"/>
        <v>0.87639999999999996</v>
      </c>
      <c r="AT58" s="99">
        <f t="shared" si="18"/>
        <v>0.7077</v>
      </c>
      <c r="AU58" s="99">
        <f t="shared" si="19"/>
        <v>1.8169999999999999</v>
      </c>
      <c r="AV58" s="99">
        <f t="shared" si="20"/>
        <v>1.2969999999999999</v>
      </c>
      <c r="AW58" s="99">
        <f t="shared" si="21"/>
        <v>0.53800000000000003</v>
      </c>
      <c r="AX58" s="99">
        <f t="shared" si="22"/>
        <v>0</v>
      </c>
      <c r="AY58" s="99">
        <f t="shared" si="23"/>
        <v>0</v>
      </c>
      <c r="AZ58" s="99">
        <f t="shared" si="24"/>
        <v>0</v>
      </c>
      <c r="BA58" s="99">
        <f t="shared" si="25"/>
        <v>0</v>
      </c>
      <c r="BB58" s="99">
        <f t="shared" si="26"/>
        <v>0</v>
      </c>
      <c r="BC58" s="99">
        <f t="shared" si="27"/>
        <v>0</v>
      </c>
      <c r="BD58" s="97"/>
      <c r="BE58" s="1">
        <f>IFERROR(VLOOKUP(AR58,'Top WS'!$A$19:$B$28,2),0)</f>
        <v>230</v>
      </c>
      <c r="BF58" s="1">
        <f>IFERROR(VLOOKUP(AS58,'Top WS'!$A$19:$B$28,2),0)</f>
        <v>200</v>
      </c>
      <c r="BG58" s="1">
        <f>IFERROR(VLOOKUP(AT58,'Top WS'!$A$19:$B$28,2),0)</f>
        <v>200</v>
      </c>
      <c r="BH58" s="1">
        <f>IFERROR(VLOOKUP(AU58,'Top WS'!$A$19:$B$28,2),0)</f>
        <v>260</v>
      </c>
      <c r="BI58" s="1">
        <f>IFERROR(VLOOKUP(AV58,'Top WS'!$A$19:$B$28,2),0)</f>
        <v>260</v>
      </c>
      <c r="BJ58" s="1">
        <f>IFERROR(VLOOKUP(AW58,'Top WS'!$A$19:$B$28,2),0)</f>
        <v>200</v>
      </c>
      <c r="BK58" s="98">
        <f>IFERROR(VLOOKUP(AX58,'Top WS'!$A$19:$B$28,2),0)</f>
        <v>200</v>
      </c>
      <c r="BL58" s="98">
        <f>IFERROR(VLOOKUP(AY58,'Top WS'!$A$19:$B$28,2),0)</f>
        <v>200</v>
      </c>
      <c r="BM58" s="98">
        <f>IFERROR(VLOOKUP(AZ58,'Top WS'!$A$19:$B$28,2),0)</f>
        <v>200</v>
      </c>
      <c r="BN58" s="98">
        <f>IFERROR(VLOOKUP(BA58,'Top WS'!$A$19:$B$28,2),0)</f>
        <v>200</v>
      </c>
      <c r="BO58" s="98">
        <f>IFERROR(VLOOKUP(BB58,'Top WS'!$A$19:$B$28,2),0)</f>
        <v>200</v>
      </c>
      <c r="BP58" s="98">
        <f>IFERROR(VLOOKUP(BC58,'Top WS'!$A$19:$B$28,2),0)</f>
        <v>200</v>
      </c>
    </row>
  </sheetData>
  <phoneticPr fontId="10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38E3-B032-46C0-AEDC-1AFCE96F425C}">
  <sheetPr codeName="Sheet25">
    <tabColor rgb="FFFFFF00"/>
  </sheetPr>
  <dimension ref="A1:H62"/>
  <sheetViews>
    <sheetView zoomScale="50" zoomScaleNormal="50" workbookViewId="0">
      <pane xSplit="2" ySplit="1" topLeftCell="C26" activePane="bottomRight" state="frozen"/>
      <selection pane="topRight" activeCell="C11" sqref="C11"/>
      <selection pane="bottomLeft" activeCell="C11" sqref="C11"/>
      <selection pane="bottomRight" activeCell="C11" sqref="C11"/>
    </sheetView>
  </sheetViews>
  <sheetFormatPr defaultRowHeight="16.8" x14ac:dyDescent="0.4"/>
  <cols>
    <col min="1" max="1" width="18.5" customWidth="1"/>
  </cols>
  <sheetData>
    <row r="1" spans="1:8" x14ac:dyDescent="0.4">
      <c r="A1" t="s">
        <v>126</v>
      </c>
      <c r="B1" t="s">
        <v>377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</row>
    <row r="2" spans="1:8" x14ac:dyDescent="0.4">
      <c r="A2">
        <v>1190011201</v>
      </c>
      <c r="B2" t="s">
        <v>235</v>
      </c>
      <c r="C2">
        <v>10686.659999999994</v>
      </c>
      <c r="D2">
        <v>10938.919999999998</v>
      </c>
      <c r="E2">
        <v>12155.999999999991</v>
      </c>
      <c r="F2">
        <v>13346.339999999995</v>
      </c>
      <c r="G2">
        <v>11659.179999999997</v>
      </c>
      <c r="H2">
        <v>8412.4599999999973</v>
      </c>
    </row>
    <row r="3" spans="1:8" x14ac:dyDescent="0.4">
      <c r="A3">
        <v>1190011203</v>
      </c>
      <c r="B3" t="s">
        <v>235</v>
      </c>
      <c r="D3">
        <v>1.5</v>
      </c>
    </row>
    <row r="4" spans="1:8" x14ac:dyDescent="0.4">
      <c r="A4">
        <v>1190011214</v>
      </c>
      <c r="B4" t="s">
        <v>235</v>
      </c>
      <c r="C4">
        <v>4872.12</v>
      </c>
      <c r="D4">
        <v>5921.4</v>
      </c>
      <c r="E4">
        <v>8818.7999999999938</v>
      </c>
      <c r="F4">
        <v>12257.219999999992</v>
      </c>
      <c r="G4">
        <v>8300.2799999999988</v>
      </c>
      <c r="H4">
        <v>3425.5200000000023</v>
      </c>
    </row>
    <row r="5" spans="1:8" x14ac:dyDescent="0.4">
      <c r="A5">
        <v>1190011401</v>
      </c>
      <c r="B5" t="s">
        <v>232</v>
      </c>
      <c r="C5">
        <v>5775.84</v>
      </c>
      <c r="D5">
        <v>8476.8000000000011</v>
      </c>
      <c r="E5">
        <v>6833.4400000000005</v>
      </c>
      <c r="F5">
        <v>10179.999999999996</v>
      </c>
      <c r="G5">
        <v>9112.3199999999924</v>
      </c>
      <c r="H5">
        <v>5843.8199999999979</v>
      </c>
    </row>
    <row r="6" spans="1:8" x14ac:dyDescent="0.4">
      <c r="A6">
        <v>1190011412</v>
      </c>
      <c r="B6" t="s">
        <v>232</v>
      </c>
      <c r="C6">
        <v>4843.3200000000015</v>
      </c>
      <c r="D6">
        <v>10705.38</v>
      </c>
      <c r="E6">
        <v>10573.439999999999</v>
      </c>
      <c r="F6">
        <v>10436.999999999995</v>
      </c>
      <c r="G6">
        <v>9570.3599999999988</v>
      </c>
      <c r="H6">
        <v>4474.8000000000011</v>
      </c>
    </row>
    <row r="7" spans="1:8" x14ac:dyDescent="0.4">
      <c r="A7">
        <v>1190011501</v>
      </c>
      <c r="B7" t="s">
        <v>304</v>
      </c>
      <c r="C7">
        <v>31634.7</v>
      </c>
      <c r="D7">
        <v>28241.359999999997</v>
      </c>
      <c r="E7">
        <v>33036.840000000018</v>
      </c>
      <c r="F7">
        <v>37197.180000000022</v>
      </c>
      <c r="G7">
        <v>23767.460000000014</v>
      </c>
      <c r="H7">
        <v>29194.14000000001</v>
      </c>
    </row>
    <row r="8" spans="1:8" x14ac:dyDescent="0.4">
      <c r="A8">
        <v>1190011701</v>
      </c>
      <c r="B8" t="s">
        <v>228</v>
      </c>
      <c r="C8">
        <v>18807.840000000007</v>
      </c>
      <c r="D8">
        <v>19533.839999999993</v>
      </c>
      <c r="E8">
        <v>21292.440000000006</v>
      </c>
      <c r="F8">
        <v>23776.560000000027</v>
      </c>
      <c r="G8">
        <v>22363.020000000008</v>
      </c>
      <c r="H8">
        <v>19757.46000000001</v>
      </c>
    </row>
    <row r="9" spans="1:8" x14ac:dyDescent="0.4">
      <c r="A9">
        <v>1190011801</v>
      </c>
      <c r="B9" t="s">
        <v>307</v>
      </c>
      <c r="C9">
        <v>2748.54</v>
      </c>
      <c r="D9">
        <v>4218.1200000000008</v>
      </c>
      <c r="E9">
        <v>3963.5400000000004</v>
      </c>
      <c r="F9">
        <v>4472.4599999999982</v>
      </c>
      <c r="G9">
        <v>4387.1399999999967</v>
      </c>
      <c r="H9">
        <v>3008.280000000002</v>
      </c>
    </row>
    <row r="10" spans="1:8" x14ac:dyDescent="0.4">
      <c r="A10">
        <v>1190017001</v>
      </c>
      <c r="B10" t="s">
        <v>309</v>
      </c>
      <c r="C10">
        <v>22183.260000000006</v>
      </c>
      <c r="D10">
        <v>22958.459999999985</v>
      </c>
      <c r="E10">
        <v>24229.500000000007</v>
      </c>
      <c r="F10">
        <v>26343</v>
      </c>
      <c r="G10">
        <v>22603.800000000014</v>
      </c>
      <c r="H10">
        <v>23135.7</v>
      </c>
    </row>
    <row r="11" spans="1:8" x14ac:dyDescent="0.4">
      <c r="A11">
        <v>1190017013</v>
      </c>
      <c r="B11" t="s">
        <v>309</v>
      </c>
      <c r="C11">
        <v>2255.0999999999995</v>
      </c>
      <c r="D11">
        <v>2557.7400000000002</v>
      </c>
      <c r="E11">
        <v>3865.0800000000013</v>
      </c>
      <c r="F11">
        <v>4281.1799999999994</v>
      </c>
      <c r="G11">
        <v>5183.4599999999991</v>
      </c>
      <c r="H11">
        <v>5019.6000000000004</v>
      </c>
    </row>
    <row r="12" spans="1:8" x14ac:dyDescent="0.4">
      <c r="A12">
        <v>1190017014</v>
      </c>
      <c r="B12" t="s">
        <v>309</v>
      </c>
      <c r="C12">
        <v>302.39999999999998</v>
      </c>
      <c r="D12">
        <v>302.39999999999998</v>
      </c>
      <c r="E12">
        <v>317.39999999999998</v>
      </c>
      <c r="F12">
        <v>403.2</v>
      </c>
      <c r="G12">
        <v>302.39999999999998</v>
      </c>
      <c r="H12">
        <v>100.8</v>
      </c>
    </row>
    <row r="13" spans="1:8" x14ac:dyDescent="0.4">
      <c r="A13">
        <v>1190021901</v>
      </c>
      <c r="B13" t="s">
        <v>313</v>
      </c>
      <c r="C13">
        <v>4159.9800000000014</v>
      </c>
      <c r="D13">
        <v>4873.079999999999</v>
      </c>
      <c r="E13">
        <v>4888.8000000000011</v>
      </c>
      <c r="F13">
        <v>6105.6599999999989</v>
      </c>
      <c r="G13">
        <v>4719.5400000000009</v>
      </c>
      <c r="H13">
        <v>4298.5200000000013</v>
      </c>
    </row>
    <row r="14" spans="1:8" x14ac:dyDescent="0.4">
      <c r="A14">
        <v>1190021902</v>
      </c>
      <c r="B14" t="s">
        <v>313</v>
      </c>
      <c r="C14">
        <v>1421.2800000000002</v>
      </c>
      <c r="D14">
        <v>151.19999999999999</v>
      </c>
      <c r="E14">
        <v>461.1</v>
      </c>
      <c r="F14">
        <v>259.5</v>
      </c>
      <c r="G14">
        <v>151.19999999999999</v>
      </c>
      <c r="H14">
        <v>639.95999999999992</v>
      </c>
    </row>
    <row r="15" spans="1:8" x14ac:dyDescent="0.4">
      <c r="A15">
        <v>1190022001</v>
      </c>
      <c r="B15" t="s">
        <v>316</v>
      </c>
      <c r="C15">
        <v>4966.7600000000011</v>
      </c>
      <c r="D15">
        <v>5569.0199999999995</v>
      </c>
      <c r="E15">
        <v>3174.0999999999995</v>
      </c>
      <c r="F15">
        <v>3941.56</v>
      </c>
      <c r="G15">
        <v>3601.6600000000008</v>
      </c>
      <c r="H15">
        <v>5840.5599999999986</v>
      </c>
    </row>
    <row r="16" spans="1:8" x14ac:dyDescent="0.4">
      <c r="A16">
        <v>1190022101</v>
      </c>
      <c r="B16" t="s">
        <v>233</v>
      </c>
      <c r="C16">
        <v>4833.1799999999967</v>
      </c>
      <c r="D16">
        <v>3659.6999999999985</v>
      </c>
      <c r="E16">
        <v>3928.56</v>
      </c>
      <c r="F16">
        <v>3633.6600000000021</v>
      </c>
      <c r="G16">
        <v>4533.3599999999997</v>
      </c>
      <c r="H16">
        <v>3332.2200000000016</v>
      </c>
    </row>
    <row r="17" spans="1:8" x14ac:dyDescent="0.4">
      <c r="A17">
        <v>1190022201</v>
      </c>
      <c r="B17" t="s">
        <v>236</v>
      </c>
      <c r="C17">
        <v>1649.5800000000006</v>
      </c>
      <c r="D17">
        <v>1236.7799999999997</v>
      </c>
      <c r="E17">
        <v>992.51999999999975</v>
      </c>
      <c r="F17">
        <v>1992.9600000000003</v>
      </c>
      <c r="G17">
        <v>1637.4000000000005</v>
      </c>
      <c r="H17">
        <v>1773.8600000000006</v>
      </c>
    </row>
    <row r="18" spans="1:8" x14ac:dyDescent="0.4">
      <c r="A18">
        <v>1190022301</v>
      </c>
      <c r="B18" t="s">
        <v>320</v>
      </c>
      <c r="C18">
        <v>1055.3400000000001</v>
      </c>
      <c r="D18">
        <v>2815.8</v>
      </c>
      <c r="E18">
        <v>1541.7600000000002</v>
      </c>
      <c r="F18">
        <v>1961.5800000000006</v>
      </c>
      <c r="G18">
        <v>2677.7400000000002</v>
      </c>
      <c r="H18">
        <v>1848.8400000000004</v>
      </c>
    </row>
    <row r="19" spans="1:8" x14ac:dyDescent="0.4">
      <c r="A19">
        <v>1190022302</v>
      </c>
      <c r="B19" t="s">
        <v>320</v>
      </c>
      <c r="C19">
        <v>1118.8800000000001</v>
      </c>
      <c r="D19">
        <v>2900.2200000000003</v>
      </c>
      <c r="E19">
        <v>3043.920000000001</v>
      </c>
      <c r="F19">
        <v>1078.08</v>
      </c>
      <c r="G19">
        <v>1189.44</v>
      </c>
      <c r="H19">
        <v>2325.9000000000019</v>
      </c>
    </row>
    <row r="20" spans="1:8" x14ac:dyDescent="0.4">
      <c r="A20">
        <v>1190022401</v>
      </c>
      <c r="B20" t="s">
        <v>323</v>
      </c>
      <c r="C20">
        <v>2386.1399999999994</v>
      </c>
      <c r="D20">
        <v>4933.32</v>
      </c>
      <c r="E20">
        <v>1947.5399999999997</v>
      </c>
      <c r="F20">
        <v>2993.28</v>
      </c>
      <c r="G20">
        <v>3842.1000000000004</v>
      </c>
      <c r="H20">
        <v>2690.64</v>
      </c>
    </row>
    <row r="21" spans="1:8" x14ac:dyDescent="0.4">
      <c r="A21">
        <v>1190022402</v>
      </c>
      <c r="B21" t="s">
        <v>323</v>
      </c>
      <c r="C21">
        <v>209.1</v>
      </c>
      <c r="D21">
        <v>408.11999999999995</v>
      </c>
      <c r="E21">
        <v>395.46</v>
      </c>
      <c r="F21">
        <v>282.24</v>
      </c>
      <c r="G21">
        <v>312.47999999999996</v>
      </c>
      <c r="H21">
        <v>100.8</v>
      </c>
    </row>
    <row r="22" spans="1:8" x14ac:dyDescent="0.4">
      <c r="A22">
        <v>1190022510</v>
      </c>
      <c r="B22" t="s">
        <v>326</v>
      </c>
      <c r="C22">
        <v>962.27999999999986</v>
      </c>
      <c r="D22">
        <v>2307.3599999999997</v>
      </c>
      <c r="E22">
        <v>1541.7599999999998</v>
      </c>
      <c r="F22">
        <v>1894.3199999999997</v>
      </c>
      <c r="G22">
        <v>1919.4000000000005</v>
      </c>
      <c r="H22">
        <v>1417.74</v>
      </c>
    </row>
    <row r="23" spans="1:8" x14ac:dyDescent="0.4">
      <c r="A23">
        <v>1190027101</v>
      </c>
      <c r="B23" t="s">
        <v>229</v>
      </c>
      <c r="C23">
        <v>1952.46</v>
      </c>
      <c r="D23">
        <v>1169.2800000000002</v>
      </c>
      <c r="E23">
        <v>778.5</v>
      </c>
      <c r="F23">
        <v>1577.4</v>
      </c>
      <c r="G23">
        <v>234.18</v>
      </c>
      <c r="H23">
        <v>903.9</v>
      </c>
    </row>
    <row r="24" spans="1:8" x14ac:dyDescent="0.4">
      <c r="A24">
        <v>1190032602</v>
      </c>
      <c r="B24" t="s">
        <v>237</v>
      </c>
      <c r="C24">
        <v>27554.340000000018</v>
      </c>
      <c r="D24">
        <v>27829.559999999994</v>
      </c>
      <c r="E24">
        <v>26126.340000000011</v>
      </c>
      <c r="F24">
        <v>24269.759999999984</v>
      </c>
      <c r="G24">
        <v>33572.040000000037</v>
      </c>
      <c r="H24">
        <v>31694.16</v>
      </c>
    </row>
    <row r="25" spans="1:8" x14ac:dyDescent="0.4">
      <c r="A25">
        <v>1190032701</v>
      </c>
      <c r="B25" t="s">
        <v>239</v>
      </c>
      <c r="C25">
        <v>5130.7199999999984</v>
      </c>
      <c r="D25">
        <v>3245.7599999999993</v>
      </c>
      <c r="E25">
        <v>5201.2800000000007</v>
      </c>
      <c r="F25">
        <v>5433.119999999999</v>
      </c>
      <c r="G25">
        <v>4455.3599999999988</v>
      </c>
      <c r="H25">
        <v>5019.8399999999983</v>
      </c>
    </row>
    <row r="26" spans="1:8" x14ac:dyDescent="0.4">
      <c r="A26">
        <v>1190032801</v>
      </c>
      <c r="B26" t="s">
        <v>331</v>
      </c>
      <c r="C26">
        <v>3469.0800000000013</v>
      </c>
      <c r="D26">
        <v>4433.9399999999996</v>
      </c>
      <c r="E26">
        <v>4046.4600000000005</v>
      </c>
      <c r="F26">
        <v>4325.16</v>
      </c>
      <c r="G26">
        <v>3069.1800000000007</v>
      </c>
      <c r="H26">
        <v>3514.0800000000004</v>
      </c>
    </row>
    <row r="27" spans="1:8" x14ac:dyDescent="0.4">
      <c r="A27">
        <v>1190032901</v>
      </c>
      <c r="B27" t="s">
        <v>234</v>
      </c>
      <c r="C27">
        <v>1215.9000000000001</v>
      </c>
      <c r="D27">
        <v>2899.9799999999991</v>
      </c>
      <c r="E27">
        <v>2392.920000000001</v>
      </c>
      <c r="F27">
        <v>2680.0800000000004</v>
      </c>
      <c r="G27">
        <v>3277.3799999999992</v>
      </c>
      <c r="H27">
        <v>2353.0800000000008</v>
      </c>
    </row>
    <row r="28" spans="1:8" x14ac:dyDescent="0.4">
      <c r="A28">
        <v>1190032902</v>
      </c>
      <c r="B28" t="s">
        <v>234</v>
      </c>
      <c r="C28">
        <v>4472.46</v>
      </c>
      <c r="D28">
        <v>6888.8399999999983</v>
      </c>
      <c r="E28">
        <v>7100.7599999999993</v>
      </c>
      <c r="F28">
        <v>6750.0599999999977</v>
      </c>
      <c r="G28">
        <v>7229.2199999999984</v>
      </c>
      <c r="H28">
        <v>4386.8999999999987</v>
      </c>
    </row>
    <row r="29" spans="1:8" x14ac:dyDescent="0.4">
      <c r="A29">
        <v>1190033001</v>
      </c>
      <c r="B29" t="s">
        <v>335</v>
      </c>
      <c r="C29">
        <v>2589.7600000000002</v>
      </c>
      <c r="D29">
        <v>1895.04</v>
      </c>
      <c r="E29">
        <v>2367.2000000000003</v>
      </c>
      <c r="F29">
        <v>2812.32</v>
      </c>
      <c r="G29">
        <v>2548.6400000000008</v>
      </c>
      <c r="H29">
        <v>1925.2800000000004</v>
      </c>
    </row>
    <row r="30" spans="1:8" x14ac:dyDescent="0.4">
      <c r="A30">
        <v>1190033002</v>
      </c>
      <c r="B30" t="s">
        <v>335</v>
      </c>
      <c r="C30">
        <v>3189.96</v>
      </c>
      <c r="D30">
        <v>2945.7000000000003</v>
      </c>
      <c r="E30">
        <v>2302.92</v>
      </c>
      <c r="F30">
        <v>3736.8600000000006</v>
      </c>
      <c r="G30">
        <v>4316.34</v>
      </c>
      <c r="H30">
        <v>2978.0400000000009</v>
      </c>
    </row>
    <row r="31" spans="1:8" x14ac:dyDescent="0.4">
      <c r="A31">
        <v>1190033101</v>
      </c>
      <c r="B31" t="s">
        <v>338</v>
      </c>
      <c r="C31">
        <v>692.45999999999992</v>
      </c>
      <c r="D31">
        <v>612.06000000000006</v>
      </c>
      <c r="E31">
        <v>480.78</v>
      </c>
      <c r="F31">
        <v>1100.3399999999999</v>
      </c>
      <c r="G31">
        <v>951.95999999999992</v>
      </c>
      <c r="H31">
        <v>720.36</v>
      </c>
    </row>
    <row r="32" spans="1:8" x14ac:dyDescent="0.4">
      <c r="A32">
        <v>1190033102</v>
      </c>
      <c r="B32" t="s">
        <v>338</v>
      </c>
      <c r="C32">
        <v>753.18</v>
      </c>
      <c r="D32">
        <v>826.56000000000006</v>
      </c>
      <c r="E32">
        <v>1015.2599999999999</v>
      </c>
      <c r="F32">
        <v>813.65999999999985</v>
      </c>
      <c r="G32">
        <v>995.34000000000015</v>
      </c>
      <c r="H32">
        <v>843.9</v>
      </c>
    </row>
    <row r="33" spans="1:8" x14ac:dyDescent="0.4">
      <c r="A33">
        <v>1190033201</v>
      </c>
      <c r="B33" t="s">
        <v>238</v>
      </c>
      <c r="C33">
        <v>2678.2200000000016</v>
      </c>
      <c r="D33">
        <v>2353.3200000000002</v>
      </c>
      <c r="E33">
        <v>2159.2200000000007</v>
      </c>
      <c r="F33">
        <v>2382.3600000000006</v>
      </c>
      <c r="G33">
        <v>2650.8</v>
      </c>
      <c r="H33">
        <v>2433.7200000000007</v>
      </c>
    </row>
    <row r="34" spans="1:8" x14ac:dyDescent="0.4">
      <c r="A34">
        <v>1190033202</v>
      </c>
      <c r="B34" t="s">
        <v>238</v>
      </c>
      <c r="C34">
        <v>2638.1400000000012</v>
      </c>
      <c r="D34">
        <v>2600.6400000000003</v>
      </c>
      <c r="E34">
        <v>2348.6400000000003</v>
      </c>
      <c r="F34">
        <v>2738.9400000000014</v>
      </c>
      <c r="G34">
        <v>2509.920000000001</v>
      </c>
      <c r="H34">
        <v>1831.74</v>
      </c>
    </row>
    <row r="35" spans="1:8" x14ac:dyDescent="0.4">
      <c r="A35">
        <v>1190033301</v>
      </c>
      <c r="B35" t="s">
        <v>343</v>
      </c>
      <c r="C35">
        <v>7639.9200000000019</v>
      </c>
      <c r="D35">
        <v>5810.2799999999988</v>
      </c>
      <c r="E35">
        <v>7818.5399999999954</v>
      </c>
      <c r="F35">
        <v>6727.8</v>
      </c>
      <c r="G35">
        <v>8032.559999999994</v>
      </c>
      <c r="H35">
        <v>7382.2799999999961</v>
      </c>
    </row>
    <row r="36" spans="1:8" x14ac:dyDescent="0.4">
      <c r="A36">
        <v>1190033302</v>
      </c>
      <c r="B36" t="s">
        <v>343</v>
      </c>
      <c r="C36">
        <v>1247.3399999999999</v>
      </c>
      <c r="D36">
        <v>1189.4399999999998</v>
      </c>
      <c r="E36">
        <v>755.99999999999989</v>
      </c>
      <c r="F36">
        <v>1522.0800000000002</v>
      </c>
      <c r="G36">
        <v>1552.3200000000002</v>
      </c>
      <c r="H36">
        <v>1005.4200000000001</v>
      </c>
    </row>
    <row r="37" spans="1:8" x14ac:dyDescent="0.4">
      <c r="A37">
        <v>1190037301</v>
      </c>
      <c r="B37" t="s">
        <v>242</v>
      </c>
      <c r="C37">
        <v>16321.379999999996</v>
      </c>
      <c r="D37">
        <v>14294.819999999998</v>
      </c>
      <c r="E37">
        <v>13745.819999999991</v>
      </c>
      <c r="F37">
        <v>3467.28</v>
      </c>
      <c r="G37">
        <v>2081.16</v>
      </c>
      <c r="H37">
        <v>3953.7</v>
      </c>
    </row>
    <row r="38" spans="1:8" x14ac:dyDescent="0.4">
      <c r="A38">
        <v>1190037302</v>
      </c>
      <c r="B38" t="s">
        <v>242</v>
      </c>
      <c r="F38">
        <v>11250.899999999998</v>
      </c>
      <c r="G38">
        <v>12181.079999999994</v>
      </c>
      <c r="H38">
        <v>11899.079999999996</v>
      </c>
    </row>
    <row r="39" spans="1:8" x14ac:dyDescent="0.4">
      <c r="A39">
        <v>1190037401</v>
      </c>
      <c r="B39" t="s">
        <v>347</v>
      </c>
      <c r="C39">
        <v>1098.72</v>
      </c>
      <c r="D39">
        <v>5443.199999999998</v>
      </c>
      <c r="E39">
        <v>1310.3999999999999</v>
      </c>
      <c r="F39">
        <v>1380.9599999999998</v>
      </c>
      <c r="G39">
        <v>4009.2599999999998</v>
      </c>
      <c r="H39">
        <v>4112.6399999999994</v>
      </c>
    </row>
    <row r="40" spans="1:8" x14ac:dyDescent="0.4">
      <c r="A40">
        <v>1190043401</v>
      </c>
      <c r="B40" t="s">
        <v>241</v>
      </c>
      <c r="C40">
        <v>7752.119999999999</v>
      </c>
      <c r="D40">
        <v>4687.8600000000006</v>
      </c>
      <c r="E40">
        <v>5597.1600000000008</v>
      </c>
      <c r="F40">
        <v>5745.06</v>
      </c>
      <c r="G40">
        <v>4211.5200000000004</v>
      </c>
      <c r="H40">
        <v>5825.9400000000005</v>
      </c>
    </row>
    <row r="41" spans="1:8" x14ac:dyDescent="0.4">
      <c r="A41">
        <v>1190043402</v>
      </c>
      <c r="B41" t="s">
        <v>241</v>
      </c>
      <c r="C41">
        <v>13297.559999999994</v>
      </c>
      <c r="D41">
        <v>17280.78</v>
      </c>
      <c r="E41">
        <v>14171.199999999997</v>
      </c>
      <c r="F41">
        <v>15502.979999999996</v>
      </c>
      <c r="G41">
        <v>18404.639999999992</v>
      </c>
      <c r="H41">
        <v>12283.019999999999</v>
      </c>
    </row>
    <row r="42" spans="1:8" x14ac:dyDescent="0.4">
      <c r="A42">
        <v>1190043501</v>
      </c>
      <c r="B42" t="s">
        <v>351</v>
      </c>
      <c r="C42">
        <v>16863.179999999989</v>
      </c>
      <c r="D42">
        <v>19660.979999999992</v>
      </c>
      <c r="E42">
        <v>14237.519999999993</v>
      </c>
      <c r="F42">
        <v>17745.12</v>
      </c>
      <c r="G42">
        <v>17510.219999999994</v>
      </c>
      <c r="H42">
        <v>14760.239999999985</v>
      </c>
    </row>
    <row r="43" spans="1:8" x14ac:dyDescent="0.4">
      <c r="A43">
        <v>1190043502</v>
      </c>
      <c r="B43" t="s">
        <v>351</v>
      </c>
      <c r="C43">
        <v>5570.2199999999966</v>
      </c>
      <c r="D43">
        <v>5489.8199999999988</v>
      </c>
      <c r="E43">
        <v>3575.1000000000022</v>
      </c>
      <c r="F43">
        <v>4018.3800000000028</v>
      </c>
      <c r="G43">
        <v>4429.5600000000004</v>
      </c>
      <c r="H43">
        <v>4502.4600000000009</v>
      </c>
    </row>
    <row r="44" spans="1:8" x14ac:dyDescent="0.4">
      <c r="A44">
        <v>1190043601</v>
      </c>
      <c r="B44" t="s">
        <v>231</v>
      </c>
      <c r="C44">
        <v>20609.460000000003</v>
      </c>
      <c r="D44">
        <v>24314.940000000002</v>
      </c>
      <c r="E44">
        <v>24506.520000000019</v>
      </c>
      <c r="F44">
        <v>26982.360000000015</v>
      </c>
      <c r="G44">
        <v>25987.980000000007</v>
      </c>
      <c r="H44">
        <v>21946.920000000002</v>
      </c>
    </row>
    <row r="45" spans="1:8" x14ac:dyDescent="0.4">
      <c r="A45">
        <v>1190043602</v>
      </c>
      <c r="B45" t="s">
        <v>231</v>
      </c>
      <c r="C45">
        <v>48073.520000000019</v>
      </c>
      <c r="D45">
        <v>51983.819999999992</v>
      </c>
      <c r="E45">
        <v>53789.16</v>
      </c>
      <c r="F45">
        <v>47565.239999999991</v>
      </c>
      <c r="G45">
        <v>44672.740000000005</v>
      </c>
      <c r="H45">
        <v>54307.619999999995</v>
      </c>
    </row>
    <row r="46" spans="1:8" x14ac:dyDescent="0.4">
      <c r="A46">
        <v>1190043701</v>
      </c>
      <c r="B46" t="s">
        <v>230</v>
      </c>
      <c r="C46">
        <v>5260.9799999999987</v>
      </c>
      <c r="D46">
        <v>7123.9199999999973</v>
      </c>
      <c r="E46">
        <v>5424.36</v>
      </c>
      <c r="F46">
        <v>4843.2599999999993</v>
      </c>
      <c r="G46">
        <v>7203.8399999999974</v>
      </c>
      <c r="H46">
        <v>4702.8599999999988</v>
      </c>
    </row>
    <row r="47" spans="1:8" x14ac:dyDescent="0.4">
      <c r="A47">
        <v>1190043702</v>
      </c>
      <c r="B47" t="s">
        <v>230</v>
      </c>
      <c r="C47">
        <v>3158.0400000000009</v>
      </c>
      <c r="D47">
        <v>4557.0600000000004</v>
      </c>
      <c r="E47">
        <v>3002.3999999999996</v>
      </c>
      <c r="F47">
        <v>4567.8599999999988</v>
      </c>
      <c r="G47">
        <v>4612.6199999999981</v>
      </c>
      <c r="H47">
        <v>2851.92</v>
      </c>
    </row>
    <row r="48" spans="1:8" x14ac:dyDescent="0.4">
      <c r="A48">
        <v>1190043801</v>
      </c>
      <c r="B48" t="s">
        <v>358</v>
      </c>
      <c r="C48">
        <v>16781.999999999993</v>
      </c>
      <c r="D48">
        <v>18727.85999999999</v>
      </c>
      <c r="E48">
        <v>25912.319999999992</v>
      </c>
      <c r="F48">
        <v>18244.559999999994</v>
      </c>
      <c r="G48">
        <v>22056.120000000006</v>
      </c>
      <c r="H48">
        <v>21881.580000000005</v>
      </c>
    </row>
    <row r="49" spans="1:8" x14ac:dyDescent="0.4">
      <c r="A49">
        <v>1190043802</v>
      </c>
      <c r="B49" t="s">
        <v>358</v>
      </c>
      <c r="C49">
        <v>7359.2599999999966</v>
      </c>
      <c r="D49">
        <v>11957.359999999993</v>
      </c>
      <c r="E49">
        <v>7973.8799999999983</v>
      </c>
      <c r="F49">
        <v>12599.099999999991</v>
      </c>
      <c r="G49">
        <v>7964.1399999999976</v>
      </c>
      <c r="H49">
        <v>10144.179999999989</v>
      </c>
    </row>
    <row r="50" spans="1:8" x14ac:dyDescent="0.4">
      <c r="A50">
        <v>1190043901</v>
      </c>
      <c r="B50" t="s">
        <v>361</v>
      </c>
      <c r="C50">
        <v>20904.88</v>
      </c>
      <c r="D50">
        <v>24018.099999999995</v>
      </c>
      <c r="E50">
        <v>16037.19999999999</v>
      </c>
      <c r="F50">
        <v>23907.160000000003</v>
      </c>
      <c r="G50">
        <v>28802.500000000004</v>
      </c>
      <c r="H50">
        <v>21744.440000000002</v>
      </c>
    </row>
    <row r="51" spans="1:8" x14ac:dyDescent="0.4">
      <c r="A51">
        <v>1190043902</v>
      </c>
      <c r="B51" t="s">
        <v>361</v>
      </c>
      <c r="C51">
        <v>21602.21999999999</v>
      </c>
      <c r="D51">
        <v>25573.980000000003</v>
      </c>
      <c r="E51">
        <v>20009.939999999995</v>
      </c>
      <c r="F51">
        <v>24315.960000000014</v>
      </c>
      <c r="G51">
        <v>24832.5</v>
      </c>
      <c r="H51">
        <v>24810.539999999986</v>
      </c>
    </row>
    <row r="52" spans="1:8" x14ac:dyDescent="0.4">
      <c r="A52">
        <v>1190044001</v>
      </c>
      <c r="B52" t="s">
        <v>364</v>
      </c>
      <c r="C52">
        <v>19681.920000000009</v>
      </c>
      <c r="D52">
        <v>24766.080000000002</v>
      </c>
      <c r="E52">
        <v>21331.800000000007</v>
      </c>
      <c r="F52">
        <v>23069.100000000006</v>
      </c>
      <c r="G52">
        <v>25231.439999999988</v>
      </c>
      <c r="H52">
        <v>21521.4</v>
      </c>
    </row>
    <row r="53" spans="1:8" x14ac:dyDescent="0.4">
      <c r="A53">
        <v>1190044002</v>
      </c>
      <c r="B53" t="s">
        <v>364</v>
      </c>
      <c r="C53">
        <v>8764.0799999999945</v>
      </c>
      <c r="D53">
        <v>11128.859999999995</v>
      </c>
      <c r="E53">
        <v>8158.1399999999958</v>
      </c>
      <c r="F53">
        <v>8395.14</v>
      </c>
      <c r="G53">
        <v>10125.839999999993</v>
      </c>
      <c r="H53">
        <v>4734.2400000000007</v>
      </c>
    </row>
    <row r="54" spans="1:8" x14ac:dyDescent="0.4">
      <c r="A54">
        <v>1190044012</v>
      </c>
      <c r="B54" t="s">
        <v>364</v>
      </c>
      <c r="D54">
        <v>2.0099999999999998</v>
      </c>
    </row>
    <row r="55" spans="1:8" x14ac:dyDescent="0.4">
      <c r="A55">
        <v>1190044013</v>
      </c>
      <c r="B55" t="s">
        <v>364</v>
      </c>
      <c r="H55">
        <v>6766.3799999999983</v>
      </c>
    </row>
    <row r="56" spans="1:8" x14ac:dyDescent="0.4">
      <c r="A56">
        <v>1190044101</v>
      </c>
      <c r="B56" t="s">
        <v>367</v>
      </c>
      <c r="C56">
        <v>19702.499999999993</v>
      </c>
      <c r="D56">
        <v>21208.919999999995</v>
      </c>
      <c r="E56">
        <v>15986.639999999996</v>
      </c>
      <c r="F56">
        <v>20076.30000000001</v>
      </c>
      <c r="G56">
        <v>21206.040000000012</v>
      </c>
      <c r="H56">
        <v>20499.48</v>
      </c>
    </row>
    <row r="57" spans="1:8" x14ac:dyDescent="0.4">
      <c r="A57">
        <v>1190054201</v>
      </c>
      <c r="B57" t="s">
        <v>369</v>
      </c>
      <c r="C57">
        <v>1517.2799999999997</v>
      </c>
      <c r="D57">
        <v>2989.0800000000004</v>
      </c>
      <c r="E57">
        <v>1635.84</v>
      </c>
      <c r="F57">
        <v>1740.9600000000003</v>
      </c>
      <c r="G57">
        <v>2162.34</v>
      </c>
      <c r="H57">
        <v>1204.3799999999997</v>
      </c>
    </row>
    <row r="58" spans="1:8" x14ac:dyDescent="0.4">
      <c r="A58">
        <v>1190054202</v>
      </c>
      <c r="B58" t="s">
        <v>369</v>
      </c>
      <c r="C58">
        <v>566.58000000000004</v>
      </c>
      <c r="D58">
        <v>700.19999999999993</v>
      </c>
      <c r="E58">
        <v>473.52</v>
      </c>
      <c r="F58">
        <v>1007.5199999999998</v>
      </c>
      <c r="G58">
        <v>652.37999999999988</v>
      </c>
      <c r="H58">
        <v>531.41999999999996</v>
      </c>
    </row>
    <row r="59" spans="1:8" x14ac:dyDescent="0.4">
      <c r="A59">
        <v>1190054301</v>
      </c>
      <c r="B59" t="s">
        <v>372</v>
      </c>
      <c r="C59">
        <v>375.29999999999995</v>
      </c>
      <c r="D59">
        <v>294.66000000000003</v>
      </c>
      <c r="E59">
        <v>110.63999999999999</v>
      </c>
      <c r="F59">
        <v>473.51999999999992</v>
      </c>
      <c r="G59">
        <v>319.74</v>
      </c>
      <c r="H59">
        <v>596.81999999999994</v>
      </c>
    </row>
    <row r="60" spans="1:8" x14ac:dyDescent="0.4">
      <c r="A60">
        <v>1190054401</v>
      </c>
      <c r="B60" t="s">
        <v>374</v>
      </c>
      <c r="C60">
        <v>969.77999999999975</v>
      </c>
      <c r="D60">
        <v>1563.7799999999997</v>
      </c>
      <c r="E60">
        <v>795.3599999999999</v>
      </c>
      <c r="F60">
        <v>1093.3200000000002</v>
      </c>
      <c r="G60">
        <v>1140.42</v>
      </c>
      <c r="H60">
        <v>1162.92</v>
      </c>
    </row>
    <row r="61" spans="1:8" x14ac:dyDescent="0.4">
      <c r="A61">
        <v>1190054501</v>
      </c>
      <c r="B61" t="s">
        <v>240</v>
      </c>
      <c r="C61">
        <v>193.86</v>
      </c>
      <c r="D61">
        <v>415.38</v>
      </c>
      <c r="E61">
        <v>307.32</v>
      </c>
      <c r="F61">
        <v>196.20000000000002</v>
      </c>
      <c r="G61">
        <v>534.24</v>
      </c>
      <c r="H61">
        <v>100.8</v>
      </c>
    </row>
    <row r="62" spans="1:8" x14ac:dyDescent="0.4">
      <c r="A62">
        <v>1190054601</v>
      </c>
      <c r="B62" t="s">
        <v>226</v>
      </c>
      <c r="C62">
        <v>7277.4</v>
      </c>
      <c r="D62">
        <v>6016.2000000000007</v>
      </c>
      <c r="E62">
        <v>4300.5600000000004</v>
      </c>
      <c r="F62">
        <v>7682.46</v>
      </c>
      <c r="G62">
        <v>6576.239999999998</v>
      </c>
      <c r="H62">
        <v>4494.12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094B-5358-49C8-980A-846B771C3E1A}">
  <sheetPr codeName="Sheet26">
    <tabColor rgb="FF00B0F0"/>
  </sheetPr>
  <dimension ref="A1:BQ58"/>
  <sheetViews>
    <sheetView zoomScale="50" zoomScaleNormal="50" workbookViewId="0">
      <pane xSplit="4" ySplit="1" topLeftCell="AV2" activePane="bottomRight" state="frozen"/>
      <selection pane="topRight" activeCell="BE11" sqref="BE11:BP11"/>
      <selection pane="bottomLeft" activeCell="BE11" sqref="BE11:BP11"/>
      <selection pane="bottomRight" activeCell="BE11" sqref="BE11:BP11"/>
    </sheetView>
  </sheetViews>
  <sheetFormatPr defaultRowHeight="16.8" x14ac:dyDescent="0.4"/>
  <cols>
    <col min="1" max="1" width="13.59765625" customWidth="1"/>
    <col min="2" max="2" width="6.3984375" customWidth="1"/>
    <col min="3" max="3" width="16.3984375" customWidth="1"/>
    <col min="4" max="4" width="17.09765625" customWidth="1"/>
    <col min="31" max="31" width="9.59765625" bestFit="1" customWidth="1"/>
    <col min="33" max="35" width="10.5" customWidth="1"/>
    <col min="44" max="44" width="11.09765625" customWidth="1"/>
    <col min="46" max="46" width="10.59765625" customWidth="1"/>
    <col min="47" max="47" width="10" customWidth="1"/>
    <col min="48" max="48" width="10.5" customWidth="1"/>
  </cols>
  <sheetData>
    <row r="1" spans="1:69" x14ac:dyDescent="0.4">
      <c r="A1" t="s">
        <v>79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140</v>
      </c>
      <c r="N1" t="s">
        <v>255</v>
      </c>
      <c r="O1" t="s">
        <v>256</v>
      </c>
      <c r="P1" t="s">
        <v>257</v>
      </c>
      <c r="R1" t="s">
        <v>247</v>
      </c>
      <c r="S1" t="s">
        <v>248</v>
      </c>
      <c r="T1" t="s">
        <v>249</v>
      </c>
      <c r="U1" t="s">
        <v>250</v>
      </c>
      <c r="V1" t="s">
        <v>251</v>
      </c>
      <c r="W1" t="s">
        <v>252</v>
      </c>
      <c r="X1" t="s">
        <v>253</v>
      </c>
      <c r="Y1" t="s">
        <v>254</v>
      </c>
      <c r="Z1" t="s">
        <v>140</v>
      </c>
      <c r="AA1" t="s">
        <v>255</v>
      </c>
      <c r="AB1" t="s">
        <v>256</v>
      </c>
      <c r="AC1" t="s">
        <v>257</v>
      </c>
      <c r="AE1" t="s">
        <v>247</v>
      </c>
      <c r="AF1" t="s">
        <v>248</v>
      </c>
      <c r="AG1" t="s">
        <v>249</v>
      </c>
      <c r="AH1" t="s">
        <v>250</v>
      </c>
      <c r="AI1" t="s">
        <v>251</v>
      </c>
      <c r="AJ1" t="s">
        <v>252</v>
      </c>
      <c r="AK1" t="s">
        <v>253</v>
      </c>
      <c r="AL1" t="s">
        <v>254</v>
      </c>
      <c r="AM1" t="s">
        <v>140</v>
      </c>
      <c r="AN1" t="s">
        <v>255</v>
      </c>
      <c r="AO1" t="s">
        <v>256</v>
      </c>
      <c r="AP1" t="s">
        <v>257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140</v>
      </c>
      <c r="BA1" t="s">
        <v>255</v>
      </c>
      <c r="BB1" t="s">
        <v>256</v>
      </c>
      <c r="BC1" t="s">
        <v>257</v>
      </c>
      <c r="BE1" t="s">
        <v>247</v>
      </c>
      <c r="BF1" t="s">
        <v>248</v>
      </c>
      <c r="BG1" t="s">
        <v>249</v>
      </c>
      <c r="BH1" t="s">
        <v>250</v>
      </c>
      <c r="BI1" t="s">
        <v>251</v>
      </c>
      <c r="BJ1" t="s">
        <v>252</v>
      </c>
      <c r="BK1" t="s">
        <v>253</v>
      </c>
      <c r="BL1" t="s">
        <v>254</v>
      </c>
      <c r="BM1" t="s">
        <v>140</v>
      </c>
      <c r="BN1" t="s">
        <v>255</v>
      </c>
      <c r="BO1" t="s">
        <v>256</v>
      </c>
      <c r="BP1" t="s">
        <v>257</v>
      </c>
    </row>
    <row r="2" spans="1:69" x14ac:dyDescent="0.4">
      <c r="A2">
        <v>1190011201</v>
      </c>
      <c r="B2">
        <f>VLOOKUP(A2,'Aji Plus'!$A$2:$D$58,2,0)</f>
        <v>76001</v>
      </c>
      <c r="C2" t="str">
        <f>VLOOKUP(A2,'Aji Plus'!$A$2:$D$58,3,0)</f>
        <v>นายวิโรจน์ แซ่ฉั่ว</v>
      </c>
      <c r="D2" t="str">
        <f>VLOOKUP(A2,'Aji Plus'!$A$2:$D$58,4,0)</f>
        <v>Thonburi</v>
      </c>
      <c r="E2" s="1">
        <v>12.09246889325475</v>
      </c>
      <c r="F2" s="1">
        <v>7.1490067670814241</v>
      </c>
      <c r="G2" s="1">
        <v>24.337044313468684</v>
      </c>
      <c r="H2" s="1">
        <v>3.0421305391835851</v>
      </c>
      <c r="I2" s="1">
        <v>54.149923597467811</v>
      </c>
      <c r="J2" s="1">
        <v>13.461427635887365</v>
      </c>
      <c r="K2" s="1">
        <v>55.366775813141238</v>
      </c>
      <c r="L2" s="1">
        <v>27.987600960488983</v>
      </c>
      <c r="M2" s="1">
        <v>27.074961798733906</v>
      </c>
      <c r="N2" s="1">
        <v>26.010216110019648</v>
      </c>
      <c r="O2" s="1">
        <v>12.853001528050646</v>
      </c>
      <c r="P2" s="1">
        <v>84.875442043222009</v>
      </c>
      <c r="R2" s="1">
        <f>VLOOKUP(A2,Actual_RDQ!$A$2:$H$62,3,0)</f>
        <v>121.53599999999999</v>
      </c>
      <c r="S2" s="1">
        <f>VLOOKUP(A2,Actual_RDQ!$A$2:$H$62,4,0)</f>
        <v>62.207999999999998</v>
      </c>
      <c r="T2" s="1">
        <f>VLOOKUP(A2,Actual_RDQ!$A$2:$H$62,5,0)</f>
        <v>58.751999999999995</v>
      </c>
      <c r="U2" s="1">
        <f>VLOOKUP(A2,Actual_RDQ!$A$2:$H$62,6,0)</f>
        <v>41.471999999999994</v>
      </c>
      <c r="V2" s="1">
        <f>VLOOKUP(A2,Actual_RDQ!$A$2:$H$62,7,0)</f>
        <v>57.599999999999994</v>
      </c>
      <c r="W2" s="1">
        <f>VLOOKUP(A2,Actual_RDQ!$A$2:$H$62,8,0)</f>
        <v>80.64</v>
      </c>
      <c r="X2" s="111"/>
      <c r="Y2" s="111"/>
      <c r="Z2" s="111"/>
      <c r="AA2" s="111"/>
      <c r="AB2" s="111"/>
      <c r="AC2" s="111"/>
      <c r="AE2" s="109">
        <f>R2/E2</f>
        <v>10.050553040313668</v>
      </c>
      <c r="AF2" s="97">
        <f t="shared" ref="AF2:AP17" si="0">S2/F2</f>
        <v>8.7016283557661769</v>
      </c>
      <c r="AG2" s="97">
        <f t="shared" si="0"/>
        <v>2.4140975889781848</v>
      </c>
      <c r="AH2" s="97">
        <f t="shared" si="0"/>
        <v>13.632551090700339</v>
      </c>
      <c r="AI2" s="97">
        <f t="shared" si="0"/>
        <v>1.0637134121957195</v>
      </c>
      <c r="AJ2" s="97">
        <f t="shared" si="0"/>
        <v>5.9904493179474194</v>
      </c>
      <c r="AK2" s="99">
        <f t="shared" si="0"/>
        <v>0</v>
      </c>
      <c r="AL2" s="99">
        <f t="shared" si="0"/>
        <v>0</v>
      </c>
      <c r="AM2" s="99">
        <f t="shared" si="0"/>
        <v>0</v>
      </c>
      <c r="AN2" s="99">
        <f t="shared" si="0"/>
        <v>0</v>
      </c>
      <c r="AO2" s="99">
        <f t="shared" si="0"/>
        <v>0</v>
      </c>
      <c r="AP2" s="99">
        <f t="shared" si="0"/>
        <v>0</v>
      </c>
      <c r="AQ2" s="97"/>
      <c r="AR2" s="99">
        <f>ROUND(AE2,4)</f>
        <v>10.050599999999999</v>
      </c>
      <c r="AS2" s="99">
        <f t="shared" ref="AS2:BC17" si="1">ROUND(AF2,4)</f>
        <v>8.7015999999999991</v>
      </c>
      <c r="AT2" s="99">
        <f t="shared" si="1"/>
        <v>2.4140999999999999</v>
      </c>
      <c r="AU2" s="99">
        <f t="shared" si="1"/>
        <v>13.6326</v>
      </c>
      <c r="AV2" s="99">
        <f t="shared" si="1"/>
        <v>1.0637000000000001</v>
      </c>
      <c r="AW2" s="99">
        <f t="shared" si="1"/>
        <v>5.9904000000000002</v>
      </c>
      <c r="AX2" s="99">
        <f t="shared" si="1"/>
        <v>0</v>
      </c>
      <c r="AY2" s="99">
        <f t="shared" si="1"/>
        <v>0</v>
      </c>
      <c r="AZ2" s="99">
        <f t="shared" si="1"/>
        <v>0</v>
      </c>
      <c r="BA2" s="99">
        <f t="shared" si="1"/>
        <v>0</v>
      </c>
      <c r="BB2" s="99">
        <f t="shared" si="1"/>
        <v>0</v>
      </c>
      <c r="BC2" s="99">
        <f t="shared" si="1"/>
        <v>0</v>
      </c>
      <c r="BD2" s="97"/>
      <c r="BE2" s="1">
        <f>IFERROR(VLOOKUP(AR2,'Top WS'!$A$19:$C$28,3),0)</f>
        <v>520</v>
      </c>
      <c r="BF2" s="1">
        <f>IFERROR(VLOOKUP(AS2,'Top WS'!$A$19:$C$28,3),0)</f>
        <v>520</v>
      </c>
      <c r="BG2" s="1">
        <f>IFERROR(VLOOKUP(AT2,'Top WS'!$A$19:$C$28,3),0)</f>
        <v>520</v>
      </c>
      <c r="BH2" s="1">
        <f>IFERROR(VLOOKUP(AU2,'Top WS'!$A$19:$C$28,3),0)</f>
        <v>520</v>
      </c>
      <c r="BI2" s="1">
        <f>IFERROR(VLOOKUP(AV2,'Top WS'!$A$19:$C$28,3),0)</f>
        <v>440</v>
      </c>
      <c r="BJ2" s="1">
        <f>IFERROR(VLOOKUP(AW2,'Top WS'!$A$19:$C$28,3),0)</f>
        <v>520</v>
      </c>
      <c r="BK2" s="98">
        <f>IFERROR(VLOOKUP(AX2,'Top WS'!$A$19:$C$28,3),0)</f>
        <v>400</v>
      </c>
      <c r="BL2" s="98">
        <f>IFERROR(VLOOKUP(AY2,'Top WS'!$A$19:$C$28,3),0)</f>
        <v>400</v>
      </c>
      <c r="BM2" s="98">
        <f>IFERROR(VLOOKUP(AZ2,'Top WS'!$A$19:$C$28,3),0)</f>
        <v>400</v>
      </c>
      <c r="BN2" s="98">
        <f>IFERROR(VLOOKUP(BA2,'Top WS'!$A$19:$C$28,3),0)</f>
        <v>400</v>
      </c>
      <c r="BO2" s="98">
        <f>IFERROR(VLOOKUP(BB2,'Top WS'!$A$19:$C$28,3),0)</f>
        <v>400</v>
      </c>
      <c r="BP2" s="98">
        <f>IFERROR(VLOOKUP(BC2,'Top WS'!$A$19:$C$28,3),0)</f>
        <v>400</v>
      </c>
      <c r="BQ2" s="1">
        <f t="shared" ref="BQ2:BQ5" si="2">SUM(BE2:BP2)</f>
        <v>5440</v>
      </c>
    </row>
    <row r="3" spans="1:69" x14ac:dyDescent="0.4">
      <c r="A3">
        <v>1190011214</v>
      </c>
      <c r="B3">
        <f>VLOOKUP(A3,'Aji Plus'!$A$2:$D$58,2,0)</f>
        <v>71328</v>
      </c>
      <c r="C3" t="str">
        <f>VLOOKUP(A3,'Aji Plus'!$A$2:$D$58,3,0)</f>
        <v>นายประเสริฐ สุขีธรรม</v>
      </c>
      <c r="D3" t="str">
        <f>VLOOKUP(A3,'Aji Plus'!$A$2:$D$58,4,0)</f>
        <v>Thonburi</v>
      </c>
      <c r="E3" s="1">
        <v>34.417026850032748</v>
      </c>
      <c r="F3" s="1">
        <v>20.347173106308666</v>
      </c>
      <c r="G3" s="1">
        <v>69.266972276795485</v>
      </c>
      <c r="H3" s="1">
        <v>8.6583715345994339</v>
      </c>
      <c r="I3" s="1">
        <v>154.11901331586992</v>
      </c>
      <c r="J3" s="1">
        <v>38.3132940406025</v>
      </c>
      <c r="K3" s="1">
        <v>157.58236192970969</v>
      </c>
      <c r="L3" s="1">
        <v>79.657018118314795</v>
      </c>
      <c r="M3" s="1">
        <v>77.059506657934961</v>
      </c>
      <c r="N3" s="1">
        <v>74.029076620825151</v>
      </c>
      <c r="O3" s="1">
        <v>36.581619733682601</v>
      </c>
      <c r="P3" s="1">
        <v>241.56856581532418</v>
      </c>
      <c r="R3" s="1">
        <f>VLOOKUP(A3,Actual_RDQ!$A$2:$H$62,3,0)</f>
        <v>0</v>
      </c>
      <c r="S3" s="1">
        <f>VLOOKUP(A3,Actual_RDQ!$A$2:$H$62,4,0)</f>
        <v>12.096</v>
      </c>
      <c r="T3" s="1">
        <f>VLOOKUP(A3,Actual_RDQ!$A$2:$H$62,5,0)</f>
        <v>75.744</v>
      </c>
      <c r="U3" s="1">
        <f>VLOOKUP(A3,Actual_RDQ!$A$2:$H$62,6,0)</f>
        <v>0</v>
      </c>
      <c r="V3" s="1">
        <f>VLOOKUP(A3,Actual_RDQ!$A$2:$H$62,7,0)</f>
        <v>49.536000000000001</v>
      </c>
      <c r="W3" s="1">
        <f>VLOOKUP(A3,Actual_RDQ!$A$2:$H$62,8,0)</f>
        <v>175.39200000000002</v>
      </c>
      <c r="X3" s="118"/>
      <c r="Y3" s="118"/>
      <c r="Z3" s="118"/>
      <c r="AA3" s="118"/>
      <c r="AB3" s="118"/>
      <c r="AC3" s="118"/>
      <c r="AE3" s="97">
        <f t="shared" ref="AE3:AP37" si="3">R3/E3</f>
        <v>0</v>
      </c>
      <c r="AF3" s="97">
        <f t="shared" si="0"/>
        <v>0.59448061589693857</v>
      </c>
      <c r="AG3" s="97">
        <f t="shared" si="0"/>
        <v>1.0935081686163772</v>
      </c>
      <c r="AH3" s="97">
        <f t="shared" si="0"/>
        <v>0</v>
      </c>
      <c r="AI3" s="97">
        <f t="shared" si="0"/>
        <v>0.32141394454994987</v>
      </c>
      <c r="AJ3" s="97">
        <f t="shared" si="0"/>
        <v>4.5778366071611698</v>
      </c>
      <c r="AK3" s="99">
        <f t="shared" si="0"/>
        <v>0</v>
      </c>
      <c r="AL3" s="99">
        <f t="shared" si="0"/>
        <v>0</v>
      </c>
      <c r="AM3" s="99">
        <f t="shared" si="0"/>
        <v>0</v>
      </c>
      <c r="AN3" s="99">
        <f t="shared" si="0"/>
        <v>0</v>
      </c>
      <c r="AO3" s="99">
        <f t="shared" si="0"/>
        <v>0</v>
      </c>
      <c r="AP3" s="99">
        <f t="shared" si="0"/>
        <v>0</v>
      </c>
      <c r="AQ3" s="97"/>
      <c r="AR3" s="99">
        <f t="shared" ref="AR3:BC37" si="4">ROUND(AE3,4)</f>
        <v>0</v>
      </c>
      <c r="AS3" s="99">
        <f t="shared" si="1"/>
        <v>0.59450000000000003</v>
      </c>
      <c r="AT3" s="99">
        <f t="shared" si="1"/>
        <v>1.0934999999999999</v>
      </c>
      <c r="AU3" s="99">
        <f t="shared" si="1"/>
        <v>0</v>
      </c>
      <c r="AV3" s="99">
        <f t="shared" si="1"/>
        <v>0.32140000000000002</v>
      </c>
      <c r="AW3" s="99">
        <f t="shared" si="1"/>
        <v>4.5777999999999999</v>
      </c>
      <c r="AX3" s="99">
        <f t="shared" si="1"/>
        <v>0</v>
      </c>
      <c r="AY3" s="99">
        <f t="shared" si="1"/>
        <v>0</v>
      </c>
      <c r="AZ3" s="99">
        <f t="shared" si="1"/>
        <v>0</v>
      </c>
      <c r="BA3" s="99">
        <f t="shared" si="1"/>
        <v>0</v>
      </c>
      <c r="BB3" s="99">
        <f t="shared" si="1"/>
        <v>0</v>
      </c>
      <c r="BC3" s="99">
        <f t="shared" si="1"/>
        <v>0</v>
      </c>
      <c r="BD3" s="97"/>
      <c r="BE3" s="1">
        <f>IFERROR(VLOOKUP(AR3,'Top WS'!$A$19:$C$28,3),0)</f>
        <v>400</v>
      </c>
      <c r="BF3" s="1">
        <f>IFERROR(VLOOKUP(AS3,'Top WS'!$A$19:$C$28,3),0)</f>
        <v>400</v>
      </c>
      <c r="BG3" s="1">
        <f>IFERROR(VLOOKUP(AT3,'Top WS'!$A$19:$C$28,3),0)</f>
        <v>440</v>
      </c>
      <c r="BH3" s="1">
        <f>IFERROR(VLOOKUP(AU3,'Top WS'!$A$19:$C$28,3),0)</f>
        <v>400</v>
      </c>
      <c r="BI3" s="1">
        <f>IFERROR(VLOOKUP(AV3,'Top WS'!$A$19:$C$28,3),0)</f>
        <v>400</v>
      </c>
      <c r="BJ3" s="1">
        <f>IFERROR(VLOOKUP(AW3,'Top WS'!$A$19:$C$28,3),0)</f>
        <v>520</v>
      </c>
      <c r="BK3" s="98">
        <f>IFERROR(VLOOKUP(AX3,'Top WS'!$A$19:$C$28,3),0)</f>
        <v>400</v>
      </c>
      <c r="BL3" s="98">
        <f>IFERROR(VLOOKUP(AY3,'Top WS'!$A$19:$C$28,3),0)</f>
        <v>400</v>
      </c>
      <c r="BM3" s="98">
        <f>IFERROR(VLOOKUP(AZ3,'Top WS'!$A$19:$C$28,3),0)</f>
        <v>400</v>
      </c>
      <c r="BN3" s="98">
        <f>IFERROR(VLOOKUP(BA3,'Top WS'!$A$19:$C$28,3),0)</f>
        <v>400</v>
      </c>
      <c r="BO3" s="98">
        <f>IFERROR(VLOOKUP(BB3,'Top WS'!$A$19:$C$28,3),0)</f>
        <v>400</v>
      </c>
      <c r="BP3" s="98">
        <f>IFERROR(VLOOKUP(BC3,'Top WS'!$A$19:$C$28,3),0)</f>
        <v>400</v>
      </c>
      <c r="BQ3" s="1">
        <f t="shared" si="2"/>
        <v>4960</v>
      </c>
    </row>
    <row r="4" spans="1:69" x14ac:dyDescent="0.4">
      <c r="A4">
        <v>1190011401</v>
      </c>
      <c r="B4">
        <f>VLOOKUP(A4,'Aji Plus'!$A$2:$D$58,2,0)</f>
        <v>63723</v>
      </c>
      <c r="C4" t="str">
        <f>VLOOKUP(A4,'Aji Plus'!$A$2:$D$58,3,0)</f>
        <v>นายธนาพัทธ์ จงเทพสกุลชัย</v>
      </c>
      <c r="D4" t="str">
        <f>VLOOKUP(A4,'Aji Plus'!$A$2:$D$58,4,0)</f>
        <v>Nonthaburi</v>
      </c>
      <c r="E4" s="1">
        <v>28.8</v>
      </c>
      <c r="F4" s="1">
        <v>74.303999999999988</v>
      </c>
      <c r="G4" s="1">
        <v>43.775999999999996</v>
      </c>
      <c r="H4" s="1">
        <v>28.224</v>
      </c>
      <c r="I4" s="1">
        <v>33.983999999999995</v>
      </c>
      <c r="J4" s="1">
        <v>11.52</v>
      </c>
      <c r="K4" s="1">
        <v>17.28</v>
      </c>
      <c r="L4" s="1">
        <v>74.88</v>
      </c>
      <c r="M4" s="1">
        <v>66.816000000000003</v>
      </c>
      <c r="N4" s="1">
        <v>34.56</v>
      </c>
      <c r="O4" s="1">
        <v>17.28</v>
      </c>
      <c r="P4" s="1">
        <v>85.248000000000005</v>
      </c>
      <c r="R4" s="1">
        <f>VLOOKUP(A4,Actual_RDQ!$A$2:$H$62,3,0)</f>
        <v>34.56</v>
      </c>
      <c r="S4" s="1">
        <f>VLOOKUP(A4,Actual_RDQ!$A$2:$H$62,4,0)</f>
        <v>72.576000000000008</v>
      </c>
      <c r="T4" s="1">
        <f>VLOOKUP(A4,Actual_RDQ!$A$2:$H$62,5,0)</f>
        <v>46.08</v>
      </c>
      <c r="U4" s="1">
        <f>VLOOKUP(A4,Actual_RDQ!$A$2:$H$62,6,0)</f>
        <v>54.719999999999992</v>
      </c>
      <c r="V4" s="1">
        <f>VLOOKUP(A4,Actual_RDQ!$A$2:$H$62,7,0)</f>
        <v>40.319999999999993</v>
      </c>
      <c r="W4" s="1">
        <f>VLOOKUP(A4,Actual_RDQ!$A$2:$H$62,8,0)</f>
        <v>77.760000000000005</v>
      </c>
      <c r="X4" s="118"/>
      <c r="Y4" s="118"/>
      <c r="Z4" s="118"/>
      <c r="AA4" s="118"/>
      <c r="AB4" s="118"/>
      <c r="AC4" s="118"/>
      <c r="AE4" s="97">
        <f t="shared" si="3"/>
        <v>1.2</v>
      </c>
      <c r="AF4" s="97">
        <f t="shared" si="0"/>
        <v>0.97674418604651192</v>
      </c>
      <c r="AG4" s="97">
        <f t="shared" si="0"/>
        <v>1.0526315789473684</v>
      </c>
      <c r="AH4" s="97">
        <f t="shared" si="0"/>
        <v>1.9387755102040813</v>
      </c>
      <c r="AI4" s="97">
        <f t="shared" si="0"/>
        <v>1.1864406779661016</v>
      </c>
      <c r="AJ4" s="97">
        <f t="shared" si="0"/>
        <v>6.7500000000000009</v>
      </c>
      <c r="AK4" s="99">
        <f t="shared" si="0"/>
        <v>0</v>
      </c>
      <c r="AL4" s="99">
        <f t="shared" si="0"/>
        <v>0</v>
      </c>
      <c r="AM4" s="99">
        <f t="shared" si="0"/>
        <v>0</v>
      </c>
      <c r="AN4" s="99">
        <f t="shared" si="0"/>
        <v>0</v>
      </c>
      <c r="AO4" s="99">
        <f t="shared" si="0"/>
        <v>0</v>
      </c>
      <c r="AP4" s="99">
        <f t="shared" si="0"/>
        <v>0</v>
      </c>
      <c r="AQ4" s="97"/>
      <c r="AR4" s="99">
        <f t="shared" si="4"/>
        <v>1.2</v>
      </c>
      <c r="AS4" s="99">
        <f t="shared" si="1"/>
        <v>0.97670000000000001</v>
      </c>
      <c r="AT4" s="99">
        <f t="shared" si="1"/>
        <v>1.0526</v>
      </c>
      <c r="AU4" s="99">
        <f t="shared" si="1"/>
        <v>1.9388000000000001</v>
      </c>
      <c r="AV4" s="99">
        <f t="shared" si="1"/>
        <v>1.1863999999999999</v>
      </c>
      <c r="AW4" s="99">
        <f t="shared" si="1"/>
        <v>6.75</v>
      </c>
      <c r="AX4" s="99">
        <f t="shared" si="1"/>
        <v>0</v>
      </c>
      <c r="AY4" s="99">
        <f t="shared" si="1"/>
        <v>0</v>
      </c>
      <c r="AZ4" s="99">
        <f t="shared" si="1"/>
        <v>0</v>
      </c>
      <c r="BA4" s="99">
        <f t="shared" si="1"/>
        <v>0</v>
      </c>
      <c r="BB4" s="99">
        <f t="shared" si="1"/>
        <v>0</v>
      </c>
      <c r="BC4" s="99">
        <f t="shared" si="1"/>
        <v>0</v>
      </c>
      <c r="BD4" s="97"/>
      <c r="BE4" s="1">
        <f>IFERROR(VLOOKUP(AR4,'Top WS'!$A$19:$C$28,3),0)</f>
        <v>480</v>
      </c>
      <c r="BF4" s="1">
        <f>IFERROR(VLOOKUP(AS4,'Top WS'!$A$19:$C$28,3),0)</f>
        <v>400</v>
      </c>
      <c r="BG4" s="1">
        <f>IFERROR(VLOOKUP(AT4,'Top WS'!$A$19:$C$28,3),0)</f>
        <v>432</v>
      </c>
      <c r="BH4" s="1">
        <f>IFERROR(VLOOKUP(AU4,'Top WS'!$A$19:$C$28,3),0)</f>
        <v>520</v>
      </c>
      <c r="BI4" s="1">
        <f>IFERROR(VLOOKUP(AV4,'Top WS'!$A$19:$C$28,3),0)</f>
        <v>480</v>
      </c>
      <c r="BJ4" s="1">
        <f>IFERROR(VLOOKUP(AW4,'Top WS'!$A$19:$C$28,3),0)</f>
        <v>520</v>
      </c>
      <c r="BK4" s="98">
        <f>IFERROR(VLOOKUP(AX4,'Top WS'!$A$19:$C$28,3),0)</f>
        <v>400</v>
      </c>
      <c r="BL4" s="98">
        <f>IFERROR(VLOOKUP(AY4,'Top WS'!$A$19:$C$28,3),0)</f>
        <v>400</v>
      </c>
      <c r="BM4" s="98">
        <f>IFERROR(VLOOKUP(AZ4,'Top WS'!$A$19:$C$28,3),0)</f>
        <v>400</v>
      </c>
      <c r="BN4" s="98">
        <f>IFERROR(VLOOKUP(BA4,'Top WS'!$A$19:$C$28,3),0)</f>
        <v>400</v>
      </c>
      <c r="BO4" s="98">
        <f>IFERROR(VLOOKUP(BB4,'Top WS'!$A$19:$C$28,3),0)</f>
        <v>400</v>
      </c>
      <c r="BP4" s="98">
        <f>IFERROR(VLOOKUP(BC4,'Top WS'!$A$19:$C$28,3),0)</f>
        <v>400</v>
      </c>
      <c r="BQ4" s="1">
        <f t="shared" si="2"/>
        <v>5232</v>
      </c>
    </row>
    <row r="5" spans="1:69" x14ac:dyDescent="0.4">
      <c r="A5">
        <v>1190011412</v>
      </c>
      <c r="B5">
        <f>VLOOKUP(A5,'Aji Plus'!$A$2:$D$58,2,0)</f>
        <v>71043</v>
      </c>
      <c r="C5" t="str">
        <f>VLOOKUP(A5,'Aji Plus'!$A$2:$D$58,3,0)</f>
        <v>นายเสริมโชค อยู่อุดมสุข</v>
      </c>
      <c r="D5" t="str">
        <f>VLOOKUP(A5,'Aji Plus'!$A$2:$D$58,4,0)</f>
        <v>Nonthaburi</v>
      </c>
      <c r="E5" s="1">
        <v>20.16</v>
      </c>
      <c r="F5" s="1">
        <v>23.04</v>
      </c>
      <c r="G5" s="1">
        <v>15</v>
      </c>
      <c r="H5" s="1">
        <v>15</v>
      </c>
      <c r="I5" s="1">
        <v>15</v>
      </c>
      <c r="J5" s="1">
        <v>15</v>
      </c>
      <c r="K5" s="1">
        <v>15</v>
      </c>
      <c r="L5" s="1">
        <v>15</v>
      </c>
      <c r="M5" s="1">
        <v>15</v>
      </c>
      <c r="N5" s="1">
        <v>15</v>
      </c>
      <c r="O5" s="1">
        <v>15</v>
      </c>
      <c r="P5" s="1">
        <v>15</v>
      </c>
      <c r="R5" s="1">
        <f>VLOOKUP(A5,Actual_RDQ!$A$2:$H$62,3,0)</f>
        <v>0</v>
      </c>
      <c r="S5" s="1">
        <f>VLOOKUP(A5,Actual_RDQ!$A$2:$H$62,4,0)</f>
        <v>0</v>
      </c>
      <c r="T5" s="1">
        <f>VLOOKUP(A5,Actual_RDQ!$A$2:$H$62,5,0)</f>
        <v>0</v>
      </c>
      <c r="U5" s="1">
        <f>VLOOKUP(A5,Actual_RDQ!$A$2:$H$62,6,0)</f>
        <v>5.76</v>
      </c>
      <c r="V5" s="1">
        <f>VLOOKUP(A5,Actual_RDQ!$A$2:$H$62,7,0)</f>
        <v>0</v>
      </c>
      <c r="W5" s="1">
        <f>VLOOKUP(A5,Actual_RDQ!$A$2:$H$62,8,0)</f>
        <v>0</v>
      </c>
      <c r="X5" s="118"/>
      <c r="Y5" s="118"/>
      <c r="Z5" s="118"/>
      <c r="AA5" s="118"/>
      <c r="AB5" s="118"/>
      <c r="AC5" s="118"/>
      <c r="AE5" s="97">
        <f t="shared" si="3"/>
        <v>0</v>
      </c>
      <c r="AF5" s="97">
        <f t="shared" si="0"/>
        <v>0</v>
      </c>
      <c r="AG5" s="97">
        <f t="shared" si="0"/>
        <v>0</v>
      </c>
      <c r="AH5" s="97">
        <f t="shared" si="0"/>
        <v>0.38400000000000001</v>
      </c>
      <c r="AI5" s="97">
        <f t="shared" si="0"/>
        <v>0</v>
      </c>
      <c r="AJ5" s="97">
        <f t="shared" si="0"/>
        <v>0</v>
      </c>
      <c r="AK5" s="99">
        <f t="shared" si="0"/>
        <v>0</v>
      </c>
      <c r="AL5" s="99">
        <f t="shared" si="0"/>
        <v>0</v>
      </c>
      <c r="AM5" s="99">
        <f t="shared" si="0"/>
        <v>0</v>
      </c>
      <c r="AN5" s="99">
        <f t="shared" si="0"/>
        <v>0</v>
      </c>
      <c r="AO5" s="99">
        <f t="shared" si="0"/>
        <v>0</v>
      </c>
      <c r="AP5" s="99">
        <f t="shared" si="0"/>
        <v>0</v>
      </c>
      <c r="AQ5" s="97"/>
      <c r="AR5" s="99">
        <f t="shared" si="4"/>
        <v>0</v>
      </c>
      <c r="AS5" s="99">
        <f t="shared" si="1"/>
        <v>0</v>
      </c>
      <c r="AT5" s="99">
        <f t="shared" si="1"/>
        <v>0</v>
      </c>
      <c r="AU5" s="99">
        <f t="shared" si="1"/>
        <v>0.38400000000000001</v>
      </c>
      <c r="AV5" s="99">
        <f t="shared" si="1"/>
        <v>0</v>
      </c>
      <c r="AW5" s="99">
        <f t="shared" si="1"/>
        <v>0</v>
      </c>
      <c r="AX5" s="99">
        <f t="shared" si="1"/>
        <v>0</v>
      </c>
      <c r="AY5" s="99">
        <f t="shared" si="1"/>
        <v>0</v>
      </c>
      <c r="AZ5" s="99">
        <f t="shared" si="1"/>
        <v>0</v>
      </c>
      <c r="BA5" s="99">
        <f t="shared" si="1"/>
        <v>0</v>
      </c>
      <c r="BB5" s="99">
        <f t="shared" si="1"/>
        <v>0</v>
      </c>
      <c r="BC5" s="99">
        <f t="shared" si="1"/>
        <v>0</v>
      </c>
      <c r="BD5" s="97"/>
      <c r="BE5" s="1">
        <f>IFERROR(VLOOKUP(AR5,'Top WS'!$A$19:$C$28,3),0)</f>
        <v>400</v>
      </c>
      <c r="BF5" s="1">
        <f>IFERROR(VLOOKUP(AS5,'Top WS'!$A$19:$C$28,3),0)</f>
        <v>400</v>
      </c>
      <c r="BG5" s="1">
        <f>IFERROR(VLOOKUP(AT5,'Top WS'!$A$19:$C$28,3),0)</f>
        <v>400</v>
      </c>
      <c r="BH5" s="1">
        <f>IFERROR(VLOOKUP(AU5,'Top WS'!$A$19:$C$28,3),0)</f>
        <v>400</v>
      </c>
      <c r="BI5" s="1">
        <f>IFERROR(VLOOKUP(AV5,'Top WS'!$A$19:$C$28,3),0)</f>
        <v>400</v>
      </c>
      <c r="BJ5" s="1">
        <f>IFERROR(VLOOKUP(AW5,'Top WS'!$A$19:$C$28,3),0)</f>
        <v>400</v>
      </c>
      <c r="BK5" s="98">
        <f>IFERROR(VLOOKUP(AX5,'Top WS'!$A$19:$C$28,3),0)</f>
        <v>400</v>
      </c>
      <c r="BL5" s="98">
        <f>IFERROR(VLOOKUP(AY5,'Top WS'!$A$19:$C$28,3),0)</f>
        <v>400</v>
      </c>
      <c r="BM5" s="98">
        <f>IFERROR(VLOOKUP(AZ5,'Top WS'!$A$19:$C$28,3),0)</f>
        <v>400</v>
      </c>
      <c r="BN5" s="98">
        <f>IFERROR(VLOOKUP(BA5,'Top WS'!$A$19:$C$28,3),0)</f>
        <v>400</v>
      </c>
      <c r="BO5" s="98">
        <f>IFERROR(VLOOKUP(BB5,'Top WS'!$A$19:$C$28,3),0)</f>
        <v>400</v>
      </c>
      <c r="BP5" s="98">
        <f>IFERROR(VLOOKUP(BC5,'Top WS'!$A$19:$C$28,3),0)</f>
        <v>400</v>
      </c>
      <c r="BQ5" s="1">
        <f t="shared" si="2"/>
        <v>4800</v>
      </c>
    </row>
    <row r="6" spans="1:69" x14ac:dyDescent="0.4">
      <c r="A6">
        <v>1190011501</v>
      </c>
      <c r="B6">
        <f>VLOOKUP(A6,'Aji Plus'!$A$2:$D$58,2,0)</f>
        <v>71637</v>
      </c>
      <c r="C6" t="str">
        <f>VLOOKUP(A6,'Aji Plus'!$A$2:$D$58,3,0)</f>
        <v>นายพณิชพงศ์ แจ้งธีรภูสิทธิ์</v>
      </c>
      <c r="D6" t="str">
        <f>VLOOKUP(A6,'Aji Plus'!$A$2:$D$58,4,0)</f>
        <v>Pattanakarn</v>
      </c>
      <c r="E6" s="1">
        <v>35</v>
      </c>
      <c r="F6" s="1">
        <v>35</v>
      </c>
      <c r="G6" s="1">
        <v>35</v>
      </c>
      <c r="H6" s="1">
        <v>35</v>
      </c>
      <c r="I6" s="1">
        <v>35</v>
      </c>
      <c r="J6" s="1">
        <v>35</v>
      </c>
      <c r="K6" s="1">
        <v>35</v>
      </c>
      <c r="L6" s="1">
        <v>35</v>
      </c>
      <c r="M6" s="1">
        <v>35</v>
      </c>
      <c r="N6" s="1">
        <v>35</v>
      </c>
      <c r="O6" s="1">
        <v>35</v>
      </c>
      <c r="P6" s="1">
        <v>35</v>
      </c>
      <c r="R6" s="1">
        <f>VLOOKUP(A6,Actual_RDQ!$A$2:$H$62,3,0)</f>
        <v>28.8</v>
      </c>
      <c r="S6" s="1">
        <f>VLOOKUP(A6,Actual_RDQ!$A$2:$H$62,4,0)</f>
        <v>0</v>
      </c>
      <c r="T6" s="1">
        <f>VLOOKUP(A6,Actual_RDQ!$A$2:$H$62,5,0)</f>
        <v>17.28</v>
      </c>
      <c r="U6" s="1">
        <f>VLOOKUP(A6,Actual_RDQ!$A$2:$H$62,6,0)</f>
        <v>28.8</v>
      </c>
      <c r="V6" s="1">
        <f>VLOOKUP(A6,Actual_RDQ!$A$2:$H$62,7,0)</f>
        <v>11.52</v>
      </c>
      <c r="W6" s="1">
        <f>VLOOKUP(A6,Actual_RDQ!$A$2:$H$62,8,0)</f>
        <v>46.08</v>
      </c>
      <c r="X6" s="118"/>
      <c r="Y6" s="118"/>
      <c r="Z6" s="118"/>
      <c r="AA6" s="118"/>
      <c r="AB6" s="118"/>
      <c r="AC6" s="118"/>
      <c r="AE6" s="97">
        <f t="shared" si="3"/>
        <v>0.82285714285714284</v>
      </c>
      <c r="AF6" s="97">
        <f t="shared" si="0"/>
        <v>0</v>
      </c>
      <c r="AG6" s="97">
        <f t="shared" si="0"/>
        <v>0.49371428571428577</v>
      </c>
      <c r="AH6" s="97">
        <f t="shared" si="0"/>
        <v>0.82285714285714284</v>
      </c>
      <c r="AI6" s="97">
        <f t="shared" si="0"/>
        <v>0.32914285714285713</v>
      </c>
      <c r="AJ6" s="97">
        <f t="shared" si="0"/>
        <v>1.3165714285714285</v>
      </c>
      <c r="AK6" s="99">
        <f t="shared" si="0"/>
        <v>0</v>
      </c>
      <c r="AL6" s="99">
        <f t="shared" si="0"/>
        <v>0</v>
      </c>
      <c r="AM6" s="99">
        <f t="shared" si="0"/>
        <v>0</v>
      </c>
      <c r="AN6" s="99">
        <f t="shared" si="0"/>
        <v>0</v>
      </c>
      <c r="AO6" s="99">
        <f t="shared" si="0"/>
        <v>0</v>
      </c>
      <c r="AP6" s="99">
        <f t="shared" si="0"/>
        <v>0</v>
      </c>
      <c r="AQ6" s="97"/>
      <c r="AR6" s="99">
        <f t="shared" si="4"/>
        <v>0.82289999999999996</v>
      </c>
      <c r="AS6" s="99">
        <f t="shared" si="1"/>
        <v>0</v>
      </c>
      <c r="AT6" s="99">
        <f t="shared" si="1"/>
        <v>0.49370000000000003</v>
      </c>
      <c r="AU6" s="99">
        <f t="shared" si="1"/>
        <v>0.82289999999999996</v>
      </c>
      <c r="AV6" s="99">
        <f t="shared" si="1"/>
        <v>0.3291</v>
      </c>
      <c r="AW6" s="99">
        <f t="shared" si="1"/>
        <v>1.3166</v>
      </c>
      <c r="AX6" s="99">
        <f t="shared" si="1"/>
        <v>0</v>
      </c>
      <c r="AY6" s="99">
        <f t="shared" si="1"/>
        <v>0</v>
      </c>
      <c r="AZ6" s="99">
        <f t="shared" si="1"/>
        <v>0</v>
      </c>
      <c r="BA6" s="99">
        <f t="shared" si="1"/>
        <v>0</v>
      </c>
      <c r="BB6" s="99">
        <f t="shared" si="1"/>
        <v>0</v>
      </c>
      <c r="BC6" s="99">
        <f t="shared" si="1"/>
        <v>0</v>
      </c>
      <c r="BD6" s="97"/>
      <c r="BE6" s="1">
        <f>IFERROR(VLOOKUP(AR6,'Top WS'!$A$19:$C$28,3),0)</f>
        <v>400</v>
      </c>
      <c r="BF6" s="1">
        <f>IFERROR(VLOOKUP(AS6,'Top WS'!$A$19:$C$28,3),0)</f>
        <v>400</v>
      </c>
      <c r="BG6" s="1">
        <f>IFERROR(VLOOKUP(AT6,'Top WS'!$A$19:$C$28,3),0)</f>
        <v>400</v>
      </c>
      <c r="BH6" s="1">
        <f>IFERROR(VLOOKUP(AU6,'Top WS'!$A$19:$C$28,3),0)</f>
        <v>400</v>
      </c>
      <c r="BI6" s="1">
        <f>IFERROR(VLOOKUP(AV6,'Top WS'!$A$19:$C$28,3),0)</f>
        <v>400</v>
      </c>
      <c r="BJ6" s="1">
        <f>IFERROR(VLOOKUP(AW6,'Top WS'!$A$19:$C$28,3),0)</f>
        <v>520</v>
      </c>
      <c r="BK6" s="98">
        <f>IFERROR(VLOOKUP(AX6,'Top WS'!$A$19:$C$28,3),0)</f>
        <v>400</v>
      </c>
      <c r="BL6" s="98">
        <f>IFERROR(VLOOKUP(AY6,'Top WS'!$A$19:$C$28,3),0)</f>
        <v>400</v>
      </c>
      <c r="BM6" s="98">
        <f>IFERROR(VLOOKUP(AZ6,'Top WS'!$A$19:$C$28,3),0)</f>
        <v>400</v>
      </c>
      <c r="BN6" s="98">
        <f>IFERROR(VLOOKUP(BA6,'Top WS'!$A$19:$C$28,3),0)</f>
        <v>400</v>
      </c>
      <c r="BO6" s="98">
        <f>IFERROR(VLOOKUP(BB6,'Top WS'!$A$19:$C$28,3),0)</f>
        <v>400</v>
      </c>
      <c r="BP6" s="98">
        <f>IFERROR(VLOOKUP(BC6,'Top WS'!$A$19:$C$28,3),0)</f>
        <v>400</v>
      </c>
      <c r="BQ6" s="1">
        <f t="shared" ref="BQ6:BQ58" si="5">SUM(BE6:BP6)</f>
        <v>4920</v>
      </c>
    </row>
    <row r="7" spans="1:69" x14ac:dyDescent="0.4">
      <c r="A7">
        <v>1190011701</v>
      </c>
      <c r="B7">
        <f>VLOOKUP(A7,'Aji Plus'!$A$2:$D$58,2,0)</f>
        <v>29698</v>
      </c>
      <c r="C7" t="str">
        <f>VLOOKUP(A7,'Aji Plus'!$A$2:$D$58,3,0)</f>
        <v>นายพูลทวี เกษรบัว</v>
      </c>
      <c r="D7" t="str">
        <f>VLOOKUP(A7,'Aji Plus'!$A$2:$D$58,4,0)</f>
        <v>Bangpoo</v>
      </c>
      <c r="E7" s="1">
        <v>42</v>
      </c>
      <c r="F7" s="1">
        <v>46</v>
      </c>
      <c r="G7" s="1">
        <v>44</v>
      </c>
      <c r="H7" s="1">
        <v>42</v>
      </c>
      <c r="I7" s="1">
        <v>42</v>
      </c>
      <c r="J7" s="1">
        <v>42</v>
      </c>
      <c r="K7" s="1">
        <v>42</v>
      </c>
      <c r="L7" s="1">
        <v>42</v>
      </c>
      <c r="M7" s="1">
        <v>42</v>
      </c>
      <c r="N7" s="1">
        <v>42</v>
      </c>
      <c r="O7" s="1">
        <v>42</v>
      </c>
      <c r="P7" s="1">
        <v>42</v>
      </c>
      <c r="R7" s="1">
        <f>VLOOKUP(A7,Actual_RDQ!$A$2:$H$62,3,0)</f>
        <v>0</v>
      </c>
      <c r="S7" s="1">
        <f>VLOOKUP(A7,Actual_RDQ!$A$2:$H$62,4,0)</f>
        <v>237.31200000000001</v>
      </c>
      <c r="T7" s="1">
        <f>VLOOKUP(A7,Actual_RDQ!$A$2:$H$62,5,0)</f>
        <v>34.559999999999995</v>
      </c>
      <c r="U7" s="1">
        <f>VLOOKUP(A7,Actual_RDQ!$A$2:$H$62,6,0)</f>
        <v>54.144000000000005</v>
      </c>
      <c r="V7" s="1">
        <f>VLOOKUP(A7,Actual_RDQ!$A$2:$H$62,7,0)</f>
        <v>74.88</v>
      </c>
      <c r="W7" s="1">
        <f>VLOOKUP(A7,Actual_RDQ!$A$2:$H$62,8,0)</f>
        <v>28.799999999999997</v>
      </c>
      <c r="X7" s="118"/>
      <c r="Y7" s="118"/>
      <c r="Z7" s="118"/>
      <c r="AA7" s="118"/>
      <c r="AB7" s="118"/>
      <c r="AC7" s="118"/>
      <c r="AE7" s="97">
        <f t="shared" si="3"/>
        <v>0</v>
      </c>
      <c r="AF7" s="97">
        <f t="shared" si="0"/>
        <v>5.1589565217391309</v>
      </c>
      <c r="AG7" s="97">
        <f t="shared" si="0"/>
        <v>0.78545454545454529</v>
      </c>
      <c r="AH7" s="97">
        <f t="shared" si="0"/>
        <v>1.2891428571428574</v>
      </c>
      <c r="AI7" s="97">
        <f t="shared" si="0"/>
        <v>1.7828571428571427</v>
      </c>
      <c r="AJ7" s="97">
        <f t="shared" si="0"/>
        <v>0.68571428571428561</v>
      </c>
      <c r="AK7" s="99">
        <f t="shared" si="0"/>
        <v>0</v>
      </c>
      <c r="AL7" s="99">
        <f t="shared" si="0"/>
        <v>0</v>
      </c>
      <c r="AM7" s="99">
        <f t="shared" si="0"/>
        <v>0</v>
      </c>
      <c r="AN7" s="99">
        <f t="shared" si="0"/>
        <v>0</v>
      </c>
      <c r="AO7" s="99">
        <f t="shared" si="0"/>
        <v>0</v>
      </c>
      <c r="AP7" s="99">
        <f t="shared" si="0"/>
        <v>0</v>
      </c>
      <c r="AQ7" s="97"/>
      <c r="AR7" s="99">
        <f t="shared" si="4"/>
        <v>0</v>
      </c>
      <c r="AS7" s="99">
        <f t="shared" si="1"/>
        <v>5.1589999999999998</v>
      </c>
      <c r="AT7" s="99">
        <f t="shared" si="1"/>
        <v>0.78549999999999998</v>
      </c>
      <c r="AU7" s="99">
        <f t="shared" si="1"/>
        <v>1.2890999999999999</v>
      </c>
      <c r="AV7" s="99">
        <f t="shared" si="1"/>
        <v>1.7828999999999999</v>
      </c>
      <c r="AW7" s="99">
        <f t="shared" si="1"/>
        <v>0.68569999999999998</v>
      </c>
      <c r="AX7" s="99">
        <f t="shared" si="1"/>
        <v>0</v>
      </c>
      <c r="AY7" s="99">
        <f t="shared" si="1"/>
        <v>0</v>
      </c>
      <c r="AZ7" s="99">
        <f t="shared" si="1"/>
        <v>0</v>
      </c>
      <c r="BA7" s="99">
        <f t="shared" si="1"/>
        <v>0</v>
      </c>
      <c r="BB7" s="99">
        <f t="shared" si="1"/>
        <v>0</v>
      </c>
      <c r="BC7" s="99">
        <f t="shared" si="1"/>
        <v>0</v>
      </c>
      <c r="BD7" s="97"/>
      <c r="BE7" s="1">
        <f>IFERROR(VLOOKUP(AR7,'Top WS'!$A$19:$C$28,3),0)</f>
        <v>400</v>
      </c>
      <c r="BF7" s="1">
        <f>IFERROR(VLOOKUP(AS7,'Top WS'!$A$19:$C$28,3),0)</f>
        <v>520</v>
      </c>
      <c r="BG7" s="1">
        <f>IFERROR(VLOOKUP(AT7,'Top WS'!$A$19:$C$28,3),0)</f>
        <v>400</v>
      </c>
      <c r="BH7" s="1">
        <f>IFERROR(VLOOKUP(AU7,'Top WS'!$A$19:$C$28,3),0)</f>
        <v>520</v>
      </c>
      <c r="BI7" s="1">
        <f>IFERROR(VLOOKUP(AV7,'Top WS'!$A$19:$C$28,3),0)</f>
        <v>520</v>
      </c>
      <c r="BJ7" s="1">
        <f>IFERROR(VLOOKUP(AW7,'Top WS'!$A$19:$C$28,3),0)</f>
        <v>400</v>
      </c>
      <c r="BK7" s="98">
        <f>IFERROR(VLOOKUP(AX7,'Top WS'!$A$19:$C$28,3),0)</f>
        <v>400</v>
      </c>
      <c r="BL7" s="98">
        <f>IFERROR(VLOOKUP(AY7,'Top WS'!$A$19:$C$28,3),0)</f>
        <v>400</v>
      </c>
      <c r="BM7" s="98">
        <f>IFERROR(VLOOKUP(AZ7,'Top WS'!$A$19:$C$28,3),0)</f>
        <v>400</v>
      </c>
      <c r="BN7" s="98">
        <f>IFERROR(VLOOKUP(BA7,'Top WS'!$A$19:$C$28,3),0)</f>
        <v>400</v>
      </c>
      <c r="BO7" s="98">
        <f>IFERROR(VLOOKUP(BB7,'Top WS'!$A$19:$C$28,3),0)</f>
        <v>400</v>
      </c>
      <c r="BP7" s="98">
        <f>IFERROR(VLOOKUP(BC7,'Top WS'!$A$19:$C$28,3),0)</f>
        <v>400</v>
      </c>
      <c r="BQ7" s="1">
        <f t="shared" si="5"/>
        <v>5160</v>
      </c>
    </row>
    <row r="8" spans="1:69" x14ac:dyDescent="0.4">
      <c r="A8">
        <v>1190011801</v>
      </c>
      <c r="B8">
        <f>VLOOKUP(A8,'Aji Plus'!$A$2:$D$58,2,0)</f>
        <v>28236</v>
      </c>
      <c r="C8" t="str">
        <f>VLOOKUP(A8,'Aji Plus'!$A$2:$D$58,3,0)</f>
        <v>นายประวิทย์ ธารีบุญ</v>
      </c>
      <c r="D8" t="str">
        <f>VLOOKUP(A8,'Aji Plus'!$A$2:$D$58,4,0)</f>
        <v>Ramindra</v>
      </c>
      <c r="E8" s="1">
        <v>4.4609665427509295</v>
      </c>
      <c r="F8" s="1">
        <v>4.4609665427509295</v>
      </c>
      <c r="G8" s="1">
        <v>13.38289962825279</v>
      </c>
      <c r="H8" s="1">
        <v>4.4609665427509295</v>
      </c>
      <c r="I8" s="1">
        <v>0</v>
      </c>
      <c r="J8" s="1">
        <v>4.4609665427509295</v>
      </c>
      <c r="K8" s="1">
        <v>4.4609665427509295</v>
      </c>
      <c r="L8" s="1">
        <v>4.4609665427509295</v>
      </c>
      <c r="M8" s="1">
        <v>11.152416356877323</v>
      </c>
      <c r="N8" s="1">
        <v>4.4609665427509295</v>
      </c>
      <c r="O8" s="1">
        <v>8.4758364312267673</v>
      </c>
      <c r="P8" s="1">
        <v>55.762081784386623</v>
      </c>
      <c r="R8" s="1">
        <f>VLOOKUP(A8,Actual_RDQ!$A$2:$H$62,3,0)</f>
        <v>12.096</v>
      </c>
      <c r="S8" s="1">
        <f>VLOOKUP(A8,Actual_RDQ!$A$2:$H$62,4,0)</f>
        <v>0</v>
      </c>
      <c r="T8" s="1">
        <f>VLOOKUP(A8,Actual_RDQ!$A$2:$H$62,5,0)</f>
        <v>8.6399999999999988</v>
      </c>
      <c r="U8" s="1">
        <f>VLOOKUP(A8,Actual_RDQ!$A$2:$H$62,6,0)</f>
        <v>0</v>
      </c>
      <c r="V8" s="1">
        <f>VLOOKUP(A8,Actual_RDQ!$A$2:$H$62,7,0)</f>
        <v>0</v>
      </c>
      <c r="W8" s="1">
        <f>VLOOKUP(A8,Actual_RDQ!$A$2:$H$62,8,0)</f>
        <v>10.367999999999999</v>
      </c>
      <c r="X8" s="118"/>
      <c r="Y8" s="118"/>
      <c r="Z8" s="118"/>
      <c r="AA8" s="118"/>
      <c r="AB8" s="118"/>
      <c r="AC8" s="118"/>
      <c r="AE8" s="97">
        <f t="shared" si="3"/>
        <v>2.7115199999999997</v>
      </c>
      <c r="AF8" s="97">
        <f t="shared" si="0"/>
        <v>0</v>
      </c>
      <c r="AG8" s="97">
        <f t="shared" si="0"/>
        <v>0.64559999999999984</v>
      </c>
      <c r="AH8" s="97">
        <f t="shared" si="0"/>
        <v>0</v>
      </c>
      <c r="AI8" s="121">
        <v>0</v>
      </c>
      <c r="AJ8" s="97">
        <f t="shared" si="0"/>
        <v>2.3241599999999996</v>
      </c>
      <c r="AK8" s="99">
        <f t="shared" si="0"/>
        <v>0</v>
      </c>
      <c r="AL8" s="99">
        <f t="shared" si="0"/>
        <v>0</v>
      </c>
      <c r="AM8" s="99">
        <f t="shared" si="0"/>
        <v>0</v>
      </c>
      <c r="AN8" s="99">
        <f t="shared" si="0"/>
        <v>0</v>
      </c>
      <c r="AO8" s="99">
        <f t="shared" si="0"/>
        <v>0</v>
      </c>
      <c r="AP8" s="99">
        <f t="shared" si="0"/>
        <v>0</v>
      </c>
      <c r="AQ8" s="97"/>
      <c r="AR8" s="99">
        <f t="shared" si="4"/>
        <v>2.7115</v>
      </c>
      <c r="AS8" s="99">
        <f t="shared" si="1"/>
        <v>0</v>
      </c>
      <c r="AT8" s="99">
        <f t="shared" si="1"/>
        <v>0.64559999999999995</v>
      </c>
      <c r="AU8" s="99">
        <f t="shared" si="1"/>
        <v>0</v>
      </c>
      <c r="AV8" s="99">
        <f t="shared" si="1"/>
        <v>0</v>
      </c>
      <c r="AW8" s="99">
        <f t="shared" si="1"/>
        <v>2.3241999999999998</v>
      </c>
      <c r="AX8" s="99">
        <f t="shared" si="1"/>
        <v>0</v>
      </c>
      <c r="AY8" s="99">
        <f t="shared" si="1"/>
        <v>0</v>
      </c>
      <c r="AZ8" s="99">
        <f t="shared" si="1"/>
        <v>0</v>
      </c>
      <c r="BA8" s="99">
        <f t="shared" si="1"/>
        <v>0</v>
      </c>
      <c r="BB8" s="99">
        <f t="shared" si="1"/>
        <v>0</v>
      </c>
      <c r="BC8" s="99">
        <f t="shared" si="1"/>
        <v>0</v>
      </c>
      <c r="BD8" s="97"/>
      <c r="BE8" s="1">
        <f>IFERROR(VLOOKUP(AR8,'Top WS'!$A$19:$C$28,3),0)</f>
        <v>520</v>
      </c>
      <c r="BF8" s="1">
        <f>IFERROR(VLOOKUP(AS8,'Top WS'!$A$19:$C$28,3),0)</f>
        <v>400</v>
      </c>
      <c r="BG8" s="1">
        <f>IFERROR(VLOOKUP(AT8,'Top WS'!$A$19:$C$28,3),0)</f>
        <v>400</v>
      </c>
      <c r="BH8" s="1">
        <f>IFERROR(VLOOKUP(AU8,'Top WS'!$A$19:$C$28,3),0)</f>
        <v>400</v>
      </c>
      <c r="BI8" s="1">
        <f>IFERROR(VLOOKUP(AV8,'Top WS'!$A$19:$C$28,3),0)</f>
        <v>400</v>
      </c>
      <c r="BJ8" s="1">
        <f>IFERROR(VLOOKUP(AW8,'Top WS'!$A$19:$C$28,3),0)</f>
        <v>520</v>
      </c>
      <c r="BK8" s="98">
        <f>IFERROR(VLOOKUP(AX8,'Top WS'!$A$19:$C$28,3),0)</f>
        <v>400</v>
      </c>
      <c r="BL8" s="98">
        <f>IFERROR(VLOOKUP(AY8,'Top WS'!$A$19:$C$28,3),0)</f>
        <v>400</v>
      </c>
      <c r="BM8" s="98">
        <f>IFERROR(VLOOKUP(AZ8,'Top WS'!$A$19:$C$28,3),0)</f>
        <v>400</v>
      </c>
      <c r="BN8" s="98">
        <f>IFERROR(VLOOKUP(BA8,'Top WS'!$A$19:$C$28,3),0)</f>
        <v>400</v>
      </c>
      <c r="BO8" s="98">
        <f>IFERROR(VLOOKUP(BB8,'Top WS'!$A$19:$C$28,3),0)</f>
        <v>400</v>
      </c>
      <c r="BP8" s="98">
        <f>IFERROR(VLOOKUP(BC8,'Top WS'!$A$19:$C$28,3),0)</f>
        <v>400</v>
      </c>
      <c r="BQ8" s="1">
        <f t="shared" si="5"/>
        <v>5040</v>
      </c>
    </row>
    <row r="9" spans="1:69" x14ac:dyDescent="0.4">
      <c r="A9">
        <v>1190017001</v>
      </c>
      <c r="B9">
        <f>VLOOKUP(A9,'Aji Plus'!$A$2:$D$58,2,0)</f>
        <v>77683</v>
      </c>
      <c r="C9" t="str">
        <f>VLOOKUP(A9,'Aji Plus'!$A$2:$D$58,3,0)</f>
        <v>นายสุพัชธณคุณ ชลมงคล</v>
      </c>
      <c r="D9" t="str">
        <f>VLOOKUP(A9,'Aji Plus'!$A$2:$D$58,4,0)</f>
        <v>Pathumthani</v>
      </c>
      <c r="E9" s="1">
        <v>145.36940089411635</v>
      </c>
      <c r="F9" s="1">
        <v>182.72004310213418</v>
      </c>
      <c r="G9" s="1">
        <v>171.14660467148079</v>
      </c>
      <c r="H9" s="1">
        <v>106.96662791967553</v>
      </c>
      <c r="I9" s="1">
        <v>193.4167058941018</v>
      </c>
      <c r="J9" s="1">
        <v>210.42615328460755</v>
      </c>
      <c r="K9" s="1">
        <v>161.32671751819908</v>
      </c>
      <c r="L9" s="1">
        <v>203.06123791964629</v>
      </c>
      <c r="M9" s="1">
        <v>145.72011114959068</v>
      </c>
      <c r="N9" s="1">
        <v>231.81947886854255</v>
      </c>
      <c r="O9" s="1">
        <v>211.30292892329339</v>
      </c>
      <c r="P9" s="1">
        <v>113.63012277368804</v>
      </c>
      <c r="R9" s="1">
        <f>VLOOKUP(A9,Actual_RDQ!$A$2:$H$62,3,0)</f>
        <v>168.47999999999996</v>
      </c>
      <c r="S9" s="1">
        <f>VLOOKUP(A9,Actual_RDQ!$A$2:$H$62,4,0)</f>
        <v>111.16799999999998</v>
      </c>
      <c r="T9" s="1">
        <f>VLOOKUP(A9,Actual_RDQ!$A$2:$H$62,5,0)</f>
        <v>95.615999999999985</v>
      </c>
      <c r="U9" s="1">
        <f>VLOOKUP(A9,Actual_RDQ!$A$2:$H$62,6,0)</f>
        <v>110.88000000000001</v>
      </c>
      <c r="V9" s="1">
        <f>VLOOKUP(A9,Actual_RDQ!$A$2:$H$62,7,0)</f>
        <v>95.039999999999978</v>
      </c>
      <c r="W9" s="1">
        <f>VLOOKUP(A9,Actual_RDQ!$A$2:$H$62,8,0)</f>
        <v>202.75199999999995</v>
      </c>
      <c r="X9" s="118"/>
      <c r="Y9" s="118"/>
      <c r="Z9" s="118"/>
      <c r="AA9" s="118"/>
      <c r="AB9" s="118"/>
      <c r="AC9" s="118"/>
      <c r="AE9" s="97">
        <f t="shared" si="3"/>
        <v>1.1589784298740891</v>
      </c>
      <c r="AF9" s="97">
        <f t="shared" si="0"/>
        <v>0.60840616121057345</v>
      </c>
      <c r="AG9" s="97">
        <f t="shared" si="0"/>
        <v>0.55867891848358164</v>
      </c>
      <c r="AH9" s="97">
        <f t="shared" si="0"/>
        <v>1.0365849812827899</v>
      </c>
      <c r="AI9" s="97">
        <f t="shared" si="0"/>
        <v>0.49137430792578812</v>
      </c>
      <c r="AJ9" s="97">
        <f t="shared" si="0"/>
        <v>0.96353042069714556</v>
      </c>
      <c r="AK9" s="99">
        <f t="shared" si="0"/>
        <v>0</v>
      </c>
      <c r="AL9" s="99">
        <f t="shared" si="0"/>
        <v>0</v>
      </c>
      <c r="AM9" s="99">
        <f t="shared" si="0"/>
        <v>0</v>
      </c>
      <c r="AN9" s="99">
        <f t="shared" si="0"/>
        <v>0</v>
      </c>
      <c r="AO9" s="99">
        <f t="shared" si="0"/>
        <v>0</v>
      </c>
      <c r="AP9" s="99">
        <f t="shared" si="0"/>
        <v>0</v>
      </c>
      <c r="AQ9" s="97"/>
      <c r="AR9" s="99">
        <f t="shared" si="4"/>
        <v>1.159</v>
      </c>
      <c r="AS9" s="99">
        <f t="shared" si="1"/>
        <v>0.60840000000000005</v>
      </c>
      <c r="AT9" s="99">
        <f t="shared" si="1"/>
        <v>0.55869999999999997</v>
      </c>
      <c r="AU9" s="99">
        <f t="shared" si="1"/>
        <v>1.0366</v>
      </c>
      <c r="AV9" s="99">
        <f t="shared" si="1"/>
        <v>0.4914</v>
      </c>
      <c r="AW9" s="99">
        <f t="shared" si="1"/>
        <v>0.96350000000000002</v>
      </c>
      <c r="AX9" s="99">
        <f t="shared" si="1"/>
        <v>0</v>
      </c>
      <c r="AY9" s="99">
        <f t="shared" si="1"/>
        <v>0</v>
      </c>
      <c r="AZ9" s="99">
        <f t="shared" si="1"/>
        <v>0</v>
      </c>
      <c r="BA9" s="99">
        <f t="shared" si="1"/>
        <v>0</v>
      </c>
      <c r="BB9" s="99">
        <f t="shared" si="1"/>
        <v>0</v>
      </c>
      <c r="BC9" s="99">
        <f t="shared" si="1"/>
        <v>0</v>
      </c>
      <c r="BD9" s="97"/>
      <c r="BE9" s="117">
        <f>IFERROR(VLOOKUP(AR9,'Top WS'!$A$19:$C$28,3),0)</f>
        <v>480</v>
      </c>
      <c r="BF9" s="117">
        <f>IFERROR(VLOOKUP(AS9,'Top WS'!$A$19:$C$28,3),0)</f>
        <v>400</v>
      </c>
      <c r="BG9" s="117">
        <f>IFERROR(VLOOKUP(AT9,'Top WS'!$A$19:$C$28,3),0)</f>
        <v>400</v>
      </c>
      <c r="BH9" s="117">
        <f>IFERROR(VLOOKUP(AU9,'Top WS'!$A$19:$C$28,3),0)</f>
        <v>432</v>
      </c>
      <c r="BI9" s="117">
        <f>IFERROR(VLOOKUP(AV9,'Top WS'!$A$19:$C$28,3),0)</f>
        <v>400</v>
      </c>
      <c r="BJ9" s="117">
        <f>IFERROR(VLOOKUP(AW9,'Top WS'!$A$19:$C$28,3),0)</f>
        <v>400</v>
      </c>
      <c r="BK9" s="117">
        <f>IFERROR(VLOOKUP(AX9,'Top WS'!$A$19:$C$28,3),0)</f>
        <v>400</v>
      </c>
      <c r="BL9" s="117">
        <f>IFERROR(VLOOKUP(AY9,'Top WS'!$A$19:$C$28,3),0)</f>
        <v>400</v>
      </c>
      <c r="BM9" s="117">
        <f>IFERROR(VLOOKUP(AZ9,'Top WS'!$A$19:$C$28,3),0)</f>
        <v>400</v>
      </c>
      <c r="BN9" s="117">
        <f>IFERROR(VLOOKUP(BA9,'Top WS'!$A$19:$C$28,3),0)</f>
        <v>400</v>
      </c>
      <c r="BO9" s="117">
        <f>IFERROR(VLOOKUP(BB9,'Top WS'!$A$19:$C$28,3),0)</f>
        <v>400</v>
      </c>
      <c r="BP9" s="117">
        <f>IFERROR(VLOOKUP(BC9,'Top WS'!$A$19:$C$28,3),0)</f>
        <v>400</v>
      </c>
      <c r="BQ9" s="1">
        <f t="shared" si="5"/>
        <v>4912</v>
      </c>
    </row>
    <row r="10" spans="1:69" x14ac:dyDescent="0.4">
      <c r="A10">
        <v>1190017013</v>
      </c>
      <c r="B10">
        <f>VLOOKUP(A10,'Aji Plus'!$A$2:$D$58,2,0)</f>
        <v>76289</v>
      </c>
      <c r="C10" t="str">
        <f>VLOOKUP(A10,'Aji Plus'!$A$2:$D$58,3,0)</f>
        <v>นายเธียรกวิน ใจผ่อง</v>
      </c>
      <c r="D10" t="str">
        <f>VLOOKUP(A10,'Aji Plus'!$A$2:$D$58,4,0)</f>
        <v>Pathumthani</v>
      </c>
      <c r="E10" s="1">
        <v>11.860184268664531</v>
      </c>
      <c r="F10" s="1">
        <v>14.907493375088588</v>
      </c>
      <c r="G10" s="1">
        <v>13.963256750562826</v>
      </c>
      <c r="H10" s="1">
        <v>8.727035469101768</v>
      </c>
      <c r="I10" s="1">
        <v>15.780196921998769</v>
      </c>
      <c r="J10" s="1">
        <v>17.167938627741179</v>
      </c>
      <c r="K10" s="1">
        <v>13.162086281268234</v>
      </c>
      <c r="L10" s="1">
        <v>16.567060775770241</v>
      </c>
      <c r="M10" s="1">
        <v>11.888797499710764</v>
      </c>
      <c r="N10" s="1">
        <v>18.913345721561523</v>
      </c>
      <c r="O10" s="1">
        <v>17.239471705356767</v>
      </c>
      <c r="P10" s="1">
        <v>9.270686858980234</v>
      </c>
      <c r="R10" s="1">
        <f>VLOOKUP(A10,Actual_RDQ!$A$2:$H$62,3,0)</f>
        <v>73.728000000000009</v>
      </c>
      <c r="S10" s="1">
        <f>VLOOKUP(A10,Actual_RDQ!$A$2:$H$62,4,0)</f>
        <v>42.048000000000002</v>
      </c>
      <c r="T10" s="1">
        <f>VLOOKUP(A10,Actual_RDQ!$A$2:$H$62,5,0)</f>
        <v>140.54400000000001</v>
      </c>
      <c r="U10" s="1">
        <f>VLOOKUP(A10,Actual_RDQ!$A$2:$H$62,6,0)</f>
        <v>69.695999999999998</v>
      </c>
      <c r="V10" s="1">
        <f>VLOOKUP(A10,Actual_RDQ!$A$2:$H$62,7,0)</f>
        <v>171.648</v>
      </c>
      <c r="W10" s="1">
        <f>VLOOKUP(A10,Actual_RDQ!$A$2:$H$62,8,0)</f>
        <v>86.399999999999977</v>
      </c>
      <c r="X10" s="118"/>
      <c r="Y10" s="118"/>
      <c r="Z10" s="118"/>
      <c r="AA10" s="118"/>
      <c r="AB10" s="118"/>
      <c r="AC10" s="118"/>
      <c r="AE10" s="97">
        <f t="shared" si="3"/>
        <v>6.2164295536954466</v>
      </c>
      <c r="AF10" s="97">
        <f t="shared" si="0"/>
        <v>2.8205949143848019</v>
      </c>
      <c r="AG10" s="97">
        <f t="shared" si="0"/>
        <v>10.065273632838917</v>
      </c>
      <c r="AH10" s="97">
        <f t="shared" si="0"/>
        <v>7.9862171119574326</v>
      </c>
      <c r="AI10" s="97">
        <f t="shared" si="0"/>
        <v>10.877430798135979</v>
      </c>
      <c r="AJ10" s="97">
        <f t="shared" si="0"/>
        <v>5.0326368164194566</v>
      </c>
      <c r="AK10" s="99">
        <f t="shared" si="0"/>
        <v>0</v>
      </c>
      <c r="AL10" s="99">
        <f t="shared" si="0"/>
        <v>0</v>
      </c>
      <c r="AM10" s="99">
        <f t="shared" si="0"/>
        <v>0</v>
      </c>
      <c r="AN10" s="99">
        <f t="shared" si="0"/>
        <v>0</v>
      </c>
      <c r="AO10" s="99">
        <f t="shared" si="0"/>
        <v>0</v>
      </c>
      <c r="AP10" s="99">
        <f t="shared" si="0"/>
        <v>0</v>
      </c>
      <c r="AQ10" s="97"/>
      <c r="AR10" s="99">
        <f t="shared" si="4"/>
        <v>6.2164000000000001</v>
      </c>
      <c r="AS10" s="99">
        <f t="shared" si="1"/>
        <v>2.8206000000000002</v>
      </c>
      <c r="AT10" s="99">
        <f t="shared" si="1"/>
        <v>10.065300000000001</v>
      </c>
      <c r="AU10" s="99">
        <f t="shared" si="1"/>
        <v>7.9862000000000002</v>
      </c>
      <c r="AV10" s="99">
        <f t="shared" si="1"/>
        <v>10.8774</v>
      </c>
      <c r="AW10" s="99">
        <f t="shared" si="1"/>
        <v>5.0326000000000004</v>
      </c>
      <c r="AX10" s="99">
        <f t="shared" si="1"/>
        <v>0</v>
      </c>
      <c r="AY10" s="99">
        <f t="shared" si="1"/>
        <v>0</v>
      </c>
      <c r="AZ10" s="99">
        <f t="shared" si="1"/>
        <v>0</v>
      </c>
      <c r="BA10" s="99">
        <f t="shared" si="1"/>
        <v>0</v>
      </c>
      <c r="BB10" s="99">
        <f t="shared" si="1"/>
        <v>0</v>
      </c>
      <c r="BC10" s="99">
        <f t="shared" si="1"/>
        <v>0</v>
      </c>
      <c r="BD10" s="97"/>
      <c r="BE10" s="119">
        <f>IFERROR(VLOOKUP(AR10,' WS SF'!$A$19:$C$28,3),0)</f>
        <v>455</v>
      </c>
      <c r="BF10" s="119">
        <f>IFERROR(VLOOKUP(AS10,' WS SF'!$A$19:$C$28,3),0)</f>
        <v>455</v>
      </c>
      <c r="BG10" s="119">
        <f>IFERROR(VLOOKUP(AT10,' WS SF'!$A$19:$C$28,3),0)</f>
        <v>455</v>
      </c>
      <c r="BH10" s="119">
        <f>IFERROR(VLOOKUP(AU10,' WS SF'!$A$19:$C$28,3),0)</f>
        <v>455</v>
      </c>
      <c r="BI10" s="119">
        <f>IFERROR(VLOOKUP(AV10,' WS SF'!$A$19:$C$28,3),0)</f>
        <v>455</v>
      </c>
      <c r="BJ10" s="119">
        <f>IFERROR(VLOOKUP(AW10,' WS SF'!$A$19:$C$28,3),0)</f>
        <v>455</v>
      </c>
      <c r="BK10" s="119">
        <f>IFERROR(VLOOKUP(AX10,' WS SF'!$A$19:$C$28,3),0)</f>
        <v>350</v>
      </c>
      <c r="BL10" s="119">
        <f>IFERROR(VLOOKUP(AY10,' WS SF'!$A$19:$C$28,3),0)</f>
        <v>350</v>
      </c>
      <c r="BM10" s="119">
        <f>IFERROR(VLOOKUP(AZ10,' WS SF'!$A$19:$C$28,3),0)</f>
        <v>350</v>
      </c>
      <c r="BN10" s="119">
        <f>IFERROR(VLOOKUP(BA10,' WS SF'!$A$19:$C$28,3),0)</f>
        <v>350</v>
      </c>
      <c r="BO10" s="119">
        <f>IFERROR(VLOOKUP(BB10,' WS SF'!$A$19:$C$28,3),0)</f>
        <v>350</v>
      </c>
      <c r="BP10" s="119">
        <f>IFERROR(VLOOKUP(BC10,' WS SF'!$A$19:$C$28,3),0)</f>
        <v>350</v>
      </c>
      <c r="BQ10" s="1">
        <f t="shared" si="5"/>
        <v>4830</v>
      </c>
    </row>
    <row r="11" spans="1:69" x14ac:dyDescent="0.4">
      <c r="A11">
        <v>1190017014</v>
      </c>
      <c r="B11">
        <f>VLOOKUP(A11,'Aji Plus'!$A$2:$D$58,2,0)</f>
        <v>63668</v>
      </c>
      <c r="C11" t="str">
        <f>VLOOKUP(A11,'Aji Plus'!$A$2:$D$58,3,0)</f>
        <v>นายมานพ สุขเจริญ</v>
      </c>
      <c r="D11" t="str">
        <f>VLOOKUP(A11,'Aji Plus'!$A$2:$D$58,4,0)</f>
        <v>Pathumthani</v>
      </c>
      <c r="E11" s="1">
        <v>10.754204097603717</v>
      </c>
      <c r="F11" s="1">
        <v>13.517347008085732</v>
      </c>
      <c r="G11" s="1">
        <v>12.661161880894124</v>
      </c>
      <c r="H11" s="1">
        <v>7.9132261755588296</v>
      </c>
      <c r="I11" s="1">
        <v>14.308669625641619</v>
      </c>
      <c r="J11" s="1">
        <v>15.567002312574743</v>
      </c>
      <c r="K11" s="1">
        <v>11.934701772973966</v>
      </c>
      <c r="L11" s="1">
        <v>15.022157231634626</v>
      </c>
      <c r="M11" s="1">
        <v>10.780149101458006</v>
      </c>
      <c r="N11" s="1">
        <v>17.149647547686499</v>
      </c>
      <c r="O11" s="1">
        <v>15.631864822210469</v>
      </c>
      <c r="P11" s="1">
        <v>8.4061812487903591</v>
      </c>
      <c r="R11" s="1">
        <f>VLOOKUP(A11,Actual_RDQ!$A$2:$H$62,3,0)</f>
        <v>0</v>
      </c>
      <c r="S11" s="1">
        <f>VLOOKUP(A11,Actual_RDQ!$A$2:$H$62,4,0)</f>
        <v>0</v>
      </c>
      <c r="T11" s="1">
        <f>VLOOKUP(A11,Actual_RDQ!$A$2:$H$62,5,0)</f>
        <v>86.4</v>
      </c>
      <c r="U11" s="1">
        <f>VLOOKUP(A11,Actual_RDQ!$A$2:$H$62,6,0)</f>
        <v>0</v>
      </c>
      <c r="V11" s="1">
        <f>VLOOKUP(A11,Actual_RDQ!$A$2:$H$62,7,0)</f>
        <v>0</v>
      </c>
      <c r="W11" s="1">
        <f>VLOOKUP(A11,Actual_RDQ!$A$2:$H$62,8,0)</f>
        <v>0</v>
      </c>
      <c r="X11" s="118"/>
      <c r="Y11" s="118"/>
      <c r="Z11" s="118"/>
      <c r="AA11" s="118"/>
      <c r="AB11" s="118"/>
      <c r="AC11" s="118"/>
      <c r="AE11" s="97">
        <f t="shared" si="3"/>
        <v>0</v>
      </c>
      <c r="AF11" s="97">
        <f t="shared" si="0"/>
        <v>0</v>
      </c>
      <c r="AG11" s="97">
        <f t="shared" si="0"/>
        <v>6.8240182704226262</v>
      </c>
      <c r="AH11" s="97">
        <f t="shared" si="0"/>
        <v>0</v>
      </c>
      <c r="AI11" s="97">
        <f t="shared" si="0"/>
        <v>0</v>
      </c>
      <c r="AJ11" s="97">
        <f t="shared" si="0"/>
        <v>0</v>
      </c>
      <c r="AK11" s="99">
        <f t="shared" si="0"/>
        <v>0</v>
      </c>
      <c r="AL11" s="99">
        <f t="shared" si="0"/>
        <v>0</v>
      </c>
      <c r="AM11" s="99">
        <f t="shared" si="0"/>
        <v>0</v>
      </c>
      <c r="AN11" s="99">
        <f t="shared" si="0"/>
        <v>0</v>
      </c>
      <c r="AO11" s="99">
        <f t="shared" si="0"/>
        <v>0</v>
      </c>
      <c r="AP11" s="99">
        <f t="shared" si="0"/>
        <v>0</v>
      </c>
      <c r="AQ11" s="97"/>
      <c r="AR11" s="99">
        <f t="shared" si="4"/>
        <v>0</v>
      </c>
      <c r="AS11" s="99">
        <f t="shared" si="1"/>
        <v>0</v>
      </c>
      <c r="AT11" s="99">
        <f t="shared" si="1"/>
        <v>6.8239999999999998</v>
      </c>
      <c r="AU11" s="99">
        <f t="shared" si="1"/>
        <v>0</v>
      </c>
      <c r="AV11" s="99">
        <f t="shared" si="1"/>
        <v>0</v>
      </c>
      <c r="AW11" s="99">
        <f t="shared" si="1"/>
        <v>0</v>
      </c>
      <c r="AX11" s="99">
        <f t="shared" si="1"/>
        <v>0</v>
      </c>
      <c r="AY11" s="99">
        <f t="shared" si="1"/>
        <v>0</v>
      </c>
      <c r="AZ11" s="99">
        <f t="shared" si="1"/>
        <v>0</v>
      </c>
      <c r="BA11" s="99">
        <f t="shared" si="1"/>
        <v>0</v>
      </c>
      <c r="BB11" s="99">
        <f t="shared" si="1"/>
        <v>0</v>
      </c>
      <c r="BC11" s="99">
        <f t="shared" si="1"/>
        <v>0</v>
      </c>
      <c r="BD11" s="97"/>
      <c r="BE11" s="120">
        <f>IFERROR(VLOOKUP(AR11,'WS WH'!$A$19:$C$28,3),0)</f>
        <v>175</v>
      </c>
      <c r="BF11" s="120">
        <f>IFERROR(VLOOKUP(AS11,'WS WH'!$A$19:$C$28,3),0)</f>
        <v>175</v>
      </c>
      <c r="BG11" s="120">
        <f>IFERROR(VLOOKUP(AT11,'WS WH'!$A$19:$C$28,3),0)</f>
        <v>227.5</v>
      </c>
      <c r="BH11" s="120">
        <f>IFERROR(VLOOKUP(AU11,'WS WH'!$A$19:$C$28,3),0)</f>
        <v>175</v>
      </c>
      <c r="BI11" s="120">
        <f>IFERROR(VLOOKUP(AV11,'WS WH'!$A$19:$C$28,3),0)</f>
        <v>175</v>
      </c>
      <c r="BJ11" s="120">
        <f>IFERROR(VLOOKUP(AW11,'WS WH'!$A$19:$C$28,3),0)</f>
        <v>175</v>
      </c>
      <c r="BK11" s="120">
        <f>IFERROR(VLOOKUP(AX11,'WS WH'!$A$19:$C$28,3),0)</f>
        <v>175</v>
      </c>
      <c r="BL11" s="120">
        <f>IFERROR(VLOOKUP(AY11,'WS WH'!$A$19:$C$28,3),0)</f>
        <v>175</v>
      </c>
      <c r="BM11" s="120">
        <f>IFERROR(VLOOKUP(AZ11,'WS WH'!$A$19:$C$28,3),0)</f>
        <v>175</v>
      </c>
      <c r="BN11" s="120">
        <f>IFERROR(VLOOKUP(BA11,'WS WH'!$A$19:$C$28,3),0)</f>
        <v>175</v>
      </c>
      <c r="BO11" s="120">
        <f>IFERROR(VLOOKUP(BB11,'WS WH'!$A$19:$C$28,3),0)</f>
        <v>175</v>
      </c>
      <c r="BP11" s="120">
        <f>IFERROR(VLOOKUP(BC11,'WS WH'!$A$19:$C$28,3),0)</f>
        <v>175</v>
      </c>
      <c r="BQ11" s="1">
        <f t="shared" si="5"/>
        <v>2152.5</v>
      </c>
    </row>
    <row r="12" spans="1:69" x14ac:dyDescent="0.4">
      <c r="A12">
        <v>1190021901</v>
      </c>
      <c r="B12">
        <f>VLOOKUP(A12,'Aji Plus'!$A$2:$D$58,2,0)</f>
        <v>76043</v>
      </c>
      <c r="C12" t="str">
        <f>VLOOKUP(A12,'Aji Plus'!$A$2:$D$58,3,0)</f>
        <v>นายธนรัตน์ บัวสอด</v>
      </c>
      <c r="D12" t="str">
        <f>VLOOKUP(A12,'Aji Plus'!$A$2:$D$58,4,0)</f>
        <v>Chiangmai</v>
      </c>
      <c r="E12" s="1">
        <v>52.507052849351119</v>
      </c>
      <c r="F12" s="1">
        <v>44.551438781267613</v>
      </c>
      <c r="G12" s="1">
        <v>135.59902200488989</v>
      </c>
      <c r="H12" s="1">
        <v>57.987586985141988</v>
      </c>
      <c r="I12" s="1">
        <v>50.208764340793657</v>
      </c>
      <c r="J12" s="1">
        <v>176.08425804024816</v>
      </c>
      <c r="K12" s="1">
        <v>51.976678578145552</v>
      </c>
      <c r="L12" s="1">
        <v>125.52191085198415</v>
      </c>
      <c r="M12" s="1">
        <v>49.855181493323265</v>
      </c>
      <c r="N12" s="1">
        <v>79.202557833364637</v>
      </c>
      <c r="O12" s="1">
        <v>60.993041188640184</v>
      </c>
      <c r="P12" s="1">
        <v>55.512507052849308</v>
      </c>
      <c r="R12" s="1">
        <f>VLOOKUP(A12,Actual_RDQ!$A$2:$H$62,3,0)</f>
        <v>67.391999999999996</v>
      </c>
      <c r="S12" s="1">
        <f>VLOOKUP(A12,Actual_RDQ!$A$2:$H$62,4,0)</f>
        <v>48.96</v>
      </c>
      <c r="T12" s="1">
        <f>VLOOKUP(A12,Actual_RDQ!$A$2:$H$62,5,0)</f>
        <v>28.799999999999997</v>
      </c>
      <c r="U12" s="1">
        <f>VLOOKUP(A12,Actual_RDQ!$A$2:$H$62,6,0)</f>
        <v>74.88</v>
      </c>
      <c r="V12" s="1">
        <f>VLOOKUP(A12,Actual_RDQ!$A$2:$H$62,7,0)</f>
        <v>77.759999999999991</v>
      </c>
      <c r="W12" s="1">
        <f>VLOOKUP(A12,Actual_RDQ!$A$2:$H$62,8,0)</f>
        <v>81.216000000000022</v>
      </c>
      <c r="X12" s="118"/>
      <c r="Y12" s="118"/>
      <c r="Z12" s="118"/>
      <c r="AA12" s="118"/>
      <c r="AB12" s="118"/>
      <c r="AC12" s="118"/>
      <c r="AE12" s="97">
        <f t="shared" si="3"/>
        <v>1.2834847195357837</v>
      </c>
      <c r="AF12" s="97">
        <f t="shared" si="0"/>
        <v>1.0989544072948334</v>
      </c>
      <c r="AG12" s="97">
        <f t="shared" si="0"/>
        <v>0.21239091236927526</v>
      </c>
      <c r="AH12" s="97">
        <f t="shared" si="0"/>
        <v>1.2913108458744162</v>
      </c>
      <c r="AI12" s="97">
        <f t="shared" si="0"/>
        <v>1.5487335930476482</v>
      </c>
      <c r="AJ12" s="97">
        <f t="shared" si="0"/>
        <v>0.46123373493975944</v>
      </c>
      <c r="AK12" s="99">
        <f t="shared" si="0"/>
        <v>0</v>
      </c>
      <c r="AL12" s="99">
        <f t="shared" si="0"/>
        <v>0</v>
      </c>
      <c r="AM12" s="99">
        <f t="shared" si="0"/>
        <v>0</v>
      </c>
      <c r="AN12" s="99">
        <f t="shared" si="0"/>
        <v>0</v>
      </c>
      <c r="AO12" s="99">
        <f t="shared" si="0"/>
        <v>0</v>
      </c>
      <c r="AP12" s="99">
        <f t="shared" si="0"/>
        <v>0</v>
      </c>
      <c r="AQ12" s="97"/>
      <c r="AR12" s="99">
        <f t="shared" si="4"/>
        <v>1.2835000000000001</v>
      </c>
      <c r="AS12" s="99">
        <f t="shared" si="1"/>
        <v>1.099</v>
      </c>
      <c r="AT12" s="99">
        <f t="shared" si="1"/>
        <v>0.21240000000000001</v>
      </c>
      <c r="AU12" s="99">
        <f t="shared" si="1"/>
        <v>1.2912999999999999</v>
      </c>
      <c r="AV12" s="99">
        <f t="shared" si="1"/>
        <v>1.5487</v>
      </c>
      <c r="AW12" s="99">
        <f t="shared" si="1"/>
        <v>0.4612</v>
      </c>
      <c r="AX12" s="99">
        <f t="shared" si="1"/>
        <v>0</v>
      </c>
      <c r="AY12" s="99">
        <f t="shared" si="1"/>
        <v>0</v>
      </c>
      <c r="AZ12" s="99">
        <f t="shared" si="1"/>
        <v>0</v>
      </c>
      <c r="BA12" s="99">
        <f t="shared" si="1"/>
        <v>0</v>
      </c>
      <c r="BB12" s="99">
        <f t="shared" si="1"/>
        <v>0</v>
      </c>
      <c r="BC12" s="99">
        <f t="shared" si="1"/>
        <v>0</v>
      </c>
      <c r="BD12" s="97"/>
      <c r="BE12" s="1">
        <f>IFERROR(VLOOKUP(AR12,'Top WS'!$A$19:$C$28,3),0)</f>
        <v>520</v>
      </c>
      <c r="BF12" s="1">
        <f>IFERROR(VLOOKUP(AS12,'Top WS'!$A$19:$C$28,3),0)</f>
        <v>440</v>
      </c>
      <c r="BG12" s="1">
        <f>IFERROR(VLOOKUP(AT12,'Top WS'!$A$19:$C$28,3),0)</f>
        <v>400</v>
      </c>
      <c r="BH12" s="1">
        <f>IFERROR(VLOOKUP(AU12,'Top WS'!$A$19:$C$28,3),0)</f>
        <v>520</v>
      </c>
      <c r="BI12" s="1">
        <f>IFERROR(VLOOKUP(AV12,'Top WS'!$A$19:$C$28,3),0)</f>
        <v>520</v>
      </c>
      <c r="BJ12" s="1">
        <f>IFERROR(VLOOKUP(AW12,'Top WS'!$A$19:$C$28,3),0)</f>
        <v>400</v>
      </c>
      <c r="BK12" s="98">
        <f>IFERROR(VLOOKUP(AX12,'Top WS'!$A$19:$C$28,3),0)</f>
        <v>400</v>
      </c>
      <c r="BL12" s="98">
        <f>IFERROR(VLOOKUP(AY12,'Top WS'!$A$19:$C$28,3),0)</f>
        <v>400</v>
      </c>
      <c r="BM12" s="98">
        <f>IFERROR(VLOOKUP(AZ12,'Top WS'!$A$19:$C$28,3),0)</f>
        <v>400</v>
      </c>
      <c r="BN12" s="98">
        <f>IFERROR(VLOOKUP(BA12,'Top WS'!$A$19:$C$28,3),0)</f>
        <v>400</v>
      </c>
      <c r="BO12" s="98">
        <f>IFERROR(VLOOKUP(BB12,'Top WS'!$A$19:$C$28,3),0)</f>
        <v>400</v>
      </c>
      <c r="BP12" s="98">
        <f>IFERROR(VLOOKUP(BC12,'Top WS'!$A$19:$C$28,3),0)</f>
        <v>400</v>
      </c>
      <c r="BQ12" s="1">
        <f>SUM(BE12:BP12)</f>
        <v>5200</v>
      </c>
    </row>
    <row r="13" spans="1:69" x14ac:dyDescent="0.4">
      <c r="A13">
        <v>1190021902</v>
      </c>
      <c r="B13">
        <f>VLOOKUP(A13,'Aji Plus'!$A$2:$D$58,2,0)</f>
        <v>75835</v>
      </c>
      <c r="C13" t="str">
        <f>VLOOKUP(A13,'Aji Plus'!$A$2:$D$58,3,0)</f>
        <v>นายอนุวัฒน์ บุญจง</v>
      </c>
      <c r="D13" t="str">
        <f>VLOOKUP(A13,'Aji Plus'!$A$2:$D$58,4,0)</f>
        <v>Chiangmai</v>
      </c>
      <c r="E13" s="1">
        <v>63.678766221553488</v>
      </c>
      <c r="F13" s="1">
        <v>54.030468309196891</v>
      </c>
      <c r="G13" s="1">
        <v>164.44987775061114</v>
      </c>
      <c r="H13" s="1">
        <v>70.325371450065816</v>
      </c>
      <c r="I13" s="1">
        <v>60.8914801579838</v>
      </c>
      <c r="J13" s="1">
        <v>213.54899379349243</v>
      </c>
      <c r="K13" s="1">
        <v>63.035546360729711</v>
      </c>
      <c r="L13" s="1">
        <v>152.2287003949595</v>
      </c>
      <c r="M13" s="1">
        <v>60.462666917434603</v>
      </c>
      <c r="N13" s="1">
        <v>96.054165883016694</v>
      </c>
      <c r="O13" s="1">
        <v>73.970283994733833</v>
      </c>
      <c r="P13" s="1">
        <v>67.323678766221505</v>
      </c>
      <c r="R13" s="1">
        <f>VLOOKUP(A13,Actual_RDQ!$A$2:$H$62,3,0)</f>
        <v>28.799999999999997</v>
      </c>
      <c r="S13" s="1">
        <f>VLOOKUP(A13,Actual_RDQ!$A$2:$H$62,4,0)</f>
        <v>107.99999999999999</v>
      </c>
      <c r="T13" s="1">
        <f>VLOOKUP(A13,Actual_RDQ!$A$2:$H$62,5,0)</f>
        <v>107.136</v>
      </c>
      <c r="U13" s="1">
        <f>VLOOKUP(A13,Actual_RDQ!$A$2:$H$62,6,0)</f>
        <v>73.440000000000012</v>
      </c>
      <c r="V13" s="1">
        <f>VLOOKUP(A13,Actual_RDQ!$A$2:$H$62,7,0)</f>
        <v>149.47200000000001</v>
      </c>
      <c r="W13" s="1">
        <f>VLOOKUP(A13,Actual_RDQ!$A$2:$H$62,8,0)</f>
        <v>144</v>
      </c>
      <c r="X13" s="118"/>
      <c r="Y13" s="118"/>
      <c r="Z13" s="118"/>
      <c r="AA13" s="118"/>
      <c r="AB13" s="118"/>
      <c r="AC13" s="118"/>
      <c r="AE13" s="97">
        <f t="shared" si="3"/>
        <v>0.45227006911217449</v>
      </c>
      <c r="AF13" s="97">
        <f t="shared" si="0"/>
        <v>1.9988721804511285</v>
      </c>
      <c r="AG13" s="97">
        <f t="shared" si="0"/>
        <v>0.65148117752007173</v>
      </c>
      <c r="AH13" s="97">
        <f t="shared" si="0"/>
        <v>1.0442888318356871</v>
      </c>
      <c r="AI13" s="97">
        <f t="shared" si="0"/>
        <v>2.4547276501111948</v>
      </c>
      <c r="AJ13" s="97">
        <f t="shared" si="0"/>
        <v>0.67431832593532071</v>
      </c>
      <c r="AK13" s="99">
        <f t="shared" si="0"/>
        <v>0</v>
      </c>
      <c r="AL13" s="99">
        <f t="shared" si="0"/>
        <v>0</v>
      </c>
      <c r="AM13" s="99">
        <f t="shared" si="0"/>
        <v>0</v>
      </c>
      <c r="AN13" s="99">
        <f t="shared" si="0"/>
        <v>0</v>
      </c>
      <c r="AO13" s="99">
        <f t="shared" si="0"/>
        <v>0</v>
      </c>
      <c r="AP13" s="99">
        <f t="shared" si="0"/>
        <v>0</v>
      </c>
      <c r="AQ13" s="97"/>
      <c r="AR13" s="99">
        <f t="shared" si="4"/>
        <v>0.45229999999999998</v>
      </c>
      <c r="AS13" s="99">
        <f t="shared" si="1"/>
        <v>1.9988999999999999</v>
      </c>
      <c r="AT13" s="99">
        <f t="shared" si="1"/>
        <v>0.65149999999999997</v>
      </c>
      <c r="AU13" s="99">
        <f t="shared" si="1"/>
        <v>1.0443</v>
      </c>
      <c r="AV13" s="99">
        <f t="shared" si="1"/>
        <v>2.4546999999999999</v>
      </c>
      <c r="AW13" s="99">
        <f t="shared" si="1"/>
        <v>0.67430000000000001</v>
      </c>
      <c r="AX13" s="99">
        <f t="shared" si="1"/>
        <v>0</v>
      </c>
      <c r="AY13" s="99">
        <f t="shared" si="1"/>
        <v>0</v>
      </c>
      <c r="AZ13" s="99">
        <f t="shared" si="1"/>
        <v>0</v>
      </c>
      <c r="BA13" s="99">
        <f t="shared" si="1"/>
        <v>0</v>
      </c>
      <c r="BB13" s="99">
        <f t="shared" si="1"/>
        <v>0</v>
      </c>
      <c r="BC13" s="99">
        <f t="shared" si="1"/>
        <v>0</v>
      </c>
      <c r="BD13" s="97"/>
      <c r="BE13" s="1">
        <f>IFERROR(VLOOKUP(AR13,'Top WS'!$A$19:$C$28,3),0)</f>
        <v>400</v>
      </c>
      <c r="BF13" s="1">
        <f>IFERROR(VLOOKUP(AS13,'Top WS'!$A$19:$C$28,3),0)</f>
        <v>520</v>
      </c>
      <c r="BG13" s="1">
        <f>IFERROR(VLOOKUP(AT13,'Top WS'!$A$19:$C$28,3),0)</f>
        <v>400</v>
      </c>
      <c r="BH13" s="1">
        <f>IFERROR(VLOOKUP(AU13,'Top WS'!$A$19:$C$28,3),0)</f>
        <v>432</v>
      </c>
      <c r="BI13" s="1">
        <f>IFERROR(VLOOKUP(AV13,'Top WS'!$A$19:$C$28,3),0)</f>
        <v>520</v>
      </c>
      <c r="BJ13" s="1">
        <f>IFERROR(VLOOKUP(AW13,'Top WS'!$A$19:$C$28,3),0)</f>
        <v>400</v>
      </c>
      <c r="BK13" s="98">
        <f>IFERROR(VLOOKUP(AX13,'Top WS'!$A$19:$C$28,3),0)</f>
        <v>400</v>
      </c>
      <c r="BL13" s="98">
        <f>IFERROR(VLOOKUP(AY13,'Top WS'!$A$19:$C$28,3),0)</f>
        <v>400</v>
      </c>
      <c r="BM13" s="98">
        <f>IFERROR(VLOOKUP(AZ13,'Top WS'!$A$19:$C$28,3),0)</f>
        <v>400</v>
      </c>
      <c r="BN13" s="98">
        <f>IFERROR(VLOOKUP(BA13,'Top WS'!$A$19:$C$28,3),0)</f>
        <v>400</v>
      </c>
      <c r="BO13" s="98">
        <f>IFERROR(VLOOKUP(BB13,'Top WS'!$A$19:$C$28,3),0)</f>
        <v>400</v>
      </c>
      <c r="BP13" s="98">
        <f>IFERROR(VLOOKUP(BC13,'Top WS'!$A$19:$C$28,3),0)</f>
        <v>400</v>
      </c>
      <c r="BQ13" s="1">
        <f t="shared" si="5"/>
        <v>5072</v>
      </c>
    </row>
    <row r="14" spans="1:69" x14ac:dyDescent="0.4">
      <c r="A14">
        <v>1190022001</v>
      </c>
      <c r="B14">
        <f>VLOOKUP(A14,'Aji Plus'!$A$2:$D$58,2,0)</f>
        <v>100352</v>
      </c>
      <c r="C14" t="str">
        <f>VLOOKUP(A14,'Aji Plus'!$A$2:$D$58,3,0)</f>
        <v>นายชาตรี ขุนทอง</v>
      </c>
      <c r="D14" t="str">
        <f>VLOOKUP(A14,'Aji Plus'!$A$2:$D$58,4,0)</f>
        <v>Chiangrai</v>
      </c>
      <c r="E14" s="1">
        <v>708.84521346624012</v>
      </c>
      <c r="F14" s="1">
        <v>601.44442354711282</v>
      </c>
      <c r="G14" s="1">
        <v>1830.5867970660136</v>
      </c>
      <c r="H14" s="1">
        <v>782.83242429941686</v>
      </c>
      <c r="I14" s="1">
        <v>677.81831860071441</v>
      </c>
      <c r="J14" s="1">
        <v>2377.1374835433503</v>
      </c>
      <c r="K14" s="1">
        <v>701.68516080496499</v>
      </c>
      <c r="L14" s="1">
        <v>1694.5457965017861</v>
      </c>
      <c r="M14" s="1">
        <v>673.04495015986413</v>
      </c>
      <c r="N14" s="1">
        <v>1069.2345307504227</v>
      </c>
      <c r="O14" s="1">
        <v>823.40605604664245</v>
      </c>
      <c r="P14" s="1">
        <v>749.4188452134656</v>
      </c>
      <c r="R14" s="1">
        <f>VLOOKUP(A14,Actual_RDQ!$A$2:$H$62,3,0)</f>
        <v>474.91199999999986</v>
      </c>
      <c r="S14" s="1">
        <f>VLOOKUP(A14,Actual_RDQ!$A$2:$H$62,4,0)</f>
        <v>844.41600000000005</v>
      </c>
      <c r="T14" s="1">
        <f>VLOOKUP(A14,Actual_RDQ!$A$2:$H$62,5,0)</f>
        <v>630.43200000000013</v>
      </c>
      <c r="U14" s="1">
        <f>VLOOKUP(A14,Actual_RDQ!$A$2:$H$62,6,0)</f>
        <v>724.89600000000007</v>
      </c>
      <c r="V14" s="1">
        <f>VLOOKUP(A14,Actual_RDQ!$A$2:$H$62,7,0)</f>
        <v>724.03200000000004</v>
      </c>
      <c r="W14" s="1">
        <f>VLOOKUP(A14,Actual_RDQ!$A$2:$H$62,8,0)</f>
        <v>888.19199999999955</v>
      </c>
      <c r="X14" s="118"/>
      <c r="Y14" s="118"/>
      <c r="Z14" s="118"/>
      <c r="AA14" s="118"/>
      <c r="AB14" s="118"/>
      <c r="AC14" s="118"/>
      <c r="AE14" s="97">
        <f t="shared" si="3"/>
        <v>0.66997983618692847</v>
      </c>
      <c r="AF14" s="97">
        <f t="shared" si="0"/>
        <v>1.40398009681414</v>
      </c>
      <c r="AG14" s="97">
        <f t="shared" si="0"/>
        <v>0.34438793124173606</v>
      </c>
      <c r="AH14" s="97">
        <f t="shared" si="0"/>
        <v>0.92599128178515855</v>
      </c>
      <c r="AI14" s="97">
        <f t="shared" si="0"/>
        <v>1.0681800419538512</v>
      </c>
      <c r="AJ14" s="97">
        <f t="shared" si="0"/>
        <v>0.37363930616081348</v>
      </c>
      <c r="AK14" s="99">
        <f t="shared" si="0"/>
        <v>0</v>
      </c>
      <c r="AL14" s="99">
        <f t="shared" si="0"/>
        <v>0</v>
      </c>
      <c r="AM14" s="99">
        <f t="shared" si="0"/>
        <v>0</v>
      </c>
      <c r="AN14" s="99">
        <f t="shared" si="0"/>
        <v>0</v>
      </c>
      <c r="AO14" s="99">
        <f t="shared" si="0"/>
        <v>0</v>
      </c>
      <c r="AP14" s="99">
        <f t="shared" si="0"/>
        <v>0</v>
      </c>
      <c r="AQ14" s="97"/>
      <c r="AR14" s="99">
        <f t="shared" si="4"/>
        <v>0.67</v>
      </c>
      <c r="AS14" s="99">
        <f t="shared" si="1"/>
        <v>1.4039999999999999</v>
      </c>
      <c r="AT14" s="99">
        <f t="shared" si="1"/>
        <v>0.34439999999999998</v>
      </c>
      <c r="AU14" s="99">
        <f t="shared" si="1"/>
        <v>0.92600000000000005</v>
      </c>
      <c r="AV14" s="99">
        <f t="shared" si="1"/>
        <v>1.0682</v>
      </c>
      <c r="AW14" s="99">
        <f t="shared" si="1"/>
        <v>0.37359999999999999</v>
      </c>
      <c r="AX14" s="99">
        <f t="shared" si="1"/>
        <v>0</v>
      </c>
      <c r="AY14" s="99">
        <f t="shared" si="1"/>
        <v>0</v>
      </c>
      <c r="AZ14" s="99">
        <f t="shared" si="1"/>
        <v>0</v>
      </c>
      <c r="BA14" s="99">
        <f t="shared" si="1"/>
        <v>0</v>
      </c>
      <c r="BB14" s="99">
        <f t="shared" si="1"/>
        <v>0</v>
      </c>
      <c r="BC14" s="99">
        <f t="shared" si="1"/>
        <v>0</v>
      </c>
      <c r="BD14" s="97"/>
      <c r="BE14" s="1">
        <f>IFERROR(VLOOKUP(AR14,'Top WS'!$A$19:$C$28,3),0)</f>
        <v>400</v>
      </c>
      <c r="BF14" s="1">
        <f>IFERROR(VLOOKUP(AS14,'Top WS'!$A$19:$C$28,3),0)</f>
        <v>520</v>
      </c>
      <c r="BG14" s="1">
        <f>IFERROR(VLOOKUP(AT14,'Top WS'!$A$19:$C$28,3),0)</f>
        <v>400</v>
      </c>
      <c r="BH14" s="1">
        <f>IFERROR(VLOOKUP(AU14,'Top WS'!$A$19:$C$28,3),0)</f>
        <v>400</v>
      </c>
      <c r="BI14" s="1">
        <f>IFERROR(VLOOKUP(AV14,'Top WS'!$A$19:$C$28,3),0)</f>
        <v>440</v>
      </c>
      <c r="BJ14" s="1">
        <f>IFERROR(VLOOKUP(AW14,'Top WS'!$A$19:$C$28,3),0)</f>
        <v>400</v>
      </c>
      <c r="BK14" s="98">
        <f>IFERROR(VLOOKUP(AX14,'Top WS'!$A$19:$C$28,3),0)</f>
        <v>400</v>
      </c>
      <c r="BL14" s="98">
        <f>IFERROR(VLOOKUP(AY14,'Top WS'!$A$19:$C$28,3),0)</f>
        <v>400</v>
      </c>
      <c r="BM14" s="98">
        <f>IFERROR(VLOOKUP(AZ14,'Top WS'!$A$19:$C$28,3),0)</f>
        <v>400</v>
      </c>
      <c r="BN14" s="98">
        <f>IFERROR(VLOOKUP(BA14,'Top WS'!$A$19:$C$28,3),0)</f>
        <v>400</v>
      </c>
      <c r="BO14" s="98">
        <f>IFERROR(VLOOKUP(BB14,'Top WS'!$A$19:$C$28,3),0)</f>
        <v>400</v>
      </c>
      <c r="BP14" s="98">
        <f>IFERROR(VLOOKUP(BC14,'Top WS'!$A$19:$C$28,3),0)</f>
        <v>400</v>
      </c>
      <c r="BQ14" s="1">
        <f t="shared" si="5"/>
        <v>4960</v>
      </c>
    </row>
    <row r="15" spans="1:69" x14ac:dyDescent="0.4">
      <c r="A15">
        <v>1190022101</v>
      </c>
      <c r="B15">
        <f>VLOOKUP(A15,'Aji Plus'!$A$2:$D$58,2,0)</f>
        <v>61276</v>
      </c>
      <c r="C15" t="str">
        <f>VLOOKUP(A15,'Aji Plus'!$A$2:$D$58,3,0)</f>
        <v>นายพงษ์ศักดิ์ เวียงนาค</v>
      </c>
      <c r="D15" t="str">
        <f>VLOOKUP(A15,'Aji Plus'!$A$2:$D$58,4,0)</f>
        <v>Phrae</v>
      </c>
      <c r="E15" s="1">
        <v>181.54034229828844</v>
      </c>
      <c r="F15" s="1">
        <v>154.03422982885078</v>
      </c>
      <c r="G15" s="1">
        <v>468.82640586797038</v>
      </c>
      <c r="H15" s="1">
        <v>200.48899755501219</v>
      </c>
      <c r="I15" s="1">
        <v>173.59413202933979</v>
      </c>
      <c r="J15" s="1">
        <v>608.80195599021965</v>
      </c>
      <c r="K15" s="1">
        <v>179.70660146699259</v>
      </c>
      <c r="L15" s="1">
        <v>433.98533007334947</v>
      </c>
      <c r="M15" s="1">
        <v>172.37163814180917</v>
      </c>
      <c r="N15" s="1">
        <v>273.8386308068458</v>
      </c>
      <c r="O15" s="1">
        <v>210.8801955990219</v>
      </c>
      <c r="P15" s="1">
        <v>191.93154034229812</v>
      </c>
      <c r="R15" s="1">
        <f>VLOOKUP(A15,Actual_RDQ!$A$2:$H$62,3,0)</f>
        <v>419.3279999999998</v>
      </c>
      <c r="S15" s="1">
        <f>VLOOKUP(A15,Actual_RDQ!$A$2:$H$62,4,0)</f>
        <v>161.85600000000005</v>
      </c>
      <c r="T15" s="1">
        <f>VLOOKUP(A15,Actual_RDQ!$A$2:$H$62,5,0)</f>
        <v>252.86400000000003</v>
      </c>
      <c r="U15" s="1">
        <f>VLOOKUP(A15,Actual_RDQ!$A$2:$H$62,6,0)</f>
        <v>210.81600000000006</v>
      </c>
      <c r="V15" s="1">
        <f>VLOOKUP(A15,Actual_RDQ!$A$2:$H$62,7,0)</f>
        <v>204.48</v>
      </c>
      <c r="W15" s="1">
        <f>VLOOKUP(A15,Actual_RDQ!$A$2:$H$62,8,0)</f>
        <v>298.36799999999994</v>
      </c>
      <c r="X15" s="118"/>
      <c r="Y15" s="118"/>
      <c r="Z15" s="118"/>
      <c r="AA15" s="118"/>
      <c r="AB15" s="118"/>
      <c r="AC15" s="118"/>
      <c r="AE15" s="97">
        <f t="shared" si="3"/>
        <v>2.3098336969696969</v>
      </c>
      <c r="AF15" s="97">
        <f t="shared" si="0"/>
        <v>1.0507794285714294</v>
      </c>
      <c r="AG15" s="97">
        <f t="shared" si="0"/>
        <v>0.53935528552803169</v>
      </c>
      <c r="AH15" s="97">
        <f t="shared" si="0"/>
        <v>1.0515090731707322</v>
      </c>
      <c r="AI15" s="97">
        <f t="shared" si="0"/>
        <v>1.1779200000000003</v>
      </c>
      <c r="AJ15" s="97">
        <f t="shared" si="0"/>
        <v>0.49009040963855444</v>
      </c>
      <c r="AK15" s="99">
        <f t="shared" si="0"/>
        <v>0</v>
      </c>
      <c r="AL15" s="99">
        <f t="shared" si="0"/>
        <v>0</v>
      </c>
      <c r="AM15" s="99">
        <f t="shared" si="0"/>
        <v>0</v>
      </c>
      <c r="AN15" s="99">
        <f t="shared" si="0"/>
        <v>0</v>
      </c>
      <c r="AO15" s="99">
        <f t="shared" si="0"/>
        <v>0</v>
      </c>
      <c r="AP15" s="99">
        <f t="shared" si="0"/>
        <v>0</v>
      </c>
      <c r="AQ15" s="97"/>
      <c r="AR15" s="99">
        <f t="shared" si="4"/>
        <v>2.3098000000000001</v>
      </c>
      <c r="AS15" s="99">
        <f t="shared" si="1"/>
        <v>1.0508</v>
      </c>
      <c r="AT15" s="99">
        <f t="shared" si="1"/>
        <v>0.53939999999999999</v>
      </c>
      <c r="AU15" s="99">
        <f t="shared" si="1"/>
        <v>1.0515000000000001</v>
      </c>
      <c r="AV15" s="99">
        <f t="shared" si="1"/>
        <v>1.1778999999999999</v>
      </c>
      <c r="AW15" s="99">
        <f t="shared" si="1"/>
        <v>0.49009999999999998</v>
      </c>
      <c r="AX15" s="99">
        <f t="shared" si="1"/>
        <v>0</v>
      </c>
      <c r="AY15" s="99">
        <f t="shared" si="1"/>
        <v>0</v>
      </c>
      <c r="AZ15" s="99">
        <f t="shared" si="1"/>
        <v>0</v>
      </c>
      <c r="BA15" s="99">
        <f t="shared" si="1"/>
        <v>0</v>
      </c>
      <c r="BB15" s="99">
        <f t="shared" si="1"/>
        <v>0</v>
      </c>
      <c r="BC15" s="99">
        <f t="shared" si="1"/>
        <v>0</v>
      </c>
      <c r="BD15" s="97"/>
      <c r="BE15" s="1">
        <f>IFERROR(VLOOKUP(AR15,'Top WS'!$A$19:$C$28,3),0)</f>
        <v>520</v>
      </c>
      <c r="BF15" s="1">
        <f>IFERROR(VLOOKUP(AS15,'Top WS'!$A$19:$C$28,3),0)</f>
        <v>432</v>
      </c>
      <c r="BG15" s="1">
        <f>IFERROR(VLOOKUP(AT15,'Top WS'!$A$19:$C$28,3),0)</f>
        <v>400</v>
      </c>
      <c r="BH15" s="1">
        <f>IFERROR(VLOOKUP(AU15,'Top WS'!$A$19:$C$28,3),0)</f>
        <v>432</v>
      </c>
      <c r="BI15" s="1">
        <f>IFERROR(VLOOKUP(AV15,'Top WS'!$A$19:$C$28,3),0)</f>
        <v>480</v>
      </c>
      <c r="BJ15" s="1">
        <f>IFERROR(VLOOKUP(AW15,'Top WS'!$A$19:$C$28,3),0)</f>
        <v>400</v>
      </c>
      <c r="BK15" s="98">
        <f>IFERROR(VLOOKUP(AX15,'Top WS'!$A$19:$C$28,3),0)</f>
        <v>400</v>
      </c>
      <c r="BL15" s="98">
        <f>IFERROR(VLOOKUP(AY15,'Top WS'!$A$19:$C$28,3),0)</f>
        <v>400</v>
      </c>
      <c r="BM15" s="98">
        <f>IFERROR(VLOOKUP(AZ15,'Top WS'!$A$19:$C$28,3),0)</f>
        <v>400</v>
      </c>
      <c r="BN15" s="98">
        <f>IFERROR(VLOOKUP(BA15,'Top WS'!$A$19:$C$28,3),0)</f>
        <v>400</v>
      </c>
      <c r="BO15" s="98">
        <f>IFERROR(VLOOKUP(BB15,'Top WS'!$A$19:$C$28,3),0)</f>
        <v>400</v>
      </c>
      <c r="BP15" s="98">
        <f>IFERROR(VLOOKUP(BC15,'Top WS'!$A$19:$C$28,3),0)</f>
        <v>400</v>
      </c>
      <c r="BQ15" s="1">
        <f t="shared" si="5"/>
        <v>5064</v>
      </c>
    </row>
    <row r="16" spans="1:69" x14ac:dyDescent="0.4">
      <c r="A16">
        <v>1190022201</v>
      </c>
      <c r="B16">
        <f>VLOOKUP(A16,'Aji Plus'!$A$2:$D$58,2,0)</f>
        <v>61616</v>
      </c>
      <c r="C16" t="str">
        <f>VLOOKUP(A16,'Aji Plus'!$A$2:$D$58,3,0)</f>
        <v>นายฐิติพงศ์ ก๋าเมืองลือ</v>
      </c>
      <c r="D16" t="str">
        <f>VLOOKUP(A16,'Aji Plus'!$A$2:$D$58,4,0)</f>
        <v>Lampang</v>
      </c>
      <c r="E16" s="1">
        <v>385</v>
      </c>
      <c r="F16" s="1">
        <v>279</v>
      </c>
      <c r="G16" s="1">
        <v>285</v>
      </c>
      <c r="H16" s="1">
        <v>139</v>
      </c>
      <c r="I16" s="1">
        <v>392</v>
      </c>
      <c r="J16" s="1">
        <v>153</v>
      </c>
      <c r="K16" s="1">
        <v>236</v>
      </c>
      <c r="L16" s="1">
        <v>199</v>
      </c>
      <c r="M16" s="1">
        <v>189</v>
      </c>
      <c r="N16" s="1">
        <v>367</v>
      </c>
      <c r="O16" s="1">
        <v>178</v>
      </c>
      <c r="P16" s="1">
        <v>176</v>
      </c>
      <c r="R16" s="1">
        <f>VLOOKUP(A16,Actual_RDQ!$A$2:$H$62,3,0)</f>
        <v>199.29599999999999</v>
      </c>
      <c r="S16" s="1">
        <f>VLOOKUP(A16,Actual_RDQ!$A$2:$H$62,4,0)</f>
        <v>161.28</v>
      </c>
      <c r="T16" s="1">
        <f>VLOOKUP(A16,Actual_RDQ!$A$2:$H$62,5,0)</f>
        <v>285.69600000000003</v>
      </c>
      <c r="U16" s="1">
        <f>VLOOKUP(A16,Actual_RDQ!$A$2:$H$62,6,0)</f>
        <v>233.85599999999988</v>
      </c>
      <c r="V16" s="1">
        <f>VLOOKUP(A16,Actual_RDQ!$A$2:$H$62,7,0)</f>
        <v>296.35199999999992</v>
      </c>
      <c r="W16" s="1">
        <f>VLOOKUP(A16,Actual_RDQ!$A$2:$H$62,8,0)</f>
        <v>255.74399999999991</v>
      </c>
      <c r="X16" s="118"/>
      <c r="Y16" s="118"/>
      <c r="Z16" s="118"/>
      <c r="AA16" s="118"/>
      <c r="AB16" s="118"/>
      <c r="AC16" s="118"/>
      <c r="AE16" s="97">
        <f t="shared" si="3"/>
        <v>0.51765194805194803</v>
      </c>
      <c r="AF16" s="97">
        <f t="shared" si="0"/>
        <v>0.57806451612903231</v>
      </c>
      <c r="AG16" s="97">
        <f t="shared" si="0"/>
        <v>1.002442105263158</v>
      </c>
      <c r="AH16" s="97">
        <f t="shared" si="0"/>
        <v>1.6824172661870496</v>
      </c>
      <c r="AI16" s="97">
        <f t="shared" si="0"/>
        <v>0.75599999999999978</v>
      </c>
      <c r="AJ16" s="97">
        <f t="shared" si="0"/>
        <v>1.6715294117647053</v>
      </c>
      <c r="AK16" s="99">
        <f t="shared" si="0"/>
        <v>0</v>
      </c>
      <c r="AL16" s="99">
        <f t="shared" si="0"/>
        <v>0</v>
      </c>
      <c r="AM16" s="99">
        <f t="shared" si="0"/>
        <v>0</v>
      </c>
      <c r="AN16" s="99">
        <f t="shared" si="0"/>
        <v>0</v>
      </c>
      <c r="AO16" s="99">
        <f t="shared" si="0"/>
        <v>0</v>
      </c>
      <c r="AP16" s="99">
        <f t="shared" si="0"/>
        <v>0</v>
      </c>
      <c r="AQ16" s="97"/>
      <c r="AR16" s="99">
        <f t="shared" si="4"/>
        <v>0.51770000000000005</v>
      </c>
      <c r="AS16" s="99">
        <f t="shared" si="1"/>
        <v>0.57809999999999995</v>
      </c>
      <c r="AT16" s="99">
        <f t="shared" si="1"/>
        <v>1.0024</v>
      </c>
      <c r="AU16" s="99">
        <f t="shared" si="1"/>
        <v>1.6823999999999999</v>
      </c>
      <c r="AV16" s="99">
        <f t="shared" si="1"/>
        <v>0.75600000000000001</v>
      </c>
      <c r="AW16" s="99">
        <f t="shared" si="1"/>
        <v>1.6715</v>
      </c>
      <c r="AX16" s="99">
        <f t="shared" si="1"/>
        <v>0</v>
      </c>
      <c r="AY16" s="99">
        <f t="shared" si="1"/>
        <v>0</v>
      </c>
      <c r="AZ16" s="99">
        <f t="shared" si="1"/>
        <v>0</v>
      </c>
      <c r="BA16" s="99">
        <f t="shared" si="1"/>
        <v>0</v>
      </c>
      <c r="BB16" s="99">
        <f t="shared" si="1"/>
        <v>0</v>
      </c>
      <c r="BC16" s="99">
        <f t="shared" si="1"/>
        <v>0</v>
      </c>
      <c r="BD16" s="97"/>
      <c r="BE16" s="1">
        <f>IFERROR(VLOOKUP(AR16,'Top WS'!$A$19:$C$28,3),0)</f>
        <v>400</v>
      </c>
      <c r="BF16" s="1">
        <f>IFERROR(VLOOKUP(AS16,'Top WS'!$A$19:$C$28,3),0)</f>
        <v>400</v>
      </c>
      <c r="BG16" s="1">
        <f>IFERROR(VLOOKUP(AT16,'Top WS'!$A$19:$C$28,3),0)</f>
        <v>412</v>
      </c>
      <c r="BH16" s="1">
        <f>IFERROR(VLOOKUP(AU16,'Top WS'!$A$19:$C$28,3),0)</f>
        <v>520</v>
      </c>
      <c r="BI16" s="1">
        <f>IFERROR(VLOOKUP(AV16,'Top WS'!$A$19:$C$28,3),0)</f>
        <v>400</v>
      </c>
      <c r="BJ16" s="1">
        <f>IFERROR(VLOOKUP(AW16,'Top WS'!$A$19:$C$28,3),0)</f>
        <v>520</v>
      </c>
      <c r="BK16" s="98">
        <f>IFERROR(VLOOKUP(AX16,'Top WS'!$A$19:$C$28,3),0)</f>
        <v>400</v>
      </c>
      <c r="BL16" s="98">
        <f>IFERROR(VLOOKUP(AY16,'Top WS'!$A$19:$C$28,3),0)</f>
        <v>400</v>
      </c>
      <c r="BM16" s="98">
        <f>IFERROR(VLOOKUP(AZ16,'Top WS'!$A$19:$C$28,3),0)</f>
        <v>400</v>
      </c>
      <c r="BN16" s="98">
        <f>IFERROR(VLOOKUP(BA16,'Top WS'!$A$19:$C$28,3),0)</f>
        <v>400</v>
      </c>
      <c r="BO16" s="98">
        <f>IFERROR(VLOOKUP(BB16,'Top WS'!$A$19:$C$28,3),0)</f>
        <v>400</v>
      </c>
      <c r="BP16" s="98">
        <f>IFERROR(VLOOKUP(BC16,'Top WS'!$A$19:$C$28,3),0)</f>
        <v>400</v>
      </c>
      <c r="BQ16" s="1">
        <f t="shared" si="5"/>
        <v>5052</v>
      </c>
    </row>
    <row r="17" spans="1:69" x14ac:dyDescent="0.4">
      <c r="A17">
        <v>1190022301</v>
      </c>
      <c r="B17">
        <f>VLOOKUP(A17,'Aji Plus'!$A$2:$D$58,2,0)</f>
        <v>64151</v>
      </c>
      <c r="C17" t="str">
        <f>VLOOKUP(A17,'Aji Plus'!$A$2:$D$58,3,0)</f>
        <v>นายยุทธพร แผงไม้</v>
      </c>
      <c r="D17" t="str">
        <f>VLOOKUP(A17,'Aji Plus'!$A$2:$D$58,4,0)</f>
        <v>P.Sanulok</v>
      </c>
      <c r="E17" s="1">
        <v>200</v>
      </c>
      <c r="F17" s="1">
        <v>169</v>
      </c>
      <c r="G17" s="1">
        <v>172</v>
      </c>
      <c r="H17" s="1">
        <v>165</v>
      </c>
      <c r="I17" s="1">
        <v>308</v>
      </c>
      <c r="J17" s="1">
        <v>166</v>
      </c>
      <c r="K17" s="1">
        <v>285</v>
      </c>
      <c r="L17" s="1">
        <v>150</v>
      </c>
      <c r="M17" s="1">
        <v>184</v>
      </c>
      <c r="N17" s="1">
        <v>210</v>
      </c>
      <c r="O17" s="1">
        <v>175</v>
      </c>
      <c r="P17" s="1">
        <v>287</v>
      </c>
      <c r="R17" s="1">
        <f>VLOOKUP(A17,Actual_RDQ!$A$2:$H$62,3,0)</f>
        <v>203.32799999999997</v>
      </c>
      <c r="S17" s="1">
        <f>VLOOKUP(A17,Actual_RDQ!$A$2:$H$62,4,0)</f>
        <v>152.06399999999999</v>
      </c>
      <c r="T17" s="1">
        <f>VLOOKUP(A17,Actual_RDQ!$A$2:$H$62,5,0)</f>
        <v>142.55999999999997</v>
      </c>
      <c r="U17" s="1">
        <f>VLOOKUP(A17,Actual_RDQ!$A$2:$H$62,6,0)</f>
        <v>232.41599999999994</v>
      </c>
      <c r="V17" s="1">
        <f>VLOOKUP(A17,Actual_RDQ!$A$2:$H$62,7,0)</f>
        <v>381.88799999999981</v>
      </c>
      <c r="W17" s="1">
        <f>VLOOKUP(A17,Actual_RDQ!$A$2:$H$62,8,0)</f>
        <v>112.32000000000002</v>
      </c>
      <c r="X17" s="118"/>
      <c r="Y17" s="118"/>
      <c r="Z17" s="118"/>
      <c r="AA17" s="118"/>
      <c r="AB17" s="118"/>
      <c r="AC17" s="118"/>
      <c r="AE17" s="97">
        <f t="shared" si="3"/>
        <v>1.0166399999999998</v>
      </c>
      <c r="AF17" s="97">
        <f t="shared" si="0"/>
        <v>0.89978698224852072</v>
      </c>
      <c r="AG17" s="97">
        <f t="shared" si="0"/>
        <v>0.82883720930232541</v>
      </c>
      <c r="AH17" s="97">
        <f t="shared" si="0"/>
        <v>1.4085818181818177</v>
      </c>
      <c r="AI17" s="97">
        <f t="shared" si="0"/>
        <v>1.2398961038961032</v>
      </c>
      <c r="AJ17" s="97">
        <f t="shared" si="0"/>
        <v>0.67662650602409646</v>
      </c>
      <c r="AK17" s="99">
        <f t="shared" si="0"/>
        <v>0</v>
      </c>
      <c r="AL17" s="99">
        <f t="shared" si="0"/>
        <v>0</v>
      </c>
      <c r="AM17" s="99">
        <f t="shared" si="0"/>
        <v>0</v>
      </c>
      <c r="AN17" s="99">
        <f t="shared" si="0"/>
        <v>0</v>
      </c>
      <c r="AO17" s="99">
        <f t="shared" si="0"/>
        <v>0</v>
      </c>
      <c r="AP17" s="99">
        <f t="shared" si="0"/>
        <v>0</v>
      </c>
      <c r="AQ17" s="97"/>
      <c r="AR17" s="99">
        <f t="shared" si="4"/>
        <v>1.0165999999999999</v>
      </c>
      <c r="AS17" s="99">
        <f t="shared" si="1"/>
        <v>0.89980000000000004</v>
      </c>
      <c r="AT17" s="99">
        <f t="shared" si="1"/>
        <v>0.82879999999999998</v>
      </c>
      <c r="AU17" s="99">
        <f t="shared" si="1"/>
        <v>1.4086000000000001</v>
      </c>
      <c r="AV17" s="99">
        <f t="shared" si="1"/>
        <v>1.2399</v>
      </c>
      <c r="AW17" s="99">
        <f t="shared" si="1"/>
        <v>0.67659999999999998</v>
      </c>
      <c r="AX17" s="99">
        <f t="shared" si="1"/>
        <v>0</v>
      </c>
      <c r="AY17" s="99">
        <f t="shared" si="1"/>
        <v>0</v>
      </c>
      <c r="AZ17" s="99">
        <f t="shared" si="1"/>
        <v>0</v>
      </c>
      <c r="BA17" s="99">
        <f t="shared" si="1"/>
        <v>0</v>
      </c>
      <c r="BB17" s="99">
        <f t="shared" si="1"/>
        <v>0</v>
      </c>
      <c r="BC17" s="99">
        <f t="shared" si="1"/>
        <v>0</v>
      </c>
      <c r="BD17" s="97"/>
      <c r="BE17" s="1">
        <f>IFERROR(VLOOKUP(AR17,'Top WS'!$A$19:$C$28,3),0)</f>
        <v>412</v>
      </c>
      <c r="BF17" s="1">
        <f>IFERROR(VLOOKUP(AS17,'Top WS'!$A$19:$C$28,3),0)</f>
        <v>400</v>
      </c>
      <c r="BG17" s="1">
        <f>IFERROR(VLOOKUP(AT17,'Top WS'!$A$19:$C$28,3),0)</f>
        <v>400</v>
      </c>
      <c r="BH17" s="1">
        <f>IFERROR(VLOOKUP(AU17,'Top WS'!$A$19:$C$28,3),0)</f>
        <v>520</v>
      </c>
      <c r="BI17" s="1">
        <f>IFERROR(VLOOKUP(AV17,'Top WS'!$A$19:$C$28,3),0)</f>
        <v>520</v>
      </c>
      <c r="BJ17" s="1">
        <f>IFERROR(VLOOKUP(AW17,'Top WS'!$A$19:$C$28,3),0)</f>
        <v>400</v>
      </c>
      <c r="BK17" s="98">
        <f>IFERROR(VLOOKUP(AX17,'Top WS'!$A$19:$C$28,3),0)</f>
        <v>400</v>
      </c>
      <c r="BL17" s="98">
        <f>IFERROR(VLOOKUP(AY17,'Top WS'!$A$19:$C$28,3),0)</f>
        <v>400</v>
      </c>
      <c r="BM17" s="98">
        <f>IFERROR(VLOOKUP(AZ17,'Top WS'!$A$19:$C$28,3),0)</f>
        <v>400</v>
      </c>
      <c r="BN17" s="98">
        <f>IFERROR(VLOOKUP(BA17,'Top WS'!$A$19:$C$28,3),0)</f>
        <v>400</v>
      </c>
      <c r="BO17" s="98">
        <f>IFERROR(VLOOKUP(BB17,'Top WS'!$A$19:$C$28,3),0)</f>
        <v>400</v>
      </c>
      <c r="BP17" s="98">
        <f>IFERROR(VLOOKUP(BC17,'Top WS'!$A$19:$C$28,3),0)</f>
        <v>400</v>
      </c>
      <c r="BQ17" s="1">
        <f t="shared" si="5"/>
        <v>5052</v>
      </c>
    </row>
    <row r="18" spans="1:69" x14ac:dyDescent="0.4">
      <c r="A18">
        <v>1190022302</v>
      </c>
      <c r="B18">
        <f>VLOOKUP(A18,'Aji Plus'!$A$2:$D$58,2,0)</f>
        <v>65589</v>
      </c>
      <c r="C18" t="str">
        <f>VLOOKUP(A18,'Aji Plus'!$A$2:$D$58,3,0)</f>
        <v>นายไกรสร อิ่มเพ็ง</v>
      </c>
      <c r="D18" t="str">
        <f>VLOOKUP(A18,'Aji Plus'!$A$2:$D$58,4,0)</f>
        <v>P.Sanulok</v>
      </c>
      <c r="E18" s="1">
        <v>235</v>
      </c>
      <c r="F18" s="1">
        <v>199</v>
      </c>
      <c r="G18" s="1">
        <v>202</v>
      </c>
      <c r="H18" s="1">
        <v>194</v>
      </c>
      <c r="I18" s="1">
        <v>363</v>
      </c>
      <c r="J18" s="1">
        <v>195</v>
      </c>
      <c r="K18" s="1">
        <v>200</v>
      </c>
      <c r="L18" s="1">
        <v>177</v>
      </c>
      <c r="M18" s="1">
        <v>261</v>
      </c>
      <c r="N18" s="1">
        <v>247</v>
      </c>
      <c r="O18" s="1">
        <v>206</v>
      </c>
      <c r="P18" s="1">
        <v>217</v>
      </c>
      <c r="R18" s="1">
        <f>VLOOKUP(A18,Actual_RDQ!$A$2:$H$62,3,0)</f>
        <v>36.864000000000004</v>
      </c>
      <c r="S18" s="1">
        <f>VLOOKUP(A18,Actual_RDQ!$A$2:$H$62,4,0)</f>
        <v>357.12000000000006</v>
      </c>
      <c r="T18" s="1">
        <f>VLOOKUP(A18,Actual_RDQ!$A$2:$H$62,5,0)</f>
        <v>292.03199999999998</v>
      </c>
      <c r="U18" s="1">
        <f>VLOOKUP(A18,Actual_RDQ!$A$2:$H$62,6,0)</f>
        <v>124.992</v>
      </c>
      <c r="V18" s="1">
        <f>VLOOKUP(A18,Actual_RDQ!$A$2:$H$62,7,0)</f>
        <v>150.91200000000003</v>
      </c>
      <c r="W18" s="1">
        <f>VLOOKUP(A18,Actual_RDQ!$A$2:$H$62,8,0)</f>
        <v>310.46399999999983</v>
      </c>
      <c r="X18" s="118"/>
      <c r="Y18" s="118"/>
      <c r="Z18" s="118"/>
      <c r="AA18" s="118"/>
      <c r="AB18" s="118"/>
      <c r="AC18" s="118"/>
      <c r="AE18" s="97">
        <f t="shared" si="3"/>
        <v>0.156868085106383</v>
      </c>
      <c r="AF18" s="97">
        <f t="shared" si="3"/>
        <v>1.7945728643216083</v>
      </c>
      <c r="AG18" s="97">
        <f t="shared" si="3"/>
        <v>1.4457029702970297</v>
      </c>
      <c r="AH18" s="97">
        <f t="shared" si="3"/>
        <v>0.64428865979381444</v>
      </c>
      <c r="AI18" s="97">
        <f t="shared" si="3"/>
        <v>0.41573553719008272</v>
      </c>
      <c r="AJ18" s="97">
        <f t="shared" si="3"/>
        <v>1.5921230769230761</v>
      </c>
      <c r="AK18" s="99">
        <f t="shared" si="3"/>
        <v>0</v>
      </c>
      <c r="AL18" s="99">
        <f t="shared" si="3"/>
        <v>0</v>
      </c>
      <c r="AM18" s="99">
        <f t="shared" si="3"/>
        <v>0</v>
      </c>
      <c r="AN18" s="99">
        <f t="shared" si="3"/>
        <v>0</v>
      </c>
      <c r="AO18" s="99">
        <f t="shared" si="3"/>
        <v>0</v>
      </c>
      <c r="AP18" s="99">
        <f t="shared" si="3"/>
        <v>0</v>
      </c>
      <c r="AQ18" s="97"/>
      <c r="AR18" s="99">
        <f t="shared" si="4"/>
        <v>0.15690000000000001</v>
      </c>
      <c r="AS18" s="99">
        <f t="shared" si="4"/>
        <v>1.7946</v>
      </c>
      <c r="AT18" s="99">
        <f t="shared" si="4"/>
        <v>1.4457</v>
      </c>
      <c r="AU18" s="99">
        <f t="shared" si="4"/>
        <v>0.64429999999999998</v>
      </c>
      <c r="AV18" s="99">
        <f t="shared" si="4"/>
        <v>0.41570000000000001</v>
      </c>
      <c r="AW18" s="99">
        <f t="shared" si="4"/>
        <v>1.5921000000000001</v>
      </c>
      <c r="AX18" s="99">
        <f t="shared" si="4"/>
        <v>0</v>
      </c>
      <c r="AY18" s="99">
        <f t="shared" si="4"/>
        <v>0</v>
      </c>
      <c r="AZ18" s="99">
        <f t="shared" si="4"/>
        <v>0</v>
      </c>
      <c r="BA18" s="99">
        <f t="shared" si="4"/>
        <v>0</v>
      </c>
      <c r="BB18" s="99">
        <f t="shared" si="4"/>
        <v>0</v>
      </c>
      <c r="BC18" s="99">
        <f t="shared" si="4"/>
        <v>0</v>
      </c>
      <c r="BD18" s="97"/>
      <c r="BE18" s="1">
        <f>IFERROR(VLOOKUP(AR18,'Top WS'!$A$19:$C$28,3),0)</f>
        <v>400</v>
      </c>
      <c r="BF18" s="1">
        <f>IFERROR(VLOOKUP(AS18,'Top WS'!$A$19:$C$28,3),0)</f>
        <v>520</v>
      </c>
      <c r="BG18" s="1">
        <f>IFERROR(VLOOKUP(AT18,'Top WS'!$A$19:$C$28,3),0)</f>
        <v>520</v>
      </c>
      <c r="BH18" s="1">
        <f>IFERROR(VLOOKUP(AU18,'Top WS'!$A$19:$C$28,3),0)</f>
        <v>400</v>
      </c>
      <c r="BI18" s="1">
        <f>IFERROR(VLOOKUP(AV18,'Top WS'!$A$19:$C$28,3),0)</f>
        <v>400</v>
      </c>
      <c r="BJ18" s="1">
        <f>IFERROR(VLOOKUP(AW18,'Top WS'!$A$19:$C$28,3),0)</f>
        <v>520</v>
      </c>
      <c r="BK18" s="98">
        <f>IFERROR(VLOOKUP(AX18,'Top WS'!$A$19:$C$28,3),0)</f>
        <v>400</v>
      </c>
      <c r="BL18" s="98">
        <f>IFERROR(VLOOKUP(AY18,'Top WS'!$A$19:$C$28,3),0)</f>
        <v>400</v>
      </c>
      <c r="BM18" s="98">
        <f>IFERROR(VLOOKUP(AZ18,'Top WS'!$A$19:$C$28,3),0)</f>
        <v>400</v>
      </c>
      <c r="BN18" s="98">
        <f>IFERROR(VLOOKUP(BA18,'Top WS'!$A$19:$C$28,3),0)</f>
        <v>400</v>
      </c>
      <c r="BO18" s="98">
        <f>IFERROR(VLOOKUP(BB18,'Top WS'!$A$19:$C$28,3),0)</f>
        <v>400</v>
      </c>
      <c r="BP18" s="98">
        <f>IFERROR(VLOOKUP(BC18,'Top WS'!$A$19:$C$28,3),0)</f>
        <v>400</v>
      </c>
      <c r="BQ18" s="1">
        <f t="shared" si="5"/>
        <v>5160</v>
      </c>
    </row>
    <row r="19" spans="1:69" x14ac:dyDescent="0.4">
      <c r="A19">
        <v>1190022401</v>
      </c>
      <c r="B19">
        <f>VLOOKUP(A19,'Aji Plus'!$A$2:$D$58,2,0)</f>
        <v>75673</v>
      </c>
      <c r="C19" t="str">
        <f>VLOOKUP(A19,'Aji Plus'!$A$2:$D$58,3,0)</f>
        <v>นายพิเชษฐ เพชรสันทัด</v>
      </c>
      <c r="D19" t="str">
        <f>VLOOKUP(A19,'Aji Plus'!$A$2:$D$58,4,0)</f>
        <v>N.Sawan</v>
      </c>
      <c r="E19" s="1">
        <v>152.5010241900132</v>
      </c>
      <c r="F19" s="1">
        <v>129.44245008568123</v>
      </c>
      <c r="G19" s="1">
        <v>131.22424899374329</v>
      </c>
      <c r="H19" s="1">
        <v>125.94872673654002</v>
      </c>
      <c r="I19" s="1">
        <v>235.6167026660822</v>
      </c>
      <c r="J19" s="1">
        <v>126.61253417287685</v>
      </c>
      <c r="K19" s="1">
        <v>217.79871358546208</v>
      </c>
      <c r="L19" s="1">
        <v>114.62906308532257</v>
      </c>
      <c r="M19" s="1">
        <v>237.15394093970428</v>
      </c>
      <c r="N19" s="1">
        <v>160.50165065954647</v>
      </c>
      <c r="O19" s="1">
        <v>133.5650436376678</v>
      </c>
      <c r="P19" s="1">
        <v>140.83198820388154</v>
      </c>
      <c r="R19" s="1">
        <f>VLOOKUP(A19,Actual_RDQ!$A$2:$H$62,3,0)</f>
        <v>124.41600000000001</v>
      </c>
      <c r="S19" s="1">
        <f>VLOOKUP(A19,Actual_RDQ!$A$2:$H$62,4,0)</f>
        <v>83.52</v>
      </c>
      <c r="T19" s="1">
        <f>VLOOKUP(A19,Actual_RDQ!$A$2:$H$62,5,0)</f>
        <v>182.01600000000005</v>
      </c>
      <c r="U19" s="1">
        <f>VLOOKUP(A19,Actual_RDQ!$A$2:$H$62,6,0)</f>
        <v>138.816</v>
      </c>
      <c r="V19" s="1">
        <f>VLOOKUP(A19,Actual_RDQ!$A$2:$H$62,7,0)</f>
        <v>206.20800000000003</v>
      </c>
      <c r="W19" s="1">
        <f>VLOOKUP(A19,Actual_RDQ!$A$2:$H$62,8,0)</f>
        <v>286.84800000000001</v>
      </c>
      <c r="X19" s="118"/>
      <c r="Y19" s="118"/>
      <c r="Z19" s="118"/>
      <c r="AA19" s="118"/>
      <c r="AB19" s="118"/>
      <c r="AC19" s="118"/>
      <c r="AE19" s="97">
        <f t="shared" si="3"/>
        <v>0.81583714378849148</v>
      </c>
      <c r="AF19" s="97">
        <f t="shared" si="3"/>
        <v>0.64522882520159341</v>
      </c>
      <c r="AG19" s="97">
        <f t="shared" si="3"/>
        <v>1.3870607101640071</v>
      </c>
      <c r="AH19" s="97">
        <f t="shared" si="3"/>
        <v>1.1021627895482879</v>
      </c>
      <c r="AI19" s="97">
        <f t="shared" si="3"/>
        <v>0.87518413451460431</v>
      </c>
      <c r="AJ19" s="97">
        <f t="shared" si="3"/>
        <v>2.2655576864794251</v>
      </c>
      <c r="AK19" s="99">
        <f t="shared" si="3"/>
        <v>0</v>
      </c>
      <c r="AL19" s="99">
        <f t="shared" si="3"/>
        <v>0</v>
      </c>
      <c r="AM19" s="99">
        <f t="shared" si="3"/>
        <v>0</v>
      </c>
      <c r="AN19" s="99">
        <f t="shared" si="3"/>
        <v>0</v>
      </c>
      <c r="AO19" s="99">
        <f t="shared" si="3"/>
        <v>0</v>
      </c>
      <c r="AP19" s="99">
        <f t="shared" si="3"/>
        <v>0</v>
      </c>
      <c r="AQ19" s="97"/>
      <c r="AR19" s="99">
        <f t="shared" si="4"/>
        <v>0.81579999999999997</v>
      </c>
      <c r="AS19" s="99">
        <f t="shared" si="4"/>
        <v>0.6452</v>
      </c>
      <c r="AT19" s="99">
        <f t="shared" si="4"/>
        <v>1.3871</v>
      </c>
      <c r="AU19" s="99">
        <f t="shared" si="4"/>
        <v>1.1022000000000001</v>
      </c>
      <c r="AV19" s="99">
        <f t="shared" si="4"/>
        <v>0.87519999999999998</v>
      </c>
      <c r="AW19" s="99">
        <f t="shared" si="4"/>
        <v>2.2656000000000001</v>
      </c>
      <c r="AX19" s="99">
        <f t="shared" si="4"/>
        <v>0</v>
      </c>
      <c r="AY19" s="99">
        <f t="shared" si="4"/>
        <v>0</v>
      </c>
      <c r="AZ19" s="99">
        <f t="shared" si="4"/>
        <v>0</v>
      </c>
      <c r="BA19" s="99">
        <f t="shared" si="4"/>
        <v>0</v>
      </c>
      <c r="BB19" s="99">
        <f t="shared" si="4"/>
        <v>0</v>
      </c>
      <c r="BC19" s="99">
        <f t="shared" si="4"/>
        <v>0</v>
      </c>
      <c r="BD19" s="97"/>
      <c r="BE19" s="1">
        <f>IFERROR(VLOOKUP(AR19,'Top WS'!$A$19:$C$28,3),0)</f>
        <v>400</v>
      </c>
      <c r="BF19" s="1">
        <f>IFERROR(VLOOKUP(AS19,'Top WS'!$A$19:$C$28,3),0)</f>
        <v>400</v>
      </c>
      <c r="BG19" s="1">
        <f>IFERROR(VLOOKUP(AT19,'Top WS'!$A$19:$C$28,3),0)</f>
        <v>520</v>
      </c>
      <c r="BH19" s="1">
        <f>IFERROR(VLOOKUP(AU19,'Top WS'!$A$19:$C$28,3),0)</f>
        <v>460</v>
      </c>
      <c r="BI19" s="1">
        <f>IFERROR(VLOOKUP(AV19,'Top WS'!$A$19:$C$28,3),0)</f>
        <v>400</v>
      </c>
      <c r="BJ19" s="1">
        <f>IFERROR(VLOOKUP(AW19,'Top WS'!$A$19:$C$28,3),0)</f>
        <v>520</v>
      </c>
      <c r="BK19" s="98">
        <f>IFERROR(VLOOKUP(AX19,'Top WS'!$A$19:$C$28,3),0)</f>
        <v>400</v>
      </c>
      <c r="BL19" s="98">
        <f>IFERROR(VLOOKUP(AY19,'Top WS'!$A$19:$C$28,3),0)</f>
        <v>400</v>
      </c>
      <c r="BM19" s="98">
        <f>IFERROR(VLOOKUP(AZ19,'Top WS'!$A$19:$C$28,3),0)</f>
        <v>400</v>
      </c>
      <c r="BN19" s="98">
        <f>IFERROR(VLOOKUP(BA19,'Top WS'!$A$19:$C$28,3),0)</f>
        <v>400</v>
      </c>
      <c r="BO19" s="98">
        <f>IFERROR(VLOOKUP(BB19,'Top WS'!$A$19:$C$28,3),0)</f>
        <v>400</v>
      </c>
      <c r="BP19" s="98">
        <f>IFERROR(VLOOKUP(BC19,'Top WS'!$A$19:$C$28,3),0)</f>
        <v>400</v>
      </c>
      <c r="BQ19" s="1">
        <f t="shared" si="5"/>
        <v>5100</v>
      </c>
    </row>
    <row r="20" spans="1:69" x14ac:dyDescent="0.4">
      <c r="A20">
        <v>1190022402</v>
      </c>
      <c r="B20">
        <f>VLOOKUP(A20,'Aji Plus'!$A$2:$D$58,2,0)</f>
        <v>63074</v>
      </c>
      <c r="C20" t="str">
        <f>VLOOKUP(A20,'Aji Plus'!$A$2:$D$58,3,0)</f>
        <v>นายวีรยุทธ ตันพงษ์</v>
      </c>
      <c r="D20" t="str">
        <f>VLOOKUP(A20,'Aji Plus'!$A$2:$D$58,4,0)</f>
        <v>N.Sawan</v>
      </c>
      <c r="E20" s="1">
        <v>95.555804407603759</v>
      </c>
      <c r="F20" s="1">
        <v>81.107504084804518</v>
      </c>
      <c r="G20" s="1">
        <v>82.223963655202667</v>
      </c>
      <c r="H20" s="1">
        <v>78.91836767225918</v>
      </c>
      <c r="I20" s="1">
        <v>147.6353596620572</v>
      </c>
      <c r="J20" s="1">
        <v>79.33430359064279</v>
      </c>
      <c r="K20" s="1">
        <v>136.47076395807596</v>
      </c>
      <c r="L20" s="1">
        <v>71.825565695612312</v>
      </c>
      <c r="M20" s="1">
        <v>148.5985796835771</v>
      </c>
      <c r="N20" s="1">
        <v>100.56892679233253</v>
      </c>
      <c r="O20" s="1">
        <v>83.690685051607986</v>
      </c>
      <c r="P20" s="1">
        <v>88.244088789702303</v>
      </c>
      <c r="R20" s="1">
        <f>VLOOKUP(A20,Actual_RDQ!$A$2:$H$62,3,0)</f>
        <v>124.41600000000001</v>
      </c>
      <c r="S20" s="1">
        <f>VLOOKUP(A20,Actual_RDQ!$A$2:$H$62,4,0)</f>
        <v>84.095999999999989</v>
      </c>
      <c r="T20" s="1">
        <f>VLOOKUP(A20,Actual_RDQ!$A$2:$H$62,5,0)</f>
        <v>31.68</v>
      </c>
      <c r="U20" s="1">
        <f>VLOOKUP(A20,Actual_RDQ!$A$2:$H$62,6,0)</f>
        <v>103.68</v>
      </c>
      <c r="V20" s="1">
        <f>VLOOKUP(A20,Actual_RDQ!$A$2:$H$62,7,0)</f>
        <v>47.231999999999999</v>
      </c>
      <c r="W20" s="1">
        <f>VLOOKUP(A20,Actual_RDQ!$A$2:$H$62,8,0)</f>
        <v>81.215999999999994</v>
      </c>
      <c r="X20" s="118"/>
      <c r="Y20" s="118"/>
      <c r="Z20" s="118"/>
      <c r="AA20" s="118"/>
      <c r="AB20" s="118"/>
      <c r="AC20" s="118"/>
      <c r="AE20" s="97">
        <f t="shared" si="3"/>
        <v>1.3020245161590596</v>
      </c>
      <c r="AF20" s="97">
        <f t="shared" si="3"/>
        <v>1.0368461087406999</v>
      </c>
      <c r="AG20" s="97">
        <f t="shared" si="3"/>
        <v>0.38528913703122691</v>
      </c>
      <c r="AH20" s="97">
        <f t="shared" si="3"/>
        <v>1.3137626012561947</v>
      </c>
      <c r="AI20" s="97">
        <f t="shared" si="3"/>
        <v>0.31992335784676379</v>
      </c>
      <c r="AJ20" s="97">
        <f t="shared" si="3"/>
        <v>1.0237185722215016</v>
      </c>
      <c r="AK20" s="99">
        <f t="shared" si="3"/>
        <v>0</v>
      </c>
      <c r="AL20" s="99">
        <f t="shared" si="3"/>
        <v>0</v>
      </c>
      <c r="AM20" s="99">
        <f t="shared" si="3"/>
        <v>0</v>
      </c>
      <c r="AN20" s="99">
        <f t="shared" si="3"/>
        <v>0</v>
      </c>
      <c r="AO20" s="99">
        <f t="shared" si="3"/>
        <v>0</v>
      </c>
      <c r="AP20" s="99">
        <f t="shared" si="3"/>
        <v>0</v>
      </c>
      <c r="AQ20" s="97"/>
      <c r="AR20" s="99">
        <f t="shared" si="4"/>
        <v>1.302</v>
      </c>
      <c r="AS20" s="99">
        <f t="shared" si="4"/>
        <v>1.0367999999999999</v>
      </c>
      <c r="AT20" s="99">
        <f t="shared" si="4"/>
        <v>0.38529999999999998</v>
      </c>
      <c r="AU20" s="99">
        <f t="shared" si="4"/>
        <v>1.3138000000000001</v>
      </c>
      <c r="AV20" s="99">
        <f t="shared" si="4"/>
        <v>0.31990000000000002</v>
      </c>
      <c r="AW20" s="99">
        <f t="shared" si="4"/>
        <v>1.0237000000000001</v>
      </c>
      <c r="AX20" s="99">
        <f t="shared" si="4"/>
        <v>0</v>
      </c>
      <c r="AY20" s="99">
        <f t="shared" si="4"/>
        <v>0</v>
      </c>
      <c r="AZ20" s="99">
        <f t="shared" si="4"/>
        <v>0</v>
      </c>
      <c r="BA20" s="99">
        <f t="shared" si="4"/>
        <v>0</v>
      </c>
      <c r="BB20" s="99">
        <f t="shared" si="4"/>
        <v>0</v>
      </c>
      <c r="BC20" s="99">
        <f t="shared" si="4"/>
        <v>0</v>
      </c>
      <c r="BD20" s="97"/>
      <c r="BE20" s="1">
        <f>IFERROR(VLOOKUP(AR20,'Top WS'!$A$19:$C$28,3),0)</f>
        <v>520</v>
      </c>
      <c r="BF20" s="1">
        <f>IFERROR(VLOOKUP(AS20,'Top WS'!$A$19:$C$28,3),0)</f>
        <v>432</v>
      </c>
      <c r="BG20" s="1">
        <f>IFERROR(VLOOKUP(AT20,'Top WS'!$A$19:$C$28,3),0)</f>
        <v>400</v>
      </c>
      <c r="BH20" s="1">
        <f>IFERROR(VLOOKUP(AU20,'Top WS'!$A$19:$C$28,3),0)</f>
        <v>520</v>
      </c>
      <c r="BI20" s="1">
        <f>IFERROR(VLOOKUP(AV20,'Top WS'!$A$19:$C$28,3),0)</f>
        <v>400</v>
      </c>
      <c r="BJ20" s="1">
        <f>IFERROR(VLOOKUP(AW20,'Top WS'!$A$19:$C$28,3),0)</f>
        <v>412</v>
      </c>
      <c r="BK20" s="98">
        <f>IFERROR(VLOOKUP(AX20,'Top WS'!$A$19:$C$28,3),0)</f>
        <v>400</v>
      </c>
      <c r="BL20" s="98">
        <f>IFERROR(VLOOKUP(AY20,'Top WS'!$A$19:$C$28,3),0)</f>
        <v>400</v>
      </c>
      <c r="BM20" s="98">
        <f>IFERROR(VLOOKUP(AZ20,'Top WS'!$A$19:$C$28,3),0)</f>
        <v>400</v>
      </c>
      <c r="BN20" s="98">
        <f>IFERROR(VLOOKUP(BA20,'Top WS'!$A$19:$C$28,3),0)</f>
        <v>400</v>
      </c>
      <c r="BO20" s="98">
        <f>IFERROR(VLOOKUP(BB20,'Top WS'!$A$19:$C$28,3),0)</f>
        <v>400</v>
      </c>
      <c r="BP20" s="98">
        <f>IFERROR(VLOOKUP(BC20,'Top WS'!$A$19:$C$28,3),0)</f>
        <v>400</v>
      </c>
      <c r="BQ20" s="1">
        <f t="shared" si="5"/>
        <v>5084</v>
      </c>
    </row>
    <row r="21" spans="1:69" x14ac:dyDescent="0.4">
      <c r="A21">
        <v>1190022510</v>
      </c>
      <c r="B21">
        <f>VLOOKUP(A21,'Aji Plus'!$A$2:$D$58,2,0)</f>
        <v>60961</v>
      </c>
      <c r="C21" t="str">
        <f>VLOOKUP(A21,'Aji Plus'!$A$2:$D$58,3,0)</f>
        <v>นายสิงหา แสนโดด</v>
      </c>
      <c r="D21" t="str">
        <f>VLOOKUP(A21,'Aji Plus'!$A$2:$D$58,4,0)</f>
        <v>Kampeng.P</v>
      </c>
      <c r="E21" s="1">
        <v>164.83776351970673</v>
      </c>
      <c r="F21" s="1">
        <v>200</v>
      </c>
      <c r="G21" s="1">
        <v>200</v>
      </c>
      <c r="H21" s="1">
        <v>200</v>
      </c>
      <c r="I21" s="1">
        <v>254.67717690192487</v>
      </c>
      <c r="J21" s="1">
        <v>200</v>
      </c>
      <c r="K21" s="1">
        <v>235.41778185151236</v>
      </c>
      <c r="L21" s="1">
        <v>200</v>
      </c>
      <c r="M21" s="1">
        <v>238</v>
      </c>
      <c r="N21" s="1">
        <v>200</v>
      </c>
      <c r="O21" s="1">
        <v>144.36993583868002</v>
      </c>
      <c r="P21" s="1">
        <v>152.22474793767182</v>
      </c>
      <c r="R21" s="1">
        <f>VLOOKUP(A21,Actual_RDQ!$A$2:$H$62,3,0)</f>
        <v>157.82400000000001</v>
      </c>
      <c r="S21" s="1">
        <f>VLOOKUP(A21,Actual_RDQ!$A$2:$H$62,4,0)</f>
        <v>88.703999999999994</v>
      </c>
      <c r="T21" s="1">
        <f>VLOOKUP(A21,Actual_RDQ!$A$2:$H$62,5,0)</f>
        <v>206.208</v>
      </c>
      <c r="U21" s="1">
        <f>VLOOKUP(A21,Actual_RDQ!$A$2:$H$62,6,0)</f>
        <v>125.568</v>
      </c>
      <c r="V21" s="1">
        <f>VLOOKUP(A21,Actual_RDQ!$A$2:$H$62,7,0)</f>
        <v>188.92799999999994</v>
      </c>
      <c r="W21" s="1">
        <f>VLOOKUP(A21,Actual_RDQ!$A$2:$H$62,8,0)</f>
        <v>207.35999999999999</v>
      </c>
      <c r="X21" s="118"/>
      <c r="Y21" s="118"/>
      <c r="Z21" s="118"/>
      <c r="AA21" s="118"/>
      <c r="AB21" s="118"/>
      <c r="AC21" s="118"/>
      <c r="AE21" s="97">
        <f t="shared" si="3"/>
        <v>0.95745050545490928</v>
      </c>
      <c r="AF21" s="97">
        <f t="shared" si="3"/>
        <v>0.44351999999999997</v>
      </c>
      <c r="AG21" s="97">
        <f t="shared" si="3"/>
        <v>1.03104</v>
      </c>
      <c r="AH21" s="97">
        <f t="shared" si="3"/>
        <v>0.62783999999999995</v>
      </c>
      <c r="AI21" s="97">
        <f t="shared" si="3"/>
        <v>0.74183325847355119</v>
      </c>
      <c r="AJ21" s="97">
        <f t="shared" si="3"/>
        <v>1.0367999999999999</v>
      </c>
      <c r="AK21" s="99">
        <f t="shared" si="3"/>
        <v>0</v>
      </c>
      <c r="AL21" s="99">
        <f t="shared" si="3"/>
        <v>0</v>
      </c>
      <c r="AM21" s="99">
        <f t="shared" si="3"/>
        <v>0</v>
      </c>
      <c r="AN21" s="99">
        <f t="shared" si="3"/>
        <v>0</v>
      </c>
      <c r="AO21" s="99">
        <f t="shared" si="3"/>
        <v>0</v>
      </c>
      <c r="AP21" s="99">
        <f t="shared" si="3"/>
        <v>0</v>
      </c>
      <c r="AQ21" s="97"/>
      <c r="AR21" s="99">
        <f t="shared" si="4"/>
        <v>0.95750000000000002</v>
      </c>
      <c r="AS21" s="99">
        <f t="shared" si="4"/>
        <v>0.44350000000000001</v>
      </c>
      <c r="AT21" s="99">
        <f t="shared" si="4"/>
        <v>1.0309999999999999</v>
      </c>
      <c r="AU21" s="99">
        <f t="shared" si="4"/>
        <v>0.62780000000000002</v>
      </c>
      <c r="AV21" s="99">
        <f t="shared" si="4"/>
        <v>0.74180000000000001</v>
      </c>
      <c r="AW21" s="99">
        <f t="shared" si="4"/>
        <v>1.0367999999999999</v>
      </c>
      <c r="AX21" s="99">
        <f t="shared" si="4"/>
        <v>0</v>
      </c>
      <c r="AY21" s="99">
        <f t="shared" si="4"/>
        <v>0</v>
      </c>
      <c r="AZ21" s="99">
        <f t="shared" si="4"/>
        <v>0</v>
      </c>
      <c r="BA21" s="99">
        <f t="shared" si="4"/>
        <v>0</v>
      </c>
      <c r="BB21" s="99">
        <f t="shared" si="4"/>
        <v>0</v>
      </c>
      <c r="BC21" s="99">
        <f t="shared" si="4"/>
        <v>0</v>
      </c>
      <c r="BD21" s="97"/>
      <c r="BE21" s="1">
        <f>IFERROR(VLOOKUP(AR21,'Top WS'!$A$19:$C$28,3),0)</f>
        <v>400</v>
      </c>
      <c r="BF21" s="1">
        <f>IFERROR(VLOOKUP(AS21,'Top WS'!$A$19:$C$28,3),0)</f>
        <v>400</v>
      </c>
      <c r="BG21" s="1">
        <f>IFERROR(VLOOKUP(AT21,'Top WS'!$A$19:$C$28,3),0)</f>
        <v>432</v>
      </c>
      <c r="BH21" s="1">
        <f>IFERROR(VLOOKUP(AU21,'Top WS'!$A$19:$C$28,3),0)</f>
        <v>400</v>
      </c>
      <c r="BI21" s="1">
        <f>IFERROR(VLOOKUP(AV21,'Top WS'!$A$19:$C$28,3),0)</f>
        <v>400</v>
      </c>
      <c r="BJ21" s="1">
        <f>IFERROR(VLOOKUP(AW21,'Top WS'!$A$19:$C$28,3),0)</f>
        <v>432</v>
      </c>
      <c r="BK21" s="98">
        <f>IFERROR(VLOOKUP(AX21,'Top WS'!$A$19:$C$28,3),0)</f>
        <v>400</v>
      </c>
      <c r="BL21" s="98">
        <f>IFERROR(VLOOKUP(AY21,'Top WS'!$A$19:$C$28,3),0)</f>
        <v>400</v>
      </c>
      <c r="BM21" s="98">
        <f>IFERROR(VLOOKUP(AZ21,'Top WS'!$A$19:$C$28,3),0)</f>
        <v>400</v>
      </c>
      <c r="BN21" s="98">
        <f>IFERROR(VLOOKUP(BA21,'Top WS'!$A$19:$C$28,3),0)</f>
        <v>400</v>
      </c>
      <c r="BO21" s="98">
        <f>IFERROR(VLOOKUP(BB21,'Top WS'!$A$19:$C$28,3),0)</f>
        <v>400</v>
      </c>
      <c r="BP21" s="98">
        <f>IFERROR(VLOOKUP(BC21,'Top WS'!$A$19:$C$28,3),0)</f>
        <v>400</v>
      </c>
      <c r="BQ21" s="1">
        <f t="shared" si="5"/>
        <v>4864</v>
      </c>
    </row>
    <row r="22" spans="1:69" x14ac:dyDescent="0.4">
      <c r="A22">
        <v>1190027101</v>
      </c>
      <c r="B22">
        <f>VLOOKUP(A22,'Aji Plus'!$A$2:$D$58,2,0)</f>
        <v>70526</v>
      </c>
      <c r="C22" t="str">
        <f>VLOOKUP(A22,'Aji Plus'!$A$2:$D$58,3,0)</f>
        <v>นายสมฤกษ นิลสนธิ์</v>
      </c>
      <c r="D22" t="str">
        <f>VLOOKUP(A22,'Aji Plus'!$A$2:$D$58,4,0)</f>
        <v>Tak</v>
      </c>
      <c r="E22" s="1">
        <v>513</v>
      </c>
      <c r="F22" s="1">
        <v>435</v>
      </c>
      <c r="G22" s="1">
        <v>441</v>
      </c>
      <c r="H22" s="1">
        <v>424</v>
      </c>
      <c r="I22" s="1">
        <v>792</v>
      </c>
      <c r="J22" s="1">
        <v>426</v>
      </c>
      <c r="K22" s="1">
        <v>733</v>
      </c>
      <c r="L22" s="1">
        <v>386</v>
      </c>
      <c r="M22" s="1">
        <v>798</v>
      </c>
      <c r="N22" s="1">
        <v>540</v>
      </c>
      <c r="O22" s="1">
        <v>449</v>
      </c>
      <c r="P22" s="1">
        <v>473</v>
      </c>
      <c r="R22" s="1">
        <f>VLOOKUP(A22,Actual_RDQ!$A$2:$H$62,3,0)</f>
        <v>1380.6719999999996</v>
      </c>
      <c r="S22" s="1">
        <f>VLOOKUP(A22,Actual_RDQ!$A$2:$H$62,4,0)</f>
        <v>228.95999999999998</v>
      </c>
      <c r="T22" s="1">
        <f>VLOOKUP(A22,Actual_RDQ!$A$2:$H$62,5,0)</f>
        <v>260.35199999999998</v>
      </c>
      <c r="U22" s="1">
        <f>VLOOKUP(A22,Actual_RDQ!$A$2:$H$62,6,0)</f>
        <v>553.53599999999983</v>
      </c>
      <c r="V22" s="1">
        <f>VLOOKUP(A22,Actual_RDQ!$A$2:$H$62,7,0)</f>
        <v>176.54400000000001</v>
      </c>
      <c r="W22" s="1">
        <f>VLOOKUP(A22,Actual_RDQ!$A$2:$H$62,8,0)</f>
        <v>734.39999999999952</v>
      </c>
      <c r="X22" s="118"/>
      <c r="Y22" s="118"/>
      <c r="Z22" s="118"/>
      <c r="AA22" s="118"/>
      <c r="AB22" s="118"/>
      <c r="AC22" s="118"/>
      <c r="AE22" s="97">
        <f t="shared" si="3"/>
        <v>2.6913684210526307</v>
      </c>
      <c r="AF22" s="97">
        <f t="shared" si="3"/>
        <v>0.52634482758620682</v>
      </c>
      <c r="AG22" s="97">
        <f t="shared" si="3"/>
        <v>0.59036734693877546</v>
      </c>
      <c r="AH22" s="97">
        <f t="shared" si="3"/>
        <v>1.3055094339622637</v>
      </c>
      <c r="AI22" s="97">
        <f t="shared" si="3"/>
        <v>0.22290909090909092</v>
      </c>
      <c r="AJ22" s="97">
        <f t="shared" si="3"/>
        <v>1.7239436619718298</v>
      </c>
      <c r="AK22" s="99">
        <f t="shared" si="3"/>
        <v>0</v>
      </c>
      <c r="AL22" s="99">
        <f t="shared" si="3"/>
        <v>0</v>
      </c>
      <c r="AM22" s="99">
        <f t="shared" si="3"/>
        <v>0</v>
      </c>
      <c r="AN22" s="99">
        <f t="shared" si="3"/>
        <v>0</v>
      </c>
      <c r="AO22" s="99">
        <f t="shared" si="3"/>
        <v>0</v>
      </c>
      <c r="AP22" s="99">
        <f t="shared" si="3"/>
        <v>0</v>
      </c>
      <c r="AQ22" s="97"/>
      <c r="AR22" s="99">
        <f t="shared" si="4"/>
        <v>2.6913999999999998</v>
      </c>
      <c r="AS22" s="99">
        <f t="shared" si="4"/>
        <v>0.52629999999999999</v>
      </c>
      <c r="AT22" s="99">
        <f t="shared" si="4"/>
        <v>0.59040000000000004</v>
      </c>
      <c r="AU22" s="99">
        <f t="shared" si="4"/>
        <v>1.3055000000000001</v>
      </c>
      <c r="AV22" s="99">
        <f t="shared" si="4"/>
        <v>0.22289999999999999</v>
      </c>
      <c r="AW22" s="99">
        <f t="shared" si="4"/>
        <v>1.7239</v>
      </c>
      <c r="AX22" s="99">
        <f t="shared" si="4"/>
        <v>0</v>
      </c>
      <c r="AY22" s="99">
        <f t="shared" si="4"/>
        <v>0</v>
      </c>
      <c r="AZ22" s="99">
        <f t="shared" si="4"/>
        <v>0</v>
      </c>
      <c r="BA22" s="99">
        <f t="shared" si="4"/>
        <v>0</v>
      </c>
      <c r="BB22" s="99">
        <f t="shared" si="4"/>
        <v>0</v>
      </c>
      <c r="BC22" s="99">
        <f t="shared" si="4"/>
        <v>0</v>
      </c>
      <c r="BD22" s="97"/>
      <c r="BE22" s="1">
        <f>IFERROR(VLOOKUP(AR22,'Top WS'!$A$19:$C$28,3),0)</f>
        <v>520</v>
      </c>
      <c r="BF22" s="1">
        <f>IFERROR(VLOOKUP(AS22,'Top WS'!$A$19:$C$28,3),0)</f>
        <v>400</v>
      </c>
      <c r="BG22" s="1">
        <f>IFERROR(VLOOKUP(AT22,'Top WS'!$A$19:$C$28,3),0)</f>
        <v>400</v>
      </c>
      <c r="BH22" s="1">
        <f>IFERROR(VLOOKUP(AU22,'Top WS'!$A$19:$C$28,3),0)</f>
        <v>520</v>
      </c>
      <c r="BI22" s="1">
        <f>IFERROR(VLOOKUP(AV22,'Top WS'!$A$19:$C$28,3),0)</f>
        <v>400</v>
      </c>
      <c r="BJ22" s="1">
        <f>IFERROR(VLOOKUP(AW22,'Top WS'!$A$19:$C$28,3),0)</f>
        <v>520</v>
      </c>
      <c r="BK22" s="98">
        <f>IFERROR(VLOOKUP(AX22,'Top WS'!$A$19:$C$28,3),0)</f>
        <v>400</v>
      </c>
      <c r="BL22" s="98">
        <f>IFERROR(VLOOKUP(AY22,'Top WS'!$A$19:$C$28,3),0)</f>
        <v>400</v>
      </c>
      <c r="BM22" s="98">
        <f>IFERROR(VLOOKUP(AZ22,'Top WS'!$A$19:$C$28,3),0)</f>
        <v>400</v>
      </c>
      <c r="BN22" s="98">
        <f>IFERROR(VLOOKUP(BA22,'Top WS'!$A$19:$C$28,3),0)</f>
        <v>400</v>
      </c>
      <c r="BO22" s="98">
        <f>IFERROR(VLOOKUP(BB22,'Top WS'!$A$19:$C$28,3),0)</f>
        <v>400</v>
      </c>
      <c r="BP22" s="98">
        <f>IFERROR(VLOOKUP(BC22,'Top WS'!$A$19:$C$28,3),0)</f>
        <v>400</v>
      </c>
      <c r="BQ22" s="1">
        <f t="shared" si="5"/>
        <v>5160</v>
      </c>
    </row>
    <row r="23" spans="1:69" x14ac:dyDescent="0.4">
      <c r="A23">
        <v>1190032602</v>
      </c>
      <c r="B23">
        <f>VLOOKUP(A23,'Aji Plus'!$A$2:$D$58,2,0)</f>
        <v>66632</v>
      </c>
      <c r="C23" t="str">
        <f>VLOOKUP(A23,'Aji Plus'!$A$2:$D$58,3,0)</f>
        <v>นายสิทธิชัย ใจเย็น</v>
      </c>
      <c r="D23" t="str">
        <f>VLOOKUP(A23,'Aji Plus'!$A$2:$D$58,4,0)</f>
        <v>Rayong</v>
      </c>
      <c r="E23" s="1">
        <v>900</v>
      </c>
      <c r="F23" s="1">
        <v>450</v>
      </c>
      <c r="G23" s="1">
        <v>300</v>
      </c>
      <c r="H23" s="1">
        <v>900</v>
      </c>
      <c r="I23" s="1">
        <v>550</v>
      </c>
      <c r="J23" s="1">
        <v>900</v>
      </c>
      <c r="K23" s="1">
        <v>500</v>
      </c>
      <c r="L23" s="1">
        <v>1000</v>
      </c>
      <c r="M23" s="1">
        <v>500</v>
      </c>
      <c r="N23" s="1">
        <v>950</v>
      </c>
      <c r="O23" s="1">
        <v>750</v>
      </c>
      <c r="P23" s="1">
        <v>450</v>
      </c>
      <c r="R23" s="1">
        <f>VLOOKUP(A23,Actual_RDQ!$A$2:$H$62,3,0)</f>
        <v>392.83199999999999</v>
      </c>
      <c r="S23" s="1">
        <f>VLOOKUP(A23,Actual_RDQ!$A$2:$H$62,4,0)</f>
        <v>421.05599999999993</v>
      </c>
      <c r="T23" s="1">
        <f>VLOOKUP(A23,Actual_RDQ!$A$2:$H$62,5,0)</f>
        <v>215.42400000000001</v>
      </c>
      <c r="U23" s="1">
        <f>VLOOKUP(A23,Actual_RDQ!$A$2:$H$62,6,0)</f>
        <v>525.88800000000003</v>
      </c>
      <c r="V23" s="1">
        <f>VLOOKUP(A23,Actual_RDQ!$A$2:$H$62,7,0)</f>
        <v>934.27199999999993</v>
      </c>
      <c r="W23" s="1">
        <f>VLOOKUP(A23,Actual_RDQ!$A$2:$H$62,8,0)</f>
        <v>685.43999999999971</v>
      </c>
      <c r="X23" s="118"/>
      <c r="Y23" s="118"/>
      <c r="Z23" s="118"/>
      <c r="AA23" s="118"/>
      <c r="AB23" s="118"/>
      <c r="AC23" s="118"/>
      <c r="AE23" s="97">
        <f t="shared" si="3"/>
        <v>0.43647999999999998</v>
      </c>
      <c r="AF23" s="97">
        <f t="shared" si="3"/>
        <v>0.93567999999999985</v>
      </c>
      <c r="AG23" s="97">
        <f t="shared" si="3"/>
        <v>0.71808000000000005</v>
      </c>
      <c r="AH23" s="97">
        <f t="shared" si="3"/>
        <v>0.58432000000000006</v>
      </c>
      <c r="AI23" s="97">
        <f t="shared" si="3"/>
        <v>1.6986763636363635</v>
      </c>
      <c r="AJ23" s="97">
        <f t="shared" si="3"/>
        <v>0.76159999999999972</v>
      </c>
      <c r="AK23" s="99">
        <f t="shared" si="3"/>
        <v>0</v>
      </c>
      <c r="AL23" s="99">
        <f t="shared" si="3"/>
        <v>0</v>
      </c>
      <c r="AM23" s="99">
        <f t="shared" si="3"/>
        <v>0</v>
      </c>
      <c r="AN23" s="99">
        <f t="shared" si="3"/>
        <v>0</v>
      </c>
      <c r="AO23" s="99">
        <f t="shared" si="3"/>
        <v>0</v>
      </c>
      <c r="AP23" s="99">
        <f t="shared" si="3"/>
        <v>0</v>
      </c>
      <c r="AQ23" s="97"/>
      <c r="AR23" s="99">
        <f t="shared" si="4"/>
        <v>0.4365</v>
      </c>
      <c r="AS23" s="99">
        <f t="shared" si="4"/>
        <v>0.93569999999999998</v>
      </c>
      <c r="AT23" s="99">
        <f t="shared" si="4"/>
        <v>0.71809999999999996</v>
      </c>
      <c r="AU23" s="99">
        <f t="shared" si="4"/>
        <v>0.58430000000000004</v>
      </c>
      <c r="AV23" s="99">
        <f t="shared" si="4"/>
        <v>1.6987000000000001</v>
      </c>
      <c r="AW23" s="99">
        <f t="shared" si="4"/>
        <v>0.76160000000000005</v>
      </c>
      <c r="AX23" s="99">
        <f t="shared" si="4"/>
        <v>0</v>
      </c>
      <c r="AY23" s="99">
        <f t="shared" si="4"/>
        <v>0</v>
      </c>
      <c r="AZ23" s="99">
        <f t="shared" si="4"/>
        <v>0</v>
      </c>
      <c r="BA23" s="99">
        <f t="shared" si="4"/>
        <v>0</v>
      </c>
      <c r="BB23" s="99">
        <f t="shared" si="4"/>
        <v>0</v>
      </c>
      <c r="BC23" s="99">
        <f t="shared" si="4"/>
        <v>0</v>
      </c>
      <c r="BD23" s="97"/>
      <c r="BE23" s="1">
        <f>IFERROR(VLOOKUP(AR23,'Top WS'!$A$19:$C$28,3),0)</f>
        <v>400</v>
      </c>
      <c r="BF23" s="1">
        <f>IFERROR(VLOOKUP(AS23,'Top WS'!$A$19:$C$28,3),0)</f>
        <v>400</v>
      </c>
      <c r="BG23" s="1">
        <f>IFERROR(VLOOKUP(AT23,'Top WS'!$A$19:$C$28,3),0)</f>
        <v>400</v>
      </c>
      <c r="BH23" s="1">
        <f>IFERROR(VLOOKUP(AU23,'Top WS'!$A$19:$C$28,3),0)</f>
        <v>400</v>
      </c>
      <c r="BI23" s="1">
        <f>IFERROR(VLOOKUP(AV23,'Top WS'!$A$19:$C$28,3),0)</f>
        <v>520</v>
      </c>
      <c r="BJ23" s="1">
        <f>IFERROR(VLOOKUP(AW23,'Top WS'!$A$19:$C$28,3),0)</f>
        <v>400</v>
      </c>
      <c r="BK23" s="98">
        <f>IFERROR(VLOOKUP(AX23,'Top WS'!$A$19:$C$28,3),0)</f>
        <v>400</v>
      </c>
      <c r="BL23" s="98">
        <f>IFERROR(VLOOKUP(AY23,'Top WS'!$A$19:$C$28,3),0)</f>
        <v>400</v>
      </c>
      <c r="BM23" s="98">
        <f>IFERROR(VLOOKUP(AZ23,'Top WS'!$A$19:$C$28,3),0)</f>
        <v>400</v>
      </c>
      <c r="BN23" s="98">
        <f>IFERROR(VLOOKUP(BA23,'Top WS'!$A$19:$C$28,3),0)</f>
        <v>400</v>
      </c>
      <c r="BO23" s="98">
        <f>IFERROR(VLOOKUP(BB23,'Top WS'!$A$19:$C$28,3),0)</f>
        <v>400</v>
      </c>
      <c r="BP23" s="98">
        <f>IFERROR(VLOOKUP(BC23,'Top WS'!$A$19:$C$28,3),0)</f>
        <v>400</v>
      </c>
      <c r="BQ23" s="1">
        <f t="shared" si="5"/>
        <v>4920</v>
      </c>
    </row>
    <row r="24" spans="1:69" x14ac:dyDescent="0.4">
      <c r="A24">
        <v>1190032701</v>
      </c>
      <c r="B24">
        <f>VLOOKUP(A24,'Aji Plus'!$A$2:$D$58,2,0)</f>
        <v>70330</v>
      </c>
      <c r="C24" t="str">
        <f>VLOOKUP(A24,'Aji Plus'!$A$2:$D$58,3,0)</f>
        <v>นายสุรวรรณ ทวีสิน</v>
      </c>
      <c r="D24" t="str">
        <f>VLOOKUP(A24,'Aji Plus'!$A$2:$D$58,4,0)</f>
        <v>Chachoengsao</v>
      </c>
      <c r="E24" s="1">
        <v>149</v>
      </c>
      <c r="F24" s="1">
        <v>333</v>
      </c>
      <c r="G24" s="1">
        <v>107</v>
      </c>
      <c r="H24" s="1">
        <v>93</v>
      </c>
      <c r="I24" s="1">
        <v>103</v>
      </c>
      <c r="J24" s="1">
        <v>81</v>
      </c>
      <c r="K24" s="1">
        <v>165</v>
      </c>
      <c r="L24" s="1">
        <v>89</v>
      </c>
      <c r="M24" s="1">
        <v>69</v>
      </c>
      <c r="N24" s="1">
        <v>194</v>
      </c>
      <c r="O24" s="1">
        <v>93</v>
      </c>
      <c r="P24" s="1">
        <v>136</v>
      </c>
      <c r="R24" s="1">
        <f>VLOOKUP(A24,Actual_RDQ!$A$2:$H$62,3,0)</f>
        <v>127.29600000000001</v>
      </c>
      <c r="S24" s="1">
        <f>VLOOKUP(A24,Actual_RDQ!$A$2:$H$62,4,0)</f>
        <v>127.29599999999999</v>
      </c>
      <c r="T24" s="1">
        <f>VLOOKUP(A24,Actual_RDQ!$A$2:$H$62,5,0)</f>
        <v>73.727999999999994</v>
      </c>
      <c r="U24" s="1">
        <f>VLOOKUP(A24,Actual_RDQ!$A$2:$H$62,6,0)</f>
        <v>108.86399999999999</v>
      </c>
      <c r="V24" s="1">
        <f>VLOOKUP(A24,Actual_RDQ!$A$2:$H$62,7,0)</f>
        <v>55.295999999999992</v>
      </c>
      <c r="W24" s="1">
        <f>VLOOKUP(A24,Actual_RDQ!$A$2:$H$62,8,0)</f>
        <v>91.584000000000003</v>
      </c>
      <c r="X24" s="118"/>
      <c r="Y24" s="118"/>
      <c r="Z24" s="118"/>
      <c r="AA24" s="118"/>
      <c r="AB24" s="118"/>
      <c r="AC24" s="118"/>
      <c r="AE24" s="97">
        <f t="shared" si="3"/>
        <v>0.85433557046979869</v>
      </c>
      <c r="AF24" s="97">
        <f t="shared" si="3"/>
        <v>0.38227027027027027</v>
      </c>
      <c r="AG24" s="97">
        <f t="shared" si="3"/>
        <v>0.68904672897196262</v>
      </c>
      <c r="AH24" s="97">
        <f t="shared" si="3"/>
        <v>1.1705806451612901</v>
      </c>
      <c r="AI24" s="97">
        <f t="shared" si="3"/>
        <v>0.53685436893203875</v>
      </c>
      <c r="AJ24" s="97">
        <f t="shared" si="3"/>
        <v>1.1306666666666667</v>
      </c>
      <c r="AK24" s="99">
        <f t="shared" si="3"/>
        <v>0</v>
      </c>
      <c r="AL24" s="99">
        <f t="shared" si="3"/>
        <v>0</v>
      </c>
      <c r="AM24" s="99">
        <f t="shared" si="3"/>
        <v>0</v>
      </c>
      <c r="AN24" s="99">
        <f t="shared" si="3"/>
        <v>0</v>
      </c>
      <c r="AO24" s="99">
        <f t="shared" si="3"/>
        <v>0</v>
      </c>
      <c r="AP24" s="99">
        <f t="shared" si="3"/>
        <v>0</v>
      </c>
      <c r="AQ24" s="97"/>
      <c r="AR24" s="99">
        <f t="shared" si="4"/>
        <v>0.85429999999999995</v>
      </c>
      <c r="AS24" s="99">
        <f t="shared" si="4"/>
        <v>0.38229999999999997</v>
      </c>
      <c r="AT24" s="99">
        <f t="shared" si="4"/>
        <v>0.68899999999999995</v>
      </c>
      <c r="AU24" s="99">
        <f t="shared" si="4"/>
        <v>1.1706000000000001</v>
      </c>
      <c r="AV24" s="99">
        <f t="shared" si="4"/>
        <v>0.53690000000000004</v>
      </c>
      <c r="AW24" s="99">
        <f t="shared" si="4"/>
        <v>1.1307</v>
      </c>
      <c r="AX24" s="99">
        <f t="shared" si="4"/>
        <v>0</v>
      </c>
      <c r="AY24" s="99">
        <f t="shared" si="4"/>
        <v>0</v>
      </c>
      <c r="AZ24" s="99">
        <f t="shared" si="4"/>
        <v>0</v>
      </c>
      <c r="BA24" s="99">
        <f t="shared" si="4"/>
        <v>0</v>
      </c>
      <c r="BB24" s="99">
        <f t="shared" si="4"/>
        <v>0</v>
      </c>
      <c r="BC24" s="99">
        <f t="shared" si="4"/>
        <v>0</v>
      </c>
      <c r="BD24" s="97"/>
      <c r="BE24" s="1">
        <f>IFERROR(VLOOKUP(AR24,'Top WS'!$A$19:$C$28,3),0)</f>
        <v>400</v>
      </c>
      <c r="BF24" s="1">
        <f>IFERROR(VLOOKUP(AS24,'Top WS'!$A$19:$C$28,3),0)</f>
        <v>400</v>
      </c>
      <c r="BG24" s="1">
        <f>IFERROR(VLOOKUP(AT24,'Top WS'!$A$19:$C$28,3),0)</f>
        <v>400</v>
      </c>
      <c r="BH24" s="1">
        <f>IFERROR(VLOOKUP(AU24,'Top WS'!$A$19:$C$28,3),0)</f>
        <v>480</v>
      </c>
      <c r="BI24" s="1">
        <f>IFERROR(VLOOKUP(AV24,'Top WS'!$A$19:$C$28,3),0)</f>
        <v>400</v>
      </c>
      <c r="BJ24" s="1">
        <f>IFERROR(VLOOKUP(AW24,'Top WS'!$A$19:$C$28,3),0)</f>
        <v>460</v>
      </c>
      <c r="BK24" s="98">
        <f>IFERROR(VLOOKUP(AX24,'Top WS'!$A$19:$C$28,3),0)</f>
        <v>400</v>
      </c>
      <c r="BL24" s="98">
        <f>IFERROR(VLOOKUP(AY24,'Top WS'!$A$19:$C$28,3),0)</f>
        <v>400</v>
      </c>
      <c r="BM24" s="98">
        <f>IFERROR(VLOOKUP(AZ24,'Top WS'!$A$19:$C$28,3),0)</f>
        <v>400</v>
      </c>
      <c r="BN24" s="98">
        <f>IFERROR(VLOOKUP(BA24,'Top WS'!$A$19:$C$28,3),0)</f>
        <v>400</v>
      </c>
      <c r="BO24" s="98">
        <f>IFERROR(VLOOKUP(BB24,'Top WS'!$A$19:$C$28,3),0)</f>
        <v>400</v>
      </c>
      <c r="BP24" s="98">
        <f>IFERROR(VLOOKUP(BC24,'Top WS'!$A$19:$C$28,3),0)</f>
        <v>400</v>
      </c>
      <c r="BQ24" s="1">
        <f t="shared" si="5"/>
        <v>4940</v>
      </c>
    </row>
    <row r="25" spans="1:69" x14ac:dyDescent="0.4">
      <c r="A25">
        <v>1190032801</v>
      </c>
      <c r="B25">
        <f>VLOOKUP(A25,'Aji Plus'!$A$2:$D$58,2,0)</f>
        <v>71360</v>
      </c>
      <c r="C25" t="str">
        <f>VLOOKUP(A25,'Aji Plus'!$A$2:$D$58,3,0)</f>
        <v>นายทนงศักดิ์ เวชมณีศรี</v>
      </c>
      <c r="D25" t="str">
        <f>VLOOKUP(A25,'Aji Plus'!$A$2:$D$58,4,0)</f>
        <v>Chantaburi</v>
      </c>
      <c r="E25" s="1">
        <v>624.7886688000001</v>
      </c>
      <c r="F25" s="1">
        <v>757.78070399999967</v>
      </c>
      <c r="G25" s="1">
        <v>488.75333759999978</v>
      </c>
      <c r="H25" s="1">
        <v>648.22204799999952</v>
      </c>
      <c r="I25" s="1">
        <v>643.35277439999948</v>
      </c>
      <c r="J25" s="1">
        <v>495.75291839999977</v>
      </c>
      <c r="K25" s="1">
        <v>658.26492479999945</v>
      </c>
      <c r="L25" s="1">
        <v>460.45068479999992</v>
      </c>
      <c r="M25" s="1">
        <v>622.35403199999939</v>
      </c>
      <c r="N25" s="1">
        <v>752.30277119999948</v>
      </c>
      <c r="O25" s="1">
        <v>644.26576319999992</v>
      </c>
      <c r="P25" s="1">
        <v>664.04718719999948</v>
      </c>
      <c r="R25" s="1">
        <f>VLOOKUP(A25,Actual_RDQ!$A$2:$H$62,3,0)</f>
        <v>581.47199999999953</v>
      </c>
      <c r="S25" s="1">
        <f>VLOOKUP(A25,Actual_RDQ!$A$2:$H$62,4,0)</f>
        <v>879.83999999999969</v>
      </c>
      <c r="T25" s="1">
        <f>VLOOKUP(A25,Actual_RDQ!$A$2:$H$62,5,0)</f>
        <v>591.55199999999945</v>
      </c>
      <c r="U25" s="1">
        <f>VLOOKUP(A25,Actual_RDQ!$A$2:$H$62,6,0)</f>
        <v>626.68799999999965</v>
      </c>
      <c r="V25" s="1">
        <f>VLOOKUP(A25,Actual_RDQ!$A$2:$H$62,7,0)</f>
        <v>527.32799999999975</v>
      </c>
      <c r="W25" s="1">
        <f>VLOOKUP(A25,Actual_RDQ!$A$2:$H$62,8,0)</f>
        <v>503.42399999999975</v>
      </c>
      <c r="X25" s="118"/>
      <c r="Y25" s="118"/>
      <c r="Z25" s="118"/>
      <c r="AA25" s="118"/>
      <c r="AB25" s="118"/>
      <c r="AC25" s="118"/>
      <c r="AE25" s="97">
        <f t="shared" si="3"/>
        <v>0.93066988733454992</v>
      </c>
      <c r="AF25" s="97">
        <f t="shared" si="3"/>
        <v>1.1610746952986548</v>
      </c>
      <c r="AG25" s="97">
        <f t="shared" si="3"/>
        <v>1.2103283077406441</v>
      </c>
      <c r="AH25" s="97">
        <f t="shared" si="3"/>
        <v>0.96677982789008765</v>
      </c>
      <c r="AI25" s="97">
        <f t="shared" si="3"/>
        <v>0.81965605960399224</v>
      </c>
      <c r="AJ25" s="97">
        <f t="shared" si="3"/>
        <v>1.0154735984707013</v>
      </c>
      <c r="AK25" s="99">
        <f t="shared" si="3"/>
        <v>0</v>
      </c>
      <c r="AL25" s="99">
        <f t="shared" si="3"/>
        <v>0</v>
      </c>
      <c r="AM25" s="99">
        <f t="shared" si="3"/>
        <v>0</v>
      </c>
      <c r="AN25" s="99">
        <f t="shared" si="3"/>
        <v>0</v>
      </c>
      <c r="AO25" s="99">
        <f t="shared" si="3"/>
        <v>0</v>
      </c>
      <c r="AP25" s="99">
        <f t="shared" si="3"/>
        <v>0</v>
      </c>
      <c r="AQ25" s="97"/>
      <c r="AR25" s="99">
        <f t="shared" si="4"/>
        <v>0.93069999999999997</v>
      </c>
      <c r="AS25" s="99">
        <f t="shared" si="4"/>
        <v>1.1611</v>
      </c>
      <c r="AT25" s="99">
        <f t="shared" si="4"/>
        <v>1.2102999999999999</v>
      </c>
      <c r="AU25" s="99">
        <f t="shared" si="4"/>
        <v>0.96679999999999999</v>
      </c>
      <c r="AV25" s="99">
        <f t="shared" si="4"/>
        <v>0.81969999999999998</v>
      </c>
      <c r="AW25" s="99">
        <f t="shared" si="4"/>
        <v>1.0155000000000001</v>
      </c>
      <c r="AX25" s="99">
        <f t="shared" si="4"/>
        <v>0</v>
      </c>
      <c r="AY25" s="99">
        <f t="shared" si="4"/>
        <v>0</v>
      </c>
      <c r="AZ25" s="99">
        <f t="shared" si="4"/>
        <v>0</v>
      </c>
      <c r="BA25" s="99">
        <f t="shared" si="4"/>
        <v>0</v>
      </c>
      <c r="BB25" s="99">
        <f t="shared" si="4"/>
        <v>0</v>
      </c>
      <c r="BC25" s="99">
        <f t="shared" si="4"/>
        <v>0</v>
      </c>
      <c r="BD25" s="97"/>
      <c r="BE25" s="1">
        <f>IFERROR(VLOOKUP(AR25,'Top WS'!$A$19:$C$28,3),0)</f>
        <v>400</v>
      </c>
      <c r="BF25" s="1">
        <f>IFERROR(VLOOKUP(AS25,'Top WS'!$A$19:$C$28,3),0)</f>
        <v>480</v>
      </c>
      <c r="BG25" s="1">
        <f>IFERROR(VLOOKUP(AT25,'Top WS'!$A$19:$C$28,3),0)</f>
        <v>520</v>
      </c>
      <c r="BH25" s="1">
        <f>IFERROR(VLOOKUP(AU25,'Top WS'!$A$19:$C$28,3),0)</f>
        <v>400</v>
      </c>
      <c r="BI25" s="1">
        <f>IFERROR(VLOOKUP(AV25,'Top WS'!$A$19:$C$28,3),0)</f>
        <v>400</v>
      </c>
      <c r="BJ25" s="1">
        <f>IFERROR(VLOOKUP(AW25,'Top WS'!$A$19:$C$28,3),0)</f>
        <v>412</v>
      </c>
      <c r="BK25" s="98">
        <f>IFERROR(VLOOKUP(AX25,'Top WS'!$A$19:$C$28,3),0)</f>
        <v>400</v>
      </c>
      <c r="BL25" s="98">
        <f>IFERROR(VLOOKUP(AY25,'Top WS'!$A$19:$C$28,3),0)</f>
        <v>400</v>
      </c>
      <c r="BM25" s="98">
        <f>IFERROR(VLOOKUP(AZ25,'Top WS'!$A$19:$C$28,3),0)</f>
        <v>400</v>
      </c>
      <c r="BN25" s="98">
        <f>IFERROR(VLOOKUP(BA25,'Top WS'!$A$19:$C$28,3),0)</f>
        <v>400</v>
      </c>
      <c r="BO25" s="98">
        <f>IFERROR(VLOOKUP(BB25,'Top WS'!$A$19:$C$28,3),0)</f>
        <v>400</v>
      </c>
      <c r="BP25" s="98">
        <f>IFERROR(VLOOKUP(BC25,'Top WS'!$A$19:$C$28,3),0)</f>
        <v>400</v>
      </c>
      <c r="BQ25" s="1">
        <f t="shared" si="5"/>
        <v>5012</v>
      </c>
    </row>
    <row r="26" spans="1:69" x14ac:dyDescent="0.4">
      <c r="A26">
        <v>1190032901</v>
      </c>
      <c r="B26">
        <f>VLOOKUP(A26,'Aji Plus'!$A$2:$D$58,2,0)</f>
        <v>70259</v>
      </c>
      <c r="C26" t="str">
        <f>VLOOKUP(A26,'Aji Plus'!$A$2:$D$58,3,0)</f>
        <v>นายจิรศักดิ์ งามสม</v>
      </c>
      <c r="D26" t="str">
        <f>VLOOKUP(A26,'Aji Plus'!$A$2:$D$58,4,0)</f>
        <v>Lopburi</v>
      </c>
      <c r="E26" s="1">
        <v>156.08377029952598</v>
      </c>
      <c r="F26" s="1">
        <v>244.86536441485279</v>
      </c>
      <c r="G26" s="1">
        <v>132.69507077452062</v>
      </c>
      <c r="H26" s="1">
        <v>158.47037229187356</v>
      </c>
      <c r="I26" s="1">
        <v>341.28408490569154</v>
      </c>
      <c r="J26" s="1">
        <v>194.26940217708591</v>
      </c>
      <c r="K26" s="1">
        <v>102.1465652724727</v>
      </c>
      <c r="L26" s="1">
        <v>246.77464600873077</v>
      </c>
      <c r="M26" s="1">
        <v>114.07957523421017</v>
      </c>
      <c r="N26" s="1">
        <v>280.18707390159562</v>
      </c>
      <c r="O26" s="1">
        <v>218.13542210056079</v>
      </c>
      <c r="P26" s="1">
        <v>115.98885682808813</v>
      </c>
      <c r="R26" s="1">
        <f>VLOOKUP(A26,Actual_RDQ!$A$2:$H$62,3,0)</f>
        <v>129.60000000000005</v>
      </c>
      <c r="S26" s="1">
        <f>VLOOKUP(A26,Actual_RDQ!$A$2:$H$62,4,0)</f>
        <v>119.80799999999999</v>
      </c>
      <c r="T26" s="1">
        <f>VLOOKUP(A26,Actual_RDQ!$A$2:$H$62,5,0)</f>
        <v>130.17600000000002</v>
      </c>
      <c r="U26" s="1">
        <f>VLOOKUP(A26,Actual_RDQ!$A$2:$H$62,6,0)</f>
        <v>112.32000000000001</v>
      </c>
      <c r="V26" s="1">
        <f>VLOOKUP(A26,Actual_RDQ!$A$2:$H$62,7,0)</f>
        <v>231.55199999999999</v>
      </c>
      <c r="W26" s="1">
        <f>VLOOKUP(A26,Actual_RDQ!$A$2:$H$62,8,0)</f>
        <v>293.18399999999997</v>
      </c>
      <c r="X26" s="118"/>
      <c r="Y26" s="118"/>
      <c r="Z26" s="118"/>
      <c r="AA26" s="118"/>
      <c r="AB26" s="118"/>
      <c r="AC26" s="118"/>
      <c r="AE26" s="97">
        <f t="shared" si="3"/>
        <v>0.83032335617788211</v>
      </c>
      <c r="AF26" s="97">
        <f t="shared" si="3"/>
        <v>0.4892811210205309</v>
      </c>
      <c r="AG26" s="97">
        <f t="shared" si="3"/>
        <v>0.98101609381707122</v>
      </c>
      <c r="AH26" s="97">
        <f t="shared" si="3"/>
        <v>0.70877602150846863</v>
      </c>
      <c r="AI26" s="97">
        <f t="shared" si="3"/>
        <v>0.67847289176694459</v>
      </c>
      <c r="AJ26" s="97">
        <f t="shared" si="3"/>
        <v>1.5091620024276837</v>
      </c>
      <c r="AK26" s="99">
        <f t="shared" si="3"/>
        <v>0</v>
      </c>
      <c r="AL26" s="99">
        <f t="shared" si="3"/>
        <v>0</v>
      </c>
      <c r="AM26" s="99">
        <f t="shared" si="3"/>
        <v>0</v>
      </c>
      <c r="AN26" s="99">
        <f t="shared" si="3"/>
        <v>0</v>
      </c>
      <c r="AO26" s="99">
        <f t="shared" si="3"/>
        <v>0</v>
      </c>
      <c r="AP26" s="99">
        <f t="shared" si="3"/>
        <v>0</v>
      </c>
      <c r="AQ26" s="97"/>
      <c r="AR26" s="99">
        <f t="shared" si="4"/>
        <v>0.83030000000000004</v>
      </c>
      <c r="AS26" s="99">
        <f t="shared" si="4"/>
        <v>0.48930000000000001</v>
      </c>
      <c r="AT26" s="99">
        <f t="shared" si="4"/>
        <v>0.98099999999999998</v>
      </c>
      <c r="AU26" s="99">
        <f t="shared" si="4"/>
        <v>0.70879999999999999</v>
      </c>
      <c r="AV26" s="99">
        <f t="shared" si="4"/>
        <v>0.67849999999999999</v>
      </c>
      <c r="AW26" s="99">
        <f t="shared" si="4"/>
        <v>1.5092000000000001</v>
      </c>
      <c r="AX26" s="99">
        <f t="shared" si="4"/>
        <v>0</v>
      </c>
      <c r="AY26" s="99">
        <f t="shared" si="4"/>
        <v>0</v>
      </c>
      <c r="AZ26" s="99">
        <f t="shared" si="4"/>
        <v>0</v>
      </c>
      <c r="BA26" s="99">
        <f t="shared" si="4"/>
        <v>0</v>
      </c>
      <c r="BB26" s="99">
        <f t="shared" si="4"/>
        <v>0</v>
      </c>
      <c r="BC26" s="99">
        <f t="shared" si="4"/>
        <v>0</v>
      </c>
      <c r="BD26" s="97"/>
      <c r="BE26" s="1">
        <f>IFERROR(VLOOKUP(AR26,'Top WS'!$A$19:$C$28,3),0)</f>
        <v>400</v>
      </c>
      <c r="BF26" s="1">
        <f>IFERROR(VLOOKUP(AS26,'Top WS'!$A$19:$C$28,3),0)</f>
        <v>400</v>
      </c>
      <c r="BG26" s="1">
        <f>IFERROR(VLOOKUP(AT26,'Top WS'!$A$19:$C$28,3),0)</f>
        <v>400</v>
      </c>
      <c r="BH26" s="1">
        <f>IFERROR(VLOOKUP(AU26,'Top WS'!$A$19:$C$28,3),0)</f>
        <v>400</v>
      </c>
      <c r="BI26" s="1">
        <f>IFERROR(VLOOKUP(AV26,'Top WS'!$A$19:$C$28,3),0)</f>
        <v>400</v>
      </c>
      <c r="BJ26" s="1">
        <f>IFERROR(VLOOKUP(AW26,'Top WS'!$A$19:$C$28,3),0)</f>
        <v>520</v>
      </c>
      <c r="BK26" s="98">
        <f>IFERROR(VLOOKUP(AX26,'Top WS'!$A$19:$C$28,3),0)</f>
        <v>400</v>
      </c>
      <c r="BL26" s="98">
        <f>IFERROR(VLOOKUP(AY26,'Top WS'!$A$19:$C$28,3),0)</f>
        <v>400</v>
      </c>
      <c r="BM26" s="98">
        <f>IFERROR(VLOOKUP(AZ26,'Top WS'!$A$19:$C$28,3),0)</f>
        <v>400</v>
      </c>
      <c r="BN26" s="98">
        <f>IFERROR(VLOOKUP(BA26,'Top WS'!$A$19:$C$28,3),0)</f>
        <v>400</v>
      </c>
      <c r="BO26" s="98">
        <f>IFERROR(VLOOKUP(BB26,'Top WS'!$A$19:$C$28,3),0)</f>
        <v>400</v>
      </c>
      <c r="BP26" s="98">
        <f>IFERROR(VLOOKUP(BC26,'Top WS'!$A$19:$C$28,3),0)</f>
        <v>400</v>
      </c>
      <c r="BQ26" s="1">
        <f t="shared" si="5"/>
        <v>4920</v>
      </c>
    </row>
    <row r="27" spans="1:69" x14ac:dyDescent="0.4">
      <c r="A27">
        <v>1190032902</v>
      </c>
      <c r="B27">
        <f>VLOOKUP(A27,'Aji Plus'!$A$2:$D$58,2,0)</f>
        <v>71996</v>
      </c>
      <c r="C27" t="str">
        <f>VLOOKUP(A27,'Aji Plus'!$A$2:$D$58,3,0)</f>
        <v>นายสุนทร ม่วงกุน</v>
      </c>
      <c r="D27" t="str">
        <f>VLOOKUP(A27,'Aji Plus'!$A$2:$D$58,4,0)</f>
        <v>Lopburi</v>
      </c>
      <c r="E27" s="1">
        <v>67.37864427906149</v>
      </c>
      <c r="F27" s="1">
        <v>105.70411166715155</v>
      </c>
      <c r="G27" s="1">
        <v>57.282150182199082</v>
      </c>
      <c r="H27" s="1">
        <v>68.40889877874136</v>
      </c>
      <c r="I27" s="1">
        <v>147.32639345421708</v>
      </c>
      <c r="J27" s="1">
        <v>83.862716273938943</v>
      </c>
      <c r="K27" s="1">
        <v>44.094892586297135</v>
      </c>
      <c r="L27" s="1">
        <v>106.52831526689542</v>
      </c>
      <c r="M27" s="1">
        <v>49.246165084696337</v>
      </c>
      <c r="N27" s="1">
        <v>120.95187826241315</v>
      </c>
      <c r="O27" s="1">
        <v>94.165261270737304</v>
      </c>
      <c r="P27" s="1">
        <v>50.07036868444019</v>
      </c>
      <c r="R27" s="1">
        <f>VLOOKUP(A27,Actual_RDQ!$A$2:$H$62,3,0)</f>
        <v>61.632000000000005</v>
      </c>
      <c r="S27" s="1">
        <f>VLOOKUP(A27,Actual_RDQ!$A$2:$H$62,4,0)</f>
        <v>207.93599999999998</v>
      </c>
      <c r="T27" s="1">
        <f>VLOOKUP(A27,Actual_RDQ!$A$2:$H$62,5,0)</f>
        <v>14.975999999999999</v>
      </c>
      <c r="U27" s="1">
        <f>VLOOKUP(A27,Actual_RDQ!$A$2:$H$62,6,0)</f>
        <v>35.712000000000003</v>
      </c>
      <c r="V27" s="1">
        <f>VLOOKUP(A27,Actual_RDQ!$A$2:$H$62,7,0)</f>
        <v>184.89600000000002</v>
      </c>
      <c r="W27" s="1">
        <f>VLOOKUP(A27,Actual_RDQ!$A$2:$H$62,8,0)</f>
        <v>50.111999999999995</v>
      </c>
      <c r="X27" s="118"/>
      <c r="Y27" s="118"/>
      <c r="Z27" s="118"/>
      <c r="AA27" s="118"/>
      <c r="AB27" s="118"/>
      <c r="AC27" s="118"/>
      <c r="AE27" s="97">
        <f t="shared" si="3"/>
        <v>0.9147111916461147</v>
      </c>
      <c r="AF27" s="97">
        <f t="shared" si="3"/>
        <v>1.9671514827612695</v>
      </c>
      <c r="AG27" s="97">
        <f t="shared" si="3"/>
        <v>0.2614426999050381</v>
      </c>
      <c r="AH27" s="97">
        <f t="shared" si="3"/>
        <v>0.52203734656664003</v>
      </c>
      <c r="AI27" s="97">
        <f t="shared" si="3"/>
        <v>1.2550093412655079</v>
      </c>
      <c r="AJ27" s="97">
        <f t="shared" si="3"/>
        <v>0.59754801926887657</v>
      </c>
      <c r="AK27" s="99">
        <f t="shared" si="3"/>
        <v>0</v>
      </c>
      <c r="AL27" s="99">
        <f t="shared" si="3"/>
        <v>0</v>
      </c>
      <c r="AM27" s="99">
        <f t="shared" si="3"/>
        <v>0</v>
      </c>
      <c r="AN27" s="99">
        <f t="shared" si="3"/>
        <v>0</v>
      </c>
      <c r="AO27" s="99">
        <f t="shared" si="3"/>
        <v>0</v>
      </c>
      <c r="AP27" s="99">
        <f t="shared" si="3"/>
        <v>0</v>
      </c>
      <c r="AQ27" s="97"/>
      <c r="AR27" s="99">
        <f t="shared" si="4"/>
        <v>0.91469999999999996</v>
      </c>
      <c r="AS27" s="99">
        <f t="shared" si="4"/>
        <v>1.9672000000000001</v>
      </c>
      <c r="AT27" s="99">
        <f t="shared" si="4"/>
        <v>0.26140000000000002</v>
      </c>
      <c r="AU27" s="99">
        <f t="shared" si="4"/>
        <v>0.52200000000000002</v>
      </c>
      <c r="AV27" s="99">
        <f t="shared" si="4"/>
        <v>1.2549999999999999</v>
      </c>
      <c r="AW27" s="99">
        <f t="shared" si="4"/>
        <v>0.59750000000000003</v>
      </c>
      <c r="AX27" s="99">
        <f t="shared" si="4"/>
        <v>0</v>
      </c>
      <c r="AY27" s="99">
        <f t="shared" si="4"/>
        <v>0</v>
      </c>
      <c r="AZ27" s="99">
        <f t="shared" si="4"/>
        <v>0</v>
      </c>
      <c r="BA27" s="99">
        <f t="shared" si="4"/>
        <v>0</v>
      </c>
      <c r="BB27" s="99">
        <f t="shared" si="4"/>
        <v>0</v>
      </c>
      <c r="BC27" s="99">
        <f t="shared" si="4"/>
        <v>0</v>
      </c>
      <c r="BD27" s="97"/>
      <c r="BE27" s="1">
        <f>IFERROR(VLOOKUP(AR27,'Top WS'!$A$19:$C$28,3),0)</f>
        <v>400</v>
      </c>
      <c r="BF27" s="1">
        <f>IFERROR(VLOOKUP(AS27,'Top WS'!$A$19:$C$28,3),0)</f>
        <v>520</v>
      </c>
      <c r="BG27" s="1">
        <f>IFERROR(VLOOKUP(AT27,'Top WS'!$A$19:$C$28,3),0)</f>
        <v>400</v>
      </c>
      <c r="BH27" s="1">
        <f>IFERROR(VLOOKUP(AU27,'Top WS'!$A$19:$C$28,3),0)</f>
        <v>400</v>
      </c>
      <c r="BI27" s="1">
        <f>IFERROR(VLOOKUP(AV27,'Top WS'!$A$19:$C$28,3),0)</f>
        <v>520</v>
      </c>
      <c r="BJ27" s="1">
        <f>IFERROR(VLOOKUP(AW27,'Top WS'!$A$19:$C$28,3),0)</f>
        <v>400</v>
      </c>
      <c r="BK27" s="98">
        <f>IFERROR(VLOOKUP(AX27,'Top WS'!$A$19:$C$28,3),0)</f>
        <v>400</v>
      </c>
      <c r="BL27" s="98">
        <f>IFERROR(VLOOKUP(AY27,'Top WS'!$A$19:$C$28,3),0)</f>
        <v>400</v>
      </c>
      <c r="BM27" s="98">
        <f>IFERROR(VLOOKUP(AZ27,'Top WS'!$A$19:$C$28,3),0)</f>
        <v>400</v>
      </c>
      <c r="BN27" s="98">
        <f>IFERROR(VLOOKUP(BA27,'Top WS'!$A$19:$C$28,3),0)</f>
        <v>400</v>
      </c>
      <c r="BO27" s="98">
        <f>IFERROR(VLOOKUP(BB27,'Top WS'!$A$19:$C$28,3),0)</f>
        <v>400</v>
      </c>
      <c r="BP27" s="98">
        <f>IFERROR(VLOOKUP(BC27,'Top WS'!$A$19:$C$28,3),0)</f>
        <v>400</v>
      </c>
      <c r="BQ27" s="1">
        <f t="shared" si="5"/>
        <v>5040</v>
      </c>
    </row>
    <row r="28" spans="1:69" x14ac:dyDescent="0.4">
      <c r="A28">
        <v>1190033001</v>
      </c>
      <c r="B28">
        <f>VLOOKUP(A28,'Aji Plus'!$A$2:$D$58,2,0)</f>
        <v>75518</v>
      </c>
      <c r="C28" t="str">
        <f>VLOOKUP(A28,'Aji Plus'!$A$2:$D$58,3,0)</f>
        <v>นายธนพันธ์ นิยมทัศน์</v>
      </c>
      <c r="D28" t="str">
        <f>VLOOKUP(A28,'Aji Plus'!$A$2:$D$58,4,0)</f>
        <v>Ratchaburi</v>
      </c>
      <c r="E28" s="1">
        <v>233.29717235445892</v>
      </c>
      <c r="F28" s="1">
        <v>183.30492113564631</v>
      </c>
      <c r="G28" s="1">
        <v>182.8984800688267</v>
      </c>
      <c r="H28" s="1">
        <v>195.09171207341515</v>
      </c>
      <c r="I28" s="1">
        <v>246.70972755950621</v>
      </c>
      <c r="J28" s="1">
        <v>271.09619156868314</v>
      </c>
      <c r="K28" s="1">
        <v>269.4704273014047</v>
      </c>
      <c r="L28" s="1">
        <v>194.2788299397759</v>
      </c>
      <c r="M28" s="1">
        <v>216.6330886148547</v>
      </c>
      <c r="N28" s="1">
        <v>230.04564381990204</v>
      </c>
      <c r="O28" s="1">
        <v>381.24172067679876</v>
      </c>
      <c r="P28" s="1">
        <v>230.45208488672165</v>
      </c>
      <c r="R28" s="1">
        <f>VLOOKUP(A28,Actual_RDQ!$A$2:$H$62,3,0)</f>
        <v>198.14400000000001</v>
      </c>
      <c r="S28" s="1">
        <f>VLOOKUP(A28,Actual_RDQ!$A$2:$H$62,4,0)</f>
        <v>191.23199999999997</v>
      </c>
      <c r="T28" s="1">
        <f>VLOOKUP(A28,Actual_RDQ!$A$2:$H$62,5,0)</f>
        <v>111.74400000000001</v>
      </c>
      <c r="U28" s="1">
        <f>VLOOKUP(A28,Actual_RDQ!$A$2:$H$62,6,0)</f>
        <v>130.17599999999999</v>
      </c>
      <c r="V28" s="1">
        <f>VLOOKUP(A28,Actual_RDQ!$A$2:$H$62,7,0)</f>
        <v>214.84800000000004</v>
      </c>
      <c r="W28" s="1">
        <f>VLOOKUP(A28,Actual_RDQ!$A$2:$H$62,8,0)</f>
        <v>311.04000000000002</v>
      </c>
      <c r="X28" s="118"/>
      <c r="Y28" s="118"/>
      <c r="Z28" s="118"/>
      <c r="AA28" s="118"/>
      <c r="AB28" s="118"/>
      <c r="AC28" s="118"/>
      <c r="AE28" s="97">
        <f t="shared" si="3"/>
        <v>0.84932019535560799</v>
      </c>
      <c r="AF28" s="97">
        <f t="shared" si="3"/>
        <v>1.0432453139568882</v>
      </c>
      <c r="AG28" s="97">
        <f t="shared" si="3"/>
        <v>0.6109618841990897</v>
      </c>
      <c r="AH28" s="97">
        <f t="shared" si="3"/>
        <v>0.66725540832310359</v>
      </c>
      <c r="AI28" s="97">
        <f t="shared" si="3"/>
        <v>0.87085337949708064</v>
      </c>
      <c r="AJ28" s="97">
        <f t="shared" si="3"/>
        <v>1.1473418280064513</v>
      </c>
      <c r="AK28" s="99">
        <f t="shared" si="3"/>
        <v>0</v>
      </c>
      <c r="AL28" s="99">
        <f t="shared" si="3"/>
        <v>0</v>
      </c>
      <c r="AM28" s="99">
        <f t="shared" si="3"/>
        <v>0</v>
      </c>
      <c r="AN28" s="99">
        <f t="shared" si="3"/>
        <v>0</v>
      </c>
      <c r="AO28" s="99">
        <f t="shared" si="3"/>
        <v>0</v>
      </c>
      <c r="AP28" s="99">
        <f t="shared" si="3"/>
        <v>0</v>
      </c>
      <c r="AQ28" s="97"/>
      <c r="AR28" s="99">
        <f t="shared" si="4"/>
        <v>0.84930000000000005</v>
      </c>
      <c r="AS28" s="99">
        <f t="shared" si="4"/>
        <v>1.0431999999999999</v>
      </c>
      <c r="AT28" s="99">
        <f t="shared" si="4"/>
        <v>0.61099999999999999</v>
      </c>
      <c r="AU28" s="99">
        <f t="shared" si="4"/>
        <v>0.6673</v>
      </c>
      <c r="AV28" s="99">
        <f t="shared" si="4"/>
        <v>0.87090000000000001</v>
      </c>
      <c r="AW28" s="99">
        <f t="shared" si="4"/>
        <v>1.1473</v>
      </c>
      <c r="AX28" s="99">
        <f t="shared" si="4"/>
        <v>0</v>
      </c>
      <c r="AY28" s="99">
        <f t="shared" si="4"/>
        <v>0</v>
      </c>
      <c r="AZ28" s="99">
        <f t="shared" si="4"/>
        <v>0</v>
      </c>
      <c r="BA28" s="99">
        <f t="shared" si="4"/>
        <v>0</v>
      </c>
      <c r="BB28" s="99">
        <f t="shared" si="4"/>
        <v>0</v>
      </c>
      <c r="BC28" s="99">
        <f t="shared" si="4"/>
        <v>0</v>
      </c>
      <c r="BD28" s="97"/>
      <c r="BE28" s="1">
        <f>IFERROR(VLOOKUP(AR28,'Top WS'!$A$19:$C$28,3),0)</f>
        <v>400</v>
      </c>
      <c r="BF28" s="1">
        <f>IFERROR(VLOOKUP(AS28,'Top WS'!$A$19:$C$28,3),0)</f>
        <v>432</v>
      </c>
      <c r="BG28" s="1">
        <f>IFERROR(VLOOKUP(AT28,'Top WS'!$A$19:$C$28,3),0)</f>
        <v>400</v>
      </c>
      <c r="BH28" s="1">
        <f>IFERROR(VLOOKUP(AU28,'Top WS'!$A$19:$C$28,3),0)</f>
        <v>400</v>
      </c>
      <c r="BI28" s="1">
        <f>IFERROR(VLOOKUP(AV28,'Top WS'!$A$19:$C$28,3),0)</f>
        <v>400</v>
      </c>
      <c r="BJ28" s="1">
        <f>IFERROR(VLOOKUP(AW28,'Top WS'!$A$19:$C$28,3),0)</f>
        <v>460</v>
      </c>
      <c r="BK28" s="98">
        <f>IFERROR(VLOOKUP(AX28,'Top WS'!$A$19:$C$28,3),0)</f>
        <v>400</v>
      </c>
      <c r="BL28" s="98">
        <f>IFERROR(VLOOKUP(AY28,'Top WS'!$A$19:$C$28,3),0)</f>
        <v>400</v>
      </c>
      <c r="BM28" s="98">
        <f>IFERROR(VLOOKUP(AZ28,'Top WS'!$A$19:$C$28,3),0)</f>
        <v>400</v>
      </c>
      <c r="BN28" s="98">
        <f>IFERROR(VLOOKUP(BA28,'Top WS'!$A$19:$C$28,3),0)</f>
        <v>400</v>
      </c>
      <c r="BO28" s="98">
        <f>IFERROR(VLOOKUP(BB28,'Top WS'!$A$19:$C$28,3),0)</f>
        <v>400</v>
      </c>
      <c r="BP28" s="98">
        <f>IFERROR(VLOOKUP(BC28,'Top WS'!$A$19:$C$28,3),0)</f>
        <v>400</v>
      </c>
      <c r="BQ28" s="1">
        <f t="shared" si="5"/>
        <v>4892</v>
      </c>
    </row>
    <row r="29" spans="1:69" x14ac:dyDescent="0.4">
      <c r="A29">
        <v>1190033002</v>
      </c>
      <c r="B29">
        <f>VLOOKUP(A29,'Aji Plus'!$A$2:$D$58,2,0)</f>
        <v>27905</v>
      </c>
      <c r="C29" t="str">
        <f>VLOOKUP(A29,'Aji Plus'!$A$2:$D$58,3,0)</f>
        <v>นายปัญญา ธนาโภคาสิน</v>
      </c>
      <c r="D29" t="str">
        <f>VLOOKUP(A29,'Aji Plus'!$A$2:$D$58,4,0)</f>
        <v>Ratchaburi</v>
      </c>
      <c r="E29" s="1">
        <v>145.30907943791192</v>
      </c>
      <c r="F29" s="1">
        <v>114.17141955835939</v>
      </c>
      <c r="G29" s="1">
        <v>113.91826785202157</v>
      </c>
      <c r="H29" s="1">
        <v>121.51281904215632</v>
      </c>
      <c r="I29" s="1">
        <v>153.66308574706017</v>
      </c>
      <c r="J29" s="1">
        <v>168.85218812732973</v>
      </c>
      <c r="K29" s="1">
        <v>167.83958130197846</v>
      </c>
      <c r="L29" s="1">
        <v>121.00651562948067</v>
      </c>
      <c r="M29" s="1">
        <v>134.92985947806108</v>
      </c>
      <c r="N29" s="1">
        <v>143.28386578720935</v>
      </c>
      <c r="O29" s="1">
        <v>237.45630054488049</v>
      </c>
      <c r="P29" s="1">
        <v>143.53701749354718</v>
      </c>
      <c r="R29" s="1">
        <f>VLOOKUP(A29,Actual_RDQ!$A$2:$H$62,3,0)</f>
        <v>169.92000000000002</v>
      </c>
      <c r="S29" s="1">
        <f>VLOOKUP(A29,Actual_RDQ!$A$2:$H$62,4,0)</f>
        <v>119.80799999999999</v>
      </c>
      <c r="T29" s="1">
        <f>VLOOKUP(A29,Actual_RDQ!$A$2:$H$62,5,0)</f>
        <v>111.74399999999999</v>
      </c>
      <c r="U29" s="1">
        <f>VLOOKUP(A29,Actual_RDQ!$A$2:$H$62,6,0)</f>
        <v>144.00000000000003</v>
      </c>
      <c r="V29" s="1">
        <f>VLOOKUP(A29,Actual_RDQ!$A$2:$H$62,7,0)</f>
        <v>167.04000000000002</v>
      </c>
      <c r="W29" s="1">
        <f>VLOOKUP(A29,Actual_RDQ!$A$2:$H$62,8,0)</f>
        <v>167.04000000000002</v>
      </c>
      <c r="X29" s="118"/>
      <c r="Y29" s="118"/>
      <c r="Z29" s="118"/>
      <c r="AA29" s="118"/>
      <c r="AB29" s="118"/>
      <c r="AC29" s="118"/>
      <c r="AE29" s="97">
        <f t="shared" si="3"/>
        <v>1.1693694616832524</v>
      </c>
      <c r="AF29" s="97">
        <f t="shared" si="3"/>
        <v>1.0493694522100554</v>
      </c>
      <c r="AG29" s="97">
        <f t="shared" si="3"/>
        <v>0.98091379115028388</v>
      </c>
      <c r="AH29" s="97">
        <f t="shared" si="3"/>
        <v>1.185060153612618</v>
      </c>
      <c r="AI29" s="97">
        <f t="shared" si="3"/>
        <v>1.0870535313533867</v>
      </c>
      <c r="AJ29" s="97">
        <f t="shared" si="3"/>
        <v>0.98926760649401146</v>
      </c>
      <c r="AK29" s="99">
        <f t="shared" si="3"/>
        <v>0</v>
      </c>
      <c r="AL29" s="99">
        <f t="shared" si="3"/>
        <v>0</v>
      </c>
      <c r="AM29" s="99">
        <f t="shared" si="3"/>
        <v>0</v>
      </c>
      <c r="AN29" s="99">
        <f t="shared" si="3"/>
        <v>0</v>
      </c>
      <c r="AO29" s="99">
        <f t="shared" si="3"/>
        <v>0</v>
      </c>
      <c r="AP29" s="99">
        <f t="shared" si="3"/>
        <v>0</v>
      </c>
      <c r="AQ29" s="97"/>
      <c r="AR29" s="99">
        <f t="shared" si="4"/>
        <v>1.1694</v>
      </c>
      <c r="AS29" s="99">
        <f t="shared" si="4"/>
        <v>1.0494000000000001</v>
      </c>
      <c r="AT29" s="99">
        <f t="shared" si="4"/>
        <v>0.98089999999999999</v>
      </c>
      <c r="AU29" s="99">
        <f t="shared" si="4"/>
        <v>1.1851</v>
      </c>
      <c r="AV29" s="99">
        <f t="shared" si="4"/>
        <v>1.0871</v>
      </c>
      <c r="AW29" s="99">
        <f t="shared" si="4"/>
        <v>0.98929999999999996</v>
      </c>
      <c r="AX29" s="99">
        <f t="shared" si="4"/>
        <v>0</v>
      </c>
      <c r="AY29" s="99">
        <f t="shared" si="4"/>
        <v>0</v>
      </c>
      <c r="AZ29" s="99">
        <f t="shared" si="4"/>
        <v>0</v>
      </c>
      <c r="BA29" s="99">
        <f t="shared" si="4"/>
        <v>0</v>
      </c>
      <c r="BB29" s="99">
        <f t="shared" si="4"/>
        <v>0</v>
      </c>
      <c r="BC29" s="99">
        <f t="shared" si="4"/>
        <v>0</v>
      </c>
      <c r="BD29" s="97"/>
      <c r="BE29" s="1">
        <f>IFERROR(VLOOKUP(AR29,'Top WS'!$A$19:$C$28,3),0)</f>
        <v>480</v>
      </c>
      <c r="BF29" s="1">
        <f>IFERROR(VLOOKUP(AS29,'Top WS'!$A$19:$C$28,3),0)</f>
        <v>432</v>
      </c>
      <c r="BG29" s="1">
        <f>IFERROR(VLOOKUP(AT29,'Top WS'!$A$19:$C$28,3),0)</f>
        <v>400</v>
      </c>
      <c r="BH29" s="1">
        <f>IFERROR(VLOOKUP(AU29,'Top WS'!$A$19:$C$28,3),0)</f>
        <v>480</v>
      </c>
      <c r="BI29" s="1">
        <f>IFERROR(VLOOKUP(AV29,'Top WS'!$A$19:$C$28,3),0)</f>
        <v>440</v>
      </c>
      <c r="BJ29" s="1">
        <f>IFERROR(VLOOKUP(AW29,'Top WS'!$A$19:$C$28,3),0)</f>
        <v>400</v>
      </c>
      <c r="BK29" s="98">
        <f>IFERROR(VLOOKUP(AX29,'Top WS'!$A$19:$C$28,3),0)</f>
        <v>400</v>
      </c>
      <c r="BL29" s="98">
        <f>IFERROR(VLOOKUP(AY29,'Top WS'!$A$19:$C$28,3),0)</f>
        <v>400</v>
      </c>
      <c r="BM29" s="98">
        <f>IFERROR(VLOOKUP(AZ29,'Top WS'!$A$19:$C$28,3),0)</f>
        <v>400</v>
      </c>
      <c r="BN29" s="98">
        <f>IFERROR(VLOOKUP(BA29,'Top WS'!$A$19:$C$28,3),0)</f>
        <v>400</v>
      </c>
      <c r="BO29" s="98">
        <f>IFERROR(VLOOKUP(BB29,'Top WS'!$A$19:$C$28,3),0)</f>
        <v>400</v>
      </c>
      <c r="BP29" s="98">
        <f>IFERROR(VLOOKUP(BC29,'Top WS'!$A$19:$C$28,3),0)</f>
        <v>400</v>
      </c>
      <c r="BQ29" s="1">
        <f t="shared" si="5"/>
        <v>5032</v>
      </c>
    </row>
    <row r="30" spans="1:69" x14ac:dyDescent="0.4">
      <c r="A30">
        <v>1190033101</v>
      </c>
      <c r="B30">
        <f>VLOOKUP(A30,'Aji Plus'!$A$2:$D$58,2,0)</f>
        <v>66381</v>
      </c>
      <c r="C30" t="str">
        <f>VLOOKUP(A30,'Aji Plus'!$A$2:$D$58,3,0)</f>
        <v>นายเอกศักดิ์ แซ่ลิ้ม</v>
      </c>
      <c r="D30" t="str">
        <f>VLOOKUP(A30,'Aji Plus'!$A$2:$D$58,4,0)</f>
        <v>Huahin</v>
      </c>
      <c r="E30" s="1">
        <v>93.486903648269475</v>
      </c>
      <c r="F30" s="1">
        <v>93.030869971936426</v>
      </c>
      <c r="G30" s="1">
        <v>43.323199251637071</v>
      </c>
      <c r="H30" s="1">
        <v>39.674929840972887</v>
      </c>
      <c r="I30" s="1">
        <v>169.64452759588409</v>
      </c>
      <c r="J30" s="1">
        <v>60.652478952291887</v>
      </c>
      <c r="K30" s="1">
        <v>125.40926099158096</v>
      </c>
      <c r="L30" s="1">
        <v>71.14125350795139</v>
      </c>
      <c r="M30" s="1">
        <v>110.36014967259125</v>
      </c>
      <c r="N30" s="1">
        <v>63.388681010290036</v>
      </c>
      <c r="O30" s="1">
        <v>80.717960710944851</v>
      </c>
      <c r="P30" s="1">
        <v>24.169784845650153</v>
      </c>
      <c r="R30" s="1">
        <f>VLOOKUP(A30,Actual_RDQ!$A$2:$H$62,3,0)</f>
        <v>163.00799999999998</v>
      </c>
      <c r="S30" s="1">
        <f>VLOOKUP(A30,Actual_RDQ!$A$2:$H$62,4,0)</f>
        <v>57.600000000000009</v>
      </c>
      <c r="T30" s="1">
        <f>VLOOKUP(A30,Actual_RDQ!$A$2:$H$62,5,0)</f>
        <v>77.184000000000012</v>
      </c>
      <c r="U30" s="1">
        <f>VLOOKUP(A30,Actual_RDQ!$A$2:$H$62,6,0)</f>
        <v>139.392</v>
      </c>
      <c r="V30" s="1">
        <f>VLOOKUP(A30,Actual_RDQ!$A$2:$H$62,7,0)</f>
        <v>36.287999999999997</v>
      </c>
      <c r="W30" s="1">
        <f>VLOOKUP(A30,Actual_RDQ!$A$2:$H$62,8,0)</f>
        <v>59.32800000000001</v>
      </c>
      <c r="X30" s="118"/>
      <c r="Y30" s="118"/>
      <c r="Z30" s="118"/>
      <c r="AA30" s="118"/>
      <c r="AB30" s="118"/>
      <c r="AC30" s="118"/>
      <c r="AE30" s="97">
        <f t="shared" si="3"/>
        <v>1.7436452983114432</v>
      </c>
      <c r="AF30" s="97">
        <f t="shared" si="3"/>
        <v>0.6191493212669682</v>
      </c>
      <c r="AG30" s="97">
        <f t="shared" si="3"/>
        <v>1.7815858785425094</v>
      </c>
      <c r="AH30" s="97">
        <f t="shared" si="3"/>
        <v>3.5133521485411126</v>
      </c>
      <c r="AI30" s="97">
        <f t="shared" si="3"/>
        <v>0.21390610421836215</v>
      </c>
      <c r="AJ30" s="97">
        <f t="shared" si="3"/>
        <v>0.97816282244071695</v>
      </c>
      <c r="AK30" s="99">
        <f t="shared" si="3"/>
        <v>0</v>
      </c>
      <c r="AL30" s="99">
        <f t="shared" si="3"/>
        <v>0</v>
      </c>
      <c r="AM30" s="99">
        <f t="shared" si="3"/>
        <v>0</v>
      </c>
      <c r="AN30" s="99">
        <f t="shared" si="3"/>
        <v>0</v>
      </c>
      <c r="AO30" s="99">
        <f t="shared" si="3"/>
        <v>0</v>
      </c>
      <c r="AP30" s="99">
        <f t="shared" si="3"/>
        <v>0</v>
      </c>
      <c r="AQ30" s="97"/>
      <c r="AR30" s="99">
        <f t="shared" si="4"/>
        <v>1.7436</v>
      </c>
      <c r="AS30" s="99">
        <f t="shared" si="4"/>
        <v>0.61909999999999998</v>
      </c>
      <c r="AT30" s="99">
        <f t="shared" si="4"/>
        <v>1.7816000000000001</v>
      </c>
      <c r="AU30" s="99">
        <f t="shared" si="4"/>
        <v>3.5133999999999999</v>
      </c>
      <c r="AV30" s="99">
        <f t="shared" si="4"/>
        <v>0.21390000000000001</v>
      </c>
      <c r="AW30" s="99">
        <f t="shared" si="4"/>
        <v>0.97819999999999996</v>
      </c>
      <c r="AX30" s="99">
        <f t="shared" si="4"/>
        <v>0</v>
      </c>
      <c r="AY30" s="99">
        <f t="shared" si="4"/>
        <v>0</v>
      </c>
      <c r="AZ30" s="99">
        <f t="shared" si="4"/>
        <v>0</v>
      </c>
      <c r="BA30" s="99">
        <f t="shared" si="4"/>
        <v>0</v>
      </c>
      <c r="BB30" s="99">
        <f t="shared" si="4"/>
        <v>0</v>
      </c>
      <c r="BC30" s="99">
        <f t="shared" si="4"/>
        <v>0</v>
      </c>
      <c r="BD30" s="97"/>
      <c r="BE30" s="1">
        <f>IFERROR(VLOOKUP(AR30,'Top WS'!$A$19:$C$28,3),0)</f>
        <v>520</v>
      </c>
      <c r="BF30" s="1">
        <f>IFERROR(VLOOKUP(AS30,'Top WS'!$A$19:$C$28,3),0)</f>
        <v>400</v>
      </c>
      <c r="BG30" s="1">
        <f>IFERROR(VLOOKUP(AT30,'Top WS'!$A$19:$C$28,3),0)</f>
        <v>520</v>
      </c>
      <c r="BH30" s="1">
        <f>IFERROR(VLOOKUP(AU30,'Top WS'!$A$19:$C$28,3),0)</f>
        <v>520</v>
      </c>
      <c r="BI30" s="1">
        <f>IFERROR(VLOOKUP(AV30,'Top WS'!$A$19:$C$28,3),0)</f>
        <v>400</v>
      </c>
      <c r="BJ30" s="1">
        <f>IFERROR(VLOOKUP(AW30,'Top WS'!$A$19:$C$28,3),0)</f>
        <v>400</v>
      </c>
      <c r="BK30" s="98">
        <f>IFERROR(VLOOKUP(AX30,'Top WS'!$A$19:$C$28,3),0)</f>
        <v>400</v>
      </c>
      <c r="BL30" s="98">
        <f>IFERROR(VLOOKUP(AY30,'Top WS'!$A$19:$C$28,3),0)</f>
        <v>400</v>
      </c>
      <c r="BM30" s="98">
        <f>IFERROR(VLOOKUP(AZ30,'Top WS'!$A$19:$C$28,3),0)</f>
        <v>400</v>
      </c>
      <c r="BN30" s="98">
        <f>IFERROR(VLOOKUP(BA30,'Top WS'!$A$19:$C$28,3),0)</f>
        <v>400</v>
      </c>
      <c r="BO30" s="98">
        <f>IFERROR(VLOOKUP(BB30,'Top WS'!$A$19:$C$28,3),0)</f>
        <v>400</v>
      </c>
      <c r="BP30" s="98">
        <f>IFERROR(VLOOKUP(BC30,'Top WS'!$A$19:$C$28,3),0)</f>
        <v>400</v>
      </c>
      <c r="BQ30" s="1">
        <f t="shared" si="5"/>
        <v>5160</v>
      </c>
    </row>
    <row r="31" spans="1:69" x14ac:dyDescent="0.4">
      <c r="A31">
        <v>1190033102</v>
      </c>
      <c r="B31">
        <f>VLOOKUP(A31,'Aji Plus'!$A$2:$D$58,2,0)</f>
        <v>28090</v>
      </c>
      <c r="C31" t="str">
        <f>VLOOKUP(A31,'Aji Plus'!$A$2:$D$58,3,0)</f>
        <v>นายนิกร กิจเถกิง</v>
      </c>
      <c r="D31" t="str">
        <f>VLOOKUP(A31,'Aji Plus'!$A$2:$D$58,4,0)</f>
        <v>Huahin</v>
      </c>
      <c r="E31" s="1">
        <v>50.339101964452794</v>
      </c>
      <c r="F31" s="1">
        <v>50.093545369504227</v>
      </c>
      <c r="G31" s="1">
        <v>23.327876520112266</v>
      </c>
      <c r="H31" s="1">
        <v>21.363423760523862</v>
      </c>
      <c r="I31" s="1">
        <v>91.347053320860653</v>
      </c>
      <c r="J31" s="1">
        <v>32.659027128157163</v>
      </c>
      <c r="K31" s="1">
        <v>67.528063610851291</v>
      </c>
      <c r="L31" s="1">
        <v>38.306828811973823</v>
      </c>
      <c r="M31" s="1">
        <v>59.424695977549128</v>
      </c>
      <c r="N31" s="1">
        <v>34.132366697848475</v>
      </c>
      <c r="O31" s="1">
        <v>43.463517305893376</v>
      </c>
      <c r="P31" s="1">
        <v>13.014499532273158</v>
      </c>
      <c r="R31" s="1">
        <f>VLOOKUP(A31,Actual_RDQ!$A$2:$H$62,3,0)</f>
        <v>44.352000000000004</v>
      </c>
      <c r="S31" s="1">
        <f>VLOOKUP(A31,Actual_RDQ!$A$2:$H$62,4,0)</f>
        <v>38.591999999999999</v>
      </c>
      <c r="T31" s="1">
        <f>VLOOKUP(A31,Actual_RDQ!$A$2:$H$62,5,0)</f>
        <v>60.48</v>
      </c>
      <c r="U31" s="1">
        <f>VLOOKUP(A31,Actual_RDQ!$A$2:$H$62,6,0)</f>
        <v>23.04</v>
      </c>
      <c r="V31" s="1">
        <f>VLOOKUP(A31,Actual_RDQ!$A$2:$H$62,7,0)</f>
        <v>58.752000000000002</v>
      </c>
      <c r="W31" s="1">
        <f>VLOOKUP(A31,Actual_RDQ!$A$2:$H$62,8,0)</f>
        <v>19.584</v>
      </c>
      <c r="X31" s="118"/>
      <c r="Y31" s="118"/>
      <c r="Z31" s="118"/>
      <c r="AA31" s="118"/>
      <c r="AB31" s="118"/>
      <c r="AC31" s="118"/>
      <c r="AE31" s="97">
        <f t="shared" si="3"/>
        <v>0.88106458536585308</v>
      </c>
      <c r="AF31" s="97">
        <f t="shared" si="3"/>
        <v>0.77039865546218456</v>
      </c>
      <c r="AG31" s="97">
        <f t="shared" si="3"/>
        <v>2.5926063157894723</v>
      </c>
      <c r="AH31" s="97">
        <f t="shared" si="3"/>
        <v>1.0784788177339897</v>
      </c>
      <c r="AI31" s="97">
        <f t="shared" si="3"/>
        <v>0.64317345622119793</v>
      </c>
      <c r="AJ31" s="97">
        <f t="shared" si="3"/>
        <v>0.59965044038668081</v>
      </c>
      <c r="AK31" s="99">
        <f t="shared" si="3"/>
        <v>0</v>
      </c>
      <c r="AL31" s="99">
        <f t="shared" si="3"/>
        <v>0</v>
      </c>
      <c r="AM31" s="99">
        <f t="shared" si="3"/>
        <v>0</v>
      </c>
      <c r="AN31" s="99">
        <f t="shared" si="3"/>
        <v>0</v>
      </c>
      <c r="AO31" s="99">
        <f t="shared" si="3"/>
        <v>0</v>
      </c>
      <c r="AP31" s="99">
        <f t="shared" si="3"/>
        <v>0</v>
      </c>
      <c r="AQ31" s="97"/>
      <c r="AR31" s="99">
        <f t="shared" si="4"/>
        <v>0.88109999999999999</v>
      </c>
      <c r="AS31" s="99">
        <f t="shared" si="4"/>
        <v>0.77039999999999997</v>
      </c>
      <c r="AT31" s="99">
        <f t="shared" si="4"/>
        <v>2.5926</v>
      </c>
      <c r="AU31" s="99">
        <f t="shared" si="4"/>
        <v>1.0785</v>
      </c>
      <c r="AV31" s="99">
        <f t="shared" si="4"/>
        <v>0.64319999999999999</v>
      </c>
      <c r="AW31" s="99">
        <f t="shared" si="4"/>
        <v>0.59970000000000001</v>
      </c>
      <c r="AX31" s="99">
        <f t="shared" si="4"/>
        <v>0</v>
      </c>
      <c r="AY31" s="99">
        <f t="shared" si="4"/>
        <v>0</v>
      </c>
      <c r="AZ31" s="99">
        <f t="shared" si="4"/>
        <v>0</v>
      </c>
      <c r="BA31" s="99">
        <f t="shared" si="4"/>
        <v>0</v>
      </c>
      <c r="BB31" s="99">
        <f t="shared" si="4"/>
        <v>0</v>
      </c>
      <c r="BC31" s="99">
        <f t="shared" si="4"/>
        <v>0</v>
      </c>
      <c r="BD31" s="97"/>
      <c r="BE31" s="1">
        <f>IFERROR(VLOOKUP(AR31,'Top WS'!$A$19:$C$28,3),0)</f>
        <v>400</v>
      </c>
      <c r="BF31" s="1">
        <f>IFERROR(VLOOKUP(AS31,'Top WS'!$A$19:$C$28,3),0)</f>
        <v>400</v>
      </c>
      <c r="BG31" s="1">
        <f>IFERROR(VLOOKUP(AT31,'Top WS'!$A$19:$C$28,3),0)</f>
        <v>520</v>
      </c>
      <c r="BH31" s="1">
        <f>IFERROR(VLOOKUP(AU31,'Top WS'!$A$19:$C$28,3),0)</f>
        <v>440</v>
      </c>
      <c r="BI31" s="1">
        <f>IFERROR(VLOOKUP(AV31,'Top WS'!$A$19:$C$28,3),0)</f>
        <v>400</v>
      </c>
      <c r="BJ31" s="1">
        <f>IFERROR(VLOOKUP(AW31,'Top WS'!$A$19:$C$28,3),0)</f>
        <v>400</v>
      </c>
      <c r="BK31" s="98">
        <f>IFERROR(VLOOKUP(AX31,'Top WS'!$A$19:$C$28,3),0)</f>
        <v>400</v>
      </c>
      <c r="BL31" s="98">
        <f>IFERROR(VLOOKUP(AY31,'Top WS'!$A$19:$C$28,3),0)</f>
        <v>400</v>
      </c>
      <c r="BM31" s="98">
        <f>IFERROR(VLOOKUP(AZ31,'Top WS'!$A$19:$C$28,3),0)</f>
        <v>400</v>
      </c>
      <c r="BN31" s="98">
        <f>IFERROR(VLOOKUP(BA31,'Top WS'!$A$19:$C$28,3),0)</f>
        <v>400</v>
      </c>
      <c r="BO31" s="98">
        <f>IFERROR(VLOOKUP(BB31,'Top WS'!$A$19:$C$28,3),0)</f>
        <v>400</v>
      </c>
      <c r="BP31" s="98">
        <f>IFERROR(VLOOKUP(BC31,'Top WS'!$A$19:$C$28,3),0)</f>
        <v>400</v>
      </c>
      <c r="BQ31" s="1">
        <f t="shared" si="5"/>
        <v>4960</v>
      </c>
    </row>
    <row r="32" spans="1:69" x14ac:dyDescent="0.4">
      <c r="A32">
        <v>1190033201</v>
      </c>
      <c r="B32">
        <f>VLOOKUP(A32,'Aji Plus'!$A$2:$D$58,2,0)</f>
        <v>76475</v>
      </c>
      <c r="C32" t="str">
        <f>VLOOKUP(A32,'Aji Plus'!$A$2:$D$58,3,0)</f>
        <v>นายดานุกาญจน์ ตั้งพัฒนารุ่งเรือง</v>
      </c>
      <c r="D32" t="str">
        <f>VLOOKUP(A32,'Aji Plus'!$A$2:$D$58,4,0)</f>
        <v>Suphanburi</v>
      </c>
      <c r="E32" s="1">
        <v>130.80467235710884</v>
      </c>
      <c r="F32" s="1">
        <v>164.4131104898762</v>
      </c>
      <c r="G32" s="1">
        <v>153.99922825155397</v>
      </c>
      <c r="H32" s="1">
        <v>96.249517657221247</v>
      </c>
      <c r="I32" s="1">
        <v>174.03806225559839</v>
      </c>
      <c r="J32" s="1">
        <v>189.34331342404178</v>
      </c>
      <c r="K32" s="1">
        <v>145.16320695843197</v>
      </c>
      <c r="L32" s="1">
        <v>182.71629745420029</v>
      </c>
      <c r="M32" s="1">
        <v>131.12024454614891</v>
      </c>
      <c r="N32" s="1">
        <v>208.59321695548593</v>
      </c>
      <c r="O32" s="1">
        <v>190.13224389664191</v>
      </c>
      <c r="P32" s="1">
        <v>102.24538924898252</v>
      </c>
      <c r="R32" s="1">
        <f>VLOOKUP(A32,Actual_RDQ!$A$2:$H$62,3,0)</f>
        <v>161.28</v>
      </c>
      <c r="S32" s="1">
        <f>VLOOKUP(A32,Actual_RDQ!$A$2:$H$62,4,0)</f>
        <v>158.976</v>
      </c>
      <c r="T32" s="1">
        <f>VLOOKUP(A32,Actual_RDQ!$A$2:$H$62,5,0)</f>
        <v>240.768</v>
      </c>
      <c r="U32" s="1">
        <f>VLOOKUP(A32,Actual_RDQ!$A$2:$H$62,6,0)</f>
        <v>78.335999999999999</v>
      </c>
      <c r="V32" s="1">
        <f>VLOOKUP(A32,Actual_RDQ!$A$2:$H$62,7,0)</f>
        <v>142.84799999999998</v>
      </c>
      <c r="W32" s="1">
        <f>VLOOKUP(A32,Actual_RDQ!$A$2:$H$62,8,0)</f>
        <v>133.63200000000001</v>
      </c>
      <c r="X32" s="118"/>
      <c r="Y32" s="118"/>
      <c r="Z32" s="118"/>
      <c r="AA32" s="118"/>
      <c r="AB32" s="118"/>
      <c r="AC32" s="118"/>
      <c r="AE32" s="97">
        <f t="shared" si="3"/>
        <v>1.2329834790586891</v>
      </c>
      <c r="AF32" s="97">
        <f t="shared" si="3"/>
        <v>0.96693018899967231</v>
      </c>
      <c r="AG32" s="97">
        <f t="shared" si="3"/>
        <v>1.5634364063611499</v>
      </c>
      <c r="AH32" s="97">
        <f t="shared" si="3"/>
        <v>0.81388459814398595</v>
      </c>
      <c r="AI32" s="97">
        <f t="shared" si="3"/>
        <v>0.82078597146300336</v>
      </c>
      <c r="AJ32" s="97">
        <f t="shared" si="3"/>
        <v>0.70576561476309385</v>
      </c>
      <c r="AK32" s="99">
        <f t="shared" si="3"/>
        <v>0</v>
      </c>
      <c r="AL32" s="99">
        <f t="shared" si="3"/>
        <v>0</v>
      </c>
      <c r="AM32" s="99">
        <f t="shared" si="3"/>
        <v>0</v>
      </c>
      <c r="AN32" s="99">
        <f t="shared" si="3"/>
        <v>0</v>
      </c>
      <c r="AO32" s="99">
        <f t="shared" si="3"/>
        <v>0</v>
      </c>
      <c r="AP32" s="99">
        <f t="shared" si="3"/>
        <v>0</v>
      </c>
      <c r="AQ32" s="97"/>
      <c r="AR32" s="99">
        <f t="shared" si="4"/>
        <v>1.2330000000000001</v>
      </c>
      <c r="AS32" s="99">
        <f t="shared" si="4"/>
        <v>0.96689999999999998</v>
      </c>
      <c r="AT32" s="99">
        <f t="shared" si="4"/>
        <v>1.5633999999999999</v>
      </c>
      <c r="AU32" s="99">
        <f t="shared" si="4"/>
        <v>0.81389999999999996</v>
      </c>
      <c r="AV32" s="99">
        <f t="shared" si="4"/>
        <v>0.82079999999999997</v>
      </c>
      <c r="AW32" s="99">
        <f t="shared" si="4"/>
        <v>0.70579999999999998</v>
      </c>
      <c r="AX32" s="99">
        <f t="shared" si="4"/>
        <v>0</v>
      </c>
      <c r="AY32" s="99">
        <f t="shared" si="4"/>
        <v>0</v>
      </c>
      <c r="AZ32" s="99">
        <f t="shared" si="4"/>
        <v>0</v>
      </c>
      <c r="BA32" s="99">
        <f t="shared" si="4"/>
        <v>0</v>
      </c>
      <c r="BB32" s="99">
        <f t="shared" si="4"/>
        <v>0</v>
      </c>
      <c r="BC32" s="99">
        <f t="shared" si="4"/>
        <v>0</v>
      </c>
      <c r="BD32" s="97"/>
      <c r="BE32" s="1">
        <f>IFERROR(VLOOKUP(AR32,'Top WS'!$A$19:$C$28,3),0)</f>
        <v>520</v>
      </c>
      <c r="BF32" s="1">
        <f>IFERROR(VLOOKUP(AS32,'Top WS'!$A$19:$C$28,3),0)</f>
        <v>400</v>
      </c>
      <c r="BG32" s="1">
        <f>IFERROR(VLOOKUP(AT32,'Top WS'!$A$19:$C$28,3),0)</f>
        <v>520</v>
      </c>
      <c r="BH32" s="1">
        <f>IFERROR(VLOOKUP(AU32,'Top WS'!$A$19:$C$28,3),0)</f>
        <v>400</v>
      </c>
      <c r="BI32" s="1">
        <f>IFERROR(VLOOKUP(AV32,'Top WS'!$A$19:$C$28,3),0)</f>
        <v>400</v>
      </c>
      <c r="BJ32" s="1">
        <f>IFERROR(VLOOKUP(AW32,'Top WS'!$A$19:$C$28,3),0)</f>
        <v>400</v>
      </c>
      <c r="BK32" s="98">
        <f>IFERROR(VLOOKUP(AX32,'Top WS'!$A$19:$C$28,3),0)</f>
        <v>400</v>
      </c>
      <c r="BL32" s="98">
        <f>IFERROR(VLOOKUP(AY32,'Top WS'!$A$19:$C$28,3),0)</f>
        <v>400</v>
      </c>
      <c r="BM32" s="98">
        <f>IFERROR(VLOOKUP(AZ32,'Top WS'!$A$19:$C$28,3),0)</f>
        <v>400</v>
      </c>
      <c r="BN32" s="98">
        <f>IFERROR(VLOOKUP(BA32,'Top WS'!$A$19:$C$28,3),0)</f>
        <v>400</v>
      </c>
      <c r="BO32" s="98">
        <f>IFERROR(VLOOKUP(BB32,'Top WS'!$A$19:$C$28,3),0)</f>
        <v>400</v>
      </c>
      <c r="BP32" s="98">
        <f>IFERROR(VLOOKUP(BC32,'Top WS'!$A$19:$C$28,3),0)</f>
        <v>400</v>
      </c>
      <c r="BQ32" s="1">
        <f t="shared" si="5"/>
        <v>5040</v>
      </c>
    </row>
    <row r="33" spans="1:69" x14ac:dyDescent="0.4">
      <c r="A33">
        <v>1190033202</v>
      </c>
      <c r="B33">
        <f>VLOOKUP(A33,'Aji Plus'!$A$2:$D$58,2,0)</f>
        <v>63537</v>
      </c>
      <c r="C33" t="str">
        <f>VLOOKUP(A33,'Aji Plus'!$A$2:$D$58,3,0)</f>
        <v>นายอำนาจ แตงสี</v>
      </c>
      <c r="D33" t="str">
        <f>VLOOKUP(A33,'Aji Plus'!$A$2:$D$58,4,0)</f>
        <v>Suphanburi</v>
      </c>
      <c r="E33" s="1">
        <v>149.86824219878378</v>
      </c>
      <c r="F33" s="1">
        <v>188.37479900016004</v>
      </c>
      <c r="G33" s="1">
        <v>176.44318985043785</v>
      </c>
      <c r="H33" s="1">
        <v>110.27699365652369</v>
      </c>
      <c r="I33" s="1">
        <v>199.40249836581248</v>
      </c>
      <c r="J33" s="1">
        <v>216.93834817676787</v>
      </c>
      <c r="K33" s="1">
        <v>166.3194002688553</v>
      </c>
      <c r="L33" s="1">
        <v>209.34550599058096</v>
      </c>
      <c r="M33" s="1">
        <v>150.22980611241172</v>
      </c>
      <c r="N33" s="1">
        <v>238.9937469080725</v>
      </c>
      <c r="O33" s="1">
        <v>217.84225796083769</v>
      </c>
      <c r="P33" s="1">
        <v>117.14670801545459</v>
      </c>
      <c r="R33" s="1">
        <f>VLOOKUP(A33,Actual_RDQ!$A$2:$H$62,3,0)</f>
        <v>209.08799999999997</v>
      </c>
      <c r="S33" s="1">
        <f>VLOOKUP(A33,Actual_RDQ!$A$2:$H$62,4,0)</f>
        <v>144.57599999999999</v>
      </c>
      <c r="T33" s="1">
        <f>VLOOKUP(A33,Actual_RDQ!$A$2:$H$62,5,0)</f>
        <v>131.61599999999999</v>
      </c>
      <c r="U33" s="1">
        <f>VLOOKUP(A33,Actual_RDQ!$A$2:$H$62,6,0)</f>
        <v>121.824</v>
      </c>
      <c r="V33" s="1">
        <f>VLOOKUP(A33,Actual_RDQ!$A$2:$H$62,7,0)</f>
        <v>135.93600000000004</v>
      </c>
      <c r="W33" s="1">
        <f>VLOOKUP(A33,Actual_RDQ!$A$2:$H$62,8,0)</f>
        <v>139.68</v>
      </c>
      <c r="X33" s="118"/>
      <c r="Y33" s="118"/>
      <c r="Z33" s="118"/>
      <c r="AA33" s="118"/>
      <c r="AB33" s="118"/>
      <c r="AC33" s="118"/>
      <c r="AE33" s="97">
        <f t="shared" si="3"/>
        <v>1.3951454753347121</v>
      </c>
      <c r="AF33" s="97">
        <f t="shared" si="3"/>
        <v>0.76749119716314684</v>
      </c>
      <c r="AG33" s="97">
        <f t="shared" si="3"/>
        <v>0.74593981276106125</v>
      </c>
      <c r="AH33" s="97">
        <f t="shared" si="3"/>
        <v>1.1047091143909982</v>
      </c>
      <c r="AI33" s="97">
        <f t="shared" si="3"/>
        <v>0.68171663401438221</v>
      </c>
      <c r="AJ33" s="97">
        <f t="shared" si="3"/>
        <v>0.64386956558821284</v>
      </c>
      <c r="AK33" s="99">
        <f t="shared" si="3"/>
        <v>0</v>
      </c>
      <c r="AL33" s="99">
        <f t="shared" si="3"/>
        <v>0</v>
      </c>
      <c r="AM33" s="99">
        <f t="shared" si="3"/>
        <v>0</v>
      </c>
      <c r="AN33" s="99">
        <f t="shared" si="3"/>
        <v>0</v>
      </c>
      <c r="AO33" s="99">
        <f t="shared" si="3"/>
        <v>0</v>
      </c>
      <c r="AP33" s="99">
        <f t="shared" si="3"/>
        <v>0</v>
      </c>
      <c r="AQ33" s="97"/>
      <c r="AR33" s="99">
        <f t="shared" si="4"/>
        <v>1.3951</v>
      </c>
      <c r="AS33" s="99">
        <f t="shared" si="4"/>
        <v>0.76749999999999996</v>
      </c>
      <c r="AT33" s="99">
        <f t="shared" si="4"/>
        <v>0.74590000000000001</v>
      </c>
      <c r="AU33" s="99">
        <f t="shared" si="4"/>
        <v>1.1047</v>
      </c>
      <c r="AV33" s="99">
        <f t="shared" si="4"/>
        <v>0.68169999999999997</v>
      </c>
      <c r="AW33" s="99">
        <f t="shared" si="4"/>
        <v>0.64390000000000003</v>
      </c>
      <c r="AX33" s="99">
        <f t="shared" si="4"/>
        <v>0</v>
      </c>
      <c r="AY33" s="99">
        <f t="shared" si="4"/>
        <v>0</v>
      </c>
      <c r="AZ33" s="99">
        <f t="shared" si="4"/>
        <v>0</v>
      </c>
      <c r="BA33" s="99">
        <f t="shared" si="4"/>
        <v>0</v>
      </c>
      <c r="BB33" s="99">
        <f t="shared" si="4"/>
        <v>0</v>
      </c>
      <c r="BC33" s="99">
        <f t="shared" si="4"/>
        <v>0</v>
      </c>
      <c r="BD33" s="97"/>
      <c r="BE33" s="1">
        <f>IFERROR(VLOOKUP(AR33,'Top WS'!$A$19:$C$28,3),0)</f>
        <v>520</v>
      </c>
      <c r="BF33" s="1">
        <f>IFERROR(VLOOKUP(AS33,'Top WS'!$A$19:$C$28,3),0)</f>
        <v>400</v>
      </c>
      <c r="BG33" s="1">
        <f>IFERROR(VLOOKUP(AT33,'Top WS'!$A$19:$C$28,3),0)</f>
        <v>400</v>
      </c>
      <c r="BH33" s="1">
        <f>IFERROR(VLOOKUP(AU33,'Top WS'!$A$19:$C$28,3),0)</f>
        <v>460</v>
      </c>
      <c r="BI33" s="1">
        <f>IFERROR(VLOOKUP(AV33,'Top WS'!$A$19:$C$28,3),0)</f>
        <v>400</v>
      </c>
      <c r="BJ33" s="1">
        <f>IFERROR(VLOOKUP(AW33,'Top WS'!$A$19:$C$28,3),0)</f>
        <v>400</v>
      </c>
      <c r="BK33" s="98">
        <f>IFERROR(VLOOKUP(AX33,'Top WS'!$A$19:$C$28,3),0)</f>
        <v>400</v>
      </c>
      <c r="BL33" s="98">
        <f>IFERROR(VLOOKUP(AY33,'Top WS'!$A$19:$C$28,3),0)</f>
        <v>400</v>
      </c>
      <c r="BM33" s="98">
        <f>IFERROR(VLOOKUP(AZ33,'Top WS'!$A$19:$C$28,3),0)</f>
        <v>400</v>
      </c>
      <c r="BN33" s="98">
        <f>IFERROR(VLOOKUP(BA33,'Top WS'!$A$19:$C$28,3),0)</f>
        <v>400</v>
      </c>
      <c r="BO33" s="98">
        <f>IFERROR(VLOOKUP(BB33,'Top WS'!$A$19:$C$28,3),0)</f>
        <v>400</v>
      </c>
      <c r="BP33" s="98">
        <f>IFERROR(VLOOKUP(BC33,'Top WS'!$A$19:$C$28,3),0)</f>
        <v>400</v>
      </c>
      <c r="BQ33" s="1">
        <f t="shared" si="5"/>
        <v>4980</v>
      </c>
    </row>
    <row r="34" spans="1:69" x14ac:dyDescent="0.4">
      <c r="A34">
        <v>1190033301</v>
      </c>
      <c r="B34">
        <f>VLOOKUP(A34,'Aji Plus'!$A$2:$D$58,2,0)</f>
        <v>63139</v>
      </c>
      <c r="C34" t="str">
        <f>VLOOKUP(A34,'Aji Plus'!$A$2:$D$58,3,0)</f>
        <v>นายเมธา กันทสัง</v>
      </c>
      <c r="D34" t="str">
        <f>VLOOKUP(A34,'Aji Plus'!$A$2:$D$58,4,0)</f>
        <v>Nakornpathom</v>
      </c>
      <c r="E34" s="1">
        <v>96.095056610870756</v>
      </c>
      <c r="F34" s="1">
        <v>81.535199548617612</v>
      </c>
      <c r="G34" s="1">
        <v>248.16467481662576</v>
      </c>
      <c r="H34" s="1">
        <v>106.12518036486739</v>
      </c>
      <c r="I34" s="1">
        <v>91.888875681775403</v>
      </c>
      <c r="J34" s="1">
        <v>322.25816964453622</v>
      </c>
      <c r="K34" s="1">
        <v>95.124399473387214</v>
      </c>
      <c r="L34" s="1">
        <v>229.72218920443851</v>
      </c>
      <c r="M34" s="1">
        <v>91.241770923453004</v>
      </c>
      <c r="N34" s="1">
        <v>144.95146586420904</v>
      </c>
      <c r="O34" s="1">
        <v>111.62557081060744</v>
      </c>
      <c r="P34" s="1">
        <v>101.59544705661079</v>
      </c>
      <c r="R34" s="1">
        <f>VLOOKUP(A34,Actual_RDQ!$A$2:$H$62,3,0)</f>
        <v>57.6</v>
      </c>
      <c r="S34" s="1">
        <f>VLOOKUP(A34,Actual_RDQ!$A$2:$H$62,4,0)</f>
        <v>249.98399999999998</v>
      </c>
      <c r="T34" s="1">
        <f>VLOOKUP(A34,Actual_RDQ!$A$2:$H$62,5,0)</f>
        <v>81.215999999999994</v>
      </c>
      <c r="U34" s="1">
        <f>VLOOKUP(A34,Actual_RDQ!$A$2:$H$62,6,0)</f>
        <v>187.20000000000005</v>
      </c>
      <c r="V34" s="1">
        <f>VLOOKUP(A34,Actual_RDQ!$A$2:$H$62,7,0)</f>
        <v>73.152000000000001</v>
      </c>
      <c r="W34" s="1">
        <f>VLOOKUP(A34,Actual_RDQ!$A$2:$H$62,8,0)</f>
        <v>123.26400000000001</v>
      </c>
      <c r="X34" s="118"/>
      <c r="Y34" s="118"/>
      <c r="Z34" s="118"/>
      <c r="AA34" s="118"/>
      <c r="AB34" s="118"/>
      <c r="AC34" s="118"/>
      <c r="AE34" s="97">
        <f t="shared" si="3"/>
        <v>0.59940648386572681</v>
      </c>
      <c r="AF34" s="97">
        <f t="shared" si="3"/>
        <v>3.0659641649731921</v>
      </c>
      <c r="AG34" s="97">
        <f t="shared" si="3"/>
        <v>0.3272665622535208</v>
      </c>
      <c r="AH34" s="97">
        <f t="shared" si="3"/>
        <v>1.7639545992420511</v>
      </c>
      <c r="AI34" s="97">
        <f t="shared" si="3"/>
        <v>0.79609201284969533</v>
      </c>
      <c r="AJ34" s="97">
        <f t="shared" si="3"/>
        <v>0.38250077611985811</v>
      </c>
      <c r="AK34" s="99">
        <f t="shared" si="3"/>
        <v>0</v>
      </c>
      <c r="AL34" s="99">
        <f t="shared" si="3"/>
        <v>0</v>
      </c>
      <c r="AM34" s="99">
        <f t="shared" si="3"/>
        <v>0</v>
      </c>
      <c r="AN34" s="99">
        <f t="shared" si="3"/>
        <v>0</v>
      </c>
      <c r="AO34" s="99">
        <f t="shared" si="3"/>
        <v>0</v>
      </c>
      <c r="AP34" s="99">
        <f t="shared" si="3"/>
        <v>0</v>
      </c>
      <c r="AQ34" s="97"/>
      <c r="AR34" s="99">
        <f t="shared" si="4"/>
        <v>0.59940000000000004</v>
      </c>
      <c r="AS34" s="99">
        <f t="shared" si="4"/>
        <v>3.0659999999999998</v>
      </c>
      <c r="AT34" s="99">
        <f t="shared" si="4"/>
        <v>0.32729999999999998</v>
      </c>
      <c r="AU34" s="99">
        <f t="shared" si="4"/>
        <v>1.764</v>
      </c>
      <c r="AV34" s="99">
        <f t="shared" si="4"/>
        <v>0.79610000000000003</v>
      </c>
      <c r="AW34" s="99">
        <f t="shared" si="4"/>
        <v>0.38250000000000001</v>
      </c>
      <c r="AX34" s="99">
        <f t="shared" si="4"/>
        <v>0</v>
      </c>
      <c r="AY34" s="99">
        <f t="shared" si="4"/>
        <v>0</v>
      </c>
      <c r="AZ34" s="99">
        <f t="shared" si="4"/>
        <v>0</v>
      </c>
      <c r="BA34" s="99">
        <f t="shared" si="4"/>
        <v>0</v>
      </c>
      <c r="BB34" s="99">
        <f t="shared" si="4"/>
        <v>0</v>
      </c>
      <c r="BC34" s="99">
        <f t="shared" si="4"/>
        <v>0</v>
      </c>
      <c r="BD34" s="97"/>
      <c r="BE34" s="1">
        <f>IFERROR(VLOOKUP(AR34,'Top WS'!$A$19:$C$28,3),0)</f>
        <v>400</v>
      </c>
      <c r="BF34" s="1">
        <f>IFERROR(VLOOKUP(AS34,'Top WS'!$A$19:$C$28,3),0)</f>
        <v>520</v>
      </c>
      <c r="BG34" s="1">
        <f>IFERROR(VLOOKUP(AT34,'Top WS'!$A$19:$C$28,3),0)</f>
        <v>400</v>
      </c>
      <c r="BH34" s="1">
        <f>IFERROR(VLOOKUP(AU34,'Top WS'!$A$19:$C$28,3),0)</f>
        <v>520</v>
      </c>
      <c r="BI34" s="1">
        <f>IFERROR(VLOOKUP(AV34,'Top WS'!$A$19:$C$28,3),0)</f>
        <v>400</v>
      </c>
      <c r="BJ34" s="1">
        <f>IFERROR(VLOOKUP(AW34,'Top WS'!$A$19:$C$28,3),0)</f>
        <v>400</v>
      </c>
      <c r="BK34" s="98">
        <f>IFERROR(VLOOKUP(AX34,'Top WS'!$A$19:$C$28,3),0)</f>
        <v>400</v>
      </c>
      <c r="BL34" s="98">
        <f>IFERROR(VLOOKUP(AY34,'Top WS'!$A$19:$C$28,3),0)</f>
        <v>400</v>
      </c>
      <c r="BM34" s="98">
        <f>IFERROR(VLOOKUP(AZ34,'Top WS'!$A$19:$C$28,3),0)</f>
        <v>400</v>
      </c>
      <c r="BN34" s="98">
        <f>IFERROR(VLOOKUP(BA34,'Top WS'!$A$19:$C$28,3),0)</f>
        <v>400</v>
      </c>
      <c r="BO34" s="98">
        <f>IFERROR(VLOOKUP(BB34,'Top WS'!$A$19:$C$28,3),0)</f>
        <v>400</v>
      </c>
      <c r="BP34" s="98">
        <f>IFERROR(VLOOKUP(BC34,'Top WS'!$A$19:$C$28,3),0)</f>
        <v>400</v>
      </c>
      <c r="BQ34" s="1">
        <f t="shared" si="5"/>
        <v>5040</v>
      </c>
    </row>
    <row r="35" spans="1:69" x14ac:dyDescent="0.4">
      <c r="A35">
        <v>1190033302</v>
      </c>
      <c r="B35">
        <f>VLOOKUP(A35,'Aji Plus'!$A$2:$D$58,2,0)</f>
        <v>101039</v>
      </c>
      <c r="C35" t="str">
        <f>VLOOKUP(A35,'Aji Plus'!$A$2:$D$58,3,0)</f>
        <v>นายสุชล ลีลากิจทรัพย์</v>
      </c>
      <c r="D35" t="str">
        <f>VLOOKUP(A35,'Aji Plus'!$A$2:$D$58,4,0)</f>
        <v>Nakornpathom</v>
      </c>
      <c r="E35" s="1">
        <v>104.43719842016172</v>
      </c>
      <c r="F35" s="1">
        <v>88.613380477712965</v>
      </c>
      <c r="G35" s="1">
        <v>269.70818581907076</v>
      </c>
      <c r="H35" s="1">
        <v>115.33805078051532</v>
      </c>
      <c r="I35" s="1">
        <v>99.865873236787635</v>
      </c>
      <c r="J35" s="1">
        <v>350.23383712619881</v>
      </c>
      <c r="K35" s="1">
        <v>103.38227722399847</v>
      </c>
      <c r="L35" s="1">
        <v>249.66468309196907</v>
      </c>
      <c r="M35" s="1">
        <v>99.162592439345431</v>
      </c>
      <c r="N35" s="1">
        <v>157.53489862704524</v>
      </c>
      <c r="O35" s="1">
        <v>121.3159375587737</v>
      </c>
      <c r="P35" s="1">
        <v>110.41508519842007</v>
      </c>
      <c r="R35" s="1">
        <f>VLOOKUP(A35,Actual_RDQ!$A$2:$H$62,3,0)</f>
        <v>147.45599999999996</v>
      </c>
      <c r="S35" s="1">
        <f>VLOOKUP(A35,Actual_RDQ!$A$2:$H$62,4,0)</f>
        <v>196.99200000000002</v>
      </c>
      <c r="T35" s="1">
        <f>VLOOKUP(A35,Actual_RDQ!$A$2:$H$62,5,0)</f>
        <v>124.416</v>
      </c>
      <c r="U35" s="1">
        <f>VLOOKUP(A35,Actual_RDQ!$A$2:$H$62,6,0)</f>
        <v>278.20800000000003</v>
      </c>
      <c r="V35" s="1">
        <f>VLOOKUP(A35,Actual_RDQ!$A$2:$H$62,7,0)</f>
        <v>143.42400000000004</v>
      </c>
      <c r="W35" s="1">
        <f>VLOOKUP(A35,Actual_RDQ!$A$2:$H$62,8,0)</f>
        <v>173.37599999999998</v>
      </c>
      <c r="X35" s="118"/>
      <c r="Y35" s="118"/>
      <c r="Z35" s="118"/>
      <c r="AA35" s="118"/>
      <c r="AB35" s="118"/>
      <c r="AC35" s="118"/>
      <c r="AE35" s="97">
        <f t="shared" si="3"/>
        <v>1.4119107198449456</v>
      </c>
      <c r="AF35" s="97">
        <f t="shared" si="3"/>
        <v>2.22305027680944</v>
      </c>
      <c r="AG35" s="97">
        <f t="shared" si="3"/>
        <v>0.46129856838480382</v>
      </c>
      <c r="AH35" s="97">
        <f t="shared" si="3"/>
        <v>2.4121094306459288</v>
      </c>
      <c r="AI35" s="97">
        <f t="shared" si="3"/>
        <v>1.4361662833502054</v>
      </c>
      <c r="AJ35" s="97">
        <f t="shared" si="3"/>
        <v>0.4950292679388596</v>
      </c>
      <c r="AK35" s="99">
        <f t="shared" si="3"/>
        <v>0</v>
      </c>
      <c r="AL35" s="99">
        <f t="shared" si="3"/>
        <v>0</v>
      </c>
      <c r="AM35" s="99">
        <f t="shared" si="3"/>
        <v>0</v>
      </c>
      <c r="AN35" s="99">
        <f t="shared" si="3"/>
        <v>0</v>
      </c>
      <c r="AO35" s="99">
        <f t="shared" si="3"/>
        <v>0</v>
      </c>
      <c r="AP35" s="99">
        <f t="shared" si="3"/>
        <v>0</v>
      </c>
      <c r="AQ35" s="97"/>
      <c r="AR35" s="99">
        <f t="shared" si="4"/>
        <v>1.4118999999999999</v>
      </c>
      <c r="AS35" s="99">
        <f t="shared" si="4"/>
        <v>2.2231000000000001</v>
      </c>
      <c r="AT35" s="99">
        <f t="shared" si="4"/>
        <v>0.46129999999999999</v>
      </c>
      <c r="AU35" s="99">
        <f t="shared" si="4"/>
        <v>2.4121000000000001</v>
      </c>
      <c r="AV35" s="99">
        <f t="shared" si="4"/>
        <v>1.4361999999999999</v>
      </c>
      <c r="AW35" s="99">
        <f t="shared" si="4"/>
        <v>0.495</v>
      </c>
      <c r="AX35" s="99">
        <f t="shared" si="4"/>
        <v>0</v>
      </c>
      <c r="AY35" s="99">
        <f t="shared" si="4"/>
        <v>0</v>
      </c>
      <c r="AZ35" s="99">
        <f t="shared" si="4"/>
        <v>0</v>
      </c>
      <c r="BA35" s="99">
        <f t="shared" si="4"/>
        <v>0</v>
      </c>
      <c r="BB35" s="99">
        <f t="shared" si="4"/>
        <v>0</v>
      </c>
      <c r="BC35" s="99">
        <f t="shared" si="4"/>
        <v>0</v>
      </c>
      <c r="BD35" s="97"/>
      <c r="BE35" s="1">
        <f>IFERROR(VLOOKUP(AR35,'Top WS'!$A$19:$C$28,3),0)</f>
        <v>520</v>
      </c>
      <c r="BF35" s="1">
        <f>IFERROR(VLOOKUP(AS35,'Top WS'!$A$19:$C$28,3),0)</f>
        <v>520</v>
      </c>
      <c r="BG35" s="1">
        <f>IFERROR(VLOOKUP(AT35,'Top WS'!$A$19:$C$28,3),0)</f>
        <v>400</v>
      </c>
      <c r="BH35" s="1">
        <f>IFERROR(VLOOKUP(AU35,'Top WS'!$A$19:$C$28,3),0)</f>
        <v>520</v>
      </c>
      <c r="BI35" s="1">
        <f>IFERROR(VLOOKUP(AV35,'Top WS'!$A$19:$C$28,3),0)</f>
        <v>520</v>
      </c>
      <c r="BJ35" s="1">
        <f>IFERROR(VLOOKUP(AW35,'Top WS'!$A$19:$C$28,3),0)</f>
        <v>400</v>
      </c>
      <c r="BK35" s="98">
        <f>IFERROR(VLOOKUP(AX35,'Top WS'!$A$19:$C$28,3),0)</f>
        <v>400</v>
      </c>
      <c r="BL35" s="98">
        <f>IFERROR(VLOOKUP(AY35,'Top WS'!$A$19:$C$28,3),0)</f>
        <v>400</v>
      </c>
      <c r="BM35" s="98">
        <f>IFERROR(VLOOKUP(AZ35,'Top WS'!$A$19:$C$28,3),0)</f>
        <v>400</v>
      </c>
      <c r="BN35" s="98">
        <f>IFERROR(VLOOKUP(BA35,'Top WS'!$A$19:$C$28,3),0)</f>
        <v>400</v>
      </c>
      <c r="BO35" s="98">
        <f>IFERROR(VLOOKUP(BB35,'Top WS'!$A$19:$C$28,3),0)</f>
        <v>400</v>
      </c>
      <c r="BP35" s="98">
        <f>IFERROR(VLOOKUP(BC35,'Top WS'!$A$19:$C$28,3),0)</f>
        <v>400</v>
      </c>
      <c r="BQ35" s="1">
        <f t="shared" si="5"/>
        <v>5280</v>
      </c>
    </row>
    <row r="36" spans="1:69" x14ac:dyDescent="0.4">
      <c r="A36">
        <v>1190037301</v>
      </c>
      <c r="B36">
        <f>VLOOKUP(A36,'Aji Plus'!$A$2:$D$58,2,0)</f>
        <v>100570</v>
      </c>
      <c r="C36" t="str">
        <f>VLOOKUP(A36,'Aji Plus'!$A$2:$D$58,3,0)</f>
        <v>นายอดิเรก ศรีนุกูล</v>
      </c>
      <c r="D36" t="str">
        <f>VLOOKUP(A36,'Aji Plus'!$A$2:$D$58,4,0)</f>
        <v>Chonburi</v>
      </c>
      <c r="E36" s="1">
        <v>109</v>
      </c>
      <c r="F36" s="1">
        <v>51</v>
      </c>
      <c r="G36" s="1">
        <v>208</v>
      </c>
      <c r="H36" s="1">
        <v>128</v>
      </c>
      <c r="I36" s="1">
        <v>95</v>
      </c>
      <c r="J36" s="1">
        <v>111</v>
      </c>
      <c r="K36" s="1">
        <v>138</v>
      </c>
      <c r="L36" s="1">
        <v>116</v>
      </c>
      <c r="M36" s="1">
        <v>148</v>
      </c>
      <c r="N36" s="1">
        <v>106</v>
      </c>
      <c r="O36" s="1">
        <v>112</v>
      </c>
      <c r="P36" s="1">
        <v>97</v>
      </c>
      <c r="R36" s="1">
        <f>VLOOKUP(A36,Actual_RDQ!$A$2:$H$62,3,0)</f>
        <v>107.42400000000002</v>
      </c>
      <c r="S36" s="1">
        <f>VLOOKUP(A36,Actual_RDQ!$A$2:$H$62,4,0)</f>
        <v>171.93599999999995</v>
      </c>
      <c r="T36" s="1">
        <f>VLOOKUP(A36,Actual_RDQ!$A$2:$H$62,5,0)</f>
        <v>130.17600000000002</v>
      </c>
      <c r="U36" s="1">
        <f>VLOOKUP(A36,Actual_RDQ!$A$2:$H$62,6,0)</f>
        <v>49.536000000000008</v>
      </c>
      <c r="V36" s="1">
        <f>VLOOKUP(A36,Actual_RDQ!$A$2:$H$62,7,0)</f>
        <v>20.736000000000001</v>
      </c>
      <c r="W36" s="1">
        <f>VLOOKUP(A36,Actual_RDQ!$A$2:$H$62,8,0)</f>
        <v>14.975999999999999</v>
      </c>
      <c r="X36" s="118"/>
      <c r="Y36" s="118"/>
      <c r="Z36" s="118"/>
      <c r="AA36" s="118"/>
      <c r="AB36" s="118"/>
      <c r="AC36" s="118"/>
      <c r="AE36" s="97">
        <f t="shared" si="3"/>
        <v>0.98554128440366995</v>
      </c>
      <c r="AF36" s="97">
        <f t="shared" si="3"/>
        <v>3.3712941176470577</v>
      </c>
      <c r="AG36" s="97">
        <f t="shared" si="3"/>
        <v>0.62584615384615394</v>
      </c>
      <c r="AH36" s="97">
        <f t="shared" si="3"/>
        <v>0.38700000000000007</v>
      </c>
      <c r="AI36" s="97">
        <f t="shared" si="3"/>
        <v>0.21827368421052631</v>
      </c>
      <c r="AJ36" s="97">
        <f t="shared" si="3"/>
        <v>0.13491891891891891</v>
      </c>
      <c r="AK36" s="99">
        <f t="shared" si="3"/>
        <v>0</v>
      </c>
      <c r="AL36" s="99">
        <f t="shared" si="3"/>
        <v>0</v>
      </c>
      <c r="AM36" s="99">
        <f t="shared" si="3"/>
        <v>0</v>
      </c>
      <c r="AN36" s="99">
        <f t="shared" si="3"/>
        <v>0</v>
      </c>
      <c r="AO36" s="99">
        <f t="shared" si="3"/>
        <v>0</v>
      </c>
      <c r="AP36" s="99">
        <f t="shared" si="3"/>
        <v>0</v>
      </c>
      <c r="AQ36" s="97"/>
      <c r="AR36" s="99">
        <f t="shared" si="4"/>
        <v>0.98550000000000004</v>
      </c>
      <c r="AS36" s="99">
        <f t="shared" si="4"/>
        <v>3.3713000000000002</v>
      </c>
      <c r="AT36" s="99">
        <f t="shared" si="4"/>
        <v>0.62580000000000002</v>
      </c>
      <c r="AU36" s="99">
        <f t="shared" si="4"/>
        <v>0.38700000000000001</v>
      </c>
      <c r="AV36" s="99">
        <f t="shared" si="4"/>
        <v>0.21829999999999999</v>
      </c>
      <c r="AW36" s="99">
        <f t="shared" si="4"/>
        <v>0.13489999999999999</v>
      </c>
      <c r="AX36" s="99">
        <f t="shared" si="4"/>
        <v>0</v>
      </c>
      <c r="AY36" s="99">
        <f t="shared" si="4"/>
        <v>0</v>
      </c>
      <c r="AZ36" s="99">
        <f t="shared" si="4"/>
        <v>0</v>
      </c>
      <c r="BA36" s="99">
        <f t="shared" si="4"/>
        <v>0</v>
      </c>
      <c r="BB36" s="99">
        <f t="shared" si="4"/>
        <v>0</v>
      </c>
      <c r="BC36" s="99">
        <f t="shared" si="4"/>
        <v>0</v>
      </c>
      <c r="BD36" s="97"/>
      <c r="BE36" s="1">
        <f>IFERROR(VLOOKUP(AR36,'Top WS'!$A$19:$C$28,3),0)</f>
        <v>400</v>
      </c>
      <c r="BF36" s="1">
        <f>IFERROR(VLOOKUP(AS36,'Top WS'!$A$19:$C$28,3),0)</f>
        <v>520</v>
      </c>
      <c r="BG36" s="1">
        <f>IFERROR(VLOOKUP(AT36,'Top WS'!$A$19:$C$28,3),0)</f>
        <v>400</v>
      </c>
      <c r="BH36" s="1">
        <f>IFERROR(VLOOKUP(AU36,'Top WS'!$A$19:$C$28,3),0)</f>
        <v>400</v>
      </c>
      <c r="BI36" s="1">
        <f>IFERROR(VLOOKUP(AV36,'Top WS'!$A$19:$C$28,3),0)</f>
        <v>400</v>
      </c>
      <c r="BJ36" s="1">
        <f>IFERROR(VLOOKUP(AW36,'Top WS'!$A$19:$C$28,3),0)</f>
        <v>400</v>
      </c>
      <c r="BK36" s="98">
        <f>IFERROR(VLOOKUP(AX36,'Top WS'!$A$19:$C$28,3),0)</f>
        <v>400</v>
      </c>
      <c r="BL36" s="98">
        <f>IFERROR(VLOOKUP(AY36,'Top WS'!$A$19:$C$28,3),0)</f>
        <v>400</v>
      </c>
      <c r="BM36" s="98">
        <f>IFERROR(VLOOKUP(AZ36,'Top WS'!$A$19:$C$28,3),0)</f>
        <v>400</v>
      </c>
      <c r="BN36" s="98">
        <f>IFERROR(VLOOKUP(BA36,'Top WS'!$A$19:$C$28,3),0)</f>
        <v>400</v>
      </c>
      <c r="BO36" s="98">
        <f>IFERROR(VLOOKUP(BB36,'Top WS'!$A$19:$C$28,3),0)</f>
        <v>400</v>
      </c>
      <c r="BP36" s="98">
        <f>IFERROR(VLOOKUP(BC36,'Top WS'!$A$19:$C$28,3),0)</f>
        <v>400</v>
      </c>
      <c r="BQ36" s="1">
        <f t="shared" si="5"/>
        <v>4920</v>
      </c>
    </row>
    <row r="37" spans="1:69" x14ac:dyDescent="0.4">
      <c r="A37">
        <v>1190037401</v>
      </c>
      <c r="B37">
        <f>VLOOKUP(A37,'Aji Plus'!$A$2:$D$58,2,0)</f>
        <v>28171</v>
      </c>
      <c r="C37" t="str">
        <f>VLOOKUP(A37,'Aji Plus'!$A$2:$D$58,3,0)</f>
        <v>นายไพฑูรย์ ไกรลาศ</v>
      </c>
      <c r="D37" t="str">
        <f>VLOOKUP(A37,'Aji Plus'!$A$2:$D$58,4,0)</f>
        <v>Sa Kaeo</v>
      </c>
      <c r="E37" s="1">
        <v>15.417142289939946</v>
      </c>
      <c r="F37" s="1">
        <v>27.995434016576503</v>
      </c>
      <c r="G37" s="1">
        <v>17.786490644697007</v>
      </c>
      <c r="H37" s="1">
        <v>19.462504342647279</v>
      </c>
      <c r="I37" s="1">
        <v>10.443694476152663</v>
      </c>
      <c r="J37" s="1">
        <v>11.901335053848825</v>
      </c>
      <c r="K37" s="1">
        <v>23.223981339024267</v>
      </c>
      <c r="L37" s="1">
        <v>18.288748821281452</v>
      </c>
      <c r="M37" s="1">
        <v>21.498833689016823</v>
      </c>
      <c r="N37" s="1">
        <v>18.059457045014639</v>
      </c>
      <c r="O37" s="1">
        <v>21.891905305474218</v>
      </c>
      <c r="P37" s="1">
        <v>14.030472976326369</v>
      </c>
      <c r="R37" s="1">
        <f>VLOOKUP(A37,Actual_RDQ!$A$2:$H$62,3,0)</f>
        <v>40.32</v>
      </c>
      <c r="S37" s="1">
        <f>VLOOKUP(A37,Actual_RDQ!$A$2:$H$62,4,0)</f>
        <v>5.76</v>
      </c>
      <c r="T37" s="1">
        <f>VLOOKUP(A37,Actual_RDQ!$A$2:$H$62,5,0)</f>
        <v>2.88</v>
      </c>
      <c r="U37" s="1">
        <f>VLOOKUP(A37,Actual_RDQ!$A$2:$H$62,6,0)</f>
        <v>25.92</v>
      </c>
      <c r="V37" s="1">
        <f>VLOOKUP(A37,Actual_RDQ!$A$2:$H$62,7,0)</f>
        <v>31.679999999999993</v>
      </c>
      <c r="W37" s="1">
        <f>VLOOKUP(A37,Actual_RDQ!$A$2:$H$62,8,0)</f>
        <v>28.799999999999997</v>
      </c>
      <c r="X37" s="118"/>
      <c r="Y37" s="118"/>
      <c r="Z37" s="118"/>
      <c r="AA37" s="118"/>
      <c r="AB37" s="118"/>
      <c r="AC37" s="118"/>
      <c r="AE37" s="97">
        <f t="shared" si="3"/>
        <v>2.6152706670100438</v>
      </c>
      <c r="AF37" s="97">
        <f t="shared" si="3"/>
        <v>0.20574783718621473</v>
      </c>
      <c r="AG37" s="97">
        <f t="shared" si="3"/>
        <v>0.16192064289301858</v>
      </c>
      <c r="AH37" s="97">
        <f t="shared" si="3"/>
        <v>1.3317916103531813</v>
      </c>
      <c r="AI37" s="97">
        <f t="shared" si="3"/>
        <v>3.0334093047569257</v>
      </c>
      <c r="AJ37" s="97">
        <f t="shared" si="3"/>
        <v>2.4198965804837362</v>
      </c>
      <c r="AK37" s="99">
        <f t="shared" si="3"/>
        <v>0</v>
      </c>
      <c r="AL37" s="99">
        <f t="shared" si="3"/>
        <v>0</v>
      </c>
      <c r="AM37" s="99">
        <f t="shared" si="3"/>
        <v>0</v>
      </c>
      <c r="AN37" s="99">
        <f t="shared" si="3"/>
        <v>0</v>
      </c>
      <c r="AO37" s="99">
        <f t="shared" si="3"/>
        <v>0</v>
      </c>
      <c r="AP37" s="99">
        <f t="shared" si="3"/>
        <v>0</v>
      </c>
      <c r="AQ37" s="97"/>
      <c r="AR37" s="99">
        <f t="shared" si="4"/>
        <v>2.6153</v>
      </c>
      <c r="AS37" s="99">
        <f t="shared" si="4"/>
        <v>0.20569999999999999</v>
      </c>
      <c r="AT37" s="99">
        <f t="shared" si="4"/>
        <v>0.16189999999999999</v>
      </c>
      <c r="AU37" s="99">
        <f t="shared" si="4"/>
        <v>1.3318000000000001</v>
      </c>
      <c r="AV37" s="99">
        <f t="shared" si="4"/>
        <v>3.0333999999999999</v>
      </c>
      <c r="AW37" s="99">
        <f t="shared" si="4"/>
        <v>2.4199000000000002</v>
      </c>
      <c r="AX37" s="99">
        <f t="shared" si="4"/>
        <v>0</v>
      </c>
      <c r="AY37" s="99">
        <f t="shared" si="4"/>
        <v>0</v>
      </c>
      <c r="AZ37" s="99">
        <f t="shared" si="4"/>
        <v>0</v>
      </c>
      <c r="BA37" s="99">
        <f t="shared" si="4"/>
        <v>0</v>
      </c>
      <c r="BB37" s="99">
        <f t="shared" si="4"/>
        <v>0</v>
      </c>
      <c r="BC37" s="99">
        <f t="shared" si="4"/>
        <v>0</v>
      </c>
      <c r="BD37" s="97"/>
      <c r="BE37" s="1">
        <f>IFERROR(VLOOKUP(AR37,'Top WS'!$A$19:$C$28,3),0)</f>
        <v>520</v>
      </c>
      <c r="BF37" s="1">
        <f>IFERROR(VLOOKUP(AS37,'Top WS'!$A$19:$C$28,3),0)</f>
        <v>400</v>
      </c>
      <c r="BG37" s="1">
        <f>IFERROR(VLOOKUP(AT37,'Top WS'!$A$19:$C$28,3),0)</f>
        <v>400</v>
      </c>
      <c r="BH37" s="1">
        <f>IFERROR(VLOOKUP(AU37,'Top WS'!$A$19:$C$28,3),0)</f>
        <v>520</v>
      </c>
      <c r="BI37" s="1">
        <f>IFERROR(VLOOKUP(AV37,'Top WS'!$A$19:$C$28,3),0)</f>
        <v>520</v>
      </c>
      <c r="BJ37" s="1">
        <f>IFERROR(VLOOKUP(AW37,'Top WS'!$A$19:$C$28,3),0)</f>
        <v>520</v>
      </c>
      <c r="BK37" s="98">
        <f>IFERROR(VLOOKUP(AX37,'Top WS'!$A$19:$C$28,3),0)</f>
        <v>400</v>
      </c>
      <c r="BL37" s="98">
        <f>IFERROR(VLOOKUP(AY37,'Top WS'!$A$19:$C$28,3),0)</f>
        <v>400</v>
      </c>
      <c r="BM37" s="98">
        <f>IFERROR(VLOOKUP(AZ37,'Top WS'!$A$19:$C$28,3),0)</f>
        <v>400</v>
      </c>
      <c r="BN37" s="98">
        <f>IFERROR(VLOOKUP(BA37,'Top WS'!$A$19:$C$28,3),0)</f>
        <v>400</v>
      </c>
      <c r="BO37" s="98">
        <f>IFERROR(VLOOKUP(BB37,'Top WS'!$A$19:$C$28,3),0)</f>
        <v>400</v>
      </c>
      <c r="BP37" s="98">
        <f>IFERROR(VLOOKUP(BC37,'Top WS'!$A$19:$C$28,3),0)</f>
        <v>400</v>
      </c>
      <c r="BQ37" s="1">
        <f t="shared" si="5"/>
        <v>5280</v>
      </c>
    </row>
    <row r="38" spans="1:69" x14ac:dyDescent="0.4">
      <c r="A38">
        <v>1190043401</v>
      </c>
      <c r="B38">
        <f>VLOOKUP(A38,'Aji Plus'!$A$2:$D$58,2,0)</f>
        <v>75885</v>
      </c>
      <c r="C38" t="str">
        <f>VLOOKUP(A38,'Aji Plus'!$A$2:$D$58,3,0)</f>
        <v>นายมารุต ปราสัย</v>
      </c>
      <c r="D38" t="str">
        <f>VLOOKUP(A38,'Aji Plus'!$A$2:$D$58,4,0)</f>
        <v>Korat</v>
      </c>
      <c r="E38" s="1">
        <v>139.42484581817126</v>
      </c>
      <c r="F38" s="1">
        <v>150.60095578340187</v>
      </c>
      <c r="G38" s="1">
        <v>131.92422049156636</v>
      </c>
      <c r="H38" s="1">
        <v>149.62622218648801</v>
      </c>
      <c r="I38" s="1">
        <v>164.78783959189437</v>
      </c>
      <c r="J38" s="1">
        <v>137.13849318548901</v>
      </c>
      <c r="K38" s="1">
        <v>143.13385219417415</v>
      </c>
      <c r="L38" s="1">
        <v>141.78256902134947</v>
      </c>
      <c r="M38" s="1">
        <v>119.35180997718588</v>
      </c>
      <c r="N38" s="1">
        <v>192.74101150555583</v>
      </c>
      <c r="O38" s="1">
        <v>134.61300285290656</v>
      </c>
      <c r="P38" s="1">
        <v>141.12581947016014</v>
      </c>
      <c r="R38" s="1">
        <f>VLOOKUP(A38,Actual_RDQ!$A$2:$H$62,3,0)</f>
        <v>182.59200000000001</v>
      </c>
      <c r="S38" s="1">
        <f>VLOOKUP(A38,Actual_RDQ!$A$2:$H$62,4,0)</f>
        <v>138.24</v>
      </c>
      <c r="T38" s="1">
        <f>VLOOKUP(A38,Actual_RDQ!$A$2:$H$62,5,0)</f>
        <v>139.39200000000002</v>
      </c>
      <c r="U38" s="1">
        <f>VLOOKUP(A38,Actual_RDQ!$A$2:$H$62,6,0)</f>
        <v>177.98400000000001</v>
      </c>
      <c r="V38" s="1">
        <f>VLOOKUP(A38,Actual_RDQ!$A$2:$H$62,7,0)</f>
        <v>230.40000000000003</v>
      </c>
      <c r="W38" s="1">
        <f>VLOOKUP(A38,Actual_RDQ!$A$2:$H$62,8,0)</f>
        <v>167.328</v>
      </c>
      <c r="X38" s="118"/>
      <c r="Y38" s="118"/>
      <c r="Z38" s="118"/>
      <c r="AA38" s="118"/>
      <c r="AB38" s="118"/>
      <c r="AC38" s="118"/>
      <c r="AE38" s="97">
        <f t="shared" ref="AE38:AP58" si="6">R38/E38</f>
        <v>1.3096087639797322</v>
      </c>
      <c r="AF38" s="97">
        <f t="shared" si="6"/>
        <v>0.9179224612546304</v>
      </c>
      <c r="AG38" s="97">
        <f t="shared" si="6"/>
        <v>1.0566065842997425</v>
      </c>
      <c r="AH38" s="97">
        <f t="shared" si="6"/>
        <v>1.1895241181600376</v>
      </c>
      <c r="AI38" s="97">
        <f t="shared" si="6"/>
        <v>1.3981614211982971</v>
      </c>
      <c r="AJ38" s="97">
        <f t="shared" si="6"/>
        <v>1.2201388254549193</v>
      </c>
      <c r="AK38" s="99">
        <f t="shared" si="6"/>
        <v>0</v>
      </c>
      <c r="AL38" s="99">
        <f t="shared" si="6"/>
        <v>0</v>
      </c>
      <c r="AM38" s="99">
        <f t="shared" si="6"/>
        <v>0</v>
      </c>
      <c r="AN38" s="99">
        <f t="shared" si="6"/>
        <v>0</v>
      </c>
      <c r="AO38" s="99">
        <f t="shared" si="6"/>
        <v>0</v>
      </c>
      <c r="AP38" s="99">
        <f t="shared" si="6"/>
        <v>0</v>
      </c>
      <c r="AQ38" s="97"/>
      <c r="AR38" s="99">
        <f t="shared" ref="AR38:BC58" si="7">ROUND(AE38,4)</f>
        <v>1.3096000000000001</v>
      </c>
      <c r="AS38" s="99">
        <f t="shared" si="7"/>
        <v>0.91790000000000005</v>
      </c>
      <c r="AT38" s="99">
        <f t="shared" si="7"/>
        <v>1.0566</v>
      </c>
      <c r="AU38" s="99">
        <f t="shared" si="7"/>
        <v>1.1895</v>
      </c>
      <c r="AV38" s="99">
        <f t="shared" si="7"/>
        <v>1.3982000000000001</v>
      </c>
      <c r="AW38" s="99">
        <f t="shared" si="7"/>
        <v>1.2201</v>
      </c>
      <c r="AX38" s="99">
        <f t="shared" si="7"/>
        <v>0</v>
      </c>
      <c r="AY38" s="99">
        <f t="shared" si="7"/>
        <v>0</v>
      </c>
      <c r="AZ38" s="99">
        <f t="shared" si="7"/>
        <v>0</v>
      </c>
      <c r="BA38" s="99">
        <f t="shared" si="7"/>
        <v>0</v>
      </c>
      <c r="BB38" s="99">
        <f t="shared" si="7"/>
        <v>0</v>
      </c>
      <c r="BC38" s="99">
        <f t="shared" si="7"/>
        <v>0</v>
      </c>
      <c r="BD38" s="97"/>
      <c r="BE38" s="1">
        <f>IFERROR(VLOOKUP(AR38,'Top WS'!$A$19:$C$28,3),0)</f>
        <v>520</v>
      </c>
      <c r="BF38" s="1">
        <f>IFERROR(VLOOKUP(AS38,'Top WS'!$A$19:$C$28,3),0)</f>
        <v>400</v>
      </c>
      <c r="BG38" s="1">
        <f>IFERROR(VLOOKUP(AT38,'Top WS'!$A$19:$C$28,3),0)</f>
        <v>432</v>
      </c>
      <c r="BH38" s="1">
        <f>IFERROR(VLOOKUP(AU38,'Top WS'!$A$19:$C$28,3),0)</f>
        <v>480</v>
      </c>
      <c r="BI38" s="1">
        <f>IFERROR(VLOOKUP(AV38,'Top WS'!$A$19:$C$28,3),0)</f>
        <v>520</v>
      </c>
      <c r="BJ38" s="1">
        <f>IFERROR(VLOOKUP(AW38,'Top WS'!$A$19:$C$28,3),0)</f>
        <v>520</v>
      </c>
      <c r="BK38" s="98">
        <f>IFERROR(VLOOKUP(AX38,'Top WS'!$A$19:$C$28,3),0)</f>
        <v>400</v>
      </c>
      <c r="BL38" s="98">
        <f>IFERROR(VLOOKUP(AY38,'Top WS'!$A$19:$C$28,3),0)</f>
        <v>400</v>
      </c>
      <c r="BM38" s="98">
        <f>IFERROR(VLOOKUP(AZ38,'Top WS'!$A$19:$C$28,3),0)</f>
        <v>400</v>
      </c>
      <c r="BN38" s="98">
        <f>IFERROR(VLOOKUP(BA38,'Top WS'!$A$19:$C$28,3),0)</f>
        <v>400</v>
      </c>
      <c r="BO38" s="98">
        <f>IFERROR(VLOOKUP(BB38,'Top WS'!$A$19:$C$28,3),0)</f>
        <v>400</v>
      </c>
      <c r="BP38" s="98">
        <f>IFERROR(VLOOKUP(BC38,'Top WS'!$A$19:$C$28,3),0)</f>
        <v>400</v>
      </c>
      <c r="BQ38" s="1">
        <f t="shared" si="5"/>
        <v>5272</v>
      </c>
    </row>
    <row r="39" spans="1:69" x14ac:dyDescent="0.4">
      <c r="A39">
        <v>1190043402</v>
      </c>
      <c r="B39">
        <f>VLOOKUP(A39,'Aji Plus'!$A$2:$D$58,2,0)</f>
        <v>63707</v>
      </c>
      <c r="C39" t="str">
        <f>VLOOKUP(A39,'Aji Plus'!$A$2:$D$58,3,0)</f>
        <v>นายเกิดศักดิ์ คำศรี</v>
      </c>
      <c r="D39" t="str">
        <f>VLOOKUP(A39,'Aji Plus'!$A$2:$D$58,4,0)</f>
        <v>Korat</v>
      </c>
      <c r="E39" s="1">
        <v>104.62318242537268</v>
      </c>
      <c r="F39" s="1">
        <v>113.00963739928201</v>
      </c>
      <c r="G39" s="1">
        <v>98.994778913468053</v>
      </c>
      <c r="H39" s="1">
        <v>112.27820585042413</v>
      </c>
      <c r="I39" s="1">
        <v>123.65535067967663</v>
      </c>
      <c r="J39" s="1">
        <v>102.90752344670109</v>
      </c>
      <c r="K39" s="1">
        <v>107.40638830533101</v>
      </c>
      <c r="L39" s="1">
        <v>106.39239725467462</v>
      </c>
      <c r="M39" s="1">
        <v>89.560552244226358</v>
      </c>
      <c r="N39" s="1">
        <v>144.63116591066361</v>
      </c>
      <c r="O39" s="1">
        <v>101.01241763375386</v>
      </c>
      <c r="P39" s="1">
        <v>105.89957814701378</v>
      </c>
      <c r="R39" s="1">
        <f>VLOOKUP(A39,Actual_RDQ!$A$2:$H$62,3,0)</f>
        <v>144</v>
      </c>
      <c r="S39" s="1">
        <f>VLOOKUP(A39,Actual_RDQ!$A$2:$H$62,4,0)</f>
        <v>40.32</v>
      </c>
      <c r="T39" s="1">
        <f>VLOOKUP(A39,Actual_RDQ!$A$2:$H$62,5,0)</f>
        <v>158.976</v>
      </c>
      <c r="U39" s="1">
        <f>VLOOKUP(A39,Actual_RDQ!$A$2:$H$62,6,0)</f>
        <v>40.32</v>
      </c>
      <c r="V39" s="1">
        <f>VLOOKUP(A39,Actual_RDQ!$A$2:$H$62,7,0)</f>
        <v>88.703999999999994</v>
      </c>
      <c r="W39" s="1">
        <f>VLOOKUP(A39,Actual_RDQ!$A$2:$H$62,8,0)</f>
        <v>69.12</v>
      </c>
      <c r="X39" s="118"/>
      <c r="Y39" s="118"/>
      <c r="Z39" s="118"/>
      <c r="AA39" s="118"/>
      <c r="AB39" s="118"/>
      <c r="AC39" s="118"/>
      <c r="AE39" s="97">
        <f t="shared" si="6"/>
        <v>1.3763679966695208</v>
      </c>
      <c r="AF39" s="97">
        <f t="shared" si="6"/>
        <v>0.3567837303781683</v>
      </c>
      <c r="AG39" s="97">
        <f t="shared" si="6"/>
        <v>1.6059028743219064</v>
      </c>
      <c r="AH39" s="97">
        <f t="shared" si="6"/>
        <v>0.35910798266329524</v>
      </c>
      <c r="AI39" s="97">
        <f t="shared" si="6"/>
        <v>0.71734865909509682</v>
      </c>
      <c r="AJ39" s="97">
        <f t="shared" si="6"/>
        <v>0.67167100795890144</v>
      </c>
      <c r="AK39" s="99">
        <f t="shared" si="6"/>
        <v>0</v>
      </c>
      <c r="AL39" s="99">
        <f t="shared" si="6"/>
        <v>0</v>
      </c>
      <c r="AM39" s="99">
        <f t="shared" si="6"/>
        <v>0</v>
      </c>
      <c r="AN39" s="99">
        <f t="shared" si="6"/>
        <v>0</v>
      </c>
      <c r="AO39" s="99">
        <f t="shared" si="6"/>
        <v>0</v>
      </c>
      <c r="AP39" s="99">
        <f t="shared" si="6"/>
        <v>0</v>
      </c>
      <c r="AQ39" s="97"/>
      <c r="AR39" s="99">
        <f t="shared" si="7"/>
        <v>1.3764000000000001</v>
      </c>
      <c r="AS39" s="99">
        <f t="shared" si="7"/>
        <v>0.35680000000000001</v>
      </c>
      <c r="AT39" s="99">
        <f t="shared" si="7"/>
        <v>1.6059000000000001</v>
      </c>
      <c r="AU39" s="99">
        <f t="shared" si="7"/>
        <v>0.35909999999999997</v>
      </c>
      <c r="AV39" s="99">
        <f t="shared" si="7"/>
        <v>0.71730000000000005</v>
      </c>
      <c r="AW39" s="99">
        <f t="shared" si="7"/>
        <v>0.67169999999999996</v>
      </c>
      <c r="AX39" s="99">
        <f t="shared" si="7"/>
        <v>0</v>
      </c>
      <c r="AY39" s="99">
        <f t="shared" si="7"/>
        <v>0</v>
      </c>
      <c r="AZ39" s="99">
        <f t="shared" si="7"/>
        <v>0</v>
      </c>
      <c r="BA39" s="99">
        <f t="shared" si="7"/>
        <v>0</v>
      </c>
      <c r="BB39" s="99">
        <f t="shared" si="7"/>
        <v>0</v>
      </c>
      <c r="BC39" s="99">
        <f t="shared" si="7"/>
        <v>0</v>
      </c>
      <c r="BD39" s="97"/>
      <c r="BE39" s="1">
        <f>IFERROR(VLOOKUP(AR39,'Top WS'!$A$19:$C$28,3),0)</f>
        <v>520</v>
      </c>
      <c r="BF39" s="1">
        <f>IFERROR(VLOOKUP(AS39,'Top WS'!$A$19:$C$28,3),0)</f>
        <v>400</v>
      </c>
      <c r="BG39" s="1">
        <f>IFERROR(VLOOKUP(AT39,'Top WS'!$A$19:$C$28,3),0)</f>
        <v>520</v>
      </c>
      <c r="BH39" s="1">
        <f>IFERROR(VLOOKUP(AU39,'Top WS'!$A$19:$C$28,3),0)</f>
        <v>400</v>
      </c>
      <c r="BI39" s="1">
        <f>IFERROR(VLOOKUP(AV39,'Top WS'!$A$19:$C$28,3),0)</f>
        <v>400</v>
      </c>
      <c r="BJ39" s="1">
        <f>IFERROR(VLOOKUP(AW39,'Top WS'!$A$19:$C$28,3),0)</f>
        <v>400</v>
      </c>
      <c r="BK39" s="98">
        <f>IFERROR(VLOOKUP(AX39,'Top WS'!$A$19:$C$28,3),0)</f>
        <v>400</v>
      </c>
      <c r="BL39" s="98">
        <f>IFERROR(VLOOKUP(AY39,'Top WS'!$A$19:$C$28,3),0)</f>
        <v>400</v>
      </c>
      <c r="BM39" s="98">
        <f>IFERROR(VLOOKUP(AZ39,'Top WS'!$A$19:$C$28,3),0)</f>
        <v>400</v>
      </c>
      <c r="BN39" s="98">
        <f>IFERROR(VLOOKUP(BA39,'Top WS'!$A$19:$C$28,3),0)</f>
        <v>400</v>
      </c>
      <c r="BO39" s="98">
        <f>IFERROR(VLOOKUP(BB39,'Top WS'!$A$19:$C$28,3),0)</f>
        <v>400</v>
      </c>
      <c r="BP39" s="98">
        <f>IFERROR(VLOOKUP(BC39,'Top WS'!$A$19:$C$28,3),0)</f>
        <v>400</v>
      </c>
      <c r="BQ39" s="1">
        <f t="shared" si="5"/>
        <v>5040</v>
      </c>
    </row>
    <row r="40" spans="1:69" x14ac:dyDescent="0.4">
      <c r="A40">
        <v>1190043501</v>
      </c>
      <c r="B40">
        <f>VLOOKUP(A40,'Aji Plus'!$A$2:$D$58,2,0)</f>
        <v>76645</v>
      </c>
      <c r="C40" t="str">
        <f>VLOOKUP(A40,'Aji Plus'!$A$2:$D$58,3,0)</f>
        <v>นายอัครวินท์ เปลื้องทุกข์</v>
      </c>
      <c r="D40" t="str">
        <f>VLOOKUP(A40,'Aji Plus'!$A$2:$D$58,4,0)</f>
        <v>Ubolratchathani</v>
      </c>
      <c r="E40" s="1">
        <v>284.27509539578386</v>
      </c>
      <c r="F40" s="1">
        <v>307.06220846645601</v>
      </c>
      <c r="G40" s="1">
        <v>268.98197480643518</v>
      </c>
      <c r="H40" s="1">
        <v>305.07481171071902</v>
      </c>
      <c r="I40" s="1">
        <v>335.98802670467484</v>
      </c>
      <c r="J40" s="1">
        <v>279.61342186872992</v>
      </c>
      <c r="K40" s="1">
        <v>291.83743577474934</v>
      </c>
      <c r="L40" s="1">
        <v>289.08228728878709</v>
      </c>
      <c r="M40" s="1">
        <v>243.34792674737204</v>
      </c>
      <c r="N40" s="1">
        <v>392.98210524024677</v>
      </c>
      <c r="O40" s="1">
        <v>274.4641674370464</v>
      </c>
      <c r="P40" s="1">
        <v>287.74323225724009</v>
      </c>
      <c r="R40" s="1">
        <f>VLOOKUP(A40,Actual_RDQ!$A$2:$H$62,3,0)</f>
        <v>466.55999999999983</v>
      </c>
      <c r="S40" s="1">
        <f>VLOOKUP(A40,Actual_RDQ!$A$2:$H$62,4,0)</f>
        <v>277.05600000000004</v>
      </c>
      <c r="T40" s="1">
        <f>VLOOKUP(A40,Actual_RDQ!$A$2:$H$62,5,0)</f>
        <v>202.464</v>
      </c>
      <c r="U40" s="1">
        <f>VLOOKUP(A40,Actual_RDQ!$A$2:$H$62,6,0)</f>
        <v>151.48800000000003</v>
      </c>
      <c r="V40" s="1">
        <f>VLOOKUP(A40,Actual_RDQ!$A$2:$H$62,7,0)</f>
        <v>228.096</v>
      </c>
      <c r="W40" s="1">
        <f>VLOOKUP(A40,Actual_RDQ!$A$2:$H$62,8,0)</f>
        <v>262.36799999999999</v>
      </c>
      <c r="X40" s="118"/>
      <c r="Y40" s="118"/>
      <c r="Z40" s="118"/>
      <c r="AA40" s="118"/>
      <c r="AB40" s="118"/>
      <c r="AC40" s="118"/>
      <c r="AE40" s="97">
        <f t="shared" si="6"/>
        <v>1.6412271337045148</v>
      </c>
      <c r="AF40" s="97">
        <f t="shared" si="6"/>
        <v>0.90227970867429652</v>
      </c>
      <c r="AG40" s="97">
        <f t="shared" si="6"/>
        <v>0.75270471244661341</v>
      </c>
      <c r="AH40" s="97">
        <f t="shared" si="6"/>
        <v>0.49656016880097409</v>
      </c>
      <c r="AI40" s="97">
        <f t="shared" si="6"/>
        <v>0.67888133466282941</v>
      </c>
      <c r="AJ40" s="97">
        <f t="shared" si="6"/>
        <v>0.93832405557117304</v>
      </c>
      <c r="AK40" s="99">
        <f t="shared" si="6"/>
        <v>0</v>
      </c>
      <c r="AL40" s="99">
        <f t="shared" si="6"/>
        <v>0</v>
      </c>
      <c r="AM40" s="99">
        <f t="shared" si="6"/>
        <v>0</v>
      </c>
      <c r="AN40" s="99">
        <f t="shared" si="6"/>
        <v>0</v>
      </c>
      <c r="AO40" s="99">
        <f t="shared" si="6"/>
        <v>0</v>
      </c>
      <c r="AP40" s="99">
        <f t="shared" si="6"/>
        <v>0</v>
      </c>
      <c r="AQ40" s="97"/>
      <c r="AR40" s="99">
        <f t="shared" si="7"/>
        <v>1.6412</v>
      </c>
      <c r="AS40" s="99">
        <f t="shared" si="7"/>
        <v>0.90229999999999999</v>
      </c>
      <c r="AT40" s="99">
        <f t="shared" si="7"/>
        <v>0.75270000000000004</v>
      </c>
      <c r="AU40" s="99">
        <f t="shared" si="7"/>
        <v>0.49659999999999999</v>
      </c>
      <c r="AV40" s="99">
        <f t="shared" si="7"/>
        <v>0.67889999999999995</v>
      </c>
      <c r="AW40" s="99">
        <f t="shared" si="7"/>
        <v>0.93830000000000002</v>
      </c>
      <c r="AX40" s="99">
        <f t="shared" si="7"/>
        <v>0</v>
      </c>
      <c r="AY40" s="99">
        <f t="shared" si="7"/>
        <v>0</v>
      </c>
      <c r="AZ40" s="99">
        <f t="shared" si="7"/>
        <v>0</v>
      </c>
      <c r="BA40" s="99">
        <f t="shared" si="7"/>
        <v>0</v>
      </c>
      <c r="BB40" s="99">
        <f t="shared" si="7"/>
        <v>0</v>
      </c>
      <c r="BC40" s="99">
        <f t="shared" si="7"/>
        <v>0</v>
      </c>
      <c r="BD40" s="97"/>
      <c r="BE40" s="1">
        <f>IFERROR(VLOOKUP(AR40,'Top WS'!$A$19:$C$28,3),0)</f>
        <v>520</v>
      </c>
      <c r="BF40" s="1">
        <f>IFERROR(VLOOKUP(AS40,'Top WS'!$A$19:$C$28,3),0)</f>
        <v>400</v>
      </c>
      <c r="BG40" s="1">
        <f>IFERROR(VLOOKUP(AT40,'Top WS'!$A$19:$C$28,3),0)</f>
        <v>400</v>
      </c>
      <c r="BH40" s="1">
        <f>IFERROR(VLOOKUP(AU40,'Top WS'!$A$19:$C$28,3),0)</f>
        <v>400</v>
      </c>
      <c r="BI40" s="1">
        <f>IFERROR(VLOOKUP(AV40,'Top WS'!$A$19:$C$28,3),0)</f>
        <v>400</v>
      </c>
      <c r="BJ40" s="1">
        <f>IFERROR(VLOOKUP(AW40,'Top WS'!$A$19:$C$28,3),0)</f>
        <v>400</v>
      </c>
      <c r="BK40" s="98">
        <f>IFERROR(VLOOKUP(AX40,'Top WS'!$A$19:$C$28,3),0)</f>
        <v>400</v>
      </c>
      <c r="BL40" s="98">
        <f>IFERROR(VLOOKUP(AY40,'Top WS'!$A$19:$C$28,3),0)</f>
        <v>400</v>
      </c>
      <c r="BM40" s="98">
        <f>IFERROR(VLOOKUP(AZ40,'Top WS'!$A$19:$C$28,3),0)</f>
        <v>400</v>
      </c>
      <c r="BN40" s="98">
        <f>IFERROR(VLOOKUP(BA40,'Top WS'!$A$19:$C$28,3),0)</f>
        <v>400</v>
      </c>
      <c r="BO40" s="98">
        <f>IFERROR(VLOOKUP(BB40,'Top WS'!$A$19:$C$28,3),0)</f>
        <v>400</v>
      </c>
      <c r="BP40" s="98">
        <f>IFERROR(VLOOKUP(BC40,'Top WS'!$A$19:$C$28,3),0)</f>
        <v>400</v>
      </c>
      <c r="BQ40" s="1">
        <f t="shared" si="5"/>
        <v>4920</v>
      </c>
    </row>
    <row r="41" spans="1:69" x14ac:dyDescent="0.4">
      <c r="A41">
        <v>1190043502</v>
      </c>
      <c r="B41">
        <f>VLOOKUP(A41,'Aji Plus'!$A$2:$D$58,2,0)</f>
        <v>26006</v>
      </c>
      <c r="C41" t="str">
        <f>VLOOKUP(A41,'Aji Plus'!$A$2:$D$58,3,0)</f>
        <v>นายกสิณวัชรฒ์ วงศ์กุลโชติ</v>
      </c>
      <c r="D41" t="str">
        <f>VLOOKUP(A41,'Aji Plus'!$A$2:$D$58,4,0)</f>
        <v>Ubolratchathani</v>
      </c>
      <c r="E41" s="1">
        <v>188.30805446424461</v>
      </c>
      <c r="F41" s="1">
        <v>203.40257733555299</v>
      </c>
      <c r="G41" s="1">
        <v>178.17766375640616</v>
      </c>
      <c r="H41" s="1">
        <v>202.08609614327568</v>
      </c>
      <c r="I41" s="1">
        <v>222.56346988100012</v>
      </c>
      <c r="J41" s="1">
        <v>185.22009253354912</v>
      </c>
      <c r="K41" s="1">
        <v>193.31746129243243</v>
      </c>
      <c r="L41" s="1">
        <v>191.49240992650348</v>
      </c>
      <c r="M41" s="1">
        <v>161.19728877376983</v>
      </c>
      <c r="N41" s="1">
        <v>260.31719582759985</v>
      </c>
      <c r="O41" s="1">
        <v>181.80914975426094</v>
      </c>
      <c r="P41" s="1">
        <v>190.60539994252966</v>
      </c>
      <c r="R41" s="1">
        <f>VLOOKUP(A41,Actual_RDQ!$A$2:$H$62,3,0)</f>
        <v>212.54399999999995</v>
      </c>
      <c r="S41" s="1">
        <f>VLOOKUP(A41,Actual_RDQ!$A$2:$H$62,4,0)</f>
        <v>277.91999999999996</v>
      </c>
      <c r="T41" s="1">
        <f>VLOOKUP(A41,Actual_RDQ!$A$2:$H$62,5,0)</f>
        <v>252.86400000000006</v>
      </c>
      <c r="U41" s="1">
        <f>VLOOKUP(A41,Actual_RDQ!$A$2:$H$62,6,0)</f>
        <v>41.759999999999991</v>
      </c>
      <c r="V41" s="1">
        <f>VLOOKUP(A41,Actual_RDQ!$A$2:$H$62,7,0)</f>
        <v>228.67200000000005</v>
      </c>
      <c r="W41" s="1">
        <f>VLOOKUP(A41,Actual_RDQ!$A$2:$H$62,8,0)</f>
        <v>184.31999999999996</v>
      </c>
      <c r="X41" s="118"/>
      <c r="Y41" s="118"/>
      <c r="Z41" s="118"/>
      <c r="AA41" s="118"/>
      <c r="AB41" s="118"/>
      <c r="AC41" s="118"/>
      <c r="AE41" s="97">
        <f t="shared" si="6"/>
        <v>1.1287037116107914</v>
      </c>
      <c r="AF41" s="97">
        <f t="shared" si="6"/>
        <v>1.3663543679759558</v>
      </c>
      <c r="AG41" s="97">
        <f t="shared" si="6"/>
        <v>1.4191677827008697</v>
      </c>
      <c r="AH41" s="97">
        <f t="shared" si="6"/>
        <v>0.20664459751052267</v>
      </c>
      <c r="AI41" s="97">
        <f t="shared" si="6"/>
        <v>1.0274462386943646</v>
      </c>
      <c r="AJ41" s="97">
        <f t="shared" si="6"/>
        <v>0.99514041634880346</v>
      </c>
      <c r="AK41" s="99">
        <f t="shared" si="6"/>
        <v>0</v>
      </c>
      <c r="AL41" s="99">
        <f t="shared" si="6"/>
        <v>0</v>
      </c>
      <c r="AM41" s="99">
        <f t="shared" si="6"/>
        <v>0</v>
      </c>
      <c r="AN41" s="99">
        <f t="shared" si="6"/>
        <v>0</v>
      </c>
      <c r="AO41" s="99">
        <f t="shared" si="6"/>
        <v>0</v>
      </c>
      <c r="AP41" s="99">
        <f t="shared" si="6"/>
        <v>0</v>
      </c>
      <c r="AQ41" s="97"/>
      <c r="AR41" s="99">
        <f t="shared" si="7"/>
        <v>1.1287</v>
      </c>
      <c r="AS41" s="99">
        <f t="shared" si="7"/>
        <v>1.3664000000000001</v>
      </c>
      <c r="AT41" s="99">
        <f t="shared" si="7"/>
        <v>1.4192</v>
      </c>
      <c r="AU41" s="99">
        <f t="shared" si="7"/>
        <v>0.20660000000000001</v>
      </c>
      <c r="AV41" s="99">
        <f t="shared" si="7"/>
        <v>1.0274000000000001</v>
      </c>
      <c r="AW41" s="99">
        <f t="shared" si="7"/>
        <v>0.99509999999999998</v>
      </c>
      <c r="AX41" s="99">
        <f t="shared" si="7"/>
        <v>0</v>
      </c>
      <c r="AY41" s="99">
        <f t="shared" si="7"/>
        <v>0</v>
      </c>
      <c r="AZ41" s="99">
        <f t="shared" si="7"/>
        <v>0</v>
      </c>
      <c r="BA41" s="99">
        <f t="shared" si="7"/>
        <v>0</v>
      </c>
      <c r="BB41" s="99">
        <f t="shared" si="7"/>
        <v>0</v>
      </c>
      <c r="BC41" s="99">
        <f t="shared" si="7"/>
        <v>0</v>
      </c>
      <c r="BD41" s="97"/>
      <c r="BE41" s="1">
        <f>IFERROR(VLOOKUP(AR41,'Top WS'!$A$19:$C$28,3),0)</f>
        <v>460</v>
      </c>
      <c r="BF41" s="1">
        <f>IFERROR(VLOOKUP(AS41,'Top WS'!$A$19:$C$28,3),0)</f>
        <v>520</v>
      </c>
      <c r="BG41" s="1">
        <f>IFERROR(VLOOKUP(AT41,'Top WS'!$A$19:$C$28,3),0)</f>
        <v>520</v>
      </c>
      <c r="BH41" s="1">
        <f>IFERROR(VLOOKUP(AU41,'Top WS'!$A$19:$C$28,3),0)</f>
        <v>400</v>
      </c>
      <c r="BI41" s="1">
        <f>IFERROR(VLOOKUP(AV41,'Top WS'!$A$19:$C$28,3),0)</f>
        <v>412</v>
      </c>
      <c r="BJ41" s="1">
        <f>IFERROR(VLOOKUP(AW41,'Top WS'!$A$19:$C$28,3),0)</f>
        <v>400</v>
      </c>
      <c r="BK41" s="98">
        <f>IFERROR(VLOOKUP(AX41,'Top WS'!$A$19:$C$28,3),0)</f>
        <v>400</v>
      </c>
      <c r="BL41" s="98">
        <f>IFERROR(VLOOKUP(AY41,'Top WS'!$A$19:$C$28,3),0)</f>
        <v>400</v>
      </c>
      <c r="BM41" s="98">
        <f>IFERROR(VLOOKUP(AZ41,'Top WS'!$A$19:$C$28,3),0)</f>
        <v>400</v>
      </c>
      <c r="BN41" s="98">
        <f>IFERROR(VLOOKUP(BA41,'Top WS'!$A$19:$C$28,3),0)</f>
        <v>400</v>
      </c>
      <c r="BO41" s="98">
        <f>IFERROR(VLOOKUP(BB41,'Top WS'!$A$19:$C$28,3),0)</f>
        <v>400</v>
      </c>
      <c r="BP41" s="98">
        <f>IFERROR(VLOOKUP(BC41,'Top WS'!$A$19:$C$28,3),0)</f>
        <v>400</v>
      </c>
      <c r="BQ41" s="1">
        <f t="shared" si="5"/>
        <v>5112</v>
      </c>
    </row>
    <row r="42" spans="1:69" x14ac:dyDescent="0.4">
      <c r="A42">
        <v>1190043601</v>
      </c>
      <c r="B42">
        <f>VLOOKUP(A42,'Aji Plus'!$A$2:$D$58,2,0)</f>
        <v>77489</v>
      </c>
      <c r="C42" t="str">
        <f>VLOOKUP(A42,'Aji Plus'!$A$2:$D$58,3,0)</f>
        <v>นายสุริยันต์ จันทร์คำพา</v>
      </c>
      <c r="D42" t="str">
        <f>VLOOKUP(A42,'Aji Plus'!$A$2:$D$58,4,0)</f>
        <v>Roi-et</v>
      </c>
      <c r="E42" s="1">
        <v>120.36939521320687</v>
      </c>
      <c r="F42" s="1">
        <v>130.01804563456363</v>
      </c>
      <c r="G42" s="1">
        <v>113.89389417186645</v>
      </c>
      <c r="H42" s="1">
        <v>129.17653067454333</v>
      </c>
      <c r="I42" s="1">
        <v>142.26598188988004</v>
      </c>
      <c r="J42" s="1">
        <v>118.39552260804011</v>
      </c>
      <c r="K42" s="1">
        <v>123.57148485298043</v>
      </c>
      <c r="L42" s="1">
        <v>122.40488404148081</v>
      </c>
      <c r="M42" s="1">
        <v>103.03977817046356</v>
      </c>
      <c r="N42" s="1">
        <v>166.39874228702089</v>
      </c>
      <c r="O42" s="1">
        <v>116.21519569309271</v>
      </c>
      <c r="P42" s="1">
        <v>121.83789366168654</v>
      </c>
      <c r="R42" s="1">
        <f>VLOOKUP(A42,Actual_RDQ!$A$2:$H$62,3,0)</f>
        <v>138.816</v>
      </c>
      <c r="S42" s="1">
        <f>VLOOKUP(A42,Actual_RDQ!$A$2:$H$62,4,0)</f>
        <v>112.32000000000001</v>
      </c>
      <c r="T42" s="1">
        <f>VLOOKUP(A42,Actual_RDQ!$A$2:$H$62,5,0)</f>
        <v>79.488</v>
      </c>
      <c r="U42" s="1">
        <f>VLOOKUP(A42,Actual_RDQ!$A$2:$H$62,6,0)</f>
        <v>35.712000000000003</v>
      </c>
      <c r="V42" s="1">
        <f>VLOOKUP(A42,Actual_RDQ!$A$2:$H$62,7,0)</f>
        <v>145.15200000000002</v>
      </c>
      <c r="W42" s="1">
        <f>VLOOKUP(A42,Actual_RDQ!$A$2:$H$62,8,0)</f>
        <v>112.32000000000002</v>
      </c>
      <c r="X42" s="118"/>
      <c r="Y42" s="118"/>
      <c r="Z42" s="118"/>
      <c r="AA42" s="118"/>
      <c r="AB42" s="118"/>
      <c r="AC42" s="118"/>
      <c r="AE42" s="97">
        <f t="shared" si="6"/>
        <v>1.1532499582150362</v>
      </c>
      <c r="AF42" s="97">
        <f t="shared" si="6"/>
        <v>0.86388008258248405</v>
      </c>
      <c r="AG42" s="97">
        <f t="shared" si="6"/>
        <v>0.69791274218837596</v>
      </c>
      <c r="AH42" s="97">
        <f t="shared" si="6"/>
        <v>0.27645888779886335</v>
      </c>
      <c r="AI42" s="97">
        <f t="shared" si="6"/>
        <v>1.0202860731130643</v>
      </c>
      <c r="AJ42" s="97">
        <f t="shared" si="6"/>
        <v>0.94868452392280322</v>
      </c>
      <c r="AK42" s="99">
        <f t="shared" si="6"/>
        <v>0</v>
      </c>
      <c r="AL42" s="99">
        <f t="shared" si="6"/>
        <v>0</v>
      </c>
      <c r="AM42" s="99">
        <f t="shared" si="6"/>
        <v>0</v>
      </c>
      <c r="AN42" s="99">
        <f t="shared" si="6"/>
        <v>0</v>
      </c>
      <c r="AO42" s="99">
        <f t="shared" si="6"/>
        <v>0</v>
      </c>
      <c r="AP42" s="99">
        <f t="shared" si="6"/>
        <v>0</v>
      </c>
      <c r="AQ42" s="97"/>
      <c r="AR42" s="99">
        <f t="shared" si="7"/>
        <v>1.1532</v>
      </c>
      <c r="AS42" s="99">
        <f t="shared" si="7"/>
        <v>0.8639</v>
      </c>
      <c r="AT42" s="99">
        <f t="shared" si="7"/>
        <v>0.69789999999999996</v>
      </c>
      <c r="AU42" s="99">
        <f t="shared" si="7"/>
        <v>0.27650000000000002</v>
      </c>
      <c r="AV42" s="99">
        <f t="shared" si="7"/>
        <v>1.0203</v>
      </c>
      <c r="AW42" s="99">
        <f t="shared" si="7"/>
        <v>0.94869999999999999</v>
      </c>
      <c r="AX42" s="99">
        <f t="shared" si="7"/>
        <v>0</v>
      </c>
      <c r="AY42" s="99">
        <f t="shared" si="7"/>
        <v>0</v>
      </c>
      <c r="AZ42" s="99">
        <f t="shared" si="7"/>
        <v>0</v>
      </c>
      <c r="BA42" s="99">
        <f t="shared" si="7"/>
        <v>0</v>
      </c>
      <c r="BB42" s="99">
        <f t="shared" si="7"/>
        <v>0</v>
      </c>
      <c r="BC42" s="99">
        <f t="shared" si="7"/>
        <v>0</v>
      </c>
      <c r="BD42" s="97"/>
      <c r="BE42" s="1">
        <f>IFERROR(VLOOKUP(AR42,'Top WS'!$A$19:$C$28,3),0)</f>
        <v>480</v>
      </c>
      <c r="BF42" s="1">
        <f>IFERROR(VLOOKUP(AS42,'Top WS'!$A$19:$C$28,3),0)</f>
        <v>400</v>
      </c>
      <c r="BG42" s="1">
        <f>IFERROR(VLOOKUP(AT42,'Top WS'!$A$19:$C$28,3),0)</f>
        <v>400</v>
      </c>
      <c r="BH42" s="1">
        <f>IFERROR(VLOOKUP(AU42,'Top WS'!$A$19:$C$28,3),0)</f>
        <v>400</v>
      </c>
      <c r="BI42" s="1">
        <f>IFERROR(VLOOKUP(AV42,'Top WS'!$A$19:$C$28,3),0)</f>
        <v>412</v>
      </c>
      <c r="BJ42" s="1">
        <f>IFERROR(VLOOKUP(AW42,'Top WS'!$A$19:$C$28,3),0)</f>
        <v>400</v>
      </c>
      <c r="BK42" s="98">
        <f>IFERROR(VLOOKUP(AX42,'Top WS'!$A$19:$C$28,3),0)</f>
        <v>400</v>
      </c>
      <c r="BL42" s="98">
        <f>IFERROR(VLOOKUP(AY42,'Top WS'!$A$19:$C$28,3),0)</f>
        <v>400</v>
      </c>
      <c r="BM42" s="98">
        <f>IFERROR(VLOOKUP(AZ42,'Top WS'!$A$19:$C$28,3),0)</f>
        <v>400</v>
      </c>
      <c r="BN42" s="98">
        <f>IFERROR(VLOOKUP(BA42,'Top WS'!$A$19:$C$28,3),0)</f>
        <v>400</v>
      </c>
      <c r="BO42" s="98">
        <f>IFERROR(VLOOKUP(BB42,'Top WS'!$A$19:$C$28,3),0)</f>
        <v>400</v>
      </c>
      <c r="BP42" s="98">
        <f>IFERROR(VLOOKUP(BC42,'Top WS'!$A$19:$C$28,3),0)</f>
        <v>400</v>
      </c>
      <c r="BQ42" s="1">
        <f t="shared" si="5"/>
        <v>4892</v>
      </c>
    </row>
    <row r="43" spans="1:69" x14ac:dyDescent="0.4">
      <c r="A43">
        <v>1190043602</v>
      </c>
      <c r="B43">
        <f>VLOOKUP(A43,'Aji Plus'!$A$2:$D$58,2,0)</f>
        <v>70403</v>
      </c>
      <c r="C43" t="str">
        <f>VLOOKUP(A43,'Aji Plus'!$A$2:$D$58,3,0)</f>
        <v>นายเดชา ปะโพธิ์ชะกัง</v>
      </c>
      <c r="D43" t="str">
        <f>VLOOKUP(A43,'Aji Plus'!$A$2:$D$58,4,0)</f>
        <v>Roi-et</v>
      </c>
      <c r="E43" s="1">
        <v>173.4506442744875</v>
      </c>
      <c r="F43" s="1">
        <v>187.35421693096967</v>
      </c>
      <c r="G43" s="1">
        <v>164.11953626625041</v>
      </c>
      <c r="H43" s="1">
        <v>186.14160543845858</v>
      </c>
      <c r="I43" s="1">
        <v>205.00332475239364</v>
      </c>
      <c r="J43" s="1">
        <v>170.60632097722822</v>
      </c>
      <c r="K43" s="1">
        <v>178.06481143931885</v>
      </c>
      <c r="L43" s="1">
        <v>176.38375570245702</v>
      </c>
      <c r="M43" s="1">
        <v>148.4789042755466</v>
      </c>
      <c r="N43" s="1">
        <v>239.77830082992276</v>
      </c>
      <c r="O43" s="1">
        <v>167.46449985686141</v>
      </c>
      <c r="P43" s="1">
        <v>175.56673035728056</v>
      </c>
      <c r="R43" s="1">
        <f>VLOOKUP(A43,Actual_RDQ!$A$2:$H$62,3,0)</f>
        <v>184.89599999999999</v>
      </c>
      <c r="S43" s="1">
        <f>VLOOKUP(A43,Actual_RDQ!$A$2:$H$62,4,0)</f>
        <v>219.45599999999999</v>
      </c>
      <c r="T43" s="1">
        <f>VLOOKUP(A43,Actual_RDQ!$A$2:$H$62,5,0)</f>
        <v>304.70400000000006</v>
      </c>
      <c r="U43" s="1">
        <f>VLOOKUP(A43,Actual_RDQ!$A$2:$H$62,6,0)</f>
        <v>156.09599999999998</v>
      </c>
      <c r="V43" s="1">
        <f>VLOOKUP(A43,Actual_RDQ!$A$2:$H$62,7,0)</f>
        <v>139.96799999999999</v>
      </c>
      <c r="W43" s="1">
        <f>VLOOKUP(A43,Actual_RDQ!$A$2:$H$62,8,0)</f>
        <v>131.328</v>
      </c>
      <c r="X43" s="118"/>
      <c r="Y43" s="118"/>
      <c r="Z43" s="118"/>
      <c r="AA43" s="118"/>
      <c r="AB43" s="118"/>
      <c r="AC43" s="118"/>
      <c r="AE43" s="97">
        <f t="shared" si="6"/>
        <v>1.0659862393327297</v>
      </c>
      <c r="AF43" s="97">
        <f t="shared" si="6"/>
        <v>1.1713427303366124</v>
      </c>
      <c r="AG43" s="97">
        <f t="shared" si="6"/>
        <v>1.856597982982843</v>
      </c>
      <c r="AH43" s="97">
        <f t="shared" si="6"/>
        <v>0.83858737348006718</v>
      </c>
      <c r="AI43" s="97">
        <f t="shared" si="6"/>
        <v>0.68275965850337117</v>
      </c>
      <c r="AJ43" s="97">
        <f t="shared" si="6"/>
        <v>0.76977218222488419</v>
      </c>
      <c r="AK43" s="99">
        <f t="shared" si="6"/>
        <v>0</v>
      </c>
      <c r="AL43" s="99">
        <f t="shared" si="6"/>
        <v>0</v>
      </c>
      <c r="AM43" s="99">
        <f t="shared" si="6"/>
        <v>0</v>
      </c>
      <c r="AN43" s="99">
        <f t="shared" si="6"/>
        <v>0</v>
      </c>
      <c r="AO43" s="99">
        <f t="shared" si="6"/>
        <v>0</v>
      </c>
      <c r="AP43" s="99">
        <f t="shared" si="6"/>
        <v>0</v>
      </c>
      <c r="AQ43" s="97"/>
      <c r="AR43" s="99">
        <f t="shared" si="7"/>
        <v>1.0660000000000001</v>
      </c>
      <c r="AS43" s="99">
        <f t="shared" si="7"/>
        <v>1.1713</v>
      </c>
      <c r="AT43" s="99">
        <f t="shared" si="7"/>
        <v>1.8566</v>
      </c>
      <c r="AU43" s="99">
        <f t="shared" si="7"/>
        <v>0.83860000000000001</v>
      </c>
      <c r="AV43" s="99">
        <f t="shared" si="7"/>
        <v>0.68279999999999996</v>
      </c>
      <c r="AW43" s="99">
        <f t="shared" si="7"/>
        <v>0.76980000000000004</v>
      </c>
      <c r="AX43" s="99">
        <f t="shared" si="7"/>
        <v>0</v>
      </c>
      <c r="AY43" s="99">
        <f t="shared" si="7"/>
        <v>0</v>
      </c>
      <c r="AZ43" s="99">
        <f t="shared" si="7"/>
        <v>0</v>
      </c>
      <c r="BA43" s="99">
        <f t="shared" si="7"/>
        <v>0</v>
      </c>
      <c r="BB43" s="99">
        <f t="shared" si="7"/>
        <v>0</v>
      </c>
      <c r="BC43" s="99">
        <f t="shared" si="7"/>
        <v>0</v>
      </c>
      <c r="BD43" s="97"/>
      <c r="BE43" s="1">
        <f>IFERROR(VLOOKUP(AR43,'Top WS'!$A$19:$C$28,3),0)</f>
        <v>440</v>
      </c>
      <c r="BF43" s="1">
        <f>IFERROR(VLOOKUP(AS43,'Top WS'!$A$19:$C$28,3),0)</f>
        <v>480</v>
      </c>
      <c r="BG43" s="1">
        <f>IFERROR(VLOOKUP(AT43,'Top WS'!$A$19:$C$28,3),0)</f>
        <v>520</v>
      </c>
      <c r="BH43" s="1">
        <f>IFERROR(VLOOKUP(AU43,'Top WS'!$A$19:$C$28,3),0)</f>
        <v>400</v>
      </c>
      <c r="BI43" s="1">
        <f>IFERROR(VLOOKUP(AV43,'Top WS'!$A$19:$C$28,3),0)</f>
        <v>400</v>
      </c>
      <c r="BJ43" s="1">
        <f>IFERROR(VLOOKUP(AW43,'Top WS'!$A$19:$C$28,3),0)</f>
        <v>400</v>
      </c>
      <c r="BK43" s="98">
        <f>IFERROR(VLOOKUP(AX43,'Top WS'!$A$19:$C$28,3),0)</f>
        <v>400</v>
      </c>
      <c r="BL43" s="98">
        <f>IFERROR(VLOOKUP(AY43,'Top WS'!$A$19:$C$28,3),0)</f>
        <v>400</v>
      </c>
      <c r="BM43" s="98">
        <f>IFERROR(VLOOKUP(AZ43,'Top WS'!$A$19:$C$28,3),0)</f>
        <v>400</v>
      </c>
      <c r="BN43" s="98">
        <f>IFERROR(VLOOKUP(BA43,'Top WS'!$A$19:$C$28,3),0)</f>
        <v>400</v>
      </c>
      <c r="BO43" s="98">
        <f>IFERROR(VLOOKUP(BB43,'Top WS'!$A$19:$C$28,3),0)</f>
        <v>400</v>
      </c>
      <c r="BP43" s="98">
        <f>IFERROR(VLOOKUP(BC43,'Top WS'!$A$19:$C$28,3),0)</f>
        <v>400</v>
      </c>
      <c r="BQ43" s="1">
        <f t="shared" si="5"/>
        <v>5040</v>
      </c>
    </row>
    <row r="44" spans="1:69" x14ac:dyDescent="0.4">
      <c r="A44">
        <v>1190043701</v>
      </c>
      <c r="B44">
        <f>VLOOKUP(A44,'Aji Plus'!$A$2:$D$58,2,0)</f>
        <v>63286</v>
      </c>
      <c r="C44" t="str">
        <f>VLOOKUP(A44,'Aji Plus'!$A$2:$D$58,3,0)</f>
        <v>นายมานพ ประจวบสุข</v>
      </c>
      <c r="D44" t="str">
        <f>VLOOKUP(A44,'Aji Plus'!$A$2:$D$58,4,0)</f>
        <v>Surin</v>
      </c>
      <c r="E44" s="1">
        <v>236</v>
      </c>
      <c r="F44" s="1">
        <v>255</v>
      </c>
      <c r="G44" s="1">
        <v>224</v>
      </c>
      <c r="H44" s="1">
        <v>254</v>
      </c>
      <c r="I44" s="1">
        <v>280</v>
      </c>
      <c r="J44" s="1">
        <v>232</v>
      </c>
      <c r="K44" s="1">
        <v>243</v>
      </c>
      <c r="L44" s="1">
        <v>240</v>
      </c>
      <c r="M44" s="1">
        <v>202</v>
      </c>
      <c r="N44" s="1">
        <v>327</v>
      </c>
      <c r="O44" s="1">
        <v>228</v>
      </c>
      <c r="P44" s="1">
        <v>239</v>
      </c>
      <c r="R44" s="1">
        <f>VLOOKUP(A44,Actual_RDQ!$A$2:$H$62,3,0)</f>
        <v>134.78400000000002</v>
      </c>
      <c r="S44" s="1">
        <f>VLOOKUP(A44,Actual_RDQ!$A$2:$H$62,4,0)</f>
        <v>199.87199999999999</v>
      </c>
      <c r="T44" s="1">
        <f>VLOOKUP(A44,Actual_RDQ!$A$2:$H$62,5,0)</f>
        <v>277.05599999999993</v>
      </c>
      <c r="U44" s="1">
        <f>VLOOKUP(A44,Actual_RDQ!$A$2:$H$62,6,0)</f>
        <v>203.32799999999997</v>
      </c>
      <c r="V44" s="1">
        <f>VLOOKUP(A44,Actual_RDQ!$A$2:$H$62,7,0)</f>
        <v>479.80799999999994</v>
      </c>
      <c r="W44" s="1">
        <f>VLOOKUP(A44,Actual_RDQ!$A$2:$H$62,8,0)</f>
        <v>244.80000000000004</v>
      </c>
      <c r="X44" s="118"/>
      <c r="Y44" s="118"/>
      <c r="Z44" s="118"/>
      <c r="AA44" s="118"/>
      <c r="AB44" s="118"/>
      <c r="AC44" s="118"/>
      <c r="AE44" s="97">
        <f t="shared" si="6"/>
        <v>0.57111864406779667</v>
      </c>
      <c r="AF44" s="97">
        <f t="shared" si="6"/>
        <v>0.78381176470588232</v>
      </c>
      <c r="AG44" s="97">
        <f t="shared" si="6"/>
        <v>1.2368571428571424</v>
      </c>
      <c r="AH44" s="97">
        <f t="shared" si="6"/>
        <v>0.80050393700787392</v>
      </c>
      <c r="AI44" s="97">
        <f t="shared" si="6"/>
        <v>1.7135999999999998</v>
      </c>
      <c r="AJ44" s="97">
        <f t="shared" si="6"/>
        <v>1.0551724137931036</v>
      </c>
      <c r="AK44" s="99">
        <f t="shared" si="6"/>
        <v>0</v>
      </c>
      <c r="AL44" s="99">
        <f t="shared" si="6"/>
        <v>0</v>
      </c>
      <c r="AM44" s="99">
        <f t="shared" si="6"/>
        <v>0</v>
      </c>
      <c r="AN44" s="99">
        <f t="shared" si="6"/>
        <v>0</v>
      </c>
      <c r="AO44" s="99">
        <f t="shared" si="6"/>
        <v>0</v>
      </c>
      <c r="AP44" s="99">
        <f t="shared" si="6"/>
        <v>0</v>
      </c>
      <c r="AQ44" s="97"/>
      <c r="AR44" s="99">
        <f t="shared" si="7"/>
        <v>0.57110000000000005</v>
      </c>
      <c r="AS44" s="99">
        <f t="shared" si="7"/>
        <v>0.78380000000000005</v>
      </c>
      <c r="AT44" s="99">
        <f t="shared" si="7"/>
        <v>1.2369000000000001</v>
      </c>
      <c r="AU44" s="99">
        <f t="shared" si="7"/>
        <v>0.80049999999999999</v>
      </c>
      <c r="AV44" s="99">
        <f t="shared" si="7"/>
        <v>1.7136</v>
      </c>
      <c r="AW44" s="99">
        <f t="shared" si="7"/>
        <v>1.0551999999999999</v>
      </c>
      <c r="AX44" s="99">
        <f t="shared" si="7"/>
        <v>0</v>
      </c>
      <c r="AY44" s="99">
        <f t="shared" si="7"/>
        <v>0</v>
      </c>
      <c r="AZ44" s="99">
        <f t="shared" si="7"/>
        <v>0</v>
      </c>
      <c r="BA44" s="99">
        <f t="shared" si="7"/>
        <v>0</v>
      </c>
      <c r="BB44" s="99">
        <f t="shared" si="7"/>
        <v>0</v>
      </c>
      <c r="BC44" s="99">
        <f t="shared" si="7"/>
        <v>0</v>
      </c>
      <c r="BD44" s="97"/>
      <c r="BE44" s="1">
        <f>IFERROR(VLOOKUP(AR44,'Top WS'!$A$19:$C$28,3),0)</f>
        <v>400</v>
      </c>
      <c r="BF44" s="1">
        <f>IFERROR(VLOOKUP(AS44,'Top WS'!$A$19:$C$28,3),0)</f>
        <v>400</v>
      </c>
      <c r="BG44" s="1">
        <f>IFERROR(VLOOKUP(AT44,'Top WS'!$A$19:$C$28,3),0)</f>
        <v>520</v>
      </c>
      <c r="BH44" s="1">
        <f>IFERROR(VLOOKUP(AU44,'Top WS'!$A$19:$C$28,3),0)</f>
        <v>400</v>
      </c>
      <c r="BI44" s="1">
        <f>IFERROR(VLOOKUP(AV44,'Top WS'!$A$19:$C$28,3),0)</f>
        <v>520</v>
      </c>
      <c r="BJ44" s="1">
        <f>IFERROR(VLOOKUP(AW44,'Top WS'!$A$19:$C$28,3),0)</f>
        <v>432</v>
      </c>
      <c r="BK44" s="98">
        <f>IFERROR(VLOOKUP(AX44,'Top WS'!$A$19:$C$28,3),0)</f>
        <v>400</v>
      </c>
      <c r="BL44" s="98">
        <f>IFERROR(VLOOKUP(AY44,'Top WS'!$A$19:$C$28,3),0)</f>
        <v>400</v>
      </c>
      <c r="BM44" s="98">
        <f>IFERROR(VLOOKUP(AZ44,'Top WS'!$A$19:$C$28,3),0)</f>
        <v>400</v>
      </c>
      <c r="BN44" s="98">
        <f>IFERROR(VLOOKUP(BA44,'Top WS'!$A$19:$C$28,3),0)</f>
        <v>400</v>
      </c>
      <c r="BO44" s="98">
        <f>IFERROR(VLOOKUP(BB44,'Top WS'!$A$19:$C$28,3),0)</f>
        <v>400</v>
      </c>
      <c r="BP44" s="98">
        <f>IFERROR(VLOOKUP(BC44,'Top WS'!$A$19:$C$28,3),0)</f>
        <v>400</v>
      </c>
      <c r="BQ44" s="1">
        <f t="shared" si="5"/>
        <v>5072</v>
      </c>
    </row>
    <row r="45" spans="1:69" x14ac:dyDescent="0.4">
      <c r="A45">
        <v>1190043702</v>
      </c>
      <c r="B45">
        <f>VLOOKUP(A45,'Aji Plus'!$A$2:$D$58,2,0)</f>
        <v>70479</v>
      </c>
      <c r="C45" t="str">
        <f>VLOOKUP(A45,'Aji Plus'!$A$2:$D$58,3,0)</f>
        <v>นายภูริต มาตย์วิเศษ</v>
      </c>
      <c r="D45" t="str">
        <f>VLOOKUP(A45,'Aji Plus'!$A$2:$D$58,4,0)</f>
        <v>Surin</v>
      </c>
      <c r="E45" s="1">
        <v>117</v>
      </c>
      <c r="F45" s="1">
        <v>126</v>
      </c>
      <c r="G45" s="1">
        <v>110</v>
      </c>
      <c r="H45" s="1">
        <v>125</v>
      </c>
      <c r="I45" s="1">
        <v>138</v>
      </c>
      <c r="J45" s="1">
        <v>115</v>
      </c>
      <c r="K45" s="1">
        <v>120</v>
      </c>
      <c r="L45" s="1">
        <v>119</v>
      </c>
      <c r="M45" s="1">
        <v>100</v>
      </c>
      <c r="N45" s="1">
        <v>161</v>
      </c>
      <c r="O45" s="1">
        <v>113</v>
      </c>
      <c r="P45" s="1">
        <v>116</v>
      </c>
      <c r="R45" s="1">
        <f>VLOOKUP(A45,Actual_RDQ!$A$2:$H$62,3,0)</f>
        <v>154.36799999999999</v>
      </c>
      <c r="S45" s="1">
        <f>VLOOKUP(A45,Actual_RDQ!$A$2:$H$62,4,0)</f>
        <v>106.56</v>
      </c>
      <c r="T45" s="1">
        <f>VLOOKUP(A45,Actual_RDQ!$A$2:$H$62,5,0)</f>
        <v>100.80000000000001</v>
      </c>
      <c r="U45" s="1">
        <f>VLOOKUP(A45,Actual_RDQ!$A$2:$H$62,6,0)</f>
        <v>174.52799999999999</v>
      </c>
      <c r="V45" s="1">
        <f>VLOOKUP(A45,Actual_RDQ!$A$2:$H$62,7,0)</f>
        <v>37.44</v>
      </c>
      <c r="W45" s="1">
        <f>VLOOKUP(A45,Actual_RDQ!$A$2:$H$62,8,0)</f>
        <v>168.768</v>
      </c>
      <c r="X45" s="118"/>
      <c r="Y45" s="118"/>
      <c r="Z45" s="118"/>
      <c r="AA45" s="118"/>
      <c r="AB45" s="118"/>
      <c r="AC45" s="118"/>
      <c r="AE45" s="97">
        <f t="shared" si="6"/>
        <v>1.3193846153846154</v>
      </c>
      <c r="AF45" s="97">
        <f t="shared" si="6"/>
        <v>0.84571428571428575</v>
      </c>
      <c r="AG45" s="97">
        <f t="shared" si="6"/>
        <v>0.91636363636363649</v>
      </c>
      <c r="AH45" s="97">
        <f t="shared" si="6"/>
        <v>1.3962239999999999</v>
      </c>
      <c r="AI45" s="97">
        <f t="shared" si="6"/>
        <v>0.27130434782608692</v>
      </c>
      <c r="AJ45" s="97">
        <f t="shared" si="6"/>
        <v>1.4675478260869566</v>
      </c>
      <c r="AK45" s="99">
        <f t="shared" si="6"/>
        <v>0</v>
      </c>
      <c r="AL45" s="99">
        <f t="shared" si="6"/>
        <v>0</v>
      </c>
      <c r="AM45" s="99">
        <f t="shared" si="6"/>
        <v>0</v>
      </c>
      <c r="AN45" s="99">
        <f t="shared" si="6"/>
        <v>0</v>
      </c>
      <c r="AO45" s="99">
        <f t="shared" si="6"/>
        <v>0</v>
      </c>
      <c r="AP45" s="99">
        <f t="shared" si="6"/>
        <v>0</v>
      </c>
      <c r="AQ45" s="97"/>
      <c r="AR45" s="99">
        <f t="shared" si="7"/>
        <v>1.3193999999999999</v>
      </c>
      <c r="AS45" s="99">
        <f t="shared" si="7"/>
        <v>0.84570000000000001</v>
      </c>
      <c r="AT45" s="99">
        <f t="shared" si="7"/>
        <v>0.91639999999999999</v>
      </c>
      <c r="AU45" s="99">
        <f t="shared" si="7"/>
        <v>1.3962000000000001</v>
      </c>
      <c r="AV45" s="99">
        <f t="shared" si="7"/>
        <v>0.27129999999999999</v>
      </c>
      <c r="AW45" s="99">
        <f t="shared" si="7"/>
        <v>1.4675</v>
      </c>
      <c r="AX45" s="99">
        <f t="shared" si="7"/>
        <v>0</v>
      </c>
      <c r="AY45" s="99">
        <f t="shared" si="7"/>
        <v>0</v>
      </c>
      <c r="AZ45" s="99">
        <f t="shared" si="7"/>
        <v>0</v>
      </c>
      <c r="BA45" s="99">
        <f t="shared" si="7"/>
        <v>0</v>
      </c>
      <c r="BB45" s="99">
        <f t="shared" si="7"/>
        <v>0</v>
      </c>
      <c r="BC45" s="99">
        <f t="shared" si="7"/>
        <v>0</v>
      </c>
      <c r="BD45" s="97"/>
      <c r="BE45" s="1">
        <f>IFERROR(VLOOKUP(AR45,'Top WS'!$A$19:$C$28,3),0)</f>
        <v>520</v>
      </c>
      <c r="BF45" s="1">
        <f>IFERROR(VLOOKUP(AS45,'Top WS'!$A$19:$C$28,3),0)</f>
        <v>400</v>
      </c>
      <c r="BG45" s="1">
        <f>IFERROR(VLOOKUP(AT45,'Top WS'!$A$19:$C$28,3),0)</f>
        <v>400</v>
      </c>
      <c r="BH45" s="1">
        <f>IFERROR(VLOOKUP(AU45,'Top WS'!$A$19:$C$28,3),0)</f>
        <v>520</v>
      </c>
      <c r="BI45" s="1">
        <f>IFERROR(VLOOKUP(AV45,'Top WS'!$A$19:$C$28,3),0)</f>
        <v>400</v>
      </c>
      <c r="BJ45" s="1">
        <f>IFERROR(VLOOKUP(AW45,'Top WS'!$A$19:$C$28,3),0)</f>
        <v>520</v>
      </c>
      <c r="BK45" s="98">
        <f>IFERROR(VLOOKUP(AX45,'Top WS'!$A$19:$C$28,3),0)</f>
        <v>400</v>
      </c>
      <c r="BL45" s="98">
        <f>IFERROR(VLOOKUP(AY45,'Top WS'!$A$19:$C$28,3),0)</f>
        <v>400</v>
      </c>
      <c r="BM45" s="98">
        <f>IFERROR(VLOOKUP(AZ45,'Top WS'!$A$19:$C$28,3),0)</f>
        <v>400</v>
      </c>
      <c r="BN45" s="98">
        <f>IFERROR(VLOOKUP(BA45,'Top WS'!$A$19:$C$28,3),0)</f>
        <v>400</v>
      </c>
      <c r="BO45" s="98">
        <f>IFERROR(VLOOKUP(BB45,'Top WS'!$A$19:$C$28,3),0)</f>
        <v>400</v>
      </c>
      <c r="BP45" s="98">
        <f>IFERROR(VLOOKUP(BC45,'Top WS'!$A$19:$C$28,3),0)</f>
        <v>400</v>
      </c>
      <c r="BQ45" s="1">
        <f t="shared" si="5"/>
        <v>5160</v>
      </c>
    </row>
    <row r="46" spans="1:69" x14ac:dyDescent="0.4">
      <c r="A46">
        <v>1190043801</v>
      </c>
      <c r="B46">
        <f>VLOOKUP(A46,'Aji Plus'!$A$2:$D$58,2,0)</f>
        <v>75712</v>
      </c>
      <c r="C46" t="str">
        <f>VLOOKUP(A46,'Aji Plus'!$A$2:$D$58,3,0)</f>
        <v>นายวุฒิพงษ์ วงศ์วณิชชากร</v>
      </c>
      <c r="D46" t="str">
        <f>VLOOKUP(A46,'Aji Plus'!$A$2:$D$58,4,0)</f>
        <v>Khonkaen</v>
      </c>
      <c r="E46" s="1">
        <v>268.40786811581597</v>
      </c>
      <c r="F46" s="1">
        <v>268.8093599670363</v>
      </c>
      <c r="G46" s="1">
        <v>263.90693315213559</v>
      </c>
      <c r="H46" s="1">
        <v>261.49798204481363</v>
      </c>
      <c r="I46" s="1">
        <v>277.06318718212356</v>
      </c>
      <c r="J46" s="1">
        <v>266.02004815855827</v>
      </c>
      <c r="K46" s="1">
        <v>265.99046454846837</v>
      </c>
      <c r="L46" s="1">
        <v>271.08307171394722</v>
      </c>
      <c r="M46" s="1">
        <v>271.92409148650341</v>
      </c>
      <c r="N46" s="1">
        <v>276.34472807993978</v>
      </c>
      <c r="O46" s="1">
        <v>256.33775519912928</v>
      </c>
      <c r="P46" s="1">
        <v>265.39456611665719</v>
      </c>
      <c r="R46" s="1">
        <f>VLOOKUP(A46,Actual_RDQ!$A$2:$H$62,3,0)</f>
        <v>86.4</v>
      </c>
      <c r="S46" s="1">
        <f>VLOOKUP(A46,Actual_RDQ!$A$2:$H$62,4,0)</f>
        <v>330.04800000000006</v>
      </c>
      <c r="T46" s="1">
        <f>VLOOKUP(A46,Actual_RDQ!$A$2:$H$62,5,0)</f>
        <v>92.73599999999999</v>
      </c>
      <c r="U46" s="1">
        <f>VLOOKUP(A46,Actual_RDQ!$A$2:$H$62,6,0)</f>
        <v>179.71199999999999</v>
      </c>
      <c r="V46" s="1">
        <f>VLOOKUP(A46,Actual_RDQ!$A$2:$H$62,7,0)</f>
        <v>218.88000000000005</v>
      </c>
      <c r="W46" s="1">
        <f>VLOOKUP(A46,Actual_RDQ!$A$2:$H$62,8,0)</f>
        <v>291.45600000000002</v>
      </c>
      <c r="X46" s="118"/>
      <c r="Y46" s="118"/>
      <c r="Z46" s="118"/>
      <c r="AA46" s="118"/>
      <c r="AB46" s="118"/>
      <c r="AC46" s="118"/>
      <c r="AE46" s="97">
        <f t="shared" si="6"/>
        <v>0.32189816418764244</v>
      </c>
      <c r="AF46" s="97">
        <f t="shared" si="6"/>
        <v>1.2278143887566764</v>
      </c>
      <c r="AG46" s="97">
        <f t="shared" si="6"/>
        <v>0.35139660369036252</v>
      </c>
      <c r="AH46" s="97">
        <f t="shared" si="6"/>
        <v>0.68724048497323487</v>
      </c>
      <c r="AI46" s="97">
        <f t="shared" si="6"/>
        <v>0.79000029641658021</v>
      </c>
      <c r="AJ46" s="97">
        <f t="shared" si="6"/>
        <v>1.0956166725685312</v>
      </c>
      <c r="AK46" s="99">
        <f t="shared" si="6"/>
        <v>0</v>
      </c>
      <c r="AL46" s="99">
        <f t="shared" si="6"/>
        <v>0</v>
      </c>
      <c r="AM46" s="99">
        <f t="shared" si="6"/>
        <v>0</v>
      </c>
      <c r="AN46" s="99">
        <f t="shared" si="6"/>
        <v>0</v>
      </c>
      <c r="AO46" s="99">
        <f t="shared" si="6"/>
        <v>0</v>
      </c>
      <c r="AP46" s="99">
        <f t="shared" si="6"/>
        <v>0</v>
      </c>
      <c r="AQ46" s="97"/>
      <c r="AR46" s="99">
        <f t="shared" si="7"/>
        <v>0.32190000000000002</v>
      </c>
      <c r="AS46" s="99">
        <f t="shared" si="7"/>
        <v>1.2278</v>
      </c>
      <c r="AT46" s="99">
        <f t="shared" si="7"/>
        <v>0.35139999999999999</v>
      </c>
      <c r="AU46" s="99">
        <f t="shared" si="7"/>
        <v>0.68720000000000003</v>
      </c>
      <c r="AV46" s="99">
        <f t="shared" si="7"/>
        <v>0.79</v>
      </c>
      <c r="AW46" s="99">
        <f t="shared" si="7"/>
        <v>1.0955999999999999</v>
      </c>
      <c r="AX46" s="99">
        <f t="shared" si="7"/>
        <v>0</v>
      </c>
      <c r="AY46" s="99">
        <f t="shared" si="7"/>
        <v>0</v>
      </c>
      <c r="AZ46" s="99">
        <f t="shared" si="7"/>
        <v>0</v>
      </c>
      <c r="BA46" s="99">
        <f t="shared" si="7"/>
        <v>0</v>
      </c>
      <c r="BB46" s="99">
        <f t="shared" si="7"/>
        <v>0</v>
      </c>
      <c r="BC46" s="99">
        <f t="shared" si="7"/>
        <v>0</v>
      </c>
      <c r="BD46" s="97"/>
      <c r="BE46" s="1">
        <f>IFERROR(VLOOKUP(AR46,'Top WS'!$A$19:$C$28,3),0)</f>
        <v>400</v>
      </c>
      <c r="BF46" s="1">
        <f>IFERROR(VLOOKUP(AS46,'Top WS'!$A$19:$C$28,3),0)</f>
        <v>520</v>
      </c>
      <c r="BG46" s="1">
        <f>IFERROR(VLOOKUP(AT46,'Top WS'!$A$19:$C$28,3),0)</f>
        <v>400</v>
      </c>
      <c r="BH46" s="1">
        <f>IFERROR(VLOOKUP(AU46,'Top WS'!$A$19:$C$28,3),0)</f>
        <v>400</v>
      </c>
      <c r="BI46" s="1">
        <f>IFERROR(VLOOKUP(AV46,'Top WS'!$A$19:$C$28,3),0)</f>
        <v>400</v>
      </c>
      <c r="BJ46" s="1">
        <f>IFERROR(VLOOKUP(AW46,'Top WS'!$A$19:$C$28,3),0)</f>
        <v>440</v>
      </c>
      <c r="BK46" s="98">
        <f>IFERROR(VLOOKUP(AX46,'Top WS'!$A$19:$C$28,3),0)</f>
        <v>400</v>
      </c>
      <c r="BL46" s="98">
        <f>IFERROR(VLOOKUP(AY46,'Top WS'!$A$19:$C$28,3),0)</f>
        <v>400</v>
      </c>
      <c r="BM46" s="98">
        <f>IFERROR(VLOOKUP(AZ46,'Top WS'!$A$19:$C$28,3),0)</f>
        <v>400</v>
      </c>
      <c r="BN46" s="98">
        <f>IFERROR(VLOOKUP(BA46,'Top WS'!$A$19:$C$28,3),0)</f>
        <v>400</v>
      </c>
      <c r="BO46" s="98">
        <f>IFERROR(VLOOKUP(BB46,'Top WS'!$A$19:$C$28,3),0)</f>
        <v>400</v>
      </c>
      <c r="BP46" s="98">
        <f>IFERROR(VLOOKUP(BC46,'Top WS'!$A$19:$C$28,3),0)</f>
        <v>400</v>
      </c>
      <c r="BQ46" s="1">
        <f t="shared" si="5"/>
        <v>4960</v>
      </c>
    </row>
    <row r="47" spans="1:69" x14ac:dyDescent="0.4">
      <c r="A47">
        <v>1190043802</v>
      </c>
      <c r="B47">
        <f>VLOOKUP(A47,'Aji Plus'!$A$2:$D$58,2,0)</f>
        <v>62573</v>
      </c>
      <c r="C47" t="str">
        <f>VLOOKUP(A47,'Aji Plus'!$A$2:$D$58,3,0)</f>
        <v>นายวิฑูรย์ ระวันประโคน</v>
      </c>
      <c r="D47" t="str">
        <f>VLOOKUP(A47,'Aji Plus'!$A$2:$D$58,4,0)</f>
        <v>Khonkaen</v>
      </c>
      <c r="E47" s="1">
        <v>37.362455483236715</v>
      </c>
      <c r="F47" s="1">
        <v>37.418343268954054</v>
      </c>
      <c r="G47" s="1">
        <v>36.735923990721425</v>
      </c>
      <c r="H47" s="1">
        <v>36.40059727641745</v>
      </c>
      <c r="I47" s="1">
        <v>38.567278484806067</v>
      </c>
      <c r="J47" s="1">
        <v>37.030070231338925</v>
      </c>
      <c r="K47" s="1">
        <v>37.025952183970283</v>
      </c>
      <c r="L47" s="1">
        <v>37.7348446238585</v>
      </c>
      <c r="M47" s="1">
        <v>37.851914827624263</v>
      </c>
      <c r="N47" s="1">
        <v>38.467268762996106</v>
      </c>
      <c r="O47" s="1">
        <v>35.682292156829469</v>
      </c>
      <c r="P47" s="1">
        <v>36.943002944116145</v>
      </c>
      <c r="R47" s="1">
        <f>VLOOKUP(A47,Actual_RDQ!$A$2:$H$62,3,0)</f>
        <v>55.871999999999993</v>
      </c>
      <c r="S47" s="1">
        <f>VLOOKUP(A47,Actual_RDQ!$A$2:$H$62,4,0)</f>
        <v>23.04</v>
      </c>
      <c r="T47" s="1">
        <f>VLOOKUP(A47,Actual_RDQ!$A$2:$H$62,5,0)</f>
        <v>0</v>
      </c>
      <c r="U47" s="1">
        <f>VLOOKUP(A47,Actual_RDQ!$A$2:$H$62,6,0)</f>
        <v>11.52</v>
      </c>
      <c r="V47" s="1">
        <f>VLOOKUP(A47,Actual_RDQ!$A$2:$H$62,7,0)</f>
        <v>17.855999999999998</v>
      </c>
      <c r="W47" s="1">
        <f>VLOOKUP(A47,Actual_RDQ!$A$2:$H$62,8,0)</f>
        <v>20.736000000000001</v>
      </c>
      <c r="X47" s="118"/>
      <c r="Y47" s="118"/>
      <c r="Z47" s="118"/>
      <c r="AA47" s="118"/>
      <c r="AB47" s="118"/>
      <c r="AC47" s="118"/>
      <c r="AE47" s="97">
        <f t="shared" si="6"/>
        <v>1.4954049266132385</v>
      </c>
      <c r="AF47" s="97">
        <f t="shared" si="6"/>
        <v>0.61574078345462868</v>
      </c>
      <c r="AG47" s="97">
        <f t="shared" si="6"/>
        <v>0</v>
      </c>
      <c r="AH47" s="97">
        <f t="shared" si="6"/>
        <v>0.31647832348793259</v>
      </c>
      <c r="AI47" s="97">
        <f t="shared" si="6"/>
        <v>0.46298314793029882</v>
      </c>
      <c r="AJ47" s="97">
        <f t="shared" si="6"/>
        <v>0.55997733383856541</v>
      </c>
      <c r="AK47" s="99">
        <f t="shared" si="6"/>
        <v>0</v>
      </c>
      <c r="AL47" s="99">
        <f t="shared" si="6"/>
        <v>0</v>
      </c>
      <c r="AM47" s="99">
        <f t="shared" si="6"/>
        <v>0</v>
      </c>
      <c r="AN47" s="99">
        <f t="shared" si="6"/>
        <v>0</v>
      </c>
      <c r="AO47" s="99">
        <f t="shared" si="6"/>
        <v>0</v>
      </c>
      <c r="AP47" s="99">
        <f t="shared" si="6"/>
        <v>0</v>
      </c>
      <c r="AQ47" s="97"/>
      <c r="AR47" s="99">
        <f t="shared" si="7"/>
        <v>1.4954000000000001</v>
      </c>
      <c r="AS47" s="99">
        <f t="shared" si="7"/>
        <v>0.61570000000000003</v>
      </c>
      <c r="AT47" s="99">
        <f t="shared" si="7"/>
        <v>0</v>
      </c>
      <c r="AU47" s="99">
        <f t="shared" si="7"/>
        <v>0.3165</v>
      </c>
      <c r="AV47" s="99">
        <f t="shared" si="7"/>
        <v>0.46300000000000002</v>
      </c>
      <c r="AW47" s="99">
        <f t="shared" si="7"/>
        <v>0.56000000000000005</v>
      </c>
      <c r="AX47" s="99">
        <f t="shared" si="7"/>
        <v>0</v>
      </c>
      <c r="AY47" s="99">
        <f t="shared" si="7"/>
        <v>0</v>
      </c>
      <c r="AZ47" s="99">
        <f t="shared" si="7"/>
        <v>0</v>
      </c>
      <c r="BA47" s="99">
        <f t="shared" si="7"/>
        <v>0</v>
      </c>
      <c r="BB47" s="99">
        <f t="shared" si="7"/>
        <v>0</v>
      </c>
      <c r="BC47" s="99">
        <f t="shared" si="7"/>
        <v>0</v>
      </c>
      <c r="BD47" s="97"/>
      <c r="BE47" s="1">
        <f>IFERROR(VLOOKUP(AR47,'Top WS'!$A$19:$C$28,3),0)</f>
        <v>520</v>
      </c>
      <c r="BF47" s="1">
        <f>IFERROR(VLOOKUP(AS47,'Top WS'!$A$19:$C$28,3),0)</f>
        <v>400</v>
      </c>
      <c r="BG47" s="1">
        <f>IFERROR(VLOOKUP(AT47,'Top WS'!$A$19:$C$28,3),0)</f>
        <v>400</v>
      </c>
      <c r="BH47" s="1">
        <f>IFERROR(VLOOKUP(AU47,'Top WS'!$A$19:$C$28,3),0)</f>
        <v>400</v>
      </c>
      <c r="BI47" s="1">
        <f>IFERROR(VLOOKUP(AV47,'Top WS'!$A$19:$C$28,3),0)</f>
        <v>400</v>
      </c>
      <c r="BJ47" s="1">
        <f>IFERROR(VLOOKUP(AW47,'Top WS'!$A$19:$C$28,3),0)</f>
        <v>400</v>
      </c>
      <c r="BK47" s="98">
        <f>IFERROR(VLOOKUP(AX47,'Top WS'!$A$19:$C$28,3),0)</f>
        <v>400</v>
      </c>
      <c r="BL47" s="98">
        <f>IFERROR(VLOOKUP(AY47,'Top WS'!$A$19:$C$28,3),0)</f>
        <v>400</v>
      </c>
      <c r="BM47" s="98">
        <f>IFERROR(VLOOKUP(AZ47,'Top WS'!$A$19:$C$28,3),0)</f>
        <v>400</v>
      </c>
      <c r="BN47" s="98">
        <f>IFERROR(VLOOKUP(BA47,'Top WS'!$A$19:$C$28,3),0)</f>
        <v>400</v>
      </c>
      <c r="BO47" s="98">
        <f>IFERROR(VLOOKUP(BB47,'Top WS'!$A$19:$C$28,3),0)</f>
        <v>400</v>
      </c>
      <c r="BP47" s="98">
        <f>IFERROR(VLOOKUP(BC47,'Top WS'!$A$19:$C$28,3),0)</f>
        <v>400</v>
      </c>
      <c r="BQ47" s="1">
        <f t="shared" si="5"/>
        <v>4920</v>
      </c>
    </row>
    <row r="48" spans="1:69" x14ac:dyDescent="0.4">
      <c r="A48">
        <v>1190043901</v>
      </c>
      <c r="B48">
        <f>VLOOKUP(A48,'Aji Plus'!$A$2:$D$58,2,0)</f>
        <v>63244</v>
      </c>
      <c r="C48" t="str">
        <f>VLOOKUP(A48,'Aji Plus'!$A$2:$D$58,3,0)</f>
        <v>นายทรงเกียรติ กล้าหาญ</v>
      </c>
      <c r="D48" t="str">
        <f>VLOOKUP(A48,'Aji Plus'!$A$2:$D$58,4,0)</f>
        <v>Udonthani</v>
      </c>
      <c r="E48" s="1">
        <v>167.21399558376828</v>
      </c>
      <c r="F48" s="1">
        <v>167.46411886483364</v>
      </c>
      <c r="G48" s="1">
        <v>164.40998195919403</v>
      </c>
      <c r="H48" s="1">
        <v>162.90924227280212</v>
      </c>
      <c r="I48" s="1">
        <v>172.6061269482079</v>
      </c>
      <c r="J48" s="1">
        <v>165.72642028059039</v>
      </c>
      <c r="K48" s="1">
        <v>165.70799014409084</v>
      </c>
      <c r="L48" s="1">
        <v>168.88060649865614</v>
      </c>
      <c r="M48" s="1">
        <v>169.40454895057186</v>
      </c>
      <c r="N48" s="1">
        <v>172.15853791893312</v>
      </c>
      <c r="O48" s="1">
        <v>159.69449989195212</v>
      </c>
      <c r="P48" s="1">
        <v>165.33675453745707</v>
      </c>
      <c r="R48" s="1">
        <f>VLOOKUP(A48,Actual_RDQ!$A$2:$H$62,3,0)</f>
        <v>281.08800000000008</v>
      </c>
      <c r="S48" s="1">
        <f>VLOOKUP(A48,Actual_RDQ!$A$2:$H$62,4,0)</f>
        <v>208.51200000000006</v>
      </c>
      <c r="T48" s="1">
        <f>VLOOKUP(A48,Actual_RDQ!$A$2:$H$62,5,0)</f>
        <v>130.17599999999999</v>
      </c>
      <c r="U48" s="1">
        <f>VLOOKUP(A48,Actual_RDQ!$A$2:$H$62,6,0)</f>
        <v>45.504000000000005</v>
      </c>
      <c r="V48" s="1">
        <f>VLOOKUP(A48,Actual_RDQ!$A$2:$H$62,7,0)</f>
        <v>177.98400000000001</v>
      </c>
      <c r="W48" s="1">
        <f>VLOOKUP(A48,Actual_RDQ!$A$2:$H$62,8,0)</f>
        <v>173.37599999999998</v>
      </c>
      <c r="X48" s="118"/>
      <c r="Y48" s="118"/>
      <c r="Z48" s="118"/>
      <c r="AA48" s="118"/>
      <c r="AB48" s="118"/>
      <c r="AC48" s="118"/>
      <c r="AE48" s="97">
        <f t="shared" si="6"/>
        <v>1.6810076155329052</v>
      </c>
      <c r="AF48" s="97">
        <f t="shared" si="6"/>
        <v>1.2451144843051285</v>
      </c>
      <c r="AG48" s="97">
        <f t="shared" si="6"/>
        <v>0.79177674280330013</v>
      </c>
      <c r="AH48" s="97">
        <f t="shared" si="6"/>
        <v>0.27932116904577209</v>
      </c>
      <c r="AI48" s="97">
        <f t="shared" si="6"/>
        <v>1.0311569070396081</v>
      </c>
      <c r="AJ48" s="97">
        <f t="shared" si="6"/>
        <v>1.0461578769785658</v>
      </c>
      <c r="AK48" s="99">
        <f t="shared" si="6"/>
        <v>0</v>
      </c>
      <c r="AL48" s="99">
        <f t="shared" si="6"/>
        <v>0</v>
      </c>
      <c r="AM48" s="99">
        <f t="shared" si="6"/>
        <v>0</v>
      </c>
      <c r="AN48" s="99">
        <f t="shared" si="6"/>
        <v>0</v>
      </c>
      <c r="AO48" s="99">
        <f t="shared" si="6"/>
        <v>0</v>
      </c>
      <c r="AP48" s="99">
        <f t="shared" si="6"/>
        <v>0</v>
      </c>
      <c r="AQ48" s="97"/>
      <c r="AR48" s="99">
        <f t="shared" si="7"/>
        <v>1.681</v>
      </c>
      <c r="AS48" s="99">
        <f t="shared" si="7"/>
        <v>1.2451000000000001</v>
      </c>
      <c r="AT48" s="99">
        <f t="shared" si="7"/>
        <v>0.79179999999999995</v>
      </c>
      <c r="AU48" s="99">
        <f t="shared" si="7"/>
        <v>0.27929999999999999</v>
      </c>
      <c r="AV48" s="99">
        <f t="shared" si="7"/>
        <v>1.0311999999999999</v>
      </c>
      <c r="AW48" s="99">
        <f t="shared" si="7"/>
        <v>1.0462</v>
      </c>
      <c r="AX48" s="99">
        <f t="shared" si="7"/>
        <v>0</v>
      </c>
      <c r="AY48" s="99">
        <f t="shared" si="7"/>
        <v>0</v>
      </c>
      <c r="AZ48" s="99">
        <f t="shared" si="7"/>
        <v>0</v>
      </c>
      <c r="BA48" s="99">
        <f t="shared" si="7"/>
        <v>0</v>
      </c>
      <c r="BB48" s="99">
        <f t="shared" si="7"/>
        <v>0</v>
      </c>
      <c r="BC48" s="99">
        <f t="shared" si="7"/>
        <v>0</v>
      </c>
      <c r="BD48" s="97"/>
      <c r="BE48" s="1">
        <f>IFERROR(VLOOKUP(AR48,'Top WS'!$A$19:$C$28,3),0)</f>
        <v>520</v>
      </c>
      <c r="BF48" s="1">
        <f>IFERROR(VLOOKUP(AS48,'Top WS'!$A$19:$C$28,3),0)</f>
        <v>520</v>
      </c>
      <c r="BG48" s="1">
        <f>IFERROR(VLOOKUP(AT48,'Top WS'!$A$19:$C$28,3),0)</f>
        <v>400</v>
      </c>
      <c r="BH48" s="1">
        <f>IFERROR(VLOOKUP(AU48,'Top WS'!$A$19:$C$28,3),0)</f>
        <v>400</v>
      </c>
      <c r="BI48" s="1">
        <f>IFERROR(VLOOKUP(AV48,'Top WS'!$A$19:$C$28,3),0)</f>
        <v>432</v>
      </c>
      <c r="BJ48" s="1">
        <f>IFERROR(VLOOKUP(AW48,'Top WS'!$A$19:$C$28,3),0)</f>
        <v>432</v>
      </c>
      <c r="BK48" s="98">
        <f>IFERROR(VLOOKUP(AX48,'Top WS'!$A$19:$C$28,3),0)</f>
        <v>400</v>
      </c>
      <c r="BL48" s="98">
        <f>IFERROR(VLOOKUP(AY48,'Top WS'!$A$19:$C$28,3),0)</f>
        <v>400</v>
      </c>
      <c r="BM48" s="98">
        <f>IFERROR(VLOOKUP(AZ48,'Top WS'!$A$19:$C$28,3),0)</f>
        <v>400</v>
      </c>
      <c r="BN48" s="98">
        <f>IFERROR(VLOOKUP(BA48,'Top WS'!$A$19:$C$28,3),0)</f>
        <v>400</v>
      </c>
      <c r="BO48" s="98">
        <f>IFERROR(VLOOKUP(BB48,'Top WS'!$A$19:$C$28,3),0)</f>
        <v>400</v>
      </c>
      <c r="BP48" s="98">
        <f>IFERROR(VLOOKUP(BC48,'Top WS'!$A$19:$C$28,3),0)</f>
        <v>400</v>
      </c>
      <c r="BQ48" s="1">
        <f t="shared" si="5"/>
        <v>5104</v>
      </c>
    </row>
    <row r="49" spans="1:69" x14ac:dyDescent="0.4">
      <c r="A49">
        <v>1190043902</v>
      </c>
      <c r="B49">
        <f>VLOOKUP(A49,'Aji Plus'!$A$2:$D$58,2,0)</f>
        <v>63553</v>
      </c>
      <c r="C49" t="str">
        <f>VLOOKUP(A49,'Aji Plus'!$A$2:$D$58,3,0)</f>
        <v>นายภัทรพล สงฆ์เจริญ</v>
      </c>
      <c r="D49" t="str">
        <f>VLOOKUP(A49,'Aji Plus'!$A$2:$D$58,4,0)</f>
        <v>Udonthani</v>
      </c>
      <c r="E49" s="1">
        <v>205.39137142491279</v>
      </c>
      <c r="F49" s="1">
        <v>205.69860147191909</v>
      </c>
      <c r="G49" s="1">
        <v>201.94716089794809</v>
      </c>
      <c r="H49" s="1">
        <v>200.10378061591058</v>
      </c>
      <c r="I49" s="1">
        <v>212.01460443826858</v>
      </c>
      <c r="J49" s="1">
        <v>203.56416114534935</v>
      </c>
      <c r="K49" s="1">
        <v>203.54152314188573</v>
      </c>
      <c r="L49" s="1">
        <v>207.4384937381229</v>
      </c>
      <c r="M49" s="1">
        <v>208.08205983658857</v>
      </c>
      <c r="N49" s="1">
        <v>211.46482435415211</v>
      </c>
      <c r="O49" s="1">
        <v>196.15506601175656</v>
      </c>
      <c r="P49" s="1">
        <v>203.08552907211859</v>
      </c>
      <c r="R49" s="1">
        <f>VLOOKUP(A49,Actual_RDQ!$A$2:$H$62,3,0)</f>
        <v>268.99199999999996</v>
      </c>
      <c r="S49" s="1">
        <f>VLOOKUP(A49,Actual_RDQ!$A$2:$H$62,4,0)</f>
        <v>236.16</v>
      </c>
      <c r="T49" s="1">
        <f>VLOOKUP(A49,Actual_RDQ!$A$2:$H$62,5,0)</f>
        <v>214.27200000000002</v>
      </c>
      <c r="U49" s="1">
        <f>VLOOKUP(A49,Actual_RDQ!$A$2:$H$62,6,0)</f>
        <v>344.44799999999998</v>
      </c>
      <c r="V49" s="1">
        <f>VLOOKUP(A49,Actual_RDQ!$A$2:$H$62,7,0)</f>
        <v>176.25599999999994</v>
      </c>
      <c r="W49" s="1">
        <f>VLOOKUP(A49,Actual_RDQ!$A$2:$H$62,8,0)</f>
        <v>51.839999999999996</v>
      </c>
      <c r="X49" s="118"/>
      <c r="Y49" s="118"/>
      <c r="Z49" s="118"/>
      <c r="AA49" s="118"/>
      <c r="AB49" s="118"/>
      <c r="AC49" s="118"/>
      <c r="AE49" s="97">
        <f t="shared" si="6"/>
        <v>1.3096557958294677</v>
      </c>
      <c r="AF49" s="97">
        <f t="shared" si="6"/>
        <v>1.1480875334596736</v>
      </c>
      <c r="AG49" s="97">
        <f t="shared" si="6"/>
        <v>1.0610300191755613</v>
      </c>
      <c r="AH49" s="97">
        <f t="shared" si="6"/>
        <v>1.7213467878508055</v>
      </c>
      <c r="AI49" s="97">
        <f t="shared" si="6"/>
        <v>0.83133895642231415</v>
      </c>
      <c r="AJ49" s="97">
        <f t="shared" si="6"/>
        <v>0.25466172290998257</v>
      </c>
      <c r="AK49" s="99">
        <f t="shared" si="6"/>
        <v>0</v>
      </c>
      <c r="AL49" s="99">
        <f t="shared" si="6"/>
        <v>0</v>
      </c>
      <c r="AM49" s="99">
        <f t="shared" si="6"/>
        <v>0</v>
      </c>
      <c r="AN49" s="99">
        <f t="shared" si="6"/>
        <v>0</v>
      </c>
      <c r="AO49" s="99">
        <f t="shared" si="6"/>
        <v>0</v>
      </c>
      <c r="AP49" s="99">
        <f t="shared" si="6"/>
        <v>0</v>
      </c>
      <c r="AQ49" s="97"/>
      <c r="AR49" s="99">
        <f t="shared" si="7"/>
        <v>1.3097000000000001</v>
      </c>
      <c r="AS49" s="99">
        <f t="shared" si="7"/>
        <v>1.1480999999999999</v>
      </c>
      <c r="AT49" s="99">
        <f t="shared" si="7"/>
        <v>1.0609999999999999</v>
      </c>
      <c r="AU49" s="99">
        <f t="shared" si="7"/>
        <v>1.7213000000000001</v>
      </c>
      <c r="AV49" s="99">
        <f t="shared" si="7"/>
        <v>0.83130000000000004</v>
      </c>
      <c r="AW49" s="99">
        <f t="shared" si="7"/>
        <v>0.25469999999999998</v>
      </c>
      <c r="AX49" s="99">
        <f t="shared" si="7"/>
        <v>0</v>
      </c>
      <c r="AY49" s="99">
        <f t="shared" si="7"/>
        <v>0</v>
      </c>
      <c r="AZ49" s="99">
        <f t="shared" si="7"/>
        <v>0</v>
      </c>
      <c r="BA49" s="99">
        <f t="shared" si="7"/>
        <v>0</v>
      </c>
      <c r="BB49" s="99">
        <f t="shared" si="7"/>
        <v>0</v>
      </c>
      <c r="BC49" s="99">
        <f t="shared" si="7"/>
        <v>0</v>
      </c>
      <c r="BD49" s="97"/>
      <c r="BE49" s="1">
        <f>IFERROR(VLOOKUP(AR49,'Top WS'!$A$19:$C$28,3),0)</f>
        <v>520</v>
      </c>
      <c r="BF49" s="1">
        <f>IFERROR(VLOOKUP(AS49,'Top WS'!$A$19:$C$28,3),0)</f>
        <v>460</v>
      </c>
      <c r="BG49" s="1">
        <f>IFERROR(VLOOKUP(AT49,'Top WS'!$A$19:$C$28,3),0)</f>
        <v>440</v>
      </c>
      <c r="BH49" s="1">
        <f>IFERROR(VLOOKUP(AU49,'Top WS'!$A$19:$C$28,3),0)</f>
        <v>520</v>
      </c>
      <c r="BI49" s="1">
        <f>IFERROR(VLOOKUP(AV49,'Top WS'!$A$19:$C$28,3),0)</f>
        <v>400</v>
      </c>
      <c r="BJ49" s="1">
        <f>IFERROR(VLOOKUP(AW49,'Top WS'!$A$19:$C$28,3),0)</f>
        <v>400</v>
      </c>
      <c r="BK49" s="98">
        <f>IFERROR(VLOOKUP(AX49,'Top WS'!$A$19:$C$28,3),0)</f>
        <v>400</v>
      </c>
      <c r="BL49" s="98">
        <f>IFERROR(VLOOKUP(AY49,'Top WS'!$A$19:$C$28,3),0)</f>
        <v>400</v>
      </c>
      <c r="BM49" s="98">
        <f>IFERROR(VLOOKUP(AZ49,'Top WS'!$A$19:$C$28,3),0)</f>
        <v>400</v>
      </c>
      <c r="BN49" s="98">
        <f>IFERROR(VLOOKUP(BA49,'Top WS'!$A$19:$C$28,3),0)</f>
        <v>400</v>
      </c>
      <c r="BO49" s="98">
        <f>IFERROR(VLOOKUP(BB49,'Top WS'!$A$19:$C$28,3),0)</f>
        <v>400</v>
      </c>
      <c r="BP49" s="98">
        <f>IFERROR(VLOOKUP(BC49,'Top WS'!$A$19:$C$28,3),0)</f>
        <v>400</v>
      </c>
      <c r="BQ49" s="1">
        <f t="shared" si="5"/>
        <v>5140</v>
      </c>
    </row>
    <row r="50" spans="1:69" x14ac:dyDescent="0.4">
      <c r="A50">
        <v>1190044001</v>
      </c>
      <c r="B50">
        <f>VLOOKUP(A50,'Aji Plus'!$A$2:$D$58,2,0)</f>
        <v>78443</v>
      </c>
      <c r="C50" t="str">
        <f>VLOOKUP(A50,'Aji Plus'!$A$2:$D$58,3,0)</f>
        <v>นายจิตติพงศ์ สุระสา</v>
      </c>
      <c r="D50" t="str">
        <f>VLOOKUP(A50,'Aji Plus'!$A$2:$D$58,4,0)</f>
        <v>S.Nakon</v>
      </c>
      <c r="E50" s="1">
        <v>161.91792925335375</v>
      </c>
      <c r="F50" s="1">
        <v>162.16013053313759</v>
      </c>
      <c r="G50" s="1">
        <v>159.20272543261973</v>
      </c>
      <c r="H50" s="1">
        <v>157.74951775391693</v>
      </c>
      <c r="I50" s="1">
        <v>167.13927894806122</v>
      </c>
      <c r="J50" s="1">
        <v>160.4774690104291</v>
      </c>
      <c r="K50" s="1">
        <v>160.45962260033977</v>
      </c>
      <c r="L50" s="1">
        <v>163.53175462286052</v>
      </c>
      <c r="M50" s="1">
        <v>164.03910256682866</v>
      </c>
      <c r="N50" s="1">
        <v>166.705866131606</v>
      </c>
      <c r="O50" s="1">
        <v>154.63659393690628</v>
      </c>
      <c r="P50" s="1">
        <v>160.10014491139754</v>
      </c>
      <c r="R50" s="1">
        <f>VLOOKUP(A50,Actual_RDQ!$A$2:$H$62,3,0)</f>
        <v>179.71200000000002</v>
      </c>
      <c r="S50" s="1">
        <f>VLOOKUP(A50,Actual_RDQ!$A$2:$H$62,4,0)</f>
        <v>129.60000000000002</v>
      </c>
      <c r="T50" s="1">
        <f>VLOOKUP(A50,Actual_RDQ!$A$2:$H$62,5,0)</f>
        <v>69.11999999999999</v>
      </c>
      <c r="U50" s="1">
        <f>VLOOKUP(A50,Actual_RDQ!$A$2:$H$62,6,0)</f>
        <v>218.88000000000002</v>
      </c>
      <c r="V50" s="1">
        <f>VLOOKUP(A50,Actual_RDQ!$A$2:$H$62,7,0)</f>
        <v>434.30400000000003</v>
      </c>
      <c r="W50" s="1">
        <f>VLOOKUP(A50,Actual_RDQ!$A$2:$H$62,8,0)</f>
        <v>179.71199999999999</v>
      </c>
      <c r="X50" s="118"/>
      <c r="Y50" s="118"/>
      <c r="Z50" s="118"/>
      <c r="AA50" s="118"/>
      <c r="AB50" s="118"/>
      <c r="AC50" s="118"/>
      <c r="AE50" s="97">
        <f t="shared" si="6"/>
        <v>1.109895617049325</v>
      </c>
      <c r="AF50" s="97">
        <f t="shared" si="6"/>
        <v>0.79921001280592907</v>
      </c>
      <c r="AG50" s="97">
        <f t="shared" si="6"/>
        <v>0.43416342158824434</v>
      </c>
      <c r="AH50" s="97">
        <f t="shared" si="6"/>
        <v>1.3875161275703185</v>
      </c>
      <c r="AI50" s="97">
        <f t="shared" si="6"/>
        <v>2.5984556277460107</v>
      </c>
      <c r="AJ50" s="97">
        <f t="shared" si="6"/>
        <v>1.1198581402621752</v>
      </c>
      <c r="AK50" s="99">
        <f t="shared" si="6"/>
        <v>0</v>
      </c>
      <c r="AL50" s="99">
        <f t="shared" si="6"/>
        <v>0</v>
      </c>
      <c r="AM50" s="99">
        <f t="shared" si="6"/>
        <v>0</v>
      </c>
      <c r="AN50" s="99">
        <f t="shared" si="6"/>
        <v>0</v>
      </c>
      <c r="AO50" s="99">
        <f t="shared" si="6"/>
        <v>0</v>
      </c>
      <c r="AP50" s="99">
        <f t="shared" si="6"/>
        <v>0</v>
      </c>
      <c r="AQ50" s="97"/>
      <c r="AR50" s="99">
        <f t="shared" si="7"/>
        <v>1.1099000000000001</v>
      </c>
      <c r="AS50" s="99">
        <f t="shared" si="7"/>
        <v>0.79920000000000002</v>
      </c>
      <c r="AT50" s="99">
        <f t="shared" si="7"/>
        <v>0.43419999999999997</v>
      </c>
      <c r="AU50" s="99">
        <f t="shared" si="7"/>
        <v>1.3875</v>
      </c>
      <c r="AV50" s="99">
        <f t="shared" si="7"/>
        <v>2.5985</v>
      </c>
      <c r="AW50" s="99">
        <f t="shared" si="7"/>
        <v>1.1198999999999999</v>
      </c>
      <c r="AX50" s="99">
        <f t="shared" si="7"/>
        <v>0</v>
      </c>
      <c r="AY50" s="99">
        <f t="shared" si="7"/>
        <v>0</v>
      </c>
      <c r="AZ50" s="99">
        <f t="shared" si="7"/>
        <v>0</v>
      </c>
      <c r="BA50" s="99">
        <f t="shared" si="7"/>
        <v>0</v>
      </c>
      <c r="BB50" s="99">
        <f t="shared" si="7"/>
        <v>0</v>
      </c>
      <c r="BC50" s="99">
        <f t="shared" si="7"/>
        <v>0</v>
      </c>
      <c r="BD50" s="97"/>
      <c r="BE50" s="1">
        <f>IFERROR(VLOOKUP(AR50,'Top WS'!$A$19:$C$28,3),0)</f>
        <v>460</v>
      </c>
      <c r="BF50" s="1">
        <f>IFERROR(VLOOKUP(AS50,'Top WS'!$A$19:$C$28,3),0)</f>
        <v>400</v>
      </c>
      <c r="BG50" s="1">
        <f>IFERROR(VLOOKUP(AT50,'Top WS'!$A$19:$C$28,3),0)</f>
        <v>400</v>
      </c>
      <c r="BH50" s="1">
        <f>IFERROR(VLOOKUP(AU50,'Top WS'!$A$19:$C$28,3),0)</f>
        <v>520</v>
      </c>
      <c r="BI50" s="1">
        <f>IFERROR(VLOOKUP(AV50,'Top WS'!$A$19:$C$28,3),0)</f>
        <v>520</v>
      </c>
      <c r="BJ50" s="1">
        <f>IFERROR(VLOOKUP(AW50,'Top WS'!$A$19:$C$28,3),0)</f>
        <v>460</v>
      </c>
      <c r="BK50" s="98">
        <f>IFERROR(VLOOKUP(AX50,'Top WS'!$A$19:$C$28,3),0)</f>
        <v>400</v>
      </c>
      <c r="BL50" s="98">
        <f>IFERROR(VLOOKUP(AY50,'Top WS'!$A$19:$C$28,3),0)</f>
        <v>400</v>
      </c>
      <c r="BM50" s="98">
        <f>IFERROR(VLOOKUP(AZ50,'Top WS'!$A$19:$C$28,3),0)</f>
        <v>400</v>
      </c>
      <c r="BN50" s="98">
        <f>IFERROR(VLOOKUP(BA50,'Top WS'!$A$19:$C$28,3),0)</f>
        <v>400</v>
      </c>
      <c r="BO50" s="98">
        <f>IFERROR(VLOOKUP(BB50,'Top WS'!$A$19:$C$28,3),0)</f>
        <v>400</v>
      </c>
      <c r="BP50" s="98">
        <f>IFERROR(VLOOKUP(BC50,'Top WS'!$A$19:$C$28,3),0)</f>
        <v>400</v>
      </c>
      <c r="BQ50" s="1">
        <f t="shared" si="5"/>
        <v>5160</v>
      </c>
    </row>
    <row r="51" spans="1:69" x14ac:dyDescent="0.4">
      <c r="A51">
        <v>1190044002</v>
      </c>
      <c r="B51">
        <f>VLOOKUP(A51,'Aji Plus'!$A$2:$D$58,2,0)</f>
        <v>62434</v>
      </c>
      <c r="C51" t="str">
        <f>VLOOKUP(A51,'Aji Plus'!$A$2:$D$58,3,0)</f>
        <v>นายธนาวัฒน์ กงลีมา</v>
      </c>
      <c r="D51" t="str">
        <f>VLOOKUP(A51,'Aji Plus'!$A$2:$D$58,4,0)</f>
        <v>S.Nakon</v>
      </c>
      <c r="E51" s="1">
        <v>82.029979191792236</v>
      </c>
      <c r="F51" s="1">
        <v>82.152681884647237</v>
      </c>
      <c r="G51" s="1">
        <v>80.654417424523189</v>
      </c>
      <c r="H51" s="1">
        <v>79.918201267393243</v>
      </c>
      <c r="I51" s="1">
        <v>84.675190928287137</v>
      </c>
      <c r="J51" s="1">
        <v>81.300221071128362</v>
      </c>
      <c r="K51" s="1">
        <v>81.291179820075897</v>
      </c>
      <c r="L51" s="1">
        <v>82.84756660839443</v>
      </c>
      <c r="M51" s="1">
        <v>83.104596459743291</v>
      </c>
      <c r="N51" s="1">
        <v>84.455617688441365</v>
      </c>
      <c r="O51" s="1">
        <v>78.341148762383327</v>
      </c>
      <c r="P51" s="1">
        <v>81.109063191733227</v>
      </c>
      <c r="R51" s="1">
        <f>VLOOKUP(A51,Actual_RDQ!$A$2:$H$62,3,0)</f>
        <v>110.592</v>
      </c>
      <c r="S51" s="1">
        <f>VLOOKUP(A51,Actual_RDQ!$A$2:$H$62,4,0)</f>
        <v>74.88</v>
      </c>
      <c r="T51" s="1">
        <f>VLOOKUP(A51,Actual_RDQ!$A$2:$H$62,5,0)</f>
        <v>105.98400000000001</v>
      </c>
      <c r="U51" s="1">
        <f>VLOOKUP(A51,Actual_RDQ!$A$2:$H$62,6,0)</f>
        <v>78.335999999999999</v>
      </c>
      <c r="V51" s="1">
        <f>VLOOKUP(A51,Actual_RDQ!$A$2:$H$62,7,0)</f>
        <v>17.28</v>
      </c>
      <c r="W51" s="1">
        <f>VLOOKUP(A51,Actual_RDQ!$A$2:$H$62,8,0)</f>
        <v>245.37599999999995</v>
      </c>
      <c r="X51" s="118"/>
      <c r="Y51" s="118"/>
      <c r="Z51" s="118"/>
      <c r="AA51" s="118"/>
      <c r="AB51" s="118"/>
      <c r="AC51" s="118"/>
      <c r="AE51" s="97">
        <f t="shared" si="6"/>
        <v>1.3481900286897259</v>
      </c>
      <c r="AF51" s="97">
        <f t="shared" si="6"/>
        <v>0.911473591393413</v>
      </c>
      <c r="AG51" s="97">
        <f t="shared" si="6"/>
        <v>1.3140507784236415</v>
      </c>
      <c r="AH51" s="97">
        <f t="shared" si="6"/>
        <v>0.9802022412629201</v>
      </c>
      <c r="AI51" s="97">
        <f t="shared" si="6"/>
        <v>0.20407394197238632</v>
      </c>
      <c r="AJ51" s="97">
        <f t="shared" si="6"/>
        <v>3.0181467745988551</v>
      </c>
      <c r="AK51" s="99">
        <f t="shared" si="6"/>
        <v>0</v>
      </c>
      <c r="AL51" s="99">
        <f t="shared" si="6"/>
        <v>0</v>
      </c>
      <c r="AM51" s="99">
        <f t="shared" si="6"/>
        <v>0</v>
      </c>
      <c r="AN51" s="99">
        <f t="shared" si="6"/>
        <v>0</v>
      </c>
      <c r="AO51" s="99">
        <f t="shared" si="6"/>
        <v>0</v>
      </c>
      <c r="AP51" s="99">
        <f t="shared" si="6"/>
        <v>0</v>
      </c>
      <c r="AQ51" s="97"/>
      <c r="AR51" s="99">
        <f t="shared" si="7"/>
        <v>1.3482000000000001</v>
      </c>
      <c r="AS51" s="99">
        <f t="shared" si="7"/>
        <v>0.91149999999999998</v>
      </c>
      <c r="AT51" s="99">
        <f t="shared" si="7"/>
        <v>1.3141</v>
      </c>
      <c r="AU51" s="99">
        <f t="shared" si="7"/>
        <v>0.98019999999999996</v>
      </c>
      <c r="AV51" s="99">
        <f t="shared" si="7"/>
        <v>0.2041</v>
      </c>
      <c r="AW51" s="99">
        <f t="shared" si="7"/>
        <v>3.0181</v>
      </c>
      <c r="AX51" s="99">
        <f t="shared" si="7"/>
        <v>0</v>
      </c>
      <c r="AY51" s="99">
        <f t="shared" si="7"/>
        <v>0</v>
      </c>
      <c r="AZ51" s="99">
        <f t="shared" si="7"/>
        <v>0</v>
      </c>
      <c r="BA51" s="99">
        <f t="shared" si="7"/>
        <v>0</v>
      </c>
      <c r="BB51" s="99">
        <f t="shared" si="7"/>
        <v>0</v>
      </c>
      <c r="BC51" s="99">
        <f t="shared" si="7"/>
        <v>0</v>
      </c>
      <c r="BD51" s="97"/>
      <c r="BE51" s="1">
        <f>IFERROR(VLOOKUP(AR51,'Top WS'!$A$19:$C$28,3),0)</f>
        <v>520</v>
      </c>
      <c r="BF51" s="1">
        <f>IFERROR(VLOOKUP(AS51,'Top WS'!$A$19:$C$28,3),0)</f>
        <v>400</v>
      </c>
      <c r="BG51" s="1">
        <f>IFERROR(VLOOKUP(AT51,'Top WS'!$A$19:$C$28,3),0)</f>
        <v>520</v>
      </c>
      <c r="BH51" s="1">
        <f>IFERROR(VLOOKUP(AU51,'Top WS'!$A$19:$C$28,3),0)</f>
        <v>400</v>
      </c>
      <c r="BI51" s="1">
        <f>IFERROR(VLOOKUP(AV51,'Top WS'!$A$19:$C$28,3),0)</f>
        <v>400</v>
      </c>
      <c r="BJ51" s="1">
        <f>IFERROR(VLOOKUP(AW51,'Top WS'!$A$19:$C$28,3),0)</f>
        <v>520</v>
      </c>
      <c r="BK51" s="98">
        <f>IFERROR(VLOOKUP(AX51,'Top WS'!$A$19:$C$28,3),0)</f>
        <v>400</v>
      </c>
      <c r="BL51" s="98">
        <f>IFERROR(VLOOKUP(AY51,'Top WS'!$A$19:$C$28,3),0)</f>
        <v>400</v>
      </c>
      <c r="BM51" s="98">
        <f>IFERROR(VLOOKUP(AZ51,'Top WS'!$A$19:$C$28,3),0)</f>
        <v>400</v>
      </c>
      <c r="BN51" s="98">
        <f>IFERROR(VLOOKUP(BA51,'Top WS'!$A$19:$C$28,3),0)</f>
        <v>400</v>
      </c>
      <c r="BO51" s="98">
        <f>IFERROR(VLOOKUP(BB51,'Top WS'!$A$19:$C$28,3),0)</f>
        <v>400</v>
      </c>
      <c r="BP51" s="98">
        <f>IFERROR(VLOOKUP(BC51,'Top WS'!$A$19:$C$28,3),0)</f>
        <v>400</v>
      </c>
      <c r="BQ51" s="1">
        <f t="shared" si="5"/>
        <v>5160</v>
      </c>
    </row>
    <row r="52" spans="1:69" x14ac:dyDescent="0.4">
      <c r="A52">
        <v>1190044101</v>
      </c>
      <c r="B52">
        <f>VLOOKUP(A52,'Aji Plus'!$A$2:$D$58,2,0)</f>
        <v>61187</v>
      </c>
      <c r="C52" t="str">
        <f>VLOOKUP(A52,'Aji Plus'!$A$2:$D$58,3,0)</f>
        <v>นายสามารถ กิจกรองกาญ</v>
      </c>
      <c r="D52" t="str">
        <f>VLOOKUP(A52,'Aji Plus'!$A$2:$D$58,4,0)</f>
        <v>Chumphae</v>
      </c>
      <c r="E52" s="1">
        <v>372</v>
      </c>
      <c r="F52" s="1">
        <v>373</v>
      </c>
      <c r="G52" s="1">
        <v>366</v>
      </c>
      <c r="H52" s="1">
        <v>363</v>
      </c>
      <c r="I52" s="1">
        <v>384</v>
      </c>
      <c r="J52" s="1">
        <v>369</v>
      </c>
      <c r="K52" s="1">
        <v>369</v>
      </c>
      <c r="L52" s="1">
        <v>376</v>
      </c>
      <c r="M52" s="1">
        <v>377</v>
      </c>
      <c r="N52" s="1">
        <v>383</v>
      </c>
      <c r="O52" s="1">
        <v>360</v>
      </c>
      <c r="P52" s="1">
        <v>368</v>
      </c>
      <c r="R52" s="1">
        <f>VLOOKUP(A52,Actual_RDQ!$A$2:$H$62,3,0)</f>
        <v>542.5920000000001</v>
      </c>
      <c r="S52" s="1">
        <f>VLOOKUP(A52,Actual_RDQ!$A$2:$H$62,4,0)</f>
        <v>375.55200000000002</v>
      </c>
      <c r="T52" s="1">
        <f>VLOOKUP(A52,Actual_RDQ!$A$2:$H$62,5,0)</f>
        <v>114.048</v>
      </c>
      <c r="U52" s="1">
        <f>VLOOKUP(A52,Actual_RDQ!$A$2:$H$62,6,0)</f>
        <v>205.63200000000001</v>
      </c>
      <c r="V52" s="1">
        <f>VLOOKUP(A52,Actual_RDQ!$A$2:$H$62,7,0)</f>
        <v>260.928</v>
      </c>
      <c r="W52" s="1">
        <f>VLOOKUP(A52,Actual_RDQ!$A$2:$H$62,8,0)</f>
        <v>155.52000000000001</v>
      </c>
      <c r="X52" s="118"/>
      <c r="Y52" s="118"/>
      <c r="Z52" s="118"/>
      <c r="AA52" s="118"/>
      <c r="AB52" s="118"/>
      <c r="AC52" s="118"/>
      <c r="AE52" s="97">
        <f t="shared" si="6"/>
        <v>1.4585806451612906</v>
      </c>
      <c r="AF52" s="97">
        <f t="shared" si="6"/>
        <v>1.0068418230563003</v>
      </c>
      <c r="AG52" s="97">
        <f t="shared" si="6"/>
        <v>0.31160655737704918</v>
      </c>
      <c r="AH52" s="97">
        <f t="shared" si="6"/>
        <v>0.56647933884297519</v>
      </c>
      <c r="AI52" s="97">
        <f t="shared" si="6"/>
        <v>0.67949999999999999</v>
      </c>
      <c r="AJ52" s="97">
        <f t="shared" si="6"/>
        <v>0.42146341463414638</v>
      </c>
      <c r="AK52" s="99">
        <f t="shared" si="6"/>
        <v>0</v>
      </c>
      <c r="AL52" s="99">
        <f t="shared" si="6"/>
        <v>0</v>
      </c>
      <c r="AM52" s="99">
        <f t="shared" si="6"/>
        <v>0</v>
      </c>
      <c r="AN52" s="99">
        <f t="shared" si="6"/>
        <v>0</v>
      </c>
      <c r="AO52" s="99">
        <f t="shared" si="6"/>
        <v>0</v>
      </c>
      <c r="AP52" s="99">
        <f t="shared" si="6"/>
        <v>0</v>
      </c>
      <c r="AQ52" s="97"/>
      <c r="AR52" s="99">
        <f t="shared" si="7"/>
        <v>1.4585999999999999</v>
      </c>
      <c r="AS52" s="99">
        <f t="shared" si="7"/>
        <v>1.0067999999999999</v>
      </c>
      <c r="AT52" s="99">
        <f t="shared" si="7"/>
        <v>0.31159999999999999</v>
      </c>
      <c r="AU52" s="99">
        <f t="shared" si="7"/>
        <v>0.5665</v>
      </c>
      <c r="AV52" s="99">
        <f t="shared" si="7"/>
        <v>0.67949999999999999</v>
      </c>
      <c r="AW52" s="99">
        <f t="shared" si="7"/>
        <v>0.42149999999999999</v>
      </c>
      <c r="AX52" s="99">
        <f t="shared" si="7"/>
        <v>0</v>
      </c>
      <c r="AY52" s="99">
        <f t="shared" si="7"/>
        <v>0</v>
      </c>
      <c r="AZ52" s="99">
        <f t="shared" si="7"/>
        <v>0</v>
      </c>
      <c r="BA52" s="99">
        <f t="shared" si="7"/>
        <v>0</v>
      </c>
      <c r="BB52" s="99">
        <f t="shared" si="7"/>
        <v>0</v>
      </c>
      <c r="BC52" s="99">
        <f t="shared" si="7"/>
        <v>0</v>
      </c>
      <c r="BD52" s="97"/>
      <c r="BE52" s="1">
        <f>IFERROR(VLOOKUP(AR52,'Top WS'!$A$19:$C$28,3),0)</f>
        <v>520</v>
      </c>
      <c r="BF52" s="1">
        <f>IFERROR(VLOOKUP(AS52,'Top WS'!$A$19:$C$28,3),0)</f>
        <v>412</v>
      </c>
      <c r="BG52" s="1">
        <f>IFERROR(VLOOKUP(AT52,'Top WS'!$A$19:$C$28,3),0)</f>
        <v>400</v>
      </c>
      <c r="BH52" s="1">
        <f>IFERROR(VLOOKUP(AU52,'Top WS'!$A$19:$C$28,3),0)</f>
        <v>400</v>
      </c>
      <c r="BI52" s="1">
        <f>IFERROR(VLOOKUP(AV52,'Top WS'!$A$19:$C$28,3),0)</f>
        <v>400</v>
      </c>
      <c r="BJ52" s="1">
        <f>IFERROR(VLOOKUP(AW52,'Top WS'!$A$19:$C$28,3),0)</f>
        <v>400</v>
      </c>
      <c r="BK52" s="98">
        <f>IFERROR(VLOOKUP(AX52,'Top WS'!$A$19:$C$28,3),0)</f>
        <v>400</v>
      </c>
      <c r="BL52" s="98">
        <f>IFERROR(VLOOKUP(AY52,'Top WS'!$A$19:$C$28,3),0)</f>
        <v>400</v>
      </c>
      <c r="BM52" s="98">
        <f>IFERROR(VLOOKUP(AZ52,'Top WS'!$A$19:$C$28,3),0)</f>
        <v>400</v>
      </c>
      <c r="BN52" s="98">
        <f>IFERROR(VLOOKUP(BA52,'Top WS'!$A$19:$C$28,3),0)</f>
        <v>400</v>
      </c>
      <c r="BO52" s="98">
        <f>IFERROR(VLOOKUP(BB52,'Top WS'!$A$19:$C$28,3),0)</f>
        <v>400</v>
      </c>
      <c r="BP52" s="98">
        <f>IFERROR(VLOOKUP(BC52,'Top WS'!$A$19:$C$28,3),0)</f>
        <v>400</v>
      </c>
      <c r="BQ52" s="1">
        <f t="shared" si="5"/>
        <v>4932</v>
      </c>
    </row>
    <row r="53" spans="1:69" x14ac:dyDescent="0.4">
      <c r="A53">
        <v>1190054201</v>
      </c>
      <c r="B53">
        <f>VLOOKUP(A53,'Aji Plus'!$A$2:$D$58,2,0)</f>
        <v>75411</v>
      </c>
      <c r="C53" t="str">
        <f>VLOOKUP(A53,'Aji Plus'!$A$2:$D$58,3,0)</f>
        <v>นายจักรภัทร เซ่งสวัสดิ์</v>
      </c>
      <c r="D53" t="str">
        <f>VLOOKUP(A53,'Aji Plus'!$A$2:$D$58,4,0)</f>
        <v>Hat-yai</v>
      </c>
      <c r="E53" s="1">
        <v>168.28234622511167</v>
      </c>
      <c r="F53" s="1">
        <v>162.74507652102912</v>
      </c>
      <c r="G53" s="1">
        <v>171.73594479314653</v>
      </c>
      <c r="H53" s="1">
        <v>189.57953739465992</v>
      </c>
      <c r="I53" s="1">
        <v>210.4392727455905</v>
      </c>
      <c r="J53" s="1">
        <v>139.87074200541161</v>
      </c>
      <c r="K53" s="1">
        <v>206.12227453554686</v>
      </c>
      <c r="L53" s="1">
        <v>137.40717502688008</v>
      </c>
      <c r="M53" s="1">
        <v>131.30581755668516</v>
      </c>
      <c r="N53" s="1">
        <v>247.151025523801</v>
      </c>
      <c r="O53" s="1">
        <v>150.85318545176233</v>
      </c>
      <c r="P53" s="1">
        <v>162.66449255444161</v>
      </c>
      <c r="R53" s="1">
        <f>VLOOKUP(A53,Actual_RDQ!$A$2:$H$62,3,0)</f>
        <v>203.90400000000005</v>
      </c>
      <c r="S53" s="1">
        <f>VLOOKUP(A53,Actual_RDQ!$A$2:$H$62,4,0)</f>
        <v>127.29600000000001</v>
      </c>
      <c r="T53" s="1">
        <f>VLOOKUP(A53,Actual_RDQ!$A$2:$H$62,5,0)</f>
        <v>179.13600000000002</v>
      </c>
      <c r="U53" s="1">
        <f>VLOOKUP(A53,Actual_RDQ!$A$2:$H$62,6,0)</f>
        <v>115.2</v>
      </c>
      <c r="V53" s="1">
        <f>VLOOKUP(A53,Actual_RDQ!$A$2:$H$62,7,0)</f>
        <v>138.24</v>
      </c>
      <c r="W53" s="1">
        <f>VLOOKUP(A53,Actual_RDQ!$A$2:$H$62,8,0)</f>
        <v>254.59200000000004</v>
      </c>
      <c r="X53" s="118"/>
      <c r="Y53" s="118"/>
      <c r="Z53" s="118"/>
      <c r="AA53" s="118"/>
      <c r="AB53" s="118"/>
      <c r="AC53" s="118"/>
      <c r="AE53" s="97">
        <f t="shared" si="6"/>
        <v>1.2116779007064544</v>
      </c>
      <c r="AF53" s="97">
        <f t="shared" si="6"/>
        <v>0.7821803443838834</v>
      </c>
      <c r="AG53" s="97">
        <f t="shared" si="6"/>
        <v>1.0430897283371094</v>
      </c>
      <c r="AH53" s="97">
        <f t="shared" si="6"/>
        <v>0.60766051855153935</v>
      </c>
      <c r="AI53" s="97">
        <f t="shared" si="6"/>
        <v>0.65691160303107754</v>
      </c>
      <c r="AJ53" s="97">
        <f t="shared" si="6"/>
        <v>1.8201948195152196</v>
      </c>
      <c r="AK53" s="99">
        <f t="shared" si="6"/>
        <v>0</v>
      </c>
      <c r="AL53" s="99">
        <f t="shared" si="6"/>
        <v>0</v>
      </c>
      <c r="AM53" s="99">
        <f t="shared" si="6"/>
        <v>0</v>
      </c>
      <c r="AN53" s="99">
        <f t="shared" si="6"/>
        <v>0</v>
      </c>
      <c r="AO53" s="99">
        <f t="shared" si="6"/>
        <v>0</v>
      </c>
      <c r="AP53" s="99">
        <f t="shared" si="6"/>
        <v>0</v>
      </c>
      <c r="AQ53" s="97"/>
      <c r="AR53" s="99">
        <f t="shared" si="7"/>
        <v>1.2117</v>
      </c>
      <c r="AS53" s="99">
        <f t="shared" si="7"/>
        <v>0.78220000000000001</v>
      </c>
      <c r="AT53" s="99">
        <f t="shared" si="7"/>
        <v>1.0430999999999999</v>
      </c>
      <c r="AU53" s="99">
        <f t="shared" si="7"/>
        <v>0.60770000000000002</v>
      </c>
      <c r="AV53" s="99">
        <f t="shared" si="7"/>
        <v>0.65690000000000004</v>
      </c>
      <c r="AW53" s="99">
        <f t="shared" si="7"/>
        <v>1.8202</v>
      </c>
      <c r="AX53" s="99">
        <f t="shared" si="7"/>
        <v>0</v>
      </c>
      <c r="AY53" s="99">
        <f t="shared" si="7"/>
        <v>0</v>
      </c>
      <c r="AZ53" s="99">
        <f t="shared" si="7"/>
        <v>0</v>
      </c>
      <c r="BA53" s="99">
        <f t="shared" si="7"/>
        <v>0</v>
      </c>
      <c r="BB53" s="99">
        <f t="shared" si="7"/>
        <v>0</v>
      </c>
      <c r="BC53" s="99">
        <f t="shared" si="7"/>
        <v>0</v>
      </c>
      <c r="BD53" s="97"/>
      <c r="BE53" s="1">
        <f>IFERROR(VLOOKUP(AR53,'Top WS'!$A$19:$C$28,3),0)</f>
        <v>520</v>
      </c>
      <c r="BF53" s="1">
        <f>IFERROR(VLOOKUP(AS53,'Top WS'!$A$19:$C$28,3),0)</f>
        <v>400</v>
      </c>
      <c r="BG53" s="1">
        <f>IFERROR(VLOOKUP(AT53,'Top WS'!$A$19:$C$28,3),0)</f>
        <v>432</v>
      </c>
      <c r="BH53" s="1">
        <f>IFERROR(VLOOKUP(AU53,'Top WS'!$A$19:$C$28,3),0)</f>
        <v>400</v>
      </c>
      <c r="BI53" s="1">
        <f>IFERROR(VLOOKUP(AV53,'Top WS'!$A$19:$C$28,3),0)</f>
        <v>400</v>
      </c>
      <c r="BJ53" s="1">
        <f>IFERROR(VLOOKUP(AW53,'Top WS'!$A$19:$C$28,3),0)</f>
        <v>520</v>
      </c>
      <c r="BK53" s="98">
        <f>IFERROR(VLOOKUP(AX53,'Top WS'!$A$19:$C$28,3),0)</f>
        <v>400</v>
      </c>
      <c r="BL53" s="98">
        <f>IFERROR(VLOOKUP(AY53,'Top WS'!$A$19:$C$28,3),0)</f>
        <v>400</v>
      </c>
      <c r="BM53" s="98">
        <f>IFERROR(VLOOKUP(AZ53,'Top WS'!$A$19:$C$28,3),0)</f>
        <v>400</v>
      </c>
      <c r="BN53" s="98">
        <f>IFERROR(VLOOKUP(BA53,'Top WS'!$A$19:$C$28,3),0)</f>
        <v>400</v>
      </c>
      <c r="BO53" s="98">
        <f>IFERROR(VLOOKUP(BB53,'Top WS'!$A$19:$C$28,3),0)</f>
        <v>400</v>
      </c>
      <c r="BP53" s="98">
        <f>IFERROR(VLOOKUP(BC53,'Top WS'!$A$19:$C$28,3),0)</f>
        <v>400</v>
      </c>
      <c r="BQ53" s="1">
        <f t="shared" si="5"/>
        <v>5072</v>
      </c>
    </row>
    <row r="54" spans="1:69" x14ac:dyDescent="0.4">
      <c r="A54">
        <v>1190054202</v>
      </c>
      <c r="B54">
        <f>VLOOKUP(A54,'Aji Plus'!$A$2:$D$58,2,0)</f>
        <v>65181</v>
      </c>
      <c r="C54" t="str">
        <f>VLOOKUP(A54,'Aji Plus'!$A$2:$D$58,3,0)</f>
        <v>นายอวิรุทธ์ บัวหลวง</v>
      </c>
      <c r="D54" t="str">
        <f>VLOOKUP(A54,'Aji Plus'!$A$2:$D$58,4,0)</f>
        <v>Hat-yai</v>
      </c>
      <c r="E54" s="1">
        <v>118.38797702206311</v>
      </c>
      <c r="F54" s="1">
        <v>114.49246348070231</v>
      </c>
      <c r="G54" s="1">
        <v>120.81761124744409</v>
      </c>
      <c r="H54" s="1">
        <v>133.3707214119124</v>
      </c>
      <c r="I54" s="1">
        <v>148.04571213321347</v>
      </c>
      <c r="J54" s="1">
        <v>98.400186127929075</v>
      </c>
      <c r="K54" s="1">
        <v>145.00866935148719</v>
      </c>
      <c r="L54" s="1">
        <v>96.667047047157311</v>
      </c>
      <c r="M54" s="1">
        <v>92.374693248984258</v>
      </c>
      <c r="N54" s="1">
        <v>173.87272394901311</v>
      </c>
      <c r="O54" s="1">
        <v>106.12642296464045</v>
      </c>
      <c r="P54" s="1">
        <v>114.4357720154434</v>
      </c>
      <c r="R54" s="1">
        <f>VLOOKUP(A54,Actual_RDQ!$A$2:$H$62,3,0)</f>
        <v>152.06399999999999</v>
      </c>
      <c r="S54" s="1">
        <f>VLOOKUP(A54,Actual_RDQ!$A$2:$H$62,4,0)</f>
        <v>61.632000000000005</v>
      </c>
      <c r="T54" s="1">
        <f>VLOOKUP(A54,Actual_RDQ!$A$2:$H$62,5,0)</f>
        <v>87.552000000000021</v>
      </c>
      <c r="U54" s="1">
        <f>VLOOKUP(A54,Actual_RDQ!$A$2:$H$62,6,0)</f>
        <v>118.08000000000001</v>
      </c>
      <c r="V54" s="1">
        <f>VLOOKUP(A54,Actual_RDQ!$A$2:$H$62,7,0)</f>
        <v>153.21599999999998</v>
      </c>
      <c r="W54" s="1">
        <f>VLOOKUP(A54,Actual_RDQ!$A$2:$H$62,8,0)</f>
        <v>179.71199999999996</v>
      </c>
      <c r="X54" s="118"/>
      <c r="Y54" s="118"/>
      <c r="Z54" s="118"/>
      <c r="AA54" s="118"/>
      <c r="AB54" s="118"/>
      <c r="AC54" s="118"/>
      <c r="AE54" s="97">
        <f t="shared" si="6"/>
        <v>1.2844547548241401</v>
      </c>
      <c r="AF54" s="97">
        <f t="shared" si="6"/>
        <v>0.53830617427834515</v>
      </c>
      <c r="AG54" s="97">
        <f t="shared" si="6"/>
        <v>0.72466256447238098</v>
      </c>
      <c r="AH54" s="97">
        <f t="shared" si="6"/>
        <v>0.88535173799737243</v>
      </c>
      <c r="AI54" s="97">
        <f t="shared" si="6"/>
        <v>1.0349235907767069</v>
      </c>
      <c r="AJ54" s="97">
        <f t="shared" si="6"/>
        <v>1.8263380088159409</v>
      </c>
      <c r="AK54" s="99">
        <f t="shared" si="6"/>
        <v>0</v>
      </c>
      <c r="AL54" s="99">
        <f t="shared" si="6"/>
        <v>0</v>
      </c>
      <c r="AM54" s="99">
        <f t="shared" si="6"/>
        <v>0</v>
      </c>
      <c r="AN54" s="99">
        <f t="shared" si="6"/>
        <v>0</v>
      </c>
      <c r="AO54" s="99">
        <f t="shared" si="6"/>
        <v>0</v>
      </c>
      <c r="AP54" s="99">
        <f t="shared" si="6"/>
        <v>0</v>
      </c>
      <c r="AQ54" s="97"/>
      <c r="AR54" s="99">
        <f t="shared" si="7"/>
        <v>1.2845</v>
      </c>
      <c r="AS54" s="99">
        <f t="shared" si="7"/>
        <v>0.5383</v>
      </c>
      <c r="AT54" s="99">
        <f t="shared" si="7"/>
        <v>0.72470000000000001</v>
      </c>
      <c r="AU54" s="99">
        <f t="shared" si="7"/>
        <v>0.88539999999999996</v>
      </c>
      <c r="AV54" s="99">
        <f t="shared" si="7"/>
        <v>1.0348999999999999</v>
      </c>
      <c r="AW54" s="99">
        <f t="shared" si="7"/>
        <v>1.8263</v>
      </c>
      <c r="AX54" s="99">
        <f t="shared" si="7"/>
        <v>0</v>
      </c>
      <c r="AY54" s="99">
        <f t="shared" si="7"/>
        <v>0</v>
      </c>
      <c r="AZ54" s="99">
        <f t="shared" si="7"/>
        <v>0</v>
      </c>
      <c r="BA54" s="99">
        <f t="shared" si="7"/>
        <v>0</v>
      </c>
      <c r="BB54" s="99">
        <f t="shared" si="7"/>
        <v>0</v>
      </c>
      <c r="BC54" s="99">
        <f t="shared" si="7"/>
        <v>0</v>
      </c>
      <c r="BD54" s="97"/>
      <c r="BE54" s="1">
        <f>IFERROR(VLOOKUP(AR54,'Top WS'!$A$19:$C$28,3),0)</f>
        <v>520</v>
      </c>
      <c r="BF54" s="1">
        <f>IFERROR(VLOOKUP(AS54,'Top WS'!$A$19:$C$28,3),0)</f>
        <v>400</v>
      </c>
      <c r="BG54" s="1">
        <f>IFERROR(VLOOKUP(AT54,'Top WS'!$A$19:$C$28,3),0)</f>
        <v>400</v>
      </c>
      <c r="BH54" s="1">
        <f>IFERROR(VLOOKUP(AU54,'Top WS'!$A$19:$C$28,3),0)</f>
        <v>400</v>
      </c>
      <c r="BI54" s="1">
        <f>IFERROR(VLOOKUP(AV54,'Top WS'!$A$19:$C$28,3),0)</f>
        <v>432</v>
      </c>
      <c r="BJ54" s="1">
        <f>IFERROR(VLOOKUP(AW54,'Top WS'!$A$19:$C$28,3),0)</f>
        <v>520</v>
      </c>
      <c r="BK54" s="98">
        <f>IFERROR(VLOOKUP(AX54,'Top WS'!$A$19:$C$28,3),0)</f>
        <v>400</v>
      </c>
      <c r="BL54" s="98">
        <f>IFERROR(VLOOKUP(AY54,'Top WS'!$A$19:$C$28,3),0)</f>
        <v>400</v>
      </c>
      <c r="BM54" s="98">
        <f>IFERROR(VLOOKUP(AZ54,'Top WS'!$A$19:$C$28,3),0)</f>
        <v>400</v>
      </c>
      <c r="BN54" s="98">
        <f>IFERROR(VLOOKUP(BA54,'Top WS'!$A$19:$C$28,3),0)</f>
        <v>400</v>
      </c>
      <c r="BO54" s="98">
        <f>IFERROR(VLOOKUP(BB54,'Top WS'!$A$19:$C$28,3),0)</f>
        <v>400</v>
      </c>
      <c r="BP54" s="98">
        <f>IFERROR(VLOOKUP(BC54,'Top WS'!$A$19:$C$28,3),0)</f>
        <v>400</v>
      </c>
      <c r="BQ54" s="1">
        <f t="shared" si="5"/>
        <v>5072</v>
      </c>
    </row>
    <row r="55" spans="1:69" x14ac:dyDescent="0.4">
      <c r="A55">
        <v>1190054301</v>
      </c>
      <c r="B55">
        <f>VLOOKUP(A55,'Aji Plus'!$A$2:$D$58,2,0)</f>
        <v>61802</v>
      </c>
      <c r="C55" t="str">
        <f>VLOOKUP(A55,'Aji Plus'!$A$2:$D$58,3,0)</f>
        <v>นายภาคภูมิ รักท้วม</v>
      </c>
      <c r="D55" t="str">
        <f>VLOOKUP(A55,'Aji Plus'!$A$2:$D$58,4,0)</f>
        <v>Suratthani</v>
      </c>
      <c r="E55" s="1">
        <v>80</v>
      </c>
      <c r="F55" s="1">
        <v>90</v>
      </c>
      <c r="G55" s="1">
        <v>50</v>
      </c>
      <c r="H55" s="1">
        <v>70</v>
      </c>
      <c r="I55" s="1">
        <v>60</v>
      </c>
      <c r="J55" s="1">
        <v>80</v>
      </c>
      <c r="K55" s="1">
        <v>80</v>
      </c>
      <c r="L55" s="1">
        <v>70</v>
      </c>
      <c r="M55" s="1">
        <v>50</v>
      </c>
      <c r="N55" s="1">
        <v>90</v>
      </c>
      <c r="O55" s="1">
        <v>70</v>
      </c>
      <c r="P55" s="1">
        <v>80</v>
      </c>
      <c r="R55" s="1">
        <f>VLOOKUP(A55,Actual_RDQ!$A$2:$H$62,3,0)</f>
        <v>60.48</v>
      </c>
      <c r="S55" s="1">
        <f>VLOOKUP(A55,Actual_RDQ!$A$2:$H$62,4,0)</f>
        <v>72.575999999999993</v>
      </c>
      <c r="T55" s="1">
        <f>VLOOKUP(A55,Actual_RDQ!$A$2:$H$62,5,0)</f>
        <v>52.415999999999997</v>
      </c>
      <c r="U55" s="1">
        <f>VLOOKUP(A55,Actual_RDQ!$A$2:$H$62,6,0)</f>
        <v>110.592</v>
      </c>
      <c r="V55" s="1">
        <f>VLOOKUP(A55,Actual_RDQ!$A$2:$H$62,7,0)</f>
        <v>40.32</v>
      </c>
      <c r="W55" s="1">
        <f>VLOOKUP(A55,Actual_RDQ!$A$2:$H$62,8,0)</f>
        <v>221.75999999999996</v>
      </c>
      <c r="X55" s="118"/>
      <c r="Y55" s="118"/>
      <c r="Z55" s="118"/>
      <c r="AA55" s="118"/>
      <c r="AB55" s="118"/>
      <c r="AC55" s="118"/>
      <c r="AE55" s="97">
        <f t="shared" si="6"/>
        <v>0.75600000000000001</v>
      </c>
      <c r="AF55" s="97">
        <f t="shared" si="6"/>
        <v>0.80639999999999989</v>
      </c>
      <c r="AG55" s="97">
        <f t="shared" si="6"/>
        <v>1.0483199999999999</v>
      </c>
      <c r="AH55" s="97">
        <f t="shared" si="6"/>
        <v>1.5798857142857143</v>
      </c>
      <c r="AI55" s="97">
        <f t="shared" si="6"/>
        <v>0.67200000000000004</v>
      </c>
      <c r="AJ55" s="97">
        <f t="shared" si="6"/>
        <v>2.7719999999999994</v>
      </c>
      <c r="AK55" s="99">
        <f t="shared" si="6"/>
        <v>0</v>
      </c>
      <c r="AL55" s="99">
        <f t="shared" si="6"/>
        <v>0</v>
      </c>
      <c r="AM55" s="99">
        <f t="shared" si="6"/>
        <v>0</v>
      </c>
      <c r="AN55" s="99">
        <f t="shared" si="6"/>
        <v>0</v>
      </c>
      <c r="AO55" s="99">
        <f t="shared" si="6"/>
        <v>0</v>
      </c>
      <c r="AP55" s="99">
        <f t="shared" si="6"/>
        <v>0</v>
      </c>
      <c r="AQ55" s="97"/>
      <c r="AR55" s="99">
        <f t="shared" si="7"/>
        <v>0.75600000000000001</v>
      </c>
      <c r="AS55" s="99">
        <f t="shared" si="7"/>
        <v>0.80640000000000001</v>
      </c>
      <c r="AT55" s="99">
        <f t="shared" si="7"/>
        <v>1.0483</v>
      </c>
      <c r="AU55" s="99">
        <f t="shared" si="7"/>
        <v>1.5799000000000001</v>
      </c>
      <c r="AV55" s="99">
        <f t="shared" si="7"/>
        <v>0.67200000000000004</v>
      </c>
      <c r="AW55" s="99">
        <f t="shared" si="7"/>
        <v>2.7719999999999998</v>
      </c>
      <c r="AX55" s="99">
        <f t="shared" si="7"/>
        <v>0</v>
      </c>
      <c r="AY55" s="99">
        <f t="shared" si="7"/>
        <v>0</v>
      </c>
      <c r="AZ55" s="99">
        <f t="shared" si="7"/>
        <v>0</v>
      </c>
      <c r="BA55" s="99">
        <f t="shared" si="7"/>
        <v>0</v>
      </c>
      <c r="BB55" s="99">
        <f t="shared" si="7"/>
        <v>0</v>
      </c>
      <c r="BC55" s="99">
        <f t="shared" si="7"/>
        <v>0</v>
      </c>
      <c r="BD55" s="97"/>
      <c r="BE55" s="1">
        <f>IFERROR(VLOOKUP(AR55,'Top WS'!$A$19:$C$28,3),0)</f>
        <v>400</v>
      </c>
      <c r="BF55" s="1">
        <f>IFERROR(VLOOKUP(AS55,'Top WS'!$A$19:$C$28,3),0)</f>
        <v>400</v>
      </c>
      <c r="BG55" s="1">
        <f>IFERROR(VLOOKUP(AT55,'Top WS'!$A$19:$C$28,3),0)</f>
        <v>432</v>
      </c>
      <c r="BH55" s="1">
        <f>IFERROR(VLOOKUP(AU55,'Top WS'!$A$19:$C$28,3),0)</f>
        <v>520</v>
      </c>
      <c r="BI55" s="1">
        <f>IFERROR(VLOOKUP(AV55,'Top WS'!$A$19:$C$28,3),0)</f>
        <v>400</v>
      </c>
      <c r="BJ55" s="1">
        <f>IFERROR(VLOOKUP(AW55,'Top WS'!$A$19:$C$28,3),0)</f>
        <v>520</v>
      </c>
      <c r="BK55" s="98">
        <f>IFERROR(VLOOKUP(AX55,'Top WS'!$A$19:$C$28,3),0)</f>
        <v>400</v>
      </c>
      <c r="BL55" s="98">
        <f>IFERROR(VLOOKUP(AY55,'Top WS'!$A$19:$C$28,3),0)</f>
        <v>400</v>
      </c>
      <c r="BM55" s="98">
        <f>IFERROR(VLOOKUP(AZ55,'Top WS'!$A$19:$C$28,3),0)</f>
        <v>400</v>
      </c>
      <c r="BN55" s="98">
        <f>IFERROR(VLOOKUP(BA55,'Top WS'!$A$19:$C$28,3),0)</f>
        <v>400</v>
      </c>
      <c r="BO55" s="98">
        <f>IFERROR(VLOOKUP(BB55,'Top WS'!$A$19:$C$28,3),0)</f>
        <v>400</v>
      </c>
      <c r="BP55" s="98">
        <f>IFERROR(VLOOKUP(BC55,'Top WS'!$A$19:$C$28,3),0)</f>
        <v>400</v>
      </c>
      <c r="BQ55" s="1">
        <f t="shared" si="5"/>
        <v>5072</v>
      </c>
    </row>
    <row r="56" spans="1:69" x14ac:dyDescent="0.4">
      <c r="A56">
        <v>1190054401</v>
      </c>
      <c r="B56">
        <f>VLOOKUP(A56,'Aji Plus'!$A$2:$D$58,2,0)</f>
        <v>75194</v>
      </c>
      <c r="C56" t="str">
        <f>VLOOKUP(A56,'Aji Plus'!$A$2:$D$58,3,0)</f>
        <v>นายพรชัย แซ่อือ</v>
      </c>
      <c r="D56" t="str">
        <f>VLOOKUP(A56,'Aji Plus'!$A$2:$D$58,4,0)</f>
        <v>N.Thamarat</v>
      </c>
      <c r="E56" s="1">
        <v>340</v>
      </c>
      <c r="F56" s="1">
        <v>370</v>
      </c>
      <c r="G56" s="1">
        <v>320</v>
      </c>
      <c r="H56" s="1">
        <v>370</v>
      </c>
      <c r="I56" s="1">
        <v>360</v>
      </c>
      <c r="J56" s="1">
        <v>340</v>
      </c>
      <c r="K56" s="1">
        <v>350</v>
      </c>
      <c r="L56" s="1">
        <v>350</v>
      </c>
      <c r="M56" s="1">
        <v>290</v>
      </c>
      <c r="N56" s="1">
        <v>270</v>
      </c>
      <c r="O56" s="1">
        <v>330</v>
      </c>
      <c r="P56" s="1">
        <v>350</v>
      </c>
      <c r="R56" s="1">
        <f>VLOOKUP(A56,Actual_RDQ!$A$2:$H$62,3,0)</f>
        <v>279.93599999999998</v>
      </c>
      <c r="S56" s="1">
        <f>VLOOKUP(A56,Actual_RDQ!$A$2:$H$62,4,0)</f>
        <v>183.16800000000001</v>
      </c>
      <c r="T56" s="1">
        <f>VLOOKUP(A56,Actual_RDQ!$A$2:$H$62,5,0)</f>
        <v>275.90400000000005</v>
      </c>
      <c r="U56" s="1">
        <f>VLOOKUP(A56,Actual_RDQ!$A$2:$H$62,6,0)</f>
        <v>292.03199999999998</v>
      </c>
      <c r="V56" s="1">
        <f>VLOOKUP(A56,Actual_RDQ!$A$2:$H$62,7,0)</f>
        <v>361.15200000000004</v>
      </c>
      <c r="W56" s="1">
        <f>VLOOKUP(A56,Actual_RDQ!$A$2:$H$62,8,0)</f>
        <v>317.95199999999994</v>
      </c>
      <c r="X56" s="118"/>
      <c r="Y56" s="118"/>
      <c r="Z56" s="118"/>
      <c r="AA56" s="118"/>
      <c r="AB56" s="118"/>
      <c r="AC56" s="118"/>
      <c r="AE56" s="97">
        <f t="shared" si="6"/>
        <v>0.82334117647058813</v>
      </c>
      <c r="AF56" s="97">
        <f t="shared" si="6"/>
        <v>0.49504864864864867</v>
      </c>
      <c r="AG56" s="97">
        <f t="shared" si="6"/>
        <v>0.86220000000000019</v>
      </c>
      <c r="AH56" s="97">
        <f t="shared" si="6"/>
        <v>0.78927567567567558</v>
      </c>
      <c r="AI56" s="97">
        <f t="shared" si="6"/>
        <v>1.0032000000000001</v>
      </c>
      <c r="AJ56" s="97">
        <f t="shared" si="6"/>
        <v>0.93515294117647041</v>
      </c>
      <c r="AK56" s="99">
        <f t="shared" si="6"/>
        <v>0</v>
      </c>
      <c r="AL56" s="99">
        <f t="shared" si="6"/>
        <v>0</v>
      </c>
      <c r="AM56" s="99">
        <f t="shared" si="6"/>
        <v>0</v>
      </c>
      <c r="AN56" s="99">
        <f t="shared" si="6"/>
        <v>0</v>
      </c>
      <c r="AO56" s="99">
        <f t="shared" si="6"/>
        <v>0</v>
      </c>
      <c r="AP56" s="99">
        <f t="shared" si="6"/>
        <v>0</v>
      </c>
      <c r="AQ56" s="97"/>
      <c r="AR56" s="99">
        <f t="shared" si="7"/>
        <v>0.82330000000000003</v>
      </c>
      <c r="AS56" s="99">
        <f t="shared" si="7"/>
        <v>0.495</v>
      </c>
      <c r="AT56" s="99">
        <f t="shared" si="7"/>
        <v>0.86219999999999997</v>
      </c>
      <c r="AU56" s="99">
        <f t="shared" si="7"/>
        <v>0.7893</v>
      </c>
      <c r="AV56" s="99">
        <f t="shared" si="7"/>
        <v>1.0032000000000001</v>
      </c>
      <c r="AW56" s="99">
        <f t="shared" si="7"/>
        <v>0.93520000000000003</v>
      </c>
      <c r="AX56" s="99">
        <f t="shared" si="7"/>
        <v>0</v>
      </c>
      <c r="AY56" s="99">
        <f t="shared" si="7"/>
        <v>0</v>
      </c>
      <c r="AZ56" s="99">
        <f t="shared" si="7"/>
        <v>0</v>
      </c>
      <c r="BA56" s="99">
        <f t="shared" si="7"/>
        <v>0</v>
      </c>
      <c r="BB56" s="99">
        <f t="shared" si="7"/>
        <v>0</v>
      </c>
      <c r="BC56" s="99">
        <f t="shared" si="7"/>
        <v>0</v>
      </c>
      <c r="BD56" s="97"/>
      <c r="BE56" s="1">
        <f>IFERROR(VLOOKUP(AR56,'Top WS'!$A$19:$C$28,3),0)</f>
        <v>400</v>
      </c>
      <c r="BF56" s="1">
        <f>IFERROR(VLOOKUP(AS56,'Top WS'!$A$19:$C$28,3),0)</f>
        <v>400</v>
      </c>
      <c r="BG56" s="1">
        <f>IFERROR(VLOOKUP(AT56,'Top WS'!$A$19:$C$28,3),0)</f>
        <v>400</v>
      </c>
      <c r="BH56" s="1">
        <f>IFERROR(VLOOKUP(AU56,'Top WS'!$A$19:$C$28,3),0)</f>
        <v>400</v>
      </c>
      <c r="BI56" s="1">
        <f>IFERROR(VLOOKUP(AV56,'Top WS'!$A$19:$C$28,3),0)</f>
        <v>412</v>
      </c>
      <c r="BJ56" s="1">
        <f>IFERROR(VLOOKUP(AW56,'Top WS'!$A$19:$C$28,3),0)</f>
        <v>400</v>
      </c>
      <c r="BK56" s="98">
        <f>IFERROR(VLOOKUP(AX56,'Top WS'!$A$19:$C$28,3),0)</f>
        <v>400</v>
      </c>
      <c r="BL56" s="98">
        <f>IFERROR(VLOOKUP(AY56,'Top WS'!$A$19:$C$28,3),0)</f>
        <v>400</v>
      </c>
      <c r="BM56" s="98">
        <f>IFERROR(VLOOKUP(AZ56,'Top WS'!$A$19:$C$28,3),0)</f>
        <v>400</v>
      </c>
      <c r="BN56" s="98">
        <f>IFERROR(VLOOKUP(BA56,'Top WS'!$A$19:$C$28,3),0)</f>
        <v>400</v>
      </c>
      <c r="BO56" s="98">
        <f>IFERROR(VLOOKUP(BB56,'Top WS'!$A$19:$C$28,3),0)</f>
        <v>400</v>
      </c>
      <c r="BP56" s="98">
        <f>IFERROR(VLOOKUP(BC56,'Top WS'!$A$19:$C$28,3),0)</f>
        <v>400</v>
      </c>
      <c r="BQ56" s="1">
        <f t="shared" si="5"/>
        <v>4812</v>
      </c>
    </row>
    <row r="57" spans="1:69" x14ac:dyDescent="0.4">
      <c r="A57">
        <v>1190054501</v>
      </c>
      <c r="B57">
        <f>VLOOKUP(A57,'Aji Plus'!$A$2:$D$58,2,0)</f>
        <v>70437</v>
      </c>
      <c r="C57" t="str">
        <f>VLOOKUP(A57,'Aji Plus'!$A$2:$D$58,3,0)</f>
        <v>นายมนตรี วัชรมานะกุล</v>
      </c>
      <c r="D57" t="str">
        <f>VLOOKUP(A57,'Aji Plus'!$A$2:$D$58,4,0)</f>
        <v>Trang</v>
      </c>
      <c r="E57" s="1">
        <v>60</v>
      </c>
      <c r="F57" s="1">
        <v>45</v>
      </c>
      <c r="G57" s="1">
        <v>45</v>
      </c>
      <c r="H57" s="1">
        <v>45</v>
      </c>
      <c r="I57" s="1">
        <v>45</v>
      </c>
      <c r="J57" s="1">
        <v>45</v>
      </c>
      <c r="K57" s="1">
        <v>45</v>
      </c>
      <c r="L57" s="1">
        <v>45</v>
      </c>
      <c r="M57" s="1">
        <v>45</v>
      </c>
      <c r="N57" s="1">
        <v>45</v>
      </c>
      <c r="O57" s="1">
        <v>45</v>
      </c>
      <c r="P57" s="1">
        <v>40</v>
      </c>
      <c r="R57" s="1">
        <f>VLOOKUP(A57,Actual_RDQ!$A$2:$H$62,3,0)</f>
        <v>52.415999999999997</v>
      </c>
      <c r="S57" s="1">
        <f>VLOOKUP(A57,Actual_RDQ!$A$2:$H$62,4,0)</f>
        <v>65.664000000000001</v>
      </c>
      <c r="T57" s="1">
        <f>VLOOKUP(A57,Actual_RDQ!$A$2:$H$62,5,0)</f>
        <v>59.904000000000003</v>
      </c>
      <c r="U57" s="1">
        <f>VLOOKUP(A57,Actual_RDQ!$A$2:$H$62,6,0)</f>
        <v>41.472000000000008</v>
      </c>
      <c r="V57" s="1">
        <f>VLOOKUP(A57,Actual_RDQ!$A$2:$H$62,7,0)</f>
        <v>17.28</v>
      </c>
      <c r="W57" s="1">
        <f>VLOOKUP(A57,Actual_RDQ!$A$2:$H$62,8,0)</f>
        <v>66.239999999999995</v>
      </c>
      <c r="X57" s="118"/>
      <c r="Y57" s="118"/>
      <c r="Z57" s="118"/>
      <c r="AA57" s="118"/>
      <c r="AB57" s="118"/>
      <c r="AC57" s="118"/>
      <c r="AE57" s="97">
        <f t="shared" si="6"/>
        <v>0.87359999999999993</v>
      </c>
      <c r="AF57" s="97">
        <f t="shared" si="6"/>
        <v>1.4592000000000001</v>
      </c>
      <c r="AG57" s="97">
        <f t="shared" si="6"/>
        <v>1.3312000000000002</v>
      </c>
      <c r="AH57" s="97">
        <f t="shared" si="6"/>
        <v>0.9216000000000002</v>
      </c>
      <c r="AI57" s="97">
        <f t="shared" si="6"/>
        <v>0.38400000000000001</v>
      </c>
      <c r="AJ57" s="97">
        <f t="shared" si="6"/>
        <v>1.472</v>
      </c>
      <c r="AK57" s="99">
        <f t="shared" si="6"/>
        <v>0</v>
      </c>
      <c r="AL57" s="99">
        <f t="shared" si="6"/>
        <v>0</v>
      </c>
      <c r="AM57" s="99">
        <f t="shared" si="6"/>
        <v>0</v>
      </c>
      <c r="AN57" s="99">
        <f t="shared" si="6"/>
        <v>0</v>
      </c>
      <c r="AO57" s="99">
        <f t="shared" si="6"/>
        <v>0</v>
      </c>
      <c r="AP57" s="99">
        <f t="shared" si="6"/>
        <v>0</v>
      </c>
      <c r="AQ57" s="97"/>
      <c r="AR57" s="99">
        <f t="shared" si="7"/>
        <v>0.87360000000000004</v>
      </c>
      <c r="AS57" s="99">
        <f t="shared" si="7"/>
        <v>1.4592000000000001</v>
      </c>
      <c r="AT57" s="99">
        <f t="shared" si="7"/>
        <v>1.3311999999999999</v>
      </c>
      <c r="AU57" s="99">
        <f t="shared" si="7"/>
        <v>0.92159999999999997</v>
      </c>
      <c r="AV57" s="99">
        <f t="shared" si="7"/>
        <v>0.38400000000000001</v>
      </c>
      <c r="AW57" s="99">
        <f t="shared" si="7"/>
        <v>1.472</v>
      </c>
      <c r="AX57" s="99">
        <f t="shared" si="7"/>
        <v>0</v>
      </c>
      <c r="AY57" s="99">
        <f t="shared" si="7"/>
        <v>0</v>
      </c>
      <c r="AZ57" s="99">
        <f t="shared" si="7"/>
        <v>0</v>
      </c>
      <c r="BA57" s="99">
        <f t="shared" si="7"/>
        <v>0</v>
      </c>
      <c r="BB57" s="99">
        <f t="shared" si="7"/>
        <v>0</v>
      </c>
      <c r="BC57" s="99">
        <f t="shared" si="7"/>
        <v>0</v>
      </c>
      <c r="BD57" s="97"/>
      <c r="BE57" s="1">
        <f>IFERROR(VLOOKUP(AR57,'Top WS'!$A$19:$C$28,3),0)</f>
        <v>400</v>
      </c>
      <c r="BF57" s="1">
        <f>IFERROR(VLOOKUP(AS57,'Top WS'!$A$19:$C$28,3),0)</f>
        <v>520</v>
      </c>
      <c r="BG57" s="1">
        <f>IFERROR(VLOOKUP(AT57,'Top WS'!$A$19:$C$28,3),0)</f>
        <v>520</v>
      </c>
      <c r="BH57" s="1">
        <f>IFERROR(VLOOKUP(AU57,'Top WS'!$A$19:$C$28,3),0)</f>
        <v>400</v>
      </c>
      <c r="BI57" s="1">
        <f>IFERROR(VLOOKUP(AV57,'Top WS'!$A$19:$C$28,3),0)</f>
        <v>400</v>
      </c>
      <c r="BJ57" s="1">
        <f>IFERROR(VLOOKUP(AW57,'Top WS'!$A$19:$C$28,3),0)</f>
        <v>520</v>
      </c>
      <c r="BK57" s="98">
        <f>IFERROR(VLOOKUP(AX57,'Top WS'!$A$19:$C$28,3),0)</f>
        <v>400</v>
      </c>
      <c r="BL57" s="98">
        <f>IFERROR(VLOOKUP(AY57,'Top WS'!$A$19:$C$28,3),0)</f>
        <v>400</v>
      </c>
      <c r="BM57" s="98">
        <f>IFERROR(VLOOKUP(AZ57,'Top WS'!$A$19:$C$28,3),0)</f>
        <v>400</v>
      </c>
      <c r="BN57" s="98">
        <f>IFERROR(VLOOKUP(BA57,'Top WS'!$A$19:$C$28,3),0)</f>
        <v>400</v>
      </c>
      <c r="BO57" s="98">
        <f>IFERROR(VLOOKUP(BB57,'Top WS'!$A$19:$C$28,3),0)</f>
        <v>400</v>
      </c>
      <c r="BP57" s="98">
        <f>IFERROR(VLOOKUP(BC57,'Top WS'!$A$19:$C$28,3),0)</f>
        <v>400</v>
      </c>
      <c r="BQ57" s="1">
        <f t="shared" si="5"/>
        <v>5160</v>
      </c>
    </row>
    <row r="58" spans="1:69" x14ac:dyDescent="0.4">
      <c r="A58">
        <v>1190054601</v>
      </c>
      <c r="B58">
        <f>VLOOKUP(A58,'Aji Plus'!$A$2:$D$58,2,0)</f>
        <v>63804</v>
      </c>
      <c r="C58" t="str">
        <f>VLOOKUP(A58,'Aji Plus'!$A$2:$D$58,3,0)</f>
        <v>นายสมพงษ์ คงบุตร</v>
      </c>
      <c r="D58" t="str">
        <f>VLOOKUP(A58,'Aji Plus'!$A$2:$D$58,4,0)</f>
        <v>Phuket</v>
      </c>
      <c r="E58" s="1">
        <v>852.29501131343341</v>
      </c>
      <c r="F58" s="1">
        <v>706.70725137377235</v>
      </c>
      <c r="G58" s="1">
        <v>677.58969938584005</v>
      </c>
      <c r="H58" s="1">
        <v>667.88384872319591</v>
      </c>
      <c r="I58" s="1">
        <v>998.4893869195098</v>
      </c>
      <c r="J58" s="1">
        <v>934.79474194590796</v>
      </c>
      <c r="K58" s="1">
        <v>764.33573968322116</v>
      </c>
      <c r="L58" s="1">
        <v>1243.5621161512731</v>
      </c>
      <c r="M58" s="1">
        <v>949.35351793987411</v>
      </c>
      <c r="N58" s="1">
        <v>1395.8226484215018</v>
      </c>
      <c r="O58" s="1">
        <v>895.36472362891618</v>
      </c>
      <c r="P58" s="1">
        <v>1173.8013145135187</v>
      </c>
      <c r="R58" s="1">
        <f>VLOOKUP(A58,Actual_RDQ!$A$2:$H$62,3,0)</f>
        <v>1077.1199999999999</v>
      </c>
      <c r="S58" s="1">
        <f>VLOOKUP(A58,Actual_RDQ!$A$2:$H$62,4,0)</f>
        <v>896.25600000000009</v>
      </c>
      <c r="T58" s="1">
        <f>VLOOKUP(A58,Actual_RDQ!$A$2:$H$62,5,0)</f>
        <v>1014.9119999999999</v>
      </c>
      <c r="U58" s="1">
        <f>VLOOKUP(A58,Actual_RDQ!$A$2:$H$62,6,0)</f>
        <v>1001.6640000000001</v>
      </c>
      <c r="V58" s="1">
        <f>VLOOKUP(A58,Actual_RDQ!$A$2:$H$62,7,0)</f>
        <v>1009.7280000000001</v>
      </c>
      <c r="W58" s="1">
        <f>VLOOKUP(A58,Actual_RDQ!$A$2:$H$62,8,0)</f>
        <v>1145.0879999999997</v>
      </c>
      <c r="X58" s="118"/>
      <c r="Y58" s="118"/>
      <c r="Z58" s="118"/>
      <c r="AA58" s="118"/>
      <c r="AB58" s="118"/>
      <c r="AC58" s="118"/>
      <c r="AE58" s="97">
        <f t="shared" si="6"/>
        <v>1.2637877562372433</v>
      </c>
      <c r="AF58" s="97">
        <f t="shared" si="6"/>
        <v>1.2682139574169684</v>
      </c>
      <c r="AG58" s="97">
        <f t="shared" si="6"/>
        <v>1.4978267835533881</v>
      </c>
      <c r="AH58" s="97">
        <f t="shared" si="6"/>
        <v>1.4997577826068065</v>
      </c>
      <c r="AI58" s="97">
        <f t="shared" si="6"/>
        <v>1.0112556159611903</v>
      </c>
      <c r="AJ58" s="97">
        <f t="shared" si="6"/>
        <v>1.2249619607576487</v>
      </c>
      <c r="AK58" s="99">
        <f t="shared" si="6"/>
        <v>0</v>
      </c>
      <c r="AL58" s="99">
        <f t="shared" si="6"/>
        <v>0</v>
      </c>
      <c r="AM58" s="99">
        <f t="shared" si="6"/>
        <v>0</v>
      </c>
      <c r="AN58" s="99">
        <f t="shared" si="6"/>
        <v>0</v>
      </c>
      <c r="AO58" s="99">
        <f t="shared" si="6"/>
        <v>0</v>
      </c>
      <c r="AP58" s="99">
        <f t="shared" si="6"/>
        <v>0</v>
      </c>
      <c r="AQ58" s="97"/>
      <c r="AR58" s="99">
        <f t="shared" si="7"/>
        <v>1.2638</v>
      </c>
      <c r="AS58" s="99">
        <f t="shared" si="7"/>
        <v>1.2682</v>
      </c>
      <c r="AT58" s="99">
        <f t="shared" si="7"/>
        <v>1.4978</v>
      </c>
      <c r="AU58" s="99">
        <f t="shared" si="7"/>
        <v>1.4998</v>
      </c>
      <c r="AV58" s="99">
        <f t="shared" si="7"/>
        <v>1.0113000000000001</v>
      </c>
      <c r="AW58" s="99">
        <f t="shared" si="7"/>
        <v>1.2250000000000001</v>
      </c>
      <c r="AX58" s="99">
        <f t="shared" si="7"/>
        <v>0</v>
      </c>
      <c r="AY58" s="99">
        <f t="shared" si="7"/>
        <v>0</v>
      </c>
      <c r="AZ58" s="99">
        <f t="shared" si="7"/>
        <v>0</v>
      </c>
      <c r="BA58" s="99">
        <f t="shared" si="7"/>
        <v>0</v>
      </c>
      <c r="BB58" s="99">
        <f t="shared" si="7"/>
        <v>0</v>
      </c>
      <c r="BC58" s="99">
        <f t="shared" si="7"/>
        <v>0</v>
      </c>
      <c r="BD58" s="97"/>
      <c r="BE58" s="1">
        <f>IFERROR(VLOOKUP(AR58,'Top WS'!$A$19:$C$28,3),0)</f>
        <v>520</v>
      </c>
      <c r="BF58" s="1">
        <f>IFERROR(VLOOKUP(AS58,'Top WS'!$A$19:$C$28,3),0)</f>
        <v>520</v>
      </c>
      <c r="BG58" s="1">
        <f>IFERROR(VLOOKUP(AT58,'Top WS'!$A$19:$C$28,3),0)</f>
        <v>520</v>
      </c>
      <c r="BH58" s="1">
        <f>IFERROR(VLOOKUP(AU58,'Top WS'!$A$19:$C$28,3),0)</f>
        <v>520</v>
      </c>
      <c r="BI58" s="1">
        <f>IFERROR(VLOOKUP(AV58,'Top WS'!$A$19:$C$28,3),0)</f>
        <v>412</v>
      </c>
      <c r="BJ58" s="1">
        <f>IFERROR(VLOOKUP(AW58,'Top WS'!$A$19:$C$28,3),0)</f>
        <v>520</v>
      </c>
      <c r="BK58" s="98">
        <f>IFERROR(VLOOKUP(AX58,'Top WS'!$A$19:$C$28,3),0)</f>
        <v>400</v>
      </c>
      <c r="BL58" s="98">
        <f>IFERROR(VLOOKUP(AY58,'Top WS'!$A$19:$C$28,3),0)</f>
        <v>400</v>
      </c>
      <c r="BM58" s="98">
        <f>IFERROR(VLOOKUP(AZ58,'Top WS'!$A$19:$C$28,3),0)</f>
        <v>400</v>
      </c>
      <c r="BN58" s="98">
        <f>IFERROR(VLOOKUP(BA58,'Top WS'!$A$19:$C$28,3),0)</f>
        <v>400</v>
      </c>
      <c r="BO58" s="98">
        <f>IFERROR(VLOOKUP(BB58,'Top WS'!$A$19:$C$28,3),0)</f>
        <v>400</v>
      </c>
      <c r="BP58" s="98">
        <f>IFERROR(VLOOKUP(BC58,'Top WS'!$A$19:$C$28,3),0)</f>
        <v>400</v>
      </c>
      <c r="BQ58" s="1">
        <f t="shared" si="5"/>
        <v>5412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DBC2-972D-40E8-BF6B-AF8D5B32FEA4}">
  <sheetPr codeName="Sheet27">
    <tabColor rgb="FFFFFF00"/>
  </sheetPr>
  <dimension ref="A1:H62"/>
  <sheetViews>
    <sheetView zoomScale="70" zoomScaleNormal="70" workbookViewId="0">
      <pane xSplit="2" ySplit="1" topLeftCell="C45" activePane="bottomRight" state="frozen"/>
      <selection pane="topRight" activeCell="BE11" sqref="BE11:BP11"/>
      <selection pane="bottomLeft" activeCell="BE11" sqref="BE11:BP11"/>
      <selection pane="bottomRight" activeCell="BE11" sqref="BE11:BP11"/>
    </sheetView>
  </sheetViews>
  <sheetFormatPr defaultRowHeight="16.8" x14ac:dyDescent="0.4"/>
  <cols>
    <col min="1" max="1" width="11.59765625" customWidth="1"/>
  </cols>
  <sheetData>
    <row r="1" spans="1:8" x14ac:dyDescent="0.4">
      <c r="A1" t="s">
        <v>126</v>
      </c>
      <c r="B1" t="s">
        <v>377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</row>
    <row r="2" spans="1:8" x14ac:dyDescent="0.4">
      <c r="A2">
        <v>1190011201</v>
      </c>
      <c r="B2" t="s">
        <v>235</v>
      </c>
      <c r="C2">
        <v>121.53599999999999</v>
      </c>
      <c r="D2">
        <v>62.207999999999998</v>
      </c>
      <c r="E2">
        <v>58.751999999999995</v>
      </c>
      <c r="F2">
        <v>41.471999999999994</v>
      </c>
      <c r="G2">
        <v>57.599999999999994</v>
      </c>
      <c r="H2">
        <v>80.64</v>
      </c>
    </row>
    <row r="3" spans="1:8" x14ac:dyDescent="0.4">
      <c r="A3">
        <v>1190011214</v>
      </c>
      <c r="B3" t="s">
        <v>235</v>
      </c>
      <c r="D3">
        <v>12.096</v>
      </c>
      <c r="E3">
        <v>75.744</v>
      </c>
      <c r="G3">
        <v>49.536000000000001</v>
      </c>
      <c r="H3">
        <v>175.39200000000002</v>
      </c>
    </row>
    <row r="4" spans="1:8" x14ac:dyDescent="0.4">
      <c r="A4">
        <v>1190011401</v>
      </c>
      <c r="B4" t="s">
        <v>232</v>
      </c>
      <c r="C4">
        <v>34.56</v>
      </c>
      <c r="D4">
        <v>72.576000000000008</v>
      </c>
      <c r="E4">
        <v>46.08</v>
      </c>
      <c r="F4">
        <v>54.719999999999992</v>
      </c>
      <c r="G4">
        <v>40.319999999999993</v>
      </c>
      <c r="H4">
        <v>77.760000000000005</v>
      </c>
    </row>
    <row r="5" spans="1:8" x14ac:dyDescent="0.4">
      <c r="A5">
        <v>1190011412</v>
      </c>
      <c r="B5" t="s">
        <v>232</v>
      </c>
      <c r="F5">
        <v>5.76</v>
      </c>
    </row>
    <row r="6" spans="1:8" x14ac:dyDescent="0.4">
      <c r="A6">
        <v>1190011501</v>
      </c>
      <c r="B6" t="s">
        <v>304</v>
      </c>
      <c r="C6">
        <v>28.8</v>
      </c>
      <c r="E6">
        <v>17.28</v>
      </c>
      <c r="F6">
        <v>28.8</v>
      </c>
      <c r="G6">
        <v>11.52</v>
      </c>
      <c r="H6">
        <v>46.08</v>
      </c>
    </row>
    <row r="7" spans="1:8" x14ac:dyDescent="0.4">
      <c r="A7">
        <v>1190011701</v>
      </c>
      <c r="B7" t="s">
        <v>228</v>
      </c>
      <c r="D7">
        <v>237.31200000000001</v>
      </c>
      <c r="E7">
        <v>34.559999999999995</v>
      </c>
      <c r="F7">
        <v>54.144000000000005</v>
      </c>
      <c r="G7">
        <v>74.88</v>
      </c>
      <c r="H7">
        <v>28.799999999999997</v>
      </c>
    </row>
    <row r="8" spans="1:8" x14ac:dyDescent="0.4">
      <c r="A8">
        <v>1190011801</v>
      </c>
      <c r="B8" t="s">
        <v>307</v>
      </c>
      <c r="C8">
        <v>12.096</v>
      </c>
      <c r="E8">
        <v>8.6399999999999988</v>
      </c>
      <c r="H8">
        <v>10.367999999999999</v>
      </c>
    </row>
    <row r="9" spans="1:8" x14ac:dyDescent="0.4">
      <c r="A9">
        <v>1190017001</v>
      </c>
      <c r="B9" t="s">
        <v>309</v>
      </c>
      <c r="C9">
        <v>168.47999999999996</v>
      </c>
      <c r="D9">
        <v>111.16799999999998</v>
      </c>
      <c r="E9">
        <v>95.615999999999985</v>
      </c>
      <c r="F9">
        <v>110.88000000000001</v>
      </c>
      <c r="G9">
        <v>95.039999999999978</v>
      </c>
      <c r="H9">
        <v>202.75199999999995</v>
      </c>
    </row>
    <row r="10" spans="1:8" x14ac:dyDescent="0.4">
      <c r="A10">
        <v>1190017013</v>
      </c>
      <c r="B10" t="s">
        <v>309</v>
      </c>
      <c r="C10">
        <v>73.728000000000009</v>
      </c>
      <c r="D10">
        <v>42.048000000000002</v>
      </c>
      <c r="E10">
        <v>140.54400000000001</v>
      </c>
      <c r="F10">
        <v>69.695999999999998</v>
      </c>
      <c r="G10">
        <v>171.648</v>
      </c>
      <c r="H10">
        <v>86.399999999999977</v>
      </c>
    </row>
    <row r="11" spans="1:8" x14ac:dyDescent="0.4">
      <c r="A11">
        <v>1190017014</v>
      </c>
      <c r="B11" t="s">
        <v>309</v>
      </c>
      <c r="E11">
        <v>86.4</v>
      </c>
    </row>
    <row r="12" spans="1:8" x14ac:dyDescent="0.4">
      <c r="A12">
        <v>1190021901</v>
      </c>
      <c r="B12" t="s">
        <v>313</v>
      </c>
      <c r="C12">
        <v>67.391999999999996</v>
      </c>
      <c r="D12">
        <v>48.96</v>
      </c>
      <c r="E12">
        <v>28.799999999999997</v>
      </c>
      <c r="F12">
        <v>74.88</v>
      </c>
      <c r="G12">
        <v>77.759999999999991</v>
      </c>
      <c r="H12">
        <v>81.216000000000022</v>
      </c>
    </row>
    <row r="13" spans="1:8" x14ac:dyDescent="0.4">
      <c r="A13">
        <v>1190021902</v>
      </c>
      <c r="B13" t="s">
        <v>313</v>
      </c>
      <c r="C13">
        <v>28.799999999999997</v>
      </c>
      <c r="D13">
        <v>107.99999999999999</v>
      </c>
      <c r="E13">
        <v>107.136</v>
      </c>
      <c r="F13">
        <v>73.440000000000012</v>
      </c>
      <c r="G13">
        <v>149.47200000000001</v>
      </c>
      <c r="H13">
        <v>144</v>
      </c>
    </row>
    <row r="14" spans="1:8" x14ac:dyDescent="0.4">
      <c r="A14">
        <v>1190022001</v>
      </c>
      <c r="B14" t="s">
        <v>316</v>
      </c>
      <c r="C14">
        <v>474.91199999999986</v>
      </c>
      <c r="D14">
        <v>844.41600000000005</v>
      </c>
      <c r="E14">
        <v>630.43200000000013</v>
      </c>
      <c r="F14">
        <v>724.89600000000007</v>
      </c>
      <c r="G14">
        <v>724.03200000000004</v>
      </c>
      <c r="H14">
        <v>888.19199999999955</v>
      </c>
    </row>
    <row r="15" spans="1:8" x14ac:dyDescent="0.4">
      <c r="A15">
        <v>1190022101</v>
      </c>
      <c r="B15" t="s">
        <v>233</v>
      </c>
      <c r="C15">
        <v>419.3279999999998</v>
      </c>
      <c r="D15">
        <v>161.85600000000005</v>
      </c>
      <c r="E15">
        <v>252.86400000000003</v>
      </c>
      <c r="F15">
        <v>210.81600000000006</v>
      </c>
      <c r="G15">
        <v>204.48</v>
      </c>
      <c r="H15">
        <v>298.36799999999994</v>
      </c>
    </row>
    <row r="16" spans="1:8" x14ac:dyDescent="0.4">
      <c r="A16">
        <v>1190022201</v>
      </c>
      <c r="B16" t="s">
        <v>236</v>
      </c>
      <c r="C16">
        <v>199.29599999999999</v>
      </c>
      <c r="D16">
        <v>161.28</v>
      </c>
      <c r="E16">
        <v>285.69600000000003</v>
      </c>
      <c r="F16">
        <v>233.85599999999988</v>
      </c>
      <c r="G16">
        <v>296.35199999999992</v>
      </c>
      <c r="H16">
        <v>255.74399999999991</v>
      </c>
    </row>
    <row r="17" spans="1:8" x14ac:dyDescent="0.4">
      <c r="A17">
        <v>1190022301</v>
      </c>
      <c r="B17" t="s">
        <v>320</v>
      </c>
      <c r="C17">
        <v>203.32799999999997</v>
      </c>
      <c r="D17">
        <v>152.06399999999999</v>
      </c>
      <c r="E17">
        <v>142.55999999999997</v>
      </c>
      <c r="F17">
        <v>232.41599999999994</v>
      </c>
      <c r="G17">
        <v>381.88799999999981</v>
      </c>
      <c r="H17">
        <v>112.32000000000002</v>
      </c>
    </row>
    <row r="18" spans="1:8" x14ac:dyDescent="0.4">
      <c r="A18">
        <v>1190022302</v>
      </c>
      <c r="B18" t="s">
        <v>320</v>
      </c>
      <c r="C18">
        <v>36.864000000000004</v>
      </c>
      <c r="D18">
        <v>357.12000000000006</v>
      </c>
      <c r="E18">
        <v>292.03199999999998</v>
      </c>
      <c r="F18">
        <v>124.992</v>
      </c>
      <c r="G18">
        <v>150.91200000000003</v>
      </c>
      <c r="H18">
        <v>310.46399999999983</v>
      </c>
    </row>
    <row r="19" spans="1:8" x14ac:dyDescent="0.4">
      <c r="A19">
        <v>1190022401</v>
      </c>
      <c r="B19" t="s">
        <v>323</v>
      </c>
      <c r="C19">
        <v>124.41600000000001</v>
      </c>
      <c r="D19">
        <v>83.52</v>
      </c>
      <c r="E19">
        <v>182.01600000000005</v>
      </c>
      <c r="F19">
        <v>138.816</v>
      </c>
      <c r="G19">
        <v>206.20800000000003</v>
      </c>
      <c r="H19">
        <v>286.84800000000001</v>
      </c>
    </row>
    <row r="20" spans="1:8" x14ac:dyDescent="0.4">
      <c r="A20">
        <v>1190022402</v>
      </c>
      <c r="B20" t="s">
        <v>323</v>
      </c>
      <c r="C20">
        <v>124.41600000000001</v>
      </c>
      <c r="D20">
        <v>84.095999999999989</v>
      </c>
      <c r="E20">
        <v>31.68</v>
      </c>
      <c r="F20">
        <v>103.68</v>
      </c>
      <c r="G20">
        <v>47.231999999999999</v>
      </c>
      <c r="H20">
        <v>81.215999999999994</v>
      </c>
    </row>
    <row r="21" spans="1:8" x14ac:dyDescent="0.4">
      <c r="A21">
        <v>1190022510</v>
      </c>
      <c r="B21" t="s">
        <v>326</v>
      </c>
      <c r="C21">
        <v>157.82400000000001</v>
      </c>
      <c r="D21">
        <v>88.703999999999994</v>
      </c>
      <c r="E21">
        <v>206.208</v>
      </c>
      <c r="F21">
        <v>125.568</v>
      </c>
      <c r="G21">
        <v>188.92799999999994</v>
      </c>
      <c r="H21">
        <v>207.35999999999999</v>
      </c>
    </row>
    <row r="22" spans="1:8" x14ac:dyDescent="0.4">
      <c r="A22">
        <v>1190027101</v>
      </c>
      <c r="B22" t="s">
        <v>229</v>
      </c>
      <c r="C22">
        <v>1380.6719999999996</v>
      </c>
      <c r="D22">
        <v>228.95999999999998</v>
      </c>
      <c r="E22">
        <v>260.35199999999998</v>
      </c>
      <c r="F22">
        <v>553.53599999999983</v>
      </c>
      <c r="G22">
        <v>176.54400000000001</v>
      </c>
      <c r="H22">
        <v>734.39999999999952</v>
      </c>
    </row>
    <row r="23" spans="1:8" x14ac:dyDescent="0.4">
      <c r="A23">
        <v>1190032602</v>
      </c>
      <c r="B23" t="s">
        <v>237</v>
      </c>
      <c r="C23">
        <v>392.83199999999999</v>
      </c>
      <c r="D23">
        <v>421.05599999999993</v>
      </c>
      <c r="E23">
        <v>215.42400000000001</v>
      </c>
      <c r="F23">
        <v>525.88800000000003</v>
      </c>
      <c r="G23">
        <v>934.27199999999993</v>
      </c>
      <c r="H23">
        <v>685.43999999999971</v>
      </c>
    </row>
    <row r="24" spans="1:8" x14ac:dyDescent="0.4">
      <c r="A24">
        <v>1190032701</v>
      </c>
      <c r="B24" t="s">
        <v>239</v>
      </c>
      <c r="C24">
        <v>127.29600000000001</v>
      </c>
      <c r="D24">
        <v>127.29599999999999</v>
      </c>
      <c r="E24">
        <v>73.727999999999994</v>
      </c>
      <c r="F24">
        <v>108.86399999999999</v>
      </c>
      <c r="G24">
        <v>55.295999999999992</v>
      </c>
      <c r="H24">
        <v>91.584000000000003</v>
      </c>
    </row>
    <row r="25" spans="1:8" x14ac:dyDescent="0.4">
      <c r="A25">
        <v>1190032801</v>
      </c>
      <c r="B25" t="s">
        <v>331</v>
      </c>
      <c r="C25">
        <v>581.47199999999953</v>
      </c>
      <c r="D25">
        <v>879.83999999999969</v>
      </c>
      <c r="E25">
        <v>591.55199999999945</v>
      </c>
      <c r="F25">
        <v>626.68799999999965</v>
      </c>
      <c r="G25">
        <v>527.32799999999975</v>
      </c>
      <c r="H25">
        <v>503.42399999999975</v>
      </c>
    </row>
    <row r="26" spans="1:8" x14ac:dyDescent="0.4">
      <c r="A26">
        <v>1190032901</v>
      </c>
      <c r="B26" t="s">
        <v>234</v>
      </c>
      <c r="C26">
        <v>129.60000000000005</v>
      </c>
      <c r="D26">
        <v>119.80799999999999</v>
      </c>
      <c r="E26">
        <v>130.17600000000002</v>
      </c>
      <c r="F26">
        <v>112.32000000000001</v>
      </c>
      <c r="G26">
        <v>231.55199999999999</v>
      </c>
      <c r="H26">
        <v>293.18399999999997</v>
      </c>
    </row>
    <row r="27" spans="1:8" x14ac:dyDescent="0.4">
      <c r="A27">
        <v>1190032902</v>
      </c>
      <c r="B27" t="s">
        <v>234</v>
      </c>
      <c r="C27">
        <v>61.632000000000005</v>
      </c>
      <c r="D27">
        <v>207.93599999999998</v>
      </c>
      <c r="E27">
        <v>14.975999999999999</v>
      </c>
      <c r="F27">
        <v>35.712000000000003</v>
      </c>
      <c r="G27">
        <v>184.89600000000002</v>
      </c>
      <c r="H27">
        <v>50.111999999999995</v>
      </c>
    </row>
    <row r="28" spans="1:8" x14ac:dyDescent="0.4">
      <c r="A28">
        <v>1190033001</v>
      </c>
      <c r="B28" t="s">
        <v>335</v>
      </c>
      <c r="C28">
        <v>198.14400000000001</v>
      </c>
      <c r="D28">
        <v>191.23199999999997</v>
      </c>
      <c r="E28">
        <v>111.74400000000001</v>
      </c>
      <c r="F28">
        <v>130.17599999999999</v>
      </c>
      <c r="G28">
        <v>214.84800000000004</v>
      </c>
      <c r="H28">
        <v>311.04000000000002</v>
      </c>
    </row>
    <row r="29" spans="1:8" x14ac:dyDescent="0.4">
      <c r="A29">
        <v>1190033002</v>
      </c>
      <c r="B29" t="s">
        <v>335</v>
      </c>
      <c r="C29">
        <v>169.92000000000002</v>
      </c>
      <c r="D29">
        <v>119.80799999999999</v>
      </c>
      <c r="E29">
        <v>111.74399999999999</v>
      </c>
      <c r="F29">
        <v>144.00000000000003</v>
      </c>
      <c r="G29">
        <v>167.04000000000002</v>
      </c>
      <c r="H29">
        <v>167.04000000000002</v>
      </c>
    </row>
    <row r="30" spans="1:8" x14ac:dyDescent="0.4">
      <c r="A30">
        <v>1190033101</v>
      </c>
      <c r="B30" t="s">
        <v>338</v>
      </c>
      <c r="C30">
        <v>163.00799999999998</v>
      </c>
      <c r="D30">
        <v>57.600000000000009</v>
      </c>
      <c r="E30">
        <v>77.184000000000012</v>
      </c>
      <c r="F30">
        <v>139.392</v>
      </c>
      <c r="G30">
        <v>36.287999999999997</v>
      </c>
      <c r="H30">
        <v>59.32800000000001</v>
      </c>
    </row>
    <row r="31" spans="1:8" x14ac:dyDescent="0.4">
      <c r="A31">
        <v>1190033102</v>
      </c>
      <c r="B31" t="s">
        <v>338</v>
      </c>
      <c r="C31">
        <v>44.352000000000004</v>
      </c>
      <c r="D31">
        <v>38.591999999999999</v>
      </c>
      <c r="E31">
        <v>60.48</v>
      </c>
      <c r="F31">
        <v>23.04</v>
      </c>
      <c r="G31">
        <v>58.752000000000002</v>
      </c>
      <c r="H31">
        <v>19.584</v>
      </c>
    </row>
    <row r="32" spans="1:8" x14ac:dyDescent="0.4">
      <c r="A32">
        <v>1190033201</v>
      </c>
      <c r="B32" t="s">
        <v>238</v>
      </c>
      <c r="C32">
        <v>161.28</v>
      </c>
      <c r="D32">
        <v>158.976</v>
      </c>
      <c r="E32">
        <v>240.768</v>
      </c>
      <c r="F32">
        <v>78.335999999999999</v>
      </c>
      <c r="G32">
        <v>142.84799999999998</v>
      </c>
      <c r="H32">
        <v>133.63200000000001</v>
      </c>
    </row>
    <row r="33" spans="1:8" x14ac:dyDescent="0.4">
      <c r="A33">
        <v>1190033202</v>
      </c>
      <c r="B33" t="s">
        <v>238</v>
      </c>
      <c r="C33">
        <v>209.08799999999997</v>
      </c>
      <c r="D33">
        <v>144.57599999999999</v>
      </c>
      <c r="E33">
        <v>131.61599999999999</v>
      </c>
      <c r="F33">
        <v>121.824</v>
      </c>
      <c r="G33">
        <v>135.93600000000004</v>
      </c>
      <c r="H33">
        <v>139.68</v>
      </c>
    </row>
    <row r="34" spans="1:8" x14ac:dyDescent="0.4">
      <c r="A34">
        <v>1190033301</v>
      </c>
      <c r="B34" t="s">
        <v>343</v>
      </c>
      <c r="C34">
        <v>57.6</v>
      </c>
      <c r="D34">
        <v>249.98399999999998</v>
      </c>
      <c r="E34">
        <v>81.215999999999994</v>
      </c>
      <c r="F34">
        <v>187.20000000000005</v>
      </c>
      <c r="G34">
        <v>73.152000000000001</v>
      </c>
      <c r="H34">
        <v>123.26400000000001</v>
      </c>
    </row>
    <row r="35" spans="1:8" x14ac:dyDescent="0.4">
      <c r="A35">
        <v>1190033302</v>
      </c>
      <c r="B35" t="s">
        <v>343</v>
      </c>
      <c r="C35">
        <v>147.45599999999996</v>
      </c>
      <c r="D35">
        <v>196.99200000000002</v>
      </c>
      <c r="E35">
        <v>124.416</v>
      </c>
      <c r="F35">
        <v>278.20800000000003</v>
      </c>
      <c r="G35">
        <v>143.42400000000004</v>
      </c>
      <c r="H35">
        <v>173.37599999999998</v>
      </c>
    </row>
    <row r="36" spans="1:8" x14ac:dyDescent="0.4">
      <c r="A36">
        <v>1190037301</v>
      </c>
      <c r="B36" t="s">
        <v>242</v>
      </c>
      <c r="C36">
        <v>107.42400000000002</v>
      </c>
      <c r="D36">
        <v>171.93599999999995</v>
      </c>
      <c r="E36">
        <v>130.17600000000002</v>
      </c>
      <c r="F36">
        <v>49.536000000000008</v>
      </c>
      <c r="G36">
        <v>20.736000000000001</v>
      </c>
      <c r="H36">
        <v>14.975999999999999</v>
      </c>
    </row>
    <row r="37" spans="1:8" x14ac:dyDescent="0.4">
      <c r="A37">
        <v>1190037302</v>
      </c>
      <c r="B37" t="s">
        <v>242</v>
      </c>
      <c r="F37">
        <v>158.39999999999998</v>
      </c>
      <c r="G37">
        <v>40.031999999999996</v>
      </c>
      <c r="H37">
        <v>212.83199999999994</v>
      </c>
    </row>
    <row r="38" spans="1:8" x14ac:dyDescent="0.4">
      <c r="A38">
        <v>1190037401</v>
      </c>
      <c r="B38" t="s">
        <v>347</v>
      </c>
      <c r="C38">
        <v>40.32</v>
      </c>
      <c r="D38">
        <v>5.76</v>
      </c>
      <c r="E38">
        <v>2.88</v>
      </c>
      <c r="F38">
        <v>25.92</v>
      </c>
      <c r="G38">
        <v>31.679999999999993</v>
      </c>
      <c r="H38">
        <v>28.799999999999997</v>
      </c>
    </row>
    <row r="39" spans="1:8" x14ac:dyDescent="0.4">
      <c r="A39">
        <v>1190043401</v>
      </c>
      <c r="B39" t="s">
        <v>241</v>
      </c>
      <c r="C39">
        <v>182.59200000000001</v>
      </c>
      <c r="D39">
        <v>138.24</v>
      </c>
      <c r="E39">
        <v>139.39200000000002</v>
      </c>
      <c r="F39">
        <v>177.98400000000001</v>
      </c>
      <c r="G39">
        <v>230.40000000000003</v>
      </c>
      <c r="H39">
        <v>167.328</v>
      </c>
    </row>
    <row r="40" spans="1:8" x14ac:dyDescent="0.4">
      <c r="A40">
        <v>1190043402</v>
      </c>
      <c r="B40" t="s">
        <v>241</v>
      </c>
      <c r="C40">
        <v>144</v>
      </c>
      <c r="D40">
        <v>40.32</v>
      </c>
      <c r="E40">
        <v>158.976</v>
      </c>
      <c r="F40">
        <v>40.32</v>
      </c>
      <c r="G40">
        <v>88.703999999999994</v>
      </c>
      <c r="H40">
        <v>69.12</v>
      </c>
    </row>
    <row r="41" spans="1:8" x14ac:dyDescent="0.4">
      <c r="A41">
        <v>1190043501</v>
      </c>
      <c r="B41" t="s">
        <v>351</v>
      </c>
      <c r="C41">
        <v>466.55999999999983</v>
      </c>
      <c r="D41">
        <v>277.05600000000004</v>
      </c>
      <c r="E41">
        <v>202.464</v>
      </c>
      <c r="F41">
        <v>151.48800000000003</v>
      </c>
      <c r="G41">
        <v>228.096</v>
      </c>
      <c r="H41">
        <v>262.36799999999999</v>
      </c>
    </row>
    <row r="42" spans="1:8" x14ac:dyDescent="0.4">
      <c r="A42">
        <v>1190043502</v>
      </c>
      <c r="B42" t="s">
        <v>351</v>
      </c>
      <c r="C42">
        <v>212.54399999999995</v>
      </c>
      <c r="D42">
        <v>277.91999999999996</v>
      </c>
      <c r="E42">
        <v>252.86400000000006</v>
      </c>
      <c r="F42">
        <v>41.759999999999991</v>
      </c>
      <c r="G42">
        <v>228.67200000000005</v>
      </c>
      <c r="H42">
        <v>184.31999999999996</v>
      </c>
    </row>
    <row r="43" spans="1:8" x14ac:dyDescent="0.4">
      <c r="A43">
        <v>1190043601</v>
      </c>
      <c r="B43" t="s">
        <v>231</v>
      </c>
      <c r="C43">
        <v>138.816</v>
      </c>
      <c r="D43">
        <v>112.32000000000001</v>
      </c>
      <c r="E43">
        <v>79.488</v>
      </c>
      <c r="F43">
        <v>35.712000000000003</v>
      </c>
      <c r="G43">
        <v>145.15200000000002</v>
      </c>
      <c r="H43">
        <v>112.32000000000002</v>
      </c>
    </row>
    <row r="44" spans="1:8" x14ac:dyDescent="0.4">
      <c r="A44">
        <v>1190043602</v>
      </c>
      <c r="B44" t="s">
        <v>231</v>
      </c>
      <c r="C44">
        <v>184.89599999999999</v>
      </c>
      <c r="D44">
        <v>219.45599999999999</v>
      </c>
      <c r="E44">
        <v>304.70400000000006</v>
      </c>
      <c r="F44">
        <v>156.09599999999998</v>
      </c>
      <c r="G44">
        <v>139.96799999999999</v>
      </c>
      <c r="H44">
        <v>131.328</v>
      </c>
    </row>
    <row r="45" spans="1:8" x14ac:dyDescent="0.4">
      <c r="A45">
        <v>1190043701</v>
      </c>
      <c r="B45" t="s">
        <v>230</v>
      </c>
      <c r="C45">
        <v>134.78400000000002</v>
      </c>
      <c r="D45">
        <v>199.87199999999999</v>
      </c>
      <c r="E45">
        <v>277.05599999999993</v>
      </c>
      <c r="F45">
        <v>203.32799999999997</v>
      </c>
      <c r="G45">
        <v>479.80799999999994</v>
      </c>
      <c r="H45">
        <v>244.80000000000004</v>
      </c>
    </row>
    <row r="46" spans="1:8" x14ac:dyDescent="0.4">
      <c r="A46">
        <v>1190043702</v>
      </c>
      <c r="B46" t="s">
        <v>230</v>
      </c>
      <c r="C46">
        <v>154.36799999999999</v>
      </c>
      <c r="D46">
        <v>106.56</v>
      </c>
      <c r="E46">
        <v>100.80000000000001</v>
      </c>
      <c r="F46">
        <v>174.52799999999999</v>
      </c>
      <c r="G46">
        <v>37.44</v>
      </c>
      <c r="H46">
        <v>168.768</v>
      </c>
    </row>
    <row r="47" spans="1:8" x14ac:dyDescent="0.4">
      <c r="A47">
        <v>1190043801</v>
      </c>
      <c r="B47" t="s">
        <v>358</v>
      </c>
      <c r="C47">
        <v>86.4</v>
      </c>
      <c r="D47">
        <v>330.04800000000006</v>
      </c>
      <c r="E47">
        <v>92.73599999999999</v>
      </c>
      <c r="F47">
        <v>179.71199999999999</v>
      </c>
      <c r="G47">
        <v>218.88000000000005</v>
      </c>
      <c r="H47">
        <v>291.45600000000002</v>
      </c>
    </row>
    <row r="48" spans="1:8" x14ac:dyDescent="0.4">
      <c r="A48">
        <v>1190043802</v>
      </c>
      <c r="B48" t="s">
        <v>358</v>
      </c>
      <c r="C48">
        <v>55.871999999999993</v>
      </c>
      <c r="D48">
        <v>23.04</v>
      </c>
      <c r="F48">
        <v>11.52</v>
      </c>
      <c r="G48">
        <v>17.855999999999998</v>
      </c>
      <c r="H48">
        <v>20.736000000000001</v>
      </c>
    </row>
    <row r="49" spans="1:8" x14ac:dyDescent="0.4">
      <c r="A49">
        <v>1190043811</v>
      </c>
      <c r="B49" t="s">
        <v>358</v>
      </c>
      <c r="E49">
        <v>0.28800000000000003</v>
      </c>
    </row>
    <row r="50" spans="1:8" x14ac:dyDescent="0.4">
      <c r="A50">
        <v>1190043901</v>
      </c>
      <c r="B50" t="s">
        <v>361</v>
      </c>
      <c r="C50">
        <v>281.08800000000008</v>
      </c>
      <c r="D50">
        <v>208.51200000000006</v>
      </c>
      <c r="E50">
        <v>130.17599999999999</v>
      </c>
      <c r="F50">
        <v>45.504000000000005</v>
      </c>
      <c r="G50">
        <v>177.98400000000001</v>
      </c>
      <c r="H50">
        <v>173.37599999999998</v>
      </c>
    </row>
    <row r="51" spans="1:8" x14ac:dyDescent="0.4">
      <c r="A51">
        <v>1190043902</v>
      </c>
      <c r="B51" t="s">
        <v>361</v>
      </c>
      <c r="C51">
        <v>268.99199999999996</v>
      </c>
      <c r="D51">
        <v>236.16</v>
      </c>
      <c r="E51">
        <v>214.27200000000002</v>
      </c>
      <c r="F51">
        <v>344.44799999999998</v>
      </c>
      <c r="G51">
        <v>176.25599999999994</v>
      </c>
      <c r="H51">
        <v>51.839999999999996</v>
      </c>
    </row>
    <row r="52" spans="1:8" x14ac:dyDescent="0.4">
      <c r="A52">
        <v>1190044001</v>
      </c>
      <c r="B52" t="s">
        <v>364</v>
      </c>
      <c r="C52">
        <v>179.71200000000002</v>
      </c>
      <c r="D52">
        <v>129.60000000000002</v>
      </c>
      <c r="E52">
        <v>69.11999999999999</v>
      </c>
      <c r="F52">
        <v>218.88000000000002</v>
      </c>
      <c r="G52">
        <v>434.30400000000003</v>
      </c>
      <c r="H52">
        <v>179.71199999999999</v>
      </c>
    </row>
    <row r="53" spans="1:8" x14ac:dyDescent="0.4">
      <c r="A53">
        <v>1190044002</v>
      </c>
      <c r="B53" t="s">
        <v>364</v>
      </c>
      <c r="C53">
        <v>110.592</v>
      </c>
      <c r="D53">
        <v>74.88</v>
      </c>
      <c r="E53">
        <v>105.98400000000001</v>
      </c>
      <c r="F53">
        <v>78.335999999999999</v>
      </c>
      <c r="G53">
        <v>17.28</v>
      </c>
      <c r="H53">
        <v>245.37599999999995</v>
      </c>
    </row>
    <row r="54" spans="1:8" x14ac:dyDescent="0.4">
      <c r="A54">
        <v>1190044012</v>
      </c>
      <c r="B54" t="s">
        <v>364</v>
      </c>
      <c r="D54">
        <v>0.48</v>
      </c>
    </row>
    <row r="55" spans="1:8" x14ac:dyDescent="0.4">
      <c r="A55">
        <v>1190044013</v>
      </c>
      <c r="B55" t="s">
        <v>364</v>
      </c>
      <c r="H55">
        <v>3.456</v>
      </c>
    </row>
    <row r="56" spans="1:8" x14ac:dyDescent="0.4">
      <c r="A56">
        <v>1190044101</v>
      </c>
      <c r="B56" t="s">
        <v>367</v>
      </c>
      <c r="C56">
        <v>542.5920000000001</v>
      </c>
      <c r="D56">
        <v>375.55200000000002</v>
      </c>
      <c r="E56">
        <v>114.048</v>
      </c>
      <c r="F56">
        <v>205.63200000000001</v>
      </c>
      <c r="G56">
        <v>260.928</v>
      </c>
      <c r="H56">
        <v>155.52000000000001</v>
      </c>
    </row>
    <row r="57" spans="1:8" x14ac:dyDescent="0.4">
      <c r="A57">
        <v>1190054201</v>
      </c>
      <c r="B57" t="s">
        <v>369</v>
      </c>
      <c r="C57">
        <v>203.90400000000005</v>
      </c>
      <c r="D57">
        <v>127.29600000000001</v>
      </c>
      <c r="E57">
        <v>179.13600000000002</v>
      </c>
      <c r="F57">
        <v>115.2</v>
      </c>
      <c r="G57">
        <v>138.24</v>
      </c>
      <c r="H57">
        <v>254.59200000000004</v>
      </c>
    </row>
    <row r="58" spans="1:8" x14ac:dyDescent="0.4">
      <c r="A58">
        <v>1190054202</v>
      </c>
      <c r="B58" t="s">
        <v>369</v>
      </c>
      <c r="C58">
        <v>152.06399999999999</v>
      </c>
      <c r="D58">
        <v>61.632000000000005</v>
      </c>
      <c r="E58">
        <v>87.552000000000021</v>
      </c>
      <c r="F58">
        <v>118.08000000000001</v>
      </c>
      <c r="G58">
        <v>153.21599999999998</v>
      </c>
      <c r="H58">
        <v>179.71199999999996</v>
      </c>
    </row>
    <row r="59" spans="1:8" x14ac:dyDescent="0.4">
      <c r="A59">
        <v>1190054301</v>
      </c>
      <c r="B59" t="s">
        <v>372</v>
      </c>
      <c r="C59">
        <v>60.48</v>
      </c>
      <c r="D59">
        <v>72.575999999999993</v>
      </c>
      <c r="E59">
        <v>52.415999999999997</v>
      </c>
      <c r="F59">
        <v>110.592</v>
      </c>
      <c r="G59">
        <v>40.32</v>
      </c>
      <c r="H59">
        <v>221.75999999999996</v>
      </c>
    </row>
    <row r="60" spans="1:8" x14ac:dyDescent="0.4">
      <c r="A60">
        <v>1190054401</v>
      </c>
      <c r="B60" t="s">
        <v>374</v>
      </c>
      <c r="C60">
        <v>279.93599999999998</v>
      </c>
      <c r="D60">
        <v>183.16800000000001</v>
      </c>
      <c r="E60">
        <v>275.90400000000005</v>
      </c>
      <c r="F60">
        <v>292.03199999999998</v>
      </c>
      <c r="G60">
        <v>361.15200000000004</v>
      </c>
      <c r="H60">
        <v>317.95199999999994</v>
      </c>
    </row>
    <row r="61" spans="1:8" x14ac:dyDescent="0.4">
      <c r="A61">
        <v>1190054501</v>
      </c>
      <c r="B61" t="s">
        <v>240</v>
      </c>
      <c r="C61">
        <v>52.415999999999997</v>
      </c>
      <c r="D61">
        <v>65.664000000000001</v>
      </c>
      <c r="E61">
        <v>59.904000000000003</v>
      </c>
      <c r="F61">
        <v>41.472000000000008</v>
      </c>
      <c r="G61">
        <v>17.28</v>
      </c>
      <c r="H61">
        <v>66.239999999999995</v>
      </c>
    </row>
    <row r="62" spans="1:8" x14ac:dyDescent="0.4">
      <c r="A62">
        <v>1190054601</v>
      </c>
      <c r="B62" t="s">
        <v>226</v>
      </c>
      <c r="C62">
        <v>1077.1199999999999</v>
      </c>
      <c r="D62">
        <v>896.25600000000009</v>
      </c>
      <c r="E62">
        <v>1014.9119999999999</v>
      </c>
      <c r="F62">
        <v>1001.6640000000001</v>
      </c>
      <c r="G62">
        <v>1009.7280000000001</v>
      </c>
      <c r="H62">
        <v>1145.0879999999997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AEFE-0AD3-4140-BC67-2AA49AE3F715}">
  <sheetPr codeName="Sheet28">
    <tabColor rgb="FF00B0F0"/>
  </sheetPr>
  <dimension ref="A1:BP58"/>
  <sheetViews>
    <sheetView zoomScale="50" zoomScaleNormal="50" workbookViewId="0">
      <pane xSplit="4" ySplit="1" topLeftCell="AY25" activePane="bottomRight" state="frozen"/>
      <selection pane="topRight" activeCell="BE11" sqref="BE11:BP11"/>
      <selection pane="bottomLeft" activeCell="BE11" sqref="BE11:BP11"/>
      <selection pane="bottomRight" activeCell="BE11" sqref="BE11:BP11"/>
    </sheetView>
  </sheetViews>
  <sheetFormatPr defaultRowHeight="16.8" x14ac:dyDescent="0.4"/>
  <cols>
    <col min="1" max="1" width="18" customWidth="1"/>
    <col min="3" max="3" width="27.5" customWidth="1"/>
    <col min="4" max="4" width="15.8984375" customWidth="1"/>
    <col min="31" max="31" width="9.59765625" bestFit="1" customWidth="1"/>
  </cols>
  <sheetData>
    <row r="1" spans="1:68" x14ac:dyDescent="0.4">
      <c r="A1" t="s">
        <v>79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140</v>
      </c>
      <c r="N1" t="s">
        <v>255</v>
      </c>
      <c r="O1" t="s">
        <v>256</v>
      </c>
      <c r="P1" t="s">
        <v>257</v>
      </c>
      <c r="R1" t="s">
        <v>247</v>
      </c>
      <c r="S1" t="s">
        <v>248</v>
      </c>
      <c r="T1" t="s">
        <v>249</v>
      </c>
      <c r="U1" t="s">
        <v>250</v>
      </c>
      <c r="V1" t="s">
        <v>251</v>
      </c>
      <c r="W1" t="s">
        <v>252</v>
      </c>
      <c r="X1" t="s">
        <v>253</v>
      </c>
      <c r="Y1" t="s">
        <v>254</v>
      </c>
      <c r="Z1" t="s">
        <v>140</v>
      </c>
      <c r="AA1" t="s">
        <v>255</v>
      </c>
      <c r="AB1" t="s">
        <v>256</v>
      </c>
      <c r="AC1" t="s">
        <v>257</v>
      </c>
      <c r="AE1" t="s">
        <v>247</v>
      </c>
      <c r="AF1" t="s">
        <v>248</v>
      </c>
      <c r="AG1" t="s">
        <v>249</v>
      </c>
      <c r="AH1" t="s">
        <v>250</v>
      </c>
      <c r="AI1" t="s">
        <v>251</v>
      </c>
      <c r="AJ1" t="s">
        <v>252</v>
      </c>
      <c r="AK1" t="s">
        <v>253</v>
      </c>
      <c r="AL1" t="s">
        <v>254</v>
      </c>
      <c r="AM1" t="s">
        <v>140</v>
      </c>
      <c r="AN1" t="s">
        <v>255</v>
      </c>
      <c r="AO1" t="s">
        <v>256</v>
      </c>
      <c r="AP1" t="s">
        <v>257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140</v>
      </c>
      <c r="BA1" t="s">
        <v>255</v>
      </c>
      <c r="BB1" t="s">
        <v>256</v>
      </c>
      <c r="BC1" t="s">
        <v>257</v>
      </c>
      <c r="BE1" t="s">
        <v>247</v>
      </c>
      <c r="BF1" t="s">
        <v>248</v>
      </c>
      <c r="BG1" t="s">
        <v>249</v>
      </c>
      <c r="BH1" t="s">
        <v>250</v>
      </c>
      <c r="BI1" t="s">
        <v>251</v>
      </c>
      <c r="BJ1" t="s">
        <v>252</v>
      </c>
      <c r="BK1" t="s">
        <v>253</v>
      </c>
      <c r="BL1" t="s">
        <v>254</v>
      </c>
      <c r="BM1" t="s">
        <v>140</v>
      </c>
      <c r="BN1" t="s">
        <v>255</v>
      </c>
      <c r="BO1" t="s">
        <v>256</v>
      </c>
      <c r="BP1" t="s">
        <v>257</v>
      </c>
    </row>
    <row r="2" spans="1:68" x14ac:dyDescent="0.4">
      <c r="A2">
        <v>1190011201</v>
      </c>
      <c r="B2">
        <f>VLOOKUP(A2,'Aji Plus'!$A$2:$D$58,2,0)</f>
        <v>76001</v>
      </c>
      <c r="C2" t="str">
        <f>VLOOKUP(A2,'Aji Plus'!$A$2:$D$58,3,0)</f>
        <v>นายวิโรจน์ แซ่ฉั่ว</v>
      </c>
      <c r="D2" t="str">
        <f>VLOOKUP(A2,'Aji Plus'!$A$2:$D$58,4,0)</f>
        <v>Thonburi</v>
      </c>
      <c r="E2" s="1">
        <v>1756.453030802277</v>
      </c>
      <c r="F2" s="1">
        <v>1210.6781931555129</v>
      </c>
      <c r="G2" s="1">
        <v>1558.7693987612354</v>
      </c>
      <c r="H2" s="1">
        <v>1293.7017438635271</v>
      </c>
      <c r="I2" s="1">
        <v>1850.7370415632629</v>
      </c>
      <c r="J2" s="1">
        <v>1943.6805213655607</v>
      </c>
      <c r="K2" s="1">
        <v>1910.3459848595444</v>
      </c>
      <c r="L2" s="1">
        <v>2715.5582473775312</v>
      </c>
      <c r="M2" s="1">
        <v>1389.5943917749369</v>
      </c>
      <c r="N2" s="1">
        <v>1503.7182607244895</v>
      </c>
      <c r="O2" s="1">
        <v>1637.4138816708726</v>
      </c>
      <c r="P2" s="1">
        <v>2655.9493040812495</v>
      </c>
      <c r="R2" s="1">
        <f>VLOOKUP(A2,Actual_RDM!$A$2:$H$63,3,0)</f>
        <v>1116.2</v>
      </c>
      <c r="S2" s="1">
        <f>VLOOKUP(A2,Actual_RDM!$A$2:$H$63,4,0)</f>
        <v>1363</v>
      </c>
      <c r="T2" s="1">
        <f>VLOOKUP(A2,Actual_RDM!$A$2:$H$63,5,0)</f>
        <v>1646</v>
      </c>
      <c r="U2" s="1">
        <f>VLOOKUP(A2,Actual_RDM!$A$2:$H$63,6,0)</f>
        <v>1212.7</v>
      </c>
      <c r="V2" s="1">
        <f>VLOOKUP(A2,Actual_RDM!$A$2:$H$63,7,0)</f>
        <v>1613.1</v>
      </c>
      <c r="W2" s="1">
        <f>VLOOKUP(A2,Actual_RDM!$A$2:$H$63,8,0)</f>
        <v>718.2</v>
      </c>
      <c r="X2" s="111"/>
      <c r="Y2" s="111"/>
      <c r="Z2" s="111"/>
      <c r="AA2" s="111"/>
      <c r="AB2" s="111"/>
      <c r="AC2" s="111"/>
      <c r="AE2" s="109">
        <f>R2/E2</f>
        <v>0.63548525376176146</v>
      </c>
      <c r="AF2" s="97">
        <f t="shared" ref="AF2:AP17" si="0">S2/F2</f>
        <v>1.1258152725518871</v>
      </c>
      <c r="AG2" s="97">
        <f t="shared" si="0"/>
        <v>1.0559611968955045</v>
      </c>
      <c r="AH2" s="97">
        <f t="shared" si="0"/>
        <v>0.93738762102799489</v>
      </c>
      <c r="AI2" s="97">
        <f t="shared" si="0"/>
        <v>0.87159870028724451</v>
      </c>
      <c r="AJ2" s="97">
        <f t="shared" si="0"/>
        <v>0.36950516924222626</v>
      </c>
      <c r="AK2" s="99">
        <f t="shared" si="0"/>
        <v>0</v>
      </c>
      <c r="AL2" s="99">
        <f t="shared" si="0"/>
        <v>0</v>
      </c>
      <c r="AM2" s="99">
        <f t="shared" si="0"/>
        <v>0</v>
      </c>
      <c r="AN2" s="99">
        <f t="shared" si="0"/>
        <v>0</v>
      </c>
      <c r="AO2" s="99">
        <f t="shared" si="0"/>
        <v>0</v>
      </c>
      <c r="AP2" s="99">
        <f t="shared" si="0"/>
        <v>0</v>
      </c>
      <c r="AQ2" s="97"/>
      <c r="AR2" s="99">
        <f>ROUND(AE2,4)</f>
        <v>0.63549999999999995</v>
      </c>
      <c r="AS2" s="99">
        <f t="shared" ref="AS2:BC17" si="1">ROUND(AF2,4)</f>
        <v>1.1257999999999999</v>
      </c>
      <c r="AT2" s="99">
        <f t="shared" si="1"/>
        <v>1.056</v>
      </c>
      <c r="AU2" s="99">
        <f t="shared" si="1"/>
        <v>0.93740000000000001</v>
      </c>
      <c r="AV2" s="99">
        <f t="shared" si="1"/>
        <v>0.87160000000000004</v>
      </c>
      <c r="AW2" s="99">
        <f t="shared" si="1"/>
        <v>0.3695</v>
      </c>
      <c r="AX2" s="99">
        <f t="shared" si="1"/>
        <v>0</v>
      </c>
      <c r="AY2" s="99">
        <f t="shared" si="1"/>
        <v>0</v>
      </c>
      <c r="AZ2" s="99">
        <f t="shared" si="1"/>
        <v>0</v>
      </c>
      <c r="BA2" s="99">
        <f t="shared" si="1"/>
        <v>0</v>
      </c>
      <c r="BB2" s="99">
        <f t="shared" si="1"/>
        <v>0</v>
      </c>
      <c r="BC2" s="99">
        <f t="shared" si="1"/>
        <v>0</v>
      </c>
      <c r="BD2" s="97"/>
      <c r="BE2" s="1">
        <f>IFERROR(VLOOKUP(AR2,'Top WS'!$A$19:$D$28,4),0)</f>
        <v>200</v>
      </c>
      <c r="BF2" s="1">
        <f>IFERROR(VLOOKUP(AS2,'Top WS'!$A$19:$D$28,4),0)</f>
        <v>230</v>
      </c>
      <c r="BG2" s="1">
        <f>IFERROR(VLOOKUP(AT2,'Top WS'!$A$19:$D$28,4),0)</f>
        <v>216</v>
      </c>
      <c r="BH2" s="1">
        <f>IFERROR(VLOOKUP(AU2,'Top WS'!$A$19:$D$28,4),0)</f>
        <v>200</v>
      </c>
      <c r="BI2" s="1">
        <f>IFERROR(VLOOKUP(AV2,'Top WS'!$A$19:$D$28,4),0)</f>
        <v>200</v>
      </c>
      <c r="BJ2" s="1">
        <f>IFERROR(VLOOKUP(AW2,'Top WS'!$A$19:$D$28,4),0)</f>
        <v>200</v>
      </c>
      <c r="BK2" s="98">
        <f>IFERROR(VLOOKUP(AX2,'Top WS'!$A$19:$D$28,4),0)</f>
        <v>200</v>
      </c>
      <c r="BL2" s="98">
        <f>IFERROR(VLOOKUP(AY2,'Top WS'!$A$19:$D$28,4),0)</f>
        <v>200</v>
      </c>
      <c r="BM2" s="98">
        <f>IFERROR(VLOOKUP(AZ2,'Top WS'!$A$19:$D$28,4),0)</f>
        <v>200</v>
      </c>
      <c r="BN2" s="98">
        <f>IFERROR(VLOOKUP(BA2,'Top WS'!$A$19:$D$28,4),0)</f>
        <v>200</v>
      </c>
      <c r="BO2" s="98">
        <f>IFERROR(VLOOKUP(BB2,'Top WS'!$A$19:$D$28,4),0)</f>
        <v>200</v>
      </c>
      <c r="BP2" s="98">
        <f>IFERROR(VLOOKUP(BC2,'Top WS'!$A$19:$D$28,4),0)</f>
        <v>200</v>
      </c>
    </row>
    <row r="3" spans="1:68" x14ac:dyDescent="0.4">
      <c r="A3">
        <v>1190011214</v>
      </c>
      <c r="B3">
        <f>VLOOKUP(A3,'Aji Plus'!$A$2:$D$58,2,0)</f>
        <v>71328</v>
      </c>
      <c r="C3" t="str">
        <f>VLOOKUP(A3,'Aji Plus'!$A$2:$D$58,3,0)</f>
        <v>นายประเสริฐ สุขีธรรม</v>
      </c>
      <c r="D3" t="str">
        <f>VLOOKUP(A3,'Aji Plus'!$A$2:$D$58,4,0)</f>
        <v>Thonburi</v>
      </c>
      <c r="E3" s="1">
        <v>385.56286042001204</v>
      </c>
      <c r="F3" s="1">
        <v>265.75862776584432</v>
      </c>
      <c r="G3" s="1">
        <v>342.1688924110029</v>
      </c>
      <c r="H3" s="1">
        <v>283.98330962857915</v>
      </c>
      <c r="I3" s="1">
        <v>406.25935058705772</v>
      </c>
      <c r="J3" s="1">
        <v>426.66157786073285</v>
      </c>
      <c r="K3" s="1">
        <v>419.34424057892443</v>
      </c>
      <c r="L3" s="1">
        <v>596.0981518633605</v>
      </c>
      <c r="M3" s="1">
        <v>305.03291526766907</v>
      </c>
      <c r="N3" s="1">
        <v>330.08449625659529</v>
      </c>
      <c r="O3" s="1">
        <v>359.43231548872814</v>
      </c>
      <c r="P3" s="1">
        <v>583.0132618714938</v>
      </c>
      <c r="R3" s="1">
        <f>VLOOKUP(A3,Actual_RDM!$A$2:$H$63,3,0)</f>
        <v>278.2</v>
      </c>
      <c r="S3" s="1">
        <f>VLOOKUP(A3,Actual_RDM!$A$2:$H$63,4,0)</f>
        <v>449.9</v>
      </c>
      <c r="T3" s="1">
        <f>VLOOKUP(A3,Actual_RDM!$A$2:$H$63,5,0)</f>
        <v>374</v>
      </c>
      <c r="U3" s="1">
        <f>VLOOKUP(A3,Actual_RDM!$A$2:$H$63,6,0)</f>
        <v>123</v>
      </c>
      <c r="V3" s="1">
        <f>VLOOKUP(A3,Actual_RDM!$A$2:$H$63,7,0)</f>
        <v>759.8</v>
      </c>
      <c r="W3" s="1">
        <f>VLOOKUP(A3,Actual_RDM!$A$2:$H$63,8,0)</f>
        <v>270.10000000000002</v>
      </c>
      <c r="X3" s="111"/>
      <c r="Y3" s="111"/>
      <c r="Z3" s="111"/>
      <c r="AA3" s="111"/>
      <c r="AB3" s="111"/>
      <c r="AC3" s="111"/>
      <c r="AE3" s="97">
        <f t="shared" ref="AE3:AP37" si="2">R3/E3</f>
        <v>0.72154252537950214</v>
      </c>
      <c r="AF3" s="97">
        <f t="shared" si="0"/>
        <v>1.6928895358249654</v>
      </c>
      <c r="AG3" s="97">
        <f t="shared" si="0"/>
        <v>1.0930274735517527</v>
      </c>
      <c r="AH3" s="97">
        <f t="shared" si="0"/>
        <v>0.43312404577885688</v>
      </c>
      <c r="AI3" s="97">
        <f t="shared" si="0"/>
        <v>1.8702338762223312</v>
      </c>
      <c r="AJ3" s="97">
        <f t="shared" si="0"/>
        <v>0.63305442536980372</v>
      </c>
      <c r="AK3" s="99">
        <f t="shared" si="0"/>
        <v>0</v>
      </c>
      <c r="AL3" s="99">
        <f t="shared" si="0"/>
        <v>0</v>
      </c>
      <c r="AM3" s="99">
        <f t="shared" si="0"/>
        <v>0</v>
      </c>
      <c r="AN3" s="99">
        <f t="shared" si="0"/>
        <v>0</v>
      </c>
      <c r="AO3" s="99">
        <f t="shared" si="0"/>
        <v>0</v>
      </c>
      <c r="AP3" s="99">
        <f t="shared" si="0"/>
        <v>0</v>
      </c>
      <c r="AQ3" s="97"/>
      <c r="AR3" s="99">
        <f t="shared" ref="AR3:BC37" si="3">ROUND(AE3,4)</f>
        <v>0.72150000000000003</v>
      </c>
      <c r="AS3" s="99">
        <f t="shared" si="1"/>
        <v>1.6929000000000001</v>
      </c>
      <c r="AT3" s="99">
        <f t="shared" si="1"/>
        <v>1.093</v>
      </c>
      <c r="AU3" s="99">
        <f t="shared" si="1"/>
        <v>0.43309999999999998</v>
      </c>
      <c r="AV3" s="99">
        <f t="shared" si="1"/>
        <v>1.8702000000000001</v>
      </c>
      <c r="AW3" s="99">
        <f t="shared" si="1"/>
        <v>0.6331</v>
      </c>
      <c r="AX3" s="99">
        <f t="shared" si="1"/>
        <v>0</v>
      </c>
      <c r="AY3" s="99">
        <f t="shared" si="1"/>
        <v>0</v>
      </c>
      <c r="AZ3" s="99">
        <f t="shared" si="1"/>
        <v>0</v>
      </c>
      <c r="BA3" s="99">
        <f t="shared" si="1"/>
        <v>0</v>
      </c>
      <c r="BB3" s="99">
        <f t="shared" si="1"/>
        <v>0</v>
      </c>
      <c r="BC3" s="99">
        <f t="shared" si="1"/>
        <v>0</v>
      </c>
      <c r="BD3" s="97"/>
      <c r="BE3" s="1">
        <f>IFERROR(VLOOKUP(AR3,'Top WS'!$A$19:$D$28,4),0)</f>
        <v>200</v>
      </c>
      <c r="BF3" s="1">
        <f>IFERROR(VLOOKUP(AS3,'Top WS'!$A$19:$D$28,4),0)</f>
        <v>260</v>
      </c>
      <c r="BG3" s="1">
        <f>IFERROR(VLOOKUP(AT3,'Top WS'!$A$19:$D$28,4),0)</f>
        <v>220</v>
      </c>
      <c r="BH3" s="1">
        <f>IFERROR(VLOOKUP(AU3,'Top WS'!$A$19:$D$28,4),0)</f>
        <v>200</v>
      </c>
      <c r="BI3" s="1">
        <f>IFERROR(VLOOKUP(AV3,'Top WS'!$A$19:$D$28,4),0)</f>
        <v>260</v>
      </c>
      <c r="BJ3" s="1">
        <f>IFERROR(VLOOKUP(AW3,'Top WS'!$A$19:$D$28,4),0)</f>
        <v>200</v>
      </c>
      <c r="BK3" s="98">
        <f>IFERROR(VLOOKUP(AX3,'Top WS'!$A$19:$D$28,4),0)</f>
        <v>200</v>
      </c>
      <c r="BL3" s="98">
        <f>IFERROR(VLOOKUP(AY3,'Top WS'!$A$19:$D$28,4),0)</f>
        <v>200</v>
      </c>
      <c r="BM3" s="98">
        <f>IFERROR(VLOOKUP(AZ3,'Top WS'!$A$19:$D$28,4),0)</f>
        <v>200</v>
      </c>
      <c r="BN3" s="98">
        <f>IFERROR(VLOOKUP(BA3,'Top WS'!$A$19:$D$28,4),0)</f>
        <v>200</v>
      </c>
      <c r="BO3" s="98">
        <f>IFERROR(VLOOKUP(BB3,'Top WS'!$A$19:$D$28,4),0)</f>
        <v>200</v>
      </c>
      <c r="BP3" s="98">
        <f>IFERROR(VLOOKUP(BC3,'Top WS'!$A$19:$D$28,4),0)</f>
        <v>200</v>
      </c>
    </row>
    <row r="4" spans="1:68" x14ac:dyDescent="0.4">
      <c r="A4">
        <v>1190011401</v>
      </c>
      <c r="B4">
        <f>VLOOKUP(A4,'Aji Plus'!$A$2:$D$58,2,0)</f>
        <v>63723</v>
      </c>
      <c r="C4" t="str">
        <f>VLOOKUP(A4,'Aji Plus'!$A$2:$D$58,3,0)</f>
        <v>นายธนาพัทธ์ จงเทพสกุลชัย</v>
      </c>
      <c r="D4" t="str">
        <f>VLOOKUP(A4,'Aji Plus'!$A$2:$D$58,4,0)</f>
        <v>Nonthaburi</v>
      </c>
      <c r="E4" s="1">
        <v>353.1593143977359</v>
      </c>
      <c r="F4" s="1">
        <v>375.94378629436403</v>
      </c>
      <c r="G4" s="1">
        <v>368.41864220067225</v>
      </c>
      <c r="H4" s="1">
        <v>398.98371489211365</v>
      </c>
      <c r="I4" s="1">
        <v>366.97798768345865</v>
      </c>
      <c r="J4" s="1">
        <v>426.63503474986948</v>
      </c>
      <c r="K4" s="1">
        <v>460.00672468262184</v>
      </c>
      <c r="L4" s="1">
        <v>428.57701701532233</v>
      </c>
      <c r="M4" s="1">
        <v>317.21745452850445</v>
      </c>
      <c r="N4" s="1">
        <v>440.28688559746985</v>
      </c>
      <c r="O4" s="1">
        <v>368.30758692915435</v>
      </c>
      <c r="P4" s="1">
        <v>356.48585102871391</v>
      </c>
      <c r="R4" s="1">
        <f>VLOOKUP(A4,Actual_RDM!$A$2:$H$63,3,0)</f>
        <v>245.4</v>
      </c>
      <c r="S4" s="1">
        <f>VLOOKUP(A4,Actual_RDM!$A$2:$H$63,4,0)</f>
        <v>714.8</v>
      </c>
      <c r="T4" s="1">
        <f>VLOOKUP(A4,Actual_RDM!$A$2:$H$63,5,0)</f>
        <v>109</v>
      </c>
      <c r="U4" s="1">
        <f>VLOOKUP(A4,Actual_RDM!$A$2:$H$63,6,0)</f>
        <v>282.2</v>
      </c>
      <c r="V4" s="1">
        <f>VLOOKUP(A4,Actual_RDM!$A$2:$H$63,7,0)</f>
        <v>219</v>
      </c>
      <c r="W4" s="1">
        <f>VLOOKUP(A4,Actual_RDM!$A$2:$H$63,8,0)</f>
        <v>210.8</v>
      </c>
      <c r="X4" s="111"/>
      <c r="Y4" s="111"/>
      <c r="Z4" s="111"/>
      <c r="AA4" s="111"/>
      <c r="AB4" s="111"/>
      <c r="AC4" s="111"/>
      <c r="AE4" s="97">
        <f t="shared" si="2"/>
        <v>0.6948705300849719</v>
      </c>
      <c r="AF4" s="97">
        <f t="shared" si="0"/>
        <v>1.9013480899517021</v>
      </c>
      <c r="AG4" s="97">
        <f t="shared" si="0"/>
        <v>0.29585907854421029</v>
      </c>
      <c r="AH4" s="97">
        <f t="shared" si="0"/>
        <v>0.70729703861799897</v>
      </c>
      <c r="AI4" s="97">
        <f t="shared" si="0"/>
        <v>0.59676603870012257</v>
      </c>
      <c r="AJ4" s="97">
        <f t="shared" si="0"/>
        <v>0.49409913117798515</v>
      </c>
      <c r="AK4" s="99">
        <f t="shared" si="0"/>
        <v>0</v>
      </c>
      <c r="AL4" s="99">
        <f t="shared" si="0"/>
        <v>0</v>
      </c>
      <c r="AM4" s="99">
        <f t="shared" si="0"/>
        <v>0</v>
      </c>
      <c r="AN4" s="99">
        <f t="shared" si="0"/>
        <v>0</v>
      </c>
      <c r="AO4" s="99">
        <f t="shared" si="0"/>
        <v>0</v>
      </c>
      <c r="AP4" s="99">
        <f t="shared" si="0"/>
        <v>0</v>
      </c>
      <c r="AQ4" s="97"/>
      <c r="AR4" s="99">
        <f t="shared" si="3"/>
        <v>0.69489999999999996</v>
      </c>
      <c r="AS4" s="99">
        <f t="shared" si="1"/>
        <v>1.9013</v>
      </c>
      <c r="AT4" s="99">
        <f t="shared" si="1"/>
        <v>0.2959</v>
      </c>
      <c r="AU4" s="99">
        <f t="shared" si="1"/>
        <v>0.70730000000000004</v>
      </c>
      <c r="AV4" s="99">
        <f t="shared" si="1"/>
        <v>0.5968</v>
      </c>
      <c r="AW4" s="99">
        <f t="shared" si="1"/>
        <v>0.49409999999999998</v>
      </c>
      <c r="AX4" s="99">
        <f t="shared" si="1"/>
        <v>0</v>
      </c>
      <c r="AY4" s="99">
        <f t="shared" si="1"/>
        <v>0</v>
      </c>
      <c r="AZ4" s="99">
        <f t="shared" si="1"/>
        <v>0</v>
      </c>
      <c r="BA4" s="99">
        <f t="shared" si="1"/>
        <v>0</v>
      </c>
      <c r="BB4" s="99">
        <f t="shared" si="1"/>
        <v>0</v>
      </c>
      <c r="BC4" s="99">
        <f t="shared" si="1"/>
        <v>0</v>
      </c>
      <c r="BD4" s="97"/>
      <c r="BE4" s="1">
        <f>IFERROR(VLOOKUP(AR4,'Top WS'!$A$19:$D$28,4),0)</f>
        <v>200</v>
      </c>
      <c r="BF4" s="1">
        <f>IFERROR(VLOOKUP(AS4,'Top WS'!$A$19:$D$28,4),0)</f>
        <v>260</v>
      </c>
      <c r="BG4" s="1">
        <f>IFERROR(VLOOKUP(AT4,'Top WS'!$A$19:$D$28,4),0)</f>
        <v>200</v>
      </c>
      <c r="BH4" s="1">
        <f>IFERROR(VLOOKUP(AU4,'Top WS'!$A$19:$D$28,4),0)</f>
        <v>200</v>
      </c>
      <c r="BI4" s="1">
        <f>IFERROR(VLOOKUP(AV4,'Top WS'!$A$19:$D$28,4),0)</f>
        <v>200</v>
      </c>
      <c r="BJ4" s="1">
        <f>IFERROR(VLOOKUP(AW4,'Top WS'!$A$19:$D$28,4),0)</f>
        <v>200</v>
      </c>
      <c r="BK4" s="98">
        <f>IFERROR(VLOOKUP(AX4,'Top WS'!$A$19:$D$28,4),0)</f>
        <v>200</v>
      </c>
      <c r="BL4" s="98">
        <f>IFERROR(VLOOKUP(AY4,'Top WS'!$A$19:$D$28,4),0)</f>
        <v>200</v>
      </c>
      <c r="BM4" s="98">
        <f>IFERROR(VLOOKUP(AZ4,'Top WS'!$A$19:$D$28,4),0)</f>
        <v>200</v>
      </c>
      <c r="BN4" s="98">
        <f>IFERROR(VLOOKUP(BA4,'Top WS'!$A$19:$D$28,4),0)</f>
        <v>200</v>
      </c>
      <c r="BO4" s="98">
        <f>IFERROR(VLOOKUP(BB4,'Top WS'!$A$19:$D$28,4),0)</f>
        <v>200</v>
      </c>
      <c r="BP4" s="98">
        <f>IFERROR(VLOOKUP(BC4,'Top WS'!$A$19:$D$28,4),0)</f>
        <v>200</v>
      </c>
    </row>
    <row r="5" spans="1:68" x14ac:dyDescent="0.4">
      <c r="A5">
        <v>1190011412</v>
      </c>
      <c r="B5">
        <f>VLOOKUP(A5,'Aji Plus'!$A$2:$D$58,2,0)</f>
        <v>71043</v>
      </c>
      <c r="C5" t="str">
        <f>VLOOKUP(A5,'Aji Plus'!$A$2:$D$58,3,0)</f>
        <v>นายเสริมโชค อยู่อุดมสุข</v>
      </c>
      <c r="D5" t="str">
        <f>VLOOKUP(A5,'Aji Plus'!$A$2:$D$58,4,0)</f>
        <v>Nonthaburi</v>
      </c>
      <c r="E5" s="1">
        <v>392.33188799645495</v>
      </c>
      <c r="F5" s="1">
        <v>417.64362270590362</v>
      </c>
      <c r="G5" s="1">
        <v>409.28378659409589</v>
      </c>
      <c r="H5" s="1">
        <v>443.23914947679998</v>
      </c>
      <c r="I5" s="1">
        <v>407.68333409674938</v>
      </c>
      <c r="J5" s="1">
        <v>473.95756488625278</v>
      </c>
      <c r="K5" s="1">
        <v>511.03085612671441</v>
      </c>
      <c r="L5" s="1">
        <v>476.11495260788223</v>
      </c>
      <c r="M5" s="1">
        <v>352.40334253348982</v>
      </c>
      <c r="N5" s="1">
        <v>489.12368453630097</v>
      </c>
      <c r="O5" s="1">
        <v>409.16041302706742</v>
      </c>
      <c r="P5" s="1">
        <v>396.02740541228934</v>
      </c>
      <c r="R5" s="1">
        <f>VLOOKUP(A5,Actual_RDM!$A$2:$H$63,3,0)</f>
        <v>424.4</v>
      </c>
      <c r="S5" s="1">
        <f>VLOOKUP(A5,Actual_RDM!$A$2:$H$63,4,0)</f>
        <v>438.4</v>
      </c>
      <c r="T5" s="1">
        <f>VLOOKUP(A5,Actual_RDM!$A$2:$H$63,5,0)</f>
        <v>314.39999999999998</v>
      </c>
      <c r="U5" s="1">
        <f>VLOOKUP(A5,Actual_RDM!$A$2:$H$63,6,0)</f>
        <v>478.20000000000005</v>
      </c>
      <c r="V5" s="1">
        <f>VLOOKUP(A5,Actual_RDM!$A$2:$H$63,7,0)</f>
        <v>313</v>
      </c>
      <c r="W5" s="1">
        <f>VLOOKUP(A5,Actual_RDM!$A$2:$H$63,8,0)</f>
        <v>559.4</v>
      </c>
      <c r="X5" s="111"/>
      <c r="Y5" s="111"/>
      <c r="Z5" s="111"/>
      <c r="AA5" s="111"/>
      <c r="AB5" s="111"/>
      <c r="AC5" s="111"/>
      <c r="AE5" s="97">
        <f t="shared" si="2"/>
        <v>1.0817372051181187</v>
      </c>
      <c r="AF5" s="97">
        <f t="shared" si="0"/>
        <v>1.0496987770568991</v>
      </c>
      <c r="AG5" s="97">
        <f t="shared" si="0"/>
        <v>0.76817115727040464</v>
      </c>
      <c r="AH5" s="97">
        <f t="shared" si="0"/>
        <v>1.0788758180870708</v>
      </c>
      <c r="AI5" s="97">
        <f t="shared" si="0"/>
        <v>0.76775274783668346</v>
      </c>
      <c r="AJ5" s="97">
        <f t="shared" si="0"/>
        <v>1.1802744410973858</v>
      </c>
      <c r="AK5" s="99">
        <f t="shared" si="0"/>
        <v>0</v>
      </c>
      <c r="AL5" s="99">
        <f t="shared" si="0"/>
        <v>0</v>
      </c>
      <c r="AM5" s="99">
        <f t="shared" si="0"/>
        <v>0</v>
      </c>
      <c r="AN5" s="99">
        <f t="shared" si="0"/>
        <v>0</v>
      </c>
      <c r="AO5" s="99">
        <f t="shared" si="0"/>
        <v>0</v>
      </c>
      <c r="AP5" s="99">
        <f t="shared" si="0"/>
        <v>0</v>
      </c>
      <c r="AQ5" s="97"/>
      <c r="AR5" s="99">
        <f t="shared" si="3"/>
        <v>1.0817000000000001</v>
      </c>
      <c r="AS5" s="99">
        <f t="shared" si="1"/>
        <v>1.0497000000000001</v>
      </c>
      <c r="AT5" s="99">
        <f t="shared" si="1"/>
        <v>0.76819999999999999</v>
      </c>
      <c r="AU5" s="99">
        <f t="shared" si="1"/>
        <v>1.0789</v>
      </c>
      <c r="AV5" s="99">
        <f t="shared" si="1"/>
        <v>0.76780000000000004</v>
      </c>
      <c r="AW5" s="99">
        <f t="shared" si="1"/>
        <v>1.1802999999999999</v>
      </c>
      <c r="AX5" s="99">
        <f t="shared" si="1"/>
        <v>0</v>
      </c>
      <c r="AY5" s="99">
        <f t="shared" si="1"/>
        <v>0</v>
      </c>
      <c r="AZ5" s="99">
        <f t="shared" si="1"/>
        <v>0</v>
      </c>
      <c r="BA5" s="99">
        <f t="shared" si="1"/>
        <v>0</v>
      </c>
      <c r="BB5" s="99">
        <f t="shared" si="1"/>
        <v>0</v>
      </c>
      <c r="BC5" s="99">
        <f t="shared" si="1"/>
        <v>0</v>
      </c>
      <c r="BD5" s="97"/>
      <c r="BE5" s="1">
        <f>IFERROR(VLOOKUP(AR5,'Top WS'!$A$19:$D$28,4),0)</f>
        <v>220</v>
      </c>
      <c r="BF5" s="1">
        <f>IFERROR(VLOOKUP(AS5,'Top WS'!$A$19:$D$28,4),0)</f>
        <v>216</v>
      </c>
      <c r="BG5" s="1">
        <f>IFERROR(VLOOKUP(AT5,'Top WS'!$A$19:$D$28,4),0)</f>
        <v>200</v>
      </c>
      <c r="BH5" s="1">
        <f>IFERROR(VLOOKUP(AU5,'Top WS'!$A$19:$D$28,4),0)</f>
        <v>220</v>
      </c>
      <c r="BI5" s="1">
        <f>IFERROR(VLOOKUP(AV5,'Top WS'!$A$19:$D$28,4),0)</f>
        <v>200</v>
      </c>
      <c r="BJ5" s="1">
        <f>IFERROR(VLOOKUP(AW5,'Top WS'!$A$19:$D$28,4),0)</f>
        <v>240</v>
      </c>
      <c r="BK5" s="98">
        <f>IFERROR(VLOOKUP(AX5,'Top WS'!$A$19:$D$28,4),0)</f>
        <v>200</v>
      </c>
      <c r="BL5" s="98">
        <f>IFERROR(VLOOKUP(AY5,'Top WS'!$A$19:$D$28,4),0)</f>
        <v>200</v>
      </c>
      <c r="BM5" s="98">
        <f>IFERROR(VLOOKUP(AZ5,'Top WS'!$A$19:$D$28,4),0)</f>
        <v>200</v>
      </c>
      <c r="BN5" s="98">
        <f>IFERROR(VLOOKUP(BA5,'Top WS'!$A$19:$D$28,4),0)</f>
        <v>200</v>
      </c>
      <c r="BO5" s="98">
        <f>IFERROR(VLOOKUP(BB5,'Top WS'!$A$19:$D$28,4),0)</f>
        <v>200</v>
      </c>
      <c r="BP5" s="98">
        <f>IFERROR(VLOOKUP(BC5,'Top WS'!$A$19:$D$28,4),0)</f>
        <v>200</v>
      </c>
    </row>
    <row r="6" spans="1:68" x14ac:dyDescent="0.4">
      <c r="A6">
        <v>1190011501</v>
      </c>
      <c r="B6">
        <f>VLOOKUP(A6,'Aji Plus'!$A$2:$D$58,2,0)</f>
        <v>71637</v>
      </c>
      <c r="C6" t="str">
        <f>VLOOKUP(A6,'Aji Plus'!$A$2:$D$58,3,0)</f>
        <v>นายพณิชพงศ์ แจ้งธีรภูสิทธิ์</v>
      </c>
      <c r="D6" t="str">
        <f>VLOOKUP(A6,'Aji Plus'!$A$2:$D$58,4,0)</f>
        <v>Pattanakarn</v>
      </c>
      <c r="E6" s="1">
        <v>2144.8283448361526</v>
      </c>
      <c r="F6" s="1">
        <v>1600.7721377499429</v>
      </c>
      <c r="G6" s="1">
        <v>2484.1346273264389</v>
      </c>
      <c r="H6" s="1">
        <v>2047.8356368539653</v>
      </c>
      <c r="I6" s="1">
        <v>1627.6834093288157</v>
      </c>
      <c r="J6" s="1">
        <v>3764.326242393061</v>
      </c>
      <c r="K6" s="1">
        <v>3334.7550698153059</v>
      </c>
      <c r="L6" s="1">
        <v>3191.4525486578086</v>
      </c>
      <c r="M6" s="1">
        <v>2463.166261554567</v>
      </c>
      <c r="N6" s="1">
        <v>2356.081826730303</v>
      </c>
      <c r="O6" s="1">
        <v>3468.6386459201981</v>
      </c>
      <c r="P6" s="1">
        <v>3116.3252488334556</v>
      </c>
      <c r="R6" s="1">
        <f>VLOOKUP(A6,Actual_RDM!$A$2:$H$63,3,0)</f>
        <v>2568.2000000000003</v>
      </c>
      <c r="S6" s="1">
        <f>VLOOKUP(A6,Actual_RDM!$A$2:$H$63,4,0)</f>
        <v>1641.5999999999997</v>
      </c>
      <c r="T6" s="1">
        <f>VLOOKUP(A6,Actual_RDM!$A$2:$H$63,5,0)</f>
        <v>2115</v>
      </c>
      <c r="U6" s="1">
        <f>VLOOKUP(A6,Actual_RDM!$A$2:$H$63,6,0)</f>
        <v>1951.7999999999997</v>
      </c>
      <c r="V6" s="1">
        <f>VLOOKUP(A6,Actual_RDM!$A$2:$H$63,7,0)</f>
        <v>1885.7999999999997</v>
      </c>
      <c r="W6" s="1">
        <f>VLOOKUP(A6,Actual_RDM!$A$2:$H$63,8,0)</f>
        <v>2177</v>
      </c>
      <c r="X6" s="111"/>
      <c r="Y6" s="111"/>
      <c r="Z6" s="111"/>
      <c r="AA6" s="111"/>
      <c r="AB6" s="111"/>
      <c r="AC6" s="111"/>
      <c r="AE6" s="97">
        <f t="shared" si="2"/>
        <v>1.1973918594386115</v>
      </c>
      <c r="AF6" s="97">
        <f t="shared" si="0"/>
        <v>1.0255051054970539</v>
      </c>
      <c r="AG6" s="97">
        <f t="shared" si="0"/>
        <v>0.85140313118869815</v>
      </c>
      <c r="AH6" s="97">
        <f t="shared" si="0"/>
        <v>0.95310383551997246</v>
      </c>
      <c r="AI6" s="97">
        <f t="shared" si="0"/>
        <v>1.1585791126160214</v>
      </c>
      <c r="AJ6" s="97">
        <f t="shared" si="0"/>
        <v>0.57832394426473399</v>
      </c>
      <c r="AK6" s="99">
        <f t="shared" si="0"/>
        <v>0</v>
      </c>
      <c r="AL6" s="99">
        <f t="shared" si="0"/>
        <v>0</v>
      </c>
      <c r="AM6" s="99">
        <f t="shared" si="0"/>
        <v>0</v>
      </c>
      <c r="AN6" s="99">
        <f t="shared" si="0"/>
        <v>0</v>
      </c>
      <c r="AO6" s="99">
        <f t="shared" si="0"/>
        <v>0</v>
      </c>
      <c r="AP6" s="99">
        <f t="shared" si="0"/>
        <v>0</v>
      </c>
      <c r="AQ6" s="97"/>
      <c r="AR6" s="99">
        <f t="shared" si="3"/>
        <v>1.1974</v>
      </c>
      <c r="AS6" s="99">
        <f t="shared" si="1"/>
        <v>1.0255000000000001</v>
      </c>
      <c r="AT6" s="99">
        <f t="shared" si="1"/>
        <v>0.85140000000000005</v>
      </c>
      <c r="AU6" s="99">
        <f t="shared" si="1"/>
        <v>0.95309999999999995</v>
      </c>
      <c r="AV6" s="99">
        <f t="shared" si="1"/>
        <v>1.1586000000000001</v>
      </c>
      <c r="AW6" s="99">
        <f t="shared" si="1"/>
        <v>0.57830000000000004</v>
      </c>
      <c r="AX6" s="99">
        <f t="shared" si="1"/>
        <v>0</v>
      </c>
      <c r="AY6" s="99">
        <f t="shared" si="1"/>
        <v>0</v>
      </c>
      <c r="AZ6" s="99">
        <f t="shared" si="1"/>
        <v>0</v>
      </c>
      <c r="BA6" s="99">
        <f t="shared" si="1"/>
        <v>0</v>
      </c>
      <c r="BB6" s="99">
        <f t="shared" si="1"/>
        <v>0</v>
      </c>
      <c r="BC6" s="99">
        <f t="shared" si="1"/>
        <v>0</v>
      </c>
      <c r="BD6" s="97"/>
      <c r="BE6" s="1">
        <f>IFERROR(VLOOKUP(AR6,'Top WS'!$A$19:$D$28,4),0)</f>
        <v>240</v>
      </c>
      <c r="BF6" s="1">
        <f>IFERROR(VLOOKUP(AS6,'Top WS'!$A$19:$D$28,4),0)</f>
        <v>206</v>
      </c>
      <c r="BG6" s="1">
        <f>IFERROR(VLOOKUP(AT6,'Top WS'!$A$19:$D$28,4),0)</f>
        <v>200</v>
      </c>
      <c r="BH6" s="1">
        <f>IFERROR(VLOOKUP(AU6,'Top WS'!$A$19:$D$28,4),0)</f>
        <v>200</v>
      </c>
      <c r="BI6" s="1">
        <f>IFERROR(VLOOKUP(AV6,'Top WS'!$A$19:$D$28,4),0)</f>
        <v>240</v>
      </c>
      <c r="BJ6" s="1">
        <f>IFERROR(VLOOKUP(AW6,'Top WS'!$A$19:$D$28,4),0)</f>
        <v>200</v>
      </c>
      <c r="BK6" s="98">
        <f>IFERROR(VLOOKUP(AX6,'Top WS'!$A$19:$D$28,4),0)</f>
        <v>200</v>
      </c>
      <c r="BL6" s="98">
        <f>IFERROR(VLOOKUP(AY6,'Top WS'!$A$19:$D$28,4),0)</f>
        <v>200</v>
      </c>
      <c r="BM6" s="98">
        <f>IFERROR(VLOOKUP(AZ6,'Top WS'!$A$19:$D$28,4),0)</f>
        <v>200</v>
      </c>
      <c r="BN6" s="98">
        <f>IFERROR(VLOOKUP(BA6,'Top WS'!$A$19:$D$28,4),0)</f>
        <v>200</v>
      </c>
      <c r="BO6" s="98">
        <f>IFERROR(VLOOKUP(BB6,'Top WS'!$A$19:$D$28,4),0)</f>
        <v>200</v>
      </c>
      <c r="BP6" s="98">
        <f>IFERROR(VLOOKUP(BC6,'Top WS'!$A$19:$D$28,4),0)</f>
        <v>200</v>
      </c>
    </row>
    <row r="7" spans="1:68" x14ac:dyDescent="0.4">
      <c r="A7">
        <v>1190011701</v>
      </c>
      <c r="B7">
        <f>VLOOKUP(A7,'Aji Plus'!$A$2:$D$58,2,0)</f>
        <v>29698</v>
      </c>
      <c r="C7" t="str">
        <f>VLOOKUP(A7,'Aji Plus'!$A$2:$D$58,3,0)</f>
        <v>นายพูลทวี เกษรบัว</v>
      </c>
      <c r="D7" t="str">
        <f>VLOOKUP(A7,'Aji Plus'!$A$2:$D$58,4,0)</f>
        <v>Bangpoo</v>
      </c>
      <c r="E7" s="1">
        <v>1120</v>
      </c>
      <c r="F7" s="1">
        <v>1186</v>
      </c>
      <c r="G7" s="1">
        <v>1189</v>
      </c>
      <c r="H7" s="1">
        <v>1100</v>
      </c>
      <c r="I7" s="1">
        <v>1250</v>
      </c>
      <c r="J7" s="1">
        <v>1135</v>
      </c>
      <c r="K7" s="1">
        <v>1250</v>
      </c>
      <c r="L7" s="1">
        <v>1120</v>
      </c>
      <c r="M7" s="1">
        <v>1250</v>
      </c>
      <c r="N7" s="1">
        <v>1210</v>
      </c>
      <c r="O7" s="1">
        <v>1200</v>
      </c>
      <c r="P7" s="1">
        <v>1230</v>
      </c>
      <c r="R7" s="1">
        <f>VLOOKUP(A7,Actual_RDM!$A$2:$H$63,3,0)</f>
        <v>879.3</v>
      </c>
      <c r="S7" s="1">
        <f>VLOOKUP(A7,Actual_RDM!$A$2:$H$63,4,0)</f>
        <v>1087.3999999999999</v>
      </c>
      <c r="T7" s="1">
        <f>VLOOKUP(A7,Actual_RDM!$A$2:$H$63,5,0)</f>
        <v>811.5</v>
      </c>
      <c r="U7" s="1">
        <f>VLOOKUP(A7,Actual_RDM!$A$2:$H$63,6,0)</f>
        <v>937.9</v>
      </c>
      <c r="V7" s="1">
        <f>VLOOKUP(A7,Actual_RDM!$A$2:$H$63,7,0)</f>
        <v>1149.8</v>
      </c>
      <c r="W7" s="1">
        <f>VLOOKUP(A7,Actual_RDM!$A$2:$H$63,8,0)</f>
        <v>798.2</v>
      </c>
      <c r="X7" s="111"/>
      <c r="Y7" s="111"/>
      <c r="Z7" s="111"/>
      <c r="AA7" s="111"/>
      <c r="AB7" s="111"/>
      <c r="AC7" s="111"/>
      <c r="AE7" s="97">
        <f t="shared" si="2"/>
        <v>0.78508928571428571</v>
      </c>
      <c r="AF7" s="97">
        <f t="shared" si="0"/>
        <v>0.91686340640809427</v>
      </c>
      <c r="AG7" s="97">
        <f t="shared" si="0"/>
        <v>0.68250630782169885</v>
      </c>
      <c r="AH7" s="97">
        <f t="shared" si="0"/>
        <v>0.85263636363636364</v>
      </c>
      <c r="AI7" s="97">
        <f t="shared" si="0"/>
        <v>0.91983999999999999</v>
      </c>
      <c r="AJ7" s="97">
        <f t="shared" si="0"/>
        <v>0.70325991189427317</v>
      </c>
      <c r="AK7" s="99">
        <f t="shared" si="0"/>
        <v>0</v>
      </c>
      <c r="AL7" s="99">
        <f t="shared" si="0"/>
        <v>0</v>
      </c>
      <c r="AM7" s="99">
        <f t="shared" si="0"/>
        <v>0</v>
      </c>
      <c r="AN7" s="99">
        <f t="shared" si="0"/>
        <v>0</v>
      </c>
      <c r="AO7" s="99">
        <f t="shared" si="0"/>
        <v>0</v>
      </c>
      <c r="AP7" s="99">
        <f t="shared" si="0"/>
        <v>0</v>
      </c>
      <c r="AQ7" s="97"/>
      <c r="AR7" s="99">
        <f t="shared" si="3"/>
        <v>0.78510000000000002</v>
      </c>
      <c r="AS7" s="99">
        <f t="shared" si="1"/>
        <v>0.91690000000000005</v>
      </c>
      <c r="AT7" s="99">
        <f t="shared" si="1"/>
        <v>0.6825</v>
      </c>
      <c r="AU7" s="99">
        <f t="shared" si="1"/>
        <v>0.85260000000000002</v>
      </c>
      <c r="AV7" s="99">
        <f t="shared" si="1"/>
        <v>0.91979999999999995</v>
      </c>
      <c r="AW7" s="99">
        <f t="shared" si="1"/>
        <v>0.70330000000000004</v>
      </c>
      <c r="AX7" s="99">
        <f t="shared" si="1"/>
        <v>0</v>
      </c>
      <c r="AY7" s="99">
        <f t="shared" si="1"/>
        <v>0</v>
      </c>
      <c r="AZ7" s="99">
        <f t="shared" si="1"/>
        <v>0</v>
      </c>
      <c r="BA7" s="99">
        <f t="shared" si="1"/>
        <v>0</v>
      </c>
      <c r="BB7" s="99">
        <f t="shared" si="1"/>
        <v>0</v>
      </c>
      <c r="BC7" s="99">
        <f t="shared" si="1"/>
        <v>0</v>
      </c>
      <c r="BD7" s="97"/>
      <c r="BE7" s="1">
        <f>IFERROR(VLOOKUP(AR7,'Top WS'!$A$19:$D$28,4),0)</f>
        <v>200</v>
      </c>
      <c r="BF7" s="1">
        <f>IFERROR(VLOOKUP(AS7,'Top WS'!$A$19:$D$28,4),0)</f>
        <v>200</v>
      </c>
      <c r="BG7" s="1">
        <f>IFERROR(VLOOKUP(AT7,'Top WS'!$A$19:$D$28,4),0)</f>
        <v>200</v>
      </c>
      <c r="BH7" s="1">
        <f>IFERROR(VLOOKUP(AU7,'Top WS'!$A$19:$D$28,4),0)</f>
        <v>200</v>
      </c>
      <c r="BI7" s="1">
        <f>IFERROR(VLOOKUP(AV7,'Top WS'!$A$19:$D$28,4),0)</f>
        <v>200</v>
      </c>
      <c r="BJ7" s="1">
        <f>IFERROR(VLOOKUP(AW7,'Top WS'!$A$19:$D$28,4),0)</f>
        <v>200</v>
      </c>
      <c r="BK7" s="98">
        <f>IFERROR(VLOOKUP(AX7,'Top WS'!$A$19:$D$28,4),0)</f>
        <v>200</v>
      </c>
      <c r="BL7" s="98">
        <f>IFERROR(VLOOKUP(AY7,'Top WS'!$A$19:$D$28,4),0)</f>
        <v>200</v>
      </c>
      <c r="BM7" s="98">
        <f>IFERROR(VLOOKUP(AZ7,'Top WS'!$A$19:$D$28,4),0)</f>
        <v>200</v>
      </c>
      <c r="BN7" s="98">
        <f>IFERROR(VLOOKUP(BA7,'Top WS'!$A$19:$D$28,4),0)</f>
        <v>200</v>
      </c>
      <c r="BO7" s="98">
        <f>IFERROR(VLOOKUP(BB7,'Top WS'!$A$19:$D$28,4),0)</f>
        <v>200</v>
      </c>
      <c r="BP7" s="98">
        <f>IFERROR(VLOOKUP(BC7,'Top WS'!$A$19:$D$28,4),0)</f>
        <v>200</v>
      </c>
    </row>
    <row r="8" spans="1:68" x14ac:dyDescent="0.4">
      <c r="A8">
        <v>1190011801</v>
      </c>
      <c r="B8">
        <f>VLOOKUP(A8,'Aji Plus'!$A$2:$D$58,2,0)</f>
        <v>28236</v>
      </c>
      <c r="C8" t="str">
        <f>VLOOKUP(A8,'Aji Plus'!$A$2:$D$58,3,0)</f>
        <v>นายประวิทย์ ธารีบุญ</v>
      </c>
      <c r="D8" t="str">
        <f>VLOOKUP(A8,'Aji Plus'!$A$2:$D$58,4,0)</f>
        <v>Ramindra</v>
      </c>
      <c r="E8" s="1">
        <v>135.59290043918551</v>
      </c>
      <c r="F8" s="1">
        <v>220.73536350767665</v>
      </c>
      <c r="G8" s="1">
        <v>177.69373162498638</v>
      </c>
      <c r="H8" s="1">
        <v>269.18659939748107</v>
      </c>
      <c r="I8" s="1">
        <v>249.31218467569238</v>
      </c>
      <c r="J8" s="1">
        <v>1232.5665130122318</v>
      </c>
      <c r="K8" s="1">
        <v>278.24180610504158</v>
      </c>
      <c r="L8" s="1">
        <v>174.28332909876229</v>
      </c>
      <c r="M8" s="1">
        <v>88.788065768937599</v>
      </c>
      <c r="N8" s="1">
        <v>158.05451707742006</v>
      </c>
      <c r="O8" s="1">
        <v>73.500054444484775</v>
      </c>
      <c r="P8" s="1">
        <v>182.0449348480999</v>
      </c>
      <c r="R8" s="1">
        <f>VLOOKUP(A8,Actual_RDM!$A$2:$H$63,3,0)</f>
        <v>151.00000000000003</v>
      </c>
      <c r="S8" s="1">
        <f>VLOOKUP(A8,Actual_RDM!$A$2:$H$63,4,0)</f>
        <v>287.2</v>
      </c>
      <c r="T8" s="1">
        <f>VLOOKUP(A8,Actual_RDM!$A$2:$H$63,5,0)</f>
        <v>129.9</v>
      </c>
      <c r="U8" s="1">
        <f>VLOOKUP(A8,Actual_RDM!$A$2:$H$63,6,0)</f>
        <v>386.4</v>
      </c>
      <c r="V8" s="1">
        <f>VLOOKUP(A8,Actual_RDM!$A$2:$H$63,7,0)</f>
        <v>121.5</v>
      </c>
      <c r="W8" s="1">
        <f>VLOOKUP(A8,Actual_RDM!$A$2:$H$63,8,0)</f>
        <v>800.09999999999991</v>
      </c>
      <c r="X8" s="111"/>
      <c r="Y8" s="111"/>
      <c r="Z8" s="111"/>
      <c r="AA8" s="111"/>
      <c r="AB8" s="111"/>
      <c r="AC8" s="111"/>
      <c r="AE8" s="97">
        <f t="shared" si="2"/>
        <v>1.1136276273382375</v>
      </c>
      <c r="AF8" s="97">
        <f t="shared" si="0"/>
        <v>1.301105520366753</v>
      </c>
      <c r="AG8" s="97">
        <f t="shared" si="0"/>
        <v>0.73103310292423462</v>
      </c>
      <c r="AH8" s="97">
        <f t="shared" si="0"/>
        <v>1.4354354966587379</v>
      </c>
      <c r="AI8" s="97">
        <f t="shared" si="0"/>
        <v>0.48734080188679241</v>
      </c>
      <c r="AJ8" s="97">
        <f t="shared" si="0"/>
        <v>0.64913332591249773</v>
      </c>
      <c r="AK8" s="99">
        <f t="shared" si="0"/>
        <v>0</v>
      </c>
      <c r="AL8" s="99">
        <f t="shared" si="0"/>
        <v>0</v>
      </c>
      <c r="AM8" s="99">
        <f t="shared" si="0"/>
        <v>0</v>
      </c>
      <c r="AN8" s="99">
        <f t="shared" si="0"/>
        <v>0</v>
      </c>
      <c r="AO8" s="99">
        <f t="shared" si="0"/>
        <v>0</v>
      </c>
      <c r="AP8" s="99">
        <f t="shared" si="0"/>
        <v>0</v>
      </c>
      <c r="AQ8" s="97"/>
      <c r="AR8" s="99">
        <f t="shared" si="3"/>
        <v>1.1135999999999999</v>
      </c>
      <c r="AS8" s="99">
        <f t="shared" si="1"/>
        <v>1.3010999999999999</v>
      </c>
      <c r="AT8" s="99">
        <f t="shared" si="1"/>
        <v>0.73099999999999998</v>
      </c>
      <c r="AU8" s="99">
        <f t="shared" si="1"/>
        <v>1.4354</v>
      </c>
      <c r="AV8" s="99">
        <f t="shared" si="1"/>
        <v>0.48730000000000001</v>
      </c>
      <c r="AW8" s="99">
        <f t="shared" si="1"/>
        <v>0.64910000000000001</v>
      </c>
      <c r="AX8" s="99">
        <f t="shared" si="1"/>
        <v>0</v>
      </c>
      <c r="AY8" s="99">
        <f t="shared" si="1"/>
        <v>0</v>
      </c>
      <c r="AZ8" s="99">
        <f t="shared" si="1"/>
        <v>0</v>
      </c>
      <c r="BA8" s="99">
        <f t="shared" si="1"/>
        <v>0</v>
      </c>
      <c r="BB8" s="99">
        <f t="shared" si="1"/>
        <v>0</v>
      </c>
      <c r="BC8" s="99">
        <f t="shared" si="1"/>
        <v>0</v>
      </c>
      <c r="BD8" s="97"/>
      <c r="BE8" s="1">
        <f>IFERROR(VLOOKUP(AR8,'Top WS'!$A$19:$D$28,4),0)</f>
        <v>230</v>
      </c>
      <c r="BF8" s="1">
        <f>IFERROR(VLOOKUP(AS8,'Top WS'!$A$19:$D$28,4),0)</f>
        <v>260</v>
      </c>
      <c r="BG8" s="1">
        <f>IFERROR(VLOOKUP(AT8,'Top WS'!$A$19:$D$28,4),0)</f>
        <v>200</v>
      </c>
      <c r="BH8" s="1">
        <f>IFERROR(VLOOKUP(AU8,'Top WS'!$A$19:$D$28,4),0)</f>
        <v>260</v>
      </c>
      <c r="BI8" s="1">
        <f>IFERROR(VLOOKUP(AV8,'Top WS'!$A$19:$D$28,4),0)</f>
        <v>200</v>
      </c>
      <c r="BJ8" s="1">
        <f>IFERROR(VLOOKUP(AW8,'Top WS'!$A$19:$D$28,4),0)</f>
        <v>200</v>
      </c>
      <c r="BK8" s="98">
        <f>IFERROR(VLOOKUP(AX8,'Top WS'!$A$19:$D$28,4),0)</f>
        <v>200</v>
      </c>
      <c r="BL8" s="98">
        <f>IFERROR(VLOOKUP(AY8,'Top WS'!$A$19:$D$28,4),0)</f>
        <v>200</v>
      </c>
      <c r="BM8" s="98">
        <f>IFERROR(VLOOKUP(AZ8,'Top WS'!$A$19:$D$28,4),0)</f>
        <v>200</v>
      </c>
      <c r="BN8" s="98">
        <f>IFERROR(VLOOKUP(BA8,'Top WS'!$A$19:$D$28,4),0)</f>
        <v>200</v>
      </c>
      <c r="BO8" s="98">
        <f>IFERROR(VLOOKUP(BB8,'Top WS'!$A$19:$D$28,4),0)</f>
        <v>200</v>
      </c>
      <c r="BP8" s="98">
        <f>IFERROR(VLOOKUP(BC8,'Top WS'!$A$19:$D$28,4),0)</f>
        <v>200</v>
      </c>
    </row>
    <row r="9" spans="1:68" x14ac:dyDescent="0.4">
      <c r="A9">
        <v>1190017001</v>
      </c>
      <c r="B9">
        <f>VLOOKUP(A9,'Aji Plus'!$A$2:$D$58,2,0)</f>
        <v>77683</v>
      </c>
      <c r="C9" t="str">
        <f>VLOOKUP(A9,'Aji Plus'!$A$2:$D$58,3,0)</f>
        <v>นายสุพัชธณคุณ ชลมงคล</v>
      </c>
      <c r="D9" t="str">
        <f>VLOOKUP(A9,'Aji Plus'!$A$2:$D$58,4,0)</f>
        <v>Pathumthani</v>
      </c>
      <c r="E9" s="1">
        <v>4260.8096483846675</v>
      </c>
      <c r="F9" s="1">
        <v>2671.7870031679586</v>
      </c>
      <c r="G9" s="1">
        <v>4013.3121835915422</v>
      </c>
      <c r="H9" s="1">
        <v>3728.7642001168092</v>
      </c>
      <c r="I9" s="1">
        <v>2485.3487931621185</v>
      </c>
      <c r="J9" s="1">
        <v>3070.1541800325849</v>
      </c>
      <c r="K9" s="1">
        <v>5205.4496726908919</v>
      </c>
      <c r="L9" s="1">
        <v>5275.4010519617632</v>
      </c>
      <c r="M9" s="1">
        <v>1821.1070942382894</v>
      </c>
      <c r="N9" s="1">
        <v>2864.4497003123088</v>
      </c>
      <c r="O9" s="1">
        <v>2934.6974837326338</v>
      </c>
      <c r="P9" s="1">
        <v>1432.8176584550599</v>
      </c>
      <c r="R9" s="1">
        <f>VLOOKUP(A9,Actual_RDM!$A$2:$H$63,3,0)</f>
        <v>1953.2999999999997</v>
      </c>
      <c r="S9" s="1">
        <f>VLOOKUP(A9,Actual_RDM!$A$2:$H$63,4,0)</f>
        <v>2885.1000000000004</v>
      </c>
      <c r="T9" s="1">
        <f>VLOOKUP(A9,Actual_RDM!$A$2:$H$63,5,0)</f>
        <v>1150.8000000000002</v>
      </c>
      <c r="U9" s="1">
        <f>VLOOKUP(A9,Actual_RDM!$A$2:$H$63,6,0)</f>
        <v>1282.9000000000001</v>
      </c>
      <c r="V9" s="1">
        <f>VLOOKUP(A9,Actual_RDM!$A$2:$H$63,7,0)</f>
        <v>1408</v>
      </c>
      <c r="W9" s="1">
        <f>VLOOKUP(A9,Actual_RDM!$A$2:$H$63,8,0)</f>
        <v>1512.6</v>
      </c>
      <c r="X9" s="111"/>
      <c r="Y9" s="111"/>
      <c r="Z9" s="111"/>
      <c r="AA9" s="111"/>
      <c r="AB9" s="111"/>
      <c r="AC9" s="111"/>
      <c r="AE9" s="97">
        <f t="shared" si="2"/>
        <v>0.45843399757145287</v>
      </c>
      <c r="AF9" s="97">
        <f t="shared" si="0"/>
        <v>1.0798390727176661</v>
      </c>
      <c r="AG9" s="97">
        <f t="shared" si="0"/>
        <v>0.28674569715883425</v>
      </c>
      <c r="AH9" s="97">
        <f t="shared" si="0"/>
        <v>0.34405500888466245</v>
      </c>
      <c r="AI9" s="97">
        <f t="shared" si="0"/>
        <v>0.56652008115472452</v>
      </c>
      <c r="AJ9" s="97">
        <f t="shared" si="0"/>
        <v>0.49267883998709994</v>
      </c>
      <c r="AK9" s="99">
        <f t="shared" si="0"/>
        <v>0</v>
      </c>
      <c r="AL9" s="99">
        <f t="shared" si="0"/>
        <v>0</v>
      </c>
      <c r="AM9" s="99">
        <f t="shared" si="0"/>
        <v>0</v>
      </c>
      <c r="AN9" s="99">
        <f t="shared" si="0"/>
        <v>0</v>
      </c>
      <c r="AO9" s="99">
        <f t="shared" si="0"/>
        <v>0</v>
      </c>
      <c r="AP9" s="99">
        <f t="shared" si="0"/>
        <v>0</v>
      </c>
      <c r="AQ9" s="97"/>
      <c r="AR9" s="99">
        <f t="shared" si="3"/>
        <v>0.45839999999999997</v>
      </c>
      <c r="AS9" s="99">
        <f t="shared" si="1"/>
        <v>1.0798000000000001</v>
      </c>
      <c r="AT9" s="99">
        <f t="shared" si="1"/>
        <v>0.28670000000000001</v>
      </c>
      <c r="AU9" s="99">
        <f t="shared" si="1"/>
        <v>0.34410000000000002</v>
      </c>
      <c r="AV9" s="99">
        <f t="shared" si="1"/>
        <v>0.5665</v>
      </c>
      <c r="AW9" s="99">
        <f t="shared" si="1"/>
        <v>0.49270000000000003</v>
      </c>
      <c r="AX9" s="99">
        <f t="shared" si="1"/>
        <v>0</v>
      </c>
      <c r="AY9" s="99">
        <f t="shared" si="1"/>
        <v>0</v>
      </c>
      <c r="AZ9" s="99">
        <f t="shared" si="1"/>
        <v>0</v>
      </c>
      <c r="BA9" s="99">
        <f t="shared" si="1"/>
        <v>0</v>
      </c>
      <c r="BB9" s="99">
        <f t="shared" si="1"/>
        <v>0</v>
      </c>
      <c r="BC9" s="99">
        <f t="shared" si="1"/>
        <v>0</v>
      </c>
      <c r="BD9" s="97"/>
      <c r="BE9" s="117">
        <f>IFERROR(VLOOKUP(AR9,'Top WS'!$A$19:$D$28,4),0)</f>
        <v>200</v>
      </c>
      <c r="BF9" s="117">
        <f>IFERROR(VLOOKUP(AS9,'Top WS'!$A$19:$D$28,4),0)</f>
        <v>220</v>
      </c>
      <c r="BG9" s="117">
        <f>IFERROR(VLOOKUP(AT9,'Top WS'!$A$19:$D$28,4),0)</f>
        <v>200</v>
      </c>
      <c r="BH9" s="117">
        <f>IFERROR(VLOOKUP(AU9,'Top WS'!$A$19:$D$28,4),0)</f>
        <v>200</v>
      </c>
      <c r="BI9" s="117">
        <f>IFERROR(VLOOKUP(AV9,'Top WS'!$A$19:$D$28,4),0)</f>
        <v>200</v>
      </c>
      <c r="BJ9" s="117">
        <f>IFERROR(VLOOKUP(AW9,'Top WS'!$A$19:$D$28,4),0)</f>
        <v>200</v>
      </c>
      <c r="BK9" s="117">
        <f>IFERROR(VLOOKUP(AX9,'Top WS'!$A$19:$D$28,4),0)</f>
        <v>200</v>
      </c>
      <c r="BL9" s="117">
        <f>IFERROR(VLOOKUP(AY9,'Top WS'!$A$19:$D$28,4),0)</f>
        <v>200</v>
      </c>
      <c r="BM9" s="117">
        <f>IFERROR(VLOOKUP(AZ9,'Top WS'!$A$19:$D$28,4),0)</f>
        <v>200</v>
      </c>
      <c r="BN9" s="117">
        <f>IFERROR(VLOOKUP(BA9,'Top WS'!$A$19:$D$28,4),0)</f>
        <v>200</v>
      </c>
      <c r="BO9" s="117">
        <f>IFERROR(VLOOKUP(BB9,'Top WS'!$A$19:$D$28,4),0)</f>
        <v>200</v>
      </c>
      <c r="BP9" s="117">
        <f>IFERROR(VLOOKUP(BC9,'Top WS'!$A$19:$D$28,4),0)</f>
        <v>200</v>
      </c>
    </row>
    <row r="10" spans="1:68" x14ac:dyDescent="0.4">
      <c r="A10">
        <v>1190017013</v>
      </c>
      <c r="B10">
        <f>VLOOKUP(A10,'Aji Plus'!$A$2:$D$58,2,0)</f>
        <v>76289</v>
      </c>
      <c r="C10" t="str">
        <f>VLOOKUP(A10,'Aji Plus'!$A$2:$D$58,3,0)</f>
        <v>นายเธียรกวิน ใจผ่อง</v>
      </c>
      <c r="D10" t="str">
        <f>VLOOKUP(A10,'Aji Plus'!$A$2:$D$58,4,0)</f>
        <v>Pathumthani</v>
      </c>
      <c r="E10" s="1">
        <v>347.62465314384588</v>
      </c>
      <c r="F10" s="1">
        <v>217.98181728268716</v>
      </c>
      <c r="G10" s="1">
        <v>327.43219503079479</v>
      </c>
      <c r="H10" s="1">
        <v>304.21691384692747</v>
      </c>
      <c r="I10" s="1">
        <v>202.77097159034079</v>
      </c>
      <c r="J10" s="1">
        <v>250.48321094010137</v>
      </c>
      <c r="K10" s="1">
        <v>424.69455015737213</v>
      </c>
      <c r="L10" s="1">
        <v>430.40164011507284</v>
      </c>
      <c r="M10" s="1">
        <v>148.57779957675061</v>
      </c>
      <c r="N10" s="1">
        <v>233.70049725093062</v>
      </c>
      <c r="O10" s="1">
        <v>239.43176979319787</v>
      </c>
      <c r="P10" s="1">
        <v>116.89861379459836</v>
      </c>
      <c r="R10" s="1">
        <f>VLOOKUP(A10,Actual_RDM!$A$2:$H$63,3,0)</f>
        <v>408.30000000000007</v>
      </c>
      <c r="S10" s="1">
        <f>VLOOKUP(A10,Actual_RDM!$A$2:$H$63,4,0)</f>
        <v>394</v>
      </c>
      <c r="T10" s="1">
        <f>VLOOKUP(A10,Actual_RDM!$A$2:$H$63,5,0)</f>
        <v>138.30000000000001</v>
      </c>
      <c r="U10" s="1">
        <f>VLOOKUP(A10,Actual_RDM!$A$2:$H$63,6,0)</f>
        <v>353.7</v>
      </c>
      <c r="V10" s="1">
        <f>VLOOKUP(A10,Actual_RDM!$A$2:$H$63,7,0)</f>
        <v>463.4</v>
      </c>
      <c r="W10" s="1">
        <f>VLOOKUP(A10,Actual_RDM!$A$2:$H$63,8,0)</f>
        <v>363.29999999999995</v>
      </c>
      <c r="X10" s="111"/>
      <c r="Y10" s="111"/>
      <c r="Z10" s="111"/>
      <c r="AA10" s="111"/>
      <c r="AB10" s="111"/>
      <c r="AC10" s="111"/>
      <c r="AE10" s="97">
        <f t="shared" si="2"/>
        <v>1.1745427037680407</v>
      </c>
      <c r="AF10" s="97">
        <f t="shared" si="0"/>
        <v>1.8074902068049361</v>
      </c>
      <c r="AG10" s="97">
        <f t="shared" si="0"/>
        <v>0.42237752456502631</v>
      </c>
      <c r="AH10" s="97">
        <f t="shared" si="0"/>
        <v>1.1626572484985858</v>
      </c>
      <c r="AI10" s="97">
        <f t="shared" si="0"/>
        <v>2.285336980759797</v>
      </c>
      <c r="AJ10" s="97">
        <f t="shared" si="0"/>
        <v>1.4503966099623209</v>
      </c>
      <c r="AK10" s="99">
        <f t="shared" si="0"/>
        <v>0</v>
      </c>
      <c r="AL10" s="99">
        <f t="shared" si="0"/>
        <v>0</v>
      </c>
      <c r="AM10" s="99">
        <f t="shared" si="0"/>
        <v>0</v>
      </c>
      <c r="AN10" s="99">
        <f t="shared" si="0"/>
        <v>0</v>
      </c>
      <c r="AO10" s="99">
        <f t="shared" si="0"/>
        <v>0</v>
      </c>
      <c r="AP10" s="99">
        <f t="shared" si="0"/>
        <v>0</v>
      </c>
      <c r="AQ10" s="97"/>
      <c r="AR10" s="99">
        <f t="shared" si="3"/>
        <v>1.1745000000000001</v>
      </c>
      <c r="AS10" s="99">
        <f t="shared" si="1"/>
        <v>1.8075000000000001</v>
      </c>
      <c r="AT10" s="99">
        <f t="shared" si="1"/>
        <v>0.4224</v>
      </c>
      <c r="AU10" s="99">
        <f t="shared" si="1"/>
        <v>1.1627000000000001</v>
      </c>
      <c r="AV10" s="99">
        <f t="shared" si="1"/>
        <v>2.2852999999999999</v>
      </c>
      <c r="AW10" s="99">
        <f t="shared" si="1"/>
        <v>1.4503999999999999</v>
      </c>
      <c r="AX10" s="99">
        <f t="shared" si="1"/>
        <v>0</v>
      </c>
      <c r="AY10" s="99">
        <f t="shared" si="1"/>
        <v>0</v>
      </c>
      <c r="AZ10" s="99">
        <f t="shared" si="1"/>
        <v>0</v>
      </c>
      <c r="BA10" s="99">
        <f t="shared" si="1"/>
        <v>0</v>
      </c>
      <c r="BB10" s="99">
        <f t="shared" si="1"/>
        <v>0</v>
      </c>
      <c r="BC10" s="99">
        <f t="shared" si="1"/>
        <v>0</v>
      </c>
      <c r="BD10" s="97"/>
      <c r="BE10" s="119">
        <f>IFERROR(VLOOKUP(AR10,' WS SF'!$A$19:$D$28,4),0)</f>
        <v>420</v>
      </c>
      <c r="BF10" s="119">
        <f>IFERROR(VLOOKUP(AS10,' WS SF'!$A$19:$D$28,4),0)</f>
        <v>455</v>
      </c>
      <c r="BG10" s="119">
        <f>IFERROR(VLOOKUP(AT10,' WS SF'!$A$19:$D$28,4),0)</f>
        <v>350</v>
      </c>
      <c r="BH10" s="119">
        <f>IFERROR(VLOOKUP(AU10,' WS SF'!$A$19:$D$28,4),0)</f>
        <v>420</v>
      </c>
      <c r="BI10" s="119">
        <f>IFERROR(VLOOKUP(AV10,' WS SF'!$A$19:$D$28,4),0)</f>
        <v>455</v>
      </c>
      <c r="BJ10" s="119">
        <f>IFERROR(VLOOKUP(AW10,' WS SF'!$A$19:$D$28,4),0)</f>
        <v>455</v>
      </c>
      <c r="BK10" s="119">
        <f>IFERROR(VLOOKUP(AX10,' WS SF'!$A$19:$D$28,4),0)</f>
        <v>350</v>
      </c>
      <c r="BL10" s="119">
        <f>IFERROR(VLOOKUP(AY10,' WS SF'!$A$19:$D$28,4),0)</f>
        <v>350</v>
      </c>
      <c r="BM10" s="119">
        <f>IFERROR(VLOOKUP(AZ10,' WS SF'!$A$19:$D$28,4),0)</f>
        <v>350</v>
      </c>
      <c r="BN10" s="119">
        <f>IFERROR(VLOOKUP(BA10,' WS SF'!$A$19:$D$28,4),0)</f>
        <v>350</v>
      </c>
      <c r="BO10" s="119">
        <f>IFERROR(VLOOKUP(BB10,' WS SF'!$A$19:$D$28,4),0)</f>
        <v>350</v>
      </c>
      <c r="BP10" s="119">
        <f>IFERROR(VLOOKUP(BC10,' WS SF'!$A$19:$D$28,4),0)</f>
        <v>350</v>
      </c>
    </row>
    <row r="11" spans="1:68" x14ac:dyDescent="0.4">
      <c r="A11">
        <v>1190017014</v>
      </c>
      <c r="B11">
        <f>VLOOKUP(A11,'Aji Plus'!$A$2:$D$58,2,0)</f>
        <v>63668</v>
      </c>
      <c r="C11" t="str">
        <f>VLOOKUP(A11,'Aji Plus'!$A$2:$D$58,3,0)</f>
        <v>นายมานพ สุขเจริญ</v>
      </c>
      <c r="D11" t="str">
        <f>VLOOKUP(A11,'Aji Plus'!$A$2:$D$58,4,0)</f>
        <v>Pathumthani</v>
      </c>
      <c r="E11" s="1">
        <v>315.20812700564971</v>
      </c>
      <c r="F11" s="1">
        <v>197.65468221418627</v>
      </c>
      <c r="G11" s="1">
        <v>296.89864623697383</v>
      </c>
      <c r="H11" s="1">
        <v>275.84822523346605</v>
      </c>
      <c r="I11" s="1">
        <v>183.86227095251297</v>
      </c>
      <c r="J11" s="1">
        <v>227.12527161909713</v>
      </c>
      <c r="K11" s="1">
        <v>385.09113923291989</v>
      </c>
      <c r="L11" s="1">
        <v>390.26603439628224</v>
      </c>
      <c r="M11" s="1">
        <v>134.72269442244959</v>
      </c>
      <c r="N11" s="1">
        <v>211.9075714353113</v>
      </c>
      <c r="O11" s="1">
        <v>217.10439412055229</v>
      </c>
      <c r="P11" s="1">
        <v>105.99764076141295</v>
      </c>
      <c r="R11" s="1">
        <f>VLOOKUP(A11,Actual_RDM!$A$2:$H$63,3,0)</f>
        <v>820</v>
      </c>
      <c r="S11" s="1">
        <f>VLOOKUP(A11,Actual_RDM!$A$2:$H$63,4,0)</f>
        <v>761.4</v>
      </c>
      <c r="T11" s="1">
        <f>VLOOKUP(A11,Actual_RDM!$A$2:$H$63,5,0)</f>
        <v>1357.5000000000002</v>
      </c>
      <c r="U11" s="1">
        <f>VLOOKUP(A11,Actual_RDM!$A$2:$H$63,6,0)</f>
        <v>1617.3000000000002</v>
      </c>
      <c r="V11" s="1">
        <f>VLOOKUP(A11,Actual_RDM!$A$2:$H$63,7,0)</f>
        <v>852.4</v>
      </c>
      <c r="W11" s="1">
        <f>VLOOKUP(A11,Actual_RDM!$A$2:$H$63,8,0)</f>
        <v>1364</v>
      </c>
      <c r="X11" s="111"/>
      <c r="Y11" s="111"/>
      <c r="Z11" s="111"/>
      <c r="AA11" s="111"/>
      <c r="AB11" s="111"/>
      <c r="AC11" s="111"/>
      <c r="AE11" s="97">
        <f t="shared" si="2"/>
        <v>2.6014557676214438</v>
      </c>
      <c r="AF11" s="97">
        <f t="shared" si="0"/>
        <v>3.8521728474659529</v>
      </c>
      <c r="AG11" s="97">
        <f t="shared" si="0"/>
        <v>4.5722673956434701</v>
      </c>
      <c r="AH11" s="97">
        <f t="shared" si="0"/>
        <v>5.8630067263662369</v>
      </c>
      <c r="AI11" s="97">
        <f t="shared" si="0"/>
        <v>4.6360789279066044</v>
      </c>
      <c r="AJ11" s="97">
        <f t="shared" si="0"/>
        <v>6.0054963953439353</v>
      </c>
      <c r="AK11" s="99">
        <f t="shared" si="0"/>
        <v>0</v>
      </c>
      <c r="AL11" s="99">
        <f t="shared" si="0"/>
        <v>0</v>
      </c>
      <c r="AM11" s="99">
        <f t="shared" si="0"/>
        <v>0</v>
      </c>
      <c r="AN11" s="99">
        <f t="shared" si="0"/>
        <v>0</v>
      </c>
      <c r="AO11" s="99">
        <f t="shared" si="0"/>
        <v>0</v>
      </c>
      <c r="AP11" s="99">
        <f t="shared" si="0"/>
        <v>0</v>
      </c>
      <c r="AQ11" s="97"/>
      <c r="AR11" s="99">
        <f t="shared" si="3"/>
        <v>2.6015000000000001</v>
      </c>
      <c r="AS11" s="99">
        <f t="shared" si="1"/>
        <v>3.8521999999999998</v>
      </c>
      <c r="AT11" s="99">
        <f t="shared" si="1"/>
        <v>4.5723000000000003</v>
      </c>
      <c r="AU11" s="99">
        <f t="shared" si="1"/>
        <v>5.8630000000000004</v>
      </c>
      <c r="AV11" s="99">
        <f t="shared" si="1"/>
        <v>4.6360999999999999</v>
      </c>
      <c r="AW11" s="99">
        <f t="shared" si="1"/>
        <v>6.0054999999999996</v>
      </c>
      <c r="AX11" s="99">
        <f t="shared" si="1"/>
        <v>0</v>
      </c>
      <c r="AY11" s="99">
        <f t="shared" si="1"/>
        <v>0</v>
      </c>
      <c r="AZ11" s="99">
        <f t="shared" si="1"/>
        <v>0</v>
      </c>
      <c r="BA11" s="99">
        <f t="shared" si="1"/>
        <v>0</v>
      </c>
      <c r="BB11" s="99">
        <f t="shared" si="1"/>
        <v>0</v>
      </c>
      <c r="BC11" s="99">
        <f t="shared" si="1"/>
        <v>0</v>
      </c>
      <c r="BD11" s="97"/>
      <c r="BE11" s="120">
        <f>IFERROR(VLOOKUP(AR11,'WS WH'!$A$19:$D$28,4),0)</f>
        <v>227.5</v>
      </c>
      <c r="BF11" s="120">
        <f>IFERROR(VLOOKUP(AS11,'WS WH'!$A$19:$D$28,4),0)</f>
        <v>227.5</v>
      </c>
      <c r="BG11" s="120">
        <f>IFERROR(VLOOKUP(AT11,'WS WH'!$A$19:$D$28,4),0)</f>
        <v>227.5</v>
      </c>
      <c r="BH11" s="120">
        <f>IFERROR(VLOOKUP(AU11,'WS WH'!$A$19:$D$28,4),0)</f>
        <v>227.5</v>
      </c>
      <c r="BI11" s="120">
        <f>IFERROR(VLOOKUP(AV11,'WS WH'!$A$19:$D$28,4),0)</f>
        <v>227.5</v>
      </c>
      <c r="BJ11" s="120">
        <f>IFERROR(VLOOKUP(AW11,'WS WH'!$A$19:$D$28,4),0)</f>
        <v>227.5</v>
      </c>
      <c r="BK11" s="120">
        <f>IFERROR(VLOOKUP(AX11,'WS WH'!$A$19:$D$28,4),0)</f>
        <v>175</v>
      </c>
      <c r="BL11" s="120">
        <f>IFERROR(VLOOKUP(AY11,'WS WH'!$A$19:$D$28,4),0)</f>
        <v>175</v>
      </c>
      <c r="BM11" s="120">
        <f>IFERROR(VLOOKUP(AZ11,'WS WH'!$A$19:$D$28,4),0)</f>
        <v>175</v>
      </c>
      <c r="BN11" s="120">
        <f>IFERROR(VLOOKUP(BA11,'WS WH'!$A$19:$D$28,4),0)</f>
        <v>175</v>
      </c>
      <c r="BO11" s="120">
        <f>IFERROR(VLOOKUP(BB11,'WS WH'!$A$19:$D$28,4),0)</f>
        <v>175</v>
      </c>
      <c r="BP11" s="120">
        <f>IFERROR(VLOOKUP(BC11,'WS WH'!$A$19:$D$28,4),0)</f>
        <v>175</v>
      </c>
    </row>
    <row r="12" spans="1:68" x14ac:dyDescent="0.4">
      <c r="A12">
        <v>1190021901</v>
      </c>
      <c r="B12">
        <f>VLOOKUP(A12,'Aji Plus'!$A$2:$D$58,2,0)</f>
        <v>76043</v>
      </c>
      <c r="C12" t="str">
        <f>VLOOKUP(A12,'Aji Plus'!$A$2:$D$58,3,0)</f>
        <v>นายธนรัตน์ บัวสอด</v>
      </c>
      <c r="D12" t="str">
        <f>VLOOKUP(A12,'Aji Plus'!$A$2:$D$58,4,0)</f>
        <v>Chiangmai</v>
      </c>
      <c r="E12" s="1">
        <v>1321.9045087142567</v>
      </c>
      <c r="F12" s="1">
        <v>1485.8928726629474</v>
      </c>
      <c r="G12" s="1">
        <v>395.25222521587511</v>
      </c>
      <c r="H12" s="1">
        <v>1314.4063108707096</v>
      </c>
      <c r="I12" s="1">
        <v>1126.6736537507854</v>
      </c>
      <c r="J12" s="1">
        <v>762.6639195496906</v>
      </c>
      <c r="K12" s="1">
        <v>1459.857463483964</v>
      </c>
      <c r="L12" s="1">
        <v>1911.415600284254</v>
      </c>
      <c r="M12" s="1">
        <v>318.74283610856889</v>
      </c>
      <c r="N12" s="1">
        <v>1699.5220834462334</v>
      </c>
      <c r="O12" s="1">
        <v>1370.3650836660713</v>
      </c>
      <c r="P12" s="1">
        <v>413.30344224663713</v>
      </c>
      <c r="R12" s="1">
        <f>VLOOKUP(A12,Actual_RDM!$A$2:$H$63,3,0)</f>
        <v>782.6</v>
      </c>
      <c r="S12" s="1">
        <f>VLOOKUP(A12,Actual_RDM!$A$2:$H$63,4,0)</f>
        <v>659.8</v>
      </c>
      <c r="T12" s="1">
        <f>VLOOKUP(A12,Actual_RDM!$A$2:$H$63,5,0)</f>
        <v>552.9</v>
      </c>
      <c r="U12" s="1">
        <f>VLOOKUP(A12,Actual_RDM!$A$2:$H$63,6,0)</f>
        <v>867.9</v>
      </c>
      <c r="V12" s="1">
        <f>VLOOKUP(A12,Actual_RDM!$A$2:$H$63,7,0)</f>
        <v>680.60000000000014</v>
      </c>
      <c r="W12" s="1">
        <f>VLOOKUP(A12,Actual_RDM!$A$2:$H$63,8,0)</f>
        <v>861</v>
      </c>
      <c r="X12" s="111"/>
      <c r="Y12" s="111"/>
      <c r="Z12" s="111"/>
      <c r="AA12" s="111"/>
      <c r="AB12" s="111"/>
      <c r="AC12" s="111"/>
      <c r="AE12" s="97">
        <f t="shared" si="2"/>
        <v>0.59202460907043253</v>
      </c>
      <c r="AF12" s="97">
        <f t="shared" si="0"/>
        <v>0.44404277868130382</v>
      </c>
      <c r="AG12" s="97">
        <f t="shared" si="0"/>
        <v>1.398853604677424</v>
      </c>
      <c r="AH12" s="97">
        <f t="shared" si="0"/>
        <v>0.66029810783932719</v>
      </c>
      <c r="AI12" s="97">
        <f t="shared" si="0"/>
        <v>0.60407909400759396</v>
      </c>
      <c r="AJ12" s="97">
        <f t="shared" si="0"/>
        <v>1.1289376328545491</v>
      </c>
      <c r="AK12" s="99">
        <f t="shared" si="0"/>
        <v>0</v>
      </c>
      <c r="AL12" s="99">
        <f t="shared" si="0"/>
        <v>0</v>
      </c>
      <c r="AM12" s="99">
        <f t="shared" si="0"/>
        <v>0</v>
      </c>
      <c r="AN12" s="99">
        <f t="shared" si="0"/>
        <v>0</v>
      </c>
      <c r="AO12" s="99">
        <f t="shared" si="0"/>
        <v>0</v>
      </c>
      <c r="AP12" s="99">
        <f t="shared" si="0"/>
        <v>0</v>
      </c>
      <c r="AQ12" s="97"/>
      <c r="AR12" s="99">
        <f t="shared" si="3"/>
        <v>0.59199999999999997</v>
      </c>
      <c r="AS12" s="99">
        <f t="shared" si="1"/>
        <v>0.44400000000000001</v>
      </c>
      <c r="AT12" s="99">
        <f t="shared" si="1"/>
        <v>1.3989</v>
      </c>
      <c r="AU12" s="99">
        <f t="shared" si="1"/>
        <v>0.6603</v>
      </c>
      <c r="AV12" s="99">
        <f t="shared" si="1"/>
        <v>0.60409999999999997</v>
      </c>
      <c r="AW12" s="99">
        <f t="shared" si="1"/>
        <v>1.1289</v>
      </c>
      <c r="AX12" s="99">
        <f t="shared" si="1"/>
        <v>0</v>
      </c>
      <c r="AY12" s="99">
        <f t="shared" si="1"/>
        <v>0</v>
      </c>
      <c r="AZ12" s="99">
        <f t="shared" si="1"/>
        <v>0</v>
      </c>
      <c r="BA12" s="99">
        <f t="shared" si="1"/>
        <v>0</v>
      </c>
      <c r="BB12" s="99">
        <f t="shared" si="1"/>
        <v>0</v>
      </c>
      <c r="BC12" s="99">
        <f t="shared" si="1"/>
        <v>0</v>
      </c>
      <c r="BD12" s="97"/>
      <c r="BE12" s="1">
        <f>IFERROR(VLOOKUP(AR12,'Top WS'!$A$19:$D$28,4),0)</f>
        <v>200</v>
      </c>
      <c r="BF12" s="1">
        <f>IFERROR(VLOOKUP(AS12,'Top WS'!$A$19:$D$28,4),0)</f>
        <v>200</v>
      </c>
      <c r="BG12" s="1">
        <f>IFERROR(VLOOKUP(AT12,'Top WS'!$A$19:$D$28,4),0)</f>
        <v>260</v>
      </c>
      <c r="BH12" s="1">
        <f>IFERROR(VLOOKUP(AU12,'Top WS'!$A$19:$D$28,4),0)</f>
        <v>200</v>
      </c>
      <c r="BI12" s="1">
        <f>IFERROR(VLOOKUP(AV12,'Top WS'!$A$19:$D$28,4),0)</f>
        <v>200</v>
      </c>
      <c r="BJ12" s="1">
        <f>IFERROR(VLOOKUP(AW12,'Top WS'!$A$19:$D$28,4),0)</f>
        <v>230</v>
      </c>
      <c r="BK12" s="98">
        <f>IFERROR(VLOOKUP(AX12,'Top WS'!$A$19:$D$28,4),0)</f>
        <v>200</v>
      </c>
      <c r="BL12" s="98">
        <f>IFERROR(VLOOKUP(AY12,'Top WS'!$A$19:$D$28,4),0)</f>
        <v>200</v>
      </c>
      <c r="BM12" s="98">
        <f>IFERROR(VLOOKUP(AZ12,'Top WS'!$A$19:$D$28,4),0)</f>
        <v>200</v>
      </c>
      <c r="BN12" s="98">
        <f>IFERROR(VLOOKUP(BA12,'Top WS'!$A$19:$D$28,4),0)</f>
        <v>200</v>
      </c>
      <c r="BO12" s="98">
        <f>IFERROR(VLOOKUP(BB12,'Top WS'!$A$19:$D$28,4),0)</f>
        <v>200</v>
      </c>
      <c r="BP12" s="98">
        <f>IFERROR(VLOOKUP(BC12,'Top WS'!$A$19:$D$28,4),0)</f>
        <v>200</v>
      </c>
    </row>
    <row r="13" spans="1:68" x14ac:dyDescent="0.4">
      <c r="A13">
        <v>1190021902</v>
      </c>
      <c r="B13">
        <f>VLOOKUP(A13,'Aji Plus'!$A$2:$D$58,2,0)</f>
        <v>75835</v>
      </c>
      <c r="C13" t="str">
        <f>VLOOKUP(A13,'Aji Plus'!$A$2:$D$58,3,0)</f>
        <v>นายอนุวัฒน์ บุญจง</v>
      </c>
      <c r="D13" t="str">
        <f>VLOOKUP(A13,'Aji Plus'!$A$2:$D$58,4,0)</f>
        <v>Chiangmai</v>
      </c>
      <c r="E13" s="1">
        <v>584.0520657058571</v>
      </c>
      <c r="F13" s="1">
        <v>656.50642385697233</v>
      </c>
      <c r="G13" s="1">
        <v>174.63279464618932</v>
      </c>
      <c r="H13" s="1">
        <v>580.73916533315594</v>
      </c>
      <c r="I13" s="1">
        <v>497.79395600181977</v>
      </c>
      <c r="J13" s="1">
        <v>336.96491290855255</v>
      </c>
      <c r="K13" s="1">
        <v>645.00329756287067</v>
      </c>
      <c r="L13" s="1">
        <v>844.51352000777058</v>
      </c>
      <c r="M13" s="1">
        <v>140.82894084325577</v>
      </c>
      <c r="N13" s="1">
        <v>750.89340947550807</v>
      </c>
      <c r="O13" s="1">
        <v>605.46321811461178</v>
      </c>
      <c r="P13" s="1">
        <v>182.6082955434332</v>
      </c>
      <c r="R13" s="1">
        <f>VLOOKUP(A13,Actual_RDM!$A$2:$H$63,3,0)</f>
        <v>310.89999999999998</v>
      </c>
      <c r="S13" s="1">
        <f>VLOOKUP(A13,Actual_RDM!$A$2:$H$63,4,0)</f>
        <v>455.90000000000003</v>
      </c>
      <c r="T13" s="1">
        <f>VLOOKUP(A13,Actual_RDM!$A$2:$H$63,5,0)</f>
        <v>345.3</v>
      </c>
      <c r="U13" s="1">
        <f>VLOOKUP(A13,Actual_RDM!$A$2:$H$63,6,0)</f>
        <v>181.9</v>
      </c>
      <c r="V13" s="1">
        <f>VLOOKUP(A13,Actual_RDM!$A$2:$H$63,7,0)</f>
        <v>260.5</v>
      </c>
      <c r="W13" s="1">
        <f>VLOOKUP(A13,Actual_RDM!$A$2:$H$63,8,0)</f>
        <v>357.2</v>
      </c>
      <c r="X13" s="111"/>
      <c r="Y13" s="111"/>
      <c r="Z13" s="111"/>
      <c r="AA13" s="111"/>
      <c r="AB13" s="111"/>
      <c r="AC13" s="111"/>
      <c r="AE13" s="97">
        <f t="shared" si="2"/>
        <v>0.53231555584733914</v>
      </c>
      <c r="AF13" s="97">
        <f t="shared" si="0"/>
        <v>0.6944334182163665</v>
      </c>
      <c r="AG13" s="97">
        <f t="shared" si="0"/>
        <v>1.977291840857194</v>
      </c>
      <c r="AH13" s="97">
        <f t="shared" si="0"/>
        <v>0.31322151295865913</v>
      </c>
      <c r="AI13" s="97">
        <f t="shared" si="0"/>
        <v>0.5233088848492321</v>
      </c>
      <c r="AJ13" s="97">
        <f t="shared" si="0"/>
        <v>1.0600510210893648</v>
      </c>
      <c r="AK13" s="99">
        <f t="shared" si="0"/>
        <v>0</v>
      </c>
      <c r="AL13" s="99">
        <f t="shared" si="0"/>
        <v>0</v>
      </c>
      <c r="AM13" s="99">
        <f t="shared" si="0"/>
        <v>0</v>
      </c>
      <c r="AN13" s="99">
        <f t="shared" si="0"/>
        <v>0</v>
      </c>
      <c r="AO13" s="99">
        <f t="shared" si="0"/>
        <v>0</v>
      </c>
      <c r="AP13" s="99">
        <f t="shared" si="0"/>
        <v>0</v>
      </c>
      <c r="AQ13" s="97"/>
      <c r="AR13" s="99">
        <f t="shared" si="3"/>
        <v>0.5323</v>
      </c>
      <c r="AS13" s="99">
        <f t="shared" si="1"/>
        <v>0.69440000000000002</v>
      </c>
      <c r="AT13" s="99">
        <f t="shared" si="1"/>
        <v>1.9773000000000001</v>
      </c>
      <c r="AU13" s="99">
        <f t="shared" si="1"/>
        <v>0.31319999999999998</v>
      </c>
      <c r="AV13" s="99">
        <f t="shared" si="1"/>
        <v>0.52329999999999999</v>
      </c>
      <c r="AW13" s="99">
        <f t="shared" si="1"/>
        <v>1.0601</v>
      </c>
      <c r="AX13" s="99">
        <f t="shared" si="1"/>
        <v>0</v>
      </c>
      <c r="AY13" s="99">
        <f t="shared" si="1"/>
        <v>0</v>
      </c>
      <c r="AZ13" s="99">
        <f t="shared" si="1"/>
        <v>0</v>
      </c>
      <c r="BA13" s="99">
        <f t="shared" si="1"/>
        <v>0</v>
      </c>
      <c r="BB13" s="99">
        <f t="shared" si="1"/>
        <v>0</v>
      </c>
      <c r="BC13" s="99">
        <f t="shared" si="1"/>
        <v>0</v>
      </c>
      <c r="BD13" s="97"/>
      <c r="BE13" s="1">
        <f>IFERROR(VLOOKUP(AR13,'Top WS'!$A$19:$D$28,4),0)</f>
        <v>200</v>
      </c>
      <c r="BF13" s="1">
        <f>IFERROR(VLOOKUP(AS13,'Top WS'!$A$19:$D$28,4),0)</f>
        <v>200</v>
      </c>
      <c r="BG13" s="1">
        <f>IFERROR(VLOOKUP(AT13,'Top WS'!$A$19:$D$28,4),0)</f>
        <v>260</v>
      </c>
      <c r="BH13" s="1">
        <f>IFERROR(VLOOKUP(AU13,'Top WS'!$A$19:$D$28,4),0)</f>
        <v>200</v>
      </c>
      <c r="BI13" s="1">
        <f>IFERROR(VLOOKUP(AV13,'Top WS'!$A$19:$D$28,4),0)</f>
        <v>200</v>
      </c>
      <c r="BJ13" s="1">
        <f>IFERROR(VLOOKUP(AW13,'Top WS'!$A$19:$D$28,4),0)</f>
        <v>220</v>
      </c>
      <c r="BK13" s="98">
        <f>IFERROR(VLOOKUP(AX13,'Top WS'!$A$19:$D$28,4),0)</f>
        <v>200</v>
      </c>
      <c r="BL13" s="98">
        <f>IFERROR(VLOOKUP(AY13,'Top WS'!$A$19:$D$28,4),0)</f>
        <v>200</v>
      </c>
      <c r="BM13" s="98">
        <f>IFERROR(VLOOKUP(AZ13,'Top WS'!$A$19:$D$28,4),0)</f>
        <v>200</v>
      </c>
      <c r="BN13" s="98">
        <f>IFERROR(VLOOKUP(BA13,'Top WS'!$A$19:$D$28,4),0)</f>
        <v>200</v>
      </c>
      <c r="BO13" s="98">
        <f>IFERROR(VLOOKUP(BB13,'Top WS'!$A$19:$D$28,4),0)</f>
        <v>200</v>
      </c>
      <c r="BP13" s="98">
        <f>IFERROR(VLOOKUP(BC13,'Top WS'!$A$19:$D$28,4),0)</f>
        <v>200</v>
      </c>
    </row>
    <row r="14" spans="1:68" x14ac:dyDescent="0.4">
      <c r="A14">
        <v>1190022001</v>
      </c>
      <c r="B14">
        <f>VLOOKUP(A14,'Aji Plus'!$A$2:$D$58,2,0)</f>
        <v>100352</v>
      </c>
      <c r="C14" t="str">
        <f>VLOOKUP(A14,'Aji Plus'!$A$2:$D$58,3,0)</f>
        <v>นายชาตรี ขุนทอง</v>
      </c>
      <c r="D14" t="str">
        <f>VLOOKUP(A14,'Aji Plus'!$A$2:$D$58,4,0)</f>
        <v>Chiangrai</v>
      </c>
      <c r="E14" s="1">
        <v>2887.1640448059538</v>
      </c>
      <c r="F14" s="1">
        <v>3245.3300885996332</v>
      </c>
      <c r="G14" s="1">
        <v>863.26811486766246</v>
      </c>
      <c r="H14" s="1">
        <v>2870.7872739635677</v>
      </c>
      <c r="I14" s="1">
        <v>2460.7614558356622</v>
      </c>
      <c r="J14" s="1">
        <v>1665.7298861446116</v>
      </c>
      <c r="K14" s="1">
        <v>3188.4663009524575</v>
      </c>
      <c r="L14" s="1">
        <v>4174.7118339050794</v>
      </c>
      <c r="M14" s="1">
        <v>696.16439756849434</v>
      </c>
      <c r="N14" s="1">
        <v>3711.916420840595</v>
      </c>
      <c r="O14" s="1">
        <v>2993.006508213231</v>
      </c>
      <c r="P14" s="1">
        <v>902.69367430303816</v>
      </c>
      <c r="R14" s="1">
        <f>VLOOKUP(A14,Actual_RDM!$A$2:$H$63,3,0)</f>
        <v>4016.2000000000007</v>
      </c>
      <c r="S14" s="1">
        <f>VLOOKUP(A14,Actual_RDM!$A$2:$H$63,4,0)</f>
        <v>1456.5</v>
      </c>
      <c r="T14" s="1">
        <f>VLOOKUP(A14,Actual_RDM!$A$2:$H$63,5,0)</f>
        <v>2403.6000000000004</v>
      </c>
      <c r="U14" s="1">
        <f>VLOOKUP(A14,Actual_RDM!$A$2:$H$63,6,0)</f>
        <v>1999.9</v>
      </c>
      <c r="V14" s="1">
        <f>VLOOKUP(A14,Actual_RDM!$A$2:$H$63,7,0)</f>
        <v>2586.6999999999994</v>
      </c>
      <c r="W14" s="1">
        <f>VLOOKUP(A14,Actual_RDM!$A$2:$H$63,8,0)</f>
        <v>2821.4</v>
      </c>
      <c r="X14" s="111"/>
      <c r="Y14" s="111"/>
      <c r="Z14" s="111"/>
      <c r="AA14" s="111"/>
      <c r="AB14" s="111"/>
      <c r="AC14" s="111"/>
      <c r="AE14" s="97">
        <f t="shared" si="2"/>
        <v>1.3910536213642579</v>
      </c>
      <c r="AF14" s="97">
        <f t="shared" si="0"/>
        <v>0.44879872316115704</v>
      </c>
      <c r="AG14" s="97">
        <f t="shared" si="0"/>
        <v>2.7843029976480347</v>
      </c>
      <c r="AH14" s="97">
        <f t="shared" si="0"/>
        <v>0.69663817244070037</v>
      </c>
      <c r="AI14" s="97">
        <f t="shared" si="0"/>
        <v>1.051178688558241</v>
      </c>
      <c r="AJ14" s="97">
        <f t="shared" si="0"/>
        <v>1.6937920268274866</v>
      </c>
      <c r="AK14" s="99">
        <f t="shared" si="0"/>
        <v>0</v>
      </c>
      <c r="AL14" s="99">
        <f t="shared" si="0"/>
        <v>0</v>
      </c>
      <c r="AM14" s="99">
        <f t="shared" si="0"/>
        <v>0</v>
      </c>
      <c r="AN14" s="99">
        <f t="shared" si="0"/>
        <v>0</v>
      </c>
      <c r="AO14" s="99">
        <f t="shared" si="0"/>
        <v>0</v>
      </c>
      <c r="AP14" s="99">
        <f t="shared" si="0"/>
        <v>0</v>
      </c>
      <c r="AQ14" s="97"/>
      <c r="AR14" s="99">
        <f t="shared" si="3"/>
        <v>1.3911</v>
      </c>
      <c r="AS14" s="99">
        <f t="shared" si="1"/>
        <v>0.44879999999999998</v>
      </c>
      <c r="AT14" s="99">
        <f t="shared" si="1"/>
        <v>2.7843</v>
      </c>
      <c r="AU14" s="99">
        <f t="shared" si="1"/>
        <v>0.6966</v>
      </c>
      <c r="AV14" s="99">
        <f t="shared" si="1"/>
        <v>1.0511999999999999</v>
      </c>
      <c r="AW14" s="99">
        <f t="shared" si="1"/>
        <v>1.6938</v>
      </c>
      <c r="AX14" s="99">
        <f t="shared" si="1"/>
        <v>0</v>
      </c>
      <c r="AY14" s="99">
        <f t="shared" si="1"/>
        <v>0</v>
      </c>
      <c r="AZ14" s="99">
        <f t="shared" si="1"/>
        <v>0</v>
      </c>
      <c r="BA14" s="99">
        <f t="shared" si="1"/>
        <v>0</v>
      </c>
      <c r="BB14" s="99">
        <f t="shared" si="1"/>
        <v>0</v>
      </c>
      <c r="BC14" s="99">
        <f t="shared" si="1"/>
        <v>0</v>
      </c>
      <c r="BD14" s="97"/>
      <c r="BE14" s="1">
        <f>IFERROR(VLOOKUP(AR14,'Top WS'!$A$19:$D$28,4),0)</f>
        <v>260</v>
      </c>
      <c r="BF14" s="1">
        <f>IFERROR(VLOOKUP(AS14,'Top WS'!$A$19:$D$28,4),0)</f>
        <v>200</v>
      </c>
      <c r="BG14" s="1">
        <f>IFERROR(VLOOKUP(AT14,'Top WS'!$A$19:$D$28,4),0)</f>
        <v>260</v>
      </c>
      <c r="BH14" s="1">
        <f>IFERROR(VLOOKUP(AU14,'Top WS'!$A$19:$D$28,4),0)</f>
        <v>200</v>
      </c>
      <c r="BI14" s="1">
        <f>IFERROR(VLOOKUP(AV14,'Top WS'!$A$19:$D$28,4),0)</f>
        <v>216</v>
      </c>
      <c r="BJ14" s="1">
        <f>IFERROR(VLOOKUP(AW14,'Top WS'!$A$19:$D$28,4),0)</f>
        <v>260</v>
      </c>
      <c r="BK14" s="98">
        <f>IFERROR(VLOOKUP(AX14,'Top WS'!$A$19:$D$28,4),0)</f>
        <v>200</v>
      </c>
      <c r="BL14" s="98">
        <f>IFERROR(VLOOKUP(AY14,'Top WS'!$A$19:$D$28,4),0)</f>
        <v>200</v>
      </c>
      <c r="BM14" s="98">
        <f>IFERROR(VLOOKUP(AZ14,'Top WS'!$A$19:$D$28,4),0)</f>
        <v>200</v>
      </c>
      <c r="BN14" s="98">
        <f>IFERROR(VLOOKUP(BA14,'Top WS'!$A$19:$D$28,4),0)</f>
        <v>200</v>
      </c>
      <c r="BO14" s="98">
        <f>IFERROR(VLOOKUP(BB14,'Top WS'!$A$19:$D$28,4),0)</f>
        <v>200</v>
      </c>
      <c r="BP14" s="98">
        <f>IFERROR(VLOOKUP(BC14,'Top WS'!$A$19:$D$28,4),0)</f>
        <v>200</v>
      </c>
    </row>
    <row r="15" spans="1:68" x14ac:dyDescent="0.4">
      <c r="A15">
        <v>1190022101</v>
      </c>
      <c r="B15">
        <f>VLOOKUP(A15,'Aji Plus'!$A$2:$D$58,2,0)</f>
        <v>61276</v>
      </c>
      <c r="C15" t="str">
        <f>VLOOKUP(A15,'Aji Plus'!$A$2:$D$58,3,0)</f>
        <v>นายพงษ์ศักดิ์ เวียงนาค</v>
      </c>
      <c r="D15" t="str">
        <f>VLOOKUP(A15,'Aji Plus'!$A$2:$D$58,4,0)</f>
        <v>Phrae</v>
      </c>
      <c r="E15" s="1">
        <v>2573.7227695438105</v>
      </c>
      <c r="F15" s="1">
        <v>2893.0049744630583</v>
      </c>
      <c r="G15" s="1">
        <v>769.54851507420756</v>
      </c>
      <c r="H15" s="1">
        <v>2559.1239219014406</v>
      </c>
      <c r="I15" s="1">
        <v>2193.6120327813524</v>
      </c>
      <c r="J15" s="1">
        <v>1484.8920495503551</v>
      </c>
      <c r="K15" s="1">
        <v>2842.3145312603833</v>
      </c>
      <c r="L15" s="1">
        <v>3721.4895781675755</v>
      </c>
      <c r="M15" s="1">
        <v>620.58619931594706</v>
      </c>
      <c r="N15" s="1">
        <v>3308.9369577554057</v>
      </c>
      <c r="O15" s="1">
        <v>2668.0745811583893</v>
      </c>
      <c r="P15" s="1">
        <v>804.69388902806224</v>
      </c>
      <c r="R15" s="1">
        <f>VLOOKUP(A15,Actual_RDM!$A$2:$H$63,3,0)</f>
        <v>1907.0999999999997</v>
      </c>
      <c r="S15" s="1">
        <f>VLOOKUP(A15,Actual_RDM!$A$2:$H$63,4,0)</f>
        <v>2242.0000000000005</v>
      </c>
      <c r="T15" s="1">
        <f>VLOOKUP(A15,Actual_RDM!$A$2:$H$63,5,0)</f>
        <v>1757.5999999999997</v>
      </c>
      <c r="U15" s="1">
        <f>VLOOKUP(A15,Actual_RDM!$A$2:$H$63,6,0)</f>
        <v>1744.5000000000002</v>
      </c>
      <c r="V15" s="1">
        <f>VLOOKUP(A15,Actual_RDM!$A$2:$H$63,7,0)</f>
        <v>1775.2</v>
      </c>
      <c r="W15" s="1">
        <f>VLOOKUP(A15,Actual_RDM!$A$2:$H$63,8,0)</f>
        <v>1995.8000000000004</v>
      </c>
      <c r="X15" s="111"/>
      <c r="Y15" s="111"/>
      <c r="Z15" s="111"/>
      <c r="AA15" s="111"/>
      <c r="AB15" s="111"/>
      <c r="AC15" s="111"/>
      <c r="AE15" s="97">
        <f t="shared" si="2"/>
        <v>0.74098889848110217</v>
      </c>
      <c r="AF15" s="97">
        <f t="shared" si="0"/>
        <v>0.77497274280218464</v>
      </c>
      <c r="AG15" s="97">
        <f t="shared" si="0"/>
        <v>2.2839365752405025</v>
      </c>
      <c r="AH15" s="97">
        <f t="shared" si="0"/>
        <v>0.68167859519043095</v>
      </c>
      <c r="AI15" s="97">
        <f t="shared" si="0"/>
        <v>0.80925887233995797</v>
      </c>
      <c r="AJ15" s="97">
        <f t="shared" si="0"/>
        <v>1.3440707697265637</v>
      </c>
      <c r="AK15" s="99">
        <f t="shared" si="0"/>
        <v>0</v>
      </c>
      <c r="AL15" s="99">
        <f t="shared" si="0"/>
        <v>0</v>
      </c>
      <c r="AM15" s="99">
        <f t="shared" si="0"/>
        <v>0</v>
      </c>
      <c r="AN15" s="99">
        <f t="shared" si="0"/>
        <v>0</v>
      </c>
      <c r="AO15" s="99">
        <f t="shared" si="0"/>
        <v>0</v>
      </c>
      <c r="AP15" s="99">
        <f t="shared" si="0"/>
        <v>0</v>
      </c>
      <c r="AQ15" s="97"/>
      <c r="AR15" s="99">
        <f t="shared" si="3"/>
        <v>0.74099999999999999</v>
      </c>
      <c r="AS15" s="99">
        <f t="shared" si="1"/>
        <v>0.77500000000000002</v>
      </c>
      <c r="AT15" s="99">
        <f t="shared" si="1"/>
        <v>2.2839</v>
      </c>
      <c r="AU15" s="99">
        <f t="shared" si="1"/>
        <v>0.68169999999999997</v>
      </c>
      <c r="AV15" s="99">
        <f t="shared" si="1"/>
        <v>0.80930000000000002</v>
      </c>
      <c r="AW15" s="99">
        <f t="shared" si="1"/>
        <v>1.3441000000000001</v>
      </c>
      <c r="AX15" s="99">
        <f t="shared" si="1"/>
        <v>0</v>
      </c>
      <c r="AY15" s="99">
        <f t="shared" si="1"/>
        <v>0</v>
      </c>
      <c r="AZ15" s="99">
        <f t="shared" si="1"/>
        <v>0</v>
      </c>
      <c r="BA15" s="99">
        <f t="shared" si="1"/>
        <v>0</v>
      </c>
      <c r="BB15" s="99">
        <f t="shared" si="1"/>
        <v>0</v>
      </c>
      <c r="BC15" s="99">
        <f t="shared" si="1"/>
        <v>0</v>
      </c>
      <c r="BD15" s="97"/>
      <c r="BE15" s="1">
        <f>IFERROR(VLOOKUP(AR15,'Top WS'!$A$19:$D$28,4),0)</f>
        <v>200</v>
      </c>
      <c r="BF15" s="1">
        <f>IFERROR(VLOOKUP(AS15,'Top WS'!$A$19:$D$28,4),0)</f>
        <v>200</v>
      </c>
      <c r="BG15" s="1">
        <f>IFERROR(VLOOKUP(AT15,'Top WS'!$A$19:$D$28,4),0)</f>
        <v>260</v>
      </c>
      <c r="BH15" s="1">
        <f>IFERROR(VLOOKUP(AU15,'Top WS'!$A$19:$D$28,4),0)</f>
        <v>200</v>
      </c>
      <c r="BI15" s="1">
        <f>IFERROR(VLOOKUP(AV15,'Top WS'!$A$19:$D$28,4),0)</f>
        <v>200</v>
      </c>
      <c r="BJ15" s="1">
        <f>IFERROR(VLOOKUP(AW15,'Top WS'!$A$19:$D$28,4),0)</f>
        <v>260</v>
      </c>
      <c r="BK15" s="98">
        <f>IFERROR(VLOOKUP(AX15,'Top WS'!$A$19:$D$28,4),0)</f>
        <v>200</v>
      </c>
      <c r="BL15" s="98">
        <f>IFERROR(VLOOKUP(AY15,'Top WS'!$A$19:$D$28,4),0)</f>
        <v>200</v>
      </c>
      <c r="BM15" s="98">
        <f>IFERROR(VLOOKUP(AZ15,'Top WS'!$A$19:$D$28,4),0)</f>
        <v>200</v>
      </c>
      <c r="BN15" s="98">
        <f>IFERROR(VLOOKUP(BA15,'Top WS'!$A$19:$D$28,4),0)</f>
        <v>200</v>
      </c>
      <c r="BO15" s="98">
        <f>IFERROR(VLOOKUP(BB15,'Top WS'!$A$19:$D$28,4),0)</f>
        <v>200</v>
      </c>
      <c r="BP15" s="98">
        <f>IFERROR(VLOOKUP(BC15,'Top WS'!$A$19:$D$28,4),0)</f>
        <v>200</v>
      </c>
    </row>
    <row r="16" spans="1:68" x14ac:dyDescent="0.4">
      <c r="A16">
        <v>1190022201</v>
      </c>
      <c r="B16">
        <f>VLOOKUP(A16,'Aji Plus'!$A$2:$D$58,2,0)</f>
        <v>61616</v>
      </c>
      <c r="C16" t="str">
        <f>VLOOKUP(A16,'Aji Plus'!$A$2:$D$58,3,0)</f>
        <v>นายฐิติพงศ์ ก๋าเมืองลือ</v>
      </c>
      <c r="D16" t="str">
        <f>VLOOKUP(A16,'Aji Plus'!$A$2:$D$58,4,0)</f>
        <v>Lampang</v>
      </c>
      <c r="E16" s="1">
        <v>960</v>
      </c>
      <c r="F16" s="1">
        <v>1408</v>
      </c>
      <c r="G16" s="1">
        <v>1052</v>
      </c>
      <c r="H16" s="1">
        <v>990</v>
      </c>
      <c r="I16" s="1">
        <v>1049</v>
      </c>
      <c r="J16" s="1">
        <v>1143</v>
      </c>
      <c r="K16" s="1">
        <v>2161</v>
      </c>
      <c r="L16" s="1">
        <v>1385</v>
      </c>
      <c r="M16" s="1">
        <v>1253</v>
      </c>
      <c r="N16" s="1">
        <v>1667</v>
      </c>
      <c r="O16" s="1">
        <v>1294</v>
      </c>
      <c r="P16" s="1">
        <v>956</v>
      </c>
      <c r="R16" s="1">
        <f>VLOOKUP(A16,Actual_RDM!$A$2:$H$63,3,0)</f>
        <v>1061.3999999999999</v>
      </c>
      <c r="S16" s="1">
        <f>VLOOKUP(A16,Actual_RDM!$A$2:$H$63,4,0)</f>
        <v>998.19999999999982</v>
      </c>
      <c r="T16" s="1">
        <f>VLOOKUP(A16,Actual_RDM!$A$2:$H$63,5,0)</f>
        <v>862.40000000000009</v>
      </c>
      <c r="U16" s="1">
        <f>VLOOKUP(A16,Actual_RDM!$A$2:$H$63,6,0)</f>
        <v>1237.4999999999998</v>
      </c>
      <c r="V16" s="1">
        <f>VLOOKUP(A16,Actual_RDM!$A$2:$H$63,7,0)</f>
        <v>1165.2999999999997</v>
      </c>
      <c r="W16" s="1">
        <f>VLOOKUP(A16,Actual_RDM!$A$2:$H$63,8,0)</f>
        <v>1146.1999999999998</v>
      </c>
      <c r="X16" s="111"/>
      <c r="Y16" s="111"/>
      <c r="Z16" s="111"/>
      <c r="AA16" s="111"/>
      <c r="AB16" s="111"/>
      <c r="AC16" s="111"/>
      <c r="AE16" s="97">
        <f t="shared" si="2"/>
        <v>1.1056249999999999</v>
      </c>
      <c r="AF16" s="97">
        <f t="shared" si="0"/>
        <v>0.70894886363636356</v>
      </c>
      <c r="AG16" s="97">
        <f t="shared" si="0"/>
        <v>0.81977186311787076</v>
      </c>
      <c r="AH16" s="97">
        <f t="shared" si="0"/>
        <v>1.2499999999999998</v>
      </c>
      <c r="AI16" s="97">
        <f t="shared" si="0"/>
        <v>1.1108674928503335</v>
      </c>
      <c r="AJ16" s="97">
        <f t="shared" si="0"/>
        <v>1.0027996500437444</v>
      </c>
      <c r="AK16" s="99">
        <f t="shared" si="0"/>
        <v>0</v>
      </c>
      <c r="AL16" s="99">
        <f t="shared" si="0"/>
        <v>0</v>
      </c>
      <c r="AM16" s="99">
        <f t="shared" si="0"/>
        <v>0</v>
      </c>
      <c r="AN16" s="99">
        <f t="shared" si="0"/>
        <v>0</v>
      </c>
      <c r="AO16" s="99">
        <f t="shared" si="0"/>
        <v>0</v>
      </c>
      <c r="AP16" s="99">
        <f t="shared" si="0"/>
        <v>0</v>
      </c>
      <c r="AQ16" s="97"/>
      <c r="AR16" s="99">
        <f t="shared" si="3"/>
        <v>1.1055999999999999</v>
      </c>
      <c r="AS16" s="99">
        <f t="shared" si="1"/>
        <v>0.70889999999999997</v>
      </c>
      <c r="AT16" s="99">
        <f t="shared" si="1"/>
        <v>0.81979999999999997</v>
      </c>
      <c r="AU16" s="99">
        <f t="shared" si="1"/>
        <v>1.25</v>
      </c>
      <c r="AV16" s="99">
        <f t="shared" si="1"/>
        <v>1.1109</v>
      </c>
      <c r="AW16" s="99">
        <f t="shared" si="1"/>
        <v>1.0027999999999999</v>
      </c>
      <c r="AX16" s="99">
        <f t="shared" si="1"/>
        <v>0</v>
      </c>
      <c r="AY16" s="99">
        <f t="shared" si="1"/>
        <v>0</v>
      </c>
      <c r="AZ16" s="99">
        <f t="shared" si="1"/>
        <v>0</v>
      </c>
      <c r="BA16" s="99">
        <f t="shared" si="1"/>
        <v>0</v>
      </c>
      <c r="BB16" s="99">
        <f t="shared" si="1"/>
        <v>0</v>
      </c>
      <c r="BC16" s="99">
        <f t="shared" si="1"/>
        <v>0</v>
      </c>
      <c r="BD16" s="97"/>
      <c r="BE16" s="1">
        <f>IFERROR(VLOOKUP(AR16,'Top WS'!$A$19:$D$28,4),0)</f>
        <v>230</v>
      </c>
      <c r="BF16" s="1">
        <f>IFERROR(VLOOKUP(AS16,'Top WS'!$A$19:$D$28,4),0)</f>
        <v>200</v>
      </c>
      <c r="BG16" s="1">
        <f>IFERROR(VLOOKUP(AT16,'Top WS'!$A$19:$D$28,4),0)</f>
        <v>200</v>
      </c>
      <c r="BH16" s="1">
        <f>IFERROR(VLOOKUP(AU16,'Top WS'!$A$19:$D$28,4),0)</f>
        <v>260</v>
      </c>
      <c r="BI16" s="1">
        <f>IFERROR(VLOOKUP(AV16,'Top WS'!$A$19:$D$28,4),0)</f>
        <v>230</v>
      </c>
      <c r="BJ16" s="1">
        <f>IFERROR(VLOOKUP(AW16,'Top WS'!$A$19:$D$28,4),0)</f>
        <v>206</v>
      </c>
      <c r="BK16" s="98">
        <f>IFERROR(VLOOKUP(AX16,'Top WS'!$A$19:$D$28,4),0)</f>
        <v>200</v>
      </c>
      <c r="BL16" s="98">
        <f>IFERROR(VLOOKUP(AY16,'Top WS'!$A$19:$D$28,4),0)</f>
        <v>200</v>
      </c>
      <c r="BM16" s="98">
        <f>IFERROR(VLOOKUP(AZ16,'Top WS'!$A$19:$D$28,4),0)</f>
        <v>200</v>
      </c>
      <c r="BN16" s="98">
        <f>IFERROR(VLOOKUP(BA16,'Top WS'!$A$19:$D$28,4),0)</f>
        <v>200</v>
      </c>
      <c r="BO16" s="98">
        <f>IFERROR(VLOOKUP(BB16,'Top WS'!$A$19:$D$28,4),0)</f>
        <v>200</v>
      </c>
      <c r="BP16" s="98">
        <f>IFERROR(VLOOKUP(BC16,'Top WS'!$A$19:$D$28,4),0)</f>
        <v>200</v>
      </c>
    </row>
    <row r="17" spans="1:68" x14ac:dyDescent="0.4">
      <c r="A17">
        <v>1190022301</v>
      </c>
      <c r="B17">
        <f>VLOOKUP(A17,'Aji Plus'!$A$2:$D$58,2,0)</f>
        <v>64151</v>
      </c>
      <c r="C17" t="str">
        <f>VLOOKUP(A17,'Aji Plus'!$A$2:$D$58,3,0)</f>
        <v>นายยุทธพร แผงไม้</v>
      </c>
      <c r="D17" t="str">
        <f>VLOOKUP(A17,'Aji Plus'!$A$2:$D$58,4,0)</f>
        <v>P.Sanulok</v>
      </c>
      <c r="E17" s="1">
        <v>901</v>
      </c>
      <c r="F17" s="1">
        <v>912</v>
      </c>
      <c r="G17" s="1">
        <v>864</v>
      </c>
      <c r="H17" s="1">
        <v>662</v>
      </c>
      <c r="I17" s="1">
        <v>734</v>
      </c>
      <c r="J17" s="1">
        <v>818</v>
      </c>
      <c r="K17" s="1">
        <v>1197</v>
      </c>
      <c r="L17" s="1">
        <v>934</v>
      </c>
      <c r="M17" s="1">
        <v>704</v>
      </c>
      <c r="N17" s="1">
        <v>964</v>
      </c>
      <c r="O17" s="1">
        <v>655</v>
      </c>
      <c r="P17" s="1">
        <v>790</v>
      </c>
      <c r="R17" s="1">
        <f>VLOOKUP(A17,Actual_RDM!$A$2:$H$63,3,0)</f>
        <v>680.40000000000009</v>
      </c>
      <c r="S17" s="1">
        <f>VLOOKUP(A17,Actual_RDM!$A$2:$H$63,4,0)</f>
        <v>753.39999999999986</v>
      </c>
      <c r="T17" s="1">
        <f>VLOOKUP(A17,Actual_RDM!$A$2:$H$63,5,0)</f>
        <v>549.4</v>
      </c>
      <c r="U17" s="1">
        <f>VLOOKUP(A17,Actual_RDM!$A$2:$H$63,6,0)</f>
        <v>674.5</v>
      </c>
      <c r="V17" s="1">
        <f>VLOOKUP(A17,Actual_RDM!$A$2:$H$63,7,0)</f>
        <v>1116.7</v>
      </c>
      <c r="W17" s="1">
        <f>VLOOKUP(A17,Actual_RDM!$A$2:$H$63,8,0)</f>
        <v>390.2</v>
      </c>
      <c r="X17" s="111"/>
      <c r="Y17" s="111"/>
      <c r="Z17" s="111"/>
      <c r="AA17" s="111"/>
      <c r="AB17" s="111"/>
      <c r="AC17" s="111"/>
      <c r="AE17" s="97">
        <f t="shared" si="2"/>
        <v>0.75516093229744741</v>
      </c>
      <c r="AF17" s="97">
        <f t="shared" si="0"/>
        <v>0.82609649122807005</v>
      </c>
      <c r="AG17" s="97">
        <f t="shared" si="0"/>
        <v>0.63587962962962963</v>
      </c>
      <c r="AH17" s="97">
        <f t="shared" si="0"/>
        <v>1.0188821752265862</v>
      </c>
      <c r="AI17" s="97">
        <f t="shared" si="0"/>
        <v>1.5213896457765668</v>
      </c>
      <c r="AJ17" s="97">
        <f t="shared" si="0"/>
        <v>0.47701711491442539</v>
      </c>
      <c r="AK17" s="99">
        <f t="shared" si="0"/>
        <v>0</v>
      </c>
      <c r="AL17" s="99">
        <f t="shared" si="0"/>
        <v>0</v>
      </c>
      <c r="AM17" s="99">
        <f t="shared" si="0"/>
        <v>0</v>
      </c>
      <c r="AN17" s="99">
        <f t="shared" si="0"/>
        <v>0</v>
      </c>
      <c r="AO17" s="99">
        <f t="shared" si="0"/>
        <v>0</v>
      </c>
      <c r="AP17" s="99">
        <f t="shared" si="0"/>
        <v>0</v>
      </c>
      <c r="AQ17" s="97"/>
      <c r="AR17" s="99">
        <f t="shared" si="3"/>
        <v>0.75519999999999998</v>
      </c>
      <c r="AS17" s="99">
        <f t="shared" si="1"/>
        <v>0.82609999999999995</v>
      </c>
      <c r="AT17" s="99">
        <f t="shared" si="1"/>
        <v>0.63590000000000002</v>
      </c>
      <c r="AU17" s="99">
        <f t="shared" si="1"/>
        <v>1.0188999999999999</v>
      </c>
      <c r="AV17" s="99">
        <f t="shared" si="1"/>
        <v>1.5214000000000001</v>
      </c>
      <c r="AW17" s="99">
        <f t="shared" si="1"/>
        <v>0.47699999999999998</v>
      </c>
      <c r="AX17" s="99">
        <f t="shared" si="1"/>
        <v>0</v>
      </c>
      <c r="AY17" s="99">
        <f t="shared" si="1"/>
        <v>0</v>
      </c>
      <c r="AZ17" s="99">
        <f t="shared" si="1"/>
        <v>0</v>
      </c>
      <c r="BA17" s="99">
        <f t="shared" si="1"/>
        <v>0</v>
      </c>
      <c r="BB17" s="99">
        <f t="shared" si="1"/>
        <v>0</v>
      </c>
      <c r="BC17" s="99">
        <f t="shared" si="1"/>
        <v>0</v>
      </c>
      <c r="BD17" s="97"/>
      <c r="BE17" s="1">
        <f>IFERROR(VLOOKUP(AR17,'Top WS'!$A$19:$D$28,4),0)</f>
        <v>200</v>
      </c>
      <c r="BF17" s="1">
        <f>IFERROR(VLOOKUP(AS17,'Top WS'!$A$19:$D$28,4),0)</f>
        <v>200</v>
      </c>
      <c r="BG17" s="1">
        <f>IFERROR(VLOOKUP(AT17,'Top WS'!$A$19:$D$28,4),0)</f>
        <v>200</v>
      </c>
      <c r="BH17" s="1">
        <f>IFERROR(VLOOKUP(AU17,'Top WS'!$A$19:$D$28,4),0)</f>
        <v>206</v>
      </c>
      <c r="BI17" s="1">
        <f>IFERROR(VLOOKUP(AV17,'Top WS'!$A$19:$D$28,4),0)</f>
        <v>260</v>
      </c>
      <c r="BJ17" s="1">
        <f>IFERROR(VLOOKUP(AW17,'Top WS'!$A$19:$D$28,4),0)</f>
        <v>200</v>
      </c>
      <c r="BK17" s="98">
        <f>IFERROR(VLOOKUP(AX17,'Top WS'!$A$19:$D$28,4),0)</f>
        <v>200</v>
      </c>
      <c r="BL17" s="98">
        <f>IFERROR(VLOOKUP(AY17,'Top WS'!$A$19:$D$28,4),0)</f>
        <v>200</v>
      </c>
      <c r="BM17" s="98">
        <f>IFERROR(VLOOKUP(AZ17,'Top WS'!$A$19:$D$28,4),0)</f>
        <v>200</v>
      </c>
      <c r="BN17" s="98">
        <f>IFERROR(VLOOKUP(BA17,'Top WS'!$A$19:$D$28,4),0)</f>
        <v>200</v>
      </c>
      <c r="BO17" s="98">
        <f>IFERROR(VLOOKUP(BB17,'Top WS'!$A$19:$D$28,4),0)</f>
        <v>200</v>
      </c>
      <c r="BP17" s="98">
        <f>IFERROR(VLOOKUP(BC17,'Top WS'!$A$19:$D$28,4),0)</f>
        <v>200</v>
      </c>
    </row>
    <row r="18" spans="1:68" x14ac:dyDescent="0.4">
      <c r="A18">
        <v>1190022302</v>
      </c>
      <c r="B18">
        <f>VLOOKUP(A18,'Aji Plus'!$A$2:$D$58,2,0)</f>
        <v>65589</v>
      </c>
      <c r="C18" t="str">
        <f>VLOOKUP(A18,'Aji Plus'!$A$2:$D$58,3,0)</f>
        <v>นายไกรสร อิ่มเพ็ง</v>
      </c>
      <c r="D18" t="str">
        <f>VLOOKUP(A18,'Aji Plus'!$A$2:$D$58,4,0)</f>
        <v>P.Sanulok</v>
      </c>
      <c r="E18" s="1">
        <v>771</v>
      </c>
      <c r="F18" s="1">
        <v>780</v>
      </c>
      <c r="G18" s="1">
        <v>739</v>
      </c>
      <c r="H18" s="1">
        <v>566</v>
      </c>
      <c r="I18" s="1">
        <v>628</v>
      </c>
      <c r="J18" s="1">
        <v>700</v>
      </c>
      <c r="K18" s="1">
        <v>1024</v>
      </c>
      <c r="L18" s="1">
        <v>799</v>
      </c>
      <c r="M18" s="1">
        <v>602</v>
      </c>
      <c r="N18" s="1">
        <v>824</v>
      </c>
      <c r="O18" s="1">
        <v>783</v>
      </c>
      <c r="P18" s="1">
        <v>701</v>
      </c>
      <c r="R18" s="1">
        <f>VLOOKUP(A18,Actual_RDM!$A$2:$H$63,3,0)</f>
        <v>498.70000000000005</v>
      </c>
      <c r="S18" s="1">
        <f>VLOOKUP(A18,Actual_RDM!$A$2:$H$63,4,0)</f>
        <v>519.19999999999993</v>
      </c>
      <c r="T18" s="1">
        <f>VLOOKUP(A18,Actual_RDM!$A$2:$H$63,5,0)</f>
        <v>269.90000000000003</v>
      </c>
      <c r="U18" s="1">
        <f>VLOOKUP(A18,Actual_RDM!$A$2:$H$63,6,0)</f>
        <v>570.80000000000007</v>
      </c>
      <c r="V18" s="1">
        <f>VLOOKUP(A18,Actual_RDM!$A$2:$H$63,7,0)</f>
        <v>647.60000000000014</v>
      </c>
      <c r="W18" s="1">
        <f>VLOOKUP(A18,Actual_RDM!$A$2:$H$63,8,0)</f>
        <v>693</v>
      </c>
      <c r="X18" s="111"/>
      <c r="Y18" s="111"/>
      <c r="Z18" s="111"/>
      <c r="AA18" s="111"/>
      <c r="AB18" s="111"/>
      <c r="AC18" s="111"/>
      <c r="AE18" s="97">
        <f t="shared" si="2"/>
        <v>0.646822308690013</v>
      </c>
      <c r="AF18" s="97">
        <f t="shared" si="2"/>
        <v>0.66564102564102556</v>
      </c>
      <c r="AG18" s="97">
        <f t="shared" si="2"/>
        <v>0.36522327469553456</v>
      </c>
      <c r="AH18" s="97">
        <f t="shared" si="2"/>
        <v>1.0084805653710249</v>
      </c>
      <c r="AI18" s="97">
        <f t="shared" si="2"/>
        <v>1.0312101910828029</v>
      </c>
      <c r="AJ18" s="97">
        <f t="shared" si="2"/>
        <v>0.99</v>
      </c>
      <c r="AK18" s="99">
        <f t="shared" si="2"/>
        <v>0</v>
      </c>
      <c r="AL18" s="99">
        <f t="shared" si="2"/>
        <v>0</v>
      </c>
      <c r="AM18" s="99">
        <f t="shared" si="2"/>
        <v>0</v>
      </c>
      <c r="AN18" s="99">
        <f t="shared" si="2"/>
        <v>0</v>
      </c>
      <c r="AO18" s="99">
        <f t="shared" si="2"/>
        <v>0</v>
      </c>
      <c r="AP18" s="99">
        <f t="shared" si="2"/>
        <v>0</v>
      </c>
      <c r="AQ18" s="97"/>
      <c r="AR18" s="99">
        <f t="shared" si="3"/>
        <v>0.64680000000000004</v>
      </c>
      <c r="AS18" s="99">
        <f t="shared" si="3"/>
        <v>0.66559999999999997</v>
      </c>
      <c r="AT18" s="99">
        <f t="shared" si="3"/>
        <v>0.36520000000000002</v>
      </c>
      <c r="AU18" s="99">
        <f t="shared" si="3"/>
        <v>1.0085</v>
      </c>
      <c r="AV18" s="99">
        <f t="shared" si="3"/>
        <v>1.0311999999999999</v>
      </c>
      <c r="AW18" s="99">
        <f t="shared" si="3"/>
        <v>0.99</v>
      </c>
      <c r="AX18" s="99">
        <f t="shared" si="3"/>
        <v>0</v>
      </c>
      <c r="AY18" s="99">
        <f t="shared" si="3"/>
        <v>0</v>
      </c>
      <c r="AZ18" s="99">
        <f t="shared" si="3"/>
        <v>0</v>
      </c>
      <c r="BA18" s="99">
        <f t="shared" si="3"/>
        <v>0</v>
      </c>
      <c r="BB18" s="99">
        <f t="shared" si="3"/>
        <v>0</v>
      </c>
      <c r="BC18" s="99">
        <f t="shared" si="3"/>
        <v>0</v>
      </c>
      <c r="BD18" s="97"/>
      <c r="BE18" s="1">
        <f>IFERROR(VLOOKUP(AR18,'Top WS'!$A$19:$D$28,4),0)</f>
        <v>200</v>
      </c>
      <c r="BF18" s="1">
        <f>IFERROR(VLOOKUP(AS18,'Top WS'!$A$19:$D$28,4),0)</f>
        <v>200</v>
      </c>
      <c r="BG18" s="1">
        <f>IFERROR(VLOOKUP(AT18,'Top WS'!$A$19:$D$28,4),0)</f>
        <v>200</v>
      </c>
      <c r="BH18" s="1">
        <f>IFERROR(VLOOKUP(AU18,'Top WS'!$A$19:$D$28,4),0)</f>
        <v>206</v>
      </c>
      <c r="BI18" s="1">
        <f>IFERROR(VLOOKUP(AV18,'Top WS'!$A$19:$D$28,4),0)</f>
        <v>216</v>
      </c>
      <c r="BJ18" s="1">
        <f>IFERROR(VLOOKUP(AW18,'Top WS'!$A$19:$D$28,4),0)</f>
        <v>200</v>
      </c>
      <c r="BK18" s="98">
        <f>IFERROR(VLOOKUP(AX18,'Top WS'!$A$19:$D$28,4),0)</f>
        <v>200</v>
      </c>
      <c r="BL18" s="98">
        <f>IFERROR(VLOOKUP(AY18,'Top WS'!$A$19:$D$28,4),0)</f>
        <v>200</v>
      </c>
      <c r="BM18" s="98">
        <f>IFERROR(VLOOKUP(AZ18,'Top WS'!$A$19:$D$28,4),0)</f>
        <v>200</v>
      </c>
      <c r="BN18" s="98">
        <f>IFERROR(VLOOKUP(BA18,'Top WS'!$A$19:$D$28,4),0)</f>
        <v>200</v>
      </c>
      <c r="BO18" s="98">
        <f>IFERROR(VLOOKUP(BB18,'Top WS'!$A$19:$D$28,4),0)</f>
        <v>200</v>
      </c>
      <c r="BP18" s="98">
        <f>IFERROR(VLOOKUP(BC18,'Top WS'!$A$19:$D$28,4),0)</f>
        <v>200</v>
      </c>
    </row>
    <row r="19" spans="1:68" x14ac:dyDescent="0.4">
      <c r="A19">
        <v>1190022401</v>
      </c>
      <c r="B19">
        <f>VLOOKUP(A19,'Aji Plus'!$A$2:$D$58,2,0)</f>
        <v>75673</v>
      </c>
      <c r="C19" t="str">
        <f>VLOOKUP(A19,'Aji Plus'!$A$2:$D$58,3,0)</f>
        <v>นายพิเชษฐ เพชรสันทัด</v>
      </c>
      <c r="D19" t="str">
        <f>VLOOKUP(A19,'Aji Plus'!$A$2:$D$58,4,0)</f>
        <v>N.Sawan</v>
      </c>
      <c r="E19" s="1">
        <v>1683.6617827514199</v>
      </c>
      <c r="F19" s="1">
        <v>1704.3773282915979</v>
      </c>
      <c r="G19" s="1">
        <v>1614.1832395632953</v>
      </c>
      <c r="H19" s="1">
        <v>1236.2700077917084</v>
      </c>
      <c r="I19" s="1">
        <v>1370.7755794662053</v>
      </c>
      <c r="J19" s="1">
        <v>1528.5570450060707</v>
      </c>
      <c r="K19" s="1">
        <v>2237.1334440025485</v>
      </c>
      <c r="L19" s="1">
        <v>1744.2663914033719</v>
      </c>
      <c r="M19" s="1">
        <v>1315.2625725973019</v>
      </c>
      <c r="N19" s="1">
        <v>1800.4776750882368</v>
      </c>
      <c r="O19" s="1">
        <v>1447.586029221922</v>
      </c>
      <c r="P19" s="1">
        <v>1485.1475029471603</v>
      </c>
      <c r="R19" s="1">
        <f>VLOOKUP(A19,Actual_RDM!$A$2:$H$63,3,0)</f>
        <v>889.6</v>
      </c>
      <c r="S19" s="1">
        <f>VLOOKUP(A19,Actual_RDM!$A$2:$H$63,4,0)</f>
        <v>1157.4000000000001</v>
      </c>
      <c r="T19" s="1">
        <f>VLOOKUP(A19,Actual_RDM!$A$2:$H$63,5,0)</f>
        <v>689.3</v>
      </c>
      <c r="U19" s="1">
        <f>VLOOKUP(A19,Actual_RDM!$A$2:$H$63,6,0)</f>
        <v>891.8</v>
      </c>
      <c r="V19" s="1">
        <f>VLOOKUP(A19,Actual_RDM!$A$2:$H$63,7,0)</f>
        <v>510.5</v>
      </c>
      <c r="W19" s="1">
        <f>VLOOKUP(A19,Actual_RDM!$A$2:$H$63,8,0)</f>
        <v>872.09999999999991</v>
      </c>
      <c r="X19" s="111"/>
      <c r="Y19" s="111"/>
      <c r="Z19" s="111"/>
      <c r="AA19" s="111"/>
      <c r="AB19" s="111"/>
      <c r="AC19" s="111"/>
      <c r="AE19" s="97">
        <f t="shared" si="2"/>
        <v>0.52837215236080637</v>
      </c>
      <c r="AF19" s="97">
        <f t="shared" si="2"/>
        <v>0.6790749799283784</v>
      </c>
      <c r="AG19" s="97">
        <f t="shared" si="2"/>
        <v>0.42702710764515478</v>
      </c>
      <c r="AH19" s="97">
        <f t="shared" si="2"/>
        <v>0.72136345165647175</v>
      </c>
      <c r="AI19" s="97">
        <f t="shared" si="2"/>
        <v>0.37241690590869309</v>
      </c>
      <c r="AJ19" s="97">
        <f t="shared" si="2"/>
        <v>0.57053807893478803</v>
      </c>
      <c r="AK19" s="99">
        <f t="shared" si="2"/>
        <v>0</v>
      </c>
      <c r="AL19" s="99">
        <f t="shared" si="2"/>
        <v>0</v>
      </c>
      <c r="AM19" s="99">
        <f t="shared" si="2"/>
        <v>0</v>
      </c>
      <c r="AN19" s="99">
        <f t="shared" si="2"/>
        <v>0</v>
      </c>
      <c r="AO19" s="99">
        <f t="shared" si="2"/>
        <v>0</v>
      </c>
      <c r="AP19" s="99">
        <f t="shared" si="2"/>
        <v>0</v>
      </c>
      <c r="AQ19" s="97"/>
      <c r="AR19" s="99">
        <f t="shared" si="3"/>
        <v>0.52839999999999998</v>
      </c>
      <c r="AS19" s="99">
        <f t="shared" si="3"/>
        <v>0.67910000000000004</v>
      </c>
      <c r="AT19" s="99">
        <f t="shared" si="3"/>
        <v>0.42699999999999999</v>
      </c>
      <c r="AU19" s="99">
        <f t="shared" si="3"/>
        <v>0.72140000000000004</v>
      </c>
      <c r="AV19" s="99">
        <f t="shared" si="3"/>
        <v>0.37240000000000001</v>
      </c>
      <c r="AW19" s="99">
        <f t="shared" si="3"/>
        <v>0.57050000000000001</v>
      </c>
      <c r="AX19" s="99">
        <f t="shared" si="3"/>
        <v>0</v>
      </c>
      <c r="AY19" s="99">
        <f t="shared" si="3"/>
        <v>0</v>
      </c>
      <c r="AZ19" s="99">
        <f t="shared" si="3"/>
        <v>0</v>
      </c>
      <c r="BA19" s="99">
        <f t="shared" si="3"/>
        <v>0</v>
      </c>
      <c r="BB19" s="99">
        <f t="shared" si="3"/>
        <v>0</v>
      </c>
      <c r="BC19" s="99">
        <f t="shared" si="3"/>
        <v>0</v>
      </c>
      <c r="BD19" s="97"/>
      <c r="BE19" s="1">
        <f>IFERROR(VLOOKUP(AR19,'Top WS'!$A$19:$D$28,4),0)</f>
        <v>200</v>
      </c>
      <c r="BF19" s="1">
        <f>IFERROR(VLOOKUP(AS19,'Top WS'!$A$19:$D$28,4),0)</f>
        <v>200</v>
      </c>
      <c r="BG19" s="1">
        <f>IFERROR(VLOOKUP(AT19,'Top WS'!$A$19:$D$28,4),0)</f>
        <v>200</v>
      </c>
      <c r="BH19" s="1">
        <f>IFERROR(VLOOKUP(AU19,'Top WS'!$A$19:$D$28,4),0)</f>
        <v>200</v>
      </c>
      <c r="BI19" s="1">
        <f>IFERROR(VLOOKUP(AV19,'Top WS'!$A$19:$D$28,4),0)</f>
        <v>200</v>
      </c>
      <c r="BJ19" s="1">
        <f>IFERROR(VLOOKUP(AW19,'Top WS'!$A$19:$D$28,4),0)</f>
        <v>200</v>
      </c>
      <c r="BK19" s="98">
        <f>IFERROR(VLOOKUP(AX19,'Top WS'!$A$19:$D$28,4),0)</f>
        <v>200</v>
      </c>
      <c r="BL19" s="98">
        <f>IFERROR(VLOOKUP(AY19,'Top WS'!$A$19:$D$28,4),0)</f>
        <v>200</v>
      </c>
      <c r="BM19" s="98">
        <f>IFERROR(VLOOKUP(AZ19,'Top WS'!$A$19:$D$28,4),0)</f>
        <v>200</v>
      </c>
      <c r="BN19" s="98">
        <f>IFERROR(VLOOKUP(BA19,'Top WS'!$A$19:$D$28,4),0)</f>
        <v>200</v>
      </c>
      <c r="BO19" s="98">
        <f>IFERROR(VLOOKUP(BB19,'Top WS'!$A$19:$D$28,4),0)</f>
        <v>200</v>
      </c>
      <c r="BP19" s="98">
        <f>IFERROR(VLOOKUP(BC19,'Top WS'!$A$19:$D$28,4),0)</f>
        <v>200</v>
      </c>
    </row>
    <row r="20" spans="1:68" x14ac:dyDescent="0.4">
      <c r="A20">
        <v>1190022402</v>
      </c>
      <c r="B20">
        <f>VLOOKUP(A20,'Aji Plus'!$A$2:$D$58,2,0)</f>
        <v>63074</v>
      </c>
      <c r="C20" t="str">
        <f>VLOOKUP(A20,'Aji Plus'!$A$2:$D$58,3,0)</f>
        <v>นายวีรยุทธ ตันพงษ์</v>
      </c>
      <c r="D20" t="str">
        <f>VLOOKUP(A20,'Aji Plus'!$A$2:$D$58,4,0)</f>
        <v>N.Sawan</v>
      </c>
      <c r="E20" s="1">
        <v>446.42170237304867</v>
      </c>
      <c r="F20" s="1">
        <v>451.91441427063648</v>
      </c>
      <c r="G20" s="1">
        <v>427.99951696372329</v>
      </c>
      <c r="H20" s="1">
        <v>327.79609724775713</v>
      </c>
      <c r="I20" s="1">
        <v>363.46015216706655</v>
      </c>
      <c r="J20" s="1">
        <v>405.29579348816003</v>
      </c>
      <c r="K20" s="1">
        <v>593.17431252447125</v>
      </c>
      <c r="L20" s="1">
        <v>462.49097046669362</v>
      </c>
      <c r="M20" s="1">
        <v>348.74091859881162</v>
      </c>
      <c r="N20" s="1">
        <v>477.39535162700219</v>
      </c>
      <c r="O20" s="1">
        <v>383.82638729295417</v>
      </c>
      <c r="P20" s="1">
        <v>393.7857848488332</v>
      </c>
      <c r="R20" s="1">
        <f>VLOOKUP(A20,Actual_RDM!$A$2:$H$63,3,0)</f>
        <v>182.6</v>
      </c>
      <c r="S20" s="1">
        <f>VLOOKUP(A20,Actual_RDM!$A$2:$H$63,4,0)</f>
        <v>352.2</v>
      </c>
      <c r="T20" s="1">
        <f>VLOOKUP(A20,Actual_RDM!$A$2:$H$63,5,0)</f>
        <v>321.7</v>
      </c>
      <c r="U20" s="1">
        <f>VLOOKUP(A20,Actual_RDM!$A$2:$H$63,6,0)</f>
        <v>249.2</v>
      </c>
      <c r="V20" s="1">
        <f>VLOOKUP(A20,Actual_RDM!$A$2:$H$63,7,0)</f>
        <v>192.6</v>
      </c>
      <c r="W20" s="1">
        <f>VLOOKUP(A20,Actual_RDM!$A$2:$H$63,8,0)</f>
        <v>353.5</v>
      </c>
      <c r="X20" s="111"/>
      <c r="Y20" s="111"/>
      <c r="Z20" s="111"/>
      <c r="AA20" s="111"/>
      <c r="AB20" s="111"/>
      <c r="AC20" s="111"/>
      <c r="AE20" s="97">
        <f t="shared" si="2"/>
        <v>0.40903029362002608</v>
      </c>
      <c r="AF20" s="97">
        <f t="shared" si="2"/>
        <v>0.7793511091440406</v>
      </c>
      <c r="AG20" s="97">
        <f t="shared" si="2"/>
        <v>0.75163636230754638</v>
      </c>
      <c r="AH20" s="97">
        <f t="shared" si="2"/>
        <v>0.76022869732841236</v>
      </c>
      <c r="AI20" s="97">
        <f t="shared" si="2"/>
        <v>0.52990678304528493</v>
      </c>
      <c r="AJ20" s="97">
        <f t="shared" si="2"/>
        <v>0.87220248934147115</v>
      </c>
      <c r="AK20" s="99">
        <f t="shared" si="2"/>
        <v>0</v>
      </c>
      <c r="AL20" s="99">
        <f t="shared" si="2"/>
        <v>0</v>
      </c>
      <c r="AM20" s="99">
        <f t="shared" si="2"/>
        <v>0</v>
      </c>
      <c r="AN20" s="99">
        <f t="shared" si="2"/>
        <v>0</v>
      </c>
      <c r="AO20" s="99">
        <f t="shared" si="2"/>
        <v>0</v>
      </c>
      <c r="AP20" s="99">
        <f t="shared" si="2"/>
        <v>0</v>
      </c>
      <c r="AQ20" s="97"/>
      <c r="AR20" s="99">
        <f t="shared" si="3"/>
        <v>0.40899999999999997</v>
      </c>
      <c r="AS20" s="99">
        <f t="shared" si="3"/>
        <v>0.77939999999999998</v>
      </c>
      <c r="AT20" s="99">
        <f t="shared" si="3"/>
        <v>0.75160000000000005</v>
      </c>
      <c r="AU20" s="99">
        <f t="shared" si="3"/>
        <v>0.76019999999999999</v>
      </c>
      <c r="AV20" s="99">
        <f t="shared" si="3"/>
        <v>0.52990000000000004</v>
      </c>
      <c r="AW20" s="99">
        <f t="shared" si="3"/>
        <v>0.87219999999999998</v>
      </c>
      <c r="AX20" s="99">
        <f t="shared" si="3"/>
        <v>0</v>
      </c>
      <c r="AY20" s="99">
        <f t="shared" si="3"/>
        <v>0</v>
      </c>
      <c r="AZ20" s="99">
        <f t="shared" si="3"/>
        <v>0</v>
      </c>
      <c r="BA20" s="99">
        <f t="shared" si="3"/>
        <v>0</v>
      </c>
      <c r="BB20" s="99">
        <f t="shared" si="3"/>
        <v>0</v>
      </c>
      <c r="BC20" s="99">
        <f t="shared" si="3"/>
        <v>0</v>
      </c>
      <c r="BD20" s="97"/>
      <c r="BE20" s="1">
        <f>IFERROR(VLOOKUP(AR20,'Top WS'!$A$19:$D$28,4),0)</f>
        <v>200</v>
      </c>
      <c r="BF20" s="1">
        <f>IFERROR(VLOOKUP(AS20,'Top WS'!$A$19:$D$28,4),0)</f>
        <v>200</v>
      </c>
      <c r="BG20" s="1">
        <f>IFERROR(VLOOKUP(AT20,'Top WS'!$A$19:$D$28,4),0)</f>
        <v>200</v>
      </c>
      <c r="BH20" s="1">
        <f>IFERROR(VLOOKUP(AU20,'Top WS'!$A$19:$D$28,4),0)</f>
        <v>200</v>
      </c>
      <c r="BI20" s="1">
        <f>IFERROR(VLOOKUP(AV20,'Top WS'!$A$19:$D$28,4),0)</f>
        <v>200</v>
      </c>
      <c r="BJ20" s="1">
        <f>IFERROR(VLOOKUP(AW20,'Top WS'!$A$19:$D$28,4),0)</f>
        <v>200</v>
      </c>
      <c r="BK20" s="98">
        <f>IFERROR(VLOOKUP(AX20,'Top WS'!$A$19:$D$28,4),0)</f>
        <v>200</v>
      </c>
      <c r="BL20" s="98">
        <f>IFERROR(VLOOKUP(AY20,'Top WS'!$A$19:$D$28,4),0)</f>
        <v>200</v>
      </c>
      <c r="BM20" s="98">
        <f>IFERROR(VLOOKUP(AZ20,'Top WS'!$A$19:$D$28,4),0)</f>
        <v>200</v>
      </c>
      <c r="BN20" s="98">
        <f>IFERROR(VLOOKUP(BA20,'Top WS'!$A$19:$D$28,4),0)</f>
        <v>200</v>
      </c>
      <c r="BO20" s="98">
        <f>IFERROR(VLOOKUP(BB20,'Top WS'!$A$19:$D$28,4),0)</f>
        <v>200</v>
      </c>
      <c r="BP20" s="98">
        <f>IFERROR(VLOOKUP(BC20,'Top WS'!$A$19:$D$28,4),0)</f>
        <v>200</v>
      </c>
    </row>
    <row r="21" spans="1:68" x14ac:dyDescent="0.4">
      <c r="A21">
        <v>1190022510</v>
      </c>
      <c r="B21">
        <f>VLOOKUP(A21,'Aji Plus'!$A$2:$D$58,2,0)</f>
        <v>60961</v>
      </c>
      <c r="C21" t="str">
        <f>VLOOKUP(A21,'Aji Plus'!$A$2:$D$58,3,0)</f>
        <v>นายสิงหา แสนโดด</v>
      </c>
      <c r="D21" t="str">
        <f>VLOOKUP(A21,'Aji Plus'!$A$2:$D$58,4,0)</f>
        <v>Kampeng.P</v>
      </c>
      <c r="E21" s="1">
        <v>1431.767455980571</v>
      </c>
      <c r="F21" s="1">
        <v>1449.3837279902855</v>
      </c>
      <c r="G21" s="1">
        <v>1372.6836672738311</v>
      </c>
      <c r="H21" s="1">
        <v>1300</v>
      </c>
      <c r="I21" s="1">
        <v>1300</v>
      </c>
      <c r="J21" s="1">
        <v>1299.8680935033387</v>
      </c>
      <c r="K21" s="1">
        <v>1900</v>
      </c>
      <c r="L21" s="1">
        <v>1483.3049483910133</v>
      </c>
      <c r="M21" s="1">
        <v>1200</v>
      </c>
      <c r="N21" s="1">
        <v>1530</v>
      </c>
      <c r="O21" s="1">
        <v>1230</v>
      </c>
      <c r="P21" s="1">
        <v>1262.9530965391627</v>
      </c>
      <c r="R21" s="1">
        <f>VLOOKUP(A21,Actual_RDM!$A$2:$H$63,3,0)</f>
        <v>1152.4000000000003</v>
      </c>
      <c r="S21" s="1">
        <f>VLOOKUP(A21,Actual_RDM!$A$2:$H$63,4,0)</f>
        <v>758.90000000000009</v>
      </c>
      <c r="T21" s="1">
        <f>VLOOKUP(A21,Actual_RDM!$A$2:$H$63,5,0)</f>
        <v>553.6</v>
      </c>
      <c r="U21" s="1">
        <f>VLOOKUP(A21,Actual_RDM!$A$2:$H$63,6,0)</f>
        <v>711.59999999999991</v>
      </c>
      <c r="V21" s="1">
        <f>VLOOKUP(A21,Actual_RDM!$A$2:$H$63,7,0)</f>
        <v>959.30000000000007</v>
      </c>
      <c r="W21" s="1">
        <f>VLOOKUP(A21,Actual_RDM!$A$2:$H$63,8,0)</f>
        <v>598.40000000000009</v>
      </c>
      <c r="X21" s="111"/>
      <c r="Y21" s="111"/>
      <c r="Z21" s="111"/>
      <c r="AA21" s="111"/>
      <c r="AB21" s="111"/>
      <c r="AC21" s="111"/>
      <c r="AE21" s="97">
        <f t="shared" si="2"/>
        <v>0.8048793085681355</v>
      </c>
      <c r="AF21" s="97">
        <f t="shared" si="2"/>
        <v>0.52360184907849794</v>
      </c>
      <c r="AG21" s="97">
        <f t="shared" si="2"/>
        <v>0.40329757918622089</v>
      </c>
      <c r="AH21" s="97">
        <f t="shared" si="2"/>
        <v>0.54738461538461536</v>
      </c>
      <c r="AI21" s="97">
        <f t="shared" si="2"/>
        <v>0.73792307692307701</v>
      </c>
      <c r="AJ21" s="97">
        <f t="shared" si="2"/>
        <v>0.46035440287423524</v>
      </c>
      <c r="AK21" s="99">
        <f t="shared" si="2"/>
        <v>0</v>
      </c>
      <c r="AL21" s="99">
        <f t="shared" si="2"/>
        <v>0</v>
      </c>
      <c r="AM21" s="99">
        <f t="shared" si="2"/>
        <v>0</v>
      </c>
      <c r="AN21" s="99">
        <f t="shared" si="2"/>
        <v>0</v>
      </c>
      <c r="AO21" s="99">
        <f t="shared" si="2"/>
        <v>0</v>
      </c>
      <c r="AP21" s="99">
        <f t="shared" si="2"/>
        <v>0</v>
      </c>
      <c r="AQ21" s="97"/>
      <c r="AR21" s="99">
        <f t="shared" si="3"/>
        <v>0.80489999999999995</v>
      </c>
      <c r="AS21" s="99">
        <f t="shared" si="3"/>
        <v>0.52359999999999995</v>
      </c>
      <c r="AT21" s="99">
        <f t="shared" si="3"/>
        <v>0.40329999999999999</v>
      </c>
      <c r="AU21" s="99">
        <f t="shared" si="3"/>
        <v>0.5474</v>
      </c>
      <c r="AV21" s="99">
        <f t="shared" si="3"/>
        <v>0.7379</v>
      </c>
      <c r="AW21" s="99">
        <f t="shared" si="3"/>
        <v>0.46039999999999998</v>
      </c>
      <c r="AX21" s="99">
        <f t="shared" si="3"/>
        <v>0</v>
      </c>
      <c r="AY21" s="99">
        <f t="shared" si="3"/>
        <v>0</v>
      </c>
      <c r="AZ21" s="99">
        <f t="shared" si="3"/>
        <v>0</v>
      </c>
      <c r="BA21" s="99">
        <f t="shared" si="3"/>
        <v>0</v>
      </c>
      <c r="BB21" s="99">
        <f t="shared" si="3"/>
        <v>0</v>
      </c>
      <c r="BC21" s="99">
        <f t="shared" si="3"/>
        <v>0</v>
      </c>
      <c r="BD21" s="97"/>
      <c r="BE21" s="1">
        <f>IFERROR(VLOOKUP(AR21,'Top WS'!$A$19:$D$28,4),0)</f>
        <v>200</v>
      </c>
      <c r="BF21" s="1">
        <f>IFERROR(VLOOKUP(AS21,'Top WS'!$A$19:$D$28,4),0)</f>
        <v>200</v>
      </c>
      <c r="BG21" s="1">
        <f>IFERROR(VLOOKUP(AT21,'Top WS'!$A$19:$D$28,4),0)</f>
        <v>200</v>
      </c>
      <c r="BH21" s="1">
        <f>IFERROR(VLOOKUP(AU21,'Top WS'!$A$19:$D$28,4),0)</f>
        <v>200</v>
      </c>
      <c r="BI21" s="1">
        <f>IFERROR(VLOOKUP(AV21,'Top WS'!$A$19:$D$28,4),0)</f>
        <v>200</v>
      </c>
      <c r="BJ21" s="1">
        <f>IFERROR(VLOOKUP(AW21,'Top WS'!$A$19:$D$28,4),0)</f>
        <v>200</v>
      </c>
      <c r="BK21" s="98">
        <f>IFERROR(VLOOKUP(AX21,'Top WS'!$A$19:$D$28,4),0)</f>
        <v>200</v>
      </c>
      <c r="BL21" s="98">
        <f>IFERROR(VLOOKUP(AY21,'Top WS'!$A$19:$D$28,4),0)</f>
        <v>200</v>
      </c>
      <c r="BM21" s="98">
        <f>IFERROR(VLOOKUP(AZ21,'Top WS'!$A$19:$D$28,4),0)</f>
        <v>200</v>
      </c>
      <c r="BN21" s="98">
        <f>IFERROR(VLOOKUP(BA21,'Top WS'!$A$19:$D$28,4),0)</f>
        <v>200</v>
      </c>
      <c r="BO21" s="98">
        <f>IFERROR(VLOOKUP(BB21,'Top WS'!$A$19:$D$28,4),0)</f>
        <v>200</v>
      </c>
      <c r="BP21" s="98">
        <f>IFERROR(VLOOKUP(BC21,'Top WS'!$A$19:$D$28,4),0)</f>
        <v>200</v>
      </c>
    </row>
    <row r="22" spans="1:68" x14ac:dyDescent="0.4">
      <c r="A22">
        <v>1190027101</v>
      </c>
      <c r="B22">
        <f>VLOOKUP(A22,'Aji Plus'!$A$2:$D$58,2,0)</f>
        <v>70526</v>
      </c>
      <c r="C22" t="str">
        <f>VLOOKUP(A22,'Aji Plus'!$A$2:$D$58,3,0)</f>
        <v>นายสมฤกษ นิลสนธิ์</v>
      </c>
      <c r="D22" t="str">
        <f>VLOOKUP(A22,'Aji Plus'!$A$2:$D$58,4,0)</f>
        <v>Tak</v>
      </c>
      <c r="E22" s="1">
        <v>1968</v>
      </c>
      <c r="F22" s="1">
        <v>1993</v>
      </c>
      <c r="G22" s="1">
        <v>1887.2295081967213</v>
      </c>
      <c r="H22" s="1">
        <v>1445</v>
      </c>
      <c r="I22" s="1">
        <v>1603</v>
      </c>
      <c r="J22" s="1">
        <v>1787</v>
      </c>
      <c r="K22" s="1">
        <v>2616</v>
      </c>
      <c r="L22" s="1">
        <v>2039</v>
      </c>
      <c r="M22" s="1">
        <v>1538</v>
      </c>
      <c r="N22" s="1">
        <v>2105</v>
      </c>
      <c r="O22" s="1">
        <v>1692</v>
      </c>
      <c r="P22" s="1">
        <v>1737</v>
      </c>
      <c r="R22" s="1">
        <f>VLOOKUP(A22,Actual_RDM!$A$2:$H$63,3,0)</f>
        <v>1405</v>
      </c>
      <c r="S22" s="1">
        <f>VLOOKUP(A22,Actual_RDM!$A$2:$H$63,4,0)</f>
        <v>1127.3</v>
      </c>
      <c r="T22" s="1">
        <f>VLOOKUP(A22,Actual_RDM!$A$2:$H$63,5,0)</f>
        <v>1522.5</v>
      </c>
      <c r="U22" s="1">
        <f>VLOOKUP(A22,Actual_RDM!$A$2:$H$63,6,0)</f>
        <v>1777.0999999999997</v>
      </c>
      <c r="V22" s="1">
        <f>VLOOKUP(A22,Actual_RDM!$A$2:$H$63,7,0)</f>
        <v>1533.2999999999997</v>
      </c>
      <c r="W22" s="1">
        <f>VLOOKUP(A22,Actual_RDM!$A$2:$H$63,8,0)</f>
        <v>1034.7</v>
      </c>
      <c r="X22" s="111"/>
      <c r="Y22" s="111"/>
      <c r="Z22" s="111"/>
      <c r="AA22" s="111"/>
      <c r="AB22" s="111"/>
      <c r="AC22" s="111"/>
      <c r="AE22" s="97">
        <f t="shared" si="2"/>
        <v>0.71392276422764223</v>
      </c>
      <c r="AF22" s="97">
        <f t="shared" si="2"/>
        <v>0.56562970396387358</v>
      </c>
      <c r="AG22" s="97">
        <f t="shared" si="2"/>
        <v>0.80673812770910602</v>
      </c>
      <c r="AH22" s="97">
        <f t="shared" si="2"/>
        <v>1.229826989619377</v>
      </c>
      <c r="AI22" s="97">
        <f t="shared" si="2"/>
        <v>0.95651902682470347</v>
      </c>
      <c r="AJ22" s="97">
        <f t="shared" si="2"/>
        <v>0.57901510912143261</v>
      </c>
      <c r="AK22" s="99">
        <f t="shared" si="2"/>
        <v>0</v>
      </c>
      <c r="AL22" s="99">
        <f t="shared" si="2"/>
        <v>0</v>
      </c>
      <c r="AM22" s="99">
        <f t="shared" si="2"/>
        <v>0</v>
      </c>
      <c r="AN22" s="99">
        <f t="shared" si="2"/>
        <v>0</v>
      </c>
      <c r="AO22" s="99">
        <f t="shared" si="2"/>
        <v>0</v>
      </c>
      <c r="AP22" s="99">
        <f t="shared" si="2"/>
        <v>0</v>
      </c>
      <c r="AQ22" s="97"/>
      <c r="AR22" s="99">
        <f t="shared" si="3"/>
        <v>0.71389999999999998</v>
      </c>
      <c r="AS22" s="99">
        <f t="shared" si="3"/>
        <v>0.56559999999999999</v>
      </c>
      <c r="AT22" s="99">
        <f t="shared" si="3"/>
        <v>0.80669999999999997</v>
      </c>
      <c r="AU22" s="99">
        <f t="shared" si="3"/>
        <v>1.2298</v>
      </c>
      <c r="AV22" s="99">
        <f t="shared" si="3"/>
        <v>0.95650000000000002</v>
      </c>
      <c r="AW22" s="99">
        <f t="shared" si="3"/>
        <v>0.57899999999999996</v>
      </c>
      <c r="AX22" s="99">
        <f t="shared" si="3"/>
        <v>0</v>
      </c>
      <c r="AY22" s="99">
        <f t="shared" si="3"/>
        <v>0</v>
      </c>
      <c r="AZ22" s="99">
        <f t="shared" si="3"/>
        <v>0</v>
      </c>
      <c r="BA22" s="99">
        <f t="shared" si="3"/>
        <v>0</v>
      </c>
      <c r="BB22" s="99">
        <f t="shared" si="3"/>
        <v>0</v>
      </c>
      <c r="BC22" s="99">
        <f t="shared" si="3"/>
        <v>0</v>
      </c>
      <c r="BD22" s="97"/>
      <c r="BE22" s="1">
        <f>IFERROR(VLOOKUP(AR22,'Top WS'!$A$19:$D$28,4),0)</f>
        <v>200</v>
      </c>
      <c r="BF22" s="1">
        <f>IFERROR(VLOOKUP(AS22,'Top WS'!$A$19:$D$28,4),0)</f>
        <v>200</v>
      </c>
      <c r="BG22" s="1">
        <f>IFERROR(VLOOKUP(AT22,'Top WS'!$A$19:$D$28,4),0)</f>
        <v>200</v>
      </c>
      <c r="BH22" s="1">
        <f>IFERROR(VLOOKUP(AU22,'Top WS'!$A$19:$D$28,4),0)</f>
        <v>260</v>
      </c>
      <c r="BI22" s="1">
        <f>IFERROR(VLOOKUP(AV22,'Top WS'!$A$19:$D$28,4),0)</f>
        <v>200</v>
      </c>
      <c r="BJ22" s="1">
        <f>IFERROR(VLOOKUP(AW22,'Top WS'!$A$19:$D$28,4),0)</f>
        <v>200</v>
      </c>
      <c r="BK22" s="98">
        <f>IFERROR(VLOOKUP(AX22,'Top WS'!$A$19:$D$28,4),0)</f>
        <v>200</v>
      </c>
      <c r="BL22" s="98">
        <f>IFERROR(VLOOKUP(AY22,'Top WS'!$A$19:$D$28,4),0)</f>
        <v>200</v>
      </c>
      <c r="BM22" s="98">
        <f>IFERROR(VLOOKUP(AZ22,'Top WS'!$A$19:$D$28,4),0)</f>
        <v>200</v>
      </c>
      <c r="BN22" s="98">
        <f>IFERROR(VLOOKUP(BA22,'Top WS'!$A$19:$D$28,4),0)</f>
        <v>200</v>
      </c>
      <c r="BO22" s="98">
        <f>IFERROR(VLOOKUP(BB22,'Top WS'!$A$19:$D$28,4),0)</f>
        <v>200</v>
      </c>
      <c r="BP22" s="98">
        <f>IFERROR(VLOOKUP(BC22,'Top WS'!$A$19:$D$28,4),0)</f>
        <v>200</v>
      </c>
    </row>
    <row r="23" spans="1:68" x14ac:dyDescent="0.4">
      <c r="A23">
        <v>1190032602</v>
      </c>
      <c r="B23">
        <f>VLOOKUP(A23,'Aji Plus'!$A$2:$D$58,2,0)</f>
        <v>66632</v>
      </c>
      <c r="C23" t="str">
        <f>VLOOKUP(A23,'Aji Plus'!$A$2:$D$58,3,0)</f>
        <v>นายสิทธิชัย ใจเย็น</v>
      </c>
      <c r="D23" t="str">
        <f>VLOOKUP(A23,'Aji Plus'!$A$2:$D$58,4,0)</f>
        <v>Rayong</v>
      </c>
      <c r="E23" s="1">
        <v>2750</v>
      </c>
      <c r="F23" s="1">
        <v>3300</v>
      </c>
      <c r="G23" s="1">
        <v>2600</v>
      </c>
      <c r="H23" s="1">
        <v>2950</v>
      </c>
      <c r="I23" s="1">
        <v>3050</v>
      </c>
      <c r="J23" s="1">
        <v>3300</v>
      </c>
      <c r="K23" s="1">
        <v>3900</v>
      </c>
      <c r="L23" s="1">
        <v>3850</v>
      </c>
      <c r="M23" s="1">
        <v>2550</v>
      </c>
      <c r="N23" s="1">
        <v>3700</v>
      </c>
      <c r="O23" s="1">
        <v>2300</v>
      </c>
      <c r="P23" s="1">
        <v>3000</v>
      </c>
      <c r="R23" s="1">
        <f>VLOOKUP(A23,Actual_RDM!$A$2:$H$63,3,0)</f>
        <v>2618.8000000000002</v>
      </c>
      <c r="S23" s="1">
        <f>VLOOKUP(A23,Actual_RDM!$A$2:$H$63,4,0)</f>
        <v>2312.1</v>
      </c>
      <c r="T23" s="1">
        <f>VLOOKUP(A23,Actual_RDM!$A$2:$H$63,5,0)</f>
        <v>2204.1</v>
      </c>
      <c r="U23" s="1">
        <f>VLOOKUP(A23,Actual_RDM!$A$2:$H$63,6,0)</f>
        <v>2363.4999999999991</v>
      </c>
      <c r="V23" s="1">
        <f>VLOOKUP(A23,Actual_RDM!$A$2:$H$63,7,0)</f>
        <v>2866.1</v>
      </c>
      <c r="W23" s="1">
        <f>VLOOKUP(A23,Actual_RDM!$A$2:$H$63,8,0)</f>
        <v>2815.0999999999995</v>
      </c>
      <c r="X23" s="111"/>
      <c r="Y23" s="111"/>
      <c r="Z23" s="111"/>
      <c r="AA23" s="111"/>
      <c r="AB23" s="111"/>
      <c r="AC23" s="111"/>
      <c r="AE23" s="97">
        <f t="shared" si="2"/>
        <v>0.95229090909090919</v>
      </c>
      <c r="AF23" s="97">
        <f t="shared" si="2"/>
        <v>0.70063636363636361</v>
      </c>
      <c r="AG23" s="97">
        <f t="shared" si="2"/>
        <v>0.84773076923076918</v>
      </c>
      <c r="AH23" s="97">
        <f t="shared" si="2"/>
        <v>0.80118644067796574</v>
      </c>
      <c r="AI23" s="97">
        <f t="shared" si="2"/>
        <v>0.93970491803278688</v>
      </c>
      <c r="AJ23" s="97">
        <f t="shared" si="2"/>
        <v>0.85306060606060585</v>
      </c>
      <c r="AK23" s="99">
        <f t="shared" si="2"/>
        <v>0</v>
      </c>
      <c r="AL23" s="99">
        <f t="shared" si="2"/>
        <v>0</v>
      </c>
      <c r="AM23" s="99">
        <f t="shared" si="2"/>
        <v>0</v>
      </c>
      <c r="AN23" s="99">
        <f t="shared" si="2"/>
        <v>0</v>
      </c>
      <c r="AO23" s="99">
        <f t="shared" si="2"/>
        <v>0</v>
      </c>
      <c r="AP23" s="99">
        <f t="shared" si="2"/>
        <v>0</v>
      </c>
      <c r="AQ23" s="97"/>
      <c r="AR23" s="99">
        <f t="shared" si="3"/>
        <v>0.95230000000000004</v>
      </c>
      <c r="AS23" s="99">
        <f t="shared" si="3"/>
        <v>0.7006</v>
      </c>
      <c r="AT23" s="99">
        <f t="shared" si="3"/>
        <v>0.84770000000000001</v>
      </c>
      <c r="AU23" s="99">
        <f t="shared" si="3"/>
        <v>0.80120000000000002</v>
      </c>
      <c r="AV23" s="99">
        <f t="shared" si="3"/>
        <v>0.93969999999999998</v>
      </c>
      <c r="AW23" s="99">
        <f t="shared" si="3"/>
        <v>0.85309999999999997</v>
      </c>
      <c r="AX23" s="99">
        <f t="shared" si="3"/>
        <v>0</v>
      </c>
      <c r="AY23" s="99">
        <f t="shared" si="3"/>
        <v>0</v>
      </c>
      <c r="AZ23" s="99">
        <f t="shared" si="3"/>
        <v>0</v>
      </c>
      <c r="BA23" s="99">
        <f t="shared" si="3"/>
        <v>0</v>
      </c>
      <c r="BB23" s="99">
        <f t="shared" si="3"/>
        <v>0</v>
      </c>
      <c r="BC23" s="99">
        <f t="shared" si="3"/>
        <v>0</v>
      </c>
      <c r="BD23" s="97"/>
      <c r="BE23" s="1">
        <f>IFERROR(VLOOKUP(AR23,'Top WS'!$A$19:$D$28,4),0)</f>
        <v>200</v>
      </c>
      <c r="BF23" s="1">
        <f>IFERROR(VLOOKUP(AS23,'Top WS'!$A$19:$D$28,4),0)</f>
        <v>200</v>
      </c>
      <c r="BG23" s="1">
        <f>IFERROR(VLOOKUP(AT23,'Top WS'!$A$19:$D$28,4),0)</f>
        <v>200</v>
      </c>
      <c r="BH23" s="1">
        <f>IFERROR(VLOOKUP(AU23,'Top WS'!$A$19:$D$28,4),0)</f>
        <v>200</v>
      </c>
      <c r="BI23" s="1">
        <f>IFERROR(VLOOKUP(AV23,'Top WS'!$A$19:$D$28,4),0)</f>
        <v>200</v>
      </c>
      <c r="BJ23" s="1">
        <f>IFERROR(VLOOKUP(AW23,'Top WS'!$A$19:$D$28,4),0)</f>
        <v>200</v>
      </c>
      <c r="BK23" s="98">
        <f>IFERROR(VLOOKUP(AX23,'Top WS'!$A$19:$D$28,4),0)</f>
        <v>200</v>
      </c>
      <c r="BL23" s="98">
        <f>IFERROR(VLOOKUP(AY23,'Top WS'!$A$19:$D$28,4),0)</f>
        <v>200</v>
      </c>
      <c r="BM23" s="98">
        <f>IFERROR(VLOOKUP(AZ23,'Top WS'!$A$19:$D$28,4),0)</f>
        <v>200</v>
      </c>
      <c r="BN23" s="98">
        <f>IFERROR(VLOOKUP(BA23,'Top WS'!$A$19:$D$28,4),0)</f>
        <v>200</v>
      </c>
      <c r="BO23" s="98">
        <f>IFERROR(VLOOKUP(BB23,'Top WS'!$A$19:$D$28,4),0)</f>
        <v>200</v>
      </c>
      <c r="BP23" s="98">
        <f>IFERROR(VLOOKUP(BC23,'Top WS'!$A$19:$D$28,4),0)</f>
        <v>200</v>
      </c>
    </row>
    <row r="24" spans="1:68" x14ac:dyDescent="0.4">
      <c r="A24">
        <v>1190032701</v>
      </c>
      <c r="B24">
        <f>VLOOKUP(A24,'Aji Plus'!$A$2:$D$58,2,0)</f>
        <v>70330</v>
      </c>
      <c r="C24" t="str">
        <f>VLOOKUP(A24,'Aji Plus'!$A$2:$D$58,3,0)</f>
        <v>นายสุรวรรณ ทวีสิน</v>
      </c>
      <c r="D24" t="str">
        <f>VLOOKUP(A24,'Aji Plus'!$A$2:$D$58,4,0)</f>
        <v>Chachoengsao</v>
      </c>
      <c r="E24" s="1">
        <v>749</v>
      </c>
      <c r="F24" s="1">
        <v>1166</v>
      </c>
      <c r="G24" s="1">
        <v>1677</v>
      </c>
      <c r="H24" s="1">
        <v>968</v>
      </c>
      <c r="I24" s="1">
        <v>982</v>
      </c>
      <c r="J24" s="1">
        <v>1065</v>
      </c>
      <c r="K24" s="1">
        <v>1152</v>
      </c>
      <c r="L24" s="1">
        <v>973</v>
      </c>
      <c r="M24" s="1">
        <v>875</v>
      </c>
      <c r="N24" s="1">
        <v>1438</v>
      </c>
      <c r="O24" s="1">
        <v>1231</v>
      </c>
      <c r="P24" s="1">
        <v>832</v>
      </c>
      <c r="R24" s="1">
        <f>VLOOKUP(A24,Actual_RDM!$A$2:$H$63,3,0)</f>
        <v>913.50000000000011</v>
      </c>
      <c r="S24" s="1">
        <f>VLOOKUP(A24,Actual_RDM!$A$2:$H$63,4,0)</f>
        <v>1050.0999999999999</v>
      </c>
      <c r="T24" s="1">
        <f>VLOOKUP(A24,Actual_RDM!$A$2:$H$63,5,0)</f>
        <v>800.9</v>
      </c>
      <c r="U24" s="1">
        <f>VLOOKUP(A24,Actual_RDM!$A$2:$H$63,6,0)</f>
        <v>843.30000000000018</v>
      </c>
      <c r="V24" s="1">
        <f>VLOOKUP(A24,Actual_RDM!$A$2:$H$63,7,0)</f>
        <v>819.10000000000014</v>
      </c>
      <c r="W24" s="1">
        <f>VLOOKUP(A24,Actual_RDM!$A$2:$H$63,8,0)</f>
        <v>768.6</v>
      </c>
      <c r="X24" s="111"/>
      <c r="Y24" s="111"/>
      <c r="Z24" s="111"/>
      <c r="AA24" s="111"/>
      <c r="AB24" s="111"/>
      <c r="AC24" s="111"/>
      <c r="AE24" s="97">
        <f t="shared" si="2"/>
        <v>1.2196261682242993</v>
      </c>
      <c r="AF24" s="97">
        <f t="shared" si="2"/>
        <v>0.90060034305317316</v>
      </c>
      <c r="AG24" s="97">
        <f t="shared" si="2"/>
        <v>0.47757901013714965</v>
      </c>
      <c r="AH24" s="97">
        <f t="shared" si="2"/>
        <v>0.87117768595041345</v>
      </c>
      <c r="AI24" s="97">
        <f t="shared" si="2"/>
        <v>0.83411405295315699</v>
      </c>
      <c r="AJ24" s="97">
        <f t="shared" si="2"/>
        <v>0.72169014084507044</v>
      </c>
      <c r="AK24" s="99">
        <f t="shared" si="2"/>
        <v>0</v>
      </c>
      <c r="AL24" s="99">
        <f t="shared" si="2"/>
        <v>0</v>
      </c>
      <c r="AM24" s="99">
        <f t="shared" si="2"/>
        <v>0</v>
      </c>
      <c r="AN24" s="99">
        <f t="shared" si="2"/>
        <v>0</v>
      </c>
      <c r="AO24" s="99">
        <f t="shared" si="2"/>
        <v>0</v>
      </c>
      <c r="AP24" s="99">
        <f t="shared" si="2"/>
        <v>0</v>
      </c>
      <c r="AQ24" s="97"/>
      <c r="AR24" s="99">
        <f t="shared" si="3"/>
        <v>1.2196</v>
      </c>
      <c r="AS24" s="99">
        <f t="shared" si="3"/>
        <v>0.90059999999999996</v>
      </c>
      <c r="AT24" s="99">
        <f t="shared" si="3"/>
        <v>0.47760000000000002</v>
      </c>
      <c r="AU24" s="99">
        <f t="shared" si="3"/>
        <v>0.87119999999999997</v>
      </c>
      <c r="AV24" s="99">
        <f t="shared" si="3"/>
        <v>0.83409999999999995</v>
      </c>
      <c r="AW24" s="99">
        <f t="shared" si="3"/>
        <v>0.72170000000000001</v>
      </c>
      <c r="AX24" s="99">
        <f t="shared" si="3"/>
        <v>0</v>
      </c>
      <c r="AY24" s="99">
        <f t="shared" si="3"/>
        <v>0</v>
      </c>
      <c r="AZ24" s="99">
        <f t="shared" si="3"/>
        <v>0</v>
      </c>
      <c r="BA24" s="99">
        <f t="shared" si="3"/>
        <v>0</v>
      </c>
      <c r="BB24" s="99">
        <f t="shared" si="3"/>
        <v>0</v>
      </c>
      <c r="BC24" s="99">
        <f t="shared" si="3"/>
        <v>0</v>
      </c>
      <c r="BD24" s="97"/>
      <c r="BE24" s="1">
        <f>IFERROR(VLOOKUP(AR24,'Top WS'!$A$19:$D$28,4),0)</f>
        <v>260</v>
      </c>
      <c r="BF24" s="1">
        <f>IFERROR(VLOOKUP(AS24,'Top WS'!$A$19:$D$28,4),0)</f>
        <v>200</v>
      </c>
      <c r="BG24" s="1">
        <f>IFERROR(VLOOKUP(AT24,'Top WS'!$A$19:$D$28,4),0)</f>
        <v>200</v>
      </c>
      <c r="BH24" s="1">
        <f>IFERROR(VLOOKUP(AU24,'Top WS'!$A$19:$D$28,4),0)</f>
        <v>200</v>
      </c>
      <c r="BI24" s="1">
        <f>IFERROR(VLOOKUP(AV24,'Top WS'!$A$19:$D$28,4),0)</f>
        <v>200</v>
      </c>
      <c r="BJ24" s="1">
        <f>IFERROR(VLOOKUP(AW24,'Top WS'!$A$19:$D$28,4),0)</f>
        <v>200</v>
      </c>
      <c r="BK24" s="98">
        <f>IFERROR(VLOOKUP(AX24,'Top WS'!$A$19:$D$28,4),0)</f>
        <v>200</v>
      </c>
      <c r="BL24" s="98">
        <f>IFERROR(VLOOKUP(AY24,'Top WS'!$A$19:$D$28,4),0)</f>
        <v>200</v>
      </c>
      <c r="BM24" s="98">
        <f>IFERROR(VLOOKUP(AZ24,'Top WS'!$A$19:$D$28,4),0)</f>
        <v>200</v>
      </c>
      <c r="BN24" s="98">
        <f>IFERROR(VLOOKUP(BA24,'Top WS'!$A$19:$D$28,4),0)</f>
        <v>200</v>
      </c>
      <c r="BO24" s="98">
        <f>IFERROR(VLOOKUP(BB24,'Top WS'!$A$19:$D$28,4),0)</f>
        <v>200</v>
      </c>
      <c r="BP24" s="98">
        <f>IFERROR(VLOOKUP(BC24,'Top WS'!$A$19:$D$28,4),0)</f>
        <v>200</v>
      </c>
    </row>
    <row r="25" spans="1:68" x14ac:dyDescent="0.4">
      <c r="A25">
        <v>1190032801</v>
      </c>
      <c r="B25">
        <f>VLOOKUP(A25,'Aji Plus'!$A$2:$D$58,2,0)</f>
        <v>71360</v>
      </c>
      <c r="C25" t="str">
        <f>VLOOKUP(A25,'Aji Plus'!$A$2:$D$58,3,0)</f>
        <v>นายทนงศักดิ์ เวชมณีศรี</v>
      </c>
      <c r="D25" t="str">
        <f>VLOOKUP(A25,'Aji Plus'!$A$2:$D$58,4,0)</f>
        <v>Chantaburi</v>
      </c>
      <c r="E25" s="1">
        <v>1220.0257599999998</v>
      </c>
      <c r="F25" s="1">
        <v>1779.0479400000002</v>
      </c>
      <c r="G25" s="1">
        <v>1372.1773199999996</v>
      </c>
      <c r="H25" s="1">
        <v>1392.3391599999995</v>
      </c>
      <c r="I25" s="1">
        <v>1295.98432</v>
      </c>
      <c r="J25" s="1">
        <v>920.64588000000003</v>
      </c>
      <c r="K25" s="1">
        <v>1722.3134600000001</v>
      </c>
      <c r="L25" s="1">
        <v>1312.3951200000001</v>
      </c>
      <c r="M25" s="1">
        <v>932.13343999999995</v>
      </c>
      <c r="N25" s="1">
        <v>2149.4631399999994</v>
      </c>
      <c r="O25" s="1">
        <v>1262.3421800000001</v>
      </c>
      <c r="P25" s="1">
        <v>1371.2395600000002</v>
      </c>
      <c r="R25" s="1">
        <f>VLOOKUP(A25,Actual_RDM!$A$2:$H$63,3,0)</f>
        <v>1373.4</v>
      </c>
      <c r="S25" s="1">
        <f>VLOOKUP(A25,Actual_RDM!$A$2:$H$63,4,0)</f>
        <v>1183.8</v>
      </c>
      <c r="T25" s="1">
        <f>VLOOKUP(A25,Actual_RDM!$A$2:$H$63,5,0)</f>
        <v>1141.5999999999999</v>
      </c>
      <c r="U25" s="1">
        <f>VLOOKUP(A25,Actual_RDM!$A$2:$H$63,6,0)</f>
        <v>1203.6999999999996</v>
      </c>
      <c r="V25" s="1">
        <f>VLOOKUP(A25,Actual_RDM!$A$2:$H$63,7,0)</f>
        <v>806.4000000000002</v>
      </c>
      <c r="W25" s="1">
        <f>VLOOKUP(A25,Actual_RDM!$A$2:$H$63,8,0)</f>
        <v>919.00000000000011</v>
      </c>
      <c r="X25" s="111"/>
      <c r="Y25" s="111"/>
      <c r="Z25" s="111"/>
      <c r="AA25" s="111"/>
      <c r="AB25" s="111"/>
      <c r="AC25" s="111"/>
      <c r="AE25" s="97">
        <f t="shared" si="2"/>
        <v>1.1257139357450947</v>
      </c>
      <c r="AF25" s="97">
        <f t="shared" si="2"/>
        <v>0.66541208552255193</v>
      </c>
      <c r="AG25" s="97">
        <f t="shared" si="2"/>
        <v>0.83196244636954086</v>
      </c>
      <c r="AH25" s="97">
        <f t="shared" si="2"/>
        <v>0.86451637257692304</v>
      </c>
      <c r="AI25" s="97">
        <f t="shared" si="2"/>
        <v>0.62222975043401774</v>
      </c>
      <c r="AJ25" s="97">
        <f t="shared" si="2"/>
        <v>0.99821225507466571</v>
      </c>
      <c r="AK25" s="99">
        <f t="shared" si="2"/>
        <v>0</v>
      </c>
      <c r="AL25" s="99">
        <f t="shared" si="2"/>
        <v>0</v>
      </c>
      <c r="AM25" s="99">
        <f t="shared" si="2"/>
        <v>0</v>
      </c>
      <c r="AN25" s="99">
        <f t="shared" si="2"/>
        <v>0</v>
      </c>
      <c r="AO25" s="99">
        <f t="shared" si="2"/>
        <v>0</v>
      </c>
      <c r="AP25" s="99">
        <f t="shared" si="2"/>
        <v>0</v>
      </c>
      <c r="AQ25" s="97"/>
      <c r="AR25" s="99">
        <f t="shared" si="3"/>
        <v>1.1256999999999999</v>
      </c>
      <c r="AS25" s="99">
        <f t="shared" si="3"/>
        <v>0.66539999999999999</v>
      </c>
      <c r="AT25" s="99">
        <f t="shared" si="3"/>
        <v>0.83199999999999996</v>
      </c>
      <c r="AU25" s="99">
        <f t="shared" si="3"/>
        <v>0.86450000000000005</v>
      </c>
      <c r="AV25" s="99">
        <f t="shared" si="3"/>
        <v>0.62219999999999998</v>
      </c>
      <c r="AW25" s="99">
        <f t="shared" si="3"/>
        <v>0.99819999999999998</v>
      </c>
      <c r="AX25" s="99">
        <f t="shared" si="3"/>
        <v>0</v>
      </c>
      <c r="AY25" s="99">
        <f t="shared" si="3"/>
        <v>0</v>
      </c>
      <c r="AZ25" s="99">
        <f t="shared" si="3"/>
        <v>0</v>
      </c>
      <c r="BA25" s="99">
        <f t="shared" si="3"/>
        <v>0</v>
      </c>
      <c r="BB25" s="99">
        <f t="shared" si="3"/>
        <v>0</v>
      </c>
      <c r="BC25" s="99">
        <f t="shared" si="3"/>
        <v>0</v>
      </c>
      <c r="BD25" s="97"/>
      <c r="BE25" s="1">
        <f>IFERROR(VLOOKUP(AR25,'Top WS'!$A$19:$D$28,4),0)</f>
        <v>230</v>
      </c>
      <c r="BF25" s="1">
        <f>IFERROR(VLOOKUP(AS25,'Top WS'!$A$19:$D$28,4),0)</f>
        <v>200</v>
      </c>
      <c r="BG25" s="1">
        <f>IFERROR(VLOOKUP(AT25,'Top WS'!$A$19:$D$28,4),0)</f>
        <v>200</v>
      </c>
      <c r="BH25" s="1">
        <f>IFERROR(VLOOKUP(AU25,'Top WS'!$A$19:$D$28,4),0)</f>
        <v>200</v>
      </c>
      <c r="BI25" s="1">
        <f>IFERROR(VLOOKUP(AV25,'Top WS'!$A$19:$D$28,4),0)</f>
        <v>200</v>
      </c>
      <c r="BJ25" s="1">
        <f>IFERROR(VLOOKUP(AW25,'Top WS'!$A$19:$D$28,4),0)</f>
        <v>200</v>
      </c>
      <c r="BK25" s="98">
        <f>IFERROR(VLOOKUP(AX25,'Top WS'!$A$19:$D$28,4),0)</f>
        <v>200</v>
      </c>
      <c r="BL25" s="98">
        <f>IFERROR(VLOOKUP(AY25,'Top WS'!$A$19:$D$28,4),0)</f>
        <v>200</v>
      </c>
      <c r="BM25" s="98">
        <f>IFERROR(VLOOKUP(AZ25,'Top WS'!$A$19:$D$28,4),0)</f>
        <v>200</v>
      </c>
      <c r="BN25" s="98">
        <f>IFERROR(VLOOKUP(BA25,'Top WS'!$A$19:$D$28,4),0)</f>
        <v>200</v>
      </c>
      <c r="BO25" s="98">
        <f>IFERROR(VLOOKUP(BB25,'Top WS'!$A$19:$D$28,4),0)</f>
        <v>200</v>
      </c>
      <c r="BP25" s="98">
        <f>IFERROR(VLOOKUP(BC25,'Top WS'!$A$19:$D$28,4),0)</f>
        <v>200</v>
      </c>
    </row>
    <row r="26" spans="1:68" x14ac:dyDescent="0.4">
      <c r="A26">
        <v>1190032901</v>
      </c>
      <c r="B26">
        <f>VLOOKUP(A26,'Aji Plus'!$A$2:$D$58,2,0)</f>
        <v>70259</v>
      </c>
      <c r="C26" t="str">
        <f>VLOOKUP(A26,'Aji Plus'!$A$2:$D$58,3,0)</f>
        <v>นายจิรศักดิ์ งามสม</v>
      </c>
      <c r="D26" t="str">
        <f>VLOOKUP(A26,'Aji Plus'!$A$2:$D$58,4,0)</f>
        <v>Lopburi</v>
      </c>
      <c r="E26" s="1">
        <v>605.19271045759842</v>
      </c>
      <c r="F26" s="1">
        <v>655.739279954057</v>
      </c>
      <c r="G26" s="1">
        <v>686.78754131551784</v>
      </c>
      <c r="H26" s="1">
        <v>595.13307377648493</v>
      </c>
      <c r="I26" s="1">
        <v>643.69255454581003</v>
      </c>
      <c r="J26" s="1">
        <v>465.10295519468622</v>
      </c>
      <c r="K26" s="1">
        <v>1014.3466986789317</v>
      </c>
      <c r="L26" s="1">
        <v>628.85148561503161</v>
      </c>
      <c r="M26" s="1">
        <v>581.34764573199629</v>
      </c>
      <c r="N26" s="1">
        <v>631.89421522845498</v>
      </c>
      <c r="O26" s="1">
        <v>613.20316188885522</v>
      </c>
      <c r="P26" s="1">
        <v>439.45709131011944</v>
      </c>
      <c r="R26" s="1">
        <f>VLOOKUP(A26,Actual_RDM!$A$2:$H$63,3,0)</f>
        <v>304.50000000000006</v>
      </c>
      <c r="S26" s="1">
        <f>VLOOKUP(A26,Actual_RDM!$A$2:$H$63,4,0)</f>
        <v>394.59999999999997</v>
      </c>
      <c r="T26" s="1">
        <f>VLOOKUP(A26,Actual_RDM!$A$2:$H$63,5,0)</f>
        <v>272</v>
      </c>
      <c r="U26" s="1">
        <f>VLOOKUP(A26,Actual_RDM!$A$2:$H$63,6,0)</f>
        <v>331.40000000000003</v>
      </c>
      <c r="V26" s="1">
        <f>VLOOKUP(A26,Actual_RDM!$A$2:$H$63,7,0)</f>
        <v>257.8</v>
      </c>
      <c r="W26" s="1">
        <f>VLOOKUP(A26,Actual_RDM!$A$2:$H$63,8,0)</f>
        <v>368.59999999999997</v>
      </c>
      <c r="X26" s="111"/>
      <c r="Y26" s="111"/>
      <c r="Z26" s="111"/>
      <c r="AA26" s="111"/>
      <c r="AB26" s="111"/>
      <c r="AC26" s="111"/>
      <c r="AE26" s="97">
        <f t="shared" si="2"/>
        <v>0.50314551834201948</v>
      </c>
      <c r="AF26" s="97">
        <f t="shared" si="2"/>
        <v>0.6017635546061032</v>
      </c>
      <c r="AG26" s="97">
        <f t="shared" si="2"/>
        <v>0.39604678832553281</v>
      </c>
      <c r="AH26" s="97">
        <f t="shared" si="2"/>
        <v>0.55685024846134568</v>
      </c>
      <c r="AI26" s="97">
        <f t="shared" si="2"/>
        <v>0.40050175845501879</v>
      </c>
      <c r="AJ26" s="97">
        <f t="shared" si="2"/>
        <v>0.79251270258153628</v>
      </c>
      <c r="AK26" s="99">
        <f t="shared" si="2"/>
        <v>0</v>
      </c>
      <c r="AL26" s="99">
        <f t="shared" si="2"/>
        <v>0</v>
      </c>
      <c r="AM26" s="99">
        <f t="shared" si="2"/>
        <v>0</v>
      </c>
      <c r="AN26" s="99">
        <f t="shared" si="2"/>
        <v>0</v>
      </c>
      <c r="AO26" s="99">
        <f t="shared" si="2"/>
        <v>0</v>
      </c>
      <c r="AP26" s="99">
        <f t="shared" si="2"/>
        <v>0</v>
      </c>
      <c r="AQ26" s="97"/>
      <c r="AR26" s="99">
        <f t="shared" si="3"/>
        <v>0.50309999999999999</v>
      </c>
      <c r="AS26" s="99">
        <f t="shared" si="3"/>
        <v>0.6018</v>
      </c>
      <c r="AT26" s="99">
        <f t="shared" si="3"/>
        <v>0.39600000000000002</v>
      </c>
      <c r="AU26" s="99">
        <f t="shared" si="3"/>
        <v>0.55689999999999995</v>
      </c>
      <c r="AV26" s="99">
        <f t="shared" si="3"/>
        <v>0.40050000000000002</v>
      </c>
      <c r="AW26" s="99">
        <f t="shared" si="3"/>
        <v>0.79249999999999998</v>
      </c>
      <c r="AX26" s="99">
        <f t="shared" si="3"/>
        <v>0</v>
      </c>
      <c r="AY26" s="99">
        <f t="shared" si="3"/>
        <v>0</v>
      </c>
      <c r="AZ26" s="99">
        <f t="shared" si="3"/>
        <v>0</v>
      </c>
      <c r="BA26" s="99">
        <f t="shared" si="3"/>
        <v>0</v>
      </c>
      <c r="BB26" s="99">
        <f t="shared" si="3"/>
        <v>0</v>
      </c>
      <c r="BC26" s="99">
        <f t="shared" si="3"/>
        <v>0</v>
      </c>
      <c r="BD26" s="97"/>
      <c r="BE26" s="1">
        <f>IFERROR(VLOOKUP(AR26,'Top WS'!$A$19:$D$28,4),0)</f>
        <v>200</v>
      </c>
      <c r="BF26" s="1">
        <f>IFERROR(VLOOKUP(AS26,'Top WS'!$A$19:$D$28,4),0)</f>
        <v>200</v>
      </c>
      <c r="BG26" s="1">
        <f>IFERROR(VLOOKUP(AT26,'Top WS'!$A$19:$D$28,4),0)</f>
        <v>200</v>
      </c>
      <c r="BH26" s="1">
        <f>IFERROR(VLOOKUP(AU26,'Top WS'!$A$19:$D$28,4),0)</f>
        <v>200</v>
      </c>
      <c r="BI26" s="1">
        <f>IFERROR(VLOOKUP(AV26,'Top WS'!$A$19:$D$28,4),0)</f>
        <v>200</v>
      </c>
      <c r="BJ26" s="1">
        <f>IFERROR(VLOOKUP(AW26,'Top WS'!$A$19:$D$28,4),0)</f>
        <v>200</v>
      </c>
      <c r="BK26" s="98">
        <f>IFERROR(VLOOKUP(AX26,'Top WS'!$A$19:$D$28,4),0)</f>
        <v>200</v>
      </c>
      <c r="BL26" s="98">
        <f>IFERROR(VLOOKUP(AY26,'Top WS'!$A$19:$D$28,4),0)</f>
        <v>200</v>
      </c>
      <c r="BM26" s="98">
        <f>IFERROR(VLOOKUP(AZ26,'Top WS'!$A$19:$D$28,4),0)</f>
        <v>200</v>
      </c>
      <c r="BN26" s="98">
        <f>IFERROR(VLOOKUP(BA26,'Top WS'!$A$19:$D$28,4),0)</f>
        <v>200</v>
      </c>
      <c r="BO26" s="98">
        <f>IFERROR(VLOOKUP(BB26,'Top WS'!$A$19:$D$28,4),0)</f>
        <v>200</v>
      </c>
      <c r="BP26" s="98">
        <f>IFERROR(VLOOKUP(BC26,'Top WS'!$A$19:$D$28,4),0)</f>
        <v>200</v>
      </c>
    </row>
    <row r="27" spans="1:68" x14ac:dyDescent="0.4">
      <c r="A27">
        <v>1190032902</v>
      </c>
      <c r="B27">
        <f>VLOOKUP(A27,'Aji Plus'!$A$2:$D$58,2,0)</f>
        <v>71996</v>
      </c>
      <c r="C27" t="str">
        <f>VLOOKUP(A27,'Aji Plus'!$A$2:$D$58,3,0)</f>
        <v>นายสุนทร ม่วงกุน</v>
      </c>
      <c r="D27" t="str">
        <f>VLOOKUP(A27,'Aji Plus'!$A$2:$D$58,4,0)</f>
        <v>Lopburi</v>
      </c>
      <c r="E27" s="1">
        <v>555.44560488923742</v>
      </c>
      <c r="F27" s="1">
        <v>601.83722425921906</v>
      </c>
      <c r="G27" s="1">
        <v>630.33330495331063</v>
      </c>
      <c r="H27" s="1">
        <v>546.21287474435167</v>
      </c>
      <c r="I27" s="1">
        <v>590.78074494991131</v>
      </c>
      <c r="J27" s="1">
        <v>426.87128879749525</v>
      </c>
      <c r="K27" s="1">
        <v>930.9669562759791</v>
      </c>
      <c r="L27" s="1">
        <v>577.15961837813541</v>
      </c>
      <c r="M27" s="1">
        <v>533.56061491617493</v>
      </c>
      <c r="N27" s="1">
        <v>579.95223428615645</v>
      </c>
      <c r="O27" s="1">
        <v>562.797593708313</v>
      </c>
      <c r="P27" s="1">
        <v>403.33352614417544</v>
      </c>
      <c r="R27" s="1">
        <f>VLOOKUP(A27,Actual_RDM!$A$2:$H$63,3,0)</f>
        <v>287.70000000000005</v>
      </c>
      <c r="S27" s="1">
        <f>VLOOKUP(A27,Actual_RDM!$A$2:$H$63,4,0)</f>
        <v>527.79999999999995</v>
      </c>
      <c r="T27" s="1">
        <f>VLOOKUP(A27,Actual_RDM!$A$2:$H$63,5,0)</f>
        <v>415.4</v>
      </c>
      <c r="U27" s="1">
        <f>VLOOKUP(A27,Actual_RDM!$A$2:$H$63,6,0)</f>
        <v>478</v>
      </c>
      <c r="V27" s="1">
        <f>VLOOKUP(A27,Actual_RDM!$A$2:$H$63,7,0)</f>
        <v>447.9</v>
      </c>
      <c r="W27" s="1">
        <f>VLOOKUP(A27,Actual_RDM!$A$2:$H$63,8,0)</f>
        <v>560</v>
      </c>
      <c r="X27" s="111"/>
      <c r="Y27" s="111"/>
      <c r="Z27" s="111"/>
      <c r="AA27" s="111"/>
      <c r="AB27" s="111"/>
      <c r="AC27" s="111"/>
      <c r="AE27" s="97">
        <f t="shared" si="2"/>
        <v>0.5179625105816994</v>
      </c>
      <c r="AF27" s="97">
        <f t="shared" si="2"/>
        <v>0.8769813144237647</v>
      </c>
      <c r="AG27" s="97">
        <f t="shared" si="2"/>
        <v>0.65901642311406827</v>
      </c>
      <c r="AH27" s="97">
        <f t="shared" si="2"/>
        <v>0.8751166845412095</v>
      </c>
      <c r="AI27" s="97">
        <f t="shared" si="2"/>
        <v>0.7581492860570036</v>
      </c>
      <c r="AJ27" s="97">
        <f t="shared" si="2"/>
        <v>1.3118708488863959</v>
      </c>
      <c r="AK27" s="99">
        <f t="shared" si="2"/>
        <v>0</v>
      </c>
      <c r="AL27" s="99">
        <f t="shared" si="2"/>
        <v>0</v>
      </c>
      <c r="AM27" s="99">
        <f t="shared" si="2"/>
        <v>0</v>
      </c>
      <c r="AN27" s="99">
        <f t="shared" si="2"/>
        <v>0</v>
      </c>
      <c r="AO27" s="99">
        <f t="shared" si="2"/>
        <v>0</v>
      </c>
      <c r="AP27" s="99">
        <f t="shared" si="2"/>
        <v>0</v>
      </c>
      <c r="AQ27" s="97"/>
      <c r="AR27" s="99">
        <f t="shared" si="3"/>
        <v>0.51800000000000002</v>
      </c>
      <c r="AS27" s="99">
        <f t="shared" si="3"/>
        <v>0.877</v>
      </c>
      <c r="AT27" s="99">
        <f t="shared" si="3"/>
        <v>0.65900000000000003</v>
      </c>
      <c r="AU27" s="99">
        <f t="shared" si="3"/>
        <v>0.87509999999999999</v>
      </c>
      <c r="AV27" s="99">
        <f t="shared" si="3"/>
        <v>0.7581</v>
      </c>
      <c r="AW27" s="99">
        <f t="shared" si="3"/>
        <v>1.3119000000000001</v>
      </c>
      <c r="AX27" s="99">
        <f t="shared" si="3"/>
        <v>0</v>
      </c>
      <c r="AY27" s="99">
        <f t="shared" si="3"/>
        <v>0</v>
      </c>
      <c r="AZ27" s="99">
        <f t="shared" si="3"/>
        <v>0</v>
      </c>
      <c r="BA27" s="99">
        <f t="shared" si="3"/>
        <v>0</v>
      </c>
      <c r="BB27" s="99">
        <f t="shared" si="3"/>
        <v>0</v>
      </c>
      <c r="BC27" s="99">
        <f t="shared" si="3"/>
        <v>0</v>
      </c>
      <c r="BD27" s="97"/>
      <c r="BE27" s="1">
        <f>IFERROR(VLOOKUP(AR27,'Top WS'!$A$19:$D$28,4),0)</f>
        <v>200</v>
      </c>
      <c r="BF27" s="1">
        <f>IFERROR(VLOOKUP(AS27,'Top WS'!$A$19:$D$28,4),0)</f>
        <v>200</v>
      </c>
      <c r="BG27" s="1">
        <f>IFERROR(VLOOKUP(AT27,'Top WS'!$A$19:$D$28,4),0)</f>
        <v>200</v>
      </c>
      <c r="BH27" s="1">
        <f>IFERROR(VLOOKUP(AU27,'Top WS'!$A$19:$D$28,4),0)</f>
        <v>200</v>
      </c>
      <c r="BI27" s="1">
        <f>IFERROR(VLOOKUP(AV27,'Top WS'!$A$19:$D$28,4),0)</f>
        <v>200</v>
      </c>
      <c r="BJ27" s="1">
        <f>IFERROR(VLOOKUP(AW27,'Top WS'!$A$19:$D$28,4),0)</f>
        <v>260</v>
      </c>
      <c r="BK27" s="98">
        <f>IFERROR(VLOOKUP(AX27,'Top WS'!$A$19:$D$28,4),0)</f>
        <v>200</v>
      </c>
      <c r="BL27" s="98">
        <f>IFERROR(VLOOKUP(AY27,'Top WS'!$A$19:$D$28,4),0)</f>
        <v>200</v>
      </c>
      <c r="BM27" s="98">
        <f>IFERROR(VLOOKUP(AZ27,'Top WS'!$A$19:$D$28,4),0)</f>
        <v>200</v>
      </c>
      <c r="BN27" s="98">
        <f>IFERROR(VLOOKUP(BA27,'Top WS'!$A$19:$D$28,4),0)</f>
        <v>200</v>
      </c>
      <c r="BO27" s="98">
        <f>IFERROR(VLOOKUP(BB27,'Top WS'!$A$19:$D$28,4),0)</f>
        <v>200</v>
      </c>
      <c r="BP27" s="98">
        <f>IFERROR(VLOOKUP(BC27,'Top WS'!$A$19:$D$28,4),0)</f>
        <v>200</v>
      </c>
    </row>
    <row r="28" spans="1:68" x14ac:dyDescent="0.4">
      <c r="A28">
        <v>1190033001</v>
      </c>
      <c r="B28">
        <f>VLOOKUP(A28,'Aji Plus'!$A$2:$D$58,2,0)</f>
        <v>75518</v>
      </c>
      <c r="C28" t="str">
        <f>VLOOKUP(A28,'Aji Plus'!$A$2:$D$58,3,0)</f>
        <v>นายธนพันธ์ นิยมทัศน์</v>
      </c>
      <c r="D28" t="str">
        <f>VLOOKUP(A28,'Aji Plus'!$A$2:$D$58,4,0)</f>
        <v>Ratchaburi</v>
      </c>
      <c r="E28" s="1">
        <v>1092.952165549402</v>
      </c>
      <c r="F28" s="1">
        <v>938.26658583503308</v>
      </c>
      <c r="G28" s="1">
        <v>811.15366093461535</v>
      </c>
      <c r="H28" s="1">
        <v>1078.9169874672102</v>
      </c>
      <c r="I28" s="1">
        <v>900.34174293208923</v>
      </c>
      <c r="J28" s="1">
        <v>1015.7089159623041</v>
      </c>
      <c r="K28" s="1">
        <v>1353.1006614203825</v>
      </c>
      <c r="L28" s="1">
        <v>1036.6123726804619</v>
      </c>
      <c r="M28" s="1">
        <v>1228.7748640823852</v>
      </c>
      <c r="N28" s="1">
        <v>740.52983930826736</v>
      </c>
      <c r="O28" s="1">
        <v>1133.6641360147671</v>
      </c>
      <c r="P28" s="1">
        <v>964.79406781307625</v>
      </c>
      <c r="R28" s="1">
        <f>VLOOKUP(A28,Actual_RDM!$A$2:$H$63,3,0)</f>
        <v>665.3</v>
      </c>
      <c r="S28" s="1">
        <f>VLOOKUP(A28,Actual_RDM!$A$2:$H$63,4,0)</f>
        <v>1010.6999999999999</v>
      </c>
      <c r="T28" s="1">
        <f>VLOOKUP(A28,Actual_RDM!$A$2:$H$63,5,0)</f>
        <v>998.80000000000007</v>
      </c>
      <c r="U28" s="1">
        <f>VLOOKUP(A28,Actual_RDM!$A$2:$H$63,6,0)</f>
        <v>784.2</v>
      </c>
      <c r="V28" s="1">
        <f>VLOOKUP(A28,Actual_RDM!$A$2:$H$63,7,0)</f>
        <v>624.79999999999995</v>
      </c>
      <c r="W28" s="1">
        <f>VLOOKUP(A28,Actual_RDM!$A$2:$H$63,8,0)</f>
        <v>884.80000000000007</v>
      </c>
      <c r="X28" s="111"/>
      <c r="Y28" s="111"/>
      <c r="Z28" s="111"/>
      <c r="AA28" s="111"/>
      <c r="AB28" s="111"/>
      <c r="AC28" s="111"/>
      <c r="AE28" s="97">
        <f t="shared" si="2"/>
        <v>0.60871831446124536</v>
      </c>
      <c r="AF28" s="97">
        <f t="shared" si="2"/>
        <v>1.077199183322193</v>
      </c>
      <c r="AG28" s="97">
        <f t="shared" si="2"/>
        <v>1.2313326661796455</v>
      </c>
      <c r="AH28" s="97">
        <f t="shared" si="2"/>
        <v>0.72683997852414295</v>
      </c>
      <c r="AI28" s="97">
        <f t="shared" si="2"/>
        <v>0.69395871612622451</v>
      </c>
      <c r="AJ28" s="97">
        <f t="shared" si="2"/>
        <v>0.87111571641735741</v>
      </c>
      <c r="AK28" s="99">
        <f t="shared" si="2"/>
        <v>0</v>
      </c>
      <c r="AL28" s="99">
        <f t="shared" si="2"/>
        <v>0</v>
      </c>
      <c r="AM28" s="99">
        <f t="shared" si="2"/>
        <v>0</v>
      </c>
      <c r="AN28" s="99">
        <f t="shared" si="2"/>
        <v>0</v>
      </c>
      <c r="AO28" s="99">
        <f t="shared" si="2"/>
        <v>0</v>
      </c>
      <c r="AP28" s="99">
        <f t="shared" si="2"/>
        <v>0</v>
      </c>
      <c r="AQ28" s="97"/>
      <c r="AR28" s="99">
        <f t="shared" si="3"/>
        <v>0.60870000000000002</v>
      </c>
      <c r="AS28" s="99">
        <f t="shared" si="3"/>
        <v>1.0771999999999999</v>
      </c>
      <c r="AT28" s="99">
        <f t="shared" si="3"/>
        <v>1.2313000000000001</v>
      </c>
      <c r="AU28" s="99">
        <f t="shared" si="3"/>
        <v>0.7268</v>
      </c>
      <c r="AV28" s="99">
        <f t="shared" si="3"/>
        <v>0.69399999999999995</v>
      </c>
      <c r="AW28" s="99">
        <f t="shared" si="3"/>
        <v>0.87109999999999999</v>
      </c>
      <c r="AX28" s="99">
        <f t="shared" si="3"/>
        <v>0</v>
      </c>
      <c r="AY28" s="99">
        <f t="shared" si="3"/>
        <v>0</v>
      </c>
      <c r="AZ28" s="99">
        <f t="shared" si="3"/>
        <v>0</v>
      </c>
      <c r="BA28" s="99">
        <f t="shared" si="3"/>
        <v>0</v>
      </c>
      <c r="BB28" s="99">
        <f t="shared" si="3"/>
        <v>0</v>
      </c>
      <c r="BC28" s="99">
        <f t="shared" si="3"/>
        <v>0</v>
      </c>
      <c r="BD28" s="97"/>
      <c r="BE28" s="1">
        <f>IFERROR(VLOOKUP(AR28,'Top WS'!$A$19:$D$28,4),0)</f>
        <v>200</v>
      </c>
      <c r="BF28" s="1">
        <f>IFERROR(VLOOKUP(AS28,'Top WS'!$A$19:$D$28,4),0)</f>
        <v>220</v>
      </c>
      <c r="BG28" s="1">
        <f>IFERROR(VLOOKUP(AT28,'Top WS'!$A$19:$D$28,4),0)</f>
        <v>260</v>
      </c>
      <c r="BH28" s="1">
        <f>IFERROR(VLOOKUP(AU28,'Top WS'!$A$19:$D$28,4),0)</f>
        <v>200</v>
      </c>
      <c r="BI28" s="1">
        <f>IFERROR(VLOOKUP(AV28,'Top WS'!$A$19:$D$28,4),0)</f>
        <v>200</v>
      </c>
      <c r="BJ28" s="1">
        <f>IFERROR(VLOOKUP(AW28,'Top WS'!$A$19:$D$28,4),0)</f>
        <v>200</v>
      </c>
      <c r="BK28" s="98">
        <f>IFERROR(VLOOKUP(AX28,'Top WS'!$A$19:$D$28,4),0)</f>
        <v>200</v>
      </c>
      <c r="BL28" s="98">
        <f>IFERROR(VLOOKUP(AY28,'Top WS'!$A$19:$D$28,4),0)</f>
        <v>200</v>
      </c>
      <c r="BM28" s="98">
        <f>IFERROR(VLOOKUP(AZ28,'Top WS'!$A$19:$D$28,4),0)</f>
        <v>200</v>
      </c>
      <c r="BN28" s="98">
        <f>IFERROR(VLOOKUP(BA28,'Top WS'!$A$19:$D$28,4),0)</f>
        <v>200</v>
      </c>
      <c r="BO28" s="98">
        <f>IFERROR(VLOOKUP(BB28,'Top WS'!$A$19:$D$28,4),0)</f>
        <v>200</v>
      </c>
      <c r="BP28" s="98">
        <f>IFERROR(VLOOKUP(BC28,'Top WS'!$A$19:$D$28,4),0)</f>
        <v>200</v>
      </c>
    </row>
    <row r="29" spans="1:68" x14ac:dyDescent="0.4">
      <c r="A29">
        <v>1190033002</v>
      </c>
      <c r="B29">
        <f>VLOOKUP(A29,'Aji Plus'!$A$2:$D$58,2,0)</f>
        <v>27905</v>
      </c>
      <c r="C29" t="str">
        <f>VLOOKUP(A29,'Aji Plus'!$A$2:$D$58,3,0)</f>
        <v>นายปัญญา ธนาโภคาสิน</v>
      </c>
      <c r="D29" t="str">
        <f>VLOOKUP(A29,'Aji Plus'!$A$2:$D$58,4,0)</f>
        <v>Ratchaburi</v>
      </c>
      <c r="E29" s="1">
        <v>1465.456461672981</v>
      </c>
      <c r="F29" s="1">
        <v>1258.0503285728157</v>
      </c>
      <c r="G29" s="1">
        <v>1087.6142719647651</v>
      </c>
      <c r="H29" s="1">
        <v>1446.6377584766337</v>
      </c>
      <c r="I29" s="1">
        <v>1207.1997901486438</v>
      </c>
      <c r="J29" s="1">
        <v>1361.8868611030143</v>
      </c>
      <c r="K29" s="1">
        <v>1814.2698007059807</v>
      </c>
      <c r="L29" s="1">
        <v>1389.9147169273608</v>
      </c>
      <c r="M29" s="1">
        <v>1647.5707915411754</v>
      </c>
      <c r="N29" s="1">
        <v>992.92015907250811</v>
      </c>
      <c r="O29" s="1">
        <v>1520.0440475403991</v>
      </c>
      <c r="P29" s="1">
        <v>1293.6190122737125</v>
      </c>
      <c r="R29" s="1">
        <f>VLOOKUP(A29,Actual_RDM!$A$2:$H$63,3,0)</f>
        <v>1035.1999999999998</v>
      </c>
      <c r="S29" s="1">
        <f>VLOOKUP(A29,Actual_RDM!$A$2:$H$63,4,0)</f>
        <v>833.89999999999986</v>
      </c>
      <c r="T29" s="1">
        <f>VLOOKUP(A29,Actual_RDM!$A$2:$H$63,5,0)</f>
        <v>992.6</v>
      </c>
      <c r="U29" s="1">
        <f>VLOOKUP(A29,Actual_RDM!$A$2:$H$63,6,0)</f>
        <v>1140.5999999999999</v>
      </c>
      <c r="V29" s="1">
        <f>VLOOKUP(A29,Actual_RDM!$A$2:$H$63,7,0)</f>
        <v>1107.0000000000002</v>
      </c>
      <c r="W29" s="1">
        <f>VLOOKUP(A29,Actual_RDM!$A$2:$H$63,8,0)</f>
        <v>1031.8</v>
      </c>
      <c r="X29" s="111"/>
      <c r="Y29" s="111"/>
      <c r="Z29" s="111"/>
      <c r="AA29" s="111"/>
      <c r="AB29" s="111"/>
      <c r="AC29" s="111"/>
      <c r="AE29" s="97">
        <f t="shared" si="2"/>
        <v>0.70640106142642012</v>
      </c>
      <c r="AF29" s="97">
        <f t="shared" si="2"/>
        <v>0.66285106490613177</v>
      </c>
      <c r="AG29" s="97">
        <f t="shared" si="2"/>
        <v>0.91263973412823773</v>
      </c>
      <c r="AH29" s="97">
        <f t="shared" si="2"/>
        <v>0.78844893499883228</v>
      </c>
      <c r="AI29" s="97">
        <f t="shared" si="2"/>
        <v>0.91699817133309314</v>
      </c>
      <c r="AJ29" s="97">
        <f t="shared" si="2"/>
        <v>0.75762534280147786</v>
      </c>
      <c r="AK29" s="99">
        <f t="shared" si="2"/>
        <v>0</v>
      </c>
      <c r="AL29" s="99">
        <f t="shared" si="2"/>
        <v>0</v>
      </c>
      <c r="AM29" s="99">
        <f t="shared" si="2"/>
        <v>0</v>
      </c>
      <c r="AN29" s="99">
        <f t="shared" si="2"/>
        <v>0</v>
      </c>
      <c r="AO29" s="99">
        <f t="shared" si="2"/>
        <v>0</v>
      </c>
      <c r="AP29" s="99">
        <f t="shared" si="2"/>
        <v>0</v>
      </c>
      <c r="AQ29" s="97"/>
      <c r="AR29" s="99">
        <f t="shared" si="3"/>
        <v>0.70640000000000003</v>
      </c>
      <c r="AS29" s="99">
        <f t="shared" si="3"/>
        <v>0.66290000000000004</v>
      </c>
      <c r="AT29" s="99">
        <f t="shared" si="3"/>
        <v>0.91259999999999997</v>
      </c>
      <c r="AU29" s="99">
        <f t="shared" si="3"/>
        <v>0.78839999999999999</v>
      </c>
      <c r="AV29" s="99">
        <f t="shared" si="3"/>
        <v>0.91700000000000004</v>
      </c>
      <c r="AW29" s="99">
        <f t="shared" si="3"/>
        <v>0.75760000000000005</v>
      </c>
      <c r="AX29" s="99">
        <f t="shared" si="3"/>
        <v>0</v>
      </c>
      <c r="AY29" s="99">
        <f t="shared" si="3"/>
        <v>0</v>
      </c>
      <c r="AZ29" s="99">
        <f t="shared" si="3"/>
        <v>0</v>
      </c>
      <c r="BA29" s="99">
        <f t="shared" si="3"/>
        <v>0</v>
      </c>
      <c r="BB29" s="99">
        <f t="shared" si="3"/>
        <v>0</v>
      </c>
      <c r="BC29" s="99">
        <f t="shared" si="3"/>
        <v>0</v>
      </c>
      <c r="BD29" s="97"/>
      <c r="BE29" s="1">
        <f>IFERROR(VLOOKUP(AR29,'Top WS'!$A$19:$D$28,4),0)</f>
        <v>200</v>
      </c>
      <c r="BF29" s="1">
        <f>IFERROR(VLOOKUP(AS29,'Top WS'!$A$19:$D$28,4),0)</f>
        <v>200</v>
      </c>
      <c r="BG29" s="1">
        <f>IFERROR(VLOOKUP(AT29,'Top WS'!$A$19:$D$28,4),0)</f>
        <v>200</v>
      </c>
      <c r="BH29" s="1">
        <f>IFERROR(VLOOKUP(AU29,'Top WS'!$A$19:$D$28,4),0)</f>
        <v>200</v>
      </c>
      <c r="BI29" s="1">
        <f>IFERROR(VLOOKUP(AV29,'Top WS'!$A$19:$D$28,4),0)</f>
        <v>200</v>
      </c>
      <c r="BJ29" s="1">
        <f>IFERROR(VLOOKUP(AW29,'Top WS'!$A$19:$D$28,4),0)</f>
        <v>200</v>
      </c>
      <c r="BK29" s="98">
        <f>IFERROR(VLOOKUP(AX29,'Top WS'!$A$19:$D$28,4),0)</f>
        <v>200</v>
      </c>
      <c r="BL29" s="98">
        <f>IFERROR(VLOOKUP(AY29,'Top WS'!$A$19:$D$28,4),0)</f>
        <v>200</v>
      </c>
      <c r="BM29" s="98">
        <f>IFERROR(VLOOKUP(AZ29,'Top WS'!$A$19:$D$28,4),0)</f>
        <v>200</v>
      </c>
      <c r="BN29" s="98">
        <f>IFERROR(VLOOKUP(BA29,'Top WS'!$A$19:$D$28,4),0)</f>
        <v>200</v>
      </c>
      <c r="BO29" s="98">
        <f>IFERROR(VLOOKUP(BB29,'Top WS'!$A$19:$D$28,4),0)</f>
        <v>200</v>
      </c>
      <c r="BP29" s="98">
        <f>IFERROR(VLOOKUP(BC29,'Top WS'!$A$19:$D$28,4),0)</f>
        <v>200</v>
      </c>
    </row>
    <row r="30" spans="1:68" x14ac:dyDescent="0.4">
      <c r="A30">
        <v>1190033101</v>
      </c>
      <c r="B30">
        <f>VLOOKUP(A30,'Aji Plus'!$A$2:$D$58,2,0)</f>
        <v>66381</v>
      </c>
      <c r="C30" t="str">
        <f>VLOOKUP(A30,'Aji Plus'!$A$2:$D$58,3,0)</f>
        <v>นายเอกศักดิ์ แซ่ลิ้ม</v>
      </c>
      <c r="D30" t="str">
        <f>VLOOKUP(A30,'Aji Plus'!$A$2:$D$58,4,0)</f>
        <v>Huahin</v>
      </c>
      <c r="E30" s="1">
        <v>178.57750759878417</v>
      </c>
      <c r="F30" s="1">
        <v>223.22188449848019</v>
      </c>
      <c r="G30" s="1">
        <v>215.78115501519744</v>
      </c>
      <c r="H30" s="1">
        <v>272.82674772036461</v>
      </c>
      <c r="I30" s="1">
        <v>367.07598784194511</v>
      </c>
      <c r="J30" s="1">
        <v>235.62310030395125</v>
      </c>
      <c r="K30" s="1">
        <v>324.91185410334333</v>
      </c>
      <c r="L30" s="1">
        <v>365.42249240121566</v>
      </c>
      <c r="M30" s="1">
        <v>250.50455927051664</v>
      </c>
      <c r="N30" s="1">
        <v>430.73556231003022</v>
      </c>
      <c r="O30" s="1">
        <v>73.580547112461971</v>
      </c>
      <c r="P30" s="1">
        <v>325.73860182370805</v>
      </c>
      <c r="R30" s="1">
        <f>VLOOKUP(A30,Actual_RDM!$A$2:$H$63,3,0)</f>
        <v>193.6</v>
      </c>
      <c r="S30" s="1">
        <f>VLOOKUP(A30,Actual_RDM!$A$2:$H$63,4,0)</f>
        <v>227.00000000000003</v>
      </c>
      <c r="T30" s="1">
        <f>VLOOKUP(A30,Actual_RDM!$A$2:$H$63,5,0)</f>
        <v>214.8</v>
      </c>
      <c r="U30" s="1">
        <f>VLOOKUP(A30,Actual_RDM!$A$2:$H$63,6,0)</f>
        <v>226</v>
      </c>
      <c r="V30" s="1">
        <f>VLOOKUP(A30,Actual_RDM!$A$2:$H$63,7,0)</f>
        <v>269.20000000000005</v>
      </c>
      <c r="W30" s="1">
        <f>VLOOKUP(A30,Actual_RDM!$A$2:$H$63,8,0)</f>
        <v>307.60000000000002</v>
      </c>
      <c r="X30" s="111"/>
      <c r="Y30" s="111"/>
      <c r="Z30" s="111"/>
      <c r="AA30" s="111"/>
      <c r="AB30" s="111"/>
      <c r="AC30" s="111"/>
      <c r="AE30" s="97">
        <f t="shared" si="2"/>
        <v>1.0841230936819173</v>
      </c>
      <c r="AF30" s="97">
        <f t="shared" si="2"/>
        <v>1.016925381263617</v>
      </c>
      <c r="AG30" s="97">
        <f t="shared" si="2"/>
        <v>0.99545300878972343</v>
      </c>
      <c r="AH30" s="97">
        <f t="shared" si="2"/>
        <v>0.82836452762923396</v>
      </c>
      <c r="AI30" s="97">
        <f t="shared" si="2"/>
        <v>0.73336314255431956</v>
      </c>
      <c r="AJ30" s="97">
        <f t="shared" si="2"/>
        <v>1.3054747162022711</v>
      </c>
      <c r="AK30" s="99">
        <f t="shared" si="2"/>
        <v>0</v>
      </c>
      <c r="AL30" s="99">
        <f t="shared" si="2"/>
        <v>0</v>
      </c>
      <c r="AM30" s="99">
        <f t="shared" si="2"/>
        <v>0</v>
      </c>
      <c r="AN30" s="99">
        <f t="shared" si="2"/>
        <v>0</v>
      </c>
      <c r="AO30" s="99">
        <f t="shared" si="2"/>
        <v>0</v>
      </c>
      <c r="AP30" s="99">
        <f t="shared" si="2"/>
        <v>0</v>
      </c>
      <c r="AQ30" s="97"/>
      <c r="AR30" s="99">
        <f t="shared" si="3"/>
        <v>1.0841000000000001</v>
      </c>
      <c r="AS30" s="99">
        <f t="shared" si="3"/>
        <v>1.0168999999999999</v>
      </c>
      <c r="AT30" s="99">
        <f t="shared" si="3"/>
        <v>0.99550000000000005</v>
      </c>
      <c r="AU30" s="99">
        <f t="shared" si="3"/>
        <v>0.82840000000000003</v>
      </c>
      <c r="AV30" s="99">
        <f t="shared" si="3"/>
        <v>0.73340000000000005</v>
      </c>
      <c r="AW30" s="99">
        <f t="shared" si="3"/>
        <v>1.3055000000000001</v>
      </c>
      <c r="AX30" s="99">
        <f t="shared" si="3"/>
        <v>0</v>
      </c>
      <c r="AY30" s="99">
        <f t="shared" si="3"/>
        <v>0</v>
      </c>
      <c r="AZ30" s="99">
        <f t="shared" si="3"/>
        <v>0</v>
      </c>
      <c r="BA30" s="99">
        <f t="shared" si="3"/>
        <v>0</v>
      </c>
      <c r="BB30" s="99">
        <f t="shared" si="3"/>
        <v>0</v>
      </c>
      <c r="BC30" s="99">
        <f t="shared" si="3"/>
        <v>0</v>
      </c>
      <c r="BD30" s="97"/>
      <c r="BE30" s="1">
        <f>IFERROR(VLOOKUP(AR30,'Top WS'!$A$19:$D$28,4),0)</f>
        <v>220</v>
      </c>
      <c r="BF30" s="1">
        <f>IFERROR(VLOOKUP(AS30,'Top WS'!$A$19:$D$28,4),0)</f>
        <v>206</v>
      </c>
      <c r="BG30" s="1">
        <f>IFERROR(VLOOKUP(AT30,'Top WS'!$A$19:$D$28,4),0)</f>
        <v>200</v>
      </c>
      <c r="BH30" s="1">
        <f>IFERROR(VLOOKUP(AU30,'Top WS'!$A$19:$D$28,4),0)</f>
        <v>200</v>
      </c>
      <c r="BI30" s="1">
        <f>IFERROR(VLOOKUP(AV30,'Top WS'!$A$19:$D$28,4),0)</f>
        <v>200</v>
      </c>
      <c r="BJ30" s="1">
        <f>IFERROR(VLOOKUP(AW30,'Top WS'!$A$19:$D$28,4),0)</f>
        <v>260</v>
      </c>
      <c r="BK30" s="98">
        <f>IFERROR(VLOOKUP(AX30,'Top WS'!$A$19:$D$28,4),0)</f>
        <v>200</v>
      </c>
      <c r="BL30" s="98">
        <f>IFERROR(VLOOKUP(AY30,'Top WS'!$A$19:$D$28,4),0)</f>
        <v>200</v>
      </c>
      <c r="BM30" s="98">
        <f>IFERROR(VLOOKUP(AZ30,'Top WS'!$A$19:$D$28,4),0)</f>
        <v>200</v>
      </c>
      <c r="BN30" s="98">
        <f>IFERROR(VLOOKUP(BA30,'Top WS'!$A$19:$D$28,4),0)</f>
        <v>200</v>
      </c>
      <c r="BO30" s="98">
        <f>IFERROR(VLOOKUP(BB30,'Top WS'!$A$19:$D$28,4),0)</f>
        <v>200</v>
      </c>
      <c r="BP30" s="98">
        <f>IFERROR(VLOOKUP(BC30,'Top WS'!$A$19:$D$28,4),0)</f>
        <v>200</v>
      </c>
    </row>
    <row r="31" spans="1:68" x14ac:dyDescent="0.4">
      <c r="A31">
        <v>1190033102</v>
      </c>
      <c r="B31">
        <f>VLOOKUP(A31,'Aji Plus'!$A$2:$D$58,2,0)</f>
        <v>28090</v>
      </c>
      <c r="C31" t="str">
        <f>VLOOKUP(A31,'Aji Plus'!$A$2:$D$58,3,0)</f>
        <v>นายนิกร กิจเถกิง</v>
      </c>
      <c r="D31" t="str">
        <f>VLOOKUP(A31,'Aji Plus'!$A$2:$D$58,4,0)</f>
        <v>Huahin</v>
      </c>
      <c r="E31" s="1">
        <v>171.57446808510633</v>
      </c>
      <c r="F31" s="1">
        <v>214.46808510638292</v>
      </c>
      <c r="G31" s="1">
        <v>207.31914893617011</v>
      </c>
      <c r="H31" s="1">
        <v>262.12765957446794</v>
      </c>
      <c r="I31" s="1">
        <v>352.68085106382955</v>
      </c>
      <c r="J31" s="1">
        <v>226.38297872340414</v>
      </c>
      <c r="K31" s="1">
        <v>312.17021276595733</v>
      </c>
      <c r="L31" s="1">
        <v>351.09219858156018</v>
      </c>
      <c r="M31" s="1">
        <v>240.68085106382969</v>
      </c>
      <c r="N31" s="1">
        <v>413.84397163120548</v>
      </c>
      <c r="O31" s="1">
        <v>70.69503546099287</v>
      </c>
      <c r="P31" s="1">
        <v>312.96453900709201</v>
      </c>
      <c r="R31" s="1">
        <f>VLOOKUP(A31,Actual_RDM!$A$2:$H$63,3,0)</f>
        <v>354</v>
      </c>
      <c r="S31" s="1">
        <f>VLOOKUP(A31,Actual_RDM!$A$2:$H$63,4,0)</f>
        <v>212.2</v>
      </c>
      <c r="T31" s="1">
        <f>VLOOKUP(A31,Actual_RDM!$A$2:$H$63,5,0)</f>
        <v>294.39999999999998</v>
      </c>
      <c r="U31" s="1">
        <f>VLOOKUP(A31,Actual_RDM!$A$2:$H$63,6,0)</f>
        <v>61</v>
      </c>
      <c r="V31" s="1">
        <f>VLOOKUP(A31,Actual_RDM!$A$2:$H$63,7,0)</f>
        <v>186.8</v>
      </c>
      <c r="W31" s="1">
        <f>VLOOKUP(A31,Actual_RDM!$A$2:$H$63,8,0)</f>
        <v>152</v>
      </c>
      <c r="X31" s="111"/>
      <c r="Y31" s="111"/>
      <c r="Z31" s="111"/>
      <c r="AA31" s="111"/>
      <c r="AB31" s="111"/>
      <c r="AC31" s="111"/>
      <c r="AE31" s="97">
        <f t="shared" si="2"/>
        <v>2.0632440476190483</v>
      </c>
      <c r="AF31" s="97">
        <f t="shared" si="2"/>
        <v>0.98942460317460346</v>
      </c>
      <c r="AG31" s="97">
        <f t="shared" si="2"/>
        <v>1.4200328407224965</v>
      </c>
      <c r="AH31" s="97">
        <f t="shared" si="2"/>
        <v>0.23271103896103909</v>
      </c>
      <c r="AI31" s="97">
        <f t="shared" si="2"/>
        <v>0.52965733590733632</v>
      </c>
      <c r="AJ31" s="97">
        <f t="shared" si="2"/>
        <v>0.67142857142857182</v>
      </c>
      <c r="AK31" s="99">
        <f t="shared" si="2"/>
        <v>0</v>
      </c>
      <c r="AL31" s="99">
        <f t="shared" si="2"/>
        <v>0</v>
      </c>
      <c r="AM31" s="99">
        <f t="shared" si="2"/>
        <v>0</v>
      </c>
      <c r="AN31" s="99">
        <f t="shared" si="2"/>
        <v>0</v>
      </c>
      <c r="AO31" s="99">
        <f t="shared" si="2"/>
        <v>0</v>
      </c>
      <c r="AP31" s="99">
        <f t="shared" si="2"/>
        <v>0</v>
      </c>
      <c r="AQ31" s="97"/>
      <c r="AR31" s="99">
        <f t="shared" si="3"/>
        <v>2.0632000000000001</v>
      </c>
      <c r="AS31" s="99">
        <f t="shared" si="3"/>
        <v>0.98939999999999995</v>
      </c>
      <c r="AT31" s="99">
        <f t="shared" si="3"/>
        <v>1.42</v>
      </c>
      <c r="AU31" s="99">
        <f t="shared" si="3"/>
        <v>0.23269999999999999</v>
      </c>
      <c r="AV31" s="99">
        <f t="shared" si="3"/>
        <v>0.52969999999999995</v>
      </c>
      <c r="AW31" s="99">
        <f t="shared" si="3"/>
        <v>0.6714</v>
      </c>
      <c r="AX31" s="99">
        <f t="shared" si="3"/>
        <v>0</v>
      </c>
      <c r="AY31" s="99">
        <f t="shared" si="3"/>
        <v>0</v>
      </c>
      <c r="AZ31" s="99">
        <f t="shared" si="3"/>
        <v>0</v>
      </c>
      <c r="BA31" s="99">
        <f t="shared" si="3"/>
        <v>0</v>
      </c>
      <c r="BB31" s="99">
        <f t="shared" si="3"/>
        <v>0</v>
      </c>
      <c r="BC31" s="99">
        <f t="shared" si="3"/>
        <v>0</v>
      </c>
      <c r="BD31" s="97"/>
      <c r="BE31" s="1">
        <f>IFERROR(VLOOKUP(AR31,'Top WS'!$A$19:$D$28,4),0)</f>
        <v>260</v>
      </c>
      <c r="BF31" s="1">
        <f>IFERROR(VLOOKUP(AS31,'Top WS'!$A$19:$D$28,4),0)</f>
        <v>200</v>
      </c>
      <c r="BG31" s="1">
        <f>IFERROR(VLOOKUP(AT31,'Top WS'!$A$19:$D$28,4),0)</f>
        <v>260</v>
      </c>
      <c r="BH31" s="1">
        <f>IFERROR(VLOOKUP(AU31,'Top WS'!$A$19:$D$28,4),0)</f>
        <v>200</v>
      </c>
      <c r="BI31" s="1">
        <f>IFERROR(VLOOKUP(AV31,'Top WS'!$A$19:$D$28,4),0)</f>
        <v>200</v>
      </c>
      <c r="BJ31" s="1">
        <f>IFERROR(VLOOKUP(AW31,'Top WS'!$A$19:$D$28,4),0)</f>
        <v>200</v>
      </c>
      <c r="BK31" s="98">
        <f>IFERROR(VLOOKUP(AX31,'Top WS'!$A$19:$D$28,4),0)</f>
        <v>200</v>
      </c>
      <c r="BL31" s="98">
        <f>IFERROR(VLOOKUP(AY31,'Top WS'!$A$19:$D$28,4),0)</f>
        <v>200</v>
      </c>
      <c r="BM31" s="98">
        <f>IFERROR(VLOOKUP(AZ31,'Top WS'!$A$19:$D$28,4),0)</f>
        <v>200</v>
      </c>
      <c r="BN31" s="98">
        <f>IFERROR(VLOOKUP(BA31,'Top WS'!$A$19:$D$28,4),0)</f>
        <v>200</v>
      </c>
      <c r="BO31" s="98">
        <f>IFERROR(VLOOKUP(BB31,'Top WS'!$A$19:$D$28,4),0)</f>
        <v>200</v>
      </c>
      <c r="BP31" s="98">
        <f>IFERROR(VLOOKUP(BC31,'Top WS'!$A$19:$D$28,4),0)</f>
        <v>200</v>
      </c>
    </row>
    <row r="32" spans="1:68" x14ac:dyDescent="0.4">
      <c r="A32">
        <v>1190033201</v>
      </c>
      <c r="B32">
        <f>VLOOKUP(A32,'Aji Plus'!$A$2:$D$58,2,0)</f>
        <v>76475</v>
      </c>
      <c r="C32" t="str">
        <f>VLOOKUP(A32,'Aji Plus'!$A$2:$D$58,3,0)</f>
        <v>นายดานุกาญจน์ ตั้งพัฒนารุ่งเรือง</v>
      </c>
      <c r="D32" t="str">
        <f>VLOOKUP(A32,'Aji Plus'!$A$2:$D$58,4,0)</f>
        <v>Suphanburi</v>
      </c>
      <c r="E32" s="1">
        <v>1167.2103911134448</v>
      </c>
      <c r="F32" s="1">
        <v>731.9119628171544</v>
      </c>
      <c r="G32" s="1">
        <v>1099.4106918731163</v>
      </c>
      <c r="H32" s="1">
        <v>1021.4613370578882</v>
      </c>
      <c r="I32" s="1">
        <v>680.83889596426013</v>
      </c>
      <c r="J32" s="1">
        <v>841.04105955847433</v>
      </c>
      <c r="K32" s="1">
        <v>1425.9860096510838</v>
      </c>
      <c r="L32" s="1">
        <v>1445.1485593764939</v>
      </c>
      <c r="M32" s="1">
        <v>498.87587081746148</v>
      </c>
      <c r="N32" s="1">
        <v>784.69017180663207</v>
      </c>
      <c r="O32" s="1">
        <v>803.93391877664158</v>
      </c>
      <c r="P32" s="1">
        <v>392.50748039251437</v>
      </c>
      <c r="R32" s="1">
        <f>VLOOKUP(A32,Actual_RDM!$A$2:$H$63,3,0)</f>
        <v>1087.2000000000003</v>
      </c>
      <c r="S32" s="1">
        <f>VLOOKUP(A32,Actual_RDM!$A$2:$H$63,4,0)</f>
        <v>744.99999999999977</v>
      </c>
      <c r="T32" s="1">
        <f>VLOOKUP(A32,Actual_RDM!$A$2:$H$63,5,0)</f>
        <v>489.2</v>
      </c>
      <c r="U32" s="1">
        <f>VLOOKUP(A32,Actual_RDM!$A$2:$H$63,6,0)</f>
        <v>697.40000000000009</v>
      </c>
      <c r="V32" s="1">
        <f>VLOOKUP(A32,Actual_RDM!$A$2:$H$63,7,0)</f>
        <v>867.80000000000007</v>
      </c>
      <c r="W32" s="1">
        <f>VLOOKUP(A32,Actual_RDM!$A$2:$H$63,8,0)</f>
        <v>414.59999999999997</v>
      </c>
      <c r="X32" s="111"/>
      <c r="Y32" s="111"/>
      <c r="Z32" s="111"/>
      <c r="AA32" s="111"/>
      <c r="AB32" s="111"/>
      <c r="AC32" s="111"/>
      <c r="AE32" s="97">
        <f t="shared" si="2"/>
        <v>0.93145161170376523</v>
      </c>
      <c r="AF32" s="97">
        <f t="shared" si="2"/>
        <v>1.0178819828719141</v>
      </c>
      <c r="AG32" s="97">
        <f t="shared" si="2"/>
        <v>0.44496565625219414</v>
      </c>
      <c r="AH32" s="97">
        <f t="shared" si="2"/>
        <v>0.68274732943756744</v>
      </c>
      <c r="AI32" s="97">
        <f t="shared" si="2"/>
        <v>1.2746040291528149</v>
      </c>
      <c r="AJ32" s="97">
        <f t="shared" si="2"/>
        <v>0.49296047474501981</v>
      </c>
      <c r="AK32" s="99">
        <f t="shared" si="2"/>
        <v>0</v>
      </c>
      <c r="AL32" s="99">
        <f t="shared" si="2"/>
        <v>0</v>
      </c>
      <c r="AM32" s="99">
        <f t="shared" si="2"/>
        <v>0</v>
      </c>
      <c r="AN32" s="99">
        <f t="shared" si="2"/>
        <v>0</v>
      </c>
      <c r="AO32" s="99">
        <f t="shared" si="2"/>
        <v>0</v>
      </c>
      <c r="AP32" s="99">
        <f t="shared" si="2"/>
        <v>0</v>
      </c>
      <c r="AQ32" s="97"/>
      <c r="AR32" s="99">
        <f t="shared" si="3"/>
        <v>0.93149999999999999</v>
      </c>
      <c r="AS32" s="99">
        <f t="shared" si="3"/>
        <v>1.0179</v>
      </c>
      <c r="AT32" s="99">
        <f t="shared" si="3"/>
        <v>0.44500000000000001</v>
      </c>
      <c r="AU32" s="99">
        <f t="shared" si="3"/>
        <v>0.68269999999999997</v>
      </c>
      <c r="AV32" s="99">
        <f t="shared" si="3"/>
        <v>1.2746</v>
      </c>
      <c r="AW32" s="99">
        <f t="shared" si="3"/>
        <v>0.49299999999999999</v>
      </c>
      <c r="AX32" s="99">
        <f t="shared" si="3"/>
        <v>0</v>
      </c>
      <c r="AY32" s="99">
        <f t="shared" si="3"/>
        <v>0</v>
      </c>
      <c r="AZ32" s="99">
        <f t="shared" si="3"/>
        <v>0</v>
      </c>
      <c r="BA32" s="99">
        <f t="shared" si="3"/>
        <v>0</v>
      </c>
      <c r="BB32" s="99">
        <f t="shared" si="3"/>
        <v>0</v>
      </c>
      <c r="BC32" s="99">
        <f t="shared" si="3"/>
        <v>0</v>
      </c>
      <c r="BD32" s="97"/>
      <c r="BE32" s="1">
        <f>IFERROR(VLOOKUP(AR32,'Top WS'!$A$19:$D$28,4),0)</f>
        <v>200</v>
      </c>
      <c r="BF32" s="1">
        <f>IFERROR(VLOOKUP(AS32,'Top WS'!$A$19:$D$28,4),0)</f>
        <v>206</v>
      </c>
      <c r="BG32" s="1">
        <f>IFERROR(VLOOKUP(AT32,'Top WS'!$A$19:$D$28,4),0)</f>
        <v>200</v>
      </c>
      <c r="BH32" s="1">
        <f>IFERROR(VLOOKUP(AU32,'Top WS'!$A$19:$D$28,4),0)</f>
        <v>200</v>
      </c>
      <c r="BI32" s="1">
        <f>IFERROR(VLOOKUP(AV32,'Top WS'!$A$19:$D$28,4),0)</f>
        <v>260</v>
      </c>
      <c r="BJ32" s="1">
        <f>IFERROR(VLOOKUP(AW32,'Top WS'!$A$19:$D$28,4),0)</f>
        <v>200</v>
      </c>
      <c r="BK32" s="98">
        <f>IFERROR(VLOOKUP(AX32,'Top WS'!$A$19:$D$28,4),0)</f>
        <v>200</v>
      </c>
      <c r="BL32" s="98">
        <f>IFERROR(VLOOKUP(AY32,'Top WS'!$A$19:$D$28,4),0)</f>
        <v>200</v>
      </c>
      <c r="BM32" s="98">
        <f>IFERROR(VLOOKUP(AZ32,'Top WS'!$A$19:$D$28,4),0)</f>
        <v>200</v>
      </c>
      <c r="BN32" s="98">
        <f>IFERROR(VLOOKUP(BA32,'Top WS'!$A$19:$D$28,4),0)</f>
        <v>200</v>
      </c>
      <c r="BO32" s="98">
        <f>IFERROR(VLOOKUP(BB32,'Top WS'!$A$19:$D$28,4),0)</f>
        <v>200</v>
      </c>
      <c r="BP32" s="98">
        <f>IFERROR(VLOOKUP(BC32,'Top WS'!$A$19:$D$28,4),0)</f>
        <v>200</v>
      </c>
    </row>
    <row r="33" spans="1:68" x14ac:dyDescent="0.4">
      <c r="A33">
        <v>1190033202</v>
      </c>
      <c r="B33">
        <f>VLOOKUP(A33,'Aji Plus'!$A$2:$D$58,2,0)</f>
        <v>63537</v>
      </c>
      <c r="C33" t="str">
        <f>VLOOKUP(A33,'Aji Plus'!$A$2:$D$58,3,0)</f>
        <v>นายอำนาจ แตงสี</v>
      </c>
      <c r="D33" t="str">
        <f>VLOOKUP(A33,'Aji Plus'!$A$2:$D$58,4,0)</f>
        <v>Suphanburi</v>
      </c>
      <c r="E33" s="1">
        <v>584.72766561198637</v>
      </c>
      <c r="F33" s="1">
        <v>366.65983845749196</v>
      </c>
      <c r="G33" s="1">
        <v>550.76261512252518</v>
      </c>
      <c r="H33" s="1">
        <v>511.71297623643778</v>
      </c>
      <c r="I33" s="1">
        <v>341.07418964567017</v>
      </c>
      <c r="J33" s="1">
        <v>421.32933289801457</v>
      </c>
      <c r="K33" s="1">
        <v>714.36433137236247</v>
      </c>
      <c r="L33" s="1">
        <v>723.96403426519225</v>
      </c>
      <c r="M33" s="1">
        <v>249.91768887095975</v>
      </c>
      <c r="N33" s="1">
        <v>393.09969811994711</v>
      </c>
      <c r="O33" s="1">
        <v>402.74007771994991</v>
      </c>
      <c r="P33" s="1">
        <v>196.63120247431954</v>
      </c>
      <c r="R33" s="1">
        <f>VLOOKUP(A33,Actual_RDM!$A$2:$H$63,3,0)</f>
        <v>274</v>
      </c>
      <c r="S33" s="1">
        <f>VLOOKUP(A33,Actual_RDM!$A$2:$H$63,4,0)</f>
        <v>230.8</v>
      </c>
      <c r="T33" s="1">
        <f>VLOOKUP(A33,Actual_RDM!$A$2:$H$63,5,0)</f>
        <v>319.39999999999998</v>
      </c>
      <c r="U33" s="1">
        <f>VLOOKUP(A33,Actual_RDM!$A$2:$H$63,6,0)</f>
        <v>315.39999999999998</v>
      </c>
      <c r="V33" s="1">
        <f>VLOOKUP(A33,Actual_RDM!$A$2:$H$63,7,0)</f>
        <v>212.6</v>
      </c>
      <c r="W33" s="1">
        <f>VLOOKUP(A33,Actual_RDM!$A$2:$H$63,8,0)</f>
        <v>280.89999999999998</v>
      </c>
      <c r="X33" s="111"/>
      <c r="Y33" s="111"/>
      <c r="Z33" s="111"/>
      <c r="AA33" s="111"/>
      <c r="AB33" s="111"/>
      <c r="AC33" s="111"/>
      <c r="AE33" s="97">
        <f t="shared" si="2"/>
        <v>0.46859421250955646</v>
      </c>
      <c r="AF33" s="97">
        <f t="shared" si="2"/>
        <v>0.62946626762002844</v>
      </c>
      <c r="AG33" s="97">
        <f t="shared" si="2"/>
        <v>0.57992316695087376</v>
      </c>
      <c r="AH33" s="97">
        <f t="shared" si="2"/>
        <v>0.6163611529254418</v>
      </c>
      <c r="AI33" s="97">
        <f t="shared" si="2"/>
        <v>0.62332479693307363</v>
      </c>
      <c r="AJ33" s="97">
        <f t="shared" si="2"/>
        <v>0.66669936808789332</v>
      </c>
      <c r="AK33" s="99">
        <f t="shared" si="2"/>
        <v>0</v>
      </c>
      <c r="AL33" s="99">
        <f t="shared" si="2"/>
        <v>0</v>
      </c>
      <c r="AM33" s="99">
        <f t="shared" si="2"/>
        <v>0</v>
      </c>
      <c r="AN33" s="99">
        <f t="shared" si="2"/>
        <v>0</v>
      </c>
      <c r="AO33" s="99">
        <f t="shared" si="2"/>
        <v>0</v>
      </c>
      <c r="AP33" s="99">
        <f t="shared" si="2"/>
        <v>0</v>
      </c>
      <c r="AQ33" s="97"/>
      <c r="AR33" s="99">
        <f t="shared" si="3"/>
        <v>0.46860000000000002</v>
      </c>
      <c r="AS33" s="99">
        <f t="shared" si="3"/>
        <v>0.62949999999999995</v>
      </c>
      <c r="AT33" s="99">
        <f t="shared" si="3"/>
        <v>0.57989999999999997</v>
      </c>
      <c r="AU33" s="99">
        <f t="shared" si="3"/>
        <v>0.61639999999999995</v>
      </c>
      <c r="AV33" s="99">
        <f t="shared" si="3"/>
        <v>0.62329999999999997</v>
      </c>
      <c r="AW33" s="99">
        <f t="shared" si="3"/>
        <v>0.66669999999999996</v>
      </c>
      <c r="AX33" s="99">
        <f t="shared" si="3"/>
        <v>0</v>
      </c>
      <c r="AY33" s="99">
        <f t="shared" si="3"/>
        <v>0</v>
      </c>
      <c r="AZ33" s="99">
        <f t="shared" si="3"/>
        <v>0</v>
      </c>
      <c r="BA33" s="99">
        <f t="shared" si="3"/>
        <v>0</v>
      </c>
      <c r="BB33" s="99">
        <f t="shared" si="3"/>
        <v>0</v>
      </c>
      <c r="BC33" s="99">
        <f t="shared" si="3"/>
        <v>0</v>
      </c>
      <c r="BD33" s="97"/>
      <c r="BE33" s="1">
        <f>IFERROR(VLOOKUP(AR33,'Top WS'!$A$19:$D$28,4),0)</f>
        <v>200</v>
      </c>
      <c r="BF33" s="1">
        <f>IFERROR(VLOOKUP(AS33,'Top WS'!$A$19:$D$28,4),0)</f>
        <v>200</v>
      </c>
      <c r="BG33" s="1">
        <f>IFERROR(VLOOKUP(AT33,'Top WS'!$A$19:$D$28,4),0)</f>
        <v>200</v>
      </c>
      <c r="BH33" s="1">
        <f>IFERROR(VLOOKUP(AU33,'Top WS'!$A$19:$D$28,4),0)</f>
        <v>200</v>
      </c>
      <c r="BI33" s="1">
        <f>IFERROR(VLOOKUP(AV33,'Top WS'!$A$19:$D$28,4),0)</f>
        <v>200</v>
      </c>
      <c r="BJ33" s="1">
        <f>IFERROR(VLOOKUP(AW33,'Top WS'!$A$19:$D$28,4),0)</f>
        <v>200</v>
      </c>
      <c r="BK33" s="98">
        <f>IFERROR(VLOOKUP(AX33,'Top WS'!$A$19:$D$28,4),0)</f>
        <v>200</v>
      </c>
      <c r="BL33" s="98">
        <f>IFERROR(VLOOKUP(AY33,'Top WS'!$A$19:$D$28,4),0)</f>
        <v>200</v>
      </c>
      <c r="BM33" s="98">
        <f>IFERROR(VLOOKUP(AZ33,'Top WS'!$A$19:$D$28,4),0)</f>
        <v>200</v>
      </c>
      <c r="BN33" s="98">
        <f>IFERROR(VLOOKUP(BA33,'Top WS'!$A$19:$D$28,4),0)</f>
        <v>200</v>
      </c>
      <c r="BO33" s="98">
        <f>IFERROR(VLOOKUP(BB33,'Top WS'!$A$19:$D$28,4),0)</f>
        <v>200</v>
      </c>
      <c r="BP33" s="98">
        <f>IFERROR(VLOOKUP(BC33,'Top WS'!$A$19:$D$28,4),0)</f>
        <v>200</v>
      </c>
    </row>
    <row r="34" spans="1:68" x14ac:dyDescent="0.4">
      <c r="A34">
        <v>1190033301</v>
      </c>
      <c r="B34">
        <f>VLOOKUP(A34,'Aji Plus'!$A$2:$D$58,2,0)</f>
        <v>63139</v>
      </c>
      <c r="C34" t="str">
        <f>VLOOKUP(A34,'Aji Plus'!$A$2:$D$58,3,0)</f>
        <v>นายเมธา กันทสัง</v>
      </c>
      <c r="D34" t="str">
        <f>VLOOKUP(A34,'Aji Plus'!$A$2:$D$58,4,0)</f>
        <v>Nakornpathom</v>
      </c>
      <c r="E34" s="1">
        <v>1695.6003914130436</v>
      </c>
      <c r="F34" s="1">
        <v>1905.9474567763627</v>
      </c>
      <c r="G34" s="1">
        <v>506.98807921819616</v>
      </c>
      <c r="H34" s="1">
        <v>1685.9824900331798</v>
      </c>
      <c r="I34" s="1">
        <v>1445.1787369669571</v>
      </c>
      <c r="J34" s="1">
        <v>978.26524683152741</v>
      </c>
      <c r="K34" s="1">
        <v>1872.5519658740579</v>
      </c>
      <c r="L34" s="1">
        <v>2451.7633600836393</v>
      </c>
      <c r="M34" s="1">
        <v>408.84986328662188</v>
      </c>
      <c r="N34" s="1">
        <v>2179.9685914600777</v>
      </c>
      <c r="O34" s="1">
        <v>1757.7605318125341</v>
      </c>
      <c r="P34" s="1">
        <v>530.1422862437945</v>
      </c>
      <c r="R34" s="1">
        <f>VLOOKUP(A34,Actual_RDM!$A$2:$H$63,3,0)</f>
        <v>1553</v>
      </c>
      <c r="S34" s="1">
        <f>VLOOKUP(A34,Actual_RDM!$A$2:$H$63,4,0)</f>
        <v>474.9</v>
      </c>
      <c r="T34" s="1">
        <f>VLOOKUP(A34,Actual_RDM!$A$2:$H$63,5,0)</f>
        <v>2575.1</v>
      </c>
      <c r="U34" s="1">
        <f>VLOOKUP(A34,Actual_RDM!$A$2:$H$63,6,0)</f>
        <v>355.8</v>
      </c>
      <c r="V34" s="1">
        <f>VLOOKUP(A34,Actual_RDM!$A$2:$H$63,7,0)</f>
        <v>418.5</v>
      </c>
      <c r="W34" s="1">
        <f>VLOOKUP(A34,Actual_RDM!$A$2:$H$63,8,0)</f>
        <v>635</v>
      </c>
      <c r="X34" s="111"/>
      <c r="Y34" s="111"/>
      <c r="Z34" s="111"/>
      <c r="AA34" s="111"/>
      <c r="AB34" s="111"/>
      <c r="AC34" s="111"/>
      <c r="AE34" s="97">
        <f t="shared" si="2"/>
        <v>0.91589976498282932</v>
      </c>
      <c r="AF34" s="97">
        <f t="shared" si="2"/>
        <v>0.24916741451163893</v>
      </c>
      <c r="AG34" s="97">
        <f t="shared" si="2"/>
        <v>5.0792121265867776</v>
      </c>
      <c r="AH34" s="97">
        <f t="shared" si="2"/>
        <v>0.2110342201673743</v>
      </c>
      <c r="AI34" s="97">
        <f t="shared" si="2"/>
        <v>0.28958355758701471</v>
      </c>
      <c r="AJ34" s="97">
        <f t="shared" si="2"/>
        <v>0.64910820665119362</v>
      </c>
      <c r="AK34" s="99">
        <f t="shared" si="2"/>
        <v>0</v>
      </c>
      <c r="AL34" s="99">
        <f t="shared" si="2"/>
        <v>0</v>
      </c>
      <c r="AM34" s="99">
        <f t="shared" si="2"/>
        <v>0</v>
      </c>
      <c r="AN34" s="99">
        <f t="shared" si="2"/>
        <v>0</v>
      </c>
      <c r="AO34" s="99">
        <f t="shared" si="2"/>
        <v>0</v>
      </c>
      <c r="AP34" s="99">
        <f t="shared" si="2"/>
        <v>0</v>
      </c>
      <c r="AQ34" s="97"/>
      <c r="AR34" s="99">
        <f t="shared" si="3"/>
        <v>0.91590000000000005</v>
      </c>
      <c r="AS34" s="99">
        <f t="shared" si="3"/>
        <v>0.2492</v>
      </c>
      <c r="AT34" s="99">
        <f t="shared" si="3"/>
        <v>5.0792000000000002</v>
      </c>
      <c r="AU34" s="99">
        <f t="shared" si="3"/>
        <v>0.21099999999999999</v>
      </c>
      <c r="AV34" s="99">
        <f t="shared" si="3"/>
        <v>0.28960000000000002</v>
      </c>
      <c r="AW34" s="99">
        <f t="shared" si="3"/>
        <v>0.64910000000000001</v>
      </c>
      <c r="AX34" s="99">
        <f t="shared" si="3"/>
        <v>0</v>
      </c>
      <c r="AY34" s="99">
        <f t="shared" si="3"/>
        <v>0</v>
      </c>
      <c r="AZ34" s="99">
        <f t="shared" si="3"/>
        <v>0</v>
      </c>
      <c r="BA34" s="99">
        <f t="shared" si="3"/>
        <v>0</v>
      </c>
      <c r="BB34" s="99">
        <f t="shared" si="3"/>
        <v>0</v>
      </c>
      <c r="BC34" s="99">
        <f t="shared" si="3"/>
        <v>0</v>
      </c>
      <c r="BD34" s="97"/>
      <c r="BE34" s="1">
        <f>IFERROR(VLOOKUP(AR34,'Top WS'!$A$19:$D$28,4),0)</f>
        <v>200</v>
      </c>
      <c r="BF34" s="1">
        <f>IFERROR(VLOOKUP(AS34,'Top WS'!$A$19:$D$28,4),0)</f>
        <v>200</v>
      </c>
      <c r="BG34" s="1">
        <f>IFERROR(VLOOKUP(AT34,'Top WS'!$A$19:$D$28,4),0)</f>
        <v>260</v>
      </c>
      <c r="BH34" s="1">
        <f>IFERROR(VLOOKUP(AU34,'Top WS'!$A$19:$D$28,4),0)</f>
        <v>200</v>
      </c>
      <c r="BI34" s="1">
        <f>IFERROR(VLOOKUP(AV34,'Top WS'!$A$19:$D$28,4),0)</f>
        <v>200</v>
      </c>
      <c r="BJ34" s="1">
        <f>IFERROR(VLOOKUP(AW34,'Top WS'!$A$19:$D$28,4),0)</f>
        <v>200</v>
      </c>
      <c r="BK34" s="98">
        <f>IFERROR(VLOOKUP(AX34,'Top WS'!$A$19:$D$28,4),0)</f>
        <v>200</v>
      </c>
      <c r="BL34" s="98">
        <f>IFERROR(VLOOKUP(AY34,'Top WS'!$A$19:$D$28,4),0)</f>
        <v>200</v>
      </c>
      <c r="BM34" s="98">
        <f>IFERROR(VLOOKUP(AZ34,'Top WS'!$A$19:$D$28,4),0)</f>
        <v>200</v>
      </c>
      <c r="BN34" s="98">
        <f>IFERROR(VLOOKUP(BA34,'Top WS'!$A$19:$D$28,4),0)</f>
        <v>200</v>
      </c>
      <c r="BO34" s="98">
        <f>IFERROR(VLOOKUP(BB34,'Top WS'!$A$19:$D$28,4),0)</f>
        <v>200</v>
      </c>
      <c r="BP34" s="98">
        <f>IFERROR(VLOOKUP(BC34,'Top WS'!$A$19:$D$28,4),0)</f>
        <v>200</v>
      </c>
    </row>
    <row r="35" spans="1:68" x14ac:dyDescent="0.4">
      <c r="A35">
        <v>1190033302</v>
      </c>
      <c r="B35">
        <f>VLOOKUP(A35,'Aji Plus'!$A$2:$D$58,2,0)</f>
        <v>101039</v>
      </c>
      <c r="C35" t="str">
        <f>VLOOKUP(A35,'Aji Plus'!$A$2:$D$58,3,0)</f>
        <v>นายสุชล ลีลากิจทรัพย์</v>
      </c>
      <c r="D35" t="str">
        <f>VLOOKUP(A35,'Aji Plus'!$A$2:$D$58,4,0)</f>
        <v>Nakornpathom</v>
      </c>
      <c r="E35" s="1">
        <v>637.68761108185595</v>
      </c>
      <c r="F35" s="1">
        <v>716.79570653224152</v>
      </c>
      <c r="G35" s="1">
        <v>190.66993539333012</v>
      </c>
      <c r="H35" s="1">
        <v>634.0704754727783</v>
      </c>
      <c r="I35" s="1">
        <v>543.50811726031293</v>
      </c>
      <c r="J35" s="1">
        <v>367.90958023814011</v>
      </c>
      <c r="K35" s="1">
        <v>704.23620788961057</v>
      </c>
      <c r="L35" s="1">
        <v>922.06815234740407</v>
      </c>
      <c r="M35" s="1">
        <v>153.76175538218487</v>
      </c>
      <c r="N35" s="1">
        <v>819.85057939457704</v>
      </c>
      <c r="O35" s="1">
        <v>661.06502455533996</v>
      </c>
      <c r="P35" s="1">
        <v>199.37785445222104</v>
      </c>
      <c r="R35" s="1">
        <f>VLOOKUP(A35,Actual_RDM!$A$2:$H$63,3,0)</f>
        <v>764.7</v>
      </c>
      <c r="S35" s="1">
        <f>VLOOKUP(A35,Actual_RDM!$A$2:$H$63,4,0)</f>
        <v>327.7</v>
      </c>
      <c r="T35" s="1">
        <f>VLOOKUP(A35,Actual_RDM!$A$2:$H$63,5,0)</f>
        <v>362.59999999999997</v>
      </c>
      <c r="U35" s="1">
        <f>VLOOKUP(A35,Actual_RDM!$A$2:$H$63,6,0)</f>
        <v>676.00000000000011</v>
      </c>
      <c r="V35" s="1">
        <f>VLOOKUP(A35,Actual_RDM!$A$2:$H$63,7,0)</f>
        <v>419.2</v>
      </c>
      <c r="W35" s="1">
        <f>VLOOKUP(A35,Actual_RDM!$A$2:$H$63,8,0)</f>
        <v>487.3</v>
      </c>
      <c r="X35" s="111"/>
      <c r="Y35" s="111"/>
      <c r="Z35" s="111"/>
      <c r="AA35" s="111"/>
      <c r="AB35" s="111"/>
      <c r="AC35" s="111"/>
      <c r="AE35" s="97">
        <f t="shared" si="2"/>
        <v>1.1991765038412205</v>
      </c>
      <c r="AF35" s="97">
        <f t="shared" si="2"/>
        <v>0.45717349729306733</v>
      </c>
      <c r="AG35" s="97">
        <f t="shared" si="2"/>
        <v>1.9017156493602303</v>
      </c>
      <c r="AH35" s="97">
        <f t="shared" si="2"/>
        <v>1.0661275459892028</v>
      </c>
      <c r="AI35" s="97">
        <f t="shared" si="2"/>
        <v>0.77128562883859264</v>
      </c>
      <c r="AJ35" s="97">
        <f t="shared" si="2"/>
        <v>1.3245102225513699</v>
      </c>
      <c r="AK35" s="99">
        <f t="shared" si="2"/>
        <v>0</v>
      </c>
      <c r="AL35" s="99">
        <f t="shared" si="2"/>
        <v>0</v>
      </c>
      <c r="AM35" s="99">
        <f t="shared" si="2"/>
        <v>0</v>
      </c>
      <c r="AN35" s="99">
        <f t="shared" si="2"/>
        <v>0</v>
      </c>
      <c r="AO35" s="99">
        <f t="shared" si="2"/>
        <v>0</v>
      </c>
      <c r="AP35" s="99">
        <f t="shared" si="2"/>
        <v>0</v>
      </c>
      <c r="AQ35" s="97"/>
      <c r="AR35" s="99">
        <f t="shared" si="3"/>
        <v>1.1992</v>
      </c>
      <c r="AS35" s="99">
        <f t="shared" si="3"/>
        <v>0.4572</v>
      </c>
      <c r="AT35" s="99">
        <f t="shared" si="3"/>
        <v>1.9016999999999999</v>
      </c>
      <c r="AU35" s="99">
        <f t="shared" si="3"/>
        <v>1.0661</v>
      </c>
      <c r="AV35" s="99">
        <f t="shared" si="3"/>
        <v>0.77129999999999999</v>
      </c>
      <c r="AW35" s="99">
        <f t="shared" si="3"/>
        <v>1.3245</v>
      </c>
      <c r="AX35" s="99">
        <f t="shared" si="3"/>
        <v>0</v>
      </c>
      <c r="AY35" s="99">
        <f t="shared" si="3"/>
        <v>0</v>
      </c>
      <c r="AZ35" s="99">
        <f t="shared" si="3"/>
        <v>0</v>
      </c>
      <c r="BA35" s="99">
        <f t="shared" si="3"/>
        <v>0</v>
      </c>
      <c r="BB35" s="99">
        <f t="shared" si="3"/>
        <v>0</v>
      </c>
      <c r="BC35" s="99">
        <f t="shared" si="3"/>
        <v>0</v>
      </c>
      <c r="BD35" s="97"/>
      <c r="BE35" s="1">
        <f>IFERROR(VLOOKUP(AR35,'Top WS'!$A$19:$D$28,4),0)</f>
        <v>240</v>
      </c>
      <c r="BF35" s="1">
        <f>IFERROR(VLOOKUP(AS35,'Top WS'!$A$19:$D$28,4),0)</f>
        <v>200</v>
      </c>
      <c r="BG35" s="1">
        <f>IFERROR(VLOOKUP(AT35,'Top WS'!$A$19:$D$28,4),0)</f>
        <v>260</v>
      </c>
      <c r="BH35" s="1">
        <f>IFERROR(VLOOKUP(AU35,'Top WS'!$A$19:$D$28,4),0)</f>
        <v>220</v>
      </c>
      <c r="BI35" s="1">
        <f>IFERROR(VLOOKUP(AV35,'Top WS'!$A$19:$D$28,4),0)</f>
        <v>200</v>
      </c>
      <c r="BJ35" s="1">
        <f>IFERROR(VLOOKUP(AW35,'Top WS'!$A$19:$D$28,4),0)</f>
        <v>260</v>
      </c>
      <c r="BK35" s="98">
        <f>IFERROR(VLOOKUP(AX35,'Top WS'!$A$19:$D$28,4),0)</f>
        <v>200</v>
      </c>
      <c r="BL35" s="98">
        <f>IFERROR(VLOOKUP(AY35,'Top WS'!$A$19:$D$28,4),0)</f>
        <v>200</v>
      </c>
      <c r="BM35" s="98">
        <f>IFERROR(VLOOKUP(AZ35,'Top WS'!$A$19:$D$28,4),0)</f>
        <v>200</v>
      </c>
      <c r="BN35" s="98">
        <f>IFERROR(VLOOKUP(BA35,'Top WS'!$A$19:$D$28,4),0)</f>
        <v>200</v>
      </c>
      <c r="BO35" s="98">
        <f>IFERROR(VLOOKUP(BB35,'Top WS'!$A$19:$D$28,4),0)</f>
        <v>200</v>
      </c>
      <c r="BP35" s="98">
        <f>IFERROR(VLOOKUP(BC35,'Top WS'!$A$19:$D$28,4),0)</f>
        <v>200</v>
      </c>
    </row>
    <row r="36" spans="1:68" x14ac:dyDescent="0.4">
      <c r="A36">
        <v>1190037301</v>
      </c>
      <c r="B36">
        <f>VLOOKUP(A36,'Aji Plus'!$A$2:$D$58,2,0)</f>
        <v>100570</v>
      </c>
      <c r="C36" t="str">
        <f>VLOOKUP(A36,'Aji Plus'!$A$2:$D$58,3,0)</f>
        <v>นายอดิเรก ศรีนุกูล</v>
      </c>
      <c r="D36" t="str">
        <f>VLOOKUP(A36,'Aji Plus'!$A$2:$D$58,4,0)</f>
        <v>Chonburi</v>
      </c>
      <c r="E36" s="1">
        <v>2013</v>
      </c>
      <c r="F36" s="1">
        <v>2394</v>
      </c>
      <c r="G36" s="1">
        <v>1580</v>
      </c>
      <c r="H36" s="1">
        <v>1469</v>
      </c>
      <c r="I36" s="1">
        <v>1680</v>
      </c>
      <c r="J36" s="1">
        <v>1464</v>
      </c>
      <c r="K36" s="1">
        <v>2432</v>
      </c>
      <c r="L36" s="1">
        <v>2353</v>
      </c>
      <c r="M36" s="1">
        <v>1059</v>
      </c>
      <c r="N36" s="1">
        <v>2288</v>
      </c>
      <c r="O36" s="1">
        <v>1319</v>
      </c>
      <c r="P36" s="1">
        <v>2581</v>
      </c>
      <c r="R36" s="1">
        <f>VLOOKUP(A36,Actual_RDM!$A$2:$H$63,3,0)</f>
        <v>1125.2</v>
      </c>
      <c r="S36" s="1">
        <f>VLOOKUP(A36,Actual_RDM!$A$2:$H$63,4,0)</f>
        <v>1548.8</v>
      </c>
      <c r="T36" s="1">
        <f>VLOOKUP(A36,Actual_RDM!$A$2:$H$63,5,0)</f>
        <v>1081.1999999999998</v>
      </c>
      <c r="U36" s="1">
        <f>VLOOKUP(A36,Actual_RDM!$A$2:$H$63,6,0)</f>
        <v>294.39999999999998</v>
      </c>
      <c r="V36" s="1">
        <f>VLOOKUP(A36,Actual_RDM!$A$2:$H$63,7,0)</f>
        <v>692.80000000000007</v>
      </c>
      <c r="W36" s="1">
        <f>VLOOKUP(A36,Actual_RDM!$A$2:$H$63,8,0)</f>
        <v>1634.1</v>
      </c>
      <c r="X36" s="111"/>
      <c r="Y36" s="111"/>
      <c r="Z36" s="111"/>
      <c r="AA36" s="111"/>
      <c r="AB36" s="111"/>
      <c r="AC36" s="111"/>
      <c r="AE36" s="97">
        <f t="shared" si="2"/>
        <v>0.5589667163437656</v>
      </c>
      <c r="AF36" s="97">
        <f t="shared" si="2"/>
        <v>0.64695071010860483</v>
      </c>
      <c r="AG36" s="97">
        <f t="shared" si="2"/>
        <v>0.68430379746835435</v>
      </c>
      <c r="AH36" s="97">
        <f t="shared" si="2"/>
        <v>0.20040844111640571</v>
      </c>
      <c r="AI36" s="97">
        <f t="shared" si="2"/>
        <v>0.4123809523809524</v>
      </c>
      <c r="AJ36" s="97">
        <f t="shared" si="2"/>
        <v>1.1161885245901639</v>
      </c>
      <c r="AK36" s="99">
        <f t="shared" si="2"/>
        <v>0</v>
      </c>
      <c r="AL36" s="99">
        <f t="shared" si="2"/>
        <v>0</v>
      </c>
      <c r="AM36" s="99">
        <f t="shared" si="2"/>
        <v>0</v>
      </c>
      <c r="AN36" s="99">
        <f t="shared" si="2"/>
        <v>0</v>
      </c>
      <c r="AO36" s="99">
        <f t="shared" si="2"/>
        <v>0</v>
      </c>
      <c r="AP36" s="99">
        <f t="shared" si="2"/>
        <v>0</v>
      </c>
      <c r="AQ36" s="97"/>
      <c r="AR36" s="99">
        <f t="shared" si="3"/>
        <v>0.55900000000000005</v>
      </c>
      <c r="AS36" s="99">
        <f t="shared" si="3"/>
        <v>0.64700000000000002</v>
      </c>
      <c r="AT36" s="99">
        <f t="shared" si="3"/>
        <v>0.68430000000000002</v>
      </c>
      <c r="AU36" s="99">
        <f t="shared" si="3"/>
        <v>0.20039999999999999</v>
      </c>
      <c r="AV36" s="99">
        <f t="shared" si="3"/>
        <v>0.41239999999999999</v>
      </c>
      <c r="AW36" s="99">
        <f t="shared" si="3"/>
        <v>1.1162000000000001</v>
      </c>
      <c r="AX36" s="99">
        <f t="shared" si="3"/>
        <v>0</v>
      </c>
      <c r="AY36" s="99">
        <f t="shared" si="3"/>
        <v>0</v>
      </c>
      <c r="AZ36" s="99">
        <f t="shared" si="3"/>
        <v>0</v>
      </c>
      <c r="BA36" s="99">
        <f t="shared" si="3"/>
        <v>0</v>
      </c>
      <c r="BB36" s="99">
        <f t="shared" si="3"/>
        <v>0</v>
      </c>
      <c r="BC36" s="99">
        <f t="shared" si="3"/>
        <v>0</v>
      </c>
      <c r="BD36" s="97"/>
      <c r="BE36" s="1">
        <f>IFERROR(VLOOKUP(AR36,'Top WS'!$A$19:$D$28,4),0)</f>
        <v>200</v>
      </c>
      <c r="BF36" s="1">
        <f>IFERROR(VLOOKUP(AS36,'Top WS'!$A$19:$D$28,4),0)</f>
        <v>200</v>
      </c>
      <c r="BG36" s="1">
        <f>IFERROR(VLOOKUP(AT36,'Top WS'!$A$19:$D$28,4),0)</f>
        <v>200</v>
      </c>
      <c r="BH36" s="1">
        <f>IFERROR(VLOOKUP(AU36,'Top WS'!$A$19:$D$28,4),0)</f>
        <v>200</v>
      </c>
      <c r="BI36" s="1">
        <f>IFERROR(VLOOKUP(AV36,'Top WS'!$A$19:$D$28,4),0)</f>
        <v>200</v>
      </c>
      <c r="BJ36" s="1">
        <f>IFERROR(VLOOKUP(AW36,'Top WS'!$A$19:$D$28,4),0)</f>
        <v>230</v>
      </c>
      <c r="BK36" s="98">
        <f>IFERROR(VLOOKUP(AX36,'Top WS'!$A$19:$D$28,4),0)</f>
        <v>200</v>
      </c>
      <c r="BL36" s="98">
        <f>IFERROR(VLOOKUP(AY36,'Top WS'!$A$19:$D$28,4),0)</f>
        <v>200</v>
      </c>
      <c r="BM36" s="98">
        <f>IFERROR(VLOOKUP(AZ36,'Top WS'!$A$19:$D$28,4),0)</f>
        <v>200</v>
      </c>
      <c r="BN36" s="98">
        <f>IFERROR(VLOOKUP(BA36,'Top WS'!$A$19:$D$28,4),0)</f>
        <v>200</v>
      </c>
      <c r="BO36" s="98">
        <f>IFERROR(VLOOKUP(BB36,'Top WS'!$A$19:$D$28,4),0)</f>
        <v>200</v>
      </c>
      <c r="BP36" s="98">
        <f>IFERROR(VLOOKUP(BC36,'Top WS'!$A$19:$D$28,4),0)</f>
        <v>200</v>
      </c>
    </row>
    <row r="37" spans="1:68" x14ac:dyDescent="0.4">
      <c r="A37">
        <v>1190037401</v>
      </c>
      <c r="B37">
        <f>VLOOKUP(A37,'Aji Plus'!$A$2:$D$58,2,0)</f>
        <v>28171</v>
      </c>
      <c r="C37" t="str">
        <f>VLOOKUP(A37,'Aji Plus'!$A$2:$D$58,3,0)</f>
        <v>นายไพฑูรย์ ไกรลาศ</v>
      </c>
      <c r="D37" t="str">
        <f>VLOOKUP(A37,'Aji Plus'!$A$2:$D$58,4,0)</f>
        <v>Sa Kaeo</v>
      </c>
      <c r="E37" s="1">
        <v>337.77557198868425</v>
      </c>
      <c r="F37" s="1">
        <v>613.35450890863058</v>
      </c>
      <c r="G37" s="1">
        <v>389.68584048836175</v>
      </c>
      <c r="H37" s="1">
        <v>426.40577696163581</v>
      </c>
      <c r="I37" s="1">
        <v>228.81185170479927</v>
      </c>
      <c r="J37" s="1">
        <v>260.7474316343243</v>
      </c>
      <c r="K37" s="1">
        <v>508.8163184277135</v>
      </c>
      <c r="L37" s="1">
        <v>400.68986053898459</v>
      </c>
      <c r="M37" s="1">
        <v>471.01990173209589</v>
      </c>
      <c r="N37" s="1">
        <v>395.66628616804803</v>
      </c>
      <c r="O37" s="1">
        <v>479.63174351084422</v>
      </c>
      <c r="P37" s="1">
        <v>307.39490793587771</v>
      </c>
      <c r="R37" s="1">
        <f>VLOOKUP(A37,Actual_RDM!$A$2:$H$63,3,0)</f>
        <v>210</v>
      </c>
      <c r="S37" s="1">
        <f>VLOOKUP(A37,Actual_RDM!$A$2:$H$63,4,0)</f>
        <v>293.60000000000002</v>
      </c>
      <c r="T37" s="1">
        <f>VLOOKUP(A37,Actual_RDM!$A$2:$H$63,5,0)</f>
        <v>244</v>
      </c>
      <c r="U37" s="1">
        <f>VLOOKUP(A37,Actual_RDM!$A$2:$H$63,6,0)</f>
        <v>229</v>
      </c>
      <c r="V37" s="1">
        <f>VLOOKUP(A37,Actual_RDM!$A$2:$H$63,7,0)</f>
        <v>373</v>
      </c>
      <c r="W37" s="1">
        <f>VLOOKUP(A37,Actual_RDM!$A$2:$H$63,8,0)</f>
        <v>273.39999999999998</v>
      </c>
      <c r="X37" s="111"/>
      <c r="Y37" s="111"/>
      <c r="Z37" s="111"/>
      <c r="AA37" s="111"/>
      <c r="AB37" s="111"/>
      <c r="AC37" s="111"/>
      <c r="AE37" s="97">
        <f t="shared" si="2"/>
        <v>0.62171458629647491</v>
      </c>
      <c r="AF37" s="97">
        <f t="shared" si="2"/>
        <v>0.4786791255882602</v>
      </c>
      <c r="AG37" s="97">
        <f t="shared" si="2"/>
        <v>0.62614540906647909</v>
      </c>
      <c r="AH37" s="97">
        <f t="shared" si="2"/>
        <v>0.53704713297212991</v>
      </c>
      <c r="AI37" s="97">
        <f t="shared" si="2"/>
        <v>1.6301603139037768</v>
      </c>
      <c r="AJ37" s="97">
        <f t="shared" si="2"/>
        <v>1.048524230081084</v>
      </c>
      <c r="AK37" s="99">
        <f t="shared" si="2"/>
        <v>0</v>
      </c>
      <c r="AL37" s="99">
        <f t="shared" si="2"/>
        <v>0</v>
      </c>
      <c r="AM37" s="99">
        <f t="shared" si="2"/>
        <v>0</v>
      </c>
      <c r="AN37" s="99">
        <f t="shared" si="2"/>
        <v>0</v>
      </c>
      <c r="AO37" s="99">
        <f t="shared" si="2"/>
        <v>0</v>
      </c>
      <c r="AP37" s="99">
        <f t="shared" si="2"/>
        <v>0</v>
      </c>
      <c r="AQ37" s="97"/>
      <c r="AR37" s="99">
        <f t="shared" si="3"/>
        <v>0.62170000000000003</v>
      </c>
      <c r="AS37" s="99">
        <f t="shared" si="3"/>
        <v>0.47870000000000001</v>
      </c>
      <c r="AT37" s="99">
        <f t="shared" si="3"/>
        <v>0.62609999999999999</v>
      </c>
      <c r="AU37" s="99">
        <f t="shared" si="3"/>
        <v>0.53700000000000003</v>
      </c>
      <c r="AV37" s="99">
        <f t="shared" si="3"/>
        <v>1.6302000000000001</v>
      </c>
      <c r="AW37" s="99">
        <f t="shared" si="3"/>
        <v>1.0485</v>
      </c>
      <c r="AX37" s="99">
        <f t="shared" si="3"/>
        <v>0</v>
      </c>
      <c r="AY37" s="99">
        <f t="shared" si="3"/>
        <v>0</v>
      </c>
      <c r="AZ37" s="99">
        <f t="shared" si="3"/>
        <v>0</v>
      </c>
      <c r="BA37" s="99">
        <f t="shared" si="3"/>
        <v>0</v>
      </c>
      <c r="BB37" s="99">
        <f t="shared" si="3"/>
        <v>0</v>
      </c>
      <c r="BC37" s="99">
        <f t="shared" si="3"/>
        <v>0</v>
      </c>
      <c r="BD37" s="97"/>
      <c r="BE37" s="1">
        <f>IFERROR(VLOOKUP(AR37,'Top WS'!$A$19:$D$28,4),0)</f>
        <v>200</v>
      </c>
      <c r="BF37" s="1">
        <f>IFERROR(VLOOKUP(AS37,'Top WS'!$A$19:$D$28,4),0)</f>
        <v>200</v>
      </c>
      <c r="BG37" s="1">
        <f>IFERROR(VLOOKUP(AT37,'Top WS'!$A$19:$D$28,4),0)</f>
        <v>200</v>
      </c>
      <c r="BH37" s="1">
        <f>IFERROR(VLOOKUP(AU37,'Top WS'!$A$19:$D$28,4),0)</f>
        <v>200</v>
      </c>
      <c r="BI37" s="1">
        <f>IFERROR(VLOOKUP(AV37,'Top WS'!$A$19:$D$28,4),0)</f>
        <v>260</v>
      </c>
      <c r="BJ37" s="1">
        <f>IFERROR(VLOOKUP(AW37,'Top WS'!$A$19:$D$28,4),0)</f>
        <v>216</v>
      </c>
      <c r="BK37" s="98">
        <f>IFERROR(VLOOKUP(AX37,'Top WS'!$A$19:$D$28,4),0)</f>
        <v>200</v>
      </c>
      <c r="BL37" s="98">
        <f>IFERROR(VLOOKUP(AY37,'Top WS'!$A$19:$D$28,4),0)</f>
        <v>200</v>
      </c>
      <c r="BM37" s="98">
        <f>IFERROR(VLOOKUP(AZ37,'Top WS'!$A$19:$D$28,4),0)</f>
        <v>200</v>
      </c>
      <c r="BN37" s="98">
        <f>IFERROR(VLOOKUP(BA37,'Top WS'!$A$19:$D$28,4),0)</f>
        <v>200</v>
      </c>
      <c r="BO37" s="98">
        <f>IFERROR(VLOOKUP(BB37,'Top WS'!$A$19:$D$28,4),0)</f>
        <v>200</v>
      </c>
      <c r="BP37" s="98">
        <f>IFERROR(VLOOKUP(BC37,'Top WS'!$A$19:$D$28,4),0)</f>
        <v>200</v>
      </c>
    </row>
    <row r="38" spans="1:68" x14ac:dyDescent="0.4">
      <c r="A38">
        <v>1190043401</v>
      </c>
      <c r="B38">
        <f>VLOOKUP(A38,'Aji Plus'!$A$2:$D$58,2,0)</f>
        <v>75885</v>
      </c>
      <c r="C38" t="str">
        <f>VLOOKUP(A38,'Aji Plus'!$A$2:$D$58,3,0)</f>
        <v>นายมารุต ปราสัย</v>
      </c>
      <c r="D38" t="str">
        <f>VLOOKUP(A38,'Aji Plus'!$A$2:$D$58,4,0)</f>
        <v>Korat</v>
      </c>
      <c r="E38" s="1">
        <v>853.89262713178357</v>
      </c>
      <c r="F38" s="1">
        <v>908.9824740435115</v>
      </c>
      <c r="G38" s="1">
        <v>890.78766847632494</v>
      </c>
      <c r="H38" s="1">
        <v>964.68998155414249</v>
      </c>
      <c r="I38" s="1">
        <v>887.30435593056734</v>
      </c>
      <c r="J38" s="1">
        <v>1031.547224714403</v>
      </c>
      <c r="K38" s="1">
        <v>1112.2355679826555</v>
      </c>
      <c r="L38" s="1">
        <v>1036.2426816112961</v>
      </c>
      <c r="M38" s="1">
        <v>766.98995205982965</v>
      </c>
      <c r="N38" s="1">
        <v>1064.5555988680014</v>
      </c>
      <c r="O38" s="1">
        <v>890.51915148218893</v>
      </c>
      <c r="P38" s="1">
        <v>861.93575380938523</v>
      </c>
      <c r="R38" s="1">
        <f>VLOOKUP(A38,Actual_RDM!$A$2:$H$63,3,0)</f>
        <v>953.39999999999986</v>
      </c>
      <c r="S38" s="1">
        <f>VLOOKUP(A38,Actual_RDM!$A$2:$H$63,4,0)</f>
        <v>608.69999999999993</v>
      </c>
      <c r="T38" s="1">
        <f>VLOOKUP(A38,Actual_RDM!$A$2:$H$63,5,0)</f>
        <v>674.6</v>
      </c>
      <c r="U38" s="1">
        <f>VLOOKUP(A38,Actual_RDM!$A$2:$H$63,6,0)</f>
        <v>658.00000000000011</v>
      </c>
      <c r="V38" s="1">
        <f>VLOOKUP(A38,Actual_RDM!$A$2:$H$63,7,0)</f>
        <v>775.09999999999991</v>
      </c>
      <c r="W38" s="1">
        <f>VLOOKUP(A38,Actual_RDM!$A$2:$H$63,8,0)</f>
        <v>696.4</v>
      </c>
      <c r="X38" s="111"/>
      <c r="Y38" s="111"/>
      <c r="Z38" s="111"/>
      <c r="AA38" s="111"/>
      <c r="AB38" s="111"/>
      <c r="AC38" s="111"/>
      <c r="AE38" s="97">
        <f t="shared" ref="AE38:AP58" si="4">R38/E38</f>
        <v>1.1165338236991933</v>
      </c>
      <c r="AF38" s="97">
        <f t="shared" si="4"/>
        <v>0.66964987486751304</v>
      </c>
      <c r="AG38" s="97">
        <f t="shared" si="4"/>
        <v>0.75730729541181263</v>
      </c>
      <c r="AH38" s="97">
        <f t="shared" si="4"/>
        <v>0.68208441321215318</v>
      </c>
      <c r="AI38" s="97">
        <f t="shared" si="4"/>
        <v>0.8735446803787047</v>
      </c>
      <c r="AJ38" s="97">
        <f t="shared" si="4"/>
        <v>0.67510239309965392</v>
      </c>
      <c r="AK38" s="99">
        <f t="shared" si="4"/>
        <v>0</v>
      </c>
      <c r="AL38" s="99">
        <f t="shared" si="4"/>
        <v>0</v>
      </c>
      <c r="AM38" s="99">
        <f t="shared" si="4"/>
        <v>0</v>
      </c>
      <c r="AN38" s="99">
        <f t="shared" si="4"/>
        <v>0</v>
      </c>
      <c r="AO38" s="99">
        <f t="shared" si="4"/>
        <v>0</v>
      </c>
      <c r="AP38" s="99">
        <f t="shared" si="4"/>
        <v>0</v>
      </c>
      <c r="AQ38" s="97"/>
      <c r="AR38" s="99">
        <f t="shared" ref="AR38:BC58" si="5">ROUND(AE38,4)</f>
        <v>1.1165</v>
      </c>
      <c r="AS38" s="99">
        <f t="shared" si="5"/>
        <v>0.66959999999999997</v>
      </c>
      <c r="AT38" s="99">
        <f t="shared" si="5"/>
        <v>0.75729999999999997</v>
      </c>
      <c r="AU38" s="99">
        <f t="shared" si="5"/>
        <v>0.68210000000000004</v>
      </c>
      <c r="AV38" s="99">
        <f t="shared" si="5"/>
        <v>0.87350000000000005</v>
      </c>
      <c r="AW38" s="99">
        <f t="shared" si="5"/>
        <v>0.67510000000000003</v>
      </c>
      <c r="AX38" s="99">
        <f t="shared" si="5"/>
        <v>0</v>
      </c>
      <c r="AY38" s="99">
        <f t="shared" si="5"/>
        <v>0</v>
      </c>
      <c r="AZ38" s="99">
        <f t="shared" si="5"/>
        <v>0</v>
      </c>
      <c r="BA38" s="99">
        <f t="shared" si="5"/>
        <v>0</v>
      </c>
      <c r="BB38" s="99">
        <f t="shared" si="5"/>
        <v>0</v>
      </c>
      <c r="BC38" s="99">
        <f t="shared" si="5"/>
        <v>0</v>
      </c>
      <c r="BD38" s="97"/>
      <c r="BE38" s="1">
        <f>IFERROR(VLOOKUP(AR38,'Top WS'!$A$19:$D$28,4),0)</f>
        <v>230</v>
      </c>
      <c r="BF38" s="1">
        <f>IFERROR(VLOOKUP(AS38,'Top WS'!$A$19:$D$28,4),0)</f>
        <v>200</v>
      </c>
      <c r="BG38" s="1">
        <f>IFERROR(VLOOKUP(AT38,'Top WS'!$A$19:$D$28,4),0)</f>
        <v>200</v>
      </c>
      <c r="BH38" s="1">
        <f>IFERROR(VLOOKUP(AU38,'Top WS'!$A$19:$D$28,4),0)</f>
        <v>200</v>
      </c>
      <c r="BI38" s="1">
        <f>IFERROR(VLOOKUP(AV38,'Top WS'!$A$19:$D$28,4),0)</f>
        <v>200</v>
      </c>
      <c r="BJ38" s="1">
        <f>IFERROR(VLOOKUP(AW38,'Top WS'!$A$19:$D$28,4),0)</f>
        <v>200</v>
      </c>
      <c r="BK38" s="98">
        <f>IFERROR(VLOOKUP(AX38,'Top WS'!$A$19:$D$28,4),0)</f>
        <v>200</v>
      </c>
      <c r="BL38" s="98">
        <f>IFERROR(VLOOKUP(AY38,'Top WS'!$A$19:$D$28,4),0)</f>
        <v>200</v>
      </c>
      <c r="BM38" s="98">
        <f>IFERROR(VLOOKUP(AZ38,'Top WS'!$A$19:$D$28,4),0)</f>
        <v>200</v>
      </c>
      <c r="BN38" s="98">
        <f>IFERROR(VLOOKUP(BA38,'Top WS'!$A$19:$D$28,4),0)</f>
        <v>200</v>
      </c>
      <c r="BO38" s="98">
        <f>IFERROR(VLOOKUP(BB38,'Top WS'!$A$19:$D$28,4),0)</f>
        <v>200</v>
      </c>
      <c r="BP38" s="98">
        <f>IFERROR(VLOOKUP(BC38,'Top WS'!$A$19:$D$28,4),0)</f>
        <v>200</v>
      </c>
    </row>
    <row r="39" spans="1:68" x14ac:dyDescent="0.4">
      <c r="A39">
        <v>1190043402</v>
      </c>
      <c r="B39">
        <f>VLOOKUP(A39,'Aji Plus'!$A$2:$D$58,2,0)</f>
        <v>63707</v>
      </c>
      <c r="C39" t="str">
        <f>VLOOKUP(A39,'Aji Plus'!$A$2:$D$58,3,0)</f>
        <v>นายเกิดศักดิ์ คำศรี</v>
      </c>
      <c r="D39" t="str">
        <f>VLOOKUP(A39,'Aji Plus'!$A$2:$D$58,4,0)</f>
        <v>Korat</v>
      </c>
      <c r="E39" s="1">
        <v>1634.4302736257616</v>
      </c>
      <c r="F39" s="1">
        <v>1739.8773880532301</v>
      </c>
      <c r="G39" s="1">
        <v>1705.0508301268146</v>
      </c>
      <c r="H39" s="1">
        <v>1846.5067625794466</v>
      </c>
      <c r="I39" s="1">
        <v>1698.3834444434292</v>
      </c>
      <c r="J39" s="1">
        <v>1974.4777729386028</v>
      </c>
      <c r="K39" s="1">
        <v>2128.9228012430644</v>
      </c>
      <c r="L39" s="1">
        <v>1983.465316169378</v>
      </c>
      <c r="M39" s="1">
        <v>1468.0904335995479</v>
      </c>
      <c r="N39" s="1">
        <v>2037.658885277076</v>
      </c>
      <c r="O39" s="1">
        <v>1704.5368635105749</v>
      </c>
      <c r="P39" s="1">
        <v>1649.8255696135443</v>
      </c>
      <c r="R39" s="1">
        <f>VLOOKUP(A39,Actual_RDM!$A$2:$H$63,3,0)</f>
        <v>2390</v>
      </c>
      <c r="S39" s="1">
        <f>VLOOKUP(A39,Actual_RDM!$A$2:$H$63,4,0)</f>
        <v>1625.4</v>
      </c>
      <c r="T39" s="1">
        <f>VLOOKUP(A39,Actual_RDM!$A$2:$H$63,5,0)</f>
        <v>827.40000000000009</v>
      </c>
      <c r="U39" s="1">
        <f>VLOOKUP(A39,Actual_RDM!$A$2:$H$63,6,0)</f>
        <v>1303.6999999999998</v>
      </c>
      <c r="V39" s="1">
        <f>VLOOKUP(A39,Actual_RDM!$A$2:$H$63,7,0)</f>
        <v>1187.9000000000001</v>
      </c>
      <c r="W39" s="1">
        <f>VLOOKUP(A39,Actual_RDM!$A$2:$H$63,8,0)</f>
        <v>2046.9999999999998</v>
      </c>
      <c r="X39" s="111"/>
      <c r="Y39" s="111"/>
      <c r="Z39" s="111"/>
      <c r="AA39" s="111"/>
      <c r="AB39" s="111"/>
      <c r="AC39" s="111"/>
      <c r="AE39" s="97">
        <f t="shared" si="4"/>
        <v>1.4622832424035499</v>
      </c>
      <c r="AF39" s="97">
        <f t="shared" si="4"/>
        <v>0.93420376123094506</v>
      </c>
      <c r="AG39" s="97">
        <f t="shared" si="4"/>
        <v>0.48526412549147374</v>
      </c>
      <c r="AH39" s="97">
        <f t="shared" si="4"/>
        <v>0.70603586535411222</v>
      </c>
      <c r="AI39" s="97">
        <f t="shared" si="4"/>
        <v>0.6994298041978867</v>
      </c>
      <c r="AJ39" s="97">
        <f t="shared" si="4"/>
        <v>1.0367298270233058</v>
      </c>
      <c r="AK39" s="99">
        <f t="shared" si="4"/>
        <v>0</v>
      </c>
      <c r="AL39" s="99">
        <f t="shared" si="4"/>
        <v>0</v>
      </c>
      <c r="AM39" s="99">
        <f t="shared" si="4"/>
        <v>0</v>
      </c>
      <c r="AN39" s="99">
        <f t="shared" si="4"/>
        <v>0</v>
      </c>
      <c r="AO39" s="99">
        <f t="shared" si="4"/>
        <v>0</v>
      </c>
      <c r="AP39" s="99">
        <f t="shared" si="4"/>
        <v>0</v>
      </c>
      <c r="AQ39" s="97"/>
      <c r="AR39" s="99">
        <f t="shared" si="5"/>
        <v>1.4622999999999999</v>
      </c>
      <c r="AS39" s="99">
        <f t="shared" si="5"/>
        <v>0.93420000000000003</v>
      </c>
      <c r="AT39" s="99">
        <f t="shared" si="5"/>
        <v>0.48530000000000001</v>
      </c>
      <c r="AU39" s="99">
        <f t="shared" si="5"/>
        <v>0.70599999999999996</v>
      </c>
      <c r="AV39" s="99">
        <f t="shared" si="5"/>
        <v>0.69940000000000002</v>
      </c>
      <c r="AW39" s="99">
        <f t="shared" si="5"/>
        <v>1.0367</v>
      </c>
      <c r="AX39" s="99">
        <f t="shared" si="5"/>
        <v>0</v>
      </c>
      <c r="AY39" s="99">
        <f t="shared" si="5"/>
        <v>0</v>
      </c>
      <c r="AZ39" s="99">
        <f t="shared" si="5"/>
        <v>0</v>
      </c>
      <c r="BA39" s="99">
        <f t="shared" si="5"/>
        <v>0</v>
      </c>
      <c r="BB39" s="99">
        <f t="shared" si="5"/>
        <v>0</v>
      </c>
      <c r="BC39" s="99">
        <f t="shared" si="5"/>
        <v>0</v>
      </c>
      <c r="BD39" s="97"/>
      <c r="BE39" s="1">
        <f>IFERROR(VLOOKUP(AR39,'Top WS'!$A$19:$D$28,4),0)</f>
        <v>260</v>
      </c>
      <c r="BF39" s="1">
        <f>IFERROR(VLOOKUP(AS39,'Top WS'!$A$19:$D$28,4),0)</f>
        <v>200</v>
      </c>
      <c r="BG39" s="1">
        <f>IFERROR(VLOOKUP(AT39,'Top WS'!$A$19:$D$28,4),0)</f>
        <v>200</v>
      </c>
      <c r="BH39" s="1">
        <f>IFERROR(VLOOKUP(AU39,'Top WS'!$A$19:$D$28,4),0)</f>
        <v>200</v>
      </c>
      <c r="BI39" s="1">
        <f>IFERROR(VLOOKUP(AV39,'Top WS'!$A$19:$D$28,4),0)</f>
        <v>200</v>
      </c>
      <c r="BJ39" s="1">
        <f>IFERROR(VLOOKUP(AW39,'Top WS'!$A$19:$D$28,4),0)</f>
        <v>216</v>
      </c>
      <c r="BK39" s="98">
        <f>IFERROR(VLOOKUP(AX39,'Top WS'!$A$19:$D$28,4),0)</f>
        <v>200</v>
      </c>
      <c r="BL39" s="98">
        <f>IFERROR(VLOOKUP(AY39,'Top WS'!$A$19:$D$28,4),0)</f>
        <v>200</v>
      </c>
      <c r="BM39" s="98">
        <f>IFERROR(VLOOKUP(AZ39,'Top WS'!$A$19:$D$28,4),0)</f>
        <v>200</v>
      </c>
      <c r="BN39" s="98">
        <f>IFERROR(VLOOKUP(BA39,'Top WS'!$A$19:$D$28,4),0)</f>
        <v>200</v>
      </c>
      <c r="BO39" s="98">
        <f>IFERROR(VLOOKUP(BB39,'Top WS'!$A$19:$D$28,4),0)</f>
        <v>200</v>
      </c>
      <c r="BP39" s="98">
        <f>IFERROR(VLOOKUP(BC39,'Top WS'!$A$19:$D$28,4),0)</f>
        <v>200</v>
      </c>
    </row>
    <row r="40" spans="1:68" x14ac:dyDescent="0.4">
      <c r="A40">
        <v>1190043501</v>
      </c>
      <c r="B40">
        <f>VLOOKUP(A40,'Aji Plus'!$A$2:$D$58,2,0)</f>
        <v>76645</v>
      </c>
      <c r="C40" t="str">
        <f>VLOOKUP(A40,'Aji Plus'!$A$2:$D$58,3,0)</f>
        <v>นายอัครวินท์ เปลื้องทุกข์</v>
      </c>
      <c r="D40" t="str">
        <f>VLOOKUP(A40,'Aji Plus'!$A$2:$D$58,4,0)</f>
        <v>Ubolratchathani</v>
      </c>
      <c r="E40" s="1">
        <v>1450.6735861612942</v>
      </c>
      <c r="F40" s="1">
        <v>1544.2654304297648</v>
      </c>
      <c r="G40" s="1">
        <v>1513.3543732277399</v>
      </c>
      <c r="H40" s="1">
        <v>1638.9066149637099</v>
      </c>
      <c r="I40" s="1">
        <v>1507.4365923008236</v>
      </c>
      <c r="J40" s="1">
        <v>1752.4900253532981</v>
      </c>
      <c r="K40" s="1">
        <v>1889.5710172381296</v>
      </c>
      <c r="L40" s="1">
        <v>1760.4671117911582</v>
      </c>
      <c r="M40" s="1">
        <v>1303.0350994383205</v>
      </c>
      <c r="N40" s="1">
        <v>1808.567774458121</v>
      </c>
      <c r="O40" s="1">
        <v>1512.8981911523224</v>
      </c>
      <c r="P40" s="1">
        <v>1464.338010762943</v>
      </c>
      <c r="R40" s="1">
        <f>VLOOKUP(A40,Actual_RDM!$A$2:$H$63,3,0)</f>
        <v>1125.6999999999998</v>
      </c>
      <c r="S40" s="1">
        <f>VLOOKUP(A40,Actual_RDM!$A$2:$H$63,4,0)</f>
        <v>867.59999999999991</v>
      </c>
      <c r="T40" s="1">
        <f>VLOOKUP(A40,Actual_RDM!$A$2:$H$63,5,0)</f>
        <v>677.5</v>
      </c>
      <c r="U40" s="1">
        <f>VLOOKUP(A40,Actual_RDM!$A$2:$H$63,6,0)</f>
        <v>1098.9000000000001</v>
      </c>
      <c r="V40" s="1">
        <f>VLOOKUP(A40,Actual_RDM!$A$2:$H$63,7,0)</f>
        <v>1020.9</v>
      </c>
      <c r="W40" s="1">
        <f>VLOOKUP(A40,Actual_RDM!$A$2:$H$63,8,0)</f>
        <v>1120.2</v>
      </c>
      <c r="X40" s="111"/>
      <c r="Y40" s="111"/>
      <c r="Z40" s="111"/>
      <c r="AA40" s="111"/>
      <c r="AB40" s="111"/>
      <c r="AC40" s="111"/>
      <c r="AE40" s="97">
        <f t="shared" si="4"/>
        <v>0.77598435012439659</v>
      </c>
      <c r="AF40" s="97">
        <f t="shared" si="4"/>
        <v>0.56182051537509925</v>
      </c>
      <c r="AG40" s="97">
        <f t="shared" si="4"/>
        <v>0.44768100055441884</v>
      </c>
      <c r="AH40" s="97">
        <f t="shared" si="4"/>
        <v>0.67050800208304295</v>
      </c>
      <c r="AI40" s="97">
        <f t="shared" si="4"/>
        <v>0.67724241617472258</v>
      </c>
      <c r="AJ40" s="97">
        <f t="shared" si="4"/>
        <v>0.63920477936767162</v>
      </c>
      <c r="AK40" s="99">
        <f t="shared" si="4"/>
        <v>0</v>
      </c>
      <c r="AL40" s="99">
        <f t="shared" si="4"/>
        <v>0</v>
      </c>
      <c r="AM40" s="99">
        <f t="shared" si="4"/>
        <v>0</v>
      </c>
      <c r="AN40" s="99">
        <f t="shared" si="4"/>
        <v>0</v>
      </c>
      <c r="AO40" s="99">
        <f t="shared" si="4"/>
        <v>0</v>
      </c>
      <c r="AP40" s="99">
        <f t="shared" si="4"/>
        <v>0</v>
      </c>
      <c r="AQ40" s="97"/>
      <c r="AR40" s="99">
        <f t="shared" si="5"/>
        <v>0.77600000000000002</v>
      </c>
      <c r="AS40" s="99">
        <f t="shared" si="5"/>
        <v>0.56179999999999997</v>
      </c>
      <c r="AT40" s="99">
        <f t="shared" si="5"/>
        <v>0.44769999999999999</v>
      </c>
      <c r="AU40" s="99">
        <f t="shared" si="5"/>
        <v>0.67049999999999998</v>
      </c>
      <c r="AV40" s="99">
        <f t="shared" si="5"/>
        <v>0.67720000000000002</v>
      </c>
      <c r="AW40" s="99">
        <f t="shared" si="5"/>
        <v>0.63919999999999999</v>
      </c>
      <c r="AX40" s="99">
        <f t="shared" si="5"/>
        <v>0</v>
      </c>
      <c r="AY40" s="99">
        <f t="shared" si="5"/>
        <v>0</v>
      </c>
      <c r="AZ40" s="99">
        <f t="shared" si="5"/>
        <v>0</v>
      </c>
      <c r="BA40" s="99">
        <f t="shared" si="5"/>
        <v>0</v>
      </c>
      <c r="BB40" s="99">
        <f t="shared" si="5"/>
        <v>0</v>
      </c>
      <c r="BC40" s="99">
        <f t="shared" si="5"/>
        <v>0</v>
      </c>
      <c r="BD40" s="97"/>
      <c r="BE40" s="1">
        <f>IFERROR(VLOOKUP(AR40,'Top WS'!$A$19:$D$28,4),0)</f>
        <v>200</v>
      </c>
      <c r="BF40" s="1">
        <f>IFERROR(VLOOKUP(AS40,'Top WS'!$A$19:$D$28,4),0)</f>
        <v>200</v>
      </c>
      <c r="BG40" s="1">
        <f>IFERROR(VLOOKUP(AT40,'Top WS'!$A$19:$D$28,4),0)</f>
        <v>200</v>
      </c>
      <c r="BH40" s="1">
        <f>IFERROR(VLOOKUP(AU40,'Top WS'!$A$19:$D$28,4),0)</f>
        <v>200</v>
      </c>
      <c r="BI40" s="1">
        <f>IFERROR(VLOOKUP(AV40,'Top WS'!$A$19:$D$28,4),0)</f>
        <v>200</v>
      </c>
      <c r="BJ40" s="1">
        <f>IFERROR(VLOOKUP(AW40,'Top WS'!$A$19:$D$28,4),0)</f>
        <v>200</v>
      </c>
      <c r="BK40" s="98">
        <f>IFERROR(VLOOKUP(AX40,'Top WS'!$A$19:$D$28,4),0)</f>
        <v>200</v>
      </c>
      <c r="BL40" s="98">
        <f>IFERROR(VLOOKUP(AY40,'Top WS'!$A$19:$D$28,4),0)</f>
        <v>200</v>
      </c>
      <c r="BM40" s="98">
        <f>IFERROR(VLOOKUP(AZ40,'Top WS'!$A$19:$D$28,4),0)</f>
        <v>200</v>
      </c>
      <c r="BN40" s="98">
        <f>IFERROR(VLOOKUP(BA40,'Top WS'!$A$19:$D$28,4),0)</f>
        <v>200</v>
      </c>
      <c r="BO40" s="98">
        <f>IFERROR(VLOOKUP(BB40,'Top WS'!$A$19:$D$28,4),0)</f>
        <v>200</v>
      </c>
      <c r="BP40" s="98">
        <f>IFERROR(VLOOKUP(BC40,'Top WS'!$A$19:$D$28,4),0)</f>
        <v>200</v>
      </c>
    </row>
    <row r="41" spans="1:68" x14ac:dyDescent="0.4">
      <c r="A41">
        <v>1190043502</v>
      </c>
      <c r="B41">
        <f>VLOOKUP(A41,'Aji Plus'!$A$2:$D$58,2,0)</f>
        <v>26006</v>
      </c>
      <c r="C41" t="str">
        <f>VLOOKUP(A41,'Aji Plus'!$A$2:$D$58,3,0)</f>
        <v>นายกสิณวัชรฒ์ วงศ์กุลโชติ</v>
      </c>
      <c r="D41" t="str">
        <f>VLOOKUP(A41,'Aji Plus'!$A$2:$D$58,4,0)</f>
        <v>Ubolratchathani</v>
      </c>
      <c r="E41" s="1">
        <v>489.62724999038716</v>
      </c>
      <c r="F41" s="1">
        <v>521.21610482847666</v>
      </c>
      <c r="G41" s="1">
        <v>510.78309213940423</v>
      </c>
      <c r="H41" s="1">
        <v>553.15913002810703</v>
      </c>
      <c r="I41" s="1">
        <v>508.78573944136633</v>
      </c>
      <c r="J41" s="1">
        <v>591.49548177815541</v>
      </c>
      <c r="K41" s="1">
        <v>637.76267084315441</v>
      </c>
      <c r="L41" s="1">
        <v>594.18788545377515</v>
      </c>
      <c r="M41" s="1">
        <v>439.79672509732927</v>
      </c>
      <c r="N41" s="1">
        <v>610.42268521094229</v>
      </c>
      <c r="O41" s="1">
        <v>510.62912285423056</v>
      </c>
      <c r="P41" s="1">
        <v>494.23922797373922</v>
      </c>
      <c r="R41" s="1">
        <f>VLOOKUP(A41,Actual_RDM!$A$2:$H$63,3,0)</f>
        <v>445.2</v>
      </c>
      <c r="S41" s="1">
        <f>VLOOKUP(A41,Actual_RDM!$A$2:$H$63,4,0)</f>
        <v>446.40000000000003</v>
      </c>
      <c r="T41" s="1">
        <f>VLOOKUP(A41,Actual_RDM!$A$2:$H$63,5,0)</f>
        <v>280.90000000000003</v>
      </c>
      <c r="U41" s="1">
        <f>VLOOKUP(A41,Actual_RDM!$A$2:$H$63,6,0)</f>
        <v>375.40000000000009</v>
      </c>
      <c r="V41" s="1">
        <f>VLOOKUP(A41,Actual_RDM!$A$2:$H$63,7,0)</f>
        <v>569.30000000000007</v>
      </c>
      <c r="W41" s="1">
        <f>VLOOKUP(A41,Actual_RDM!$A$2:$H$63,8,0)</f>
        <v>516.6</v>
      </c>
      <c r="X41" s="111"/>
      <c r="Y41" s="111"/>
      <c r="Z41" s="111"/>
      <c r="AA41" s="111"/>
      <c r="AB41" s="111"/>
      <c r="AC41" s="111"/>
      <c r="AE41" s="97">
        <f t="shared" si="4"/>
        <v>0.90926311803262705</v>
      </c>
      <c r="AF41" s="97">
        <f t="shared" si="4"/>
        <v>0.85645857037917639</v>
      </c>
      <c r="AG41" s="97">
        <f t="shared" si="4"/>
        <v>0.54993989488464912</v>
      </c>
      <c r="AH41" s="97">
        <f t="shared" si="4"/>
        <v>0.67864739027434173</v>
      </c>
      <c r="AI41" s="97">
        <f t="shared" si="4"/>
        <v>1.1189385941223056</v>
      </c>
      <c r="AJ41" s="97">
        <f t="shared" si="4"/>
        <v>0.87337945244652693</v>
      </c>
      <c r="AK41" s="99">
        <f t="shared" si="4"/>
        <v>0</v>
      </c>
      <c r="AL41" s="99">
        <f t="shared" si="4"/>
        <v>0</v>
      </c>
      <c r="AM41" s="99">
        <f t="shared" si="4"/>
        <v>0</v>
      </c>
      <c r="AN41" s="99">
        <f t="shared" si="4"/>
        <v>0</v>
      </c>
      <c r="AO41" s="99">
        <f t="shared" si="4"/>
        <v>0</v>
      </c>
      <c r="AP41" s="99">
        <f t="shared" si="4"/>
        <v>0</v>
      </c>
      <c r="AQ41" s="97"/>
      <c r="AR41" s="99">
        <f t="shared" si="5"/>
        <v>0.9093</v>
      </c>
      <c r="AS41" s="99">
        <f t="shared" si="5"/>
        <v>0.85650000000000004</v>
      </c>
      <c r="AT41" s="99">
        <f t="shared" si="5"/>
        <v>0.54990000000000006</v>
      </c>
      <c r="AU41" s="99">
        <f t="shared" si="5"/>
        <v>0.67859999999999998</v>
      </c>
      <c r="AV41" s="99">
        <f t="shared" si="5"/>
        <v>1.1189</v>
      </c>
      <c r="AW41" s="99">
        <f t="shared" si="5"/>
        <v>0.87339999999999995</v>
      </c>
      <c r="AX41" s="99">
        <f t="shared" si="5"/>
        <v>0</v>
      </c>
      <c r="AY41" s="99">
        <f t="shared" si="5"/>
        <v>0</v>
      </c>
      <c r="AZ41" s="99">
        <f t="shared" si="5"/>
        <v>0</v>
      </c>
      <c r="BA41" s="99">
        <f t="shared" si="5"/>
        <v>0</v>
      </c>
      <c r="BB41" s="99">
        <f t="shared" si="5"/>
        <v>0</v>
      </c>
      <c r="BC41" s="99">
        <f t="shared" si="5"/>
        <v>0</v>
      </c>
      <c r="BD41" s="97"/>
      <c r="BE41" s="1">
        <f>IFERROR(VLOOKUP(AR41,'Top WS'!$A$19:$D$28,4),0)</f>
        <v>200</v>
      </c>
      <c r="BF41" s="1">
        <f>IFERROR(VLOOKUP(AS41,'Top WS'!$A$19:$D$28,4),0)</f>
        <v>200</v>
      </c>
      <c r="BG41" s="1">
        <f>IFERROR(VLOOKUP(AT41,'Top WS'!$A$19:$D$28,4),0)</f>
        <v>200</v>
      </c>
      <c r="BH41" s="1">
        <f>IFERROR(VLOOKUP(AU41,'Top WS'!$A$19:$D$28,4),0)</f>
        <v>200</v>
      </c>
      <c r="BI41" s="1">
        <f>IFERROR(VLOOKUP(AV41,'Top WS'!$A$19:$D$28,4),0)</f>
        <v>230</v>
      </c>
      <c r="BJ41" s="1">
        <f>IFERROR(VLOOKUP(AW41,'Top WS'!$A$19:$D$28,4),0)</f>
        <v>200</v>
      </c>
      <c r="BK41" s="98">
        <f>IFERROR(VLOOKUP(AX41,'Top WS'!$A$19:$D$28,4),0)</f>
        <v>200</v>
      </c>
      <c r="BL41" s="98">
        <f>IFERROR(VLOOKUP(AY41,'Top WS'!$A$19:$D$28,4),0)</f>
        <v>200</v>
      </c>
      <c r="BM41" s="98">
        <f>IFERROR(VLOOKUP(AZ41,'Top WS'!$A$19:$D$28,4),0)</f>
        <v>200</v>
      </c>
      <c r="BN41" s="98">
        <f>IFERROR(VLOOKUP(BA41,'Top WS'!$A$19:$D$28,4),0)</f>
        <v>200</v>
      </c>
      <c r="BO41" s="98">
        <f>IFERROR(VLOOKUP(BB41,'Top WS'!$A$19:$D$28,4),0)</f>
        <v>200</v>
      </c>
      <c r="BP41" s="98">
        <f>IFERROR(VLOOKUP(BC41,'Top WS'!$A$19:$D$28,4),0)</f>
        <v>200</v>
      </c>
    </row>
    <row r="42" spans="1:68" x14ac:dyDescent="0.4">
      <c r="A42">
        <v>1190043601</v>
      </c>
      <c r="B42">
        <f>VLOOKUP(A42,'Aji Plus'!$A$2:$D$58,2,0)</f>
        <v>77489</v>
      </c>
      <c r="C42" t="str">
        <f>VLOOKUP(A42,'Aji Plus'!$A$2:$D$58,3,0)</f>
        <v>นายสุริยันต์ จันทร์คำพา</v>
      </c>
      <c r="D42" t="str">
        <f>VLOOKUP(A42,'Aji Plus'!$A$2:$D$58,4,0)</f>
        <v>Roi-et</v>
      </c>
      <c r="E42" s="1">
        <v>1119.0200963809291</v>
      </c>
      <c r="F42" s="1">
        <v>1191.2149413087309</v>
      </c>
      <c r="G42" s="1">
        <v>1167.3707805413339</v>
      </c>
      <c r="H42" s="1">
        <v>1264.2192259728108</v>
      </c>
      <c r="I42" s="1">
        <v>1162.8059247072092</v>
      </c>
      <c r="J42" s="1">
        <v>1351.8351583603048</v>
      </c>
      <c r="K42" s="1">
        <v>1457.5766471516379</v>
      </c>
      <c r="L42" s="1">
        <v>1357.988520577476</v>
      </c>
      <c r="M42" s="1">
        <v>1005.1347708202363</v>
      </c>
      <c r="N42" s="1">
        <v>1395.0923933487466</v>
      </c>
      <c r="O42" s="1">
        <v>1167.0188909675039</v>
      </c>
      <c r="P42" s="1">
        <v>1129.5605555721581</v>
      </c>
      <c r="R42" s="1">
        <f>VLOOKUP(A42,Actual_RDM!$A$2:$H$63,3,0)</f>
        <v>1030.6000000000001</v>
      </c>
      <c r="S42" s="1">
        <f>VLOOKUP(A42,Actual_RDM!$A$2:$H$63,4,0)</f>
        <v>1087.4000000000001</v>
      </c>
      <c r="T42" s="1">
        <f>VLOOKUP(A42,Actual_RDM!$A$2:$H$63,5,0)</f>
        <v>892.50000000000011</v>
      </c>
      <c r="U42" s="1">
        <f>VLOOKUP(A42,Actual_RDM!$A$2:$H$63,6,0)</f>
        <v>1104.2</v>
      </c>
      <c r="V42" s="1">
        <f>VLOOKUP(A42,Actual_RDM!$A$2:$H$63,7,0)</f>
        <v>878.7</v>
      </c>
      <c r="W42" s="1">
        <f>VLOOKUP(A42,Actual_RDM!$A$2:$H$63,8,0)</f>
        <v>986.1</v>
      </c>
      <c r="X42" s="111"/>
      <c r="Y42" s="111"/>
      <c r="Z42" s="111"/>
      <c r="AA42" s="111"/>
      <c r="AB42" s="111"/>
      <c r="AC42" s="111"/>
      <c r="AE42" s="97">
        <f t="shared" si="4"/>
        <v>0.92098435348311247</v>
      </c>
      <c r="AF42" s="97">
        <f t="shared" si="4"/>
        <v>0.91284953058540863</v>
      </c>
      <c r="AG42" s="97">
        <f t="shared" si="4"/>
        <v>0.76453858095208571</v>
      </c>
      <c r="AH42" s="97">
        <f t="shared" si="4"/>
        <v>0.8734244641393768</v>
      </c>
      <c r="AI42" s="97">
        <f t="shared" si="4"/>
        <v>0.75567210428623666</v>
      </c>
      <c r="AJ42" s="97">
        <f t="shared" si="4"/>
        <v>0.72945284334524951</v>
      </c>
      <c r="AK42" s="99">
        <f t="shared" si="4"/>
        <v>0</v>
      </c>
      <c r="AL42" s="99">
        <f t="shared" si="4"/>
        <v>0</v>
      </c>
      <c r="AM42" s="99">
        <f t="shared" si="4"/>
        <v>0</v>
      </c>
      <c r="AN42" s="99">
        <f t="shared" si="4"/>
        <v>0</v>
      </c>
      <c r="AO42" s="99">
        <f t="shared" si="4"/>
        <v>0</v>
      </c>
      <c r="AP42" s="99">
        <f t="shared" si="4"/>
        <v>0</v>
      </c>
      <c r="AQ42" s="97"/>
      <c r="AR42" s="99">
        <f t="shared" si="5"/>
        <v>0.92100000000000004</v>
      </c>
      <c r="AS42" s="99">
        <f t="shared" si="5"/>
        <v>0.91279999999999994</v>
      </c>
      <c r="AT42" s="99">
        <f t="shared" si="5"/>
        <v>0.76449999999999996</v>
      </c>
      <c r="AU42" s="99">
        <f t="shared" si="5"/>
        <v>0.87339999999999995</v>
      </c>
      <c r="AV42" s="99">
        <f t="shared" si="5"/>
        <v>0.75570000000000004</v>
      </c>
      <c r="AW42" s="99">
        <f t="shared" si="5"/>
        <v>0.72950000000000004</v>
      </c>
      <c r="AX42" s="99">
        <f t="shared" si="5"/>
        <v>0</v>
      </c>
      <c r="AY42" s="99">
        <f t="shared" si="5"/>
        <v>0</v>
      </c>
      <c r="AZ42" s="99">
        <f t="shared" si="5"/>
        <v>0</v>
      </c>
      <c r="BA42" s="99">
        <f t="shared" si="5"/>
        <v>0</v>
      </c>
      <c r="BB42" s="99">
        <f t="shared" si="5"/>
        <v>0</v>
      </c>
      <c r="BC42" s="99">
        <f t="shared" si="5"/>
        <v>0</v>
      </c>
      <c r="BD42" s="97"/>
      <c r="BE42" s="1">
        <f>IFERROR(VLOOKUP(AR42,'Top WS'!$A$19:$D$28,4),0)</f>
        <v>200</v>
      </c>
      <c r="BF42" s="1">
        <f>IFERROR(VLOOKUP(AS42,'Top WS'!$A$19:$D$28,4),0)</f>
        <v>200</v>
      </c>
      <c r="BG42" s="1">
        <f>IFERROR(VLOOKUP(AT42,'Top WS'!$A$19:$D$28,4),0)</f>
        <v>200</v>
      </c>
      <c r="BH42" s="1">
        <f>IFERROR(VLOOKUP(AU42,'Top WS'!$A$19:$D$28,4),0)</f>
        <v>200</v>
      </c>
      <c r="BI42" s="1">
        <f>IFERROR(VLOOKUP(AV42,'Top WS'!$A$19:$D$28,4),0)</f>
        <v>200</v>
      </c>
      <c r="BJ42" s="1">
        <f>IFERROR(VLOOKUP(AW42,'Top WS'!$A$19:$D$28,4),0)</f>
        <v>200</v>
      </c>
      <c r="BK42" s="98">
        <f>IFERROR(VLOOKUP(AX42,'Top WS'!$A$19:$D$28,4),0)</f>
        <v>200</v>
      </c>
      <c r="BL42" s="98">
        <f>IFERROR(VLOOKUP(AY42,'Top WS'!$A$19:$D$28,4),0)</f>
        <v>200</v>
      </c>
      <c r="BM42" s="98">
        <f>IFERROR(VLOOKUP(AZ42,'Top WS'!$A$19:$D$28,4),0)</f>
        <v>200</v>
      </c>
      <c r="BN42" s="98">
        <f>IFERROR(VLOOKUP(BA42,'Top WS'!$A$19:$D$28,4),0)</f>
        <v>200</v>
      </c>
      <c r="BO42" s="98">
        <f>IFERROR(VLOOKUP(BB42,'Top WS'!$A$19:$D$28,4),0)</f>
        <v>200</v>
      </c>
      <c r="BP42" s="98">
        <f>IFERROR(VLOOKUP(BC42,'Top WS'!$A$19:$D$28,4),0)</f>
        <v>200</v>
      </c>
    </row>
    <row r="43" spans="1:68" x14ac:dyDescent="0.4">
      <c r="A43">
        <v>1190043602</v>
      </c>
      <c r="B43">
        <f>VLOOKUP(A43,'Aji Plus'!$A$2:$D$58,2,0)</f>
        <v>70403</v>
      </c>
      <c r="C43" t="str">
        <f>VLOOKUP(A43,'Aji Plus'!$A$2:$D$58,3,0)</f>
        <v>นายเดชา ปะโพธิ์ชะกัง</v>
      </c>
      <c r="D43" t="str">
        <f>VLOOKUP(A43,'Aji Plus'!$A$2:$D$58,4,0)</f>
        <v>Roi-et</v>
      </c>
      <c r="E43" s="1">
        <v>638.06304047457286</v>
      </c>
      <c r="F43" s="1">
        <v>679.22839792454533</v>
      </c>
      <c r="G43" s="1">
        <v>665.63250472654613</v>
      </c>
      <c r="H43" s="1">
        <v>720.85529630741144</v>
      </c>
      <c r="I43" s="1">
        <v>663.0296329798548</v>
      </c>
      <c r="J43" s="1">
        <v>770.81372725425695</v>
      </c>
      <c r="K43" s="1">
        <v>831.10731452825917</v>
      </c>
      <c r="L43" s="1">
        <v>774.32236219131266</v>
      </c>
      <c r="M43" s="1">
        <v>573.12585362001641</v>
      </c>
      <c r="N43" s="1">
        <v>795.47891688625123</v>
      </c>
      <c r="O43" s="1">
        <v>665.43185798917693</v>
      </c>
      <c r="P43" s="1">
        <v>644.07318940872051</v>
      </c>
      <c r="R43" s="1">
        <f>VLOOKUP(A43,Actual_RDM!$A$2:$H$63,3,0)</f>
        <v>334.7</v>
      </c>
      <c r="S43" s="1">
        <f>VLOOKUP(A43,Actual_RDM!$A$2:$H$63,4,0)</f>
        <v>465.9</v>
      </c>
      <c r="T43" s="1">
        <f>VLOOKUP(A43,Actual_RDM!$A$2:$H$63,5,0)</f>
        <v>655.29999999999995</v>
      </c>
      <c r="U43" s="1">
        <f>VLOOKUP(A43,Actual_RDM!$A$2:$H$63,6,0)</f>
        <v>605.59999999999991</v>
      </c>
      <c r="V43" s="1">
        <f>VLOOKUP(A43,Actual_RDM!$A$2:$H$63,7,0)</f>
        <v>364.90000000000003</v>
      </c>
      <c r="W43" s="1">
        <f>VLOOKUP(A43,Actual_RDM!$A$2:$H$63,8,0)</f>
        <v>434.8</v>
      </c>
      <c r="X43" s="111"/>
      <c r="Y43" s="111"/>
      <c r="Z43" s="111"/>
      <c r="AA43" s="111"/>
      <c r="AB43" s="111"/>
      <c r="AC43" s="111"/>
      <c r="AE43" s="97">
        <f t="shared" si="4"/>
        <v>0.52455631931142699</v>
      </c>
      <c r="AF43" s="97">
        <f t="shared" si="4"/>
        <v>0.68592538448570028</v>
      </c>
      <c r="AG43" s="97">
        <f t="shared" si="4"/>
        <v>0.98447716321967937</v>
      </c>
      <c r="AH43" s="97">
        <f t="shared" si="4"/>
        <v>0.84011313102947571</v>
      </c>
      <c r="AI43" s="97">
        <f t="shared" si="4"/>
        <v>0.55035247574083468</v>
      </c>
      <c r="AJ43" s="97">
        <f t="shared" si="4"/>
        <v>0.56407921217077517</v>
      </c>
      <c r="AK43" s="99">
        <f t="shared" si="4"/>
        <v>0</v>
      </c>
      <c r="AL43" s="99">
        <f t="shared" si="4"/>
        <v>0</v>
      </c>
      <c r="AM43" s="99">
        <f t="shared" si="4"/>
        <v>0</v>
      </c>
      <c r="AN43" s="99">
        <f t="shared" si="4"/>
        <v>0</v>
      </c>
      <c r="AO43" s="99">
        <f t="shared" si="4"/>
        <v>0</v>
      </c>
      <c r="AP43" s="99">
        <f t="shared" si="4"/>
        <v>0</v>
      </c>
      <c r="AQ43" s="97"/>
      <c r="AR43" s="99">
        <f t="shared" si="5"/>
        <v>0.52459999999999996</v>
      </c>
      <c r="AS43" s="99">
        <f t="shared" si="5"/>
        <v>0.68589999999999995</v>
      </c>
      <c r="AT43" s="99">
        <f t="shared" si="5"/>
        <v>0.98450000000000004</v>
      </c>
      <c r="AU43" s="99">
        <f t="shared" si="5"/>
        <v>0.84009999999999996</v>
      </c>
      <c r="AV43" s="99">
        <f t="shared" si="5"/>
        <v>0.5504</v>
      </c>
      <c r="AW43" s="99">
        <f t="shared" si="5"/>
        <v>0.56410000000000005</v>
      </c>
      <c r="AX43" s="99">
        <f t="shared" si="5"/>
        <v>0</v>
      </c>
      <c r="AY43" s="99">
        <f t="shared" si="5"/>
        <v>0</v>
      </c>
      <c r="AZ43" s="99">
        <f t="shared" si="5"/>
        <v>0</v>
      </c>
      <c r="BA43" s="99">
        <f t="shared" si="5"/>
        <v>0</v>
      </c>
      <c r="BB43" s="99">
        <f t="shared" si="5"/>
        <v>0</v>
      </c>
      <c r="BC43" s="99">
        <f t="shared" si="5"/>
        <v>0</v>
      </c>
      <c r="BD43" s="97"/>
      <c r="BE43" s="1">
        <f>IFERROR(VLOOKUP(AR43,'Top WS'!$A$19:$D$28,4),0)</f>
        <v>200</v>
      </c>
      <c r="BF43" s="1">
        <f>IFERROR(VLOOKUP(AS43,'Top WS'!$A$19:$D$28,4),0)</f>
        <v>200</v>
      </c>
      <c r="BG43" s="1">
        <f>IFERROR(VLOOKUP(AT43,'Top WS'!$A$19:$D$28,4),0)</f>
        <v>200</v>
      </c>
      <c r="BH43" s="1">
        <f>IFERROR(VLOOKUP(AU43,'Top WS'!$A$19:$D$28,4),0)</f>
        <v>200</v>
      </c>
      <c r="BI43" s="1">
        <f>IFERROR(VLOOKUP(AV43,'Top WS'!$A$19:$D$28,4),0)</f>
        <v>200</v>
      </c>
      <c r="BJ43" s="1">
        <f>IFERROR(VLOOKUP(AW43,'Top WS'!$A$19:$D$28,4),0)</f>
        <v>200</v>
      </c>
      <c r="BK43" s="98">
        <f>IFERROR(VLOOKUP(AX43,'Top WS'!$A$19:$D$28,4),0)</f>
        <v>200</v>
      </c>
      <c r="BL43" s="98">
        <f>IFERROR(VLOOKUP(AY43,'Top WS'!$A$19:$D$28,4),0)</f>
        <v>200</v>
      </c>
      <c r="BM43" s="98">
        <f>IFERROR(VLOOKUP(AZ43,'Top WS'!$A$19:$D$28,4),0)</f>
        <v>200</v>
      </c>
      <c r="BN43" s="98">
        <f>IFERROR(VLOOKUP(BA43,'Top WS'!$A$19:$D$28,4),0)</f>
        <v>200</v>
      </c>
      <c r="BO43" s="98">
        <f>IFERROR(VLOOKUP(BB43,'Top WS'!$A$19:$D$28,4),0)</f>
        <v>200</v>
      </c>
      <c r="BP43" s="98">
        <f>IFERROR(VLOOKUP(BC43,'Top WS'!$A$19:$D$28,4),0)</f>
        <v>200</v>
      </c>
    </row>
    <row r="44" spans="1:68" x14ac:dyDescent="0.4">
      <c r="A44">
        <v>1190043701</v>
      </c>
      <c r="B44">
        <f>VLOOKUP(A44,'Aji Plus'!$A$2:$D$58,2,0)</f>
        <v>63286</v>
      </c>
      <c r="C44" t="str">
        <f>VLOOKUP(A44,'Aji Plus'!$A$2:$D$58,3,0)</f>
        <v>นายมานพ ประจวบสุข</v>
      </c>
      <c r="D44" t="str">
        <f>VLOOKUP(A44,'Aji Plus'!$A$2:$D$58,4,0)</f>
        <v>Surin</v>
      </c>
      <c r="E44" s="1">
        <v>1474</v>
      </c>
      <c r="F44" s="1">
        <v>1569</v>
      </c>
      <c r="G44" s="1">
        <v>1537</v>
      </c>
      <c r="H44" s="1">
        <v>1665</v>
      </c>
      <c r="I44" s="1">
        <v>1532</v>
      </c>
      <c r="J44" s="1">
        <v>1780</v>
      </c>
      <c r="K44" s="1">
        <v>1920</v>
      </c>
      <c r="L44" s="1">
        <v>1788</v>
      </c>
      <c r="M44" s="1">
        <v>1324</v>
      </c>
      <c r="N44" s="1">
        <v>1837</v>
      </c>
      <c r="O44" s="1">
        <v>1537</v>
      </c>
      <c r="P44" s="1">
        <v>1488</v>
      </c>
      <c r="R44" s="1">
        <f>VLOOKUP(A44,Actual_RDM!$A$2:$H$63,3,0)</f>
        <v>767.69999999999993</v>
      </c>
      <c r="S44" s="1">
        <f>VLOOKUP(A44,Actual_RDM!$A$2:$H$63,4,0)</f>
        <v>715.4</v>
      </c>
      <c r="T44" s="1">
        <f>VLOOKUP(A44,Actual_RDM!$A$2:$H$63,5,0)</f>
        <v>1402.5</v>
      </c>
      <c r="U44" s="1">
        <f>VLOOKUP(A44,Actual_RDM!$A$2:$H$63,6,0)</f>
        <v>545.60000000000014</v>
      </c>
      <c r="V44" s="1">
        <f>VLOOKUP(A44,Actual_RDM!$A$2:$H$63,7,0)</f>
        <v>1006.1999999999999</v>
      </c>
      <c r="W44" s="1">
        <f>VLOOKUP(A44,Actual_RDM!$A$2:$H$63,8,0)</f>
        <v>1679.5</v>
      </c>
      <c r="X44" s="111"/>
      <c r="Y44" s="111"/>
      <c r="Z44" s="111"/>
      <c r="AA44" s="111"/>
      <c r="AB44" s="111"/>
      <c r="AC44" s="111"/>
      <c r="AE44" s="97">
        <f t="shared" si="4"/>
        <v>0.52082767978290356</v>
      </c>
      <c r="AF44" s="97">
        <f t="shared" si="4"/>
        <v>0.45595920968769915</v>
      </c>
      <c r="AG44" s="97">
        <f t="shared" si="4"/>
        <v>0.91249186727391018</v>
      </c>
      <c r="AH44" s="97">
        <f t="shared" si="4"/>
        <v>0.32768768768768775</v>
      </c>
      <c r="AI44" s="97">
        <f t="shared" si="4"/>
        <v>0.65678851174934716</v>
      </c>
      <c r="AJ44" s="97">
        <f t="shared" si="4"/>
        <v>0.94353932584269662</v>
      </c>
      <c r="AK44" s="99">
        <f t="shared" si="4"/>
        <v>0</v>
      </c>
      <c r="AL44" s="99">
        <f t="shared" si="4"/>
        <v>0</v>
      </c>
      <c r="AM44" s="99">
        <f t="shared" si="4"/>
        <v>0</v>
      </c>
      <c r="AN44" s="99">
        <f t="shared" si="4"/>
        <v>0</v>
      </c>
      <c r="AO44" s="99">
        <f t="shared" si="4"/>
        <v>0</v>
      </c>
      <c r="AP44" s="99">
        <f t="shared" si="4"/>
        <v>0</v>
      </c>
      <c r="AQ44" s="97"/>
      <c r="AR44" s="99">
        <f t="shared" si="5"/>
        <v>0.52080000000000004</v>
      </c>
      <c r="AS44" s="99">
        <f t="shared" si="5"/>
        <v>0.45600000000000002</v>
      </c>
      <c r="AT44" s="99">
        <f t="shared" si="5"/>
        <v>0.91249999999999998</v>
      </c>
      <c r="AU44" s="99">
        <f t="shared" si="5"/>
        <v>0.32769999999999999</v>
      </c>
      <c r="AV44" s="99">
        <f t="shared" si="5"/>
        <v>0.65680000000000005</v>
      </c>
      <c r="AW44" s="99">
        <f t="shared" si="5"/>
        <v>0.94350000000000001</v>
      </c>
      <c r="AX44" s="99">
        <f t="shared" si="5"/>
        <v>0</v>
      </c>
      <c r="AY44" s="99">
        <f t="shared" si="5"/>
        <v>0</v>
      </c>
      <c r="AZ44" s="99">
        <f t="shared" si="5"/>
        <v>0</v>
      </c>
      <c r="BA44" s="99">
        <f t="shared" si="5"/>
        <v>0</v>
      </c>
      <c r="BB44" s="99">
        <f t="shared" si="5"/>
        <v>0</v>
      </c>
      <c r="BC44" s="99">
        <f t="shared" si="5"/>
        <v>0</v>
      </c>
      <c r="BD44" s="97"/>
      <c r="BE44" s="1">
        <f>IFERROR(VLOOKUP(AR44,'Top WS'!$A$19:$D$28,4),0)</f>
        <v>200</v>
      </c>
      <c r="BF44" s="1">
        <f>IFERROR(VLOOKUP(AS44,'Top WS'!$A$19:$D$28,4),0)</f>
        <v>200</v>
      </c>
      <c r="BG44" s="1">
        <f>IFERROR(VLOOKUP(AT44,'Top WS'!$A$19:$D$28,4),0)</f>
        <v>200</v>
      </c>
      <c r="BH44" s="1">
        <f>IFERROR(VLOOKUP(AU44,'Top WS'!$A$19:$D$28,4),0)</f>
        <v>200</v>
      </c>
      <c r="BI44" s="1">
        <f>IFERROR(VLOOKUP(AV44,'Top WS'!$A$19:$D$28,4),0)</f>
        <v>200</v>
      </c>
      <c r="BJ44" s="1">
        <f>IFERROR(VLOOKUP(AW44,'Top WS'!$A$19:$D$28,4),0)</f>
        <v>200</v>
      </c>
      <c r="BK44" s="98">
        <f>IFERROR(VLOOKUP(AX44,'Top WS'!$A$19:$D$28,4),0)</f>
        <v>200</v>
      </c>
      <c r="BL44" s="98">
        <f>IFERROR(VLOOKUP(AY44,'Top WS'!$A$19:$D$28,4),0)</f>
        <v>200</v>
      </c>
      <c r="BM44" s="98">
        <f>IFERROR(VLOOKUP(AZ44,'Top WS'!$A$19:$D$28,4),0)</f>
        <v>200</v>
      </c>
      <c r="BN44" s="98">
        <f>IFERROR(VLOOKUP(BA44,'Top WS'!$A$19:$D$28,4),0)</f>
        <v>200</v>
      </c>
      <c r="BO44" s="98">
        <f>IFERROR(VLOOKUP(BB44,'Top WS'!$A$19:$D$28,4),0)</f>
        <v>200</v>
      </c>
      <c r="BP44" s="98">
        <f>IFERROR(VLOOKUP(BC44,'Top WS'!$A$19:$D$28,4),0)</f>
        <v>200</v>
      </c>
    </row>
    <row r="45" spans="1:68" x14ac:dyDescent="0.4">
      <c r="A45">
        <v>1190043702</v>
      </c>
      <c r="B45">
        <f>VLOOKUP(A45,'Aji Plus'!$A$2:$D$58,2,0)</f>
        <v>70479</v>
      </c>
      <c r="C45" t="str">
        <f>VLOOKUP(A45,'Aji Plus'!$A$2:$D$58,3,0)</f>
        <v>นายภูริต มาตย์วิเศษ</v>
      </c>
      <c r="D45" t="str">
        <f>VLOOKUP(A45,'Aji Plus'!$A$2:$D$58,4,0)</f>
        <v>Surin</v>
      </c>
      <c r="E45" s="1">
        <v>680</v>
      </c>
      <c r="F45" s="1">
        <v>723</v>
      </c>
      <c r="G45" s="1">
        <v>709</v>
      </c>
      <c r="H45" s="1">
        <v>768</v>
      </c>
      <c r="I45" s="1">
        <v>706</v>
      </c>
      <c r="J45" s="1">
        <v>821</v>
      </c>
      <c r="K45" s="1">
        <v>885</v>
      </c>
      <c r="L45" s="1">
        <v>825</v>
      </c>
      <c r="M45" s="1">
        <v>610</v>
      </c>
      <c r="N45" s="1">
        <v>847</v>
      </c>
      <c r="O45" s="1">
        <v>709</v>
      </c>
      <c r="P45" s="1">
        <v>686</v>
      </c>
      <c r="R45" s="1">
        <f>VLOOKUP(A45,Actual_RDM!$A$2:$H$63,3,0)</f>
        <v>818.7</v>
      </c>
      <c r="S45" s="1">
        <f>VLOOKUP(A45,Actual_RDM!$A$2:$H$63,4,0)</f>
        <v>726.50000000000011</v>
      </c>
      <c r="T45" s="1">
        <f>VLOOKUP(A45,Actual_RDM!$A$2:$H$63,5,0)</f>
        <v>596.1</v>
      </c>
      <c r="U45" s="1">
        <f>VLOOKUP(A45,Actual_RDM!$A$2:$H$63,6,0)</f>
        <v>607.80000000000007</v>
      </c>
      <c r="V45" s="1">
        <f>VLOOKUP(A45,Actual_RDM!$A$2:$H$63,7,0)</f>
        <v>653.1</v>
      </c>
      <c r="W45" s="1">
        <f>VLOOKUP(A45,Actual_RDM!$A$2:$H$63,8,0)</f>
        <v>445.9</v>
      </c>
      <c r="X45" s="111"/>
      <c r="Y45" s="111"/>
      <c r="Z45" s="111"/>
      <c r="AA45" s="111"/>
      <c r="AB45" s="111"/>
      <c r="AC45" s="111"/>
      <c r="AE45" s="97">
        <f t="shared" si="4"/>
        <v>1.2039705882352942</v>
      </c>
      <c r="AF45" s="97">
        <f t="shared" si="4"/>
        <v>1.004840940525588</v>
      </c>
      <c r="AG45" s="97">
        <f t="shared" si="4"/>
        <v>0.84076163610719323</v>
      </c>
      <c r="AH45" s="97">
        <f t="shared" si="4"/>
        <v>0.79140625000000009</v>
      </c>
      <c r="AI45" s="97">
        <f t="shared" si="4"/>
        <v>0.92507082152974507</v>
      </c>
      <c r="AJ45" s="97">
        <f t="shared" si="4"/>
        <v>0.5431181485992691</v>
      </c>
      <c r="AK45" s="99">
        <f t="shared" si="4"/>
        <v>0</v>
      </c>
      <c r="AL45" s="99">
        <f t="shared" si="4"/>
        <v>0</v>
      </c>
      <c r="AM45" s="99">
        <f t="shared" si="4"/>
        <v>0</v>
      </c>
      <c r="AN45" s="99">
        <f t="shared" si="4"/>
        <v>0</v>
      </c>
      <c r="AO45" s="99">
        <f t="shared" si="4"/>
        <v>0</v>
      </c>
      <c r="AP45" s="99">
        <f t="shared" si="4"/>
        <v>0</v>
      </c>
      <c r="AQ45" s="97"/>
      <c r="AR45" s="99">
        <f t="shared" si="5"/>
        <v>1.204</v>
      </c>
      <c r="AS45" s="99">
        <f t="shared" si="5"/>
        <v>1.0047999999999999</v>
      </c>
      <c r="AT45" s="99">
        <f t="shared" si="5"/>
        <v>0.84079999999999999</v>
      </c>
      <c r="AU45" s="99">
        <f t="shared" si="5"/>
        <v>0.79139999999999999</v>
      </c>
      <c r="AV45" s="99">
        <f t="shared" si="5"/>
        <v>0.92510000000000003</v>
      </c>
      <c r="AW45" s="99">
        <f t="shared" si="5"/>
        <v>0.54310000000000003</v>
      </c>
      <c r="AX45" s="99">
        <f t="shared" si="5"/>
        <v>0</v>
      </c>
      <c r="AY45" s="99">
        <f t="shared" si="5"/>
        <v>0</v>
      </c>
      <c r="AZ45" s="99">
        <f t="shared" si="5"/>
        <v>0</v>
      </c>
      <c r="BA45" s="99">
        <f t="shared" si="5"/>
        <v>0</v>
      </c>
      <c r="BB45" s="99">
        <f t="shared" si="5"/>
        <v>0</v>
      </c>
      <c r="BC45" s="99">
        <f t="shared" si="5"/>
        <v>0</v>
      </c>
      <c r="BD45" s="97"/>
      <c r="BE45" s="1">
        <f>IFERROR(VLOOKUP(AR45,'Top WS'!$A$19:$D$28,4),0)</f>
        <v>260</v>
      </c>
      <c r="BF45" s="1">
        <f>IFERROR(VLOOKUP(AS45,'Top WS'!$A$19:$D$28,4),0)</f>
        <v>206</v>
      </c>
      <c r="BG45" s="1">
        <f>IFERROR(VLOOKUP(AT45,'Top WS'!$A$19:$D$28,4),0)</f>
        <v>200</v>
      </c>
      <c r="BH45" s="1">
        <f>IFERROR(VLOOKUP(AU45,'Top WS'!$A$19:$D$28,4),0)</f>
        <v>200</v>
      </c>
      <c r="BI45" s="1">
        <f>IFERROR(VLOOKUP(AV45,'Top WS'!$A$19:$D$28,4),0)</f>
        <v>200</v>
      </c>
      <c r="BJ45" s="1">
        <f>IFERROR(VLOOKUP(AW45,'Top WS'!$A$19:$D$28,4),0)</f>
        <v>200</v>
      </c>
      <c r="BK45" s="98">
        <f>IFERROR(VLOOKUP(AX45,'Top WS'!$A$19:$D$28,4),0)</f>
        <v>200</v>
      </c>
      <c r="BL45" s="98">
        <f>IFERROR(VLOOKUP(AY45,'Top WS'!$A$19:$D$28,4),0)</f>
        <v>200</v>
      </c>
      <c r="BM45" s="98">
        <f>IFERROR(VLOOKUP(AZ45,'Top WS'!$A$19:$D$28,4),0)</f>
        <v>200</v>
      </c>
      <c r="BN45" s="98">
        <f>IFERROR(VLOOKUP(BA45,'Top WS'!$A$19:$D$28,4),0)</f>
        <v>200</v>
      </c>
      <c r="BO45" s="98">
        <f>IFERROR(VLOOKUP(BB45,'Top WS'!$A$19:$D$28,4),0)</f>
        <v>200</v>
      </c>
      <c r="BP45" s="98">
        <f>IFERROR(VLOOKUP(BC45,'Top WS'!$A$19:$D$28,4),0)</f>
        <v>200</v>
      </c>
    </row>
    <row r="46" spans="1:68" x14ac:dyDescent="0.4">
      <c r="A46">
        <v>1190043801</v>
      </c>
      <c r="B46">
        <f>VLOOKUP(A46,'Aji Plus'!$A$2:$D$58,2,0)</f>
        <v>75712</v>
      </c>
      <c r="C46" t="str">
        <f>VLOOKUP(A46,'Aji Plus'!$A$2:$D$58,3,0)</f>
        <v>นายวุฒิพงษ์ วงศ์วณิชชากร</v>
      </c>
      <c r="D46" t="str">
        <f>VLOOKUP(A46,'Aji Plus'!$A$2:$D$58,4,0)</f>
        <v>Khonkaen</v>
      </c>
      <c r="E46" s="1">
        <v>1251.8794689966523</v>
      </c>
      <c r="F46" s="1">
        <v>1253.7520646438686</v>
      </c>
      <c r="G46" s="1">
        <v>1230.8866862147061</v>
      </c>
      <c r="H46" s="1">
        <v>1219.6511123314103</v>
      </c>
      <c r="I46" s="1">
        <v>1292.2486888440019</v>
      </c>
      <c r="J46" s="1">
        <v>1240.7424527789999</v>
      </c>
      <c r="K46" s="1">
        <v>1240.6044720471</v>
      </c>
      <c r="L46" s="1">
        <v>1264.3568694670491</v>
      </c>
      <c r="M46" s="1">
        <v>1268.2794645596382</v>
      </c>
      <c r="N46" s="1">
        <v>1288.8977282121418</v>
      </c>
      <c r="O46" s="1">
        <v>1195.5833303814036</v>
      </c>
      <c r="P46" s="1">
        <v>1237.8251458759692</v>
      </c>
      <c r="R46" s="1">
        <f>VLOOKUP(A46,Actual_RDM!$A$2:$H$63,3,0)</f>
        <v>1097.5999999999999</v>
      </c>
      <c r="S46" s="1">
        <f>VLOOKUP(A46,Actual_RDM!$A$2:$H$63,4,0)</f>
        <v>906.5</v>
      </c>
      <c r="T46" s="1">
        <f>VLOOKUP(A46,Actual_RDM!$A$2:$H$63,5,0)</f>
        <v>329.7</v>
      </c>
      <c r="U46" s="1">
        <f>VLOOKUP(A46,Actual_RDM!$A$2:$H$63,6,0)</f>
        <v>638.4</v>
      </c>
      <c r="V46" s="1">
        <f>VLOOKUP(A46,Actual_RDM!$A$2:$H$63,7,0)</f>
        <v>661.5</v>
      </c>
      <c r="W46" s="1">
        <f>VLOOKUP(A46,Actual_RDM!$A$2:$H$63,8,0)</f>
        <v>492.2</v>
      </c>
      <c r="X46" s="111"/>
      <c r="Y46" s="111"/>
      <c r="Z46" s="111"/>
      <c r="AA46" s="111"/>
      <c r="AB46" s="111"/>
      <c r="AC46" s="111"/>
      <c r="AE46" s="97">
        <f t="shared" si="4"/>
        <v>0.87676172281960718</v>
      </c>
      <c r="AF46" s="97">
        <f t="shared" si="4"/>
        <v>0.72302971661106985</v>
      </c>
      <c r="AG46" s="97">
        <f t="shared" si="4"/>
        <v>0.26785568784882424</v>
      </c>
      <c r="AH46" s="97">
        <f t="shared" si="4"/>
        <v>0.52342837516843133</v>
      </c>
      <c r="AI46" s="97">
        <f t="shared" si="4"/>
        <v>0.51189837197030053</v>
      </c>
      <c r="AJ46" s="97">
        <f t="shared" si="4"/>
        <v>0.39669796007831953</v>
      </c>
      <c r="AK46" s="99">
        <f t="shared" si="4"/>
        <v>0</v>
      </c>
      <c r="AL46" s="99">
        <f t="shared" si="4"/>
        <v>0</v>
      </c>
      <c r="AM46" s="99">
        <f t="shared" si="4"/>
        <v>0</v>
      </c>
      <c r="AN46" s="99">
        <f t="shared" si="4"/>
        <v>0</v>
      </c>
      <c r="AO46" s="99">
        <f t="shared" si="4"/>
        <v>0</v>
      </c>
      <c r="AP46" s="99">
        <f t="shared" si="4"/>
        <v>0</v>
      </c>
      <c r="AQ46" s="97"/>
      <c r="AR46" s="99">
        <f t="shared" si="5"/>
        <v>0.87680000000000002</v>
      </c>
      <c r="AS46" s="99">
        <f t="shared" si="5"/>
        <v>0.72299999999999998</v>
      </c>
      <c r="AT46" s="99">
        <f t="shared" si="5"/>
        <v>0.26790000000000003</v>
      </c>
      <c r="AU46" s="99">
        <f t="shared" si="5"/>
        <v>0.52339999999999998</v>
      </c>
      <c r="AV46" s="99">
        <f t="shared" si="5"/>
        <v>0.51190000000000002</v>
      </c>
      <c r="AW46" s="99">
        <f t="shared" si="5"/>
        <v>0.3967</v>
      </c>
      <c r="AX46" s="99">
        <f t="shared" si="5"/>
        <v>0</v>
      </c>
      <c r="AY46" s="99">
        <f t="shared" si="5"/>
        <v>0</v>
      </c>
      <c r="AZ46" s="99">
        <f t="shared" si="5"/>
        <v>0</v>
      </c>
      <c r="BA46" s="99">
        <f t="shared" si="5"/>
        <v>0</v>
      </c>
      <c r="BB46" s="99">
        <f t="shared" si="5"/>
        <v>0</v>
      </c>
      <c r="BC46" s="99">
        <f t="shared" si="5"/>
        <v>0</v>
      </c>
      <c r="BD46" s="97"/>
      <c r="BE46" s="1">
        <f>IFERROR(VLOOKUP(AR46,'Top WS'!$A$19:$D$28,4),0)</f>
        <v>200</v>
      </c>
      <c r="BF46" s="1">
        <f>IFERROR(VLOOKUP(AS46,'Top WS'!$A$19:$D$28,4),0)</f>
        <v>200</v>
      </c>
      <c r="BG46" s="1">
        <f>IFERROR(VLOOKUP(AT46,'Top WS'!$A$19:$D$28,4),0)</f>
        <v>200</v>
      </c>
      <c r="BH46" s="1">
        <f>IFERROR(VLOOKUP(AU46,'Top WS'!$A$19:$D$28,4),0)</f>
        <v>200</v>
      </c>
      <c r="BI46" s="1">
        <f>IFERROR(VLOOKUP(AV46,'Top WS'!$A$19:$D$28,4),0)</f>
        <v>200</v>
      </c>
      <c r="BJ46" s="1">
        <f>IFERROR(VLOOKUP(AW46,'Top WS'!$A$19:$D$28,4),0)</f>
        <v>200</v>
      </c>
      <c r="BK46" s="98">
        <f>IFERROR(VLOOKUP(AX46,'Top WS'!$A$19:$D$28,4),0)</f>
        <v>200</v>
      </c>
      <c r="BL46" s="98">
        <f>IFERROR(VLOOKUP(AY46,'Top WS'!$A$19:$D$28,4),0)</f>
        <v>200</v>
      </c>
      <c r="BM46" s="98">
        <f>IFERROR(VLOOKUP(AZ46,'Top WS'!$A$19:$D$28,4),0)</f>
        <v>200</v>
      </c>
      <c r="BN46" s="98">
        <f>IFERROR(VLOOKUP(BA46,'Top WS'!$A$19:$D$28,4),0)</f>
        <v>200</v>
      </c>
      <c r="BO46" s="98">
        <f>IFERROR(VLOOKUP(BB46,'Top WS'!$A$19:$D$28,4),0)</f>
        <v>200</v>
      </c>
      <c r="BP46" s="98">
        <f>IFERROR(VLOOKUP(BC46,'Top WS'!$A$19:$D$28,4),0)</f>
        <v>200</v>
      </c>
    </row>
    <row r="47" spans="1:68" x14ac:dyDescent="0.4">
      <c r="A47">
        <v>1190043802</v>
      </c>
      <c r="B47">
        <f>VLOOKUP(A47,'Aji Plus'!$A$2:$D$58,2,0)</f>
        <v>62573</v>
      </c>
      <c r="C47" t="str">
        <f>VLOOKUP(A47,'Aji Plus'!$A$2:$D$58,3,0)</f>
        <v>นายวิฑูรย์ ระวันประโคน</v>
      </c>
      <c r="D47" t="str">
        <f>VLOOKUP(A47,'Aji Plus'!$A$2:$D$58,4,0)</f>
        <v>Khonkaen</v>
      </c>
      <c r="E47" s="1">
        <v>442.3888814374435</v>
      </c>
      <c r="F47" s="1">
        <v>443.05061886047235</v>
      </c>
      <c r="G47" s="1">
        <v>434.97045664243694</v>
      </c>
      <c r="H47" s="1">
        <v>431.00003210426422</v>
      </c>
      <c r="I47" s="1">
        <v>456.65454714652697</v>
      </c>
      <c r="J47" s="1">
        <v>438.45328518469347</v>
      </c>
      <c r="K47" s="1">
        <v>438.40452558510191</v>
      </c>
      <c r="L47" s="1">
        <v>446.79814237194057</v>
      </c>
      <c r="M47" s="1">
        <v>448.18430813175866</v>
      </c>
      <c r="N47" s="1">
        <v>455.47038544215968</v>
      </c>
      <c r="O47" s="1">
        <v>422.49496480407333</v>
      </c>
      <c r="P47" s="1">
        <v>437.42236793618554</v>
      </c>
      <c r="R47" s="1">
        <f>VLOOKUP(A47,Actual_RDM!$A$2:$H$63,3,0)</f>
        <v>416.1</v>
      </c>
      <c r="S47" s="1">
        <f>VLOOKUP(A47,Actual_RDM!$A$2:$H$63,4,0)</f>
        <v>319.60000000000002</v>
      </c>
      <c r="T47" s="1">
        <f>VLOOKUP(A47,Actual_RDM!$A$2:$H$63,5,0)</f>
        <v>357.8</v>
      </c>
      <c r="U47" s="1">
        <f>VLOOKUP(A47,Actual_RDM!$A$2:$H$63,6,0)</f>
        <v>245</v>
      </c>
      <c r="V47" s="1">
        <f>VLOOKUP(A47,Actual_RDM!$A$2:$H$63,7,0)</f>
        <v>279.2</v>
      </c>
      <c r="W47" s="1">
        <f>VLOOKUP(A47,Actual_RDM!$A$2:$H$63,8,0)</f>
        <v>324.8</v>
      </c>
      <c r="X47" s="111"/>
      <c r="Y47" s="111"/>
      <c r="Z47" s="111"/>
      <c r="AA47" s="111"/>
      <c r="AB47" s="111"/>
      <c r="AC47" s="111"/>
      <c r="AE47" s="97">
        <f t="shared" si="4"/>
        <v>0.94057517595825724</v>
      </c>
      <c r="AF47" s="97">
        <f t="shared" si="4"/>
        <v>0.72136226967025185</v>
      </c>
      <c r="AG47" s="97">
        <f t="shared" si="4"/>
        <v>0.82258460209431161</v>
      </c>
      <c r="AH47" s="97">
        <f t="shared" si="4"/>
        <v>0.56844543329577168</v>
      </c>
      <c r="AI47" s="97">
        <f t="shared" si="4"/>
        <v>0.61140308739860849</v>
      </c>
      <c r="AJ47" s="97">
        <f t="shared" si="4"/>
        <v>0.74078587383187633</v>
      </c>
      <c r="AK47" s="99">
        <f t="shared" si="4"/>
        <v>0</v>
      </c>
      <c r="AL47" s="99">
        <f t="shared" si="4"/>
        <v>0</v>
      </c>
      <c r="AM47" s="99">
        <f t="shared" si="4"/>
        <v>0</v>
      </c>
      <c r="AN47" s="99">
        <f t="shared" si="4"/>
        <v>0</v>
      </c>
      <c r="AO47" s="99">
        <f t="shared" si="4"/>
        <v>0</v>
      </c>
      <c r="AP47" s="99">
        <f t="shared" si="4"/>
        <v>0</v>
      </c>
      <c r="AQ47" s="97"/>
      <c r="AR47" s="99">
        <f t="shared" si="5"/>
        <v>0.94059999999999999</v>
      </c>
      <c r="AS47" s="99">
        <f t="shared" si="5"/>
        <v>0.72140000000000004</v>
      </c>
      <c r="AT47" s="99">
        <f t="shared" si="5"/>
        <v>0.8226</v>
      </c>
      <c r="AU47" s="99">
        <f t="shared" si="5"/>
        <v>0.56840000000000002</v>
      </c>
      <c r="AV47" s="99">
        <f t="shared" si="5"/>
        <v>0.61140000000000005</v>
      </c>
      <c r="AW47" s="99">
        <f t="shared" si="5"/>
        <v>0.74080000000000001</v>
      </c>
      <c r="AX47" s="99">
        <f t="shared" si="5"/>
        <v>0</v>
      </c>
      <c r="AY47" s="99">
        <f t="shared" si="5"/>
        <v>0</v>
      </c>
      <c r="AZ47" s="99">
        <f t="shared" si="5"/>
        <v>0</v>
      </c>
      <c r="BA47" s="99">
        <f t="shared" si="5"/>
        <v>0</v>
      </c>
      <c r="BB47" s="99">
        <f t="shared" si="5"/>
        <v>0</v>
      </c>
      <c r="BC47" s="99">
        <f t="shared" si="5"/>
        <v>0</v>
      </c>
      <c r="BD47" s="97"/>
      <c r="BE47" s="1">
        <f>IFERROR(VLOOKUP(AR47,'Top WS'!$A$19:$D$28,4),0)</f>
        <v>200</v>
      </c>
      <c r="BF47" s="1">
        <f>IFERROR(VLOOKUP(AS47,'Top WS'!$A$19:$D$28,4),0)</f>
        <v>200</v>
      </c>
      <c r="BG47" s="1">
        <f>IFERROR(VLOOKUP(AT47,'Top WS'!$A$19:$D$28,4),0)</f>
        <v>200</v>
      </c>
      <c r="BH47" s="1">
        <f>IFERROR(VLOOKUP(AU47,'Top WS'!$A$19:$D$28,4),0)</f>
        <v>200</v>
      </c>
      <c r="BI47" s="1">
        <f>IFERROR(VLOOKUP(AV47,'Top WS'!$A$19:$D$28,4),0)</f>
        <v>200</v>
      </c>
      <c r="BJ47" s="1">
        <f>IFERROR(VLOOKUP(AW47,'Top WS'!$A$19:$D$28,4),0)</f>
        <v>200</v>
      </c>
      <c r="BK47" s="98">
        <f>IFERROR(VLOOKUP(AX47,'Top WS'!$A$19:$D$28,4),0)</f>
        <v>200</v>
      </c>
      <c r="BL47" s="98">
        <f>IFERROR(VLOOKUP(AY47,'Top WS'!$A$19:$D$28,4),0)</f>
        <v>200</v>
      </c>
      <c r="BM47" s="98">
        <f>IFERROR(VLOOKUP(AZ47,'Top WS'!$A$19:$D$28,4),0)</f>
        <v>200</v>
      </c>
      <c r="BN47" s="98">
        <f>IFERROR(VLOOKUP(BA47,'Top WS'!$A$19:$D$28,4),0)</f>
        <v>200</v>
      </c>
      <c r="BO47" s="98">
        <f>IFERROR(VLOOKUP(BB47,'Top WS'!$A$19:$D$28,4),0)</f>
        <v>200</v>
      </c>
      <c r="BP47" s="98">
        <f>IFERROR(VLOOKUP(BC47,'Top WS'!$A$19:$D$28,4),0)</f>
        <v>200</v>
      </c>
    </row>
    <row r="48" spans="1:68" x14ac:dyDescent="0.4">
      <c r="A48">
        <v>1190043901</v>
      </c>
      <c r="B48">
        <f>VLOOKUP(A48,'Aji Plus'!$A$2:$D$58,2,0)</f>
        <v>63244</v>
      </c>
      <c r="C48" t="str">
        <f>VLOOKUP(A48,'Aji Plus'!$A$2:$D$58,3,0)</f>
        <v>นายทรงเกียรติ กล้าหาญ</v>
      </c>
      <c r="D48" t="str">
        <f>VLOOKUP(A48,'Aji Plus'!$A$2:$D$58,4,0)</f>
        <v>Udonthani</v>
      </c>
      <c r="E48" s="1">
        <v>620.68849559776902</v>
      </c>
      <c r="F48" s="1">
        <v>621.61693847419474</v>
      </c>
      <c r="G48" s="1">
        <v>610.28016229889306</v>
      </c>
      <c r="H48" s="1">
        <v>604.70950504033954</v>
      </c>
      <c r="I48" s="1">
        <v>640.70376939692255</v>
      </c>
      <c r="J48" s="1">
        <v>615.16670375376441</v>
      </c>
      <c r="K48" s="1">
        <v>615.0982921733962</v>
      </c>
      <c r="L48" s="1">
        <v>626.8748570796364</v>
      </c>
      <c r="M48" s="1">
        <v>628.81970057867522</v>
      </c>
      <c r="N48" s="1">
        <v>639.04234530226631</v>
      </c>
      <c r="O48" s="1">
        <v>592.77657080754341</v>
      </c>
      <c r="P48" s="1">
        <v>613.72028748312255</v>
      </c>
      <c r="R48" s="1">
        <f>VLOOKUP(A48,Actual_RDM!$A$2:$H$63,3,0)</f>
        <v>342.3</v>
      </c>
      <c r="S48" s="1">
        <f>VLOOKUP(A48,Actual_RDM!$A$2:$H$63,4,0)</f>
        <v>340.29999999999995</v>
      </c>
      <c r="T48" s="1">
        <f>VLOOKUP(A48,Actual_RDM!$A$2:$H$63,5,0)</f>
        <v>428</v>
      </c>
      <c r="U48" s="1">
        <f>VLOOKUP(A48,Actual_RDM!$A$2:$H$63,6,0)</f>
        <v>321.79999999999995</v>
      </c>
      <c r="V48" s="1">
        <f>VLOOKUP(A48,Actual_RDM!$A$2:$H$63,7,0)</f>
        <v>530.29999999999995</v>
      </c>
      <c r="W48" s="1">
        <f>VLOOKUP(A48,Actual_RDM!$A$2:$H$63,8,0)</f>
        <v>489.59999999999997</v>
      </c>
      <c r="X48" s="111"/>
      <c r="Y48" s="111"/>
      <c r="Z48" s="111"/>
      <c r="AA48" s="111"/>
      <c r="AB48" s="111"/>
      <c r="AC48" s="111"/>
      <c r="AE48" s="97">
        <f t="shared" si="4"/>
        <v>0.55148436361840369</v>
      </c>
      <c r="AF48" s="97">
        <f t="shared" si="4"/>
        <v>0.54744325474027744</v>
      </c>
      <c r="AG48" s="97">
        <f t="shared" si="4"/>
        <v>0.70131724155631514</v>
      </c>
      <c r="AH48" s="97">
        <f t="shared" si="4"/>
        <v>0.53215634501814724</v>
      </c>
      <c r="AI48" s="97">
        <f t="shared" si="4"/>
        <v>0.82768359627282551</v>
      </c>
      <c r="AJ48" s="97">
        <f t="shared" si="4"/>
        <v>0.79588182684863651</v>
      </c>
      <c r="AK48" s="99">
        <f t="shared" si="4"/>
        <v>0</v>
      </c>
      <c r="AL48" s="99">
        <f t="shared" si="4"/>
        <v>0</v>
      </c>
      <c r="AM48" s="99">
        <f t="shared" si="4"/>
        <v>0</v>
      </c>
      <c r="AN48" s="99">
        <f t="shared" si="4"/>
        <v>0</v>
      </c>
      <c r="AO48" s="99">
        <f t="shared" si="4"/>
        <v>0</v>
      </c>
      <c r="AP48" s="99">
        <f t="shared" si="4"/>
        <v>0</v>
      </c>
      <c r="AQ48" s="97"/>
      <c r="AR48" s="99">
        <f t="shared" si="5"/>
        <v>0.55149999999999999</v>
      </c>
      <c r="AS48" s="99">
        <f t="shared" si="5"/>
        <v>0.5474</v>
      </c>
      <c r="AT48" s="99">
        <f t="shared" si="5"/>
        <v>0.70130000000000003</v>
      </c>
      <c r="AU48" s="99">
        <f t="shared" si="5"/>
        <v>0.53220000000000001</v>
      </c>
      <c r="AV48" s="99">
        <f t="shared" si="5"/>
        <v>0.82769999999999999</v>
      </c>
      <c r="AW48" s="99">
        <f t="shared" si="5"/>
        <v>0.79590000000000005</v>
      </c>
      <c r="AX48" s="99">
        <f t="shared" si="5"/>
        <v>0</v>
      </c>
      <c r="AY48" s="99">
        <f t="shared" si="5"/>
        <v>0</v>
      </c>
      <c r="AZ48" s="99">
        <f t="shared" si="5"/>
        <v>0</v>
      </c>
      <c r="BA48" s="99">
        <f t="shared" si="5"/>
        <v>0</v>
      </c>
      <c r="BB48" s="99">
        <f t="shared" si="5"/>
        <v>0</v>
      </c>
      <c r="BC48" s="99">
        <f t="shared" si="5"/>
        <v>0</v>
      </c>
      <c r="BD48" s="97"/>
      <c r="BE48" s="1">
        <f>IFERROR(VLOOKUP(AR48,'Top WS'!$A$19:$D$28,4),0)</f>
        <v>200</v>
      </c>
      <c r="BF48" s="1">
        <f>IFERROR(VLOOKUP(AS48,'Top WS'!$A$19:$D$28,4),0)</f>
        <v>200</v>
      </c>
      <c r="BG48" s="1">
        <f>IFERROR(VLOOKUP(AT48,'Top WS'!$A$19:$D$28,4),0)</f>
        <v>200</v>
      </c>
      <c r="BH48" s="1">
        <f>IFERROR(VLOOKUP(AU48,'Top WS'!$A$19:$D$28,4),0)</f>
        <v>200</v>
      </c>
      <c r="BI48" s="1">
        <f>IFERROR(VLOOKUP(AV48,'Top WS'!$A$19:$D$28,4),0)</f>
        <v>200</v>
      </c>
      <c r="BJ48" s="1">
        <f>IFERROR(VLOOKUP(AW48,'Top WS'!$A$19:$D$28,4),0)</f>
        <v>200</v>
      </c>
      <c r="BK48" s="98">
        <f>IFERROR(VLOOKUP(AX48,'Top WS'!$A$19:$D$28,4),0)</f>
        <v>200</v>
      </c>
      <c r="BL48" s="98">
        <f>IFERROR(VLOOKUP(AY48,'Top WS'!$A$19:$D$28,4),0)</f>
        <v>200</v>
      </c>
      <c r="BM48" s="98">
        <f>IFERROR(VLOOKUP(AZ48,'Top WS'!$A$19:$D$28,4),0)</f>
        <v>200</v>
      </c>
      <c r="BN48" s="98">
        <f>IFERROR(VLOOKUP(BA48,'Top WS'!$A$19:$D$28,4),0)</f>
        <v>200</v>
      </c>
      <c r="BO48" s="98">
        <f>IFERROR(VLOOKUP(BB48,'Top WS'!$A$19:$D$28,4),0)</f>
        <v>200</v>
      </c>
      <c r="BP48" s="98">
        <f>IFERROR(VLOOKUP(BC48,'Top WS'!$A$19:$D$28,4),0)</f>
        <v>200</v>
      </c>
    </row>
    <row r="49" spans="1:68" x14ac:dyDescent="0.4">
      <c r="A49">
        <v>1190043902</v>
      </c>
      <c r="B49">
        <f>VLOOKUP(A49,'Aji Plus'!$A$2:$D$58,2,0)</f>
        <v>63553</v>
      </c>
      <c r="C49" t="str">
        <f>VLOOKUP(A49,'Aji Plus'!$A$2:$D$58,3,0)</f>
        <v>นายภัทรพล สงฆ์เจริญ</v>
      </c>
      <c r="D49" t="str">
        <f>VLOOKUP(A49,'Aji Plus'!$A$2:$D$58,4,0)</f>
        <v>Udonthani</v>
      </c>
      <c r="E49" s="1">
        <v>1311.6796969831287</v>
      </c>
      <c r="F49" s="1">
        <v>1313.6417434516125</v>
      </c>
      <c r="G49" s="1">
        <v>1289.6841234153912</v>
      </c>
      <c r="H49" s="1">
        <v>1277.911844604489</v>
      </c>
      <c r="I49" s="1">
        <v>1353.9772882194925</v>
      </c>
      <c r="J49" s="1">
        <v>1300.0106837758312</v>
      </c>
      <c r="K49" s="1">
        <v>1299.8661119307851</v>
      </c>
      <c r="L49" s="1">
        <v>1324.7531223994463</v>
      </c>
      <c r="M49" s="1">
        <v>1328.8630934229013</v>
      </c>
      <c r="N49" s="1">
        <v>1350.4662576969426</v>
      </c>
      <c r="O49" s="1">
        <v>1252.6943842042933</v>
      </c>
      <c r="P49" s="1">
        <v>1296.9540219091409</v>
      </c>
      <c r="R49" s="1">
        <f>VLOOKUP(A49,Actual_RDM!$A$2:$H$63,3,0)</f>
        <v>961.5</v>
      </c>
      <c r="S49" s="1">
        <f>VLOOKUP(A49,Actual_RDM!$A$2:$H$63,4,0)</f>
        <v>359.5</v>
      </c>
      <c r="T49" s="1">
        <f>VLOOKUP(A49,Actual_RDM!$A$2:$H$63,5,0)</f>
        <v>653.70000000000005</v>
      </c>
      <c r="U49" s="1">
        <f>VLOOKUP(A49,Actual_RDM!$A$2:$H$63,6,0)</f>
        <v>664.29999999999984</v>
      </c>
      <c r="V49" s="1">
        <f>VLOOKUP(A49,Actual_RDM!$A$2:$H$63,7,0)</f>
        <v>344.99999999999994</v>
      </c>
      <c r="W49" s="1">
        <f>VLOOKUP(A49,Actual_RDM!$A$2:$H$63,8,0)</f>
        <v>825</v>
      </c>
      <c r="X49" s="111"/>
      <c r="Y49" s="111"/>
      <c r="Z49" s="111"/>
      <c r="AA49" s="111"/>
      <c r="AB49" s="111"/>
      <c r="AC49" s="111"/>
      <c r="AE49" s="97">
        <f t="shared" si="4"/>
        <v>0.73302956675433484</v>
      </c>
      <c r="AF49" s="97">
        <f t="shared" si="4"/>
        <v>0.27366669930525245</v>
      </c>
      <c r="AG49" s="97">
        <f t="shared" si="4"/>
        <v>0.50686830064159161</v>
      </c>
      <c r="AH49" s="97">
        <f t="shared" si="4"/>
        <v>0.51983241473561836</v>
      </c>
      <c r="AI49" s="97">
        <f t="shared" si="4"/>
        <v>0.2548048648982007</v>
      </c>
      <c r="AJ49" s="97">
        <f t="shared" si="4"/>
        <v>0.63461016920554769</v>
      </c>
      <c r="AK49" s="99">
        <f t="shared" si="4"/>
        <v>0</v>
      </c>
      <c r="AL49" s="99">
        <f t="shared" si="4"/>
        <v>0</v>
      </c>
      <c r="AM49" s="99">
        <f t="shared" si="4"/>
        <v>0</v>
      </c>
      <c r="AN49" s="99">
        <f t="shared" si="4"/>
        <v>0</v>
      </c>
      <c r="AO49" s="99">
        <f t="shared" si="4"/>
        <v>0</v>
      </c>
      <c r="AP49" s="99">
        <f t="shared" si="4"/>
        <v>0</v>
      </c>
      <c r="AQ49" s="97"/>
      <c r="AR49" s="99">
        <f t="shared" si="5"/>
        <v>0.73299999999999998</v>
      </c>
      <c r="AS49" s="99">
        <f t="shared" si="5"/>
        <v>0.2737</v>
      </c>
      <c r="AT49" s="99">
        <f t="shared" si="5"/>
        <v>0.50690000000000002</v>
      </c>
      <c r="AU49" s="99">
        <f t="shared" si="5"/>
        <v>0.51980000000000004</v>
      </c>
      <c r="AV49" s="99">
        <f t="shared" si="5"/>
        <v>0.25480000000000003</v>
      </c>
      <c r="AW49" s="99">
        <f t="shared" si="5"/>
        <v>0.63460000000000005</v>
      </c>
      <c r="AX49" s="99">
        <f t="shared" si="5"/>
        <v>0</v>
      </c>
      <c r="AY49" s="99">
        <f t="shared" si="5"/>
        <v>0</v>
      </c>
      <c r="AZ49" s="99">
        <f t="shared" si="5"/>
        <v>0</v>
      </c>
      <c r="BA49" s="99">
        <f t="shared" si="5"/>
        <v>0</v>
      </c>
      <c r="BB49" s="99">
        <f t="shared" si="5"/>
        <v>0</v>
      </c>
      <c r="BC49" s="99">
        <f t="shared" si="5"/>
        <v>0</v>
      </c>
      <c r="BD49" s="97"/>
      <c r="BE49" s="1">
        <f>IFERROR(VLOOKUP(AR49,'Top WS'!$A$19:$D$28,4),0)</f>
        <v>200</v>
      </c>
      <c r="BF49" s="1">
        <f>IFERROR(VLOOKUP(AS49,'Top WS'!$A$19:$D$28,4),0)</f>
        <v>200</v>
      </c>
      <c r="BG49" s="1">
        <f>IFERROR(VLOOKUP(AT49,'Top WS'!$A$19:$D$28,4),0)</f>
        <v>200</v>
      </c>
      <c r="BH49" s="1">
        <f>IFERROR(VLOOKUP(AU49,'Top WS'!$A$19:$D$28,4),0)</f>
        <v>200</v>
      </c>
      <c r="BI49" s="1">
        <f>IFERROR(VLOOKUP(AV49,'Top WS'!$A$19:$D$28,4),0)</f>
        <v>200</v>
      </c>
      <c r="BJ49" s="1">
        <f>IFERROR(VLOOKUP(AW49,'Top WS'!$A$19:$D$28,4),0)</f>
        <v>200</v>
      </c>
      <c r="BK49" s="98">
        <f>IFERROR(VLOOKUP(AX49,'Top WS'!$A$19:$D$28,4),0)</f>
        <v>200</v>
      </c>
      <c r="BL49" s="98">
        <f>IFERROR(VLOOKUP(AY49,'Top WS'!$A$19:$D$28,4),0)</f>
        <v>200</v>
      </c>
      <c r="BM49" s="98">
        <f>IFERROR(VLOOKUP(AZ49,'Top WS'!$A$19:$D$28,4),0)</f>
        <v>200</v>
      </c>
      <c r="BN49" s="98">
        <f>IFERROR(VLOOKUP(BA49,'Top WS'!$A$19:$D$28,4),0)</f>
        <v>200</v>
      </c>
      <c r="BO49" s="98">
        <f>IFERROR(VLOOKUP(BB49,'Top WS'!$A$19:$D$28,4),0)</f>
        <v>200</v>
      </c>
      <c r="BP49" s="98">
        <f>IFERROR(VLOOKUP(BC49,'Top WS'!$A$19:$D$28,4),0)</f>
        <v>200</v>
      </c>
    </row>
    <row r="50" spans="1:68" x14ac:dyDescent="0.4">
      <c r="A50">
        <v>1190044001</v>
      </c>
      <c r="B50">
        <f>VLOOKUP(A50,'Aji Plus'!$A$2:$D$58,2,0)</f>
        <v>78443</v>
      </c>
      <c r="C50" t="str">
        <f>VLOOKUP(A50,'Aji Plus'!$A$2:$D$58,3,0)</f>
        <v>นายจิตติพงศ์ สุระสา</v>
      </c>
      <c r="D50" t="str">
        <f>VLOOKUP(A50,'Aji Plus'!$A$2:$D$58,4,0)</f>
        <v>S.Nakon</v>
      </c>
      <c r="E50" s="1">
        <v>914.97512136719979</v>
      </c>
      <c r="F50" s="1">
        <v>916.34376625036612</v>
      </c>
      <c r="G50" s="1">
        <v>899.63189188749493</v>
      </c>
      <c r="H50" s="1">
        <v>891.42002258849777</v>
      </c>
      <c r="I50" s="1">
        <v>944.48022369061403</v>
      </c>
      <c r="J50" s="1">
        <v>906.83528600942202</v>
      </c>
      <c r="K50" s="1">
        <v>906.73443849171508</v>
      </c>
      <c r="L50" s="1">
        <v>924.09461832555985</v>
      </c>
      <c r="M50" s="1">
        <v>926.96156918608676</v>
      </c>
      <c r="N50" s="1">
        <v>942.0310696891587</v>
      </c>
      <c r="O50" s="1">
        <v>873.82933414275112</v>
      </c>
      <c r="P50" s="1">
        <v>904.70308134933168</v>
      </c>
      <c r="R50" s="1">
        <f>VLOOKUP(A50,Actual_RDM!$A$2:$H$63,3,0)</f>
        <v>770.19999999999993</v>
      </c>
      <c r="S50" s="1">
        <f>VLOOKUP(A50,Actual_RDM!$A$2:$H$63,4,0)</f>
        <v>467.5</v>
      </c>
      <c r="T50" s="1">
        <f>VLOOKUP(A50,Actual_RDM!$A$2:$H$63,5,0)</f>
        <v>775.29999999999984</v>
      </c>
      <c r="U50" s="1">
        <f>VLOOKUP(A50,Actual_RDM!$A$2:$H$63,6,0)</f>
        <v>453.50000000000011</v>
      </c>
      <c r="V50" s="1">
        <f>VLOOKUP(A50,Actual_RDM!$A$2:$H$63,7,0)</f>
        <v>694.2</v>
      </c>
      <c r="W50" s="1">
        <f>VLOOKUP(A50,Actual_RDM!$A$2:$H$63,8,0)</f>
        <v>520.30000000000007</v>
      </c>
      <c r="X50" s="111"/>
      <c r="Y50" s="111"/>
      <c r="Z50" s="111"/>
      <c r="AA50" s="111"/>
      <c r="AB50" s="111"/>
      <c r="AC50" s="111"/>
      <c r="AE50" s="97">
        <f t="shared" si="4"/>
        <v>0.84177152144763245</v>
      </c>
      <c r="AF50" s="97">
        <f t="shared" si="4"/>
        <v>0.51017971335472401</v>
      </c>
      <c r="AG50" s="97">
        <f t="shared" si="4"/>
        <v>0.86179692715579759</v>
      </c>
      <c r="AH50" s="97">
        <f t="shared" si="4"/>
        <v>0.5087388531874466</v>
      </c>
      <c r="AI50" s="97">
        <f t="shared" si="4"/>
        <v>0.73500744916327765</v>
      </c>
      <c r="AJ50" s="97">
        <f t="shared" si="4"/>
        <v>0.57375358902233342</v>
      </c>
      <c r="AK50" s="99">
        <f t="shared" si="4"/>
        <v>0</v>
      </c>
      <c r="AL50" s="99">
        <f t="shared" si="4"/>
        <v>0</v>
      </c>
      <c r="AM50" s="99">
        <f t="shared" si="4"/>
        <v>0</v>
      </c>
      <c r="AN50" s="99">
        <f t="shared" si="4"/>
        <v>0</v>
      </c>
      <c r="AO50" s="99">
        <f t="shared" si="4"/>
        <v>0</v>
      </c>
      <c r="AP50" s="99">
        <f t="shared" si="4"/>
        <v>0</v>
      </c>
      <c r="AQ50" s="97"/>
      <c r="AR50" s="99">
        <f t="shared" si="5"/>
        <v>0.84179999999999999</v>
      </c>
      <c r="AS50" s="99">
        <f t="shared" si="5"/>
        <v>0.51019999999999999</v>
      </c>
      <c r="AT50" s="99">
        <f t="shared" si="5"/>
        <v>0.86180000000000001</v>
      </c>
      <c r="AU50" s="99">
        <f t="shared" si="5"/>
        <v>0.50870000000000004</v>
      </c>
      <c r="AV50" s="99">
        <f t="shared" si="5"/>
        <v>0.73499999999999999</v>
      </c>
      <c r="AW50" s="99">
        <f t="shared" si="5"/>
        <v>0.57379999999999998</v>
      </c>
      <c r="AX50" s="99">
        <f t="shared" si="5"/>
        <v>0</v>
      </c>
      <c r="AY50" s="99">
        <f t="shared" si="5"/>
        <v>0</v>
      </c>
      <c r="AZ50" s="99">
        <f t="shared" si="5"/>
        <v>0</v>
      </c>
      <c r="BA50" s="99">
        <f t="shared" si="5"/>
        <v>0</v>
      </c>
      <c r="BB50" s="99">
        <f t="shared" si="5"/>
        <v>0</v>
      </c>
      <c r="BC50" s="99">
        <f t="shared" si="5"/>
        <v>0</v>
      </c>
      <c r="BD50" s="97"/>
      <c r="BE50" s="1">
        <f>IFERROR(VLOOKUP(AR50,'Top WS'!$A$19:$D$28,4),0)</f>
        <v>200</v>
      </c>
      <c r="BF50" s="1">
        <f>IFERROR(VLOOKUP(AS50,'Top WS'!$A$19:$D$28,4),0)</f>
        <v>200</v>
      </c>
      <c r="BG50" s="1">
        <f>IFERROR(VLOOKUP(AT50,'Top WS'!$A$19:$D$28,4),0)</f>
        <v>200</v>
      </c>
      <c r="BH50" s="1">
        <f>IFERROR(VLOOKUP(AU50,'Top WS'!$A$19:$D$28,4),0)</f>
        <v>200</v>
      </c>
      <c r="BI50" s="1">
        <f>IFERROR(VLOOKUP(AV50,'Top WS'!$A$19:$D$28,4),0)</f>
        <v>200</v>
      </c>
      <c r="BJ50" s="1">
        <f>IFERROR(VLOOKUP(AW50,'Top WS'!$A$19:$D$28,4),0)</f>
        <v>200</v>
      </c>
      <c r="BK50" s="98">
        <f>IFERROR(VLOOKUP(AX50,'Top WS'!$A$19:$D$28,4),0)</f>
        <v>200</v>
      </c>
      <c r="BL50" s="98">
        <f>IFERROR(VLOOKUP(AY50,'Top WS'!$A$19:$D$28,4),0)</f>
        <v>200</v>
      </c>
      <c r="BM50" s="98">
        <f>IFERROR(VLOOKUP(AZ50,'Top WS'!$A$19:$D$28,4),0)</f>
        <v>200</v>
      </c>
      <c r="BN50" s="98">
        <f>IFERROR(VLOOKUP(BA50,'Top WS'!$A$19:$D$28,4),0)</f>
        <v>200</v>
      </c>
      <c r="BO50" s="98">
        <f>IFERROR(VLOOKUP(BB50,'Top WS'!$A$19:$D$28,4),0)</f>
        <v>200</v>
      </c>
      <c r="BP50" s="98">
        <f>IFERROR(VLOOKUP(BC50,'Top WS'!$A$19:$D$28,4),0)</f>
        <v>200</v>
      </c>
    </row>
    <row r="51" spans="1:68" x14ac:dyDescent="0.4">
      <c r="A51">
        <v>1190044002</v>
      </c>
      <c r="B51">
        <f>VLOOKUP(A51,'Aji Plus'!$A$2:$D$58,2,0)</f>
        <v>62434</v>
      </c>
      <c r="C51" t="str">
        <f>VLOOKUP(A51,'Aji Plus'!$A$2:$D$58,3,0)</f>
        <v>นายธนาวัฒน์ กงลีมา</v>
      </c>
      <c r="D51" t="str">
        <f>VLOOKUP(A51,'Aji Plus'!$A$2:$D$58,4,0)</f>
        <v>S.Nakon</v>
      </c>
      <c r="E51" s="1">
        <v>258.81532851441074</v>
      </c>
      <c r="F51" s="1">
        <v>259.20247158178398</v>
      </c>
      <c r="G51" s="1">
        <v>254.47525096964864</v>
      </c>
      <c r="H51" s="1">
        <v>252.15239256540966</v>
      </c>
      <c r="I51" s="1">
        <v>267.16131800893947</v>
      </c>
      <c r="J51" s="1">
        <v>256.51284606108624</v>
      </c>
      <c r="K51" s="1">
        <v>256.48431972980609</v>
      </c>
      <c r="L51" s="1">
        <v>261.39492390017091</v>
      </c>
      <c r="M51" s="1">
        <v>262.20588674656307</v>
      </c>
      <c r="N51" s="1">
        <v>266.46853567785064</v>
      </c>
      <c r="O51" s="1">
        <v>247.17658535211885</v>
      </c>
      <c r="P51" s="1">
        <v>255.90971791402069</v>
      </c>
      <c r="R51" s="1">
        <f>VLOOKUP(A51,Actual_RDM!$A$2:$H$63,3,0)</f>
        <v>60.8</v>
      </c>
      <c r="S51" s="1">
        <f>VLOOKUP(A51,Actual_RDM!$A$2:$H$63,4,0)</f>
        <v>164.20000000000002</v>
      </c>
      <c r="T51" s="1">
        <f>VLOOKUP(A51,Actual_RDM!$A$2:$H$63,5,0)</f>
        <v>179.3</v>
      </c>
      <c r="U51" s="1">
        <f>VLOOKUP(A51,Actual_RDM!$A$2:$H$63,6,0)</f>
        <v>135.4</v>
      </c>
      <c r="V51" s="1">
        <f>VLOOKUP(A51,Actual_RDM!$A$2:$H$63,7,0)</f>
        <v>108.8</v>
      </c>
      <c r="W51" s="1">
        <f>VLOOKUP(A51,Actual_RDM!$A$2:$H$63,8,0)</f>
        <v>310.5</v>
      </c>
      <c r="X51" s="111"/>
      <c r="Y51" s="111"/>
      <c r="Z51" s="111"/>
      <c r="AA51" s="111"/>
      <c r="AB51" s="111"/>
      <c r="AC51" s="111"/>
      <c r="AE51" s="97">
        <f t="shared" si="4"/>
        <v>0.23491653430648593</v>
      </c>
      <c r="AF51" s="97">
        <f t="shared" si="4"/>
        <v>0.6334816138054894</v>
      </c>
      <c r="AG51" s="97">
        <f t="shared" si="4"/>
        <v>0.70458718212006077</v>
      </c>
      <c r="AH51" s="97">
        <f t="shared" si="4"/>
        <v>0.536976859994999</v>
      </c>
      <c r="AI51" s="97">
        <f t="shared" si="4"/>
        <v>0.40724458469829622</v>
      </c>
      <c r="AJ51" s="97">
        <f t="shared" si="4"/>
        <v>1.2104656931140876</v>
      </c>
      <c r="AK51" s="99">
        <f t="shared" si="4"/>
        <v>0</v>
      </c>
      <c r="AL51" s="99">
        <f t="shared" si="4"/>
        <v>0</v>
      </c>
      <c r="AM51" s="99">
        <f t="shared" si="4"/>
        <v>0</v>
      </c>
      <c r="AN51" s="99">
        <f t="shared" si="4"/>
        <v>0</v>
      </c>
      <c r="AO51" s="99">
        <f t="shared" si="4"/>
        <v>0</v>
      </c>
      <c r="AP51" s="99">
        <f t="shared" si="4"/>
        <v>0</v>
      </c>
      <c r="AQ51" s="97"/>
      <c r="AR51" s="99">
        <f t="shared" si="5"/>
        <v>0.2349</v>
      </c>
      <c r="AS51" s="99">
        <f t="shared" si="5"/>
        <v>0.63349999999999995</v>
      </c>
      <c r="AT51" s="99">
        <f t="shared" si="5"/>
        <v>0.7046</v>
      </c>
      <c r="AU51" s="99">
        <f t="shared" si="5"/>
        <v>0.53700000000000003</v>
      </c>
      <c r="AV51" s="99">
        <f t="shared" si="5"/>
        <v>0.40720000000000001</v>
      </c>
      <c r="AW51" s="99">
        <f t="shared" si="5"/>
        <v>1.2104999999999999</v>
      </c>
      <c r="AX51" s="99">
        <f t="shared" si="5"/>
        <v>0</v>
      </c>
      <c r="AY51" s="99">
        <f t="shared" si="5"/>
        <v>0</v>
      </c>
      <c r="AZ51" s="99">
        <f t="shared" si="5"/>
        <v>0</v>
      </c>
      <c r="BA51" s="99">
        <f t="shared" si="5"/>
        <v>0</v>
      </c>
      <c r="BB51" s="99">
        <f t="shared" si="5"/>
        <v>0</v>
      </c>
      <c r="BC51" s="99">
        <f t="shared" si="5"/>
        <v>0</v>
      </c>
      <c r="BD51" s="97"/>
      <c r="BE51" s="1">
        <f>IFERROR(VLOOKUP(AR51,'Top WS'!$A$19:$D$28,4),0)</f>
        <v>200</v>
      </c>
      <c r="BF51" s="1">
        <f>IFERROR(VLOOKUP(AS51,'Top WS'!$A$19:$D$28,4),0)</f>
        <v>200</v>
      </c>
      <c r="BG51" s="1">
        <f>IFERROR(VLOOKUP(AT51,'Top WS'!$A$19:$D$28,4),0)</f>
        <v>200</v>
      </c>
      <c r="BH51" s="1">
        <f>IFERROR(VLOOKUP(AU51,'Top WS'!$A$19:$D$28,4),0)</f>
        <v>200</v>
      </c>
      <c r="BI51" s="1">
        <f>IFERROR(VLOOKUP(AV51,'Top WS'!$A$19:$D$28,4),0)</f>
        <v>200</v>
      </c>
      <c r="BJ51" s="1">
        <f>IFERROR(VLOOKUP(AW51,'Top WS'!$A$19:$D$28,4),0)</f>
        <v>260</v>
      </c>
      <c r="BK51" s="98">
        <f>IFERROR(VLOOKUP(AX51,'Top WS'!$A$19:$D$28,4),0)</f>
        <v>200</v>
      </c>
      <c r="BL51" s="98">
        <f>IFERROR(VLOOKUP(AY51,'Top WS'!$A$19:$D$28,4),0)</f>
        <v>200</v>
      </c>
      <c r="BM51" s="98">
        <f>IFERROR(VLOOKUP(AZ51,'Top WS'!$A$19:$D$28,4),0)</f>
        <v>200</v>
      </c>
      <c r="BN51" s="98">
        <f>IFERROR(VLOOKUP(BA51,'Top WS'!$A$19:$D$28,4),0)</f>
        <v>200</v>
      </c>
      <c r="BO51" s="98">
        <f>IFERROR(VLOOKUP(BB51,'Top WS'!$A$19:$D$28,4),0)</f>
        <v>200</v>
      </c>
      <c r="BP51" s="98">
        <f>IFERROR(VLOOKUP(BC51,'Top WS'!$A$19:$D$28,4),0)</f>
        <v>200</v>
      </c>
    </row>
    <row r="52" spans="1:68" x14ac:dyDescent="0.4">
      <c r="A52">
        <v>1190044101</v>
      </c>
      <c r="B52">
        <f>VLOOKUP(A52,'Aji Plus'!$A$2:$D$58,2,0)</f>
        <v>61187</v>
      </c>
      <c r="C52" t="str">
        <f>VLOOKUP(A52,'Aji Plus'!$A$2:$D$58,3,0)</f>
        <v>นายสามารถ กิจกรองกาญ</v>
      </c>
      <c r="D52" t="str">
        <f>VLOOKUP(A52,'Aji Plus'!$A$2:$D$58,4,0)</f>
        <v>Chumphae</v>
      </c>
      <c r="E52" s="1">
        <v>1715</v>
      </c>
      <c r="F52" s="1">
        <v>1718.5565640620894</v>
      </c>
      <c r="G52" s="1">
        <v>1687.2142857142862</v>
      </c>
      <c r="H52" s="1">
        <v>1671.8133385951069</v>
      </c>
      <c r="I52" s="1">
        <v>1771.3250723493823</v>
      </c>
      <c r="J52" s="1">
        <v>1700.7238884504079</v>
      </c>
      <c r="K52" s="1">
        <v>1700.5347540121022</v>
      </c>
      <c r="L52" s="1">
        <v>1733.0928966061567</v>
      </c>
      <c r="M52" s="1">
        <v>1738.4697184951331</v>
      </c>
      <c r="N52" s="1">
        <v>1766.7318074191005</v>
      </c>
      <c r="O52" s="1">
        <v>1638.8228887134962</v>
      </c>
      <c r="P52" s="1">
        <v>1696.725046040516</v>
      </c>
      <c r="R52" s="1">
        <f>VLOOKUP(A52,Actual_RDM!$A$2:$H$63,3,0)</f>
        <v>1513.2999999999997</v>
      </c>
      <c r="S52" s="1">
        <f>VLOOKUP(A52,Actual_RDM!$A$2:$H$63,4,0)</f>
        <v>1017.8999999999999</v>
      </c>
      <c r="T52" s="1">
        <f>VLOOKUP(A52,Actual_RDM!$A$2:$H$63,5,0)</f>
        <v>628.4</v>
      </c>
      <c r="U52" s="1">
        <f>VLOOKUP(A52,Actual_RDM!$A$2:$H$63,6,0)</f>
        <v>1314.1999999999998</v>
      </c>
      <c r="V52" s="1">
        <f>VLOOKUP(A52,Actual_RDM!$A$2:$H$63,7,0)</f>
        <v>1027.6999999999998</v>
      </c>
      <c r="W52" s="1">
        <f>VLOOKUP(A52,Actual_RDM!$A$2:$H$63,8,0)</f>
        <v>1178.8</v>
      </c>
      <c r="X52" s="111"/>
      <c r="Y52" s="111"/>
      <c r="Z52" s="111"/>
      <c r="AA52" s="111"/>
      <c r="AB52" s="111"/>
      <c r="AC52" s="111"/>
      <c r="AE52" s="97">
        <f t="shared" si="4"/>
        <v>0.88239067055393572</v>
      </c>
      <c r="AF52" s="97">
        <f t="shared" si="4"/>
        <v>0.59229938733818965</v>
      </c>
      <c r="AG52" s="97">
        <f t="shared" si="4"/>
        <v>0.37244824520553732</v>
      </c>
      <c r="AH52" s="97">
        <f t="shared" si="4"/>
        <v>0.78609254374317639</v>
      </c>
      <c r="AI52" s="97">
        <f t="shared" si="4"/>
        <v>0.58018712434128117</v>
      </c>
      <c r="AJ52" s="97">
        <f t="shared" si="4"/>
        <v>0.69311662404768593</v>
      </c>
      <c r="AK52" s="99">
        <f t="shared" si="4"/>
        <v>0</v>
      </c>
      <c r="AL52" s="99">
        <f t="shared" si="4"/>
        <v>0</v>
      </c>
      <c r="AM52" s="99">
        <f t="shared" si="4"/>
        <v>0</v>
      </c>
      <c r="AN52" s="99">
        <f t="shared" si="4"/>
        <v>0</v>
      </c>
      <c r="AO52" s="99">
        <f t="shared" si="4"/>
        <v>0</v>
      </c>
      <c r="AP52" s="99">
        <f t="shared" si="4"/>
        <v>0</v>
      </c>
      <c r="AQ52" s="97"/>
      <c r="AR52" s="99">
        <f t="shared" si="5"/>
        <v>0.88239999999999996</v>
      </c>
      <c r="AS52" s="99">
        <f t="shared" si="5"/>
        <v>0.59230000000000005</v>
      </c>
      <c r="AT52" s="99">
        <f t="shared" si="5"/>
        <v>0.37240000000000001</v>
      </c>
      <c r="AU52" s="99">
        <f t="shared" si="5"/>
        <v>0.78610000000000002</v>
      </c>
      <c r="AV52" s="99">
        <f t="shared" si="5"/>
        <v>0.58020000000000005</v>
      </c>
      <c r="AW52" s="99">
        <f t="shared" si="5"/>
        <v>0.69310000000000005</v>
      </c>
      <c r="AX52" s="99">
        <f t="shared" si="5"/>
        <v>0</v>
      </c>
      <c r="AY52" s="99">
        <f t="shared" si="5"/>
        <v>0</v>
      </c>
      <c r="AZ52" s="99">
        <f t="shared" si="5"/>
        <v>0</v>
      </c>
      <c r="BA52" s="99">
        <f t="shared" si="5"/>
        <v>0</v>
      </c>
      <c r="BB52" s="99">
        <f t="shared" si="5"/>
        <v>0</v>
      </c>
      <c r="BC52" s="99">
        <f t="shared" si="5"/>
        <v>0</v>
      </c>
      <c r="BD52" s="97"/>
      <c r="BE52" s="1">
        <f>IFERROR(VLOOKUP(AR52,'Top WS'!$A$19:$D$28,4),0)</f>
        <v>200</v>
      </c>
      <c r="BF52" s="1">
        <f>IFERROR(VLOOKUP(AS52,'Top WS'!$A$19:$D$28,4),0)</f>
        <v>200</v>
      </c>
      <c r="BG52" s="1">
        <f>IFERROR(VLOOKUP(AT52,'Top WS'!$A$19:$D$28,4),0)</f>
        <v>200</v>
      </c>
      <c r="BH52" s="1">
        <f>IFERROR(VLOOKUP(AU52,'Top WS'!$A$19:$D$28,4),0)</f>
        <v>200</v>
      </c>
      <c r="BI52" s="1">
        <f>IFERROR(VLOOKUP(AV52,'Top WS'!$A$19:$D$28,4),0)</f>
        <v>200</v>
      </c>
      <c r="BJ52" s="1">
        <f>IFERROR(VLOOKUP(AW52,'Top WS'!$A$19:$D$28,4),0)</f>
        <v>200</v>
      </c>
      <c r="BK52" s="98">
        <f>IFERROR(VLOOKUP(AX52,'Top WS'!$A$19:$D$28,4),0)</f>
        <v>200</v>
      </c>
      <c r="BL52" s="98">
        <f>IFERROR(VLOOKUP(AY52,'Top WS'!$A$19:$D$28,4),0)</f>
        <v>200</v>
      </c>
      <c r="BM52" s="98">
        <f>IFERROR(VLOOKUP(AZ52,'Top WS'!$A$19:$D$28,4),0)</f>
        <v>200</v>
      </c>
      <c r="BN52" s="98">
        <f>IFERROR(VLOOKUP(BA52,'Top WS'!$A$19:$D$28,4),0)</f>
        <v>200</v>
      </c>
      <c r="BO52" s="98">
        <f>IFERROR(VLOOKUP(BB52,'Top WS'!$A$19:$D$28,4),0)</f>
        <v>200</v>
      </c>
      <c r="BP52" s="98">
        <f>IFERROR(VLOOKUP(BC52,'Top WS'!$A$19:$D$28,4),0)</f>
        <v>200</v>
      </c>
    </row>
    <row r="53" spans="1:68" x14ac:dyDescent="0.4">
      <c r="A53">
        <v>1190054201</v>
      </c>
      <c r="B53">
        <f>VLOOKUP(A53,'Aji Plus'!$A$2:$D$58,2,0)</f>
        <v>75411</v>
      </c>
      <c r="C53" t="str">
        <f>VLOOKUP(A53,'Aji Plus'!$A$2:$D$58,3,0)</f>
        <v>นายจักรภัทร เซ่งสวัสดิ์</v>
      </c>
      <c r="D53" t="str">
        <f>VLOOKUP(A53,'Aji Plus'!$A$2:$D$58,4,0)</f>
        <v>Hat-yai</v>
      </c>
      <c r="E53" s="1">
        <v>2272.464272567131</v>
      </c>
      <c r="F53" s="1">
        <v>2305.3850975726941</v>
      </c>
      <c r="G53" s="1">
        <v>2270.4936598027148</v>
      </c>
      <c r="H53" s="1">
        <v>2374.5594015236466</v>
      </c>
      <c r="I53" s="1">
        <v>2060.9131963870141</v>
      </c>
      <c r="J53" s="1">
        <v>2487.0292270928303</v>
      </c>
      <c r="K53" s="1">
        <v>2845.1011582272845</v>
      </c>
      <c r="L53" s="1">
        <v>2145.4756676601078</v>
      </c>
      <c r="M53" s="1">
        <v>2099.9197372826902</v>
      </c>
      <c r="N53" s="1">
        <v>2975.4513966736081</v>
      </c>
      <c r="O53" s="1">
        <v>2003.4466506246627</v>
      </c>
      <c r="P53" s="1">
        <v>2027.7605345856368</v>
      </c>
      <c r="R53" s="1">
        <f>VLOOKUP(A53,Actual_RDM!$A$2:$H$63,3,0)</f>
        <v>1968.6000000000004</v>
      </c>
      <c r="S53" s="1">
        <f>VLOOKUP(A53,Actual_RDM!$A$2:$H$63,4,0)</f>
        <v>1610.1999999999998</v>
      </c>
      <c r="T53" s="1">
        <f>VLOOKUP(A53,Actual_RDM!$A$2:$H$63,5,0)</f>
        <v>1963.3000000000002</v>
      </c>
      <c r="U53" s="1">
        <f>VLOOKUP(A53,Actual_RDM!$A$2:$H$63,6,0)</f>
        <v>1128.2</v>
      </c>
      <c r="V53" s="1">
        <f>VLOOKUP(A53,Actual_RDM!$A$2:$H$63,7,0)</f>
        <v>1697.8000000000004</v>
      </c>
      <c r="W53" s="1">
        <f>VLOOKUP(A53,Actual_RDM!$A$2:$H$63,8,0)</f>
        <v>1868.0000000000002</v>
      </c>
      <c r="X53" s="111"/>
      <c r="Y53" s="111"/>
      <c r="Z53" s="111"/>
      <c r="AA53" s="111"/>
      <c r="AB53" s="111"/>
      <c r="AC53" s="111"/>
      <c r="AE53" s="97">
        <f t="shared" si="4"/>
        <v>0.86628424647404256</v>
      </c>
      <c r="AF53" s="97">
        <f t="shared" si="4"/>
        <v>0.69845163903217544</v>
      </c>
      <c r="AG53" s="97">
        <f t="shared" si="4"/>
        <v>0.86470182003088836</v>
      </c>
      <c r="AH53" s="97">
        <f t="shared" si="4"/>
        <v>0.47511972085267085</v>
      </c>
      <c r="AI53" s="97">
        <f t="shared" si="4"/>
        <v>0.82380956314725573</v>
      </c>
      <c r="AJ53" s="97">
        <f t="shared" si="4"/>
        <v>0.7510969230480522</v>
      </c>
      <c r="AK53" s="99">
        <f t="shared" si="4"/>
        <v>0</v>
      </c>
      <c r="AL53" s="99">
        <f t="shared" si="4"/>
        <v>0</v>
      </c>
      <c r="AM53" s="99">
        <f t="shared" si="4"/>
        <v>0</v>
      </c>
      <c r="AN53" s="99">
        <f t="shared" si="4"/>
        <v>0</v>
      </c>
      <c r="AO53" s="99">
        <f t="shared" si="4"/>
        <v>0</v>
      </c>
      <c r="AP53" s="99">
        <f t="shared" si="4"/>
        <v>0</v>
      </c>
      <c r="AQ53" s="97"/>
      <c r="AR53" s="99">
        <f t="shared" si="5"/>
        <v>0.86629999999999996</v>
      </c>
      <c r="AS53" s="99">
        <f t="shared" si="5"/>
        <v>0.69850000000000001</v>
      </c>
      <c r="AT53" s="99">
        <f t="shared" si="5"/>
        <v>0.86470000000000002</v>
      </c>
      <c r="AU53" s="99">
        <f t="shared" si="5"/>
        <v>0.47510000000000002</v>
      </c>
      <c r="AV53" s="99">
        <f t="shared" si="5"/>
        <v>0.82379999999999998</v>
      </c>
      <c r="AW53" s="99">
        <f t="shared" si="5"/>
        <v>0.75109999999999999</v>
      </c>
      <c r="AX53" s="99">
        <f t="shared" si="5"/>
        <v>0</v>
      </c>
      <c r="AY53" s="99">
        <f t="shared" si="5"/>
        <v>0</v>
      </c>
      <c r="AZ53" s="99">
        <f t="shared" si="5"/>
        <v>0</v>
      </c>
      <c r="BA53" s="99">
        <f t="shared" si="5"/>
        <v>0</v>
      </c>
      <c r="BB53" s="99">
        <f t="shared" si="5"/>
        <v>0</v>
      </c>
      <c r="BC53" s="99">
        <f t="shared" si="5"/>
        <v>0</v>
      </c>
      <c r="BD53" s="97"/>
      <c r="BE53" s="1">
        <f>IFERROR(VLOOKUP(AR53,'Top WS'!$A$19:$D$28,4),0)</f>
        <v>200</v>
      </c>
      <c r="BF53" s="1">
        <f>IFERROR(VLOOKUP(AS53,'Top WS'!$A$19:$D$28,4),0)</f>
        <v>200</v>
      </c>
      <c r="BG53" s="1">
        <f>IFERROR(VLOOKUP(AT53,'Top WS'!$A$19:$D$28,4),0)</f>
        <v>200</v>
      </c>
      <c r="BH53" s="1">
        <f>IFERROR(VLOOKUP(AU53,'Top WS'!$A$19:$D$28,4),0)</f>
        <v>200</v>
      </c>
      <c r="BI53" s="1">
        <f>IFERROR(VLOOKUP(AV53,'Top WS'!$A$19:$D$28,4),0)</f>
        <v>200</v>
      </c>
      <c r="BJ53" s="1">
        <f>IFERROR(VLOOKUP(AW53,'Top WS'!$A$19:$D$28,4),0)</f>
        <v>200</v>
      </c>
      <c r="BK53" s="98">
        <f>IFERROR(VLOOKUP(AX53,'Top WS'!$A$19:$D$28,4),0)</f>
        <v>200</v>
      </c>
      <c r="BL53" s="98">
        <f>IFERROR(VLOOKUP(AY53,'Top WS'!$A$19:$D$28,4),0)</f>
        <v>200</v>
      </c>
      <c r="BM53" s="98">
        <f>IFERROR(VLOOKUP(AZ53,'Top WS'!$A$19:$D$28,4),0)</f>
        <v>200</v>
      </c>
      <c r="BN53" s="98">
        <f>IFERROR(VLOOKUP(BA53,'Top WS'!$A$19:$D$28,4),0)</f>
        <v>200</v>
      </c>
      <c r="BO53" s="98">
        <f>IFERROR(VLOOKUP(BB53,'Top WS'!$A$19:$D$28,4),0)</f>
        <v>200</v>
      </c>
      <c r="BP53" s="98">
        <f>IFERROR(VLOOKUP(BC53,'Top WS'!$A$19:$D$28,4),0)</f>
        <v>200</v>
      </c>
    </row>
    <row r="54" spans="1:68" x14ac:dyDescent="0.4">
      <c r="A54">
        <v>1190054202</v>
      </c>
      <c r="B54">
        <f>VLOOKUP(A54,'Aji Plus'!$A$2:$D$58,2,0)</f>
        <v>65181</v>
      </c>
      <c r="C54" t="str">
        <f>VLOOKUP(A54,'Aji Plus'!$A$2:$D$58,3,0)</f>
        <v>นายอวิรุทธ์ บัวหลวง</v>
      </c>
      <c r="D54" t="str">
        <f>VLOOKUP(A54,'Aji Plus'!$A$2:$D$58,4,0)</f>
        <v>Hat-yai</v>
      </c>
      <c r="E54" s="1">
        <v>994.99817187685278</v>
      </c>
      <c r="F54" s="1">
        <v>1009.41255061655</v>
      </c>
      <c r="G54" s="1">
        <v>994.13533934666009</v>
      </c>
      <c r="H54" s="1">
        <v>1039.7005101690661</v>
      </c>
      <c r="I54" s="1">
        <v>902.37056201788232</v>
      </c>
      <c r="J54" s="1">
        <v>1088.9454079584727</v>
      </c>
      <c r="K54" s="1">
        <v>1245.727154180039</v>
      </c>
      <c r="L54" s="1">
        <v>939.39622853411208</v>
      </c>
      <c r="M54" s="1">
        <v>919.44957063023503</v>
      </c>
      <c r="N54" s="1">
        <v>1302.8009883095797</v>
      </c>
      <c r="O54" s="1">
        <v>877.20884279180893</v>
      </c>
      <c r="P54" s="1">
        <v>887.85467356875063</v>
      </c>
      <c r="R54" s="1">
        <f>VLOOKUP(A54,Actual_RDM!$A$2:$H$63,3,0)</f>
        <v>934.7</v>
      </c>
      <c r="S54" s="1">
        <f>VLOOKUP(A54,Actual_RDM!$A$2:$H$63,4,0)</f>
        <v>1157.6999999999998</v>
      </c>
      <c r="T54" s="1">
        <f>VLOOKUP(A54,Actual_RDM!$A$2:$H$63,5,0)</f>
        <v>526.90000000000009</v>
      </c>
      <c r="U54" s="1">
        <f>VLOOKUP(A54,Actual_RDM!$A$2:$H$63,6,0)</f>
        <v>953</v>
      </c>
      <c r="V54" s="1">
        <f>VLOOKUP(A54,Actual_RDM!$A$2:$H$63,7,0)</f>
        <v>1047.3999999999999</v>
      </c>
      <c r="W54" s="1">
        <f>VLOOKUP(A54,Actual_RDM!$A$2:$H$63,8,0)</f>
        <v>652.20000000000005</v>
      </c>
      <c r="X54" s="111"/>
      <c r="Y54" s="111"/>
      <c r="Z54" s="111"/>
      <c r="AA54" s="111"/>
      <c r="AB54" s="111"/>
      <c r="AC54" s="111"/>
      <c r="AE54" s="97">
        <f t="shared" si="4"/>
        <v>0.93939871089098281</v>
      </c>
      <c r="AF54" s="97">
        <f t="shared" si="4"/>
        <v>1.1469047014452869</v>
      </c>
      <c r="AG54" s="97">
        <f t="shared" si="4"/>
        <v>0.53000831893399514</v>
      </c>
      <c r="AH54" s="97">
        <f t="shared" si="4"/>
        <v>0.91661011096842904</v>
      </c>
      <c r="AI54" s="97">
        <f t="shared" si="4"/>
        <v>1.1607204889949008</v>
      </c>
      <c r="AJ54" s="97">
        <f t="shared" si="4"/>
        <v>0.59892809615013487</v>
      </c>
      <c r="AK54" s="99">
        <f t="shared" si="4"/>
        <v>0</v>
      </c>
      <c r="AL54" s="99">
        <f t="shared" si="4"/>
        <v>0</v>
      </c>
      <c r="AM54" s="99">
        <f t="shared" si="4"/>
        <v>0</v>
      </c>
      <c r="AN54" s="99">
        <f t="shared" si="4"/>
        <v>0</v>
      </c>
      <c r="AO54" s="99">
        <f t="shared" si="4"/>
        <v>0</v>
      </c>
      <c r="AP54" s="99">
        <f t="shared" si="4"/>
        <v>0</v>
      </c>
      <c r="AQ54" s="97"/>
      <c r="AR54" s="99">
        <f t="shared" si="5"/>
        <v>0.93940000000000001</v>
      </c>
      <c r="AS54" s="99">
        <f t="shared" si="5"/>
        <v>1.1469</v>
      </c>
      <c r="AT54" s="99">
        <f t="shared" si="5"/>
        <v>0.53</v>
      </c>
      <c r="AU54" s="99">
        <f t="shared" si="5"/>
        <v>0.91659999999999997</v>
      </c>
      <c r="AV54" s="99">
        <f t="shared" si="5"/>
        <v>1.1607000000000001</v>
      </c>
      <c r="AW54" s="99">
        <f t="shared" si="5"/>
        <v>0.59889999999999999</v>
      </c>
      <c r="AX54" s="99">
        <f t="shared" si="5"/>
        <v>0</v>
      </c>
      <c r="AY54" s="99">
        <f t="shared" si="5"/>
        <v>0</v>
      </c>
      <c r="AZ54" s="99">
        <f t="shared" si="5"/>
        <v>0</v>
      </c>
      <c r="BA54" s="99">
        <f t="shared" si="5"/>
        <v>0</v>
      </c>
      <c r="BB54" s="99">
        <f t="shared" si="5"/>
        <v>0</v>
      </c>
      <c r="BC54" s="99">
        <f t="shared" si="5"/>
        <v>0</v>
      </c>
      <c r="BD54" s="97"/>
      <c r="BE54" s="1">
        <f>IFERROR(VLOOKUP(AR54,'Top WS'!$A$19:$D$28,4),0)</f>
        <v>200</v>
      </c>
      <c r="BF54" s="1">
        <f>IFERROR(VLOOKUP(AS54,'Top WS'!$A$19:$D$28,4),0)</f>
        <v>230</v>
      </c>
      <c r="BG54" s="1">
        <f>IFERROR(VLOOKUP(AT54,'Top WS'!$A$19:$D$28,4),0)</f>
        <v>200</v>
      </c>
      <c r="BH54" s="1">
        <f>IFERROR(VLOOKUP(AU54,'Top WS'!$A$19:$D$28,4),0)</f>
        <v>200</v>
      </c>
      <c r="BI54" s="1">
        <f>IFERROR(VLOOKUP(AV54,'Top WS'!$A$19:$D$28,4),0)</f>
        <v>240</v>
      </c>
      <c r="BJ54" s="1">
        <f>IFERROR(VLOOKUP(AW54,'Top WS'!$A$19:$D$28,4),0)</f>
        <v>200</v>
      </c>
      <c r="BK54" s="98">
        <f>IFERROR(VLOOKUP(AX54,'Top WS'!$A$19:$D$28,4),0)</f>
        <v>200</v>
      </c>
      <c r="BL54" s="98">
        <f>IFERROR(VLOOKUP(AY54,'Top WS'!$A$19:$D$28,4),0)</f>
        <v>200</v>
      </c>
      <c r="BM54" s="98">
        <f>IFERROR(VLOOKUP(AZ54,'Top WS'!$A$19:$D$28,4),0)</f>
        <v>200</v>
      </c>
      <c r="BN54" s="98">
        <f>IFERROR(VLOOKUP(BA54,'Top WS'!$A$19:$D$28,4),0)</f>
        <v>200</v>
      </c>
      <c r="BO54" s="98">
        <f>IFERROR(VLOOKUP(BB54,'Top WS'!$A$19:$D$28,4),0)</f>
        <v>200</v>
      </c>
      <c r="BP54" s="98">
        <f>IFERROR(VLOOKUP(BC54,'Top WS'!$A$19:$D$28,4),0)</f>
        <v>200</v>
      </c>
    </row>
    <row r="55" spans="1:68" x14ac:dyDescent="0.4">
      <c r="A55">
        <v>1190054301</v>
      </c>
      <c r="B55">
        <f>VLOOKUP(A55,'Aji Plus'!$A$2:$D$58,2,0)</f>
        <v>61802</v>
      </c>
      <c r="C55" t="str">
        <f>VLOOKUP(A55,'Aji Plus'!$A$2:$D$58,3,0)</f>
        <v>นายภาคภูมิ รักท้วม</v>
      </c>
      <c r="D55" t="str">
        <f>VLOOKUP(A55,'Aji Plus'!$A$2:$D$58,4,0)</f>
        <v>Suratthani</v>
      </c>
      <c r="E55" s="1">
        <v>1000</v>
      </c>
      <c r="F55" s="1">
        <v>1100</v>
      </c>
      <c r="G55" s="1">
        <v>1200</v>
      </c>
      <c r="H55" s="1">
        <v>1200</v>
      </c>
      <c r="I55" s="1">
        <v>1100</v>
      </c>
      <c r="J55" s="1">
        <v>1300</v>
      </c>
      <c r="K55" s="1">
        <v>1100</v>
      </c>
      <c r="L55" s="1">
        <v>1200</v>
      </c>
      <c r="M55" s="1">
        <v>1200</v>
      </c>
      <c r="N55" s="1">
        <v>1200</v>
      </c>
      <c r="O55" s="1">
        <v>1000</v>
      </c>
      <c r="P55" s="1">
        <v>850</v>
      </c>
      <c r="R55" s="1">
        <f>VLOOKUP(A55,Actual_RDM!$A$2:$H$63,3,0)</f>
        <v>1119.1999999999998</v>
      </c>
      <c r="S55" s="1">
        <f>VLOOKUP(A55,Actual_RDM!$A$2:$H$63,4,0)</f>
        <v>744.3</v>
      </c>
      <c r="T55" s="1">
        <f>VLOOKUP(A55,Actual_RDM!$A$2:$H$63,5,0)</f>
        <v>811.19999999999993</v>
      </c>
      <c r="U55" s="1">
        <f>VLOOKUP(A55,Actual_RDM!$A$2:$H$63,6,0)</f>
        <v>898.09999999999991</v>
      </c>
      <c r="V55" s="1">
        <f>VLOOKUP(A55,Actual_RDM!$A$2:$H$63,7,0)</f>
        <v>768.69999999999993</v>
      </c>
      <c r="W55" s="1">
        <f>VLOOKUP(A55,Actual_RDM!$A$2:$H$63,8,0)</f>
        <v>981.8</v>
      </c>
      <c r="X55" s="111"/>
      <c r="Y55" s="111"/>
      <c r="Z55" s="111"/>
      <c r="AA55" s="111"/>
      <c r="AB55" s="111"/>
      <c r="AC55" s="111"/>
      <c r="AE55" s="97">
        <f t="shared" si="4"/>
        <v>1.1191999999999998</v>
      </c>
      <c r="AF55" s="97">
        <f t="shared" si="4"/>
        <v>0.67663636363636359</v>
      </c>
      <c r="AG55" s="97">
        <f t="shared" si="4"/>
        <v>0.67599999999999993</v>
      </c>
      <c r="AH55" s="97">
        <f t="shared" si="4"/>
        <v>0.74841666666666662</v>
      </c>
      <c r="AI55" s="97">
        <f t="shared" si="4"/>
        <v>0.69881818181818178</v>
      </c>
      <c r="AJ55" s="97">
        <f t="shared" si="4"/>
        <v>0.75523076923076915</v>
      </c>
      <c r="AK55" s="99">
        <f t="shared" si="4"/>
        <v>0</v>
      </c>
      <c r="AL55" s="99">
        <f t="shared" si="4"/>
        <v>0</v>
      </c>
      <c r="AM55" s="99">
        <f t="shared" si="4"/>
        <v>0</v>
      </c>
      <c r="AN55" s="99">
        <f t="shared" si="4"/>
        <v>0</v>
      </c>
      <c r="AO55" s="99">
        <f t="shared" si="4"/>
        <v>0</v>
      </c>
      <c r="AP55" s="99">
        <f t="shared" si="4"/>
        <v>0</v>
      </c>
      <c r="AQ55" s="97"/>
      <c r="AR55" s="99">
        <f t="shared" si="5"/>
        <v>1.1192</v>
      </c>
      <c r="AS55" s="99">
        <f t="shared" si="5"/>
        <v>0.67659999999999998</v>
      </c>
      <c r="AT55" s="99">
        <f t="shared" si="5"/>
        <v>0.67600000000000005</v>
      </c>
      <c r="AU55" s="99">
        <f t="shared" si="5"/>
        <v>0.74839999999999995</v>
      </c>
      <c r="AV55" s="99">
        <f t="shared" si="5"/>
        <v>0.69879999999999998</v>
      </c>
      <c r="AW55" s="99">
        <f t="shared" si="5"/>
        <v>0.75519999999999998</v>
      </c>
      <c r="AX55" s="99">
        <f t="shared" si="5"/>
        <v>0</v>
      </c>
      <c r="AY55" s="99">
        <f t="shared" si="5"/>
        <v>0</v>
      </c>
      <c r="AZ55" s="99">
        <f t="shared" si="5"/>
        <v>0</v>
      </c>
      <c r="BA55" s="99">
        <f t="shared" si="5"/>
        <v>0</v>
      </c>
      <c r="BB55" s="99">
        <f t="shared" si="5"/>
        <v>0</v>
      </c>
      <c r="BC55" s="99">
        <f t="shared" si="5"/>
        <v>0</v>
      </c>
      <c r="BD55" s="97"/>
      <c r="BE55" s="1">
        <f>IFERROR(VLOOKUP(AR55,'Top WS'!$A$19:$D$28,4),0)</f>
        <v>230</v>
      </c>
      <c r="BF55" s="1">
        <f>IFERROR(VLOOKUP(AS55,'Top WS'!$A$19:$D$28,4),0)</f>
        <v>200</v>
      </c>
      <c r="BG55" s="1">
        <f>IFERROR(VLOOKUP(AT55,'Top WS'!$A$19:$D$28,4),0)</f>
        <v>200</v>
      </c>
      <c r="BH55" s="1">
        <f>IFERROR(VLOOKUP(AU55,'Top WS'!$A$19:$D$28,4),0)</f>
        <v>200</v>
      </c>
      <c r="BI55" s="1">
        <f>IFERROR(VLOOKUP(AV55,'Top WS'!$A$19:$D$28,4),0)</f>
        <v>200</v>
      </c>
      <c r="BJ55" s="1">
        <f>IFERROR(VLOOKUP(AW55,'Top WS'!$A$19:$D$28,4),0)</f>
        <v>200</v>
      </c>
      <c r="BK55" s="98">
        <f>IFERROR(VLOOKUP(AX55,'Top WS'!$A$19:$D$28,4),0)</f>
        <v>200</v>
      </c>
      <c r="BL55" s="98">
        <f>IFERROR(VLOOKUP(AY55,'Top WS'!$A$19:$D$28,4),0)</f>
        <v>200</v>
      </c>
      <c r="BM55" s="98">
        <f>IFERROR(VLOOKUP(AZ55,'Top WS'!$A$19:$D$28,4),0)</f>
        <v>200</v>
      </c>
      <c r="BN55" s="98">
        <f>IFERROR(VLOOKUP(BA55,'Top WS'!$A$19:$D$28,4),0)</f>
        <v>200</v>
      </c>
      <c r="BO55" s="98">
        <f>IFERROR(VLOOKUP(BB55,'Top WS'!$A$19:$D$28,4),0)</f>
        <v>200</v>
      </c>
      <c r="BP55" s="98">
        <f>IFERROR(VLOOKUP(BC55,'Top WS'!$A$19:$D$28,4),0)</f>
        <v>200</v>
      </c>
    </row>
    <row r="56" spans="1:68" x14ac:dyDescent="0.4">
      <c r="A56">
        <v>1190054401</v>
      </c>
      <c r="B56">
        <f>VLOOKUP(A56,'Aji Plus'!$A$2:$D$58,2,0)</f>
        <v>75194</v>
      </c>
      <c r="C56" t="str">
        <f>VLOOKUP(A56,'Aji Plus'!$A$2:$D$58,3,0)</f>
        <v>นายพรชัย แซ่อือ</v>
      </c>
      <c r="D56" t="str">
        <f>VLOOKUP(A56,'Aji Plus'!$A$2:$D$58,4,0)</f>
        <v>N.Thamarat</v>
      </c>
      <c r="E56" s="1">
        <v>3730</v>
      </c>
      <c r="F56" s="1">
        <v>3970</v>
      </c>
      <c r="G56" s="1">
        <v>3890</v>
      </c>
      <c r="H56" s="1">
        <v>4210</v>
      </c>
      <c r="I56" s="1">
        <v>3870</v>
      </c>
      <c r="J56" s="1">
        <v>4500</v>
      </c>
      <c r="K56" s="1">
        <v>4850</v>
      </c>
      <c r="L56" s="1">
        <v>4520</v>
      </c>
      <c r="M56" s="1">
        <v>3530</v>
      </c>
      <c r="N56" s="1">
        <v>4640</v>
      </c>
      <c r="O56" s="1">
        <v>3680</v>
      </c>
      <c r="P56" s="1">
        <v>3760</v>
      </c>
      <c r="R56" s="1">
        <f>VLOOKUP(A56,Actual_RDM!$A$2:$H$63,3,0)</f>
        <v>1618.4</v>
      </c>
      <c r="S56" s="1">
        <f>VLOOKUP(A56,Actual_RDM!$A$2:$H$63,4,0)</f>
        <v>4265.8</v>
      </c>
      <c r="T56" s="1">
        <f>VLOOKUP(A56,Actual_RDM!$A$2:$H$63,5,0)</f>
        <v>4082.2000000000003</v>
      </c>
      <c r="U56" s="1">
        <f>VLOOKUP(A56,Actual_RDM!$A$2:$H$63,6,0)</f>
        <v>1511.9999999999998</v>
      </c>
      <c r="V56" s="1">
        <f>VLOOKUP(A56,Actual_RDM!$A$2:$H$63,7,0)</f>
        <v>5188.5999999999995</v>
      </c>
      <c r="W56" s="1">
        <f>VLOOKUP(A56,Actual_RDM!$A$2:$H$63,8,0)</f>
        <v>2692.2</v>
      </c>
      <c r="X56" s="111"/>
      <c r="Y56" s="111"/>
      <c r="Z56" s="111"/>
      <c r="AA56" s="111"/>
      <c r="AB56" s="111"/>
      <c r="AC56" s="111"/>
      <c r="AE56" s="97">
        <f t="shared" si="4"/>
        <v>0.433887399463807</v>
      </c>
      <c r="AF56" s="97">
        <f t="shared" si="4"/>
        <v>1.0745088161209069</v>
      </c>
      <c r="AG56" s="97">
        <f t="shared" si="4"/>
        <v>1.0494087403598973</v>
      </c>
      <c r="AH56" s="97">
        <f t="shared" si="4"/>
        <v>0.35914489311163889</v>
      </c>
      <c r="AI56" s="97">
        <f t="shared" si="4"/>
        <v>1.3407235142118861</v>
      </c>
      <c r="AJ56" s="97">
        <f t="shared" si="4"/>
        <v>0.59826666666666661</v>
      </c>
      <c r="AK56" s="99">
        <f t="shared" si="4"/>
        <v>0</v>
      </c>
      <c r="AL56" s="99">
        <f t="shared" si="4"/>
        <v>0</v>
      </c>
      <c r="AM56" s="99">
        <f t="shared" si="4"/>
        <v>0</v>
      </c>
      <c r="AN56" s="99">
        <f t="shared" si="4"/>
        <v>0</v>
      </c>
      <c r="AO56" s="99">
        <f t="shared" si="4"/>
        <v>0</v>
      </c>
      <c r="AP56" s="99">
        <f t="shared" si="4"/>
        <v>0</v>
      </c>
      <c r="AQ56" s="97"/>
      <c r="AR56" s="99">
        <f t="shared" si="5"/>
        <v>0.43390000000000001</v>
      </c>
      <c r="AS56" s="99">
        <f t="shared" si="5"/>
        <v>1.0745</v>
      </c>
      <c r="AT56" s="99">
        <f t="shared" si="5"/>
        <v>1.0494000000000001</v>
      </c>
      <c r="AU56" s="99">
        <f t="shared" si="5"/>
        <v>0.35909999999999997</v>
      </c>
      <c r="AV56" s="99">
        <f t="shared" si="5"/>
        <v>1.3407</v>
      </c>
      <c r="AW56" s="99">
        <f t="shared" si="5"/>
        <v>0.59830000000000005</v>
      </c>
      <c r="AX56" s="99">
        <f t="shared" si="5"/>
        <v>0</v>
      </c>
      <c r="AY56" s="99">
        <f t="shared" si="5"/>
        <v>0</v>
      </c>
      <c r="AZ56" s="99">
        <f t="shared" si="5"/>
        <v>0</v>
      </c>
      <c r="BA56" s="99">
        <f t="shared" si="5"/>
        <v>0</v>
      </c>
      <c r="BB56" s="99">
        <f t="shared" si="5"/>
        <v>0</v>
      </c>
      <c r="BC56" s="99">
        <f t="shared" si="5"/>
        <v>0</v>
      </c>
      <c r="BD56" s="97"/>
      <c r="BE56" s="1">
        <f>IFERROR(VLOOKUP(AR56,'Top WS'!$A$19:$D$28,4),0)</f>
        <v>200</v>
      </c>
      <c r="BF56" s="1">
        <f>IFERROR(VLOOKUP(AS56,'Top WS'!$A$19:$D$28,4),0)</f>
        <v>220</v>
      </c>
      <c r="BG56" s="1">
        <f>IFERROR(VLOOKUP(AT56,'Top WS'!$A$19:$D$28,4),0)</f>
        <v>216</v>
      </c>
      <c r="BH56" s="1">
        <f>IFERROR(VLOOKUP(AU56,'Top WS'!$A$19:$D$28,4),0)</f>
        <v>200</v>
      </c>
      <c r="BI56" s="1">
        <f>IFERROR(VLOOKUP(AV56,'Top WS'!$A$19:$D$28,4),0)</f>
        <v>260</v>
      </c>
      <c r="BJ56" s="1">
        <f>IFERROR(VLOOKUP(AW56,'Top WS'!$A$19:$D$28,4),0)</f>
        <v>200</v>
      </c>
      <c r="BK56" s="98">
        <f>IFERROR(VLOOKUP(AX56,'Top WS'!$A$19:$D$28,4),0)</f>
        <v>200</v>
      </c>
      <c r="BL56" s="98">
        <f>IFERROR(VLOOKUP(AY56,'Top WS'!$A$19:$D$28,4),0)</f>
        <v>200</v>
      </c>
      <c r="BM56" s="98">
        <f>IFERROR(VLOOKUP(AZ56,'Top WS'!$A$19:$D$28,4),0)</f>
        <v>200</v>
      </c>
      <c r="BN56" s="98">
        <f>IFERROR(VLOOKUP(BA56,'Top WS'!$A$19:$D$28,4),0)</f>
        <v>200</v>
      </c>
      <c r="BO56" s="98">
        <f>IFERROR(VLOOKUP(BB56,'Top WS'!$A$19:$D$28,4),0)</f>
        <v>200</v>
      </c>
      <c r="BP56" s="98">
        <f>IFERROR(VLOOKUP(BC56,'Top WS'!$A$19:$D$28,4),0)</f>
        <v>200</v>
      </c>
    </row>
    <row r="57" spans="1:68" x14ac:dyDescent="0.4">
      <c r="A57">
        <v>1190054501</v>
      </c>
      <c r="B57">
        <f>VLOOKUP(A57,'Aji Plus'!$A$2:$D$58,2,0)</f>
        <v>70437</v>
      </c>
      <c r="C57" t="str">
        <f>VLOOKUP(A57,'Aji Plus'!$A$2:$D$58,3,0)</f>
        <v>นายมนตรี วัชรมานะกุล</v>
      </c>
      <c r="D57" t="str">
        <f>VLOOKUP(A57,'Aji Plus'!$A$2:$D$58,4,0)</f>
        <v>Trang</v>
      </c>
      <c r="E57" s="1">
        <v>850</v>
      </c>
      <c r="F57" s="1">
        <v>800</v>
      </c>
      <c r="G57" s="1">
        <v>800</v>
      </c>
      <c r="H57" s="1">
        <v>800</v>
      </c>
      <c r="I57" s="1">
        <v>800</v>
      </c>
      <c r="J57" s="1">
        <v>800</v>
      </c>
      <c r="K57" s="1">
        <v>800</v>
      </c>
      <c r="L57" s="1">
        <v>900</v>
      </c>
      <c r="M57" s="1">
        <v>950</v>
      </c>
      <c r="N57" s="1">
        <v>910</v>
      </c>
      <c r="O57" s="1">
        <v>900</v>
      </c>
      <c r="P57" s="1">
        <v>900</v>
      </c>
      <c r="R57" s="1">
        <f>VLOOKUP(A57,Actual_RDM!$A$2:$H$63,3,0)</f>
        <v>345.8</v>
      </c>
      <c r="S57" s="1">
        <f>VLOOKUP(A57,Actual_RDM!$A$2:$H$63,4,0)</f>
        <v>426</v>
      </c>
      <c r="T57" s="1">
        <f>VLOOKUP(A57,Actual_RDM!$A$2:$H$63,5,0)</f>
        <v>333.8</v>
      </c>
      <c r="U57" s="1">
        <f>VLOOKUP(A57,Actual_RDM!$A$2:$H$63,6,0)</f>
        <v>1316.8</v>
      </c>
      <c r="V57" s="1">
        <f>VLOOKUP(A57,Actual_RDM!$A$2:$H$63,7,0)</f>
        <v>223.4</v>
      </c>
      <c r="W57" s="1">
        <f>VLOOKUP(A57,Actual_RDM!$A$2:$H$63,8,0)</f>
        <v>239.8</v>
      </c>
      <c r="X57" s="111"/>
      <c r="Y57" s="111"/>
      <c r="Z57" s="111"/>
      <c r="AA57" s="111"/>
      <c r="AB57" s="111"/>
      <c r="AC57" s="111"/>
      <c r="AE57" s="97">
        <f t="shared" si="4"/>
        <v>0.40682352941176469</v>
      </c>
      <c r="AF57" s="97">
        <f t="shared" si="4"/>
        <v>0.53249999999999997</v>
      </c>
      <c r="AG57" s="97">
        <f t="shared" si="4"/>
        <v>0.41725000000000001</v>
      </c>
      <c r="AH57" s="97">
        <f t="shared" si="4"/>
        <v>1.6459999999999999</v>
      </c>
      <c r="AI57" s="97">
        <f t="shared" si="4"/>
        <v>0.27925</v>
      </c>
      <c r="AJ57" s="97">
        <f t="shared" si="4"/>
        <v>0.29975000000000002</v>
      </c>
      <c r="AK57" s="99">
        <f t="shared" si="4"/>
        <v>0</v>
      </c>
      <c r="AL57" s="99">
        <f t="shared" si="4"/>
        <v>0</v>
      </c>
      <c r="AM57" s="99">
        <f t="shared" si="4"/>
        <v>0</v>
      </c>
      <c r="AN57" s="99">
        <f t="shared" si="4"/>
        <v>0</v>
      </c>
      <c r="AO57" s="99">
        <f t="shared" si="4"/>
        <v>0</v>
      </c>
      <c r="AP57" s="99">
        <f t="shared" si="4"/>
        <v>0</v>
      </c>
      <c r="AQ57" s="97"/>
      <c r="AR57" s="99">
        <f t="shared" si="5"/>
        <v>0.40679999999999999</v>
      </c>
      <c r="AS57" s="99">
        <f t="shared" si="5"/>
        <v>0.53249999999999997</v>
      </c>
      <c r="AT57" s="99">
        <f t="shared" si="5"/>
        <v>0.4173</v>
      </c>
      <c r="AU57" s="99">
        <f t="shared" si="5"/>
        <v>1.6459999999999999</v>
      </c>
      <c r="AV57" s="99">
        <f t="shared" si="5"/>
        <v>0.27929999999999999</v>
      </c>
      <c r="AW57" s="99">
        <f t="shared" si="5"/>
        <v>0.29980000000000001</v>
      </c>
      <c r="AX57" s="99">
        <f t="shared" si="5"/>
        <v>0</v>
      </c>
      <c r="AY57" s="99">
        <f t="shared" si="5"/>
        <v>0</v>
      </c>
      <c r="AZ57" s="99">
        <f t="shared" si="5"/>
        <v>0</v>
      </c>
      <c r="BA57" s="99">
        <f t="shared" si="5"/>
        <v>0</v>
      </c>
      <c r="BB57" s="99">
        <f t="shared" si="5"/>
        <v>0</v>
      </c>
      <c r="BC57" s="99">
        <f t="shared" si="5"/>
        <v>0</v>
      </c>
      <c r="BD57" s="97"/>
      <c r="BE57" s="1">
        <f>IFERROR(VLOOKUP(AR57,'Top WS'!$A$19:$D$28,4),0)</f>
        <v>200</v>
      </c>
      <c r="BF57" s="1">
        <f>IFERROR(VLOOKUP(AS57,'Top WS'!$A$19:$D$28,4),0)</f>
        <v>200</v>
      </c>
      <c r="BG57" s="1">
        <f>IFERROR(VLOOKUP(AT57,'Top WS'!$A$19:$D$28,4),0)</f>
        <v>200</v>
      </c>
      <c r="BH57" s="1">
        <f>IFERROR(VLOOKUP(AU57,'Top WS'!$A$19:$D$28,4),0)</f>
        <v>260</v>
      </c>
      <c r="BI57" s="1">
        <f>IFERROR(VLOOKUP(AV57,'Top WS'!$A$19:$D$28,4),0)</f>
        <v>200</v>
      </c>
      <c r="BJ57" s="1">
        <f>IFERROR(VLOOKUP(AW57,'Top WS'!$A$19:$D$28,4),0)</f>
        <v>200</v>
      </c>
      <c r="BK57" s="98">
        <f>IFERROR(VLOOKUP(AX57,'Top WS'!$A$19:$D$28,4),0)</f>
        <v>200</v>
      </c>
      <c r="BL57" s="98">
        <f>IFERROR(VLOOKUP(AY57,'Top WS'!$A$19:$D$28,4),0)</f>
        <v>200</v>
      </c>
      <c r="BM57" s="98">
        <f>IFERROR(VLOOKUP(AZ57,'Top WS'!$A$19:$D$28,4),0)</f>
        <v>200</v>
      </c>
      <c r="BN57" s="98">
        <f>IFERROR(VLOOKUP(BA57,'Top WS'!$A$19:$D$28,4),0)</f>
        <v>200</v>
      </c>
      <c r="BO57" s="98">
        <f>IFERROR(VLOOKUP(BB57,'Top WS'!$A$19:$D$28,4),0)</f>
        <v>200</v>
      </c>
      <c r="BP57" s="98">
        <f>IFERROR(VLOOKUP(BC57,'Top WS'!$A$19:$D$28,4),0)</f>
        <v>200</v>
      </c>
    </row>
    <row r="58" spans="1:68" x14ac:dyDescent="0.4">
      <c r="A58">
        <v>1190054601</v>
      </c>
      <c r="B58">
        <f>VLOOKUP(A58,'Aji Plus'!$A$2:$D$58,2,0)</f>
        <v>63804</v>
      </c>
      <c r="C58" t="str">
        <f>VLOOKUP(A58,'Aji Plus'!$A$2:$D$58,3,0)</f>
        <v>นายสมพงษ์ คงบุตร</v>
      </c>
      <c r="D58" t="str">
        <f>VLOOKUP(A58,'Aji Plus'!$A$2:$D$58,4,0)</f>
        <v>Phuket</v>
      </c>
      <c r="E58" s="1">
        <v>3830.4012754328874</v>
      </c>
      <c r="F58" s="1">
        <v>3875.3957745825101</v>
      </c>
      <c r="G58" s="1">
        <v>2814.6015500659219</v>
      </c>
      <c r="H58" s="1">
        <v>3722.3166633452106</v>
      </c>
      <c r="I58" s="1">
        <v>2596.4760433188485</v>
      </c>
      <c r="J58" s="1">
        <v>2814.7971783230946</v>
      </c>
      <c r="K58" s="1">
        <v>3116.3581367541283</v>
      </c>
      <c r="L58" s="1">
        <v>2994.5795466643908</v>
      </c>
      <c r="M58" s="1">
        <v>1993.4519405853539</v>
      </c>
      <c r="N58" s="1">
        <v>3279.2186608500383</v>
      </c>
      <c r="O58" s="1">
        <v>2642.4486837543254</v>
      </c>
      <c r="P58" s="1">
        <v>2149.9545463231652</v>
      </c>
      <c r="R58" s="1">
        <f>VLOOKUP(A58,Actual_RDM!$A$2:$H$63,3,0)</f>
        <v>3332.4</v>
      </c>
      <c r="S58" s="1">
        <f>VLOOKUP(A58,Actual_RDM!$A$2:$H$63,4,0)</f>
        <v>2027.6</v>
      </c>
      <c r="T58" s="1">
        <f>VLOOKUP(A58,Actual_RDM!$A$2:$H$63,5,0)</f>
        <v>2649</v>
      </c>
      <c r="U58" s="1">
        <f>VLOOKUP(A58,Actual_RDM!$A$2:$H$63,6,0)</f>
        <v>2874.6</v>
      </c>
      <c r="V58" s="1">
        <f>VLOOKUP(A58,Actual_RDM!$A$2:$H$63,7,0)</f>
        <v>2627.2999999999997</v>
      </c>
      <c r="W58" s="1">
        <f>VLOOKUP(A58,Actual_RDM!$A$2:$H$63,8,0)</f>
        <v>3077.1</v>
      </c>
      <c r="X58" s="111"/>
      <c r="Y58" s="111"/>
      <c r="Z58" s="111"/>
      <c r="AA58" s="111"/>
      <c r="AB58" s="111"/>
      <c r="AC58" s="111"/>
      <c r="AE58" s="97">
        <f t="shared" si="4"/>
        <v>0.86998717898646105</v>
      </c>
      <c r="AF58" s="97">
        <f t="shared" si="4"/>
        <v>0.52319817586074291</v>
      </c>
      <c r="AG58" s="97">
        <f t="shared" si="4"/>
        <v>0.94116341261090997</v>
      </c>
      <c r="AH58" s="97">
        <f t="shared" si="4"/>
        <v>0.77226100302187195</v>
      </c>
      <c r="AI58" s="97">
        <f t="shared" si="4"/>
        <v>1.0118714581482338</v>
      </c>
      <c r="AJ58" s="97">
        <f t="shared" si="4"/>
        <v>1.0931871126264137</v>
      </c>
      <c r="AK58" s="99">
        <f t="shared" si="4"/>
        <v>0</v>
      </c>
      <c r="AL58" s="99">
        <f t="shared" si="4"/>
        <v>0</v>
      </c>
      <c r="AM58" s="99">
        <f t="shared" si="4"/>
        <v>0</v>
      </c>
      <c r="AN58" s="99">
        <f t="shared" si="4"/>
        <v>0</v>
      </c>
      <c r="AO58" s="99">
        <f t="shared" si="4"/>
        <v>0</v>
      </c>
      <c r="AP58" s="99">
        <f t="shared" si="4"/>
        <v>0</v>
      </c>
      <c r="AQ58" s="97"/>
      <c r="AR58" s="99">
        <f t="shared" si="5"/>
        <v>0.87</v>
      </c>
      <c r="AS58" s="99">
        <f t="shared" si="5"/>
        <v>0.5232</v>
      </c>
      <c r="AT58" s="99">
        <f t="shared" si="5"/>
        <v>0.94120000000000004</v>
      </c>
      <c r="AU58" s="99">
        <f t="shared" si="5"/>
        <v>0.77229999999999999</v>
      </c>
      <c r="AV58" s="99">
        <f t="shared" si="5"/>
        <v>1.0119</v>
      </c>
      <c r="AW58" s="99">
        <f t="shared" si="5"/>
        <v>1.0931999999999999</v>
      </c>
      <c r="AX58" s="99">
        <f t="shared" si="5"/>
        <v>0</v>
      </c>
      <c r="AY58" s="99">
        <f t="shared" si="5"/>
        <v>0</v>
      </c>
      <c r="AZ58" s="99">
        <f t="shared" si="5"/>
        <v>0</v>
      </c>
      <c r="BA58" s="99">
        <f t="shared" si="5"/>
        <v>0</v>
      </c>
      <c r="BB58" s="99">
        <f t="shared" si="5"/>
        <v>0</v>
      </c>
      <c r="BC58" s="99">
        <f t="shared" si="5"/>
        <v>0</v>
      </c>
      <c r="BD58" s="97"/>
      <c r="BE58" s="1">
        <f>IFERROR(VLOOKUP(AR58,'Top WS'!$A$19:$D$28,4),0)</f>
        <v>200</v>
      </c>
      <c r="BF58" s="1">
        <f>IFERROR(VLOOKUP(AS58,'Top WS'!$A$19:$D$28,4),0)</f>
        <v>200</v>
      </c>
      <c r="BG58" s="1">
        <f>IFERROR(VLOOKUP(AT58,'Top WS'!$A$19:$D$28,4),0)</f>
        <v>200</v>
      </c>
      <c r="BH58" s="1">
        <f>IFERROR(VLOOKUP(AU58,'Top WS'!$A$19:$D$28,4),0)</f>
        <v>200</v>
      </c>
      <c r="BI58" s="1">
        <f>IFERROR(VLOOKUP(AV58,'Top WS'!$A$19:$D$28,4),0)</f>
        <v>206</v>
      </c>
      <c r="BJ58" s="1">
        <f>IFERROR(VLOOKUP(AW58,'Top WS'!$A$19:$D$28,4),0)</f>
        <v>220</v>
      </c>
      <c r="BK58" s="98">
        <f>IFERROR(VLOOKUP(AX58,'Top WS'!$A$19:$D$28,4),0)</f>
        <v>200</v>
      </c>
      <c r="BL58" s="98">
        <f>IFERROR(VLOOKUP(AY58,'Top WS'!$A$19:$D$28,4),0)</f>
        <v>200</v>
      </c>
      <c r="BM58" s="98">
        <f>IFERROR(VLOOKUP(AZ58,'Top WS'!$A$19:$D$28,4),0)</f>
        <v>200</v>
      </c>
      <c r="BN58" s="98">
        <f>IFERROR(VLOOKUP(BA58,'Top WS'!$A$19:$D$28,4),0)</f>
        <v>200</v>
      </c>
      <c r="BO58" s="98">
        <f>IFERROR(VLOOKUP(BB58,'Top WS'!$A$19:$D$28,4),0)</f>
        <v>200</v>
      </c>
      <c r="BP58" s="98">
        <f>IFERROR(VLOOKUP(BC58,'Top WS'!$A$19:$D$28,4),0)</f>
        <v>200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F243-643E-41D6-9014-313319D0AFDD}">
  <sheetPr codeName="Sheet29">
    <tabColor rgb="FFFFFF00"/>
  </sheetPr>
  <dimension ref="A1:H63"/>
  <sheetViews>
    <sheetView workbookViewId="0">
      <pane xSplit="2" ySplit="1" topLeftCell="C63" activePane="bottomRight" state="frozen"/>
      <selection pane="topRight" activeCell="BE11" sqref="BE11:BP11"/>
      <selection pane="bottomLeft" activeCell="BE11" sqref="BE11:BP11"/>
      <selection pane="bottomRight" activeCell="BE11" sqref="BE11:BP11"/>
    </sheetView>
  </sheetViews>
  <sheetFormatPr defaultRowHeight="16.8" x14ac:dyDescent="0.4"/>
  <cols>
    <col min="1" max="1" width="12.8984375" customWidth="1"/>
  </cols>
  <sheetData>
    <row r="1" spans="1:8" x14ac:dyDescent="0.4">
      <c r="A1" t="s">
        <v>126</v>
      </c>
      <c r="B1" t="s">
        <v>377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</row>
    <row r="2" spans="1:8" x14ac:dyDescent="0.4">
      <c r="A2">
        <v>1190011201</v>
      </c>
      <c r="B2" t="s">
        <v>235</v>
      </c>
      <c r="C2">
        <v>1116.2</v>
      </c>
      <c r="D2">
        <v>1363</v>
      </c>
      <c r="E2">
        <v>1646</v>
      </c>
      <c r="F2">
        <v>1212.7</v>
      </c>
      <c r="G2">
        <v>1613.1</v>
      </c>
      <c r="H2">
        <v>718.2</v>
      </c>
    </row>
    <row r="3" spans="1:8" x14ac:dyDescent="0.4">
      <c r="A3">
        <v>1190011203</v>
      </c>
      <c r="B3" t="s">
        <v>235</v>
      </c>
      <c r="D3">
        <v>2.7</v>
      </c>
    </row>
    <row r="4" spans="1:8" x14ac:dyDescent="0.4">
      <c r="A4">
        <v>1190011214</v>
      </c>
      <c r="B4" t="s">
        <v>235</v>
      </c>
      <c r="C4">
        <v>278.2</v>
      </c>
      <c r="D4">
        <v>449.9</v>
      </c>
      <c r="E4">
        <v>374</v>
      </c>
      <c r="F4">
        <v>123</v>
      </c>
      <c r="G4">
        <v>759.8</v>
      </c>
      <c r="H4">
        <v>270.10000000000002</v>
      </c>
    </row>
    <row r="5" spans="1:8" x14ac:dyDescent="0.4">
      <c r="A5">
        <v>1190011401</v>
      </c>
      <c r="B5" t="s">
        <v>232</v>
      </c>
      <c r="C5">
        <v>245.4</v>
      </c>
      <c r="D5">
        <v>714.8</v>
      </c>
      <c r="E5">
        <v>109</v>
      </c>
      <c r="F5">
        <v>282.2</v>
      </c>
      <c r="G5">
        <v>219</v>
      </c>
      <c r="H5">
        <v>210.8</v>
      </c>
    </row>
    <row r="6" spans="1:8" x14ac:dyDescent="0.4">
      <c r="A6">
        <v>1190011412</v>
      </c>
      <c r="B6" t="s">
        <v>232</v>
      </c>
      <c r="C6">
        <v>424.4</v>
      </c>
      <c r="D6">
        <v>438.4</v>
      </c>
      <c r="E6">
        <v>314.39999999999998</v>
      </c>
      <c r="F6">
        <v>478.20000000000005</v>
      </c>
      <c r="G6">
        <v>313</v>
      </c>
      <c r="H6">
        <v>559.4</v>
      </c>
    </row>
    <row r="7" spans="1:8" x14ac:dyDescent="0.4">
      <c r="A7">
        <v>1190011501</v>
      </c>
      <c r="B7" t="s">
        <v>304</v>
      </c>
      <c r="C7">
        <v>2568.2000000000003</v>
      </c>
      <c r="D7">
        <v>1641.5999999999997</v>
      </c>
      <c r="E7">
        <v>2115</v>
      </c>
      <c r="F7">
        <v>1951.7999999999997</v>
      </c>
      <c r="G7">
        <v>1885.7999999999997</v>
      </c>
      <c r="H7">
        <v>2177</v>
      </c>
    </row>
    <row r="8" spans="1:8" x14ac:dyDescent="0.4">
      <c r="A8">
        <v>1190011701</v>
      </c>
      <c r="B8" t="s">
        <v>228</v>
      </c>
      <c r="C8">
        <v>879.3</v>
      </c>
      <c r="D8">
        <v>1087.3999999999999</v>
      </c>
      <c r="E8">
        <v>811.5</v>
      </c>
      <c r="F8">
        <v>937.9</v>
      </c>
      <c r="G8">
        <v>1149.8</v>
      </c>
      <c r="H8">
        <v>798.2</v>
      </c>
    </row>
    <row r="9" spans="1:8" x14ac:dyDescent="0.4">
      <c r="A9">
        <v>1190011801</v>
      </c>
      <c r="B9" t="s">
        <v>307</v>
      </c>
      <c r="C9">
        <v>151.00000000000003</v>
      </c>
      <c r="D9">
        <v>287.2</v>
      </c>
      <c r="E9">
        <v>129.9</v>
      </c>
      <c r="F9">
        <v>386.4</v>
      </c>
      <c r="G9">
        <v>121.5</v>
      </c>
      <c r="H9">
        <v>800.09999999999991</v>
      </c>
    </row>
    <row r="10" spans="1:8" x14ac:dyDescent="0.4">
      <c r="A10">
        <v>1190017001</v>
      </c>
      <c r="B10" t="s">
        <v>309</v>
      </c>
      <c r="C10">
        <v>1953.2999999999997</v>
      </c>
      <c r="D10">
        <v>2885.1000000000004</v>
      </c>
      <c r="E10">
        <v>1150.8000000000002</v>
      </c>
      <c r="F10">
        <v>1282.9000000000001</v>
      </c>
      <c r="G10">
        <v>1408</v>
      </c>
      <c r="H10">
        <v>1512.6</v>
      </c>
    </row>
    <row r="11" spans="1:8" x14ac:dyDescent="0.4">
      <c r="A11">
        <v>1190017013</v>
      </c>
      <c r="B11" t="s">
        <v>309</v>
      </c>
      <c r="C11">
        <v>408.30000000000007</v>
      </c>
      <c r="D11">
        <v>394</v>
      </c>
      <c r="E11">
        <v>138.30000000000001</v>
      </c>
      <c r="F11">
        <v>353.7</v>
      </c>
      <c r="G11">
        <v>463.4</v>
      </c>
      <c r="H11">
        <v>363.29999999999995</v>
      </c>
    </row>
    <row r="12" spans="1:8" x14ac:dyDescent="0.4">
      <c r="A12">
        <v>1190017014</v>
      </c>
      <c r="B12" t="s">
        <v>309</v>
      </c>
      <c r="C12">
        <v>820</v>
      </c>
      <c r="D12">
        <v>761.4</v>
      </c>
      <c r="E12">
        <v>1357.5000000000002</v>
      </c>
      <c r="F12">
        <v>1617.3000000000002</v>
      </c>
      <c r="G12">
        <v>852.4</v>
      </c>
      <c r="H12">
        <v>1364</v>
      </c>
    </row>
    <row r="13" spans="1:8" x14ac:dyDescent="0.4">
      <c r="A13">
        <v>1190021901</v>
      </c>
      <c r="B13" t="s">
        <v>313</v>
      </c>
      <c r="C13">
        <v>782.6</v>
      </c>
      <c r="D13">
        <v>659.8</v>
      </c>
      <c r="E13">
        <v>552.9</v>
      </c>
      <c r="F13">
        <v>867.9</v>
      </c>
      <c r="G13">
        <v>680.60000000000014</v>
      </c>
      <c r="H13">
        <v>861</v>
      </c>
    </row>
    <row r="14" spans="1:8" x14ac:dyDescent="0.4">
      <c r="A14">
        <v>1190021902</v>
      </c>
      <c r="B14" t="s">
        <v>313</v>
      </c>
      <c r="C14">
        <v>310.89999999999998</v>
      </c>
      <c r="D14">
        <v>455.90000000000003</v>
      </c>
      <c r="E14">
        <v>345.3</v>
      </c>
      <c r="F14">
        <v>181.9</v>
      </c>
      <c r="G14">
        <v>260.5</v>
      </c>
      <c r="H14">
        <v>357.2</v>
      </c>
    </row>
    <row r="15" spans="1:8" x14ac:dyDescent="0.4">
      <c r="A15">
        <v>1190022001</v>
      </c>
      <c r="B15" t="s">
        <v>316</v>
      </c>
      <c r="C15">
        <v>4016.2000000000007</v>
      </c>
      <c r="D15">
        <v>1456.5</v>
      </c>
      <c r="E15">
        <v>2403.6000000000004</v>
      </c>
      <c r="F15">
        <v>1999.9</v>
      </c>
      <c r="G15">
        <v>2586.6999999999994</v>
      </c>
      <c r="H15">
        <v>2821.4</v>
      </c>
    </row>
    <row r="16" spans="1:8" x14ac:dyDescent="0.4">
      <c r="A16">
        <v>1190022101</v>
      </c>
      <c r="B16" t="s">
        <v>233</v>
      </c>
      <c r="C16">
        <v>1907.0999999999997</v>
      </c>
      <c r="D16">
        <v>2242.0000000000005</v>
      </c>
      <c r="E16">
        <v>1757.5999999999997</v>
      </c>
      <c r="F16">
        <v>1744.5000000000002</v>
      </c>
      <c r="G16">
        <v>1775.2</v>
      </c>
      <c r="H16">
        <v>1995.8000000000004</v>
      </c>
    </row>
    <row r="17" spans="1:8" x14ac:dyDescent="0.4">
      <c r="A17">
        <v>1190022201</v>
      </c>
      <c r="B17" t="s">
        <v>236</v>
      </c>
      <c r="C17">
        <v>1061.3999999999999</v>
      </c>
      <c r="D17">
        <v>998.19999999999982</v>
      </c>
      <c r="E17">
        <v>862.40000000000009</v>
      </c>
      <c r="F17">
        <v>1237.4999999999998</v>
      </c>
      <c r="G17">
        <v>1165.2999999999997</v>
      </c>
      <c r="H17">
        <v>1146.1999999999998</v>
      </c>
    </row>
    <row r="18" spans="1:8" x14ac:dyDescent="0.4">
      <c r="A18">
        <v>1190022301</v>
      </c>
      <c r="B18" t="s">
        <v>320</v>
      </c>
      <c r="C18">
        <v>680.40000000000009</v>
      </c>
      <c r="D18">
        <v>753.39999999999986</v>
      </c>
      <c r="E18">
        <v>549.4</v>
      </c>
      <c r="F18">
        <v>674.5</v>
      </c>
      <c r="G18">
        <v>1116.7</v>
      </c>
      <c r="H18">
        <v>390.2</v>
      </c>
    </row>
    <row r="19" spans="1:8" x14ac:dyDescent="0.4">
      <c r="A19">
        <v>1190022302</v>
      </c>
      <c r="B19" t="s">
        <v>320</v>
      </c>
      <c r="C19">
        <v>498.70000000000005</v>
      </c>
      <c r="D19">
        <v>519.19999999999993</v>
      </c>
      <c r="E19">
        <v>269.90000000000003</v>
      </c>
      <c r="F19">
        <v>570.80000000000007</v>
      </c>
      <c r="G19">
        <v>647.60000000000014</v>
      </c>
      <c r="H19">
        <v>693</v>
      </c>
    </row>
    <row r="20" spans="1:8" x14ac:dyDescent="0.4">
      <c r="A20">
        <v>1190022401</v>
      </c>
      <c r="B20" t="s">
        <v>323</v>
      </c>
      <c r="C20">
        <v>889.6</v>
      </c>
      <c r="D20">
        <v>1157.4000000000001</v>
      </c>
      <c r="E20">
        <v>689.3</v>
      </c>
      <c r="F20">
        <v>891.8</v>
      </c>
      <c r="G20">
        <v>510.5</v>
      </c>
      <c r="H20">
        <v>872.09999999999991</v>
      </c>
    </row>
    <row r="21" spans="1:8" x14ac:dyDescent="0.4">
      <c r="A21">
        <v>1190022402</v>
      </c>
      <c r="B21" t="s">
        <v>323</v>
      </c>
      <c r="C21">
        <v>182.6</v>
      </c>
      <c r="D21">
        <v>352.2</v>
      </c>
      <c r="E21">
        <v>321.7</v>
      </c>
      <c r="F21">
        <v>249.2</v>
      </c>
      <c r="G21">
        <v>192.6</v>
      </c>
      <c r="H21">
        <v>353.5</v>
      </c>
    </row>
    <row r="22" spans="1:8" x14ac:dyDescent="0.4">
      <c r="A22">
        <v>1190022510</v>
      </c>
      <c r="B22" t="s">
        <v>326</v>
      </c>
      <c r="C22">
        <v>1152.4000000000003</v>
      </c>
      <c r="D22">
        <v>758.90000000000009</v>
      </c>
      <c r="E22">
        <v>553.6</v>
      </c>
      <c r="F22">
        <v>711.59999999999991</v>
      </c>
      <c r="G22">
        <v>959.30000000000007</v>
      </c>
      <c r="H22">
        <v>598.40000000000009</v>
      </c>
    </row>
    <row r="23" spans="1:8" x14ac:dyDescent="0.4">
      <c r="A23">
        <v>1190022511</v>
      </c>
      <c r="B23" t="s">
        <v>326</v>
      </c>
      <c r="D23">
        <v>0.6</v>
      </c>
    </row>
    <row r="24" spans="1:8" x14ac:dyDescent="0.4">
      <c r="A24">
        <v>1190027101</v>
      </c>
      <c r="B24" t="s">
        <v>229</v>
      </c>
      <c r="C24">
        <v>1405</v>
      </c>
      <c r="D24">
        <v>1127.3</v>
      </c>
      <c r="E24">
        <v>1522.5</v>
      </c>
      <c r="F24">
        <v>1777.0999999999997</v>
      </c>
      <c r="G24">
        <v>1533.2999999999997</v>
      </c>
      <c r="H24">
        <v>1034.7</v>
      </c>
    </row>
    <row r="25" spans="1:8" x14ac:dyDescent="0.4">
      <c r="A25">
        <v>1190032602</v>
      </c>
      <c r="B25" t="s">
        <v>237</v>
      </c>
      <c r="C25">
        <v>2618.8000000000002</v>
      </c>
      <c r="D25">
        <v>2312.1</v>
      </c>
      <c r="E25">
        <v>2204.1</v>
      </c>
      <c r="F25">
        <v>2363.4999999999991</v>
      </c>
      <c r="G25">
        <v>2866.1</v>
      </c>
      <c r="H25">
        <v>2815.0999999999995</v>
      </c>
    </row>
    <row r="26" spans="1:8" x14ac:dyDescent="0.4">
      <c r="A26">
        <v>1190032701</v>
      </c>
      <c r="B26" t="s">
        <v>239</v>
      </c>
      <c r="C26">
        <v>913.50000000000011</v>
      </c>
      <c r="D26">
        <v>1050.0999999999999</v>
      </c>
      <c r="E26">
        <v>800.9</v>
      </c>
      <c r="F26">
        <v>843.30000000000018</v>
      </c>
      <c r="G26">
        <v>819.10000000000014</v>
      </c>
      <c r="H26">
        <v>768.6</v>
      </c>
    </row>
    <row r="27" spans="1:8" x14ac:dyDescent="0.4">
      <c r="A27">
        <v>1190032801</v>
      </c>
      <c r="B27" t="s">
        <v>331</v>
      </c>
      <c r="C27">
        <v>1373.4</v>
      </c>
      <c r="D27">
        <v>1183.8</v>
      </c>
      <c r="E27">
        <v>1141.5999999999999</v>
      </c>
      <c r="F27">
        <v>1203.6999999999996</v>
      </c>
      <c r="G27">
        <v>806.4000000000002</v>
      </c>
      <c r="H27">
        <v>919.00000000000011</v>
      </c>
    </row>
    <row r="28" spans="1:8" x14ac:dyDescent="0.4">
      <c r="A28">
        <v>1190032901</v>
      </c>
      <c r="B28" t="s">
        <v>234</v>
      </c>
      <c r="C28">
        <v>304.50000000000006</v>
      </c>
      <c r="D28">
        <v>394.59999999999997</v>
      </c>
      <c r="E28">
        <v>272</v>
      </c>
      <c r="F28">
        <v>331.40000000000003</v>
      </c>
      <c r="G28">
        <v>257.8</v>
      </c>
      <c r="H28">
        <v>368.59999999999997</v>
      </c>
    </row>
    <row r="29" spans="1:8" x14ac:dyDescent="0.4">
      <c r="A29">
        <v>1190032902</v>
      </c>
      <c r="B29" t="s">
        <v>234</v>
      </c>
      <c r="C29">
        <v>287.70000000000005</v>
      </c>
      <c r="D29">
        <v>527.79999999999995</v>
      </c>
      <c r="E29">
        <v>415.4</v>
      </c>
      <c r="F29">
        <v>478</v>
      </c>
      <c r="G29">
        <v>447.9</v>
      </c>
      <c r="H29">
        <v>560</v>
      </c>
    </row>
    <row r="30" spans="1:8" x14ac:dyDescent="0.4">
      <c r="A30">
        <v>1190033001</v>
      </c>
      <c r="B30" t="s">
        <v>335</v>
      </c>
      <c r="C30">
        <v>665.3</v>
      </c>
      <c r="D30">
        <v>1010.6999999999999</v>
      </c>
      <c r="E30">
        <v>998.80000000000007</v>
      </c>
      <c r="F30">
        <v>784.2</v>
      </c>
      <c r="G30">
        <v>624.79999999999995</v>
      </c>
      <c r="H30">
        <v>884.80000000000007</v>
      </c>
    </row>
    <row r="31" spans="1:8" x14ac:dyDescent="0.4">
      <c r="A31">
        <v>1190033002</v>
      </c>
      <c r="B31" t="s">
        <v>335</v>
      </c>
      <c r="C31">
        <v>1035.1999999999998</v>
      </c>
      <c r="D31">
        <v>833.89999999999986</v>
      </c>
      <c r="E31">
        <v>992.6</v>
      </c>
      <c r="F31">
        <v>1140.5999999999999</v>
      </c>
      <c r="G31">
        <v>1107.0000000000002</v>
      </c>
      <c r="H31">
        <v>1031.8</v>
      </c>
    </row>
    <row r="32" spans="1:8" x14ac:dyDescent="0.4">
      <c r="A32">
        <v>1190033101</v>
      </c>
      <c r="B32" t="s">
        <v>338</v>
      </c>
      <c r="C32">
        <v>193.6</v>
      </c>
      <c r="D32">
        <v>227.00000000000003</v>
      </c>
      <c r="E32">
        <v>214.8</v>
      </c>
      <c r="F32">
        <v>226</v>
      </c>
      <c r="G32">
        <v>269.20000000000005</v>
      </c>
      <c r="H32">
        <v>307.60000000000002</v>
      </c>
    </row>
    <row r="33" spans="1:8" x14ac:dyDescent="0.4">
      <c r="A33">
        <v>1190033102</v>
      </c>
      <c r="B33" t="s">
        <v>338</v>
      </c>
      <c r="C33">
        <v>354</v>
      </c>
      <c r="D33">
        <v>212.2</v>
      </c>
      <c r="E33">
        <v>294.39999999999998</v>
      </c>
      <c r="F33">
        <v>61</v>
      </c>
      <c r="G33">
        <v>186.8</v>
      </c>
      <c r="H33">
        <v>152</v>
      </c>
    </row>
    <row r="34" spans="1:8" x14ac:dyDescent="0.4">
      <c r="A34">
        <v>1190033201</v>
      </c>
      <c r="B34" t="s">
        <v>238</v>
      </c>
      <c r="C34">
        <v>1087.2000000000003</v>
      </c>
      <c r="D34">
        <v>744.99999999999977</v>
      </c>
      <c r="E34">
        <v>489.2</v>
      </c>
      <c r="F34">
        <v>697.40000000000009</v>
      </c>
      <c r="G34">
        <v>867.80000000000007</v>
      </c>
      <c r="H34">
        <v>414.59999999999997</v>
      </c>
    </row>
    <row r="35" spans="1:8" x14ac:dyDescent="0.4">
      <c r="A35">
        <v>1190033202</v>
      </c>
      <c r="B35" t="s">
        <v>238</v>
      </c>
      <c r="C35">
        <v>274</v>
      </c>
      <c r="D35">
        <v>230.8</v>
      </c>
      <c r="E35">
        <v>319.39999999999998</v>
      </c>
      <c r="F35">
        <v>315.39999999999998</v>
      </c>
      <c r="G35">
        <v>212.6</v>
      </c>
      <c r="H35">
        <v>280.89999999999998</v>
      </c>
    </row>
    <row r="36" spans="1:8" x14ac:dyDescent="0.4">
      <c r="A36">
        <v>1190033301</v>
      </c>
      <c r="B36" t="s">
        <v>343</v>
      </c>
      <c r="C36">
        <v>1553</v>
      </c>
      <c r="D36">
        <v>474.9</v>
      </c>
      <c r="E36">
        <v>2575.1</v>
      </c>
      <c r="F36">
        <v>355.8</v>
      </c>
      <c r="G36">
        <v>418.5</v>
      </c>
      <c r="H36">
        <v>635</v>
      </c>
    </row>
    <row r="37" spans="1:8" x14ac:dyDescent="0.4">
      <c r="A37">
        <v>1190033302</v>
      </c>
      <c r="B37" t="s">
        <v>343</v>
      </c>
      <c r="C37">
        <v>764.7</v>
      </c>
      <c r="D37">
        <v>327.7</v>
      </c>
      <c r="E37">
        <v>362.59999999999997</v>
      </c>
      <c r="F37">
        <v>676.00000000000011</v>
      </c>
      <c r="G37">
        <v>419.2</v>
      </c>
      <c r="H37">
        <v>487.3</v>
      </c>
    </row>
    <row r="38" spans="1:8" x14ac:dyDescent="0.4">
      <c r="A38">
        <v>1190037301</v>
      </c>
      <c r="B38" t="s">
        <v>242</v>
      </c>
      <c r="C38">
        <v>1125.2</v>
      </c>
      <c r="D38">
        <v>1548.8</v>
      </c>
      <c r="E38">
        <v>1081.1999999999998</v>
      </c>
      <c r="F38">
        <v>294.39999999999998</v>
      </c>
      <c r="G38">
        <v>692.80000000000007</v>
      </c>
      <c r="H38">
        <v>1634.1</v>
      </c>
    </row>
    <row r="39" spans="1:8" x14ac:dyDescent="0.4">
      <c r="A39">
        <v>1190037302</v>
      </c>
      <c r="B39" t="s">
        <v>242</v>
      </c>
      <c r="F39">
        <v>437.1</v>
      </c>
      <c r="G39">
        <v>335.4</v>
      </c>
      <c r="H39">
        <v>376.4</v>
      </c>
    </row>
    <row r="40" spans="1:8" x14ac:dyDescent="0.4">
      <c r="A40">
        <v>1190037401</v>
      </c>
      <c r="B40" t="s">
        <v>347</v>
      </c>
      <c r="C40">
        <v>210</v>
      </c>
      <c r="D40">
        <v>293.60000000000002</v>
      </c>
      <c r="E40">
        <v>244</v>
      </c>
      <c r="F40">
        <v>229</v>
      </c>
      <c r="G40">
        <v>373</v>
      </c>
      <c r="H40">
        <v>273.39999999999998</v>
      </c>
    </row>
    <row r="41" spans="1:8" x14ac:dyDescent="0.4">
      <c r="A41">
        <v>1190043401</v>
      </c>
      <c r="B41" t="s">
        <v>241</v>
      </c>
      <c r="C41">
        <v>953.39999999999986</v>
      </c>
      <c r="D41">
        <v>608.69999999999993</v>
      </c>
      <c r="E41">
        <v>674.6</v>
      </c>
      <c r="F41">
        <v>658.00000000000011</v>
      </c>
      <c r="G41">
        <v>775.09999999999991</v>
      </c>
      <c r="H41">
        <v>696.4</v>
      </c>
    </row>
    <row r="42" spans="1:8" x14ac:dyDescent="0.4">
      <c r="A42">
        <v>1190043402</v>
      </c>
      <c r="B42" t="s">
        <v>241</v>
      </c>
      <c r="C42">
        <v>2390</v>
      </c>
      <c r="D42">
        <v>1625.4</v>
      </c>
      <c r="E42">
        <v>827.40000000000009</v>
      </c>
      <c r="F42">
        <v>1303.6999999999998</v>
      </c>
      <c r="G42">
        <v>1187.9000000000001</v>
      </c>
      <c r="H42">
        <v>2046.9999999999998</v>
      </c>
    </row>
    <row r="43" spans="1:8" x14ac:dyDescent="0.4">
      <c r="A43">
        <v>1190043501</v>
      </c>
      <c r="B43" t="s">
        <v>351</v>
      </c>
      <c r="C43">
        <v>1125.6999999999998</v>
      </c>
      <c r="D43">
        <v>867.59999999999991</v>
      </c>
      <c r="E43">
        <v>677.5</v>
      </c>
      <c r="F43">
        <v>1098.9000000000001</v>
      </c>
      <c r="G43">
        <v>1020.9</v>
      </c>
      <c r="H43">
        <v>1120.2</v>
      </c>
    </row>
    <row r="44" spans="1:8" x14ac:dyDescent="0.4">
      <c r="A44">
        <v>1190043502</v>
      </c>
      <c r="B44" t="s">
        <v>351</v>
      </c>
      <c r="C44">
        <v>445.2</v>
      </c>
      <c r="D44">
        <v>446.40000000000003</v>
      </c>
      <c r="E44">
        <v>280.90000000000003</v>
      </c>
      <c r="F44">
        <v>375.40000000000009</v>
      </c>
      <c r="G44">
        <v>569.30000000000007</v>
      </c>
      <c r="H44">
        <v>516.6</v>
      </c>
    </row>
    <row r="45" spans="1:8" x14ac:dyDescent="0.4">
      <c r="A45">
        <v>1190043601</v>
      </c>
      <c r="B45" t="s">
        <v>231</v>
      </c>
      <c r="C45">
        <v>1030.6000000000001</v>
      </c>
      <c r="D45">
        <v>1087.4000000000001</v>
      </c>
      <c r="E45">
        <v>892.50000000000011</v>
      </c>
      <c r="F45">
        <v>1104.2</v>
      </c>
      <c r="G45">
        <v>878.7</v>
      </c>
      <c r="H45">
        <v>986.1</v>
      </c>
    </row>
    <row r="46" spans="1:8" x14ac:dyDescent="0.4">
      <c r="A46">
        <v>1190043602</v>
      </c>
      <c r="B46" t="s">
        <v>231</v>
      </c>
      <c r="C46">
        <v>334.7</v>
      </c>
      <c r="D46">
        <v>465.9</v>
      </c>
      <c r="E46">
        <v>655.29999999999995</v>
      </c>
      <c r="F46">
        <v>605.59999999999991</v>
      </c>
      <c r="G46">
        <v>364.90000000000003</v>
      </c>
      <c r="H46">
        <v>434.8</v>
      </c>
    </row>
    <row r="47" spans="1:8" x14ac:dyDescent="0.4">
      <c r="A47">
        <v>1190043701</v>
      </c>
      <c r="B47" t="s">
        <v>230</v>
      </c>
      <c r="C47">
        <v>767.69999999999993</v>
      </c>
      <c r="D47">
        <v>715.4</v>
      </c>
      <c r="E47">
        <v>1402.5</v>
      </c>
      <c r="F47">
        <v>545.60000000000014</v>
      </c>
      <c r="G47">
        <v>1006.1999999999999</v>
      </c>
      <c r="H47">
        <v>1679.5</v>
      </c>
    </row>
    <row r="48" spans="1:8" x14ac:dyDescent="0.4">
      <c r="A48">
        <v>1190043702</v>
      </c>
      <c r="B48" t="s">
        <v>230</v>
      </c>
      <c r="C48">
        <v>818.7</v>
      </c>
      <c r="D48">
        <v>726.50000000000011</v>
      </c>
      <c r="E48">
        <v>596.1</v>
      </c>
      <c r="F48">
        <v>607.80000000000007</v>
      </c>
      <c r="G48">
        <v>653.1</v>
      </c>
      <c r="H48">
        <v>445.9</v>
      </c>
    </row>
    <row r="49" spans="1:8" x14ac:dyDescent="0.4">
      <c r="A49">
        <v>1190043801</v>
      </c>
      <c r="B49" t="s">
        <v>358</v>
      </c>
      <c r="C49">
        <v>1097.5999999999999</v>
      </c>
      <c r="D49">
        <v>906.5</v>
      </c>
      <c r="E49">
        <v>329.7</v>
      </c>
      <c r="F49">
        <v>638.4</v>
      </c>
      <c r="G49">
        <v>661.5</v>
      </c>
      <c r="H49">
        <v>492.2</v>
      </c>
    </row>
    <row r="50" spans="1:8" x14ac:dyDescent="0.4">
      <c r="A50">
        <v>1190043802</v>
      </c>
      <c r="B50" t="s">
        <v>358</v>
      </c>
      <c r="C50">
        <v>416.1</v>
      </c>
      <c r="D50">
        <v>319.60000000000002</v>
      </c>
      <c r="E50">
        <v>357.8</v>
      </c>
      <c r="F50">
        <v>245</v>
      </c>
      <c r="G50">
        <v>279.2</v>
      </c>
      <c r="H50">
        <v>324.8</v>
      </c>
    </row>
    <row r="51" spans="1:8" x14ac:dyDescent="0.4">
      <c r="A51">
        <v>1190043901</v>
      </c>
      <c r="B51" t="s">
        <v>361</v>
      </c>
      <c r="C51">
        <v>342.3</v>
      </c>
      <c r="D51">
        <v>340.29999999999995</v>
      </c>
      <c r="E51">
        <v>428</v>
      </c>
      <c r="F51">
        <v>321.79999999999995</v>
      </c>
      <c r="G51">
        <v>530.29999999999995</v>
      </c>
      <c r="H51">
        <v>489.59999999999997</v>
      </c>
    </row>
    <row r="52" spans="1:8" x14ac:dyDescent="0.4">
      <c r="A52">
        <v>1190043902</v>
      </c>
      <c r="B52" t="s">
        <v>361</v>
      </c>
      <c r="C52">
        <v>961.5</v>
      </c>
      <c r="D52">
        <v>359.5</v>
      </c>
      <c r="E52">
        <v>653.70000000000005</v>
      </c>
      <c r="F52">
        <v>664.29999999999984</v>
      </c>
      <c r="G52">
        <v>344.99999999999994</v>
      </c>
      <c r="H52">
        <v>825</v>
      </c>
    </row>
    <row r="53" spans="1:8" x14ac:dyDescent="0.4">
      <c r="A53">
        <v>1190044001</v>
      </c>
      <c r="B53" t="s">
        <v>364</v>
      </c>
      <c r="C53">
        <v>770.19999999999993</v>
      </c>
      <c r="D53">
        <v>467.5</v>
      </c>
      <c r="E53">
        <v>775.29999999999984</v>
      </c>
      <c r="F53">
        <v>453.50000000000011</v>
      </c>
      <c r="G53">
        <v>694.2</v>
      </c>
      <c r="H53">
        <v>520.30000000000007</v>
      </c>
    </row>
    <row r="54" spans="1:8" x14ac:dyDescent="0.4">
      <c r="A54">
        <v>1190044002</v>
      </c>
      <c r="B54" t="s">
        <v>364</v>
      </c>
      <c r="C54">
        <v>60.8</v>
      </c>
      <c r="D54">
        <v>164.20000000000002</v>
      </c>
      <c r="E54">
        <v>179.3</v>
      </c>
      <c r="F54">
        <v>135.4</v>
      </c>
      <c r="G54">
        <v>108.8</v>
      </c>
      <c r="H54">
        <v>310.5</v>
      </c>
    </row>
    <row r="55" spans="1:8" x14ac:dyDescent="0.4">
      <c r="A55">
        <v>1190044013</v>
      </c>
      <c r="B55" t="s">
        <v>364</v>
      </c>
      <c r="H55">
        <v>72.7</v>
      </c>
    </row>
    <row r="56" spans="1:8" x14ac:dyDescent="0.4">
      <c r="A56">
        <v>1190044101</v>
      </c>
      <c r="B56" t="s">
        <v>367</v>
      </c>
      <c r="C56">
        <v>1513.2999999999997</v>
      </c>
      <c r="D56">
        <v>1017.8999999999999</v>
      </c>
      <c r="E56">
        <v>628.4</v>
      </c>
      <c r="F56">
        <v>1314.1999999999998</v>
      </c>
      <c r="G56">
        <v>1027.6999999999998</v>
      </c>
      <c r="H56">
        <v>1178.8</v>
      </c>
    </row>
    <row r="57" spans="1:8" x14ac:dyDescent="0.4">
      <c r="A57">
        <v>1190054201</v>
      </c>
      <c r="B57" t="s">
        <v>369</v>
      </c>
      <c r="C57">
        <v>1968.6000000000004</v>
      </c>
      <c r="D57">
        <v>1610.1999999999998</v>
      </c>
      <c r="E57">
        <v>1963.3000000000002</v>
      </c>
      <c r="F57">
        <v>1128.2</v>
      </c>
      <c r="G57">
        <v>1697.8000000000004</v>
      </c>
      <c r="H57">
        <v>1868.0000000000002</v>
      </c>
    </row>
    <row r="58" spans="1:8" x14ac:dyDescent="0.4">
      <c r="A58">
        <v>1190054202</v>
      </c>
      <c r="B58" t="s">
        <v>369</v>
      </c>
      <c r="C58">
        <v>934.7</v>
      </c>
      <c r="D58">
        <v>1157.6999999999998</v>
      </c>
      <c r="E58">
        <v>526.90000000000009</v>
      </c>
      <c r="F58">
        <v>953</v>
      </c>
      <c r="G58">
        <v>1047.3999999999999</v>
      </c>
      <c r="H58">
        <v>652.20000000000005</v>
      </c>
    </row>
    <row r="59" spans="1:8" x14ac:dyDescent="0.4">
      <c r="A59">
        <v>1190054301</v>
      </c>
      <c r="B59" t="s">
        <v>372</v>
      </c>
      <c r="C59">
        <v>1119.1999999999998</v>
      </c>
      <c r="D59">
        <v>744.3</v>
      </c>
      <c r="E59">
        <v>811.19999999999993</v>
      </c>
      <c r="F59">
        <v>898.09999999999991</v>
      </c>
      <c r="G59">
        <v>768.69999999999993</v>
      </c>
      <c r="H59">
        <v>981.8</v>
      </c>
    </row>
    <row r="60" spans="1:8" x14ac:dyDescent="0.4">
      <c r="A60">
        <v>1190054304</v>
      </c>
      <c r="B60" t="s">
        <v>372</v>
      </c>
      <c r="E60">
        <v>0.6</v>
      </c>
    </row>
    <row r="61" spans="1:8" x14ac:dyDescent="0.4">
      <c r="A61">
        <v>1190054401</v>
      </c>
      <c r="B61" t="s">
        <v>374</v>
      </c>
      <c r="C61">
        <v>1618.4</v>
      </c>
      <c r="D61">
        <v>4265.8</v>
      </c>
      <c r="E61">
        <v>4082.2000000000003</v>
      </c>
      <c r="F61">
        <v>1511.9999999999998</v>
      </c>
      <c r="G61">
        <v>5188.5999999999995</v>
      </c>
      <c r="H61">
        <v>2692.2</v>
      </c>
    </row>
    <row r="62" spans="1:8" x14ac:dyDescent="0.4">
      <c r="A62">
        <v>1190054501</v>
      </c>
      <c r="B62" t="s">
        <v>240</v>
      </c>
      <c r="C62">
        <v>345.8</v>
      </c>
      <c r="D62">
        <v>426</v>
      </c>
      <c r="E62">
        <v>333.8</v>
      </c>
      <c r="F62">
        <v>1316.8</v>
      </c>
      <c r="G62">
        <v>223.4</v>
      </c>
      <c r="H62">
        <v>239.8</v>
      </c>
    </row>
    <row r="63" spans="1:8" x14ac:dyDescent="0.4">
      <c r="A63">
        <v>1190054601</v>
      </c>
      <c r="B63" t="s">
        <v>226</v>
      </c>
      <c r="C63">
        <v>3332.4</v>
      </c>
      <c r="D63">
        <v>2027.6</v>
      </c>
      <c r="E63">
        <v>2649</v>
      </c>
      <c r="F63">
        <v>2874.6</v>
      </c>
      <c r="G63">
        <v>2627.2999999999997</v>
      </c>
      <c r="H63">
        <v>3077.1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2DF2-F934-464A-8F51-174F80378CD5}">
  <sheetPr codeName="Sheet30">
    <tabColor rgb="FF00B0F0"/>
  </sheetPr>
  <dimension ref="A1:BP58"/>
  <sheetViews>
    <sheetView zoomScale="50" zoomScaleNormal="50" workbookViewId="0">
      <pane xSplit="4" ySplit="1" topLeftCell="AE20" activePane="bottomRight" state="frozen"/>
      <selection pane="topRight" activeCell="BE11" sqref="BE11:BP11"/>
      <selection pane="bottomLeft" activeCell="BE11" sqref="BE11:BP11"/>
      <selection pane="bottomRight" activeCell="BE11" sqref="BE11:BP11"/>
    </sheetView>
  </sheetViews>
  <sheetFormatPr defaultRowHeight="16.8" x14ac:dyDescent="0.4"/>
  <cols>
    <col min="1" max="1" width="18" customWidth="1"/>
    <col min="3" max="3" width="27.5" customWidth="1"/>
    <col min="4" max="4" width="15.8984375" customWidth="1"/>
    <col min="31" max="31" width="9.59765625" bestFit="1" customWidth="1"/>
    <col min="32" max="32" width="10" customWidth="1"/>
    <col min="34" max="34" width="11" customWidth="1"/>
  </cols>
  <sheetData>
    <row r="1" spans="1:68" x14ac:dyDescent="0.4">
      <c r="A1" t="s">
        <v>79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140</v>
      </c>
      <c r="N1" t="s">
        <v>255</v>
      </c>
      <c r="O1" t="s">
        <v>256</v>
      </c>
      <c r="P1" t="s">
        <v>257</v>
      </c>
      <c r="R1" t="s">
        <v>247</v>
      </c>
      <c r="S1" t="s">
        <v>248</v>
      </c>
      <c r="T1" t="s">
        <v>249</v>
      </c>
      <c r="U1" t="s">
        <v>250</v>
      </c>
      <c r="V1" t="s">
        <v>251</v>
      </c>
      <c r="W1" t="s">
        <v>252</v>
      </c>
      <c r="X1" t="s">
        <v>253</v>
      </c>
      <c r="Y1" t="s">
        <v>254</v>
      </c>
      <c r="Z1" t="s">
        <v>140</v>
      </c>
      <c r="AA1" t="s">
        <v>255</v>
      </c>
      <c r="AB1" t="s">
        <v>256</v>
      </c>
      <c r="AC1" t="s">
        <v>257</v>
      </c>
      <c r="AE1" t="s">
        <v>247</v>
      </c>
      <c r="AF1" t="s">
        <v>248</v>
      </c>
      <c r="AG1" t="s">
        <v>249</v>
      </c>
      <c r="AH1" t="s">
        <v>250</v>
      </c>
      <c r="AI1" t="s">
        <v>251</v>
      </c>
      <c r="AJ1" t="s">
        <v>252</v>
      </c>
      <c r="AK1" t="s">
        <v>253</v>
      </c>
      <c r="AL1" t="s">
        <v>254</v>
      </c>
      <c r="AM1" t="s">
        <v>140</v>
      </c>
      <c r="AN1" t="s">
        <v>255</v>
      </c>
      <c r="AO1" t="s">
        <v>256</v>
      </c>
      <c r="AP1" t="s">
        <v>257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140</v>
      </c>
      <c r="BA1" t="s">
        <v>255</v>
      </c>
      <c r="BB1" t="s">
        <v>256</v>
      </c>
      <c r="BC1" t="s">
        <v>257</v>
      </c>
      <c r="BE1" t="s">
        <v>247</v>
      </c>
      <c r="BF1" t="s">
        <v>248</v>
      </c>
      <c r="BG1" t="s">
        <v>249</v>
      </c>
      <c r="BH1" t="s">
        <v>250</v>
      </c>
      <c r="BI1" t="s">
        <v>251</v>
      </c>
      <c r="BJ1" t="s">
        <v>252</v>
      </c>
      <c r="BK1" t="s">
        <v>253</v>
      </c>
      <c r="BL1" t="s">
        <v>254</v>
      </c>
      <c r="BM1" t="s">
        <v>140</v>
      </c>
      <c r="BN1" t="s">
        <v>255</v>
      </c>
      <c r="BO1" t="s">
        <v>256</v>
      </c>
      <c r="BP1" t="s">
        <v>257</v>
      </c>
    </row>
    <row r="2" spans="1:68" x14ac:dyDescent="0.4">
      <c r="A2">
        <v>1190011201</v>
      </c>
      <c r="B2">
        <f>VLOOKUP(A2,'Aji Plus'!$A$2:$D$58,2,0)</f>
        <v>76001</v>
      </c>
      <c r="C2" t="str">
        <f>VLOOKUP(A2,'Aji Plus'!$A$2:$D$58,3,0)</f>
        <v>นายวิโรจน์ แซ่ฉั่ว</v>
      </c>
      <c r="D2" t="str">
        <f>VLOOKUP(A2,'Aji Plus'!$A$2:$D$58,4,0)</f>
        <v>Thonburi</v>
      </c>
      <c r="E2" s="1">
        <v>167.07665</v>
      </c>
      <c r="F2" s="1">
        <v>167.07665</v>
      </c>
      <c r="G2" s="1">
        <v>167.07665</v>
      </c>
      <c r="H2" s="1">
        <v>167.07665</v>
      </c>
      <c r="I2" s="1">
        <v>167.07665</v>
      </c>
      <c r="J2" s="1">
        <v>167.07665</v>
      </c>
      <c r="K2" s="1">
        <v>167.07665</v>
      </c>
      <c r="L2" s="1">
        <v>167.07665</v>
      </c>
      <c r="M2" s="1">
        <v>167.07665</v>
      </c>
      <c r="N2" s="1">
        <v>167.07665</v>
      </c>
      <c r="O2" s="1">
        <v>167.07665</v>
      </c>
      <c r="P2" s="1">
        <v>167.07665</v>
      </c>
      <c r="R2" s="1">
        <f>VLOOKUP(A2,Actual_RDNS!$A$2:$H$62,3,0)</f>
        <v>35.64</v>
      </c>
      <c r="S2" s="1">
        <f>VLOOKUP(A2,Actual_RDNS!$A$2:$H$62,4,0)</f>
        <v>757.61999999999989</v>
      </c>
      <c r="T2" s="1">
        <f>VLOOKUP(A2,Actual_RDNS!$A$2:$H$62,5,0)</f>
        <v>148.5</v>
      </c>
      <c r="U2" s="1">
        <f>VLOOKUP(A2,Actual_RDNS!$A$2:$H$62,6,0)</f>
        <v>0</v>
      </c>
      <c r="V2" s="1">
        <f>VLOOKUP(A2,Actual_RDNS!$A$2:$H$62,7,0)</f>
        <v>122.39999999999999</v>
      </c>
      <c r="W2" s="1">
        <f>VLOOKUP(A2,Actual_RDNS!$A$2:$H$62,8,0)</f>
        <v>70.460000000000008</v>
      </c>
      <c r="X2" s="111"/>
      <c r="Y2" s="111"/>
      <c r="Z2" s="111"/>
      <c r="AA2" s="111"/>
      <c r="AB2" s="111"/>
      <c r="AC2" s="111"/>
      <c r="AE2" s="109">
        <f>R2/E2</f>
        <v>0.2133152657777134</v>
      </c>
      <c r="AF2" s="97">
        <f t="shared" ref="AF2:AP17" si="0">S2/F2</f>
        <v>4.534565422517149</v>
      </c>
      <c r="AG2" s="97">
        <f t="shared" si="0"/>
        <v>0.88881360740713922</v>
      </c>
      <c r="AH2" s="97">
        <f t="shared" si="0"/>
        <v>0</v>
      </c>
      <c r="AI2" s="97">
        <f t="shared" si="0"/>
        <v>0.73259788246891466</v>
      </c>
      <c r="AJ2" s="97">
        <f t="shared" si="0"/>
        <v>0.42172260456503052</v>
      </c>
      <c r="AK2" s="99">
        <f t="shared" si="0"/>
        <v>0</v>
      </c>
      <c r="AL2" s="99">
        <f t="shared" si="0"/>
        <v>0</v>
      </c>
      <c r="AM2" s="99">
        <f t="shared" si="0"/>
        <v>0</v>
      </c>
      <c r="AN2" s="99">
        <f t="shared" si="0"/>
        <v>0</v>
      </c>
      <c r="AO2" s="99">
        <f t="shared" si="0"/>
        <v>0</v>
      </c>
      <c r="AP2" s="99">
        <f t="shared" si="0"/>
        <v>0</v>
      </c>
      <c r="AQ2" s="97"/>
      <c r="AR2" s="99">
        <f>ROUND(AE2,4)</f>
        <v>0.21329999999999999</v>
      </c>
      <c r="AS2" s="99">
        <f t="shared" ref="AS2:BC17" si="1">ROUND(AF2,4)</f>
        <v>4.5346000000000002</v>
      </c>
      <c r="AT2" s="99">
        <f t="shared" si="1"/>
        <v>0.88880000000000003</v>
      </c>
      <c r="AU2" s="99">
        <f t="shared" si="1"/>
        <v>0</v>
      </c>
      <c r="AV2" s="99">
        <f t="shared" si="1"/>
        <v>0.73260000000000003</v>
      </c>
      <c r="AW2" s="99">
        <f t="shared" si="1"/>
        <v>0.42170000000000002</v>
      </c>
      <c r="AX2" s="99">
        <f t="shared" si="1"/>
        <v>0</v>
      </c>
      <c r="AY2" s="99">
        <f t="shared" si="1"/>
        <v>0</v>
      </c>
      <c r="AZ2" s="99">
        <f t="shared" si="1"/>
        <v>0</v>
      </c>
      <c r="BA2" s="99">
        <f t="shared" si="1"/>
        <v>0</v>
      </c>
      <c r="BB2" s="99">
        <f t="shared" si="1"/>
        <v>0</v>
      </c>
      <c r="BC2" s="99">
        <f t="shared" si="1"/>
        <v>0</v>
      </c>
      <c r="BD2" s="97"/>
      <c r="BE2" s="1">
        <f>IFERROR(VLOOKUP(AR2,'Top WS'!$A$19:$E$28,5),0)</f>
        <v>400</v>
      </c>
      <c r="BF2" s="1">
        <f>IFERROR(VLOOKUP(AS2,'Top WS'!$A$19:$E$28,5),0)</f>
        <v>520</v>
      </c>
      <c r="BG2" s="1">
        <f>IFERROR(VLOOKUP(AT2,'Top WS'!$A$19:$E$28,5),0)</f>
        <v>400</v>
      </c>
      <c r="BH2" s="1">
        <f>IFERROR(VLOOKUP(AU2,'Top WS'!$A$19:$E$28,5),0)</f>
        <v>400</v>
      </c>
      <c r="BI2" s="1">
        <f>IFERROR(VLOOKUP(AV2,'Top WS'!$A$19:$E$28,5),0)</f>
        <v>400</v>
      </c>
      <c r="BJ2" s="1">
        <f>IFERROR(VLOOKUP(AW2,'Top WS'!$A$19:$E$28,5),0)</f>
        <v>400</v>
      </c>
      <c r="BK2" s="98">
        <f>IFERROR(VLOOKUP(AX2,'Top WS'!$A$19:$E$28,5),0)</f>
        <v>400</v>
      </c>
      <c r="BL2" s="98">
        <f>IFERROR(VLOOKUP(AY2,'Top WS'!$A$19:$E$28,5),0)</f>
        <v>400</v>
      </c>
      <c r="BM2" s="98">
        <f>IFERROR(VLOOKUP(AZ2,'Top WS'!$A$19:$E$28,5),0)</f>
        <v>400</v>
      </c>
      <c r="BN2" s="98">
        <f>IFERROR(VLOOKUP(BA2,'Top WS'!$A$19:$E$28,5),0)</f>
        <v>400</v>
      </c>
      <c r="BO2" s="98">
        <f>IFERROR(VLOOKUP(BB2,'Top WS'!$A$19:$E$28,5),0)</f>
        <v>400</v>
      </c>
      <c r="BP2" s="98">
        <f>IFERROR(VLOOKUP(BC2,'Top WS'!$A$19:$E$28,5),0)</f>
        <v>400</v>
      </c>
    </row>
    <row r="3" spans="1:68" x14ac:dyDescent="0.4">
      <c r="A3">
        <v>1190011214</v>
      </c>
      <c r="B3">
        <f>VLOOKUP(A3,'Aji Plus'!$A$2:$D$58,2,0)</f>
        <v>71328</v>
      </c>
      <c r="C3" t="str">
        <f>VLOOKUP(A3,'Aji Plus'!$A$2:$D$58,3,0)</f>
        <v>นายประเสริฐ สุขีธรรม</v>
      </c>
      <c r="D3" t="str">
        <f>VLOOKUP(A3,'Aji Plus'!$A$2:$D$58,4,0)</f>
        <v>Thonburi</v>
      </c>
      <c r="E3" s="1">
        <v>167.07665</v>
      </c>
      <c r="F3" s="1">
        <v>167.07665</v>
      </c>
      <c r="G3" s="1">
        <v>167.07665</v>
      </c>
      <c r="H3" s="1">
        <v>167.07665</v>
      </c>
      <c r="I3" s="1">
        <v>167.07665</v>
      </c>
      <c r="J3" s="1">
        <v>167.07665</v>
      </c>
      <c r="K3" s="1">
        <v>167.07665</v>
      </c>
      <c r="L3" s="1">
        <v>167.07665</v>
      </c>
      <c r="M3" s="1">
        <v>167.07665</v>
      </c>
      <c r="N3" s="1">
        <v>167.07665</v>
      </c>
      <c r="O3" s="1">
        <v>167.07665</v>
      </c>
      <c r="P3" s="1">
        <v>167.07665</v>
      </c>
      <c r="R3" s="1">
        <f>VLOOKUP(A3,Actual_RDNS!$A$2:$H$62,3,0)</f>
        <v>0</v>
      </c>
      <c r="S3" s="1">
        <f>VLOOKUP(A3,Actual_RDNS!$A$2:$H$62,4,0)</f>
        <v>427.68</v>
      </c>
      <c r="T3" s="1">
        <f>VLOOKUP(A3,Actual_RDNS!$A$2:$H$62,5,0)</f>
        <v>8.5</v>
      </c>
      <c r="U3" s="1">
        <f>VLOOKUP(A3,Actual_RDNS!$A$2:$H$62,6,0)</f>
        <v>59.400000000000006</v>
      </c>
      <c r="V3" s="1">
        <f>VLOOKUP(A3,Actual_RDNS!$A$2:$H$62,7,0)</f>
        <v>0</v>
      </c>
      <c r="W3" s="1">
        <f>VLOOKUP(A3,Actual_RDNS!$A$2:$H$62,8,0)</f>
        <v>0</v>
      </c>
      <c r="X3" s="111"/>
      <c r="Y3" s="111"/>
      <c r="Z3" s="111"/>
      <c r="AA3" s="111"/>
      <c r="AB3" s="111"/>
      <c r="AC3" s="111"/>
      <c r="AE3" s="97">
        <f t="shared" ref="AE3:AP37" si="2">R3/E3</f>
        <v>0</v>
      </c>
      <c r="AF3" s="97">
        <f t="shared" si="0"/>
        <v>2.5597831893325607</v>
      </c>
      <c r="AG3" s="97">
        <f t="shared" si="0"/>
        <v>5.0874852949230186E-2</v>
      </c>
      <c r="AH3" s="97">
        <f t="shared" si="0"/>
        <v>0.35552544296285571</v>
      </c>
      <c r="AI3" s="97">
        <f t="shared" si="0"/>
        <v>0</v>
      </c>
      <c r="AJ3" s="97">
        <f t="shared" si="0"/>
        <v>0</v>
      </c>
      <c r="AK3" s="99">
        <f t="shared" si="0"/>
        <v>0</v>
      </c>
      <c r="AL3" s="99">
        <f t="shared" si="0"/>
        <v>0</v>
      </c>
      <c r="AM3" s="99">
        <f t="shared" si="0"/>
        <v>0</v>
      </c>
      <c r="AN3" s="99">
        <f t="shared" si="0"/>
        <v>0</v>
      </c>
      <c r="AO3" s="99">
        <f t="shared" si="0"/>
        <v>0</v>
      </c>
      <c r="AP3" s="99">
        <f t="shared" si="0"/>
        <v>0</v>
      </c>
      <c r="AQ3" s="97"/>
      <c r="AR3" s="99">
        <f t="shared" ref="AR3:BC37" si="3">ROUND(AE3,4)</f>
        <v>0</v>
      </c>
      <c r="AS3" s="99">
        <f t="shared" si="1"/>
        <v>2.5598000000000001</v>
      </c>
      <c r="AT3" s="99">
        <f t="shared" si="1"/>
        <v>5.0900000000000001E-2</v>
      </c>
      <c r="AU3" s="99">
        <f t="shared" si="1"/>
        <v>0.35549999999999998</v>
      </c>
      <c r="AV3" s="99">
        <f t="shared" si="1"/>
        <v>0</v>
      </c>
      <c r="AW3" s="99">
        <f t="shared" si="1"/>
        <v>0</v>
      </c>
      <c r="AX3" s="99">
        <f t="shared" si="1"/>
        <v>0</v>
      </c>
      <c r="AY3" s="99">
        <f t="shared" si="1"/>
        <v>0</v>
      </c>
      <c r="AZ3" s="99">
        <f t="shared" si="1"/>
        <v>0</v>
      </c>
      <c r="BA3" s="99">
        <f t="shared" si="1"/>
        <v>0</v>
      </c>
      <c r="BB3" s="99">
        <f t="shared" si="1"/>
        <v>0</v>
      </c>
      <c r="BC3" s="99">
        <f t="shared" si="1"/>
        <v>0</v>
      </c>
      <c r="BD3" s="97"/>
      <c r="BE3" s="1">
        <f>IFERROR(VLOOKUP(AR3,'Top WS'!$A$19:$E$28,5),0)</f>
        <v>400</v>
      </c>
      <c r="BF3" s="1">
        <f>IFERROR(VLOOKUP(AS3,'Top WS'!$A$19:$E$28,5),0)</f>
        <v>520</v>
      </c>
      <c r="BG3" s="1">
        <f>IFERROR(VLOOKUP(AT3,'Top WS'!$A$19:$E$28,5),0)</f>
        <v>400</v>
      </c>
      <c r="BH3" s="1">
        <f>IFERROR(VLOOKUP(AU3,'Top WS'!$A$19:$E$28,5),0)</f>
        <v>400</v>
      </c>
      <c r="BI3" s="1">
        <f>IFERROR(VLOOKUP(AV3,'Top WS'!$A$19:$E$28,5),0)</f>
        <v>400</v>
      </c>
      <c r="BJ3" s="1">
        <f>IFERROR(VLOOKUP(AW3,'Top WS'!$A$19:$E$28,5),0)</f>
        <v>400</v>
      </c>
      <c r="BK3" s="98">
        <f>IFERROR(VLOOKUP(AX3,'Top WS'!$A$19:$E$28,5),0)</f>
        <v>400</v>
      </c>
      <c r="BL3" s="98">
        <f>IFERROR(VLOOKUP(AY3,'Top WS'!$A$19:$E$28,5),0)</f>
        <v>400</v>
      </c>
      <c r="BM3" s="98">
        <f>IFERROR(VLOOKUP(AZ3,'Top WS'!$A$19:$E$28,5),0)</f>
        <v>400</v>
      </c>
      <c r="BN3" s="98">
        <f>IFERROR(VLOOKUP(BA3,'Top WS'!$A$19:$E$28,5),0)</f>
        <v>400</v>
      </c>
      <c r="BO3" s="98">
        <f>IFERROR(VLOOKUP(BB3,'Top WS'!$A$19:$E$28,5),0)</f>
        <v>400</v>
      </c>
      <c r="BP3" s="98">
        <f>IFERROR(VLOOKUP(BC3,'Top WS'!$A$19:$E$28,5),0)</f>
        <v>400</v>
      </c>
    </row>
    <row r="4" spans="1:68" x14ac:dyDescent="0.4">
      <c r="A4">
        <v>1190011401</v>
      </c>
      <c r="B4">
        <f>VLOOKUP(A4,'Aji Plus'!$A$2:$D$58,2,0)</f>
        <v>63723</v>
      </c>
      <c r="C4" t="str">
        <f>VLOOKUP(A4,'Aji Plus'!$A$2:$D$58,3,0)</f>
        <v>นายธนาพัทธ์ จงเทพสกุลชัย</v>
      </c>
      <c r="D4" t="str">
        <f>VLOOKUP(A4,'Aji Plus'!$A$2:$D$58,4,0)</f>
        <v>Nonthaburi</v>
      </c>
      <c r="E4" s="1">
        <v>167</v>
      </c>
      <c r="F4" s="1">
        <v>170</v>
      </c>
      <c r="G4" s="1">
        <v>168</v>
      </c>
      <c r="H4" s="1">
        <v>167</v>
      </c>
      <c r="I4" s="1">
        <v>167</v>
      </c>
      <c r="J4" s="1">
        <v>167</v>
      </c>
      <c r="K4" s="1">
        <v>160</v>
      </c>
      <c r="L4" s="1">
        <v>170</v>
      </c>
      <c r="M4" s="1">
        <v>167</v>
      </c>
      <c r="N4" s="1">
        <v>170</v>
      </c>
      <c r="O4" s="1">
        <v>167</v>
      </c>
      <c r="P4" s="1">
        <v>170</v>
      </c>
      <c r="R4" s="1">
        <f>VLOOKUP(A4,Actual_RDNS!$A$2:$H$62,3,0)</f>
        <v>92.699999999999989</v>
      </c>
      <c r="S4" s="1">
        <f>VLOOKUP(A4,Actual_RDNS!$A$2:$H$62,4,0)</f>
        <v>1504.6200000000001</v>
      </c>
      <c r="T4" s="1">
        <f>VLOOKUP(A4,Actual_RDNS!$A$2:$H$62,5,0)</f>
        <v>5.94</v>
      </c>
      <c r="U4" s="1">
        <f>VLOOKUP(A4,Actual_RDNS!$A$2:$H$62,6,0)</f>
        <v>29.700000000000003</v>
      </c>
      <c r="V4" s="1">
        <f>VLOOKUP(A4,Actual_RDNS!$A$2:$H$62,7,0)</f>
        <v>60.120000000000005</v>
      </c>
      <c r="W4" s="1">
        <f>VLOOKUP(A4,Actual_RDNS!$A$2:$H$62,8,0)</f>
        <v>383.93999999999994</v>
      </c>
      <c r="X4" s="111"/>
      <c r="Y4" s="111"/>
      <c r="Z4" s="111"/>
      <c r="AA4" s="111"/>
      <c r="AB4" s="111"/>
      <c r="AC4" s="111"/>
      <c r="AE4" s="97">
        <f t="shared" si="2"/>
        <v>0.55508982035928134</v>
      </c>
      <c r="AF4" s="97">
        <f t="shared" si="0"/>
        <v>8.8507058823529423</v>
      </c>
      <c r="AG4" s="97">
        <f t="shared" si="0"/>
        <v>3.5357142857142858E-2</v>
      </c>
      <c r="AH4" s="97">
        <f t="shared" si="0"/>
        <v>0.17784431137724552</v>
      </c>
      <c r="AI4" s="97">
        <f t="shared" si="0"/>
        <v>0.36000000000000004</v>
      </c>
      <c r="AJ4" s="97">
        <f t="shared" si="0"/>
        <v>2.2990419161676643</v>
      </c>
      <c r="AK4" s="99">
        <f t="shared" si="0"/>
        <v>0</v>
      </c>
      <c r="AL4" s="99">
        <f t="shared" si="0"/>
        <v>0</v>
      </c>
      <c r="AM4" s="99">
        <f t="shared" si="0"/>
        <v>0</v>
      </c>
      <c r="AN4" s="99">
        <f t="shared" si="0"/>
        <v>0</v>
      </c>
      <c r="AO4" s="99">
        <f t="shared" si="0"/>
        <v>0</v>
      </c>
      <c r="AP4" s="99">
        <f t="shared" si="0"/>
        <v>0</v>
      </c>
      <c r="AQ4" s="97"/>
      <c r="AR4" s="99">
        <f t="shared" si="3"/>
        <v>0.55510000000000004</v>
      </c>
      <c r="AS4" s="99">
        <f t="shared" si="1"/>
        <v>8.8506999999999998</v>
      </c>
      <c r="AT4" s="99">
        <f t="shared" si="1"/>
        <v>3.5400000000000001E-2</v>
      </c>
      <c r="AU4" s="99">
        <f t="shared" si="1"/>
        <v>0.17780000000000001</v>
      </c>
      <c r="AV4" s="99">
        <f t="shared" si="1"/>
        <v>0.36</v>
      </c>
      <c r="AW4" s="99">
        <f t="shared" si="1"/>
        <v>2.2989999999999999</v>
      </c>
      <c r="AX4" s="99">
        <f t="shared" si="1"/>
        <v>0</v>
      </c>
      <c r="AY4" s="99">
        <f t="shared" si="1"/>
        <v>0</v>
      </c>
      <c r="AZ4" s="99">
        <f t="shared" si="1"/>
        <v>0</v>
      </c>
      <c r="BA4" s="99">
        <f t="shared" si="1"/>
        <v>0</v>
      </c>
      <c r="BB4" s="99">
        <f t="shared" si="1"/>
        <v>0</v>
      </c>
      <c r="BC4" s="99">
        <f t="shared" si="1"/>
        <v>0</v>
      </c>
      <c r="BD4" s="97"/>
      <c r="BE4" s="1">
        <f>IFERROR(VLOOKUP(AR4,'Top WS'!$A$19:$E$28,5),0)</f>
        <v>400</v>
      </c>
      <c r="BF4" s="1">
        <f>IFERROR(VLOOKUP(AS4,'Top WS'!$A$19:$E$28,5),0)</f>
        <v>520</v>
      </c>
      <c r="BG4" s="1">
        <f>IFERROR(VLOOKUP(AT4,'Top WS'!$A$19:$E$28,5),0)</f>
        <v>400</v>
      </c>
      <c r="BH4" s="1">
        <f>IFERROR(VLOOKUP(AU4,'Top WS'!$A$19:$E$28,5),0)</f>
        <v>400</v>
      </c>
      <c r="BI4" s="1">
        <f>IFERROR(VLOOKUP(AV4,'Top WS'!$A$19:$E$28,5),0)</f>
        <v>400</v>
      </c>
      <c r="BJ4" s="1">
        <f>IFERROR(VLOOKUP(AW4,'Top WS'!$A$19:$E$28,5),0)</f>
        <v>520</v>
      </c>
      <c r="BK4" s="98">
        <f>IFERROR(VLOOKUP(AX4,'Top WS'!$A$19:$E$28,5),0)</f>
        <v>400</v>
      </c>
      <c r="BL4" s="98">
        <f>IFERROR(VLOOKUP(AY4,'Top WS'!$A$19:$E$28,5),0)</f>
        <v>400</v>
      </c>
      <c r="BM4" s="98">
        <f>IFERROR(VLOOKUP(AZ4,'Top WS'!$A$19:$E$28,5),0)</f>
        <v>400</v>
      </c>
      <c r="BN4" s="98">
        <f>IFERROR(VLOOKUP(BA4,'Top WS'!$A$19:$E$28,5),0)</f>
        <v>400</v>
      </c>
      <c r="BO4" s="98">
        <f>IFERROR(VLOOKUP(BB4,'Top WS'!$A$19:$E$28,5),0)</f>
        <v>400</v>
      </c>
      <c r="BP4" s="98">
        <f>IFERROR(VLOOKUP(BC4,'Top WS'!$A$19:$E$28,5),0)</f>
        <v>400</v>
      </c>
    </row>
    <row r="5" spans="1:68" x14ac:dyDescent="0.4">
      <c r="A5">
        <v>1190011412</v>
      </c>
      <c r="B5">
        <f>VLOOKUP(A5,'Aji Plus'!$A$2:$D$58,2,0)</f>
        <v>71043</v>
      </c>
      <c r="C5" t="str">
        <f>VLOOKUP(A5,'Aji Plus'!$A$2:$D$58,3,0)</f>
        <v>นายเสริมโชค อยู่อุดมสุข</v>
      </c>
      <c r="D5" t="str">
        <f>VLOOKUP(A5,'Aji Plus'!$A$2:$D$58,4,0)</f>
        <v>Nonthaburi</v>
      </c>
      <c r="E5" s="1">
        <v>167</v>
      </c>
      <c r="F5" s="1">
        <v>170</v>
      </c>
      <c r="G5" s="1">
        <v>168</v>
      </c>
      <c r="H5" s="1">
        <v>167</v>
      </c>
      <c r="I5" s="1">
        <v>167</v>
      </c>
      <c r="J5" s="1">
        <v>167</v>
      </c>
      <c r="K5" s="1">
        <v>160</v>
      </c>
      <c r="L5" s="1">
        <v>170</v>
      </c>
      <c r="M5" s="1">
        <v>167</v>
      </c>
      <c r="N5" s="1">
        <v>170</v>
      </c>
      <c r="O5" s="1">
        <v>167</v>
      </c>
      <c r="P5" s="1">
        <v>170</v>
      </c>
      <c r="R5" s="1">
        <f>VLOOKUP(A5,Actual_RDNS!$A$2:$H$62,3,0)</f>
        <v>100.16000000000001</v>
      </c>
      <c r="S5" s="1">
        <f>VLOOKUP(A5,Actual_RDNS!$A$2:$H$62,4,0)</f>
        <v>256.88</v>
      </c>
      <c r="T5" s="1">
        <f>VLOOKUP(A5,Actual_RDNS!$A$2:$H$62,5,0)</f>
        <v>120.54</v>
      </c>
      <c r="U5" s="1">
        <f>VLOOKUP(A5,Actual_RDNS!$A$2:$H$62,6,0)</f>
        <v>118.80000000000001</v>
      </c>
      <c r="V5" s="1">
        <f>VLOOKUP(A5,Actual_RDNS!$A$2:$H$62,7,0)</f>
        <v>0</v>
      </c>
      <c r="W5" s="1">
        <f>VLOOKUP(A5,Actual_RDNS!$A$2:$H$62,8,0)</f>
        <v>154.63999999999999</v>
      </c>
      <c r="X5" s="111"/>
      <c r="Y5" s="111"/>
      <c r="Z5" s="111"/>
      <c r="AA5" s="111"/>
      <c r="AB5" s="111"/>
      <c r="AC5" s="111"/>
      <c r="AE5" s="97">
        <f t="shared" si="2"/>
        <v>0.59976047904191621</v>
      </c>
      <c r="AF5" s="97">
        <f t="shared" si="0"/>
        <v>1.5110588235294118</v>
      </c>
      <c r="AG5" s="97">
        <f t="shared" si="0"/>
        <v>0.71750000000000003</v>
      </c>
      <c r="AH5" s="97">
        <f t="shared" si="0"/>
        <v>0.71137724550898207</v>
      </c>
      <c r="AI5" s="97">
        <f t="shared" si="0"/>
        <v>0</v>
      </c>
      <c r="AJ5" s="97">
        <f t="shared" si="0"/>
        <v>0.92598802395209567</v>
      </c>
      <c r="AK5" s="99">
        <f t="shared" si="0"/>
        <v>0</v>
      </c>
      <c r="AL5" s="99">
        <f t="shared" si="0"/>
        <v>0</v>
      </c>
      <c r="AM5" s="99">
        <f t="shared" si="0"/>
        <v>0</v>
      </c>
      <c r="AN5" s="99">
        <f t="shared" si="0"/>
        <v>0</v>
      </c>
      <c r="AO5" s="99">
        <f t="shared" si="0"/>
        <v>0</v>
      </c>
      <c r="AP5" s="99">
        <f t="shared" si="0"/>
        <v>0</v>
      </c>
      <c r="AQ5" s="97"/>
      <c r="AR5" s="99">
        <f t="shared" si="3"/>
        <v>0.5998</v>
      </c>
      <c r="AS5" s="99">
        <f t="shared" si="1"/>
        <v>1.5111000000000001</v>
      </c>
      <c r="AT5" s="99">
        <f t="shared" si="1"/>
        <v>0.71750000000000003</v>
      </c>
      <c r="AU5" s="99">
        <f t="shared" si="1"/>
        <v>0.71140000000000003</v>
      </c>
      <c r="AV5" s="99">
        <f t="shared" si="1"/>
        <v>0</v>
      </c>
      <c r="AW5" s="99">
        <f t="shared" si="1"/>
        <v>0.92600000000000005</v>
      </c>
      <c r="AX5" s="99">
        <f t="shared" si="1"/>
        <v>0</v>
      </c>
      <c r="AY5" s="99">
        <f t="shared" si="1"/>
        <v>0</v>
      </c>
      <c r="AZ5" s="99">
        <f t="shared" si="1"/>
        <v>0</v>
      </c>
      <c r="BA5" s="99">
        <f t="shared" si="1"/>
        <v>0</v>
      </c>
      <c r="BB5" s="99">
        <f t="shared" si="1"/>
        <v>0</v>
      </c>
      <c r="BC5" s="99">
        <f t="shared" si="1"/>
        <v>0</v>
      </c>
      <c r="BD5" s="97"/>
      <c r="BE5" s="1">
        <f>IFERROR(VLOOKUP(AR5,'Top WS'!$A$19:$E$28,5),0)</f>
        <v>400</v>
      </c>
      <c r="BF5" s="1">
        <f>IFERROR(VLOOKUP(AS5,'Top WS'!$A$19:$E$28,5),0)</f>
        <v>520</v>
      </c>
      <c r="BG5" s="1">
        <f>IFERROR(VLOOKUP(AT5,'Top WS'!$A$19:$E$28,5),0)</f>
        <v>400</v>
      </c>
      <c r="BH5" s="1">
        <f>IFERROR(VLOOKUP(AU5,'Top WS'!$A$19:$E$28,5),0)</f>
        <v>400</v>
      </c>
      <c r="BI5" s="1">
        <f>IFERROR(VLOOKUP(AV5,'Top WS'!$A$19:$E$28,5),0)</f>
        <v>400</v>
      </c>
      <c r="BJ5" s="1">
        <f>IFERROR(VLOOKUP(AW5,'Top WS'!$A$19:$E$28,5),0)</f>
        <v>400</v>
      </c>
      <c r="BK5" s="98">
        <f>IFERROR(VLOOKUP(AX5,'Top WS'!$A$19:$E$28,5),0)</f>
        <v>400</v>
      </c>
      <c r="BL5" s="98">
        <f>IFERROR(VLOOKUP(AY5,'Top WS'!$A$19:$E$28,5),0)</f>
        <v>400</v>
      </c>
      <c r="BM5" s="98">
        <f>IFERROR(VLOOKUP(AZ5,'Top WS'!$A$19:$E$28,5),0)</f>
        <v>400</v>
      </c>
      <c r="BN5" s="98">
        <f>IFERROR(VLOOKUP(BA5,'Top WS'!$A$19:$E$28,5),0)</f>
        <v>400</v>
      </c>
      <c r="BO5" s="98">
        <f>IFERROR(VLOOKUP(BB5,'Top WS'!$A$19:$E$28,5),0)</f>
        <v>400</v>
      </c>
      <c r="BP5" s="98">
        <f>IFERROR(VLOOKUP(BC5,'Top WS'!$A$19:$E$28,5),0)</f>
        <v>400</v>
      </c>
    </row>
    <row r="6" spans="1:68" x14ac:dyDescent="0.4">
      <c r="A6">
        <v>1190011501</v>
      </c>
      <c r="B6">
        <f>VLOOKUP(A6,'Aji Plus'!$A$2:$D$58,2,0)</f>
        <v>71637</v>
      </c>
      <c r="C6" t="str">
        <f>VLOOKUP(A6,'Aji Plus'!$A$2:$D$58,3,0)</f>
        <v>นายพณิชพงศ์ แจ้งธีรภูสิทธิ์</v>
      </c>
      <c r="D6" t="str">
        <f>VLOOKUP(A6,'Aji Plus'!$A$2:$D$58,4,0)</f>
        <v>Pattanakarn</v>
      </c>
      <c r="E6" s="1">
        <v>460</v>
      </c>
      <c r="F6" s="1">
        <v>460</v>
      </c>
      <c r="G6" s="1">
        <v>464</v>
      </c>
      <c r="H6" s="1">
        <v>464</v>
      </c>
      <c r="I6" s="1">
        <v>464</v>
      </c>
      <c r="J6" s="1">
        <v>464</v>
      </c>
      <c r="K6" s="1">
        <v>464</v>
      </c>
      <c r="L6" s="1">
        <v>464</v>
      </c>
      <c r="M6" s="1">
        <v>464</v>
      </c>
      <c r="N6" s="1">
        <v>464</v>
      </c>
      <c r="O6" s="1">
        <v>464</v>
      </c>
      <c r="P6" s="1">
        <v>464</v>
      </c>
      <c r="R6" s="1">
        <f>VLOOKUP(A6,Actual_RDNS!$A$2:$H$62,3,0)</f>
        <v>191.91999999999996</v>
      </c>
      <c r="S6" s="1">
        <f>VLOOKUP(A6,Actual_RDNS!$A$2:$H$62,4,0)</f>
        <v>1993.0000000000002</v>
      </c>
      <c r="T6" s="1">
        <f>VLOOKUP(A6,Actual_RDNS!$A$2:$H$62,5,0)</f>
        <v>240.35999999999996</v>
      </c>
      <c r="U6" s="1">
        <f>VLOOKUP(A6,Actual_RDNS!$A$2:$H$62,6,0)</f>
        <v>186.89999999999998</v>
      </c>
      <c r="V6" s="1">
        <f>VLOOKUP(A6,Actual_RDNS!$A$2:$H$62,7,0)</f>
        <v>230.44</v>
      </c>
      <c r="W6" s="1">
        <f>VLOOKUP(A6,Actual_RDNS!$A$2:$H$62,8,0)</f>
        <v>414.21999999999991</v>
      </c>
      <c r="X6" s="111"/>
      <c r="Y6" s="111"/>
      <c r="Z6" s="111"/>
      <c r="AA6" s="111"/>
      <c r="AB6" s="111"/>
      <c r="AC6" s="111"/>
      <c r="AE6" s="97">
        <f t="shared" si="2"/>
        <v>0.41721739130434776</v>
      </c>
      <c r="AF6" s="97">
        <f t="shared" si="0"/>
        <v>4.3326086956521745</v>
      </c>
      <c r="AG6" s="97">
        <f t="shared" si="0"/>
        <v>0.51801724137931027</v>
      </c>
      <c r="AH6" s="97">
        <f t="shared" si="0"/>
        <v>0.40280172413793097</v>
      </c>
      <c r="AI6" s="97">
        <f t="shared" si="0"/>
        <v>0.49663793103448273</v>
      </c>
      <c r="AJ6" s="97">
        <f t="shared" si="0"/>
        <v>0.8927155172413791</v>
      </c>
      <c r="AK6" s="99">
        <f t="shared" si="0"/>
        <v>0</v>
      </c>
      <c r="AL6" s="99">
        <f t="shared" si="0"/>
        <v>0</v>
      </c>
      <c r="AM6" s="99">
        <f t="shared" si="0"/>
        <v>0</v>
      </c>
      <c r="AN6" s="99">
        <f t="shared" si="0"/>
        <v>0</v>
      </c>
      <c r="AO6" s="99">
        <f t="shared" si="0"/>
        <v>0</v>
      </c>
      <c r="AP6" s="99">
        <f t="shared" si="0"/>
        <v>0</v>
      </c>
      <c r="AQ6" s="97"/>
      <c r="AR6" s="99">
        <f t="shared" si="3"/>
        <v>0.41720000000000002</v>
      </c>
      <c r="AS6" s="99">
        <f t="shared" si="1"/>
        <v>4.3326000000000002</v>
      </c>
      <c r="AT6" s="99">
        <f t="shared" si="1"/>
        <v>0.51800000000000002</v>
      </c>
      <c r="AU6" s="99">
        <f t="shared" si="1"/>
        <v>0.40279999999999999</v>
      </c>
      <c r="AV6" s="99">
        <f t="shared" si="1"/>
        <v>0.49659999999999999</v>
      </c>
      <c r="AW6" s="99">
        <f t="shared" si="1"/>
        <v>0.89270000000000005</v>
      </c>
      <c r="AX6" s="99">
        <f t="shared" si="1"/>
        <v>0</v>
      </c>
      <c r="AY6" s="99">
        <f t="shared" si="1"/>
        <v>0</v>
      </c>
      <c r="AZ6" s="99">
        <f t="shared" si="1"/>
        <v>0</v>
      </c>
      <c r="BA6" s="99">
        <f t="shared" si="1"/>
        <v>0</v>
      </c>
      <c r="BB6" s="99">
        <f t="shared" si="1"/>
        <v>0</v>
      </c>
      <c r="BC6" s="99">
        <f t="shared" si="1"/>
        <v>0</v>
      </c>
      <c r="BD6" s="97"/>
      <c r="BE6" s="1">
        <f>IFERROR(VLOOKUP(AR6,'Top WS'!$A$19:$E$28,5),0)</f>
        <v>400</v>
      </c>
      <c r="BF6" s="1">
        <f>IFERROR(VLOOKUP(AS6,'Top WS'!$A$19:$E$28,5),0)</f>
        <v>520</v>
      </c>
      <c r="BG6" s="1">
        <f>IFERROR(VLOOKUP(AT6,'Top WS'!$A$19:$E$28,5),0)</f>
        <v>400</v>
      </c>
      <c r="BH6" s="1">
        <f>IFERROR(VLOOKUP(AU6,'Top WS'!$A$19:$E$28,5),0)</f>
        <v>400</v>
      </c>
      <c r="BI6" s="1">
        <f>IFERROR(VLOOKUP(AV6,'Top WS'!$A$19:$E$28,5),0)</f>
        <v>400</v>
      </c>
      <c r="BJ6" s="1">
        <f>IFERROR(VLOOKUP(AW6,'Top WS'!$A$19:$E$28,5),0)</f>
        <v>400</v>
      </c>
      <c r="BK6" s="98">
        <f>IFERROR(VLOOKUP(AX6,'Top WS'!$A$19:$E$28,5),0)</f>
        <v>400</v>
      </c>
      <c r="BL6" s="98">
        <f>IFERROR(VLOOKUP(AY6,'Top WS'!$A$19:$E$28,5),0)</f>
        <v>400</v>
      </c>
      <c r="BM6" s="98">
        <f>IFERROR(VLOOKUP(AZ6,'Top WS'!$A$19:$E$28,5),0)</f>
        <v>400</v>
      </c>
      <c r="BN6" s="98">
        <f>IFERROR(VLOOKUP(BA6,'Top WS'!$A$19:$E$28,5),0)</f>
        <v>400</v>
      </c>
      <c r="BO6" s="98">
        <f>IFERROR(VLOOKUP(BB6,'Top WS'!$A$19:$E$28,5),0)</f>
        <v>400</v>
      </c>
      <c r="BP6" s="98">
        <f>IFERROR(VLOOKUP(BC6,'Top WS'!$A$19:$E$28,5),0)</f>
        <v>400</v>
      </c>
    </row>
    <row r="7" spans="1:68" x14ac:dyDescent="0.4">
      <c r="A7">
        <v>1190011701</v>
      </c>
      <c r="B7">
        <f>VLOOKUP(A7,'Aji Plus'!$A$2:$D$58,2,0)</f>
        <v>29698</v>
      </c>
      <c r="C7" t="str">
        <f>VLOOKUP(A7,'Aji Plus'!$A$2:$D$58,3,0)</f>
        <v>นายพูลทวี เกษรบัว</v>
      </c>
      <c r="D7" t="str">
        <f>VLOOKUP(A7,'Aji Plus'!$A$2:$D$58,4,0)</f>
        <v>Bangpoo</v>
      </c>
      <c r="E7" s="1">
        <v>380</v>
      </c>
      <c r="F7" s="1">
        <v>390</v>
      </c>
      <c r="G7" s="1">
        <v>400</v>
      </c>
      <c r="H7" s="1">
        <v>400</v>
      </c>
      <c r="I7" s="1">
        <v>400</v>
      </c>
      <c r="J7" s="1">
        <v>400</v>
      </c>
      <c r="K7" s="1">
        <v>400</v>
      </c>
      <c r="L7" s="1">
        <v>400</v>
      </c>
      <c r="M7" s="1">
        <v>400</v>
      </c>
      <c r="N7" s="1">
        <v>400</v>
      </c>
      <c r="O7" s="1">
        <v>400</v>
      </c>
      <c r="P7" s="1">
        <v>400</v>
      </c>
      <c r="R7" s="1">
        <f>VLOOKUP(A7,Actual_RDNS!$A$2:$H$62,3,0)</f>
        <v>136.62</v>
      </c>
      <c r="S7" s="1">
        <f>VLOOKUP(A7,Actual_RDNS!$A$2:$H$62,4,0)</f>
        <v>935.12</v>
      </c>
      <c r="T7" s="1">
        <f>VLOOKUP(A7,Actual_RDNS!$A$2:$H$62,5,0)</f>
        <v>184.95999999999998</v>
      </c>
      <c r="U7" s="1">
        <f>VLOOKUP(A7,Actual_RDNS!$A$2:$H$62,6,0)</f>
        <v>231.76</v>
      </c>
      <c r="V7" s="1">
        <f>VLOOKUP(A7,Actual_RDNS!$A$2:$H$62,7,0)</f>
        <v>151.98000000000002</v>
      </c>
      <c r="W7" s="1">
        <f>VLOOKUP(A7,Actual_RDNS!$A$2:$H$62,8,0)</f>
        <v>215.47999999999996</v>
      </c>
      <c r="X7" s="111"/>
      <c r="Y7" s="111"/>
      <c r="Z7" s="111"/>
      <c r="AA7" s="111"/>
      <c r="AB7" s="111"/>
      <c r="AC7" s="111"/>
      <c r="AE7" s="97">
        <f t="shared" si="2"/>
        <v>0.35952631578947369</v>
      </c>
      <c r="AF7" s="97">
        <f t="shared" si="0"/>
        <v>2.3977435897435897</v>
      </c>
      <c r="AG7" s="97">
        <f t="shared" si="0"/>
        <v>0.46239999999999992</v>
      </c>
      <c r="AH7" s="97">
        <f t="shared" si="0"/>
        <v>0.57940000000000003</v>
      </c>
      <c r="AI7" s="97">
        <f t="shared" si="0"/>
        <v>0.37995000000000007</v>
      </c>
      <c r="AJ7" s="97">
        <f t="shared" si="0"/>
        <v>0.53869999999999996</v>
      </c>
      <c r="AK7" s="99">
        <f t="shared" si="0"/>
        <v>0</v>
      </c>
      <c r="AL7" s="99">
        <f t="shared" si="0"/>
        <v>0</v>
      </c>
      <c r="AM7" s="99">
        <f t="shared" si="0"/>
        <v>0</v>
      </c>
      <c r="AN7" s="99">
        <f t="shared" si="0"/>
        <v>0</v>
      </c>
      <c r="AO7" s="99">
        <f t="shared" si="0"/>
        <v>0</v>
      </c>
      <c r="AP7" s="99">
        <f t="shared" si="0"/>
        <v>0</v>
      </c>
      <c r="AQ7" s="97"/>
      <c r="AR7" s="99">
        <f t="shared" si="3"/>
        <v>0.35949999999999999</v>
      </c>
      <c r="AS7" s="99">
        <f t="shared" si="1"/>
        <v>2.3976999999999999</v>
      </c>
      <c r="AT7" s="99">
        <f t="shared" si="1"/>
        <v>0.46239999999999998</v>
      </c>
      <c r="AU7" s="99">
        <f t="shared" si="1"/>
        <v>0.57940000000000003</v>
      </c>
      <c r="AV7" s="99">
        <f t="shared" si="1"/>
        <v>0.38</v>
      </c>
      <c r="AW7" s="99">
        <f t="shared" si="1"/>
        <v>0.53869999999999996</v>
      </c>
      <c r="AX7" s="99">
        <f t="shared" si="1"/>
        <v>0</v>
      </c>
      <c r="AY7" s="99">
        <f t="shared" si="1"/>
        <v>0</v>
      </c>
      <c r="AZ7" s="99">
        <f t="shared" si="1"/>
        <v>0</v>
      </c>
      <c r="BA7" s="99">
        <f t="shared" si="1"/>
        <v>0</v>
      </c>
      <c r="BB7" s="99">
        <f t="shared" si="1"/>
        <v>0</v>
      </c>
      <c r="BC7" s="99">
        <f t="shared" si="1"/>
        <v>0</v>
      </c>
      <c r="BD7" s="97"/>
      <c r="BE7" s="1">
        <f>IFERROR(VLOOKUP(AR7,'Top WS'!$A$19:$E$28,5),0)</f>
        <v>400</v>
      </c>
      <c r="BF7" s="1">
        <f>IFERROR(VLOOKUP(AS7,'Top WS'!$A$19:$E$28,5),0)</f>
        <v>520</v>
      </c>
      <c r="BG7" s="1">
        <f>IFERROR(VLOOKUP(AT7,'Top WS'!$A$19:$E$28,5),0)</f>
        <v>400</v>
      </c>
      <c r="BH7" s="1">
        <f>IFERROR(VLOOKUP(AU7,'Top WS'!$A$19:$E$28,5),0)</f>
        <v>400</v>
      </c>
      <c r="BI7" s="1">
        <f>IFERROR(VLOOKUP(AV7,'Top WS'!$A$19:$E$28,5),0)</f>
        <v>400</v>
      </c>
      <c r="BJ7" s="1">
        <f>IFERROR(VLOOKUP(AW7,'Top WS'!$A$19:$E$28,5),0)</f>
        <v>400</v>
      </c>
      <c r="BK7" s="98">
        <f>IFERROR(VLOOKUP(AX7,'Top WS'!$A$19:$E$28,5),0)</f>
        <v>400</v>
      </c>
      <c r="BL7" s="98">
        <f>IFERROR(VLOOKUP(AY7,'Top WS'!$A$19:$E$28,5),0)</f>
        <v>400</v>
      </c>
      <c r="BM7" s="98">
        <f>IFERROR(VLOOKUP(AZ7,'Top WS'!$A$19:$E$28,5),0)</f>
        <v>400</v>
      </c>
      <c r="BN7" s="98">
        <f>IFERROR(VLOOKUP(BA7,'Top WS'!$A$19:$E$28,5),0)</f>
        <v>400</v>
      </c>
      <c r="BO7" s="98">
        <f>IFERROR(VLOOKUP(BB7,'Top WS'!$A$19:$E$28,5),0)</f>
        <v>400</v>
      </c>
      <c r="BP7" s="98">
        <f>IFERROR(VLOOKUP(BC7,'Top WS'!$A$19:$E$28,5),0)</f>
        <v>400</v>
      </c>
    </row>
    <row r="8" spans="1:68" x14ac:dyDescent="0.4">
      <c r="A8">
        <v>1190011801</v>
      </c>
      <c r="B8">
        <f>VLOOKUP(A8,'Aji Plus'!$A$2:$D$58,2,0)</f>
        <v>28236</v>
      </c>
      <c r="C8" t="str">
        <f>VLOOKUP(A8,'Aji Plus'!$A$2:$D$58,3,0)</f>
        <v>นายประวิทย์ ธารีบุญ</v>
      </c>
      <c r="D8" t="str">
        <f>VLOOKUP(A8,'Aji Plus'!$A$2:$D$58,4,0)</f>
        <v>Ramindra</v>
      </c>
      <c r="E8" s="1">
        <v>76.663600000000002</v>
      </c>
      <c r="F8" s="1">
        <v>76.663600000000002</v>
      </c>
      <c r="G8" s="1">
        <v>76.663600000000002</v>
      </c>
      <c r="H8" s="1">
        <v>76.663600000000002</v>
      </c>
      <c r="I8" s="1">
        <v>76.663600000000002</v>
      </c>
      <c r="J8" s="1">
        <v>76.663600000000002</v>
      </c>
      <c r="K8" s="1">
        <v>76.663600000000002</v>
      </c>
      <c r="L8" s="1">
        <v>76.663600000000002</v>
      </c>
      <c r="M8" s="1">
        <v>76.663600000000002</v>
      </c>
      <c r="N8" s="1">
        <v>76.663600000000002</v>
      </c>
      <c r="O8" s="1">
        <v>76.663600000000002</v>
      </c>
      <c r="P8" s="1">
        <v>76.663600000000002</v>
      </c>
      <c r="R8" s="1">
        <f>VLOOKUP(A8,Actual_RDNS!$A$2:$H$62,3,0)</f>
        <v>11.88</v>
      </c>
      <c r="S8" s="1">
        <f>VLOOKUP(A8,Actual_RDNS!$A$2:$H$62,4,0)</f>
        <v>1512</v>
      </c>
      <c r="T8" s="1">
        <f>VLOOKUP(A8,Actual_RDNS!$A$2:$H$62,5,0)</f>
        <v>23.76</v>
      </c>
      <c r="U8" s="1">
        <f>VLOOKUP(A8,Actual_RDNS!$A$2:$H$62,6,0)</f>
        <v>41.58</v>
      </c>
      <c r="V8" s="1">
        <f>VLOOKUP(A8,Actual_RDNS!$A$2:$H$62,7,0)</f>
        <v>0</v>
      </c>
      <c r="W8" s="1">
        <f>VLOOKUP(A8,Actual_RDNS!$A$2:$H$62,8,0)</f>
        <v>17.82</v>
      </c>
      <c r="X8" s="111"/>
      <c r="Y8" s="111"/>
      <c r="Z8" s="111"/>
      <c r="AA8" s="111"/>
      <c r="AB8" s="111"/>
      <c r="AC8" s="111"/>
      <c r="AE8" s="97">
        <f t="shared" si="2"/>
        <v>0.15496272024794036</v>
      </c>
      <c r="AF8" s="97">
        <f t="shared" si="0"/>
        <v>19.722528031556045</v>
      </c>
      <c r="AG8" s="97">
        <f t="shared" si="0"/>
        <v>0.30992544049588072</v>
      </c>
      <c r="AH8" s="97">
        <f t="shared" si="0"/>
        <v>0.54236952086779122</v>
      </c>
      <c r="AI8" s="97">
        <f t="shared" si="0"/>
        <v>0</v>
      </c>
      <c r="AJ8" s="97">
        <f t="shared" si="0"/>
        <v>0.23244408037191053</v>
      </c>
      <c r="AK8" s="99">
        <f t="shared" si="0"/>
        <v>0</v>
      </c>
      <c r="AL8" s="99">
        <f t="shared" si="0"/>
        <v>0</v>
      </c>
      <c r="AM8" s="99">
        <f t="shared" si="0"/>
        <v>0</v>
      </c>
      <c r="AN8" s="99">
        <f t="shared" si="0"/>
        <v>0</v>
      </c>
      <c r="AO8" s="99">
        <f t="shared" si="0"/>
        <v>0</v>
      </c>
      <c r="AP8" s="99">
        <f t="shared" si="0"/>
        <v>0</v>
      </c>
      <c r="AQ8" s="97"/>
      <c r="AR8" s="99">
        <f t="shared" si="3"/>
        <v>0.155</v>
      </c>
      <c r="AS8" s="99">
        <f t="shared" si="1"/>
        <v>19.7225</v>
      </c>
      <c r="AT8" s="99">
        <f t="shared" si="1"/>
        <v>0.30990000000000001</v>
      </c>
      <c r="AU8" s="99">
        <f t="shared" si="1"/>
        <v>0.54239999999999999</v>
      </c>
      <c r="AV8" s="99">
        <f t="shared" si="1"/>
        <v>0</v>
      </c>
      <c r="AW8" s="99">
        <f t="shared" si="1"/>
        <v>0.2324</v>
      </c>
      <c r="AX8" s="99">
        <f t="shared" si="1"/>
        <v>0</v>
      </c>
      <c r="AY8" s="99">
        <f t="shared" si="1"/>
        <v>0</v>
      </c>
      <c r="AZ8" s="99">
        <f t="shared" si="1"/>
        <v>0</v>
      </c>
      <c r="BA8" s="99">
        <f t="shared" si="1"/>
        <v>0</v>
      </c>
      <c r="BB8" s="99">
        <f t="shared" si="1"/>
        <v>0</v>
      </c>
      <c r="BC8" s="99">
        <f t="shared" si="1"/>
        <v>0</v>
      </c>
      <c r="BD8" s="97"/>
      <c r="BE8" s="1">
        <f>IFERROR(VLOOKUP(AR8,'Top WS'!$A$19:$E$28,5),0)</f>
        <v>400</v>
      </c>
      <c r="BF8" s="1">
        <f>IFERROR(VLOOKUP(AS8,'Top WS'!$A$19:$E$28,5),0)</f>
        <v>520</v>
      </c>
      <c r="BG8" s="1">
        <f>IFERROR(VLOOKUP(AT8,'Top WS'!$A$19:$E$28,5),0)</f>
        <v>400</v>
      </c>
      <c r="BH8" s="1">
        <f>IFERROR(VLOOKUP(AU8,'Top WS'!$A$19:$E$28,5),0)</f>
        <v>400</v>
      </c>
      <c r="BI8" s="1">
        <f>IFERROR(VLOOKUP(AV8,'Top WS'!$A$19:$E$28,5),0)</f>
        <v>400</v>
      </c>
      <c r="BJ8" s="1">
        <f>IFERROR(VLOOKUP(AW8,'Top WS'!$A$19:$E$28,5),0)</f>
        <v>400</v>
      </c>
      <c r="BK8" s="98">
        <f>IFERROR(VLOOKUP(AX8,'Top WS'!$A$19:$E$28,5),0)</f>
        <v>400</v>
      </c>
      <c r="BL8" s="98">
        <f>IFERROR(VLOOKUP(AY8,'Top WS'!$A$19:$E$28,5),0)</f>
        <v>400</v>
      </c>
      <c r="BM8" s="98">
        <f>IFERROR(VLOOKUP(AZ8,'Top WS'!$A$19:$E$28,5),0)</f>
        <v>400</v>
      </c>
      <c r="BN8" s="98">
        <f>IFERROR(VLOOKUP(BA8,'Top WS'!$A$19:$E$28,5),0)</f>
        <v>400</v>
      </c>
      <c r="BO8" s="98">
        <f>IFERROR(VLOOKUP(BB8,'Top WS'!$A$19:$E$28,5),0)</f>
        <v>400</v>
      </c>
      <c r="BP8" s="98">
        <f>IFERROR(VLOOKUP(BC8,'Top WS'!$A$19:$E$28,5),0)</f>
        <v>400</v>
      </c>
    </row>
    <row r="9" spans="1:68" x14ac:dyDescent="0.4">
      <c r="A9">
        <v>1190017001</v>
      </c>
      <c r="B9">
        <f>VLOOKUP(A9,'Aji Plus'!$A$2:$D$58,2,0)</f>
        <v>77683</v>
      </c>
      <c r="C9" t="str">
        <f>VLOOKUP(A9,'Aji Plus'!$A$2:$D$58,3,0)</f>
        <v>นายสุพัชธณคุณ ชลมงคล</v>
      </c>
      <c r="D9" t="str">
        <f>VLOOKUP(A9,'Aji Plus'!$A$2:$D$58,4,0)</f>
        <v>Pathumthani</v>
      </c>
      <c r="E9" s="1">
        <v>533.16389144657751</v>
      </c>
      <c r="F9" s="1">
        <v>492.78535135823046</v>
      </c>
      <c r="G9" s="1">
        <v>439.57454901628876</v>
      </c>
      <c r="H9" s="1">
        <v>514.14968676819342</v>
      </c>
      <c r="I9" s="1">
        <v>526.06470993892128</v>
      </c>
      <c r="J9" s="1">
        <v>544.3036692589319</v>
      </c>
      <c r="K9" s="1">
        <v>506.41254293437618</v>
      </c>
      <c r="L9" s="1">
        <v>512.42792873920189</v>
      </c>
      <c r="M9" s="1">
        <v>396.77488133411617</v>
      </c>
      <c r="N9" s="1">
        <v>557.79475547593586</v>
      </c>
      <c r="O9" s="1">
        <v>444.43446929999772</v>
      </c>
      <c r="P9" s="1">
        <v>347.45073660266434</v>
      </c>
      <c r="R9" s="1">
        <f>VLOOKUP(A9,Actual_RDNS!$A$2:$H$62,3,0)</f>
        <v>118.80000000000001</v>
      </c>
      <c r="S9" s="1">
        <f>VLOOKUP(A9,Actual_RDNS!$A$2:$H$62,4,0)</f>
        <v>1686.5800000000002</v>
      </c>
      <c r="T9" s="1">
        <f>VLOOKUP(A9,Actual_RDNS!$A$2:$H$62,5,0)</f>
        <v>89.100000000000009</v>
      </c>
      <c r="U9" s="1">
        <f>VLOOKUP(A9,Actual_RDNS!$A$2:$H$62,6,0)</f>
        <v>368.72</v>
      </c>
      <c r="V9" s="1">
        <f>VLOOKUP(A9,Actual_RDNS!$A$2:$H$62,7,0)</f>
        <v>250.39999999999998</v>
      </c>
      <c r="W9" s="1">
        <f>VLOOKUP(A9,Actual_RDNS!$A$2:$H$62,8,0)</f>
        <v>178.20000000000002</v>
      </c>
      <c r="X9" s="111"/>
      <c r="Y9" s="111"/>
      <c r="Z9" s="111"/>
      <c r="AA9" s="111"/>
      <c r="AB9" s="111"/>
      <c r="AC9" s="111"/>
      <c r="AE9" s="97">
        <f t="shared" si="2"/>
        <v>0.22282079095355176</v>
      </c>
      <c r="AF9" s="97">
        <f t="shared" si="0"/>
        <v>3.4225449180893777</v>
      </c>
      <c r="AG9" s="97">
        <f t="shared" si="0"/>
        <v>0.20269599365885568</v>
      </c>
      <c r="AH9" s="97">
        <f t="shared" si="0"/>
        <v>0.71714523900165095</v>
      </c>
      <c r="AI9" s="97">
        <f t="shared" si="0"/>
        <v>0.47598707016304642</v>
      </c>
      <c r="AJ9" s="97">
        <f t="shared" si="0"/>
        <v>0.32739077479051149</v>
      </c>
      <c r="AK9" s="99">
        <f t="shared" si="0"/>
        <v>0</v>
      </c>
      <c r="AL9" s="99">
        <f t="shared" si="0"/>
        <v>0</v>
      </c>
      <c r="AM9" s="99">
        <f t="shared" si="0"/>
        <v>0</v>
      </c>
      <c r="AN9" s="99">
        <f t="shared" si="0"/>
        <v>0</v>
      </c>
      <c r="AO9" s="99">
        <f t="shared" si="0"/>
        <v>0</v>
      </c>
      <c r="AP9" s="99">
        <f t="shared" si="0"/>
        <v>0</v>
      </c>
      <c r="AQ9" s="97"/>
      <c r="AR9" s="99">
        <f t="shared" si="3"/>
        <v>0.2228</v>
      </c>
      <c r="AS9" s="99">
        <f t="shared" si="1"/>
        <v>3.4224999999999999</v>
      </c>
      <c r="AT9" s="99">
        <f t="shared" si="1"/>
        <v>0.20269999999999999</v>
      </c>
      <c r="AU9" s="99">
        <f t="shared" si="1"/>
        <v>0.71709999999999996</v>
      </c>
      <c r="AV9" s="99">
        <f t="shared" si="1"/>
        <v>0.47599999999999998</v>
      </c>
      <c r="AW9" s="99">
        <f t="shared" si="1"/>
        <v>0.32740000000000002</v>
      </c>
      <c r="AX9" s="99">
        <f t="shared" si="1"/>
        <v>0</v>
      </c>
      <c r="AY9" s="99">
        <f t="shared" si="1"/>
        <v>0</v>
      </c>
      <c r="AZ9" s="99">
        <f t="shared" si="1"/>
        <v>0</v>
      </c>
      <c r="BA9" s="99">
        <f t="shared" si="1"/>
        <v>0</v>
      </c>
      <c r="BB9" s="99">
        <f t="shared" si="1"/>
        <v>0</v>
      </c>
      <c r="BC9" s="99">
        <f t="shared" si="1"/>
        <v>0</v>
      </c>
      <c r="BD9" s="97"/>
      <c r="BE9" s="117">
        <f>IFERROR(VLOOKUP(AR9,'Top WS'!$A$19:$E$28,5),0)</f>
        <v>400</v>
      </c>
      <c r="BF9" s="117">
        <f>IFERROR(VLOOKUP(AS9,'Top WS'!$A$19:$E$28,5),0)</f>
        <v>520</v>
      </c>
      <c r="BG9" s="117">
        <f>IFERROR(VLOOKUP(AT9,'Top WS'!$A$19:$E$28,5),0)</f>
        <v>400</v>
      </c>
      <c r="BH9" s="117">
        <f>IFERROR(VLOOKUP(AU9,'Top WS'!$A$19:$E$28,5),0)</f>
        <v>400</v>
      </c>
      <c r="BI9" s="117">
        <f>IFERROR(VLOOKUP(AV9,'Top WS'!$A$19:$E$28,5),0)</f>
        <v>400</v>
      </c>
      <c r="BJ9" s="117">
        <f>IFERROR(VLOOKUP(AW9,'Top WS'!$A$19:$E$28,5),0)</f>
        <v>400</v>
      </c>
      <c r="BK9" s="117">
        <f>IFERROR(VLOOKUP(AX9,'Top WS'!$A$19:$E$28,5),0)</f>
        <v>400</v>
      </c>
      <c r="BL9" s="117">
        <f>IFERROR(VLOOKUP(AY9,'Top WS'!$A$19:$E$28,5),0)</f>
        <v>400</v>
      </c>
      <c r="BM9" s="117">
        <f>IFERROR(VLOOKUP(AZ9,'Top WS'!$A$19:$E$28,5),0)</f>
        <v>400</v>
      </c>
      <c r="BN9" s="117">
        <f>IFERROR(VLOOKUP(BA9,'Top WS'!$A$19:$E$28,5),0)</f>
        <v>400</v>
      </c>
      <c r="BO9" s="117">
        <f>IFERROR(VLOOKUP(BB9,'Top WS'!$A$19:$E$28,5),0)</f>
        <v>400</v>
      </c>
      <c r="BP9" s="117">
        <f>IFERROR(VLOOKUP(BC9,'Top WS'!$A$19:$E$28,5),0)</f>
        <v>400</v>
      </c>
    </row>
    <row r="10" spans="1:68" x14ac:dyDescent="0.4">
      <c r="A10">
        <v>1190017013</v>
      </c>
      <c r="B10">
        <f>VLOOKUP(A10,'Aji Plus'!$A$2:$D$58,2,0)</f>
        <v>76289</v>
      </c>
      <c r="C10" t="str">
        <f>VLOOKUP(A10,'Aji Plus'!$A$2:$D$58,3,0)</f>
        <v>นายเธียรกวิน ใจผ่อง</v>
      </c>
      <c r="D10" t="str">
        <f>VLOOKUP(A10,'Aji Plus'!$A$2:$D$58,4,0)</f>
        <v>Pathumthani</v>
      </c>
      <c r="E10" s="1">
        <v>43.498989189344549</v>
      </c>
      <c r="F10" s="1">
        <v>40.204644416634984</v>
      </c>
      <c r="G10" s="1">
        <v>35.863359958026081</v>
      </c>
      <c r="H10" s="1">
        <v>41.947686302900138</v>
      </c>
      <c r="I10" s="1">
        <v>42.919791639381295</v>
      </c>
      <c r="J10" s="1">
        <v>44.407844950968943</v>
      </c>
      <c r="K10" s="1">
        <v>41.316439623627701</v>
      </c>
      <c r="L10" s="1">
        <v>41.807214048324596</v>
      </c>
      <c r="M10" s="1">
        <v>32.371483798215074</v>
      </c>
      <c r="N10" s="1">
        <v>45.508535794667559</v>
      </c>
      <c r="O10" s="1">
        <v>36.259863966031119</v>
      </c>
      <c r="P10" s="1">
        <v>28.347298228134942</v>
      </c>
      <c r="R10" s="1">
        <f>VLOOKUP(A10,Actual_RDNS!$A$2:$H$62,3,0)</f>
        <v>43.32</v>
      </c>
      <c r="S10" s="1">
        <f>VLOOKUP(A10,Actual_RDNS!$A$2:$H$62,4,0)</f>
        <v>380.96</v>
      </c>
      <c r="T10" s="1">
        <f>VLOOKUP(A10,Actual_RDNS!$A$2:$H$62,5,0)</f>
        <v>0</v>
      </c>
      <c r="U10" s="1">
        <f>VLOOKUP(A10,Actual_RDNS!$A$2:$H$62,6,0)</f>
        <v>91.46</v>
      </c>
      <c r="V10" s="1">
        <f>VLOOKUP(A10,Actual_RDNS!$A$2:$H$62,7,0)</f>
        <v>188.57999999999998</v>
      </c>
      <c r="W10" s="1">
        <f>VLOOKUP(A10,Actual_RDNS!$A$2:$H$62,8,0)</f>
        <v>163.79999999999998</v>
      </c>
      <c r="X10" s="111"/>
      <c r="Y10" s="111"/>
      <c r="Z10" s="111"/>
      <c r="AA10" s="111"/>
      <c r="AB10" s="111"/>
      <c r="AC10" s="111"/>
      <c r="AE10" s="97">
        <f t="shared" si="2"/>
        <v>0.9958852103766036</v>
      </c>
      <c r="AF10" s="97">
        <f t="shared" si="0"/>
        <v>9.4755221822674507</v>
      </c>
      <c r="AG10" s="97">
        <f t="shared" si="0"/>
        <v>0</v>
      </c>
      <c r="AH10" s="97">
        <f t="shared" si="0"/>
        <v>2.1803347946195717</v>
      </c>
      <c r="AI10" s="97">
        <f t="shared" si="0"/>
        <v>4.3937771549423683</v>
      </c>
      <c r="AJ10" s="97">
        <f t="shared" si="0"/>
        <v>3.6885374685678367</v>
      </c>
      <c r="AK10" s="99">
        <f t="shared" si="0"/>
        <v>0</v>
      </c>
      <c r="AL10" s="99">
        <f t="shared" si="0"/>
        <v>0</v>
      </c>
      <c r="AM10" s="99">
        <f t="shared" si="0"/>
        <v>0</v>
      </c>
      <c r="AN10" s="99">
        <f t="shared" si="0"/>
        <v>0</v>
      </c>
      <c r="AO10" s="99">
        <f t="shared" si="0"/>
        <v>0</v>
      </c>
      <c r="AP10" s="99">
        <f t="shared" si="0"/>
        <v>0</v>
      </c>
      <c r="AQ10" s="97"/>
      <c r="AR10" s="99">
        <f t="shared" si="3"/>
        <v>0.99590000000000001</v>
      </c>
      <c r="AS10" s="99">
        <f t="shared" si="1"/>
        <v>9.4755000000000003</v>
      </c>
      <c r="AT10" s="99">
        <f t="shared" si="1"/>
        <v>0</v>
      </c>
      <c r="AU10" s="99">
        <f t="shared" si="1"/>
        <v>2.1802999999999999</v>
      </c>
      <c r="AV10" s="99">
        <f t="shared" si="1"/>
        <v>4.3937999999999997</v>
      </c>
      <c r="AW10" s="99">
        <f t="shared" si="1"/>
        <v>3.6884999999999999</v>
      </c>
      <c r="AX10" s="99">
        <f t="shared" si="1"/>
        <v>0</v>
      </c>
      <c r="AY10" s="99">
        <f t="shared" si="1"/>
        <v>0</v>
      </c>
      <c r="AZ10" s="99">
        <f t="shared" si="1"/>
        <v>0</v>
      </c>
      <c r="BA10" s="99">
        <f t="shared" si="1"/>
        <v>0</v>
      </c>
      <c r="BB10" s="99">
        <f t="shared" si="1"/>
        <v>0</v>
      </c>
      <c r="BC10" s="99">
        <f t="shared" si="1"/>
        <v>0</v>
      </c>
      <c r="BD10" s="97"/>
      <c r="BE10" s="119">
        <f>IFERROR(VLOOKUP(AR10,' WS SF'!$A$19:$E$28,5),0)</f>
        <v>350</v>
      </c>
      <c r="BF10" s="119">
        <f>IFERROR(VLOOKUP(AS10,' WS SF'!$A$19:$E$28,5),0)</f>
        <v>455</v>
      </c>
      <c r="BG10" s="119">
        <f>IFERROR(VLOOKUP(AT10,' WS SF'!$A$19:$E$28,5),0)</f>
        <v>350</v>
      </c>
      <c r="BH10" s="119">
        <f>IFERROR(VLOOKUP(AU10,' WS SF'!$A$19:$E$28,5),0)</f>
        <v>455</v>
      </c>
      <c r="BI10" s="119">
        <f>IFERROR(VLOOKUP(AV10,' WS SF'!$A$19:$E$28,5),0)</f>
        <v>455</v>
      </c>
      <c r="BJ10" s="119">
        <f>IFERROR(VLOOKUP(AW10,' WS SF'!$A$19:$E$28,5),0)</f>
        <v>455</v>
      </c>
      <c r="BK10" s="119">
        <f>IFERROR(VLOOKUP(AX10,' WS SF'!$A$19:$E$28,5),0)</f>
        <v>350</v>
      </c>
      <c r="BL10" s="119">
        <f>IFERROR(VLOOKUP(AY10,' WS SF'!$A$19:$E$28,5),0)</f>
        <v>350</v>
      </c>
      <c r="BM10" s="119">
        <f>IFERROR(VLOOKUP(AZ10,' WS SF'!$A$19:$E$28,5),0)</f>
        <v>350</v>
      </c>
      <c r="BN10" s="119">
        <f>IFERROR(VLOOKUP(BA10,' WS SF'!$A$19:$E$28,5),0)</f>
        <v>350</v>
      </c>
      <c r="BO10" s="119">
        <f>IFERROR(VLOOKUP(BB10,' WS SF'!$A$19:$E$28,5),0)</f>
        <v>350</v>
      </c>
      <c r="BP10" s="119">
        <f>IFERROR(VLOOKUP(BC10,' WS SF'!$A$19:$E$28,5),0)</f>
        <v>350</v>
      </c>
    </row>
    <row r="11" spans="1:68" x14ac:dyDescent="0.4">
      <c r="A11">
        <v>1190017014</v>
      </c>
      <c r="B11">
        <f>VLOOKUP(A11,'Aji Plus'!$A$2:$D$58,2,0)</f>
        <v>63668</v>
      </c>
      <c r="C11" t="str">
        <f>VLOOKUP(A11,'Aji Plus'!$A$2:$D$58,3,0)</f>
        <v>นายมานพ สุขเจริญ</v>
      </c>
      <c r="D11" t="str">
        <f>VLOOKUP(A11,'Aji Plus'!$A$2:$D$58,4,0)</f>
        <v>Pathumthani</v>
      </c>
      <c r="E11" s="1">
        <v>39.442642473744918</v>
      </c>
      <c r="F11" s="1">
        <v>36.455500347530567</v>
      </c>
      <c r="G11" s="1">
        <v>32.519047248990958</v>
      </c>
      <c r="H11" s="1">
        <v>38.036000934278896</v>
      </c>
      <c r="I11" s="1">
        <v>38.917455973768369</v>
      </c>
      <c r="J11" s="1">
        <v>40.266746057161875</v>
      </c>
      <c r="K11" s="1">
        <v>37.463618965242695</v>
      </c>
      <c r="L11" s="1">
        <v>37.908627930492841</v>
      </c>
      <c r="M11" s="1">
        <v>29.352793837112674</v>
      </c>
      <c r="N11" s="1">
        <v>41.26479581029875</v>
      </c>
      <c r="O11" s="1">
        <v>32.878576656883055</v>
      </c>
      <c r="P11" s="1">
        <v>25.703869674811564</v>
      </c>
      <c r="R11" s="1">
        <f>VLOOKUP(A11,Actual_RDNS!$A$2:$H$62,3,0)</f>
        <v>0</v>
      </c>
      <c r="S11" s="1">
        <f>VLOOKUP(A11,Actual_RDNS!$A$2:$H$62,4,0)</f>
        <v>244.8</v>
      </c>
      <c r="T11" s="1">
        <f>VLOOKUP(A11,Actual_RDNS!$A$2:$H$62,5,0)</f>
        <v>118.80000000000001</v>
      </c>
      <c r="U11" s="1">
        <f>VLOOKUP(A11,Actual_RDNS!$A$2:$H$62,6,0)</f>
        <v>59.400000000000006</v>
      </c>
      <c r="V11" s="1">
        <f>VLOOKUP(A11,Actual_RDNS!$A$2:$H$62,7,0)</f>
        <v>0</v>
      </c>
      <c r="W11" s="1">
        <f>VLOOKUP(A11,Actual_RDNS!$A$2:$H$62,8,0)</f>
        <v>148.5</v>
      </c>
      <c r="X11" s="111"/>
      <c r="Y11" s="111"/>
      <c r="Z11" s="111"/>
      <c r="AA11" s="111"/>
      <c r="AB11" s="111"/>
      <c r="AC11" s="111"/>
      <c r="AE11" s="97">
        <f t="shared" si="2"/>
        <v>0</v>
      </c>
      <c r="AF11" s="97">
        <f t="shared" si="0"/>
        <v>6.7150360759369567</v>
      </c>
      <c r="AG11" s="97">
        <f t="shared" si="0"/>
        <v>3.6532435618539312</v>
      </c>
      <c r="AH11" s="97">
        <f t="shared" si="0"/>
        <v>1.5616783715679057</v>
      </c>
      <c r="AI11" s="97">
        <f t="shared" si="0"/>
        <v>0</v>
      </c>
      <c r="AJ11" s="97">
        <f t="shared" si="0"/>
        <v>3.6879066361407089</v>
      </c>
      <c r="AK11" s="99">
        <f t="shared" si="0"/>
        <v>0</v>
      </c>
      <c r="AL11" s="99">
        <f t="shared" si="0"/>
        <v>0</v>
      </c>
      <c r="AM11" s="99">
        <f t="shared" si="0"/>
        <v>0</v>
      </c>
      <c r="AN11" s="99">
        <f t="shared" si="0"/>
        <v>0</v>
      </c>
      <c r="AO11" s="99">
        <f t="shared" si="0"/>
        <v>0</v>
      </c>
      <c r="AP11" s="99">
        <f t="shared" si="0"/>
        <v>0</v>
      </c>
      <c r="AQ11" s="97"/>
      <c r="AR11" s="99">
        <f t="shared" si="3"/>
        <v>0</v>
      </c>
      <c r="AS11" s="99">
        <f t="shared" si="1"/>
        <v>6.7149999999999999</v>
      </c>
      <c r="AT11" s="99">
        <f t="shared" si="1"/>
        <v>3.6532</v>
      </c>
      <c r="AU11" s="99">
        <f t="shared" si="1"/>
        <v>1.5617000000000001</v>
      </c>
      <c r="AV11" s="99">
        <f t="shared" si="1"/>
        <v>0</v>
      </c>
      <c r="AW11" s="99">
        <f t="shared" si="1"/>
        <v>3.6879</v>
      </c>
      <c r="AX11" s="99">
        <f t="shared" si="1"/>
        <v>0</v>
      </c>
      <c r="AY11" s="99">
        <f t="shared" si="1"/>
        <v>0</v>
      </c>
      <c r="AZ11" s="99">
        <f t="shared" si="1"/>
        <v>0</v>
      </c>
      <c r="BA11" s="99">
        <f t="shared" si="1"/>
        <v>0</v>
      </c>
      <c r="BB11" s="99">
        <f t="shared" si="1"/>
        <v>0</v>
      </c>
      <c r="BC11" s="99">
        <f t="shared" si="1"/>
        <v>0</v>
      </c>
      <c r="BD11" s="97"/>
      <c r="BE11" s="120">
        <f>IFERROR(VLOOKUP(AR11,'WS WH'!$A$19:$E$28,5),0)</f>
        <v>175</v>
      </c>
      <c r="BF11" s="120">
        <f>IFERROR(VLOOKUP(AS11,'WS WH'!$A$19:$E$28,5),0)</f>
        <v>227.5</v>
      </c>
      <c r="BG11" s="120">
        <f>IFERROR(VLOOKUP(AT11,'WS WH'!$A$19:$E$28,5),0)</f>
        <v>227.5</v>
      </c>
      <c r="BH11" s="120">
        <f>IFERROR(VLOOKUP(AU11,'WS WH'!$A$19:$E$28,5),0)</f>
        <v>227.5</v>
      </c>
      <c r="BI11" s="120">
        <f>IFERROR(VLOOKUP(AV11,'WS WH'!$A$19:$E$28,5),0)</f>
        <v>175</v>
      </c>
      <c r="BJ11" s="120">
        <f>IFERROR(VLOOKUP(AW11,'WS WH'!$A$19:$E$28,5),0)</f>
        <v>227.5</v>
      </c>
      <c r="BK11" s="120">
        <f>IFERROR(VLOOKUP(AX11,'WS WH'!$A$19:$E$28,5),0)</f>
        <v>175</v>
      </c>
      <c r="BL11" s="120">
        <f>IFERROR(VLOOKUP(AY11,'WS WH'!$A$19:$E$28,5),0)</f>
        <v>175</v>
      </c>
      <c r="BM11" s="120">
        <f>IFERROR(VLOOKUP(AZ11,'WS WH'!$A$19:$E$28,5),0)</f>
        <v>175</v>
      </c>
      <c r="BN11" s="120">
        <f>IFERROR(VLOOKUP(BA11,'WS WH'!$A$19:$E$28,5),0)</f>
        <v>175</v>
      </c>
      <c r="BO11" s="120">
        <f>IFERROR(VLOOKUP(BB11,'WS WH'!$A$19:$E$28,5),0)</f>
        <v>175</v>
      </c>
      <c r="BP11" s="120">
        <f>IFERROR(VLOOKUP(BC11,'WS WH'!$A$19:$E$28,5),0)</f>
        <v>175</v>
      </c>
    </row>
    <row r="12" spans="1:68" x14ac:dyDescent="0.4">
      <c r="A12">
        <v>1190021901</v>
      </c>
      <c r="B12">
        <f>VLOOKUP(A12,'Aji Plus'!$A$2:$D$58,2,0)</f>
        <v>76043</v>
      </c>
      <c r="C12" t="str">
        <f>VLOOKUP(A12,'Aji Plus'!$A$2:$D$58,3,0)</f>
        <v>นายธนรัตน์ บัวสอด</v>
      </c>
      <c r="D12" t="str">
        <f>VLOOKUP(A12,'Aji Plus'!$A$2:$D$58,4,0)</f>
        <v>Chiangmai</v>
      </c>
      <c r="E12" s="1">
        <v>1055.6831399905575</v>
      </c>
      <c r="F12" s="1">
        <v>619.66212772323172</v>
      </c>
      <c r="G12" s="1">
        <v>848.22844456630219</v>
      </c>
      <c r="H12" s="1">
        <v>917.63780661215617</v>
      </c>
      <c r="I12" s="1">
        <v>823.39417409967098</v>
      </c>
      <c r="J12" s="1">
        <v>779.74826283612447</v>
      </c>
      <c r="K12" s="1">
        <v>701.65840047276049</v>
      </c>
      <c r="L12" s="1">
        <v>794.42786692620291</v>
      </c>
      <c r="M12" s="1">
        <v>639.03264750985954</v>
      </c>
      <c r="N12" s="1">
        <v>755.99414596213978</v>
      </c>
      <c r="O12" s="1">
        <v>752.23611544695973</v>
      </c>
      <c r="P12" s="1">
        <v>837.29686785403362</v>
      </c>
      <c r="R12" s="1">
        <f>VLOOKUP(A12,Actual_RDNS!$A$2:$H$62,3,0)</f>
        <v>166.51999999999998</v>
      </c>
      <c r="S12" s="1">
        <f>VLOOKUP(A12,Actual_RDNS!$A$2:$H$62,4,0)</f>
        <v>1644.8000000000002</v>
      </c>
      <c r="T12" s="1">
        <f>VLOOKUP(A12,Actual_RDNS!$A$2:$H$62,5,0)</f>
        <v>1233.0399999999997</v>
      </c>
      <c r="U12" s="1">
        <f>VLOOKUP(A12,Actual_RDNS!$A$2:$H$62,6,0)</f>
        <v>576.93999999999994</v>
      </c>
      <c r="V12" s="1">
        <f>VLOOKUP(A12,Actual_RDNS!$A$2:$H$62,7,0)</f>
        <v>759.42000000000007</v>
      </c>
      <c r="W12" s="1">
        <f>VLOOKUP(A12,Actual_RDNS!$A$2:$H$62,8,0)</f>
        <v>668.04000000000008</v>
      </c>
      <c r="X12" s="111"/>
      <c r="Y12" s="111"/>
      <c r="Z12" s="111"/>
      <c r="AA12" s="111"/>
      <c r="AB12" s="111"/>
      <c r="AC12" s="111"/>
      <c r="AE12" s="97">
        <f t="shared" si="2"/>
        <v>0.15773672392029431</v>
      </c>
      <c r="AF12" s="97">
        <f t="shared" si="0"/>
        <v>2.654349727719103</v>
      </c>
      <c r="AG12" s="97">
        <f t="shared" si="0"/>
        <v>1.4536649977948466</v>
      </c>
      <c r="AH12" s="97">
        <f t="shared" si="0"/>
        <v>0.62872300579028595</v>
      </c>
      <c r="AI12" s="97">
        <f t="shared" si="0"/>
        <v>0.92230431534249979</v>
      </c>
      <c r="AJ12" s="97">
        <f t="shared" si="0"/>
        <v>0.85673804205755377</v>
      </c>
      <c r="AK12" s="99">
        <f t="shared" si="0"/>
        <v>0</v>
      </c>
      <c r="AL12" s="99">
        <f t="shared" si="0"/>
        <v>0</v>
      </c>
      <c r="AM12" s="99">
        <f t="shared" si="0"/>
        <v>0</v>
      </c>
      <c r="AN12" s="99">
        <f t="shared" si="0"/>
        <v>0</v>
      </c>
      <c r="AO12" s="99">
        <f t="shared" si="0"/>
        <v>0</v>
      </c>
      <c r="AP12" s="99">
        <f t="shared" si="0"/>
        <v>0</v>
      </c>
      <c r="AQ12" s="97"/>
      <c r="AR12" s="99">
        <f t="shared" si="3"/>
        <v>0.15770000000000001</v>
      </c>
      <c r="AS12" s="99">
        <f t="shared" si="1"/>
        <v>2.6543000000000001</v>
      </c>
      <c r="AT12" s="99">
        <f t="shared" si="1"/>
        <v>1.4537</v>
      </c>
      <c r="AU12" s="99">
        <f t="shared" si="1"/>
        <v>0.62870000000000004</v>
      </c>
      <c r="AV12" s="99">
        <f t="shared" si="1"/>
        <v>0.92230000000000001</v>
      </c>
      <c r="AW12" s="99">
        <f t="shared" si="1"/>
        <v>0.85670000000000002</v>
      </c>
      <c r="AX12" s="99">
        <f t="shared" si="1"/>
        <v>0</v>
      </c>
      <c r="AY12" s="99">
        <f t="shared" si="1"/>
        <v>0</v>
      </c>
      <c r="AZ12" s="99">
        <f t="shared" si="1"/>
        <v>0</v>
      </c>
      <c r="BA12" s="99">
        <f t="shared" si="1"/>
        <v>0</v>
      </c>
      <c r="BB12" s="99">
        <f t="shared" si="1"/>
        <v>0</v>
      </c>
      <c r="BC12" s="99">
        <f t="shared" si="1"/>
        <v>0</v>
      </c>
      <c r="BD12" s="97"/>
      <c r="BE12" s="1">
        <f>IFERROR(VLOOKUP(AR12,'Top WS'!$A$19:$E$28,5),0)</f>
        <v>400</v>
      </c>
      <c r="BF12" s="1">
        <f>IFERROR(VLOOKUP(AS12,'Top WS'!$A$19:$E$28,5),0)</f>
        <v>520</v>
      </c>
      <c r="BG12" s="1">
        <f>IFERROR(VLOOKUP(AT12,'Top WS'!$A$19:$E$28,5),0)</f>
        <v>520</v>
      </c>
      <c r="BH12" s="1">
        <f>IFERROR(VLOOKUP(AU12,'Top WS'!$A$19:$E$28,5),0)</f>
        <v>400</v>
      </c>
      <c r="BI12" s="1">
        <f>IFERROR(VLOOKUP(AV12,'Top WS'!$A$19:$E$28,5),0)</f>
        <v>400</v>
      </c>
      <c r="BJ12" s="1">
        <f>IFERROR(VLOOKUP(AW12,'Top WS'!$A$19:$E$28,5),0)</f>
        <v>400</v>
      </c>
      <c r="BK12" s="98">
        <f>IFERROR(VLOOKUP(AX12,'Top WS'!$A$19:$E$28,5),0)</f>
        <v>400</v>
      </c>
      <c r="BL12" s="98">
        <f>IFERROR(VLOOKUP(AY12,'Top WS'!$A$19:$E$28,5),0)</f>
        <v>400</v>
      </c>
      <c r="BM12" s="98">
        <f>IFERROR(VLOOKUP(AZ12,'Top WS'!$A$19:$E$28,5),0)</f>
        <v>400</v>
      </c>
      <c r="BN12" s="98">
        <f>IFERROR(VLOOKUP(BA12,'Top WS'!$A$19:$E$28,5),0)</f>
        <v>400</v>
      </c>
      <c r="BO12" s="98">
        <f>IFERROR(VLOOKUP(BB12,'Top WS'!$A$19:$E$28,5),0)</f>
        <v>400</v>
      </c>
      <c r="BP12" s="98">
        <f>IFERROR(VLOOKUP(BC12,'Top WS'!$A$19:$E$28,5),0)</f>
        <v>400</v>
      </c>
    </row>
    <row r="13" spans="1:68" x14ac:dyDescent="0.4">
      <c r="A13">
        <v>1190021902</v>
      </c>
      <c r="B13">
        <f>VLOOKUP(A13,'Aji Plus'!$A$2:$D$58,2,0)</f>
        <v>75835</v>
      </c>
      <c r="C13" t="str">
        <f>VLOOKUP(A13,'Aji Plus'!$A$2:$D$58,3,0)</f>
        <v>นายอนุวัฒน์ บุญจง</v>
      </c>
      <c r="D13" t="str">
        <f>VLOOKUP(A13,'Aji Plus'!$A$2:$D$58,4,0)</f>
        <v>Chiangmai</v>
      </c>
      <c r="E13" s="1">
        <v>703.23459561575726</v>
      </c>
      <c r="F13" s="1">
        <v>412.78280319201099</v>
      </c>
      <c r="G13" s="1">
        <v>565.04036543550524</v>
      </c>
      <c r="H13" s="1">
        <v>611.27683810542055</v>
      </c>
      <c r="I13" s="1">
        <v>548.49722148686749</v>
      </c>
      <c r="J13" s="1">
        <v>519.42285855067826</v>
      </c>
      <c r="K13" s="1">
        <v>467.40394236216963</v>
      </c>
      <c r="L13" s="1">
        <v>529.20155544847853</v>
      </c>
      <c r="M13" s="1">
        <v>425.68631479790645</v>
      </c>
      <c r="N13" s="1">
        <v>503.59924998737813</v>
      </c>
      <c r="O13" s="1">
        <v>501.09586903002202</v>
      </c>
      <c r="P13" s="1">
        <v>557.75838598780513</v>
      </c>
      <c r="R13" s="1">
        <f>VLOOKUP(A13,Actual_RDNS!$A$2:$H$62,3,0)</f>
        <v>216</v>
      </c>
      <c r="S13" s="1">
        <f>VLOOKUP(A13,Actual_RDNS!$A$2:$H$62,4,0)</f>
        <v>714.59999999999991</v>
      </c>
      <c r="T13" s="1">
        <f>VLOOKUP(A13,Actual_RDNS!$A$2:$H$62,5,0)</f>
        <v>415.79999999999995</v>
      </c>
      <c r="U13" s="1">
        <f>VLOOKUP(A13,Actual_RDNS!$A$2:$H$62,6,0)</f>
        <v>50.4</v>
      </c>
      <c r="V13" s="1">
        <f>VLOOKUP(A13,Actual_RDNS!$A$2:$H$62,7,0)</f>
        <v>67.5</v>
      </c>
      <c r="W13" s="1">
        <f>VLOOKUP(A13,Actual_RDNS!$A$2:$H$62,8,0)</f>
        <v>281.7</v>
      </c>
      <c r="X13" s="111"/>
      <c r="Y13" s="111"/>
      <c r="Z13" s="111"/>
      <c r="AA13" s="111"/>
      <c r="AB13" s="111"/>
      <c r="AC13" s="111"/>
      <c r="AE13" s="97">
        <f t="shared" si="2"/>
        <v>0.30715212440717432</v>
      </c>
      <c r="AF13" s="97">
        <f t="shared" si="0"/>
        <v>1.731176770141742</v>
      </c>
      <c r="AG13" s="97">
        <f t="shared" si="0"/>
        <v>0.73587663012273796</v>
      </c>
      <c r="AH13" s="97">
        <f t="shared" si="0"/>
        <v>8.2450367588290718E-2</v>
      </c>
      <c r="AI13" s="97">
        <f t="shared" si="0"/>
        <v>0.12306352221260274</v>
      </c>
      <c r="AJ13" s="97">
        <f t="shared" si="0"/>
        <v>0.54233269745966617</v>
      </c>
      <c r="AK13" s="99">
        <f t="shared" si="0"/>
        <v>0</v>
      </c>
      <c r="AL13" s="99">
        <f t="shared" si="0"/>
        <v>0</v>
      </c>
      <c r="AM13" s="99">
        <f t="shared" si="0"/>
        <v>0</v>
      </c>
      <c r="AN13" s="99">
        <f t="shared" si="0"/>
        <v>0</v>
      </c>
      <c r="AO13" s="99">
        <f t="shared" si="0"/>
        <v>0</v>
      </c>
      <c r="AP13" s="99">
        <f t="shared" si="0"/>
        <v>0</v>
      </c>
      <c r="AQ13" s="97"/>
      <c r="AR13" s="99">
        <f t="shared" si="3"/>
        <v>0.30719999999999997</v>
      </c>
      <c r="AS13" s="99">
        <f t="shared" si="1"/>
        <v>1.7312000000000001</v>
      </c>
      <c r="AT13" s="99">
        <f t="shared" si="1"/>
        <v>0.7359</v>
      </c>
      <c r="AU13" s="99">
        <f t="shared" si="1"/>
        <v>8.2500000000000004E-2</v>
      </c>
      <c r="AV13" s="99">
        <f t="shared" si="1"/>
        <v>0.1231</v>
      </c>
      <c r="AW13" s="99">
        <f t="shared" si="1"/>
        <v>0.5423</v>
      </c>
      <c r="AX13" s="99">
        <f t="shared" si="1"/>
        <v>0</v>
      </c>
      <c r="AY13" s="99">
        <f t="shared" si="1"/>
        <v>0</v>
      </c>
      <c r="AZ13" s="99">
        <f t="shared" si="1"/>
        <v>0</v>
      </c>
      <c r="BA13" s="99">
        <f t="shared" si="1"/>
        <v>0</v>
      </c>
      <c r="BB13" s="99">
        <f t="shared" si="1"/>
        <v>0</v>
      </c>
      <c r="BC13" s="99">
        <f t="shared" si="1"/>
        <v>0</v>
      </c>
      <c r="BD13" s="97"/>
      <c r="BE13" s="1">
        <f>IFERROR(VLOOKUP(AR13,'Top WS'!$A$19:$E$28,5),0)</f>
        <v>400</v>
      </c>
      <c r="BF13" s="1">
        <f>IFERROR(VLOOKUP(AS13,'Top WS'!$A$19:$E$28,5),0)</f>
        <v>520</v>
      </c>
      <c r="BG13" s="1">
        <f>IFERROR(VLOOKUP(AT13,'Top WS'!$A$19:$E$28,5),0)</f>
        <v>400</v>
      </c>
      <c r="BH13" s="1">
        <f>IFERROR(VLOOKUP(AU13,'Top WS'!$A$19:$E$28,5),0)</f>
        <v>400</v>
      </c>
      <c r="BI13" s="1">
        <f>IFERROR(VLOOKUP(AV13,'Top WS'!$A$19:$E$28,5),0)</f>
        <v>400</v>
      </c>
      <c r="BJ13" s="1">
        <f>IFERROR(VLOOKUP(AW13,'Top WS'!$A$19:$E$28,5),0)</f>
        <v>400</v>
      </c>
      <c r="BK13" s="98">
        <f>IFERROR(VLOOKUP(AX13,'Top WS'!$A$19:$E$28,5),0)</f>
        <v>400</v>
      </c>
      <c r="BL13" s="98">
        <f>IFERROR(VLOOKUP(AY13,'Top WS'!$A$19:$E$28,5),0)</f>
        <v>400</v>
      </c>
      <c r="BM13" s="98">
        <f>IFERROR(VLOOKUP(AZ13,'Top WS'!$A$19:$E$28,5),0)</f>
        <v>400</v>
      </c>
      <c r="BN13" s="98">
        <f>IFERROR(VLOOKUP(BA13,'Top WS'!$A$19:$E$28,5),0)</f>
        <v>400</v>
      </c>
      <c r="BO13" s="98">
        <f>IFERROR(VLOOKUP(BB13,'Top WS'!$A$19:$E$28,5),0)</f>
        <v>400</v>
      </c>
      <c r="BP13" s="98">
        <f>IFERROR(VLOOKUP(BC13,'Top WS'!$A$19:$E$28,5),0)</f>
        <v>400</v>
      </c>
    </row>
    <row r="14" spans="1:68" x14ac:dyDescent="0.4">
      <c r="A14">
        <v>1190022001</v>
      </c>
      <c r="B14">
        <f>VLOOKUP(A14,'Aji Plus'!$A$2:$D$58,2,0)</f>
        <v>100352</v>
      </c>
      <c r="C14" t="str">
        <f>VLOOKUP(A14,'Aji Plus'!$A$2:$D$58,3,0)</f>
        <v>นายชาตรี ขุนทอง</v>
      </c>
      <c r="D14" t="str">
        <f>VLOOKUP(A14,'Aji Plus'!$A$2:$D$58,4,0)</f>
        <v>Chiangrai</v>
      </c>
      <c r="E14" s="1">
        <v>1755.592749338628</v>
      </c>
      <c r="F14" s="1">
        <v>1030.4932391743821</v>
      </c>
      <c r="G14" s="1">
        <v>1410.5972243496301</v>
      </c>
      <c r="H14" s="1">
        <v>1526.0244469014754</v>
      </c>
      <c r="I14" s="1">
        <v>1369.298028109059</v>
      </c>
      <c r="J14" s="1">
        <v>1296.7152213463739</v>
      </c>
      <c r="K14" s="1">
        <v>1166.8523951169057</v>
      </c>
      <c r="L14" s="1">
        <v>1321.1272873607406</v>
      </c>
      <c r="M14" s="1">
        <v>1062.7062610557664</v>
      </c>
      <c r="N14" s="1">
        <v>1257.2123120252277</v>
      </c>
      <c r="O14" s="1">
        <v>1250.9627368692747</v>
      </c>
      <c r="P14" s="1">
        <v>1392.4180983525346</v>
      </c>
      <c r="R14" s="1">
        <f>VLOOKUP(A14,Actual_RDNS!$A$2:$H$62,3,0)</f>
        <v>620.66</v>
      </c>
      <c r="S14" s="1">
        <f>VLOOKUP(A14,Actual_RDNS!$A$2:$H$62,4,0)</f>
        <v>1893.54</v>
      </c>
      <c r="T14" s="1">
        <f>VLOOKUP(A14,Actual_RDNS!$A$2:$H$62,5,0)</f>
        <v>1227.32</v>
      </c>
      <c r="U14" s="1">
        <f>VLOOKUP(A14,Actual_RDNS!$A$2:$H$62,6,0)</f>
        <v>730.59999999999991</v>
      </c>
      <c r="V14" s="1">
        <f>VLOOKUP(A14,Actual_RDNS!$A$2:$H$62,7,0)</f>
        <v>847.66</v>
      </c>
      <c r="W14" s="1">
        <f>VLOOKUP(A14,Actual_RDNS!$A$2:$H$62,8,0)</f>
        <v>1069.8799999999999</v>
      </c>
      <c r="X14" s="111"/>
      <c r="Y14" s="111"/>
      <c r="Z14" s="111"/>
      <c r="AA14" s="111"/>
      <c r="AB14" s="111"/>
      <c r="AC14" s="111"/>
      <c r="AE14" s="97">
        <f t="shared" si="2"/>
        <v>0.35353301626121253</v>
      </c>
      <c r="AF14" s="97">
        <f t="shared" si="0"/>
        <v>1.8375084163745508</v>
      </c>
      <c r="AG14" s="97">
        <f t="shared" si="0"/>
        <v>0.8700711860296394</v>
      </c>
      <c r="AH14" s="97">
        <f t="shared" si="0"/>
        <v>0.47876035110934867</v>
      </c>
      <c r="AI14" s="97">
        <f t="shared" si="0"/>
        <v>0.61904711947229019</v>
      </c>
      <c r="AJ14" s="97">
        <f t="shared" si="0"/>
        <v>0.82506936171316625</v>
      </c>
      <c r="AK14" s="99">
        <f t="shared" si="0"/>
        <v>0</v>
      </c>
      <c r="AL14" s="99">
        <f t="shared" si="0"/>
        <v>0</v>
      </c>
      <c r="AM14" s="99">
        <f t="shared" si="0"/>
        <v>0</v>
      </c>
      <c r="AN14" s="99">
        <f t="shared" si="0"/>
        <v>0</v>
      </c>
      <c r="AO14" s="99">
        <f t="shared" si="0"/>
        <v>0</v>
      </c>
      <c r="AP14" s="99">
        <f t="shared" si="0"/>
        <v>0</v>
      </c>
      <c r="AQ14" s="97"/>
      <c r="AR14" s="99">
        <f t="shared" si="3"/>
        <v>0.35349999999999998</v>
      </c>
      <c r="AS14" s="99">
        <f t="shared" si="1"/>
        <v>1.8374999999999999</v>
      </c>
      <c r="AT14" s="99">
        <f t="shared" si="1"/>
        <v>0.87009999999999998</v>
      </c>
      <c r="AU14" s="99">
        <f t="shared" si="1"/>
        <v>0.4788</v>
      </c>
      <c r="AV14" s="99">
        <f t="shared" si="1"/>
        <v>0.61899999999999999</v>
      </c>
      <c r="AW14" s="99">
        <f t="shared" si="1"/>
        <v>0.82509999999999994</v>
      </c>
      <c r="AX14" s="99">
        <f t="shared" si="1"/>
        <v>0</v>
      </c>
      <c r="AY14" s="99">
        <f t="shared" si="1"/>
        <v>0</v>
      </c>
      <c r="AZ14" s="99">
        <f t="shared" si="1"/>
        <v>0</v>
      </c>
      <c r="BA14" s="99">
        <f t="shared" si="1"/>
        <v>0</v>
      </c>
      <c r="BB14" s="99">
        <f t="shared" si="1"/>
        <v>0</v>
      </c>
      <c r="BC14" s="99">
        <f t="shared" si="1"/>
        <v>0</v>
      </c>
      <c r="BD14" s="97"/>
      <c r="BE14" s="1">
        <f>IFERROR(VLOOKUP(AR14,'Top WS'!$A$19:$E$28,5),0)</f>
        <v>400</v>
      </c>
      <c r="BF14" s="1">
        <f>IFERROR(VLOOKUP(AS14,'Top WS'!$A$19:$E$28,5),0)</f>
        <v>520</v>
      </c>
      <c r="BG14" s="1">
        <f>IFERROR(VLOOKUP(AT14,'Top WS'!$A$19:$E$28,5),0)</f>
        <v>400</v>
      </c>
      <c r="BH14" s="1">
        <f>IFERROR(VLOOKUP(AU14,'Top WS'!$A$19:$E$28,5),0)</f>
        <v>400</v>
      </c>
      <c r="BI14" s="1">
        <f>IFERROR(VLOOKUP(AV14,'Top WS'!$A$19:$E$28,5),0)</f>
        <v>400</v>
      </c>
      <c r="BJ14" s="1">
        <f>IFERROR(VLOOKUP(AW14,'Top WS'!$A$19:$E$28,5),0)</f>
        <v>400</v>
      </c>
      <c r="BK14" s="98">
        <f>IFERROR(VLOOKUP(AX14,'Top WS'!$A$19:$E$28,5),0)</f>
        <v>400</v>
      </c>
      <c r="BL14" s="98">
        <f>IFERROR(VLOOKUP(AY14,'Top WS'!$A$19:$E$28,5),0)</f>
        <v>400</v>
      </c>
      <c r="BM14" s="98">
        <f>IFERROR(VLOOKUP(AZ14,'Top WS'!$A$19:$E$28,5),0)</f>
        <v>400</v>
      </c>
      <c r="BN14" s="98">
        <f>IFERROR(VLOOKUP(BA14,'Top WS'!$A$19:$E$28,5),0)</f>
        <v>400</v>
      </c>
      <c r="BO14" s="98">
        <f>IFERROR(VLOOKUP(BB14,'Top WS'!$A$19:$E$28,5),0)</f>
        <v>400</v>
      </c>
      <c r="BP14" s="98">
        <f>IFERROR(VLOOKUP(BC14,'Top WS'!$A$19:$E$28,5),0)</f>
        <v>400</v>
      </c>
    </row>
    <row r="15" spans="1:68" x14ac:dyDescent="0.4">
      <c r="A15">
        <v>1190022101</v>
      </c>
      <c r="B15">
        <f>VLOOKUP(A15,'Aji Plus'!$A$2:$D$58,2,0)</f>
        <v>61276</v>
      </c>
      <c r="C15" t="str">
        <f>VLOOKUP(A15,'Aji Plus'!$A$2:$D$58,3,0)</f>
        <v>นายพงษ์ศักดิ์ เวียงนาค</v>
      </c>
      <c r="D15" t="str">
        <f>VLOOKUP(A15,'Aji Plus'!$A$2:$D$58,4,0)</f>
        <v>Phrae</v>
      </c>
      <c r="E15" s="1">
        <v>1229.1365902882187</v>
      </c>
      <c r="F15" s="1">
        <v>721.47538020479146</v>
      </c>
      <c r="G15" s="1">
        <v>987.59616275488611</v>
      </c>
      <c r="H15" s="1">
        <v>1068.4097926854395</v>
      </c>
      <c r="I15" s="1">
        <v>958.68151084150668</v>
      </c>
      <c r="J15" s="1">
        <v>907.86438161182366</v>
      </c>
      <c r="K15" s="1">
        <v>816.94400642970231</v>
      </c>
      <c r="L15" s="1">
        <v>924.9559101534478</v>
      </c>
      <c r="M15" s="1">
        <v>744.0285628225032</v>
      </c>
      <c r="N15" s="1">
        <v>880.20735734594541</v>
      </c>
      <c r="O15" s="1">
        <v>875.83186564900609</v>
      </c>
      <c r="P15" s="1">
        <v>974.86847921272783</v>
      </c>
      <c r="R15" s="1">
        <f>VLOOKUP(A15,Actual_RDNS!$A$2:$H$62,3,0)</f>
        <v>623.54000000000019</v>
      </c>
      <c r="S15" s="1">
        <f>VLOOKUP(A15,Actual_RDNS!$A$2:$H$62,4,0)</f>
        <v>1326.72</v>
      </c>
      <c r="T15" s="1">
        <f>VLOOKUP(A15,Actual_RDNS!$A$2:$H$62,5,0)</f>
        <v>712.75999999999988</v>
      </c>
      <c r="U15" s="1">
        <f>VLOOKUP(A15,Actual_RDNS!$A$2:$H$62,6,0)</f>
        <v>397.32</v>
      </c>
      <c r="V15" s="1">
        <f>VLOOKUP(A15,Actual_RDNS!$A$2:$H$62,7,0)</f>
        <v>310.53999999999996</v>
      </c>
      <c r="W15" s="1">
        <f>VLOOKUP(A15,Actual_RDNS!$A$2:$H$62,8,0)</f>
        <v>563.01999999999987</v>
      </c>
      <c r="X15" s="111"/>
      <c r="Y15" s="111"/>
      <c r="Z15" s="111"/>
      <c r="AA15" s="111"/>
      <c r="AB15" s="111"/>
      <c r="AC15" s="111"/>
      <c r="AE15" s="97">
        <f t="shared" si="2"/>
        <v>0.50729919272339541</v>
      </c>
      <c r="AF15" s="97">
        <f t="shared" si="0"/>
        <v>1.8388985076987787</v>
      </c>
      <c r="AG15" s="97">
        <f t="shared" si="0"/>
        <v>0.72171199816306042</v>
      </c>
      <c r="AH15" s="97">
        <f t="shared" si="0"/>
        <v>0.37187978126009064</v>
      </c>
      <c r="AI15" s="97">
        <f t="shared" si="0"/>
        <v>0.32392405244930167</v>
      </c>
      <c r="AJ15" s="97">
        <f t="shared" si="0"/>
        <v>0.62015870586354915</v>
      </c>
      <c r="AK15" s="99">
        <f t="shared" si="0"/>
        <v>0</v>
      </c>
      <c r="AL15" s="99">
        <f t="shared" si="0"/>
        <v>0</v>
      </c>
      <c r="AM15" s="99">
        <f t="shared" si="0"/>
        <v>0</v>
      </c>
      <c r="AN15" s="99">
        <f t="shared" si="0"/>
        <v>0</v>
      </c>
      <c r="AO15" s="99">
        <f t="shared" si="0"/>
        <v>0</v>
      </c>
      <c r="AP15" s="99">
        <f t="shared" si="0"/>
        <v>0</v>
      </c>
      <c r="AQ15" s="97"/>
      <c r="AR15" s="99">
        <f t="shared" si="3"/>
        <v>0.50729999999999997</v>
      </c>
      <c r="AS15" s="99">
        <f t="shared" si="1"/>
        <v>1.8389</v>
      </c>
      <c r="AT15" s="99">
        <f t="shared" si="1"/>
        <v>0.72170000000000001</v>
      </c>
      <c r="AU15" s="99">
        <f t="shared" si="1"/>
        <v>0.37190000000000001</v>
      </c>
      <c r="AV15" s="99">
        <f t="shared" si="1"/>
        <v>0.32390000000000002</v>
      </c>
      <c r="AW15" s="99">
        <f t="shared" si="1"/>
        <v>0.62019999999999997</v>
      </c>
      <c r="AX15" s="99">
        <f t="shared" si="1"/>
        <v>0</v>
      </c>
      <c r="AY15" s="99">
        <f t="shared" si="1"/>
        <v>0</v>
      </c>
      <c r="AZ15" s="99">
        <f t="shared" si="1"/>
        <v>0</v>
      </c>
      <c r="BA15" s="99">
        <f t="shared" si="1"/>
        <v>0</v>
      </c>
      <c r="BB15" s="99">
        <f t="shared" si="1"/>
        <v>0</v>
      </c>
      <c r="BC15" s="99">
        <f t="shared" si="1"/>
        <v>0</v>
      </c>
      <c r="BD15" s="97"/>
      <c r="BE15" s="1">
        <f>IFERROR(VLOOKUP(AR15,'Top WS'!$A$19:$E$28,5),0)</f>
        <v>400</v>
      </c>
      <c r="BF15" s="1">
        <f>IFERROR(VLOOKUP(AS15,'Top WS'!$A$19:$E$28,5),0)</f>
        <v>520</v>
      </c>
      <c r="BG15" s="1">
        <f>IFERROR(VLOOKUP(AT15,'Top WS'!$A$19:$E$28,5),0)</f>
        <v>400</v>
      </c>
      <c r="BH15" s="1">
        <f>IFERROR(VLOOKUP(AU15,'Top WS'!$A$19:$E$28,5),0)</f>
        <v>400</v>
      </c>
      <c r="BI15" s="1">
        <f>IFERROR(VLOOKUP(AV15,'Top WS'!$A$19:$E$28,5),0)</f>
        <v>400</v>
      </c>
      <c r="BJ15" s="1">
        <f>IFERROR(VLOOKUP(AW15,'Top WS'!$A$19:$E$28,5),0)</f>
        <v>400</v>
      </c>
      <c r="BK15" s="98">
        <f>IFERROR(VLOOKUP(AX15,'Top WS'!$A$19:$E$28,5),0)</f>
        <v>400</v>
      </c>
      <c r="BL15" s="98">
        <f>IFERROR(VLOOKUP(AY15,'Top WS'!$A$19:$E$28,5),0)</f>
        <v>400</v>
      </c>
      <c r="BM15" s="98">
        <f>IFERROR(VLOOKUP(AZ15,'Top WS'!$A$19:$E$28,5),0)</f>
        <v>400</v>
      </c>
      <c r="BN15" s="98">
        <f>IFERROR(VLOOKUP(BA15,'Top WS'!$A$19:$E$28,5),0)</f>
        <v>400</v>
      </c>
      <c r="BO15" s="98">
        <f>IFERROR(VLOOKUP(BB15,'Top WS'!$A$19:$E$28,5),0)</f>
        <v>400</v>
      </c>
      <c r="BP15" s="98">
        <f>IFERROR(VLOOKUP(BC15,'Top WS'!$A$19:$E$28,5),0)</f>
        <v>400</v>
      </c>
    </row>
    <row r="16" spans="1:68" x14ac:dyDescent="0.4">
      <c r="A16">
        <v>1190022201</v>
      </c>
      <c r="B16">
        <f>VLOOKUP(A16,'Aji Plus'!$A$2:$D$58,2,0)</f>
        <v>61616</v>
      </c>
      <c r="C16" t="str">
        <f>VLOOKUP(A16,'Aji Plus'!$A$2:$D$58,3,0)</f>
        <v>นายฐิติพงศ์ ก๋าเมืองลือ</v>
      </c>
      <c r="D16" t="str">
        <f>VLOOKUP(A16,'Aji Plus'!$A$2:$D$58,4,0)</f>
        <v>Lampang</v>
      </c>
      <c r="E16" s="1">
        <v>605</v>
      </c>
      <c r="F16" s="1">
        <v>538</v>
      </c>
      <c r="G16" s="1">
        <v>370</v>
      </c>
      <c r="H16" s="1">
        <v>365</v>
      </c>
      <c r="I16" s="1">
        <v>754</v>
      </c>
      <c r="J16" s="1">
        <v>922</v>
      </c>
      <c r="K16" s="1">
        <v>571</v>
      </c>
      <c r="L16" s="1">
        <v>918</v>
      </c>
      <c r="M16" s="1">
        <v>749</v>
      </c>
      <c r="N16" s="1">
        <v>941</v>
      </c>
      <c r="O16" s="1">
        <v>634</v>
      </c>
      <c r="P16" s="1">
        <v>831</v>
      </c>
      <c r="R16" s="1">
        <f>VLOOKUP(A16,Actual_RDNS!$A$2:$H$62,3,0)</f>
        <v>469.2</v>
      </c>
      <c r="S16" s="1">
        <f>VLOOKUP(A16,Actual_RDNS!$A$2:$H$62,4,0)</f>
        <v>1822.06</v>
      </c>
      <c r="T16" s="1">
        <f>VLOOKUP(A16,Actual_RDNS!$A$2:$H$62,5,0)</f>
        <v>670.68</v>
      </c>
      <c r="U16" s="1">
        <f>VLOOKUP(A16,Actual_RDNS!$A$2:$H$62,6,0)</f>
        <v>536.22</v>
      </c>
      <c r="V16" s="1">
        <f>VLOOKUP(A16,Actual_RDNS!$A$2:$H$62,7,0)</f>
        <v>865.81999999999982</v>
      </c>
      <c r="W16" s="1">
        <f>VLOOKUP(A16,Actual_RDNS!$A$2:$H$62,8,0)</f>
        <v>1280.74</v>
      </c>
      <c r="X16" s="111"/>
      <c r="Y16" s="111"/>
      <c r="Z16" s="111"/>
      <c r="AA16" s="111"/>
      <c r="AB16" s="111"/>
      <c r="AC16" s="111"/>
      <c r="AE16" s="97">
        <f t="shared" si="2"/>
        <v>0.77553719008264466</v>
      </c>
      <c r="AF16" s="97">
        <f t="shared" si="0"/>
        <v>3.3867286245353161</v>
      </c>
      <c r="AG16" s="97">
        <f t="shared" si="0"/>
        <v>1.8126486486486486</v>
      </c>
      <c r="AH16" s="97">
        <f t="shared" si="0"/>
        <v>1.469095890410959</v>
      </c>
      <c r="AI16" s="97">
        <f t="shared" si="0"/>
        <v>1.1483023872679043</v>
      </c>
      <c r="AJ16" s="97">
        <f t="shared" si="0"/>
        <v>1.3890889370932755</v>
      </c>
      <c r="AK16" s="99">
        <f t="shared" si="0"/>
        <v>0</v>
      </c>
      <c r="AL16" s="99">
        <f t="shared" si="0"/>
        <v>0</v>
      </c>
      <c r="AM16" s="99">
        <f t="shared" si="0"/>
        <v>0</v>
      </c>
      <c r="AN16" s="99">
        <f t="shared" si="0"/>
        <v>0</v>
      </c>
      <c r="AO16" s="99">
        <f t="shared" si="0"/>
        <v>0</v>
      </c>
      <c r="AP16" s="99">
        <f t="shared" si="0"/>
        <v>0</v>
      </c>
      <c r="AQ16" s="97"/>
      <c r="AR16" s="99">
        <f t="shared" si="3"/>
        <v>0.77549999999999997</v>
      </c>
      <c r="AS16" s="99">
        <f t="shared" si="1"/>
        <v>3.3866999999999998</v>
      </c>
      <c r="AT16" s="99">
        <f t="shared" si="1"/>
        <v>1.8126</v>
      </c>
      <c r="AU16" s="99">
        <f t="shared" si="1"/>
        <v>1.4691000000000001</v>
      </c>
      <c r="AV16" s="99">
        <f t="shared" si="1"/>
        <v>1.1483000000000001</v>
      </c>
      <c r="AW16" s="99">
        <f t="shared" si="1"/>
        <v>1.3891</v>
      </c>
      <c r="AX16" s="99">
        <f t="shared" si="1"/>
        <v>0</v>
      </c>
      <c r="AY16" s="99">
        <f t="shared" si="1"/>
        <v>0</v>
      </c>
      <c r="AZ16" s="99">
        <f t="shared" si="1"/>
        <v>0</v>
      </c>
      <c r="BA16" s="99">
        <f t="shared" si="1"/>
        <v>0</v>
      </c>
      <c r="BB16" s="99">
        <f t="shared" si="1"/>
        <v>0</v>
      </c>
      <c r="BC16" s="99">
        <f t="shared" si="1"/>
        <v>0</v>
      </c>
      <c r="BD16" s="97"/>
      <c r="BE16" s="1">
        <f>IFERROR(VLOOKUP(AR16,'Top WS'!$A$19:$E$28,5),0)</f>
        <v>400</v>
      </c>
      <c r="BF16" s="1">
        <f>IFERROR(VLOOKUP(AS16,'Top WS'!$A$19:$E$28,5),0)</f>
        <v>520</v>
      </c>
      <c r="BG16" s="1">
        <f>IFERROR(VLOOKUP(AT16,'Top WS'!$A$19:$E$28,5),0)</f>
        <v>520</v>
      </c>
      <c r="BH16" s="1">
        <f>IFERROR(VLOOKUP(AU16,'Top WS'!$A$19:$E$28,5),0)</f>
        <v>520</v>
      </c>
      <c r="BI16" s="1">
        <f>IFERROR(VLOOKUP(AV16,'Top WS'!$A$19:$E$28,5),0)</f>
        <v>460</v>
      </c>
      <c r="BJ16" s="1">
        <f>IFERROR(VLOOKUP(AW16,'Top WS'!$A$19:$E$28,5),0)</f>
        <v>520</v>
      </c>
      <c r="BK16" s="98">
        <f>IFERROR(VLOOKUP(AX16,'Top WS'!$A$19:$E$28,5),0)</f>
        <v>400</v>
      </c>
      <c r="BL16" s="98">
        <f>IFERROR(VLOOKUP(AY16,'Top WS'!$A$19:$E$28,5),0)</f>
        <v>400</v>
      </c>
      <c r="BM16" s="98">
        <f>IFERROR(VLOOKUP(AZ16,'Top WS'!$A$19:$E$28,5),0)</f>
        <v>400</v>
      </c>
      <c r="BN16" s="98">
        <f>IFERROR(VLOOKUP(BA16,'Top WS'!$A$19:$E$28,5),0)</f>
        <v>400</v>
      </c>
      <c r="BO16" s="98">
        <f>IFERROR(VLOOKUP(BB16,'Top WS'!$A$19:$E$28,5),0)</f>
        <v>400</v>
      </c>
      <c r="BP16" s="98">
        <f>IFERROR(VLOOKUP(BC16,'Top WS'!$A$19:$E$28,5),0)</f>
        <v>400</v>
      </c>
    </row>
    <row r="17" spans="1:68" x14ac:dyDescent="0.4">
      <c r="A17">
        <v>1190022301</v>
      </c>
      <c r="B17">
        <f>VLOOKUP(A17,'Aji Plus'!$A$2:$D$58,2,0)</f>
        <v>64151</v>
      </c>
      <c r="C17" t="str">
        <f>VLOOKUP(A17,'Aji Plus'!$A$2:$D$58,3,0)</f>
        <v>นายยุทธพร แผงไม้</v>
      </c>
      <c r="D17" t="str">
        <f>VLOOKUP(A17,'Aji Plus'!$A$2:$D$58,4,0)</f>
        <v>P.Sanulok</v>
      </c>
      <c r="E17" s="1">
        <v>669</v>
      </c>
      <c r="F17" s="1">
        <v>608</v>
      </c>
      <c r="G17" s="1">
        <v>717</v>
      </c>
      <c r="H17" s="1">
        <v>523</v>
      </c>
      <c r="I17" s="1">
        <v>623</v>
      </c>
      <c r="J17" s="1">
        <v>581</v>
      </c>
      <c r="K17" s="1">
        <v>496</v>
      </c>
      <c r="L17" s="1">
        <v>598</v>
      </c>
      <c r="M17" s="1">
        <v>533</v>
      </c>
      <c r="N17" s="1">
        <v>700</v>
      </c>
      <c r="O17" s="1">
        <v>612</v>
      </c>
      <c r="P17" s="1">
        <v>629</v>
      </c>
      <c r="R17" s="1">
        <f>VLOOKUP(A17,Actual_RDNS!$A$2:$H$62,3,0)</f>
        <v>60.12</v>
      </c>
      <c r="S17" s="1">
        <f>VLOOKUP(A17,Actual_RDNS!$A$2:$H$62,4,0)</f>
        <v>771.14</v>
      </c>
      <c r="T17" s="1">
        <f>VLOOKUP(A17,Actual_RDNS!$A$2:$H$62,5,0)</f>
        <v>695.33999999999992</v>
      </c>
      <c r="U17" s="1">
        <f>VLOOKUP(A17,Actual_RDNS!$A$2:$H$62,6,0)</f>
        <v>161.32</v>
      </c>
      <c r="V17" s="1">
        <f>VLOOKUP(A17,Actual_RDNS!$A$2:$H$62,7,0)</f>
        <v>404.65999999999997</v>
      </c>
      <c r="W17" s="1">
        <f>VLOOKUP(A17,Actual_RDNS!$A$2:$H$62,8,0)</f>
        <v>226.16</v>
      </c>
      <c r="X17" s="111"/>
      <c r="Y17" s="111"/>
      <c r="Z17" s="111"/>
      <c r="AA17" s="111"/>
      <c r="AB17" s="111"/>
      <c r="AC17" s="111"/>
      <c r="AE17" s="97">
        <f t="shared" si="2"/>
        <v>8.9865470852017931E-2</v>
      </c>
      <c r="AF17" s="97">
        <f t="shared" si="0"/>
        <v>1.2683223684210525</v>
      </c>
      <c r="AG17" s="97">
        <f t="shared" si="0"/>
        <v>0.96979079497907938</v>
      </c>
      <c r="AH17" s="97">
        <f t="shared" si="0"/>
        <v>0.30845124282982789</v>
      </c>
      <c r="AI17" s="97">
        <f t="shared" si="0"/>
        <v>0.64953451043338684</v>
      </c>
      <c r="AJ17" s="97">
        <f t="shared" si="0"/>
        <v>0.38925989672977623</v>
      </c>
      <c r="AK17" s="99">
        <f t="shared" si="0"/>
        <v>0</v>
      </c>
      <c r="AL17" s="99">
        <f t="shared" si="0"/>
        <v>0</v>
      </c>
      <c r="AM17" s="99">
        <f t="shared" si="0"/>
        <v>0</v>
      </c>
      <c r="AN17" s="99">
        <f t="shared" si="0"/>
        <v>0</v>
      </c>
      <c r="AO17" s="99">
        <f t="shared" si="0"/>
        <v>0</v>
      </c>
      <c r="AP17" s="99">
        <f t="shared" si="0"/>
        <v>0</v>
      </c>
      <c r="AQ17" s="97"/>
      <c r="AR17" s="99">
        <f t="shared" si="3"/>
        <v>8.9899999999999994E-2</v>
      </c>
      <c r="AS17" s="99">
        <f t="shared" si="1"/>
        <v>1.2683</v>
      </c>
      <c r="AT17" s="99">
        <f t="shared" si="1"/>
        <v>0.9698</v>
      </c>
      <c r="AU17" s="99">
        <f t="shared" si="1"/>
        <v>0.3085</v>
      </c>
      <c r="AV17" s="99">
        <f t="shared" si="1"/>
        <v>0.64949999999999997</v>
      </c>
      <c r="AW17" s="99">
        <f t="shared" si="1"/>
        <v>0.38929999999999998</v>
      </c>
      <c r="AX17" s="99">
        <f t="shared" si="1"/>
        <v>0</v>
      </c>
      <c r="AY17" s="99">
        <f t="shared" si="1"/>
        <v>0</v>
      </c>
      <c r="AZ17" s="99">
        <f t="shared" si="1"/>
        <v>0</v>
      </c>
      <c r="BA17" s="99">
        <f t="shared" si="1"/>
        <v>0</v>
      </c>
      <c r="BB17" s="99">
        <f t="shared" si="1"/>
        <v>0</v>
      </c>
      <c r="BC17" s="99">
        <f t="shared" si="1"/>
        <v>0</v>
      </c>
      <c r="BD17" s="97"/>
      <c r="BE17" s="1">
        <f>IFERROR(VLOOKUP(AR17,'Top WS'!$A$19:$E$28,5),0)</f>
        <v>400</v>
      </c>
      <c r="BF17" s="1">
        <f>IFERROR(VLOOKUP(AS17,'Top WS'!$A$19:$E$28,5),0)</f>
        <v>520</v>
      </c>
      <c r="BG17" s="1">
        <f>IFERROR(VLOOKUP(AT17,'Top WS'!$A$19:$E$28,5),0)</f>
        <v>400</v>
      </c>
      <c r="BH17" s="1">
        <f>IFERROR(VLOOKUP(AU17,'Top WS'!$A$19:$E$28,5),0)</f>
        <v>400</v>
      </c>
      <c r="BI17" s="1">
        <f>IFERROR(VLOOKUP(AV17,'Top WS'!$A$19:$E$28,5),0)</f>
        <v>400</v>
      </c>
      <c r="BJ17" s="1">
        <f>IFERROR(VLOOKUP(AW17,'Top WS'!$A$19:$E$28,5),0)</f>
        <v>400</v>
      </c>
      <c r="BK17" s="98">
        <f>IFERROR(VLOOKUP(AX17,'Top WS'!$A$19:$E$28,5),0)</f>
        <v>400</v>
      </c>
      <c r="BL17" s="98">
        <f>IFERROR(VLOOKUP(AY17,'Top WS'!$A$19:$E$28,5),0)</f>
        <v>400</v>
      </c>
      <c r="BM17" s="98">
        <f>IFERROR(VLOOKUP(AZ17,'Top WS'!$A$19:$E$28,5),0)</f>
        <v>400</v>
      </c>
      <c r="BN17" s="98">
        <f>IFERROR(VLOOKUP(BA17,'Top WS'!$A$19:$E$28,5),0)</f>
        <v>400</v>
      </c>
      <c r="BO17" s="98">
        <f>IFERROR(VLOOKUP(BB17,'Top WS'!$A$19:$E$28,5),0)</f>
        <v>400</v>
      </c>
      <c r="BP17" s="98">
        <f>IFERROR(VLOOKUP(BC17,'Top WS'!$A$19:$E$28,5),0)</f>
        <v>400</v>
      </c>
    </row>
    <row r="18" spans="1:68" x14ac:dyDescent="0.4">
      <c r="A18">
        <v>1190022302</v>
      </c>
      <c r="B18">
        <f>VLOOKUP(A18,'Aji Plus'!$A$2:$D$58,2,0)</f>
        <v>65589</v>
      </c>
      <c r="C18" t="str">
        <f>VLOOKUP(A18,'Aji Plus'!$A$2:$D$58,3,0)</f>
        <v>นายไกรสร อิ่มเพ็ง</v>
      </c>
      <c r="D18" t="str">
        <f>VLOOKUP(A18,'Aji Plus'!$A$2:$D$58,4,0)</f>
        <v>P.Sanulok</v>
      </c>
      <c r="E18" s="1">
        <v>748</v>
      </c>
      <c r="F18" s="1">
        <v>681</v>
      </c>
      <c r="G18" s="1">
        <v>500</v>
      </c>
      <c r="H18" s="1">
        <v>587</v>
      </c>
      <c r="I18" s="1">
        <v>698</v>
      </c>
      <c r="J18" s="1">
        <v>651</v>
      </c>
      <c r="K18" s="1">
        <v>558</v>
      </c>
      <c r="L18" s="1">
        <v>669</v>
      </c>
      <c r="M18" s="1">
        <v>597</v>
      </c>
      <c r="N18" s="1">
        <v>500</v>
      </c>
      <c r="O18" s="1">
        <v>500</v>
      </c>
      <c r="P18" s="1">
        <v>600</v>
      </c>
      <c r="R18" s="1">
        <f>VLOOKUP(A18,Actual_RDNS!$A$2:$H$62,3,0)</f>
        <v>142.56</v>
      </c>
      <c r="S18" s="1">
        <f>VLOOKUP(A18,Actual_RDNS!$A$2:$H$62,4,0)</f>
        <v>1963.76</v>
      </c>
      <c r="T18" s="1">
        <f>VLOOKUP(A18,Actual_RDNS!$A$2:$H$62,5,0)</f>
        <v>97.2</v>
      </c>
      <c r="U18" s="1">
        <f>VLOOKUP(A18,Actual_RDNS!$A$2:$H$62,6,0)</f>
        <v>188.03999999999996</v>
      </c>
      <c r="V18" s="1">
        <f>VLOOKUP(A18,Actual_RDNS!$A$2:$H$62,7,0)</f>
        <v>254.6</v>
      </c>
      <c r="W18" s="1">
        <f>VLOOKUP(A18,Actual_RDNS!$A$2:$H$62,8,0)</f>
        <v>135</v>
      </c>
      <c r="X18" s="111"/>
      <c r="Y18" s="111"/>
      <c r="Z18" s="111"/>
      <c r="AA18" s="111"/>
      <c r="AB18" s="111"/>
      <c r="AC18" s="111"/>
      <c r="AE18" s="97">
        <f t="shared" si="2"/>
        <v>0.19058823529411764</v>
      </c>
      <c r="AF18" s="97">
        <f t="shared" si="2"/>
        <v>2.883641703377386</v>
      </c>
      <c r="AG18" s="97">
        <f t="shared" si="2"/>
        <v>0.19440000000000002</v>
      </c>
      <c r="AH18" s="97">
        <f t="shared" si="2"/>
        <v>0.32034071550255533</v>
      </c>
      <c r="AI18" s="97">
        <f t="shared" si="2"/>
        <v>0.36475644699140403</v>
      </c>
      <c r="AJ18" s="97">
        <f t="shared" si="2"/>
        <v>0.20737327188940091</v>
      </c>
      <c r="AK18" s="99">
        <f t="shared" si="2"/>
        <v>0</v>
      </c>
      <c r="AL18" s="99">
        <f t="shared" si="2"/>
        <v>0</v>
      </c>
      <c r="AM18" s="99">
        <f t="shared" si="2"/>
        <v>0</v>
      </c>
      <c r="AN18" s="99">
        <f t="shared" si="2"/>
        <v>0</v>
      </c>
      <c r="AO18" s="99">
        <f t="shared" si="2"/>
        <v>0</v>
      </c>
      <c r="AP18" s="99">
        <f t="shared" si="2"/>
        <v>0</v>
      </c>
      <c r="AQ18" s="97"/>
      <c r="AR18" s="99">
        <f t="shared" si="3"/>
        <v>0.19059999999999999</v>
      </c>
      <c r="AS18" s="99">
        <f t="shared" si="3"/>
        <v>2.8835999999999999</v>
      </c>
      <c r="AT18" s="99">
        <f t="shared" si="3"/>
        <v>0.19439999999999999</v>
      </c>
      <c r="AU18" s="99">
        <f t="shared" si="3"/>
        <v>0.32029999999999997</v>
      </c>
      <c r="AV18" s="99">
        <f t="shared" si="3"/>
        <v>0.36480000000000001</v>
      </c>
      <c r="AW18" s="99">
        <f t="shared" si="3"/>
        <v>0.2074</v>
      </c>
      <c r="AX18" s="99">
        <f t="shared" si="3"/>
        <v>0</v>
      </c>
      <c r="AY18" s="99">
        <f t="shared" si="3"/>
        <v>0</v>
      </c>
      <c r="AZ18" s="99">
        <f t="shared" si="3"/>
        <v>0</v>
      </c>
      <c r="BA18" s="99">
        <f t="shared" si="3"/>
        <v>0</v>
      </c>
      <c r="BB18" s="99">
        <f t="shared" si="3"/>
        <v>0</v>
      </c>
      <c r="BC18" s="99">
        <f t="shared" si="3"/>
        <v>0</v>
      </c>
      <c r="BD18" s="97"/>
      <c r="BE18" s="1">
        <f>IFERROR(VLOOKUP(AR18,'Top WS'!$A$19:$E$28,5),0)</f>
        <v>400</v>
      </c>
      <c r="BF18" s="1">
        <f>IFERROR(VLOOKUP(AS18,'Top WS'!$A$19:$E$28,5),0)</f>
        <v>520</v>
      </c>
      <c r="BG18" s="1">
        <f>IFERROR(VLOOKUP(AT18,'Top WS'!$A$19:$E$28,5),0)</f>
        <v>400</v>
      </c>
      <c r="BH18" s="1">
        <f>IFERROR(VLOOKUP(AU18,'Top WS'!$A$19:$E$28,5),0)</f>
        <v>400</v>
      </c>
      <c r="BI18" s="1">
        <f>IFERROR(VLOOKUP(AV18,'Top WS'!$A$19:$E$28,5),0)</f>
        <v>400</v>
      </c>
      <c r="BJ18" s="1">
        <f>IFERROR(VLOOKUP(AW18,'Top WS'!$A$19:$E$28,5),0)</f>
        <v>400</v>
      </c>
      <c r="BK18" s="98">
        <f>IFERROR(VLOOKUP(AX18,'Top WS'!$A$19:$E$28,5),0)</f>
        <v>400</v>
      </c>
      <c r="BL18" s="98">
        <f>IFERROR(VLOOKUP(AY18,'Top WS'!$A$19:$E$28,5),0)</f>
        <v>400</v>
      </c>
      <c r="BM18" s="98">
        <f>IFERROR(VLOOKUP(AZ18,'Top WS'!$A$19:$E$28,5),0)</f>
        <v>400</v>
      </c>
      <c r="BN18" s="98">
        <f>IFERROR(VLOOKUP(BA18,'Top WS'!$A$19:$E$28,5),0)</f>
        <v>400</v>
      </c>
      <c r="BO18" s="98">
        <f>IFERROR(VLOOKUP(BB18,'Top WS'!$A$19:$E$28,5),0)</f>
        <v>400</v>
      </c>
      <c r="BP18" s="98">
        <f>IFERROR(VLOOKUP(BC18,'Top WS'!$A$19:$E$28,5),0)</f>
        <v>400</v>
      </c>
    </row>
    <row r="19" spans="1:68" x14ac:dyDescent="0.4">
      <c r="A19">
        <v>1190022401</v>
      </c>
      <c r="B19">
        <f>VLOOKUP(A19,'Aji Plus'!$A$2:$D$58,2,0)</f>
        <v>75673</v>
      </c>
      <c r="C19" t="str">
        <f>VLOOKUP(A19,'Aji Plus'!$A$2:$D$58,3,0)</f>
        <v>นายพิเชษฐ เพชรสันทัด</v>
      </c>
      <c r="D19" t="str">
        <f>VLOOKUP(A19,'Aji Plus'!$A$2:$D$58,4,0)</f>
        <v>N.Sawan</v>
      </c>
      <c r="E19" s="1">
        <v>1169.6558497918534</v>
      </c>
      <c r="F19" s="1">
        <v>1077.6679099138692</v>
      </c>
      <c r="G19" s="1">
        <v>1243.7895001538818</v>
      </c>
      <c r="H19" s="1">
        <v>947.52041957470794</v>
      </c>
      <c r="I19" s="1">
        <v>1100.3012021482039</v>
      </c>
      <c r="J19" s="1">
        <v>1035.5592337572764</v>
      </c>
      <c r="K19" s="1">
        <v>907.52024762176018</v>
      </c>
      <c r="L19" s="1">
        <v>1061.4736230588933</v>
      </c>
      <c r="M19" s="1">
        <v>963.46397815597061</v>
      </c>
      <c r="N19" s="1">
        <v>1216.7237745750504</v>
      </c>
      <c r="O19" s="1">
        <v>1090.1519901324712</v>
      </c>
      <c r="P19" s="1">
        <v>985.76934714486049</v>
      </c>
      <c r="R19" s="1">
        <f>VLOOKUP(A19,Actual_RDNS!$A$2:$H$62,3,0)</f>
        <v>1059.8399999999999</v>
      </c>
      <c r="S19" s="1">
        <f>VLOOKUP(A19,Actual_RDNS!$A$2:$H$62,4,0)</f>
        <v>938.88000000000011</v>
      </c>
      <c r="T19" s="1">
        <f>VLOOKUP(A19,Actual_RDNS!$A$2:$H$62,5,0)</f>
        <v>1164.6000000000001</v>
      </c>
      <c r="U19" s="1">
        <f>VLOOKUP(A19,Actual_RDNS!$A$2:$H$62,6,0)</f>
        <v>178.20000000000002</v>
      </c>
      <c r="V19" s="1">
        <f>VLOOKUP(A19,Actual_RDNS!$A$2:$H$62,7,0)</f>
        <v>1037.3400000000001</v>
      </c>
      <c r="W19" s="1">
        <f>VLOOKUP(A19,Actual_RDNS!$A$2:$H$62,8,0)</f>
        <v>1056.5999999999999</v>
      </c>
      <c r="X19" s="111"/>
      <c r="Y19" s="111"/>
      <c r="Z19" s="111"/>
      <c r="AA19" s="111"/>
      <c r="AB19" s="111"/>
      <c r="AC19" s="111"/>
      <c r="AE19" s="97">
        <f t="shared" si="2"/>
        <v>0.90611268279349366</v>
      </c>
      <c r="AF19" s="97">
        <f t="shared" si="2"/>
        <v>0.87121458416168163</v>
      </c>
      <c r="AG19" s="97">
        <f t="shared" si="2"/>
        <v>0.93633207215201253</v>
      </c>
      <c r="AH19" s="97">
        <f t="shared" si="2"/>
        <v>0.18806982553472001</v>
      </c>
      <c r="AI19" s="97">
        <f t="shared" si="2"/>
        <v>0.94277821197933831</v>
      </c>
      <c r="AJ19" s="97">
        <f t="shared" si="2"/>
        <v>1.0203182643318067</v>
      </c>
      <c r="AK19" s="99">
        <f t="shared" si="2"/>
        <v>0</v>
      </c>
      <c r="AL19" s="99">
        <f t="shared" si="2"/>
        <v>0</v>
      </c>
      <c r="AM19" s="99">
        <f t="shared" si="2"/>
        <v>0</v>
      </c>
      <c r="AN19" s="99">
        <f t="shared" si="2"/>
        <v>0</v>
      </c>
      <c r="AO19" s="99">
        <f t="shared" si="2"/>
        <v>0</v>
      </c>
      <c r="AP19" s="99">
        <f t="shared" si="2"/>
        <v>0</v>
      </c>
      <c r="AQ19" s="97"/>
      <c r="AR19" s="99">
        <f t="shared" si="3"/>
        <v>0.90610000000000002</v>
      </c>
      <c r="AS19" s="99">
        <f t="shared" si="3"/>
        <v>0.87119999999999997</v>
      </c>
      <c r="AT19" s="99">
        <f t="shared" si="3"/>
        <v>0.93630000000000002</v>
      </c>
      <c r="AU19" s="99">
        <f t="shared" si="3"/>
        <v>0.18809999999999999</v>
      </c>
      <c r="AV19" s="99">
        <f t="shared" si="3"/>
        <v>0.94279999999999997</v>
      </c>
      <c r="AW19" s="99">
        <f t="shared" si="3"/>
        <v>1.0203</v>
      </c>
      <c r="AX19" s="99">
        <f t="shared" si="3"/>
        <v>0</v>
      </c>
      <c r="AY19" s="99">
        <f t="shared" si="3"/>
        <v>0</v>
      </c>
      <c r="AZ19" s="99">
        <f t="shared" si="3"/>
        <v>0</v>
      </c>
      <c r="BA19" s="99">
        <f t="shared" si="3"/>
        <v>0</v>
      </c>
      <c r="BB19" s="99">
        <f t="shared" si="3"/>
        <v>0</v>
      </c>
      <c r="BC19" s="99">
        <f t="shared" si="3"/>
        <v>0</v>
      </c>
      <c r="BD19" s="97"/>
      <c r="BE19" s="1">
        <f>IFERROR(VLOOKUP(AR19,'Top WS'!$A$19:$E$28,5),0)</f>
        <v>400</v>
      </c>
      <c r="BF19" s="1">
        <f>IFERROR(VLOOKUP(AS19,'Top WS'!$A$19:$E$28,5),0)</f>
        <v>400</v>
      </c>
      <c r="BG19" s="1">
        <f>IFERROR(VLOOKUP(AT19,'Top WS'!$A$19:$E$28,5),0)</f>
        <v>400</v>
      </c>
      <c r="BH19" s="1">
        <f>IFERROR(VLOOKUP(AU19,'Top WS'!$A$19:$E$28,5),0)</f>
        <v>400</v>
      </c>
      <c r="BI19" s="1">
        <f>IFERROR(VLOOKUP(AV19,'Top WS'!$A$19:$E$28,5),0)</f>
        <v>400</v>
      </c>
      <c r="BJ19" s="1">
        <f>IFERROR(VLOOKUP(AW19,'Top WS'!$A$19:$E$28,5),0)</f>
        <v>412</v>
      </c>
      <c r="BK19" s="98">
        <f>IFERROR(VLOOKUP(AX19,'Top WS'!$A$19:$E$28,5),0)</f>
        <v>400</v>
      </c>
      <c r="BL19" s="98">
        <f>IFERROR(VLOOKUP(AY19,'Top WS'!$A$19:$E$28,5),0)</f>
        <v>400</v>
      </c>
      <c r="BM19" s="98">
        <f>IFERROR(VLOOKUP(AZ19,'Top WS'!$A$19:$E$28,5),0)</f>
        <v>400</v>
      </c>
      <c r="BN19" s="98">
        <f>IFERROR(VLOOKUP(BA19,'Top WS'!$A$19:$E$28,5),0)</f>
        <v>400</v>
      </c>
      <c r="BO19" s="98">
        <f>IFERROR(VLOOKUP(BB19,'Top WS'!$A$19:$E$28,5),0)</f>
        <v>400</v>
      </c>
      <c r="BP19" s="98">
        <f>IFERROR(VLOOKUP(BC19,'Top WS'!$A$19:$E$28,5),0)</f>
        <v>400</v>
      </c>
    </row>
    <row r="20" spans="1:68" x14ac:dyDescent="0.4">
      <c r="A20">
        <v>1190022402</v>
      </c>
      <c r="B20">
        <f>VLOOKUP(A20,'Aji Plus'!$A$2:$D$58,2,0)</f>
        <v>63074</v>
      </c>
      <c r="C20" t="str">
        <f>VLOOKUP(A20,'Aji Plus'!$A$2:$D$58,3,0)</f>
        <v>นายวีรยุทธ ตันพงษ์</v>
      </c>
      <c r="D20" t="str">
        <f>VLOOKUP(A20,'Aji Plus'!$A$2:$D$58,4,0)</f>
        <v>N.Sawan</v>
      </c>
      <c r="E20" s="1">
        <v>219.35419569875128</v>
      </c>
      <c r="F20" s="1">
        <v>202.10301829514907</v>
      </c>
      <c r="G20" s="1">
        <v>233.25702639230016</v>
      </c>
      <c r="H20" s="1">
        <v>177.69549870668379</v>
      </c>
      <c r="I20" s="1">
        <v>206.34760666271103</v>
      </c>
      <c r="J20" s="1">
        <v>194.20606741689519</v>
      </c>
      <c r="K20" s="1">
        <v>170.19397118633492</v>
      </c>
      <c r="L20" s="1">
        <v>199.06598413794785</v>
      </c>
      <c r="M20" s="1">
        <v>180.68551193988495</v>
      </c>
      <c r="N20" s="1">
        <v>228.18119108022591</v>
      </c>
      <c r="O20" s="1">
        <v>204.44425001375885</v>
      </c>
      <c r="P20" s="1">
        <v>184.8686024405587</v>
      </c>
      <c r="R20" s="1">
        <f>VLOOKUP(A20,Actual_RDNS!$A$2:$H$62,3,0)</f>
        <v>53.46</v>
      </c>
      <c r="S20" s="1">
        <f>VLOOKUP(A20,Actual_RDNS!$A$2:$H$62,4,0)</f>
        <v>371.42</v>
      </c>
      <c r="T20" s="1">
        <f>VLOOKUP(A20,Actual_RDNS!$A$2:$H$62,5,0)</f>
        <v>60.120000000000005</v>
      </c>
      <c r="U20" s="1">
        <f>VLOOKUP(A20,Actual_RDNS!$A$2:$H$62,6,0)</f>
        <v>56.02</v>
      </c>
      <c r="V20" s="1">
        <f>VLOOKUP(A20,Actual_RDNS!$A$2:$H$62,7,0)</f>
        <v>94.939999999999984</v>
      </c>
      <c r="W20" s="1">
        <f>VLOOKUP(A20,Actual_RDNS!$A$2:$H$62,8,0)</f>
        <v>55.62</v>
      </c>
      <c r="X20" s="111"/>
      <c r="Y20" s="111"/>
      <c r="Z20" s="111"/>
      <c r="AA20" s="111"/>
      <c r="AB20" s="111"/>
      <c r="AC20" s="111"/>
      <c r="AE20" s="97">
        <f t="shared" si="2"/>
        <v>0.24371542030323851</v>
      </c>
      <c r="AF20" s="97">
        <f t="shared" si="2"/>
        <v>1.8377756212308629</v>
      </c>
      <c r="AG20" s="97">
        <f t="shared" si="2"/>
        <v>0.25774143197250571</v>
      </c>
      <c r="AH20" s="97">
        <f t="shared" si="2"/>
        <v>0.31525840782534625</v>
      </c>
      <c r="AI20" s="97">
        <f t="shared" si="2"/>
        <v>0.46009741297937984</v>
      </c>
      <c r="AJ20" s="97">
        <f t="shared" si="2"/>
        <v>0.2863968193156527</v>
      </c>
      <c r="AK20" s="99">
        <f t="shared" si="2"/>
        <v>0</v>
      </c>
      <c r="AL20" s="99">
        <f t="shared" si="2"/>
        <v>0</v>
      </c>
      <c r="AM20" s="99">
        <f t="shared" si="2"/>
        <v>0</v>
      </c>
      <c r="AN20" s="99">
        <f t="shared" si="2"/>
        <v>0</v>
      </c>
      <c r="AO20" s="99">
        <f t="shared" si="2"/>
        <v>0</v>
      </c>
      <c r="AP20" s="99">
        <f t="shared" si="2"/>
        <v>0</v>
      </c>
      <c r="AQ20" s="97"/>
      <c r="AR20" s="99">
        <f t="shared" si="3"/>
        <v>0.2437</v>
      </c>
      <c r="AS20" s="99">
        <f t="shared" si="3"/>
        <v>1.8378000000000001</v>
      </c>
      <c r="AT20" s="99">
        <f t="shared" si="3"/>
        <v>0.25769999999999998</v>
      </c>
      <c r="AU20" s="99">
        <f t="shared" si="3"/>
        <v>0.31530000000000002</v>
      </c>
      <c r="AV20" s="99">
        <f t="shared" si="3"/>
        <v>0.46010000000000001</v>
      </c>
      <c r="AW20" s="99">
        <f t="shared" si="3"/>
        <v>0.28639999999999999</v>
      </c>
      <c r="AX20" s="99">
        <f t="shared" si="3"/>
        <v>0</v>
      </c>
      <c r="AY20" s="99">
        <f t="shared" si="3"/>
        <v>0</v>
      </c>
      <c r="AZ20" s="99">
        <f t="shared" si="3"/>
        <v>0</v>
      </c>
      <c r="BA20" s="99">
        <f t="shared" si="3"/>
        <v>0</v>
      </c>
      <c r="BB20" s="99">
        <f t="shared" si="3"/>
        <v>0</v>
      </c>
      <c r="BC20" s="99">
        <f t="shared" si="3"/>
        <v>0</v>
      </c>
      <c r="BD20" s="97"/>
      <c r="BE20" s="1">
        <f>IFERROR(VLOOKUP(AR20,'Top WS'!$A$19:$E$28,5),0)</f>
        <v>400</v>
      </c>
      <c r="BF20" s="1">
        <f>IFERROR(VLOOKUP(AS20,'Top WS'!$A$19:$E$28,5),0)</f>
        <v>520</v>
      </c>
      <c r="BG20" s="1">
        <f>IFERROR(VLOOKUP(AT20,'Top WS'!$A$19:$E$28,5),0)</f>
        <v>400</v>
      </c>
      <c r="BH20" s="1">
        <f>IFERROR(VLOOKUP(AU20,'Top WS'!$A$19:$E$28,5),0)</f>
        <v>400</v>
      </c>
      <c r="BI20" s="1">
        <f>IFERROR(VLOOKUP(AV20,'Top WS'!$A$19:$E$28,5),0)</f>
        <v>400</v>
      </c>
      <c r="BJ20" s="1">
        <f>IFERROR(VLOOKUP(AW20,'Top WS'!$A$19:$E$28,5),0)</f>
        <v>400</v>
      </c>
      <c r="BK20" s="98">
        <f>IFERROR(VLOOKUP(AX20,'Top WS'!$A$19:$E$28,5),0)</f>
        <v>400</v>
      </c>
      <c r="BL20" s="98">
        <f>IFERROR(VLOOKUP(AY20,'Top WS'!$A$19:$E$28,5),0)</f>
        <v>400</v>
      </c>
      <c r="BM20" s="98">
        <f>IFERROR(VLOOKUP(AZ20,'Top WS'!$A$19:$E$28,5),0)</f>
        <v>400</v>
      </c>
      <c r="BN20" s="98">
        <f>IFERROR(VLOOKUP(BA20,'Top WS'!$A$19:$E$28,5),0)</f>
        <v>400</v>
      </c>
      <c r="BO20" s="98">
        <f>IFERROR(VLOOKUP(BB20,'Top WS'!$A$19:$E$28,5),0)</f>
        <v>400</v>
      </c>
      <c r="BP20" s="98">
        <f>IFERROR(VLOOKUP(BC20,'Top WS'!$A$19:$E$28,5),0)</f>
        <v>400</v>
      </c>
    </row>
    <row r="21" spans="1:68" x14ac:dyDescent="0.4">
      <c r="A21">
        <v>1190022510</v>
      </c>
      <c r="B21">
        <f>VLOOKUP(A21,'Aji Plus'!$A$2:$D$58,2,0)</f>
        <v>60961</v>
      </c>
      <c r="C21" t="str">
        <f>VLOOKUP(A21,'Aji Plus'!$A$2:$D$58,3,0)</f>
        <v>นายสิงหา แสนโดด</v>
      </c>
      <c r="D21" t="str">
        <f>VLOOKUP(A21,'Aji Plus'!$A$2:$D$58,4,0)</f>
        <v>Kampeng.P</v>
      </c>
      <c r="E21" s="1">
        <v>450</v>
      </c>
      <c r="F21" s="1">
        <v>450</v>
      </c>
      <c r="G21" s="1">
        <v>450</v>
      </c>
      <c r="H21" s="1">
        <v>460.45019813883266</v>
      </c>
      <c r="I21" s="1">
        <v>435</v>
      </c>
      <c r="J21" s="1">
        <v>489</v>
      </c>
      <c r="K21" s="1">
        <v>441.01200269647046</v>
      </c>
      <c r="L21" s="1">
        <v>515.8260761029178</v>
      </c>
      <c r="M21" s="1">
        <v>468.1980150260672</v>
      </c>
      <c r="N21" s="1">
        <v>591.27032147209331</v>
      </c>
      <c r="O21" s="1">
        <v>529.76240879668092</v>
      </c>
      <c r="P21" s="1">
        <v>479.03737147508599</v>
      </c>
      <c r="R21" s="1">
        <f>VLOOKUP(A21,Actual_RDNS!$A$2:$H$62,3,0)</f>
        <v>241.20000000000002</v>
      </c>
      <c r="S21" s="1">
        <f>VLOOKUP(A21,Actual_RDNS!$A$2:$H$62,4,0)</f>
        <v>1946.7</v>
      </c>
      <c r="T21" s="1">
        <f>VLOOKUP(A21,Actual_RDNS!$A$2:$H$62,5,0)</f>
        <v>221.12</v>
      </c>
      <c r="U21" s="1">
        <f>VLOOKUP(A21,Actual_RDNS!$A$2:$H$62,6,0)</f>
        <v>89.820000000000007</v>
      </c>
      <c r="V21" s="1">
        <f>VLOOKUP(A21,Actual_RDNS!$A$2:$H$62,7,0)</f>
        <v>652.5</v>
      </c>
      <c r="W21" s="1">
        <f>VLOOKUP(A21,Actual_RDNS!$A$2:$H$62,8,0)</f>
        <v>968.44</v>
      </c>
      <c r="X21" s="111"/>
      <c r="Y21" s="111"/>
      <c r="Z21" s="111"/>
      <c r="AA21" s="111"/>
      <c r="AB21" s="111"/>
      <c r="AC21" s="111"/>
      <c r="AE21" s="97">
        <f t="shared" si="2"/>
        <v>0.53600000000000003</v>
      </c>
      <c r="AF21" s="97">
        <f t="shared" si="2"/>
        <v>4.3260000000000005</v>
      </c>
      <c r="AG21" s="97">
        <f t="shared" si="2"/>
        <v>0.4913777777777778</v>
      </c>
      <c r="AH21" s="97">
        <f t="shared" si="2"/>
        <v>0.19506995623643522</v>
      </c>
      <c r="AI21" s="97">
        <f t="shared" si="2"/>
        <v>1.5</v>
      </c>
      <c r="AJ21" s="97">
        <f t="shared" si="2"/>
        <v>1.9804498977505114</v>
      </c>
      <c r="AK21" s="99">
        <f t="shared" si="2"/>
        <v>0</v>
      </c>
      <c r="AL21" s="99">
        <f t="shared" si="2"/>
        <v>0</v>
      </c>
      <c r="AM21" s="99">
        <f t="shared" si="2"/>
        <v>0</v>
      </c>
      <c r="AN21" s="99">
        <f t="shared" si="2"/>
        <v>0</v>
      </c>
      <c r="AO21" s="99">
        <f t="shared" si="2"/>
        <v>0</v>
      </c>
      <c r="AP21" s="99">
        <f t="shared" si="2"/>
        <v>0</v>
      </c>
      <c r="AQ21" s="97"/>
      <c r="AR21" s="99">
        <f t="shared" si="3"/>
        <v>0.53600000000000003</v>
      </c>
      <c r="AS21" s="99">
        <f t="shared" si="3"/>
        <v>4.3259999999999996</v>
      </c>
      <c r="AT21" s="99">
        <f t="shared" si="3"/>
        <v>0.4914</v>
      </c>
      <c r="AU21" s="99">
        <f t="shared" si="3"/>
        <v>0.1951</v>
      </c>
      <c r="AV21" s="99">
        <f t="shared" si="3"/>
        <v>1.5</v>
      </c>
      <c r="AW21" s="99">
        <f t="shared" si="3"/>
        <v>1.9803999999999999</v>
      </c>
      <c r="AX21" s="99">
        <f t="shared" si="3"/>
        <v>0</v>
      </c>
      <c r="AY21" s="99">
        <f t="shared" si="3"/>
        <v>0</v>
      </c>
      <c r="AZ21" s="99">
        <f t="shared" si="3"/>
        <v>0</v>
      </c>
      <c r="BA21" s="99">
        <f t="shared" si="3"/>
        <v>0</v>
      </c>
      <c r="BB21" s="99">
        <f t="shared" si="3"/>
        <v>0</v>
      </c>
      <c r="BC21" s="99">
        <f t="shared" si="3"/>
        <v>0</v>
      </c>
      <c r="BD21" s="97"/>
      <c r="BE21" s="1">
        <f>IFERROR(VLOOKUP(AR21,'Top WS'!$A$19:$E$28,5),0)</f>
        <v>400</v>
      </c>
      <c r="BF21" s="1">
        <f>IFERROR(VLOOKUP(AS21,'Top WS'!$A$19:$E$28,5),0)</f>
        <v>520</v>
      </c>
      <c r="BG21" s="1">
        <f>IFERROR(VLOOKUP(AT21,'Top WS'!$A$19:$E$28,5),0)</f>
        <v>400</v>
      </c>
      <c r="BH21" s="1">
        <f>IFERROR(VLOOKUP(AU21,'Top WS'!$A$19:$E$28,5),0)</f>
        <v>400</v>
      </c>
      <c r="BI21" s="1">
        <f>IFERROR(VLOOKUP(AV21,'Top WS'!$A$19:$E$28,5),0)</f>
        <v>520</v>
      </c>
      <c r="BJ21" s="1">
        <f>IFERROR(VLOOKUP(AW21,'Top WS'!$A$19:$E$28,5),0)</f>
        <v>520</v>
      </c>
      <c r="BK21" s="98">
        <f>IFERROR(VLOOKUP(AX21,'Top WS'!$A$19:$E$28,5),0)</f>
        <v>400</v>
      </c>
      <c r="BL21" s="98">
        <f>IFERROR(VLOOKUP(AY21,'Top WS'!$A$19:$E$28,5),0)</f>
        <v>400</v>
      </c>
      <c r="BM21" s="98">
        <f>IFERROR(VLOOKUP(AZ21,'Top WS'!$A$19:$E$28,5),0)</f>
        <v>400</v>
      </c>
      <c r="BN21" s="98">
        <f>IFERROR(VLOOKUP(BA21,'Top WS'!$A$19:$E$28,5),0)</f>
        <v>400</v>
      </c>
      <c r="BO21" s="98">
        <f>IFERROR(VLOOKUP(BB21,'Top WS'!$A$19:$E$28,5),0)</f>
        <v>400</v>
      </c>
      <c r="BP21" s="98">
        <f>IFERROR(VLOOKUP(BC21,'Top WS'!$A$19:$E$28,5),0)</f>
        <v>400</v>
      </c>
    </row>
    <row r="22" spans="1:68" x14ac:dyDescent="0.4">
      <c r="A22">
        <v>1190027101</v>
      </c>
      <c r="B22">
        <f>VLOOKUP(A22,'Aji Plus'!$A$2:$D$58,2,0)</f>
        <v>70526</v>
      </c>
      <c r="C22" t="str">
        <f>VLOOKUP(A22,'Aji Plus'!$A$2:$D$58,3,0)</f>
        <v>นายสมฤกษ นิลสนธิ์</v>
      </c>
      <c r="D22" t="str">
        <f>VLOOKUP(A22,'Aji Plus'!$A$2:$D$58,4,0)</f>
        <v>Tak</v>
      </c>
      <c r="E22" s="1">
        <v>538</v>
      </c>
      <c r="F22" s="1">
        <v>496</v>
      </c>
      <c r="G22" s="1">
        <v>572</v>
      </c>
      <c r="H22" s="1">
        <v>436</v>
      </c>
      <c r="I22" s="1">
        <v>506</v>
      </c>
      <c r="J22" s="1">
        <v>477</v>
      </c>
      <c r="K22" s="1">
        <v>418</v>
      </c>
      <c r="L22" s="1">
        <v>488</v>
      </c>
      <c r="M22" s="1">
        <v>443</v>
      </c>
      <c r="N22" s="1">
        <v>560</v>
      </c>
      <c r="O22" s="1">
        <v>502</v>
      </c>
      <c r="P22" s="1">
        <v>454</v>
      </c>
      <c r="R22" s="1">
        <f>VLOOKUP(A22,Actual_RDNS!$A$2:$H$62,3,0)</f>
        <v>653.91999999999996</v>
      </c>
      <c r="S22" s="1">
        <f>VLOOKUP(A22,Actual_RDNS!$A$2:$H$62,4,0)</f>
        <v>2099.7800000000002</v>
      </c>
      <c r="T22" s="1">
        <f>VLOOKUP(A22,Actual_RDNS!$A$2:$H$62,5,0)</f>
        <v>170.94</v>
      </c>
      <c r="U22" s="1">
        <f>VLOOKUP(A22,Actual_RDNS!$A$2:$H$62,6,0)</f>
        <v>62.58</v>
      </c>
      <c r="V22" s="1">
        <f>VLOOKUP(A22,Actual_RDNS!$A$2:$H$62,7,0)</f>
        <v>186.89999999999998</v>
      </c>
      <c r="W22" s="1">
        <f>VLOOKUP(A22,Actual_RDNS!$A$2:$H$62,8,0)</f>
        <v>67.8</v>
      </c>
      <c r="X22" s="111"/>
      <c r="Y22" s="111"/>
      <c r="Z22" s="111"/>
      <c r="AA22" s="111"/>
      <c r="AB22" s="111"/>
      <c r="AC22" s="111"/>
      <c r="AE22" s="97">
        <f t="shared" si="2"/>
        <v>1.2154646840148697</v>
      </c>
      <c r="AF22" s="97">
        <f t="shared" si="2"/>
        <v>4.2334274193548387</v>
      </c>
      <c r="AG22" s="97">
        <f t="shared" si="2"/>
        <v>0.29884615384615382</v>
      </c>
      <c r="AH22" s="97">
        <f t="shared" si="2"/>
        <v>0.1435321100917431</v>
      </c>
      <c r="AI22" s="97">
        <f t="shared" si="2"/>
        <v>0.3693675889328063</v>
      </c>
      <c r="AJ22" s="97">
        <f t="shared" si="2"/>
        <v>0.14213836477987421</v>
      </c>
      <c r="AK22" s="99">
        <f t="shared" si="2"/>
        <v>0</v>
      </c>
      <c r="AL22" s="99">
        <f t="shared" si="2"/>
        <v>0</v>
      </c>
      <c r="AM22" s="99">
        <f t="shared" si="2"/>
        <v>0</v>
      </c>
      <c r="AN22" s="99">
        <f t="shared" si="2"/>
        <v>0</v>
      </c>
      <c r="AO22" s="99">
        <f t="shared" si="2"/>
        <v>0</v>
      </c>
      <c r="AP22" s="99">
        <f t="shared" si="2"/>
        <v>0</v>
      </c>
      <c r="AQ22" s="97"/>
      <c r="AR22" s="99">
        <f t="shared" si="3"/>
        <v>1.2155</v>
      </c>
      <c r="AS22" s="99">
        <f t="shared" si="3"/>
        <v>4.2333999999999996</v>
      </c>
      <c r="AT22" s="99">
        <f t="shared" si="3"/>
        <v>0.29880000000000001</v>
      </c>
      <c r="AU22" s="99">
        <f t="shared" si="3"/>
        <v>0.14349999999999999</v>
      </c>
      <c r="AV22" s="99">
        <f t="shared" si="3"/>
        <v>0.36940000000000001</v>
      </c>
      <c r="AW22" s="99">
        <f t="shared" si="3"/>
        <v>0.1421</v>
      </c>
      <c r="AX22" s="99">
        <f t="shared" si="3"/>
        <v>0</v>
      </c>
      <c r="AY22" s="99">
        <f t="shared" si="3"/>
        <v>0</v>
      </c>
      <c r="AZ22" s="99">
        <f t="shared" si="3"/>
        <v>0</v>
      </c>
      <c r="BA22" s="99">
        <f t="shared" si="3"/>
        <v>0</v>
      </c>
      <c r="BB22" s="99">
        <f t="shared" si="3"/>
        <v>0</v>
      </c>
      <c r="BC22" s="99">
        <f t="shared" si="3"/>
        <v>0</v>
      </c>
      <c r="BD22" s="97"/>
      <c r="BE22" s="1">
        <f>IFERROR(VLOOKUP(AR22,'Top WS'!$A$19:$E$28,5),0)</f>
        <v>520</v>
      </c>
      <c r="BF22" s="1">
        <f>IFERROR(VLOOKUP(AS22,'Top WS'!$A$19:$E$28,5),0)</f>
        <v>520</v>
      </c>
      <c r="BG22" s="1">
        <f>IFERROR(VLOOKUP(AT22,'Top WS'!$A$19:$E$28,5),0)</f>
        <v>400</v>
      </c>
      <c r="BH22" s="1">
        <f>IFERROR(VLOOKUP(AU22,'Top WS'!$A$19:$E$28,5),0)</f>
        <v>400</v>
      </c>
      <c r="BI22" s="1">
        <f>IFERROR(VLOOKUP(AV22,'Top WS'!$A$19:$E$28,5),0)</f>
        <v>400</v>
      </c>
      <c r="BJ22" s="1">
        <f>IFERROR(VLOOKUP(AW22,'Top WS'!$A$19:$E$28,5),0)</f>
        <v>400</v>
      </c>
      <c r="BK22" s="98">
        <f>IFERROR(VLOOKUP(AX22,'Top WS'!$A$19:$E$28,5),0)</f>
        <v>400</v>
      </c>
      <c r="BL22" s="98">
        <f>IFERROR(VLOOKUP(AY22,'Top WS'!$A$19:$E$28,5),0)</f>
        <v>400</v>
      </c>
      <c r="BM22" s="98">
        <f>IFERROR(VLOOKUP(AZ22,'Top WS'!$A$19:$E$28,5),0)</f>
        <v>400</v>
      </c>
      <c r="BN22" s="98">
        <f>IFERROR(VLOOKUP(BA22,'Top WS'!$A$19:$E$28,5),0)</f>
        <v>400</v>
      </c>
      <c r="BO22" s="98">
        <f>IFERROR(VLOOKUP(BB22,'Top WS'!$A$19:$E$28,5),0)</f>
        <v>400</v>
      </c>
      <c r="BP22" s="98">
        <f>IFERROR(VLOOKUP(BC22,'Top WS'!$A$19:$E$28,5),0)</f>
        <v>400</v>
      </c>
    </row>
    <row r="23" spans="1:68" x14ac:dyDescent="0.4">
      <c r="A23">
        <v>1190032602</v>
      </c>
      <c r="B23">
        <f>VLOOKUP(A23,'Aji Plus'!$A$2:$D$58,2,0)</f>
        <v>66632</v>
      </c>
      <c r="C23" t="str">
        <f>VLOOKUP(A23,'Aji Plus'!$A$2:$D$58,3,0)</f>
        <v>นายสิทธิชัย ใจเย็น</v>
      </c>
      <c r="D23" t="str">
        <f>VLOOKUP(A23,'Aji Plus'!$A$2:$D$58,4,0)</f>
        <v>Rayong</v>
      </c>
      <c r="E23" s="1">
        <v>2100</v>
      </c>
      <c r="F23" s="1">
        <v>2500</v>
      </c>
      <c r="G23" s="1">
        <v>2500</v>
      </c>
      <c r="H23" s="1">
        <v>2100</v>
      </c>
      <c r="I23" s="1">
        <v>2200</v>
      </c>
      <c r="J23" s="1">
        <v>2200</v>
      </c>
      <c r="K23" s="1">
        <v>2000</v>
      </c>
      <c r="L23" s="1">
        <v>3300</v>
      </c>
      <c r="M23" s="1">
        <v>1800</v>
      </c>
      <c r="N23" s="1">
        <v>2800</v>
      </c>
      <c r="O23" s="1">
        <v>2500</v>
      </c>
      <c r="P23" s="1">
        <v>2100</v>
      </c>
      <c r="R23" s="1">
        <f>VLOOKUP(A23,Actual_RDNS!$A$2:$H$62,3,0)</f>
        <v>475.19999999999993</v>
      </c>
      <c r="S23" s="1">
        <f>VLOOKUP(A23,Actual_RDNS!$A$2:$H$62,4,0)</f>
        <v>2758.4</v>
      </c>
      <c r="T23" s="1">
        <f>VLOOKUP(A23,Actual_RDNS!$A$2:$H$62,5,0)</f>
        <v>1856.7600000000002</v>
      </c>
      <c r="U23" s="1">
        <f>VLOOKUP(A23,Actual_RDNS!$A$2:$H$62,6,0)</f>
        <v>780.32</v>
      </c>
      <c r="V23" s="1">
        <f>VLOOKUP(A23,Actual_RDNS!$A$2:$H$62,7,0)</f>
        <v>460.45999999999992</v>
      </c>
      <c r="W23" s="1">
        <f>VLOOKUP(A23,Actual_RDNS!$A$2:$H$62,8,0)</f>
        <v>1471.3400000000001</v>
      </c>
      <c r="X23" s="111"/>
      <c r="Y23" s="111"/>
      <c r="Z23" s="111"/>
      <c r="AA23" s="111"/>
      <c r="AB23" s="111"/>
      <c r="AC23" s="111"/>
      <c r="AE23" s="97">
        <f t="shared" si="2"/>
        <v>0.22628571428571426</v>
      </c>
      <c r="AF23" s="97">
        <f t="shared" si="2"/>
        <v>1.1033600000000001</v>
      </c>
      <c r="AG23" s="97">
        <f t="shared" si="2"/>
        <v>0.74270400000000014</v>
      </c>
      <c r="AH23" s="97">
        <f t="shared" si="2"/>
        <v>0.3715809523809524</v>
      </c>
      <c r="AI23" s="97">
        <f t="shared" si="2"/>
        <v>0.20929999999999996</v>
      </c>
      <c r="AJ23" s="97">
        <f t="shared" si="2"/>
        <v>0.6687909090909091</v>
      </c>
      <c r="AK23" s="99">
        <f t="shared" si="2"/>
        <v>0</v>
      </c>
      <c r="AL23" s="99">
        <f t="shared" si="2"/>
        <v>0</v>
      </c>
      <c r="AM23" s="99">
        <f t="shared" si="2"/>
        <v>0</v>
      </c>
      <c r="AN23" s="99">
        <f t="shared" si="2"/>
        <v>0</v>
      </c>
      <c r="AO23" s="99">
        <f t="shared" si="2"/>
        <v>0</v>
      </c>
      <c r="AP23" s="99">
        <f t="shared" si="2"/>
        <v>0</v>
      </c>
      <c r="AQ23" s="97"/>
      <c r="AR23" s="99">
        <f t="shared" si="3"/>
        <v>0.2263</v>
      </c>
      <c r="AS23" s="99">
        <f t="shared" si="3"/>
        <v>1.1033999999999999</v>
      </c>
      <c r="AT23" s="99">
        <f t="shared" si="3"/>
        <v>0.74270000000000003</v>
      </c>
      <c r="AU23" s="99">
        <f t="shared" si="3"/>
        <v>0.37159999999999999</v>
      </c>
      <c r="AV23" s="99">
        <f t="shared" si="3"/>
        <v>0.20930000000000001</v>
      </c>
      <c r="AW23" s="99">
        <f t="shared" si="3"/>
        <v>0.66879999999999995</v>
      </c>
      <c r="AX23" s="99">
        <f t="shared" si="3"/>
        <v>0</v>
      </c>
      <c r="AY23" s="99">
        <f t="shared" si="3"/>
        <v>0</v>
      </c>
      <c r="AZ23" s="99">
        <f t="shared" si="3"/>
        <v>0</v>
      </c>
      <c r="BA23" s="99">
        <f t="shared" si="3"/>
        <v>0</v>
      </c>
      <c r="BB23" s="99">
        <f t="shared" si="3"/>
        <v>0</v>
      </c>
      <c r="BC23" s="99">
        <f t="shared" si="3"/>
        <v>0</v>
      </c>
      <c r="BD23" s="97"/>
      <c r="BE23" s="1">
        <f>IFERROR(VLOOKUP(AR23,'Top WS'!$A$19:$E$28,5),0)</f>
        <v>400</v>
      </c>
      <c r="BF23" s="1">
        <f>IFERROR(VLOOKUP(AS23,'Top WS'!$A$19:$E$28,5),0)</f>
        <v>460</v>
      </c>
      <c r="BG23" s="1">
        <f>IFERROR(VLOOKUP(AT23,'Top WS'!$A$19:$E$28,5),0)</f>
        <v>400</v>
      </c>
      <c r="BH23" s="1">
        <f>IFERROR(VLOOKUP(AU23,'Top WS'!$A$19:$E$28,5),0)</f>
        <v>400</v>
      </c>
      <c r="BI23" s="1">
        <f>IFERROR(VLOOKUP(AV23,'Top WS'!$A$19:$E$28,5),0)</f>
        <v>400</v>
      </c>
      <c r="BJ23" s="1">
        <f>IFERROR(VLOOKUP(AW23,'Top WS'!$A$19:$E$28,5),0)</f>
        <v>400</v>
      </c>
      <c r="BK23" s="98">
        <f>IFERROR(VLOOKUP(AX23,'Top WS'!$A$19:$E$28,5),0)</f>
        <v>400</v>
      </c>
      <c r="BL23" s="98">
        <f>IFERROR(VLOOKUP(AY23,'Top WS'!$A$19:$E$28,5),0)</f>
        <v>400</v>
      </c>
      <c r="BM23" s="98">
        <f>IFERROR(VLOOKUP(AZ23,'Top WS'!$A$19:$E$28,5),0)</f>
        <v>400</v>
      </c>
      <c r="BN23" s="98">
        <f>IFERROR(VLOOKUP(BA23,'Top WS'!$A$19:$E$28,5),0)</f>
        <v>400</v>
      </c>
      <c r="BO23" s="98">
        <f>IFERROR(VLOOKUP(BB23,'Top WS'!$A$19:$E$28,5),0)</f>
        <v>400</v>
      </c>
      <c r="BP23" s="98">
        <f>IFERROR(VLOOKUP(BC23,'Top WS'!$A$19:$E$28,5),0)</f>
        <v>400</v>
      </c>
    </row>
    <row r="24" spans="1:68" x14ac:dyDescent="0.4">
      <c r="A24">
        <v>1190032701</v>
      </c>
      <c r="B24">
        <f>VLOOKUP(A24,'Aji Plus'!$A$2:$D$58,2,0)</f>
        <v>70330</v>
      </c>
      <c r="C24" t="str">
        <f>VLOOKUP(A24,'Aji Plus'!$A$2:$D$58,3,0)</f>
        <v>นายสุรวรรณ ทวีสิน</v>
      </c>
      <c r="D24" t="str">
        <f>VLOOKUP(A24,'Aji Plus'!$A$2:$D$58,4,0)</f>
        <v>Chachoengsao</v>
      </c>
      <c r="E24" s="1">
        <v>71</v>
      </c>
      <c r="F24" s="1">
        <v>143</v>
      </c>
      <c r="G24" s="1">
        <v>360</v>
      </c>
      <c r="H24" s="1">
        <v>240</v>
      </c>
      <c r="I24" s="1">
        <v>300</v>
      </c>
      <c r="J24" s="1">
        <v>256</v>
      </c>
      <c r="K24" s="1">
        <v>270</v>
      </c>
      <c r="L24" s="1">
        <v>300</v>
      </c>
      <c r="M24" s="1">
        <v>200</v>
      </c>
      <c r="N24" s="1">
        <v>269</v>
      </c>
      <c r="O24" s="1">
        <v>226</v>
      </c>
      <c r="P24" s="1">
        <v>220</v>
      </c>
      <c r="R24" s="1">
        <f>VLOOKUP(A24,Actual_RDNS!$A$2:$H$62,3,0)</f>
        <v>107.63999999999999</v>
      </c>
      <c r="S24" s="1">
        <f>VLOOKUP(A24,Actual_RDNS!$A$2:$H$62,4,0)</f>
        <v>2306.7000000000003</v>
      </c>
      <c r="T24" s="1">
        <f>VLOOKUP(A24,Actual_RDNS!$A$2:$H$62,5,0)</f>
        <v>833.21999999999991</v>
      </c>
      <c r="U24" s="1">
        <f>VLOOKUP(A24,Actual_RDNS!$A$2:$H$62,6,0)</f>
        <v>112.86</v>
      </c>
      <c r="V24" s="1">
        <f>VLOOKUP(A24,Actual_RDNS!$A$2:$H$62,7,0)</f>
        <v>95.04</v>
      </c>
      <c r="W24" s="1">
        <f>VLOOKUP(A24,Actual_RDNS!$A$2:$H$62,8,0)</f>
        <v>352.97999999999996</v>
      </c>
      <c r="X24" s="111"/>
      <c r="Y24" s="111"/>
      <c r="Z24" s="111"/>
      <c r="AA24" s="111"/>
      <c r="AB24" s="111"/>
      <c r="AC24" s="111"/>
      <c r="AE24" s="97">
        <f t="shared" si="2"/>
        <v>1.5160563380281689</v>
      </c>
      <c r="AF24" s="97">
        <f t="shared" si="2"/>
        <v>16.130769230769232</v>
      </c>
      <c r="AG24" s="97">
        <f t="shared" si="2"/>
        <v>2.3144999999999998</v>
      </c>
      <c r="AH24" s="97">
        <f t="shared" si="2"/>
        <v>0.47025</v>
      </c>
      <c r="AI24" s="97">
        <f t="shared" si="2"/>
        <v>0.31680000000000003</v>
      </c>
      <c r="AJ24" s="97">
        <f t="shared" si="2"/>
        <v>1.3788281249999998</v>
      </c>
      <c r="AK24" s="99">
        <f t="shared" si="2"/>
        <v>0</v>
      </c>
      <c r="AL24" s="99">
        <f t="shared" si="2"/>
        <v>0</v>
      </c>
      <c r="AM24" s="99">
        <f t="shared" si="2"/>
        <v>0</v>
      </c>
      <c r="AN24" s="99">
        <f t="shared" si="2"/>
        <v>0</v>
      </c>
      <c r="AO24" s="99">
        <f t="shared" si="2"/>
        <v>0</v>
      </c>
      <c r="AP24" s="99">
        <f t="shared" si="2"/>
        <v>0</v>
      </c>
      <c r="AQ24" s="97"/>
      <c r="AR24" s="99">
        <f t="shared" si="3"/>
        <v>1.5161</v>
      </c>
      <c r="AS24" s="99">
        <f t="shared" si="3"/>
        <v>16.130800000000001</v>
      </c>
      <c r="AT24" s="99">
        <f t="shared" si="3"/>
        <v>2.3144999999999998</v>
      </c>
      <c r="AU24" s="99">
        <f t="shared" si="3"/>
        <v>0.4703</v>
      </c>
      <c r="AV24" s="99">
        <f t="shared" si="3"/>
        <v>0.31680000000000003</v>
      </c>
      <c r="AW24" s="99">
        <f t="shared" si="3"/>
        <v>1.3788</v>
      </c>
      <c r="AX24" s="99">
        <f t="shared" si="3"/>
        <v>0</v>
      </c>
      <c r="AY24" s="99">
        <f t="shared" si="3"/>
        <v>0</v>
      </c>
      <c r="AZ24" s="99">
        <f t="shared" si="3"/>
        <v>0</v>
      </c>
      <c r="BA24" s="99">
        <f t="shared" si="3"/>
        <v>0</v>
      </c>
      <c r="BB24" s="99">
        <f t="shared" si="3"/>
        <v>0</v>
      </c>
      <c r="BC24" s="99">
        <f t="shared" si="3"/>
        <v>0</v>
      </c>
      <c r="BD24" s="97"/>
      <c r="BE24" s="1">
        <f>IFERROR(VLOOKUP(AR24,'Top WS'!$A$19:$E$28,5),0)</f>
        <v>520</v>
      </c>
      <c r="BF24" s="1">
        <f>IFERROR(VLOOKUP(AS24,'Top WS'!$A$19:$E$28,5),0)</f>
        <v>520</v>
      </c>
      <c r="BG24" s="1">
        <f>IFERROR(VLOOKUP(AT24,'Top WS'!$A$19:$E$28,5),0)</f>
        <v>520</v>
      </c>
      <c r="BH24" s="1">
        <f>IFERROR(VLOOKUP(AU24,'Top WS'!$A$19:$E$28,5),0)</f>
        <v>400</v>
      </c>
      <c r="BI24" s="1">
        <f>IFERROR(VLOOKUP(AV24,'Top WS'!$A$19:$E$28,5),0)</f>
        <v>400</v>
      </c>
      <c r="BJ24" s="1">
        <f>IFERROR(VLOOKUP(AW24,'Top WS'!$A$19:$E$28,5),0)</f>
        <v>520</v>
      </c>
      <c r="BK24" s="98">
        <f>IFERROR(VLOOKUP(AX24,'Top WS'!$A$19:$E$28,5),0)</f>
        <v>400</v>
      </c>
      <c r="BL24" s="98">
        <f>IFERROR(VLOOKUP(AY24,'Top WS'!$A$19:$E$28,5),0)</f>
        <v>400</v>
      </c>
      <c r="BM24" s="98">
        <f>IFERROR(VLOOKUP(AZ24,'Top WS'!$A$19:$E$28,5),0)</f>
        <v>400</v>
      </c>
      <c r="BN24" s="98">
        <f>IFERROR(VLOOKUP(BA24,'Top WS'!$A$19:$E$28,5),0)</f>
        <v>400</v>
      </c>
      <c r="BO24" s="98">
        <f>IFERROR(VLOOKUP(BB24,'Top WS'!$A$19:$E$28,5),0)</f>
        <v>400</v>
      </c>
      <c r="BP24" s="98">
        <f>IFERROR(VLOOKUP(BC24,'Top WS'!$A$19:$E$28,5),0)</f>
        <v>400</v>
      </c>
    </row>
    <row r="25" spans="1:68" x14ac:dyDescent="0.4">
      <c r="A25">
        <v>1190032801</v>
      </c>
      <c r="B25">
        <f>VLOOKUP(A25,'Aji Plus'!$A$2:$D$58,2,0)</f>
        <v>71360</v>
      </c>
      <c r="C25" t="str">
        <f>VLOOKUP(A25,'Aji Plus'!$A$2:$D$58,3,0)</f>
        <v>นายทนงศักดิ์ เวชมณีศรี</v>
      </c>
      <c r="D25" t="str">
        <f>VLOOKUP(A25,'Aji Plus'!$A$2:$D$58,4,0)</f>
        <v>Chantaburi</v>
      </c>
      <c r="E25" s="1">
        <v>593.03839999999991</v>
      </c>
      <c r="F25" s="1">
        <v>496.87415599999997</v>
      </c>
      <c r="G25" s="1">
        <v>440.33101199999993</v>
      </c>
      <c r="H25" s="1">
        <v>397.74472000000009</v>
      </c>
      <c r="I25" s="1">
        <v>350.71063999999984</v>
      </c>
      <c r="J25" s="1">
        <v>420.08590800000047</v>
      </c>
      <c r="K25" s="1">
        <v>446.87488400000007</v>
      </c>
      <c r="L25" s="1">
        <v>480.61672400000009</v>
      </c>
      <c r="M25" s="1">
        <v>502.67673000000059</v>
      </c>
      <c r="N25" s="1">
        <v>732.45354800000109</v>
      </c>
      <c r="O25" s="1">
        <v>1936.1170040000004</v>
      </c>
      <c r="P25" s="1">
        <v>3182.5201239999969</v>
      </c>
      <c r="R25" s="1">
        <f>VLOOKUP(A25,Actual_RDNS!$A$2:$H$62,3,0)</f>
        <v>264.11999999999995</v>
      </c>
      <c r="S25" s="1">
        <f>VLOOKUP(A25,Actual_RDNS!$A$2:$H$62,4,0)</f>
        <v>2264.5000000000005</v>
      </c>
      <c r="T25" s="1">
        <f>VLOOKUP(A25,Actual_RDNS!$A$2:$H$62,5,0)</f>
        <v>665.2399999999999</v>
      </c>
      <c r="U25" s="1">
        <f>VLOOKUP(A25,Actual_RDNS!$A$2:$H$62,6,0)</f>
        <v>301.82</v>
      </c>
      <c r="V25" s="1">
        <f>VLOOKUP(A25,Actual_RDNS!$A$2:$H$62,7,0)</f>
        <v>320.65999999999997</v>
      </c>
      <c r="W25" s="1">
        <f>VLOOKUP(A25,Actual_RDNS!$A$2:$H$62,8,0)</f>
        <v>562.81999999999994</v>
      </c>
      <c r="X25" s="111"/>
      <c r="Y25" s="111"/>
      <c r="Z25" s="111"/>
      <c r="AA25" s="111"/>
      <c r="AB25" s="111"/>
      <c r="AC25" s="111"/>
      <c r="AE25" s="97">
        <f t="shared" si="2"/>
        <v>0.44536745006731432</v>
      </c>
      <c r="AF25" s="97">
        <f t="shared" si="2"/>
        <v>4.557492018160028</v>
      </c>
      <c r="AG25" s="97">
        <f t="shared" si="2"/>
        <v>1.5107725367297091</v>
      </c>
      <c r="AH25" s="97">
        <f t="shared" si="2"/>
        <v>0.75882842643391957</v>
      </c>
      <c r="AI25" s="97">
        <f t="shared" si="2"/>
        <v>0.91431500338854876</v>
      </c>
      <c r="AJ25" s="97">
        <f t="shared" si="2"/>
        <v>1.3397735779320628</v>
      </c>
      <c r="AK25" s="99">
        <f t="shared" si="2"/>
        <v>0</v>
      </c>
      <c r="AL25" s="99">
        <f t="shared" si="2"/>
        <v>0</v>
      </c>
      <c r="AM25" s="99">
        <f t="shared" si="2"/>
        <v>0</v>
      </c>
      <c r="AN25" s="99">
        <f t="shared" si="2"/>
        <v>0</v>
      </c>
      <c r="AO25" s="99">
        <f t="shared" si="2"/>
        <v>0</v>
      </c>
      <c r="AP25" s="99">
        <f t="shared" si="2"/>
        <v>0</v>
      </c>
      <c r="AQ25" s="97"/>
      <c r="AR25" s="99">
        <f t="shared" si="3"/>
        <v>0.44540000000000002</v>
      </c>
      <c r="AS25" s="99">
        <f t="shared" si="3"/>
        <v>4.5575000000000001</v>
      </c>
      <c r="AT25" s="99">
        <f t="shared" si="3"/>
        <v>1.5107999999999999</v>
      </c>
      <c r="AU25" s="99">
        <f t="shared" si="3"/>
        <v>0.75880000000000003</v>
      </c>
      <c r="AV25" s="99">
        <f t="shared" si="3"/>
        <v>0.9143</v>
      </c>
      <c r="AW25" s="99">
        <f t="shared" si="3"/>
        <v>1.3398000000000001</v>
      </c>
      <c r="AX25" s="99">
        <f t="shared" si="3"/>
        <v>0</v>
      </c>
      <c r="AY25" s="99">
        <f t="shared" si="3"/>
        <v>0</v>
      </c>
      <c r="AZ25" s="99">
        <f t="shared" si="3"/>
        <v>0</v>
      </c>
      <c r="BA25" s="99">
        <f t="shared" si="3"/>
        <v>0</v>
      </c>
      <c r="BB25" s="99">
        <f t="shared" si="3"/>
        <v>0</v>
      </c>
      <c r="BC25" s="99">
        <f t="shared" si="3"/>
        <v>0</v>
      </c>
      <c r="BD25" s="97"/>
      <c r="BE25" s="1">
        <f>IFERROR(VLOOKUP(AR25,'Top WS'!$A$19:$E$28,5),0)</f>
        <v>400</v>
      </c>
      <c r="BF25" s="1">
        <f>IFERROR(VLOOKUP(AS25,'Top WS'!$A$19:$E$28,5),0)</f>
        <v>520</v>
      </c>
      <c r="BG25" s="1">
        <f>IFERROR(VLOOKUP(AT25,'Top WS'!$A$19:$E$28,5),0)</f>
        <v>520</v>
      </c>
      <c r="BH25" s="1">
        <f>IFERROR(VLOOKUP(AU25,'Top WS'!$A$19:$E$28,5),0)</f>
        <v>400</v>
      </c>
      <c r="BI25" s="1">
        <f>IFERROR(VLOOKUP(AV25,'Top WS'!$A$19:$E$28,5),0)</f>
        <v>400</v>
      </c>
      <c r="BJ25" s="1">
        <f>IFERROR(VLOOKUP(AW25,'Top WS'!$A$19:$E$28,5),0)</f>
        <v>520</v>
      </c>
      <c r="BK25" s="98">
        <f>IFERROR(VLOOKUP(AX25,'Top WS'!$A$19:$E$28,5),0)</f>
        <v>400</v>
      </c>
      <c r="BL25" s="98">
        <f>IFERROR(VLOOKUP(AY25,'Top WS'!$A$19:$E$28,5),0)</f>
        <v>400</v>
      </c>
      <c r="BM25" s="98">
        <f>IFERROR(VLOOKUP(AZ25,'Top WS'!$A$19:$E$28,5),0)</f>
        <v>400</v>
      </c>
      <c r="BN25" s="98">
        <f>IFERROR(VLOOKUP(BA25,'Top WS'!$A$19:$E$28,5),0)</f>
        <v>400</v>
      </c>
      <c r="BO25" s="98">
        <f>IFERROR(VLOOKUP(BB25,'Top WS'!$A$19:$E$28,5),0)</f>
        <v>400</v>
      </c>
      <c r="BP25" s="98">
        <f>IFERROR(VLOOKUP(BC25,'Top WS'!$A$19:$E$28,5),0)</f>
        <v>400</v>
      </c>
    </row>
    <row r="26" spans="1:68" x14ac:dyDescent="0.4">
      <c r="A26">
        <v>1190032901</v>
      </c>
      <c r="B26">
        <f>VLOOKUP(A26,'Aji Plus'!$A$2:$D$58,2,0)</f>
        <v>70259</v>
      </c>
      <c r="C26" t="str">
        <f>VLOOKUP(A26,'Aji Plus'!$A$2:$D$58,3,0)</f>
        <v>นายจิรศักดิ์ งามสม</v>
      </c>
      <c r="D26" t="str">
        <f>VLOOKUP(A26,'Aji Plus'!$A$2:$D$58,4,0)</f>
        <v>Lopburi</v>
      </c>
      <c r="E26" s="1">
        <v>114.84729164807446</v>
      </c>
      <c r="F26" s="1">
        <v>125.7297219945723</v>
      </c>
      <c r="G26" s="1">
        <v>114.1266216022877</v>
      </c>
      <c r="H26" s="1">
        <v>125.03422068574248</v>
      </c>
      <c r="I26" s="1">
        <v>116.94466033989617</v>
      </c>
      <c r="J26" s="1">
        <v>128.38076381755786</v>
      </c>
      <c r="K26" s="1">
        <v>117.35521559103449</v>
      </c>
      <c r="L26" s="1">
        <v>123.00333028827446</v>
      </c>
      <c r="M26" s="1">
        <v>106.03807738557322</v>
      </c>
      <c r="N26" s="1">
        <v>132.64944413648496</v>
      </c>
      <c r="O26" s="1">
        <v>122.93212308526888</v>
      </c>
      <c r="P26" s="1">
        <v>105.21008847071214</v>
      </c>
      <c r="R26" s="1">
        <f>VLOOKUP(A26,Actual_RDNS!$A$2:$H$62,3,0)</f>
        <v>269.09999999999997</v>
      </c>
      <c r="S26" s="1">
        <f>VLOOKUP(A26,Actual_RDNS!$A$2:$H$62,4,0)</f>
        <v>887.40000000000009</v>
      </c>
      <c r="T26" s="1">
        <f>VLOOKUP(A26,Actual_RDNS!$A$2:$H$62,5,0)</f>
        <v>469.97999999999996</v>
      </c>
      <c r="U26" s="1">
        <f>VLOOKUP(A26,Actual_RDNS!$A$2:$H$62,6,0)</f>
        <v>191.33999999999997</v>
      </c>
      <c r="V26" s="1">
        <f>VLOOKUP(A26,Actual_RDNS!$A$2:$H$62,7,0)</f>
        <v>380.51999999999992</v>
      </c>
      <c r="W26" s="1">
        <f>VLOOKUP(A26,Actual_RDNS!$A$2:$H$62,8,0)</f>
        <v>248.39999999999998</v>
      </c>
      <c r="X26" s="111"/>
      <c r="Y26" s="111"/>
      <c r="Z26" s="111"/>
      <c r="AA26" s="111"/>
      <c r="AB26" s="111"/>
      <c r="AC26" s="111"/>
      <c r="AE26" s="97">
        <f t="shared" si="2"/>
        <v>2.3431114146304881</v>
      </c>
      <c r="AF26" s="97">
        <f t="shared" si="2"/>
        <v>7.0579969948419103</v>
      </c>
      <c r="AG26" s="97">
        <f t="shared" si="2"/>
        <v>4.1180575872805747</v>
      </c>
      <c r="AH26" s="97">
        <f t="shared" si="2"/>
        <v>1.5303010563876636</v>
      </c>
      <c r="AI26" s="97">
        <f t="shared" si="2"/>
        <v>3.25384672454501</v>
      </c>
      <c r="AJ26" s="97">
        <f t="shared" si="2"/>
        <v>1.9348693107403665</v>
      </c>
      <c r="AK26" s="99">
        <f t="shared" si="2"/>
        <v>0</v>
      </c>
      <c r="AL26" s="99">
        <f t="shared" si="2"/>
        <v>0</v>
      </c>
      <c r="AM26" s="99">
        <f t="shared" si="2"/>
        <v>0</v>
      </c>
      <c r="AN26" s="99">
        <f t="shared" si="2"/>
        <v>0</v>
      </c>
      <c r="AO26" s="99">
        <f t="shared" si="2"/>
        <v>0</v>
      </c>
      <c r="AP26" s="99">
        <f t="shared" si="2"/>
        <v>0</v>
      </c>
      <c r="AQ26" s="97"/>
      <c r="AR26" s="99">
        <f t="shared" si="3"/>
        <v>2.3431000000000002</v>
      </c>
      <c r="AS26" s="99">
        <f t="shared" si="3"/>
        <v>7.0579999999999998</v>
      </c>
      <c r="AT26" s="99">
        <f t="shared" si="3"/>
        <v>4.1181000000000001</v>
      </c>
      <c r="AU26" s="99">
        <f t="shared" si="3"/>
        <v>1.5303</v>
      </c>
      <c r="AV26" s="99">
        <f t="shared" si="3"/>
        <v>3.2538</v>
      </c>
      <c r="AW26" s="99">
        <f t="shared" si="3"/>
        <v>1.9349000000000001</v>
      </c>
      <c r="AX26" s="99">
        <f t="shared" si="3"/>
        <v>0</v>
      </c>
      <c r="AY26" s="99">
        <f t="shared" si="3"/>
        <v>0</v>
      </c>
      <c r="AZ26" s="99">
        <f t="shared" si="3"/>
        <v>0</v>
      </c>
      <c r="BA26" s="99">
        <f t="shared" si="3"/>
        <v>0</v>
      </c>
      <c r="BB26" s="99">
        <f t="shared" si="3"/>
        <v>0</v>
      </c>
      <c r="BC26" s="99">
        <f t="shared" si="3"/>
        <v>0</v>
      </c>
      <c r="BD26" s="97"/>
      <c r="BE26" s="1">
        <f>IFERROR(VLOOKUP(AR26,'Top WS'!$A$19:$E$28,5),0)</f>
        <v>520</v>
      </c>
      <c r="BF26" s="1">
        <f>IFERROR(VLOOKUP(AS26,'Top WS'!$A$19:$E$28,5),0)</f>
        <v>520</v>
      </c>
      <c r="BG26" s="1">
        <f>IFERROR(VLOOKUP(AT26,'Top WS'!$A$19:$E$28,5),0)</f>
        <v>520</v>
      </c>
      <c r="BH26" s="1">
        <f>IFERROR(VLOOKUP(AU26,'Top WS'!$A$19:$E$28,5),0)</f>
        <v>520</v>
      </c>
      <c r="BI26" s="1">
        <f>IFERROR(VLOOKUP(AV26,'Top WS'!$A$19:$E$28,5),0)</f>
        <v>520</v>
      </c>
      <c r="BJ26" s="1">
        <f>IFERROR(VLOOKUP(AW26,'Top WS'!$A$19:$E$28,5),0)</f>
        <v>520</v>
      </c>
      <c r="BK26" s="98">
        <f>IFERROR(VLOOKUP(AX26,'Top WS'!$A$19:$E$28,5),0)</f>
        <v>400</v>
      </c>
      <c r="BL26" s="98">
        <f>IFERROR(VLOOKUP(AY26,'Top WS'!$A$19:$E$28,5),0)</f>
        <v>400</v>
      </c>
      <c r="BM26" s="98">
        <f>IFERROR(VLOOKUP(AZ26,'Top WS'!$A$19:$E$28,5),0)</f>
        <v>400</v>
      </c>
      <c r="BN26" s="98">
        <f>IFERROR(VLOOKUP(BA26,'Top WS'!$A$19:$E$28,5),0)</f>
        <v>400</v>
      </c>
      <c r="BO26" s="98">
        <f>IFERROR(VLOOKUP(BB26,'Top WS'!$A$19:$E$28,5),0)</f>
        <v>400</v>
      </c>
      <c r="BP26" s="98">
        <f>IFERROR(VLOOKUP(BC26,'Top WS'!$A$19:$E$28,5),0)</f>
        <v>400</v>
      </c>
    </row>
    <row r="27" spans="1:68" x14ac:dyDescent="0.4">
      <c r="A27">
        <v>1190032902</v>
      </c>
      <c r="B27">
        <f>VLOOKUP(A27,'Aji Plus'!$A$2:$D$58,2,0)</f>
        <v>71996</v>
      </c>
      <c r="C27" t="str">
        <f>VLOOKUP(A27,'Aji Plus'!$A$2:$D$58,3,0)</f>
        <v>นายสุนทร ม่วงกุน</v>
      </c>
      <c r="D27" t="str">
        <f>VLOOKUP(A27,'Aji Plus'!$A$2:$D$58,4,0)</f>
        <v>Lopburi</v>
      </c>
      <c r="E27" s="1">
        <v>359.85700332208836</v>
      </c>
      <c r="F27" s="1">
        <v>393.95548938262345</v>
      </c>
      <c r="G27" s="1">
        <v>357.59889031533589</v>
      </c>
      <c r="H27" s="1">
        <v>391.7762388908572</v>
      </c>
      <c r="I27" s="1">
        <v>366.42879793273812</v>
      </c>
      <c r="J27" s="1">
        <v>402.26213686565188</v>
      </c>
      <c r="K27" s="1">
        <v>367.71521209412299</v>
      </c>
      <c r="L27" s="1">
        <v>385.41274418392123</v>
      </c>
      <c r="M27" s="1">
        <v>332.25463324757345</v>
      </c>
      <c r="N27" s="1">
        <v>415.63741533905448</v>
      </c>
      <c r="O27" s="1">
        <v>385.18962694431713</v>
      </c>
      <c r="P27" s="1">
        <v>329.66025243623619</v>
      </c>
      <c r="R27" s="1">
        <f>VLOOKUP(A27,Actual_RDNS!$A$2:$H$62,3,0)</f>
        <v>325.43999999999994</v>
      </c>
      <c r="S27" s="1">
        <f>VLOOKUP(A27,Actual_RDNS!$A$2:$H$62,4,0)</f>
        <v>1056.2199999999998</v>
      </c>
      <c r="T27" s="1">
        <f>VLOOKUP(A27,Actual_RDNS!$A$2:$H$62,5,0)</f>
        <v>298.27999999999997</v>
      </c>
      <c r="U27" s="1">
        <f>VLOOKUP(A27,Actual_RDNS!$A$2:$H$62,6,0)</f>
        <v>483.29999999999995</v>
      </c>
      <c r="V27" s="1">
        <f>VLOOKUP(A27,Actual_RDNS!$A$2:$H$62,7,0)</f>
        <v>329.94</v>
      </c>
      <c r="W27" s="1">
        <f>VLOOKUP(A27,Actual_RDNS!$A$2:$H$62,8,0)</f>
        <v>463.71999999999997</v>
      </c>
      <c r="X27" s="111"/>
      <c r="Y27" s="111"/>
      <c r="Z27" s="111"/>
      <c r="AA27" s="111"/>
      <c r="AB27" s="111"/>
      <c r="AC27" s="111"/>
      <c r="AE27" s="97">
        <f t="shared" si="2"/>
        <v>0.90435922323489248</v>
      </c>
      <c r="AF27" s="97">
        <f t="shared" si="2"/>
        <v>2.681064304130464</v>
      </c>
      <c r="AG27" s="97">
        <f t="shared" si="2"/>
        <v>0.8341189194881794</v>
      </c>
      <c r="AH27" s="97">
        <f t="shared" si="2"/>
        <v>1.2336123328159263</v>
      </c>
      <c r="AI27" s="97">
        <f t="shared" si="2"/>
        <v>0.90042049604563001</v>
      </c>
      <c r="AJ27" s="97">
        <f t="shared" si="2"/>
        <v>1.1527806310909989</v>
      </c>
      <c r="AK27" s="99">
        <f t="shared" si="2"/>
        <v>0</v>
      </c>
      <c r="AL27" s="99">
        <f t="shared" si="2"/>
        <v>0</v>
      </c>
      <c r="AM27" s="99">
        <f t="shared" si="2"/>
        <v>0</v>
      </c>
      <c r="AN27" s="99">
        <f t="shared" si="2"/>
        <v>0</v>
      </c>
      <c r="AO27" s="99">
        <f t="shared" si="2"/>
        <v>0</v>
      </c>
      <c r="AP27" s="99">
        <f t="shared" si="2"/>
        <v>0</v>
      </c>
      <c r="AQ27" s="97"/>
      <c r="AR27" s="99">
        <f t="shared" si="3"/>
        <v>0.90439999999999998</v>
      </c>
      <c r="AS27" s="99">
        <f t="shared" si="3"/>
        <v>2.6810999999999998</v>
      </c>
      <c r="AT27" s="99">
        <f t="shared" si="3"/>
        <v>0.83409999999999995</v>
      </c>
      <c r="AU27" s="99">
        <f t="shared" si="3"/>
        <v>1.2336</v>
      </c>
      <c r="AV27" s="99">
        <f t="shared" si="3"/>
        <v>0.90039999999999998</v>
      </c>
      <c r="AW27" s="99">
        <f t="shared" si="3"/>
        <v>1.1528</v>
      </c>
      <c r="AX27" s="99">
        <f t="shared" si="3"/>
        <v>0</v>
      </c>
      <c r="AY27" s="99">
        <f t="shared" si="3"/>
        <v>0</v>
      </c>
      <c r="AZ27" s="99">
        <f t="shared" si="3"/>
        <v>0</v>
      </c>
      <c r="BA27" s="99">
        <f t="shared" si="3"/>
        <v>0</v>
      </c>
      <c r="BB27" s="99">
        <f t="shared" si="3"/>
        <v>0</v>
      </c>
      <c r="BC27" s="99">
        <f t="shared" si="3"/>
        <v>0</v>
      </c>
      <c r="BD27" s="97"/>
      <c r="BE27" s="1">
        <f>IFERROR(VLOOKUP(AR27,'Top WS'!$A$19:$E$28,5),0)</f>
        <v>400</v>
      </c>
      <c r="BF27" s="1">
        <f>IFERROR(VLOOKUP(AS27,'Top WS'!$A$19:$E$28,5),0)</f>
        <v>520</v>
      </c>
      <c r="BG27" s="1">
        <f>IFERROR(VLOOKUP(AT27,'Top WS'!$A$19:$E$28,5),0)</f>
        <v>400</v>
      </c>
      <c r="BH27" s="1">
        <f>IFERROR(VLOOKUP(AU27,'Top WS'!$A$19:$E$28,5),0)</f>
        <v>520</v>
      </c>
      <c r="BI27" s="1">
        <f>IFERROR(VLOOKUP(AV27,'Top WS'!$A$19:$E$28,5),0)</f>
        <v>400</v>
      </c>
      <c r="BJ27" s="1">
        <f>IFERROR(VLOOKUP(AW27,'Top WS'!$A$19:$E$28,5),0)</f>
        <v>480</v>
      </c>
      <c r="BK27" s="98">
        <f>IFERROR(VLOOKUP(AX27,'Top WS'!$A$19:$E$28,5),0)</f>
        <v>400</v>
      </c>
      <c r="BL27" s="98">
        <f>IFERROR(VLOOKUP(AY27,'Top WS'!$A$19:$E$28,5),0)</f>
        <v>400</v>
      </c>
      <c r="BM27" s="98">
        <f>IFERROR(VLOOKUP(AZ27,'Top WS'!$A$19:$E$28,5),0)</f>
        <v>400</v>
      </c>
      <c r="BN27" s="98">
        <f>IFERROR(VLOOKUP(BA27,'Top WS'!$A$19:$E$28,5),0)</f>
        <v>400</v>
      </c>
      <c r="BO27" s="98">
        <f>IFERROR(VLOOKUP(BB27,'Top WS'!$A$19:$E$28,5),0)</f>
        <v>400</v>
      </c>
      <c r="BP27" s="98">
        <f>IFERROR(VLOOKUP(BC27,'Top WS'!$A$19:$E$28,5),0)</f>
        <v>400</v>
      </c>
    </row>
    <row r="28" spans="1:68" x14ac:dyDescent="0.4">
      <c r="A28">
        <v>1190033001</v>
      </c>
      <c r="B28">
        <f>VLOOKUP(A28,'Aji Plus'!$A$2:$D$58,2,0)</f>
        <v>75518</v>
      </c>
      <c r="C28" t="str">
        <f>VLOOKUP(A28,'Aji Plus'!$A$2:$D$58,3,0)</f>
        <v>นายธนพันธ์ นิยมทัศน์</v>
      </c>
      <c r="D28" t="str">
        <f>VLOOKUP(A28,'Aji Plus'!$A$2:$D$58,4,0)</f>
        <v>Ratchaburi</v>
      </c>
      <c r="E28" s="1">
        <v>240.42272594734123</v>
      </c>
      <c r="F28" s="1">
        <v>286.32653311074034</v>
      </c>
      <c r="G28" s="1">
        <v>321.88363592354904</v>
      </c>
      <c r="H28" s="1">
        <v>261.14721069921563</v>
      </c>
      <c r="I28" s="1">
        <v>310.88662231581378</v>
      </c>
      <c r="J28" s="1">
        <v>378.99197989210353</v>
      </c>
      <c r="K28" s="1">
        <v>218.1495862274856</v>
      </c>
      <c r="L28" s="1">
        <v>321.40195713780389</v>
      </c>
      <c r="M28" s="1">
        <v>277.68252942727332</v>
      </c>
      <c r="N28" s="1">
        <v>297.68692679590657</v>
      </c>
      <c r="O28" s="1">
        <v>352.82813769051847</v>
      </c>
      <c r="P28" s="1">
        <v>267.59215483224745</v>
      </c>
      <c r="R28" s="1">
        <f>VLOOKUP(A28,Actual_RDNS!$A$2:$H$62,3,0)</f>
        <v>749.69999999999993</v>
      </c>
      <c r="S28" s="1">
        <f>VLOOKUP(A28,Actual_RDNS!$A$2:$H$62,4,0)</f>
        <v>2470.0400000000004</v>
      </c>
      <c r="T28" s="1">
        <f>VLOOKUP(A28,Actual_RDNS!$A$2:$H$62,5,0)</f>
        <v>110.39999999999999</v>
      </c>
      <c r="U28" s="1">
        <f>VLOOKUP(A28,Actual_RDNS!$A$2:$H$62,6,0)</f>
        <v>287.79999999999995</v>
      </c>
      <c r="V28" s="1">
        <f>VLOOKUP(A28,Actual_RDNS!$A$2:$H$62,7,0)</f>
        <v>163.26</v>
      </c>
      <c r="W28" s="1">
        <f>VLOOKUP(A28,Actual_RDNS!$A$2:$H$62,8,0)</f>
        <v>156.18</v>
      </c>
      <c r="X28" s="111"/>
      <c r="Y28" s="111"/>
      <c r="Z28" s="111"/>
      <c r="AA28" s="111"/>
      <c r="AB28" s="111"/>
      <c r="AC28" s="111"/>
      <c r="AE28" s="97">
        <f t="shared" si="2"/>
        <v>3.1182576316192487</v>
      </c>
      <c r="AF28" s="97">
        <f t="shared" si="2"/>
        <v>8.6266542369116799</v>
      </c>
      <c r="AG28" s="97">
        <f t="shared" si="2"/>
        <v>0.34298108906108299</v>
      </c>
      <c r="AH28" s="97">
        <f t="shared" si="2"/>
        <v>1.1020604019833184</v>
      </c>
      <c r="AI28" s="97">
        <f t="shared" si="2"/>
        <v>0.52514321389536189</v>
      </c>
      <c r="AJ28" s="97">
        <f t="shared" si="2"/>
        <v>0.4120931531175499</v>
      </c>
      <c r="AK28" s="99">
        <f t="shared" si="2"/>
        <v>0</v>
      </c>
      <c r="AL28" s="99">
        <f t="shared" si="2"/>
        <v>0</v>
      </c>
      <c r="AM28" s="99">
        <f t="shared" si="2"/>
        <v>0</v>
      </c>
      <c r="AN28" s="99">
        <f t="shared" si="2"/>
        <v>0</v>
      </c>
      <c r="AO28" s="99">
        <f t="shared" si="2"/>
        <v>0</v>
      </c>
      <c r="AP28" s="99">
        <f t="shared" si="2"/>
        <v>0</v>
      </c>
      <c r="AQ28" s="97"/>
      <c r="AR28" s="99">
        <f t="shared" si="3"/>
        <v>3.1183000000000001</v>
      </c>
      <c r="AS28" s="99">
        <f t="shared" si="3"/>
        <v>8.6266999999999996</v>
      </c>
      <c r="AT28" s="99">
        <f t="shared" si="3"/>
        <v>0.34300000000000003</v>
      </c>
      <c r="AU28" s="99">
        <f t="shared" si="3"/>
        <v>1.1021000000000001</v>
      </c>
      <c r="AV28" s="99">
        <f t="shared" si="3"/>
        <v>0.52510000000000001</v>
      </c>
      <c r="AW28" s="99">
        <f t="shared" si="3"/>
        <v>0.41210000000000002</v>
      </c>
      <c r="AX28" s="99">
        <f t="shared" si="3"/>
        <v>0</v>
      </c>
      <c r="AY28" s="99">
        <f t="shared" si="3"/>
        <v>0</v>
      </c>
      <c r="AZ28" s="99">
        <f t="shared" si="3"/>
        <v>0</v>
      </c>
      <c r="BA28" s="99">
        <f t="shared" si="3"/>
        <v>0</v>
      </c>
      <c r="BB28" s="99">
        <f t="shared" si="3"/>
        <v>0</v>
      </c>
      <c r="BC28" s="99">
        <f t="shared" si="3"/>
        <v>0</v>
      </c>
      <c r="BD28" s="97"/>
      <c r="BE28" s="1">
        <f>IFERROR(VLOOKUP(AR28,'Top WS'!$A$19:$E$28,5),0)</f>
        <v>520</v>
      </c>
      <c r="BF28" s="1">
        <f>IFERROR(VLOOKUP(AS28,'Top WS'!$A$19:$E$28,5),0)</f>
        <v>520</v>
      </c>
      <c r="BG28" s="1">
        <f>IFERROR(VLOOKUP(AT28,'Top WS'!$A$19:$E$28,5),0)</f>
        <v>400</v>
      </c>
      <c r="BH28" s="1">
        <f>IFERROR(VLOOKUP(AU28,'Top WS'!$A$19:$E$28,5),0)</f>
        <v>460</v>
      </c>
      <c r="BI28" s="1">
        <f>IFERROR(VLOOKUP(AV28,'Top WS'!$A$19:$E$28,5),0)</f>
        <v>400</v>
      </c>
      <c r="BJ28" s="1">
        <f>IFERROR(VLOOKUP(AW28,'Top WS'!$A$19:$E$28,5),0)</f>
        <v>400</v>
      </c>
      <c r="BK28" s="98">
        <f>IFERROR(VLOOKUP(AX28,'Top WS'!$A$19:$E$28,5),0)</f>
        <v>400</v>
      </c>
      <c r="BL28" s="98">
        <f>IFERROR(VLOOKUP(AY28,'Top WS'!$A$19:$E$28,5),0)</f>
        <v>400</v>
      </c>
      <c r="BM28" s="98">
        <f>IFERROR(VLOOKUP(AZ28,'Top WS'!$A$19:$E$28,5),0)</f>
        <v>400</v>
      </c>
      <c r="BN28" s="98">
        <f>IFERROR(VLOOKUP(BA28,'Top WS'!$A$19:$E$28,5),0)</f>
        <v>400</v>
      </c>
      <c r="BO28" s="98">
        <f>IFERROR(VLOOKUP(BB28,'Top WS'!$A$19:$E$28,5),0)</f>
        <v>400</v>
      </c>
      <c r="BP28" s="98">
        <f>IFERROR(VLOOKUP(BC28,'Top WS'!$A$19:$E$28,5),0)</f>
        <v>400</v>
      </c>
    </row>
    <row r="29" spans="1:68" x14ac:dyDescent="0.4">
      <c r="A29">
        <v>1190033002</v>
      </c>
      <c r="B29">
        <f>VLOOKUP(A29,'Aji Plus'!$A$2:$D$58,2,0)</f>
        <v>27905</v>
      </c>
      <c r="C29" t="str">
        <f>VLOOKUP(A29,'Aji Plus'!$A$2:$D$58,3,0)</f>
        <v>นายปัญญา ธนาโภคาสิน</v>
      </c>
      <c r="D29" t="str">
        <f>VLOOKUP(A29,'Aji Plus'!$A$2:$D$58,4,0)</f>
        <v>Ratchaburi</v>
      </c>
      <c r="E29" s="1">
        <v>240.42272594734123</v>
      </c>
      <c r="F29" s="1">
        <v>286.32653311074034</v>
      </c>
      <c r="G29" s="1">
        <v>321.88363592354904</v>
      </c>
      <c r="H29" s="1">
        <v>261.14721069921563</v>
      </c>
      <c r="I29" s="1">
        <v>310.88662231581378</v>
      </c>
      <c r="J29" s="1">
        <v>378.99197989210353</v>
      </c>
      <c r="K29" s="1">
        <v>218.1495862274856</v>
      </c>
      <c r="L29" s="1">
        <v>321.40195713780389</v>
      </c>
      <c r="M29" s="1">
        <v>277.68252942727332</v>
      </c>
      <c r="N29" s="1">
        <v>297.68692679590657</v>
      </c>
      <c r="O29" s="1">
        <v>352.82813769051847</v>
      </c>
      <c r="P29" s="1">
        <v>267.59215483224745</v>
      </c>
      <c r="R29" s="1">
        <f>VLOOKUP(A29,Actual_RDNS!$A$2:$H$62,3,0)</f>
        <v>298.08</v>
      </c>
      <c r="S29" s="1">
        <f>VLOOKUP(A29,Actual_RDNS!$A$2:$H$62,4,0)</f>
        <v>576.90000000000009</v>
      </c>
      <c r="T29" s="1">
        <f>VLOOKUP(A29,Actual_RDNS!$A$2:$H$62,5,0)</f>
        <v>143.82</v>
      </c>
      <c r="U29" s="1">
        <f>VLOOKUP(A29,Actual_RDNS!$A$2:$H$62,6,0)</f>
        <v>114.69999999999999</v>
      </c>
      <c r="V29" s="1">
        <f>VLOOKUP(A29,Actual_RDNS!$A$2:$H$62,7,0)</f>
        <v>164.7</v>
      </c>
      <c r="W29" s="1">
        <f>VLOOKUP(A29,Actual_RDNS!$A$2:$H$62,8,0)</f>
        <v>67.5</v>
      </c>
      <c r="X29" s="111"/>
      <c r="Y29" s="111"/>
      <c r="Z29" s="111"/>
      <c r="AA29" s="111"/>
      <c r="AB29" s="111"/>
      <c r="AC29" s="111"/>
      <c r="AE29" s="97">
        <f t="shared" si="2"/>
        <v>1.2398162396065968</v>
      </c>
      <c r="AF29" s="97">
        <f t="shared" si="2"/>
        <v>2.0148324842003968</v>
      </c>
      <c r="AG29" s="97">
        <f t="shared" si="2"/>
        <v>0.44680742960837827</v>
      </c>
      <c r="AH29" s="97">
        <f t="shared" si="2"/>
        <v>0.43921587250690286</v>
      </c>
      <c r="AI29" s="97">
        <f t="shared" si="2"/>
        <v>0.52977512757911371</v>
      </c>
      <c r="AJ29" s="97">
        <f t="shared" si="2"/>
        <v>0.1781040327534551</v>
      </c>
      <c r="AK29" s="99">
        <f t="shared" si="2"/>
        <v>0</v>
      </c>
      <c r="AL29" s="99">
        <f t="shared" si="2"/>
        <v>0</v>
      </c>
      <c r="AM29" s="99">
        <f t="shared" si="2"/>
        <v>0</v>
      </c>
      <c r="AN29" s="99">
        <f t="shared" si="2"/>
        <v>0</v>
      </c>
      <c r="AO29" s="99">
        <f t="shared" si="2"/>
        <v>0</v>
      </c>
      <c r="AP29" s="99">
        <f t="shared" si="2"/>
        <v>0</v>
      </c>
      <c r="AQ29" s="97"/>
      <c r="AR29" s="99">
        <f t="shared" si="3"/>
        <v>1.2398</v>
      </c>
      <c r="AS29" s="99">
        <f t="shared" si="3"/>
        <v>2.0148000000000001</v>
      </c>
      <c r="AT29" s="99">
        <f t="shared" si="3"/>
        <v>0.44679999999999997</v>
      </c>
      <c r="AU29" s="99">
        <f t="shared" si="3"/>
        <v>0.43919999999999998</v>
      </c>
      <c r="AV29" s="99">
        <f t="shared" si="3"/>
        <v>0.52980000000000005</v>
      </c>
      <c r="AW29" s="99">
        <f t="shared" si="3"/>
        <v>0.17810000000000001</v>
      </c>
      <c r="AX29" s="99">
        <f t="shared" si="3"/>
        <v>0</v>
      </c>
      <c r="AY29" s="99">
        <f t="shared" si="3"/>
        <v>0</v>
      </c>
      <c r="AZ29" s="99">
        <f t="shared" si="3"/>
        <v>0</v>
      </c>
      <c r="BA29" s="99">
        <f t="shared" si="3"/>
        <v>0</v>
      </c>
      <c r="BB29" s="99">
        <f t="shared" si="3"/>
        <v>0</v>
      </c>
      <c r="BC29" s="99">
        <f t="shared" si="3"/>
        <v>0</v>
      </c>
      <c r="BD29" s="97"/>
      <c r="BE29" s="1">
        <f>IFERROR(VLOOKUP(AR29,'Top WS'!$A$19:$E$28,5),0)</f>
        <v>520</v>
      </c>
      <c r="BF29" s="1">
        <f>IFERROR(VLOOKUP(AS29,'Top WS'!$A$19:$E$28,5),0)</f>
        <v>520</v>
      </c>
      <c r="BG29" s="1">
        <f>IFERROR(VLOOKUP(AT29,'Top WS'!$A$19:$E$28,5),0)</f>
        <v>400</v>
      </c>
      <c r="BH29" s="1">
        <f>IFERROR(VLOOKUP(AU29,'Top WS'!$A$19:$E$28,5),0)</f>
        <v>400</v>
      </c>
      <c r="BI29" s="1">
        <f>IFERROR(VLOOKUP(AV29,'Top WS'!$A$19:$E$28,5),0)</f>
        <v>400</v>
      </c>
      <c r="BJ29" s="1">
        <f>IFERROR(VLOOKUP(AW29,'Top WS'!$A$19:$E$28,5),0)</f>
        <v>400</v>
      </c>
      <c r="BK29" s="98">
        <f>IFERROR(VLOOKUP(AX29,'Top WS'!$A$19:$E$28,5),0)</f>
        <v>400</v>
      </c>
      <c r="BL29" s="98">
        <f>IFERROR(VLOOKUP(AY29,'Top WS'!$A$19:$E$28,5),0)</f>
        <v>400</v>
      </c>
      <c r="BM29" s="98">
        <f>IFERROR(VLOOKUP(AZ29,'Top WS'!$A$19:$E$28,5),0)</f>
        <v>400</v>
      </c>
      <c r="BN29" s="98">
        <f>IFERROR(VLOOKUP(BA29,'Top WS'!$A$19:$E$28,5),0)</f>
        <v>400</v>
      </c>
      <c r="BO29" s="98">
        <f>IFERROR(VLOOKUP(BB29,'Top WS'!$A$19:$E$28,5),0)</f>
        <v>400</v>
      </c>
      <c r="BP29" s="98">
        <f>IFERROR(VLOOKUP(BC29,'Top WS'!$A$19:$E$28,5),0)</f>
        <v>400</v>
      </c>
    </row>
    <row r="30" spans="1:68" x14ac:dyDescent="0.4">
      <c r="A30">
        <v>1190033101</v>
      </c>
      <c r="B30">
        <f>VLOOKUP(A30,'Aji Plus'!$A$2:$D$58,2,0)</f>
        <v>66381</v>
      </c>
      <c r="C30" t="str">
        <f>VLOOKUP(A30,'Aji Plus'!$A$2:$D$58,3,0)</f>
        <v>นายเอกศักดิ์ แซ่ลิ้ม</v>
      </c>
      <c r="D30" t="str">
        <f>VLOOKUP(A30,'Aji Plus'!$A$2:$D$58,4,0)</f>
        <v>Huahin</v>
      </c>
      <c r="E30" s="1">
        <v>399.73513106520056</v>
      </c>
      <c r="F30" s="1">
        <v>369.46166117464981</v>
      </c>
      <c r="G30" s="1">
        <v>329.56731088297812</v>
      </c>
      <c r="H30" s="1">
        <v>385.47939146777145</v>
      </c>
      <c r="I30" s="1">
        <v>394.41257960223646</v>
      </c>
      <c r="J30" s="1">
        <v>408.08708553041572</v>
      </c>
      <c r="K30" s="1">
        <v>379.67853313115404</v>
      </c>
      <c r="L30" s="1">
        <v>384.18851790633397</v>
      </c>
      <c r="M30" s="1">
        <v>297.47862099803206</v>
      </c>
      <c r="N30" s="1">
        <v>418.20191364177583</v>
      </c>
      <c r="O30" s="1">
        <v>333.21099512855596</v>
      </c>
      <c r="P30" s="1">
        <v>260.49825947090227</v>
      </c>
      <c r="R30" s="1">
        <f>VLOOKUP(A30,Actual_RDNS!$A$2:$H$62,3,0)</f>
        <v>194.07999999999998</v>
      </c>
      <c r="S30" s="1">
        <f>VLOOKUP(A30,Actual_RDNS!$A$2:$H$62,4,0)</f>
        <v>847.16</v>
      </c>
      <c r="T30" s="1">
        <f>VLOOKUP(A30,Actual_RDNS!$A$2:$H$62,5,0)</f>
        <v>177.47999999999996</v>
      </c>
      <c r="U30" s="1">
        <f>VLOOKUP(A30,Actual_RDNS!$A$2:$H$62,6,0)</f>
        <v>101.19999999999999</v>
      </c>
      <c r="V30" s="1">
        <f>VLOOKUP(A30,Actual_RDNS!$A$2:$H$62,7,0)</f>
        <v>129.66</v>
      </c>
      <c r="W30" s="1">
        <f>VLOOKUP(A30,Actual_RDNS!$A$2:$H$62,8,0)</f>
        <v>160.07999999999998</v>
      </c>
      <c r="X30" s="111"/>
      <c r="Y30" s="111"/>
      <c r="Z30" s="111"/>
      <c r="AA30" s="111"/>
      <c r="AB30" s="111"/>
      <c r="AC30" s="111"/>
      <c r="AE30" s="97">
        <f t="shared" si="2"/>
        <v>0.48552149890559332</v>
      </c>
      <c r="AF30" s="97">
        <f t="shared" si="2"/>
        <v>2.2929578059779669</v>
      </c>
      <c r="AG30" s="97">
        <f t="shared" si="2"/>
        <v>0.53852428362659754</v>
      </c>
      <c r="AH30" s="97">
        <f t="shared" si="2"/>
        <v>0.26253024737500386</v>
      </c>
      <c r="AI30" s="97">
        <f t="shared" si="2"/>
        <v>0.3287420500906984</v>
      </c>
      <c r="AJ30" s="97">
        <f t="shared" si="2"/>
        <v>0.39226921330268077</v>
      </c>
      <c r="AK30" s="99">
        <f t="shared" si="2"/>
        <v>0</v>
      </c>
      <c r="AL30" s="99">
        <f t="shared" si="2"/>
        <v>0</v>
      </c>
      <c r="AM30" s="99">
        <f t="shared" si="2"/>
        <v>0</v>
      </c>
      <c r="AN30" s="99">
        <f t="shared" si="2"/>
        <v>0</v>
      </c>
      <c r="AO30" s="99">
        <f t="shared" si="2"/>
        <v>0</v>
      </c>
      <c r="AP30" s="99">
        <f t="shared" si="2"/>
        <v>0</v>
      </c>
      <c r="AQ30" s="97"/>
      <c r="AR30" s="99">
        <f t="shared" si="3"/>
        <v>0.48549999999999999</v>
      </c>
      <c r="AS30" s="99">
        <f t="shared" si="3"/>
        <v>2.2930000000000001</v>
      </c>
      <c r="AT30" s="99">
        <f t="shared" si="3"/>
        <v>0.53849999999999998</v>
      </c>
      <c r="AU30" s="99">
        <f t="shared" si="3"/>
        <v>0.26250000000000001</v>
      </c>
      <c r="AV30" s="99">
        <f t="shared" si="3"/>
        <v>0.32869999999999999</v>
      </c>
      <c r="AW30" s="99">
        <f t="shared" si="3"/>
        <v>0.39229999999999998</v>
      </c>
      <c r="AX30" s="99">
        <f t="shared" si="3"/>
        <v>0</v>
      </c>
      <c r="AY30" s="99">
        <f t="shared" si="3"/>
        <v>0</v>
      </c>
      <c r="AZ30" s="99">
        <f t="shared" si="3"/>
        <v>0</v>
      </c>
      <c r="BA30" s="99">
        <f t="shared" si="3"/>
        <v>0</v>
      </c>
      <c r="BB30" s="99">
        <f t="shared" si="3"/>
        <v>0</v>
      </c>
      <c r="BC30" s="99">
        <f t="shared" si="3"/>
        <v>0</v>
      </c>
      <c r="BD30" s="97"/>
      <c r="BE30" s="1">
        <f>IFERROR(VLOOKUP(AR30,'Top WS'!$A$19:$E$28,5),0)</f>
        <v>400</v>
      </c>
      <c r="BF30" s="1">
        <f>IFERROR(VLOOKUP(AS30,'Top WS'!$A$19:$E$28,5),0)</f>
        <v>520</v>
      </c>
      <c r="BG30" s="1">
        <f>IFERROR(VLOOKUP(AT30,'Top WS'!$A$19:$E$28,5),0)</f>
        <v>400</v>
      </c>
      <c r="BH30" s="1">
        <f>IFERROR(VLOOKUP(AU30,'Top WS'!$A$19:$E$28,5),0)</f>
        <v>400</v>
      </c>
      <c r="BI30" s="1">
        <f>IFERROR(VLOOKUP(AV30,'Top WS'!$A$19:$E$28,5),0)</f>
        <v>400</v>
      </c>
      <c r="BJ30" s="1">
        <f>IFERROR(VLOOKUP(AW30,'Top WS'!$A$19:$E$28,5),0)</f>
        <v>400</v>
      </c>
      <c r="BK30" s="98">
        <f>IFERROR(VLOOKUP(AX30,'Top WS'!$A$19:$E$28,5),0)</f>
        <v>400</v>
      </c>
      <c r="BL30" s="98">
        <f>IFERROR(VLOOKUP(AY30,'Top WS'!$A$19:$E$28,5),0)</f>
        <v>400</v>
      </c>
      <c r="BM30" s="98">
        <f>IFERROR(VLOOKUP(AZ30,'Top WS'!$A$19:$E$28,5),0)</f>
        <v>400</v>
      </c>
      <c r="BN30" s="98">
        <f>IFERROR(VLOOKUP(BA30,'Top WS'!$A$19:$E$28,5),0)</f>
        <v>400</v>
      </c>
      <c r="BO30" s="98">
        <f>IFERROR(VLOOKUP(BB30,'Top WS'!$A$19:$E$28,5),0)</f>
        <v>400</v>
      </c>
      <c r="BP30" s="98">
        <f>IFERROR(VLOOKUP(BC30,'Top WS'!$A$19:$E$28,5),0)</f>
        <v>400</v>
      </c>
    </row>
    <row r="31" spans="1:68" x14ac:dyDescent="0.4">
      <c r="A31">
        <v>1190033102</v>
      </c>
      <c r="B31">
        <f>VLOOKUP(A31,'Aji Plus'!$A$2:$D$58,2,0)</f>
        <v>28090</v>
      </c>
      <c r="C31" t="str">
        <f>VLOOKUP(A31,'Aji Plus'!$A$2:$D$58,3,0)</f>
        <v>นายนิกร กิจเถกิง</v>
      </c>
      <c r="D31" t="str">
        <f>VLOOKUP(A31,'Aji Plus'!$A$2:$D$58,4,0)</f>
        <v>Huahin</v>
      </c>
      <c r="E31" s="1">
        <v>399.73513106520056</v>
      </c>
      <c r="F31" s="1">
        <v>369.46166117464981</v>
      </c>
      <c r="G31" s="1">
        <v>329.56731088297812</v>
      </c>
      <c r="H31" s="1">
        <v>385.47939146777145</v>
      </c>
      <c r="I31" s="1">
        <v>394.41257960223646</v>
      </c>
      <c r="J31" s="1">
        <v>408.08708553041572</v>
      </c>
      <c r="K31" s="1">
        <v>379.67853313115404</v>
      </c>
      <c r="L31" s="1">
        <v>384.18851790633397</v>
      </c>
      <c r="M31" s="1">
        <v>297.47862099803206</v>
      </c>
      <c r="N31" s="1">
        <v>418.20191364177583</v>
      </c>
      <c r="O31" s="1">
        <v>333.21099512855596</v>
      </c>
      <c r="P31" s="1">
        <v>260.49825947090227</v>
      </c>
      <c r="R31" s="1">
        <f>VLOOKUP(A31,Actual_RDNS!$A$2:$H$62,3,0)</f>
        <v>180.07999999999998</v>
      </c>
      <c r="S31" s="1">
        <f>VLOOKUP(A31,Actual_RDNS!$A$2:$H$62,4,0)</f>
        <v>885.78000000000009</v>
      </c>
      <c r="T31" s="1">
        <f>VLOOKUP(A31,Actual_RDNS!$A$2:$H$62,5,0)</f>
        <v>104.05999999999999</v>
      </c>
      <c r="U31" s="1">
        <f>VLOOKUP(A31,Actual_RDNS!$A$2:$H$62,6,0)</f>
        <v>89.32</v>
      </c>
      <c r="V31" s="1">
        <f>VLOOKUP(A31,Actual_RDNS!$A$2:$H$62,7,0)</f>
        <v>126.69999999999999</v>
      </c>
      <c r="W31" s="1">
        <f>VLOOKUP(A31,Actual_RDNS!$A$2:$H$62,8,0)</f>
        <v>421.29999999999995</v>
      </c>
      <c r="X31" s="111"/>
      <c r="Y31" s="111"/>
      <c r="Z31" s="111"/>
      <c r="AA31" s="111"/>
      <c r="AB31" s="111"/>
      <c r="AC31" s="111"/>
      <c r="AE31" s="97">
        <f t="shared" si="2"/>
        <v>0.45049830751710246</v>
      </c>
      <c r="AF31" s="97">
        <f t="shared" si="2"/>
        <v>2.3974882730289009</v>
      </c>
      <c r="AG31" s="97">
        <f t="shared" si="2"/>
        <v>0.31574733465282706</v>
      </c>
      <c r="AH31" s="97">
        <f t="shared" si="2"/>
        <v>0.23171147920489471</v>
      </c>
      <c r="AI31" s="97">
        <f t="shared" si="2"/>
        <v>0.32123721846746484</v>
      </c>
      <c r="AJ31" s="97">
        <f t="shared" si="2"/>
        <v>1.0323776834359033</v>
      </c>
      <c r="AK31" s="99">
        <f t="shared" si="2"/>
        <v>0</v>
      </c>
      <c r="AL31" s="99">
        <f t="shared" si="2"/>
        <v>0</v>
      </c>
      <c r="AM31" s="99">
        <f t="shared" si="2"/>
        <v>0</v>
      </c>
      <c r="AN31" s="99">
        <f t="shared" si="2"/>
        <v>0</v>
      </c>
      <c r="AO31" s="99">
        <f t="shared" si="2"/>
        <v>0</v>
      </c>
      <c r="AP31" s="99">
        <f t="shared" si="2"/>
        <v>0</v>
      </c>
      <c r="AQ31" s="97"/>
      <c r="AR31" s="99">
        <f t="shared" si="3"/>
        <v>0.45050000000000001</v>
      </c>
      <c r="AS31" s="99">
        <f t="shared" si="3"/>
        <v>2.3975</v>
      </c>
      <c r="AT31" s="99">
        <f t="shared" si="3"/>
        <v>0.31569999999999998</v>
      </c>
      <c r="AU31" s="99">
        <f t="shared" si="3"/>
        <v>0.23169999999999999</v>
      </c>
      <c r="AV31" s="99">
        <f t="shared" si="3"/>
        <v>0.32119999999999999</v>
      </c>
      <c r="AW31" s="99">
        <f t="shared" si="3"/>
        <v>1.0324</v>
      </c>
      <c r="AX31" s="99">
        <f t="shared" si="3"/>
        <v>0</v>
      </c>
      <c r="AY31" s="99">
        <f t="shared" si="3"/>
        <v>0</v>
      </c>
      <c r="AZ31" s="99">
        <f t="shared" si="3"/>
        <v>0</v>
      </c>
      <c r="BA31" s="99">
        <f t="shared" si="3"/>
        <v>0</v>
      </c>
      <c r="BB31" s="99">
        <f t="shared" si="3"/>
        <v>0</v>
      </c>
      <c r="BC31" s="99">
        <f t="shared" si="3"/>
        <v>0</v>
      </c>
      <c r="BD31" s="97"/>
      <c r="BE31" s="1">
        <f>IFERROR(VLOOKUP(AR31,'Top WS'!$A$19:$E$28,5),0)</f>
        <v>400</v>
      </c>
      <c r="BF31" s="1">
        <f>IFERROR(VLOOKUP(AS31,'Top WS'!$A$19:$E$28,5),0)</f>
        <v>520</v>
      </c>
      <c r="BG31" s="1">
        <f>IFERROR(VLOOKUP(AT31,'Top WS'!$A$19:$E$28,5),0)</f>
        <v>400</v>
      </c>
      <c r="BH31" s="1">
        <f>IFERROR(VLOOKUP(AU31,'Top WS'!$A$19:$E$28,5),0)</f>
        <v>400</v>
      </c>
      <c r="BI31" s="1">
        <f>IFERROR(VLOOKUP(AV31,'Top WS'!$A$19:$E$28,5),0)</f>
        <v>400</v>
      </c>
      <c r="BJ31" s="1">
        <f>IFERROR(VLOOKUP(AW31,'Top WS'!$A$19:$E$28,5),0)</f>
        <v>432</v>
      </c>
      <c r="BK31" s="98">
        <f>IFERROR(VLOOKUP(AX31,'Top WS'!$A$19:$E$28,5),0)</f>
        <v>400</v>
      </c>
      <c r="BL31" s="98">
        <f>IFERROR(VLOOKUP(AY31,'Top WS'!$A$19:$E$28,5),0)</f>
        <v>400</v>
      </c>
      <c r="BM31" s="98">
        <f>IFERROR(VLOOKUP(AZ31,'Top WS'!$A$19:$E$28,5),0)</f>
        <v>400</v>
      </c>
      <c r="BN31" s="98">
        <f>IFERROR(VLOOKUP(BA31,'Top WS'!$A$19:$E$28,5),0)</f>
        <v>400</v>
      </c>
      <c r="BO31" s="98">
        <f>IFERROR(VLOOKUP(BB31,'Top WS'!$A$19:$E$28,5),0)</f>
        <v>400</v>
      </c>
      <c r="BP31" s="98">
        <f>IFERROR(VLOOKUP(BC31,'Top WS'!$A$19:$E$28,5),0)</f>
        <v>400</v>
      </c>
    </row>
    <row r="32" spans="1:68" x14ac:dyDescent="0.4">
      <c r="A32">
        <v>1190033201</v>
      </c>
      <c r="B32">
        <f>VLOOKUP(A32,'Aji Plus'!$A$2:$D$58,2,0)</f>
        <v>76475</v>
      </c>
      <c r="C32" t="str">
        <f>VLOOKUP(A32,'Aji Plus'!$A$2:$D$58,3,0)</f>
        <v>นายดานุกาญจน์ ตั้งพัฒนารุ่งเรือง</v>
      </c>
      <c r="D32" t="str">
        <f>VLOOKUP(A32,'Aji Plus'!$A$2:$D$58,4,0)</f>
        <v>Suphanburi</v>
      </c>
      <c r="E32" s="1">
        <v>402.48560215051157</v>
      </c>
      <c r="F32" s="1">
        <v>372.00382856805334</v>
      </c>
      <c r="G32" s="1">
        <v>331.83497586611793</v>
      </c>
      <c r="H32" s="1">
        <v>388.13177260172404</v>
      </c>
      <c r="I32" s="1">
        <v>397.12642762702251</v>
      </c>
      <c r="J32" s="1">
        <v>410.89502419232224</v>
      </c>
      <c r="K32" s="1">
        <v>382.29100010223999</v>
      </c>
      <c r="L32" s="1">
        <v>386.83201688275375</v>
      </c>
      <c r="M32" s="1">
        <v>299.52549224343136</v>
      </c>
      <c r="N32" s="1">
        <v>421.07944974481558</v>
      </c>
      <c r="O32" s="1">
        <v>335.50373133356896</v>
      </c>
      <c r="P32" s="1">
        <v>262.29067868744517</v>
      </c>
      <c r="R32" s="1">
        <f>VLOOKUP(A32,Actual_RDNS!$A$2:$H$62,3,0)</f>
        <v>441.66</v>
      </c>
      <c r="S32" s="1">
        <f>VLOOKUP(A32,Actual_RDNS!$A$2:$H$62,4,0)</f>
        <v>864.3599999999999</v>
      </c>
      <c r="T32" s="1">
        <f>VLOOKUP(A32,Actual_RDNS!$A$2:$H$62,5,0)</f>
        <v>550.82000000000005</v>
      </c>
      <c r="U32" s="1">
        <f>VLOOKUP(A32,Actual_RDNS!$A$2:$H$62,6,0)</f>
        <v>289.43999999999994</v>
      </c>
      <c r="V32" s="1">
        <f>VLOOKUP(A32,Actual_RDNS!$A$2:$H$62,7,0)</f>
        <v>241.17999999999995</v>
      </c>
      <c r="W32" s="1">
        <f>VLOOKUP(A32,Actual_RDNS!$A$2:$H$62,8,0)</f>
        <v>244.07999999999993</v>
      </c>
      <c r="X32" s="111"/>
      <c r="Y32" s="111"/>
      <c r="Z32" s="111"/>
      <c r="AA32" s="111"/>
      <c r="AB32" s="111"/>
      <c r="AC32" s="111"/>
      <c r="AE32" s="97">
        <f t="shared" si="2"/>
        <v>1.0973311781593593</v>
      </c>
      <c r="AF32" s="97">
        <f t="shared" si="2"/>
        <v>2.3235244737323351</v>
      </c>
      <c r="AG32" s="97">
        <f t="shared" si="2"/>
        <v>1.6599214671760032</v>
      </c>
      <c r="AH32" s="97">
        <f t="shared" si="2"/>
        <v>0.74572611785895904</v>
      </c>
      <c r="AI32" s="97">
        <f t="shared" si="2"/>
        <v>0.60731289388404541</v>
      </c>
      <c r="AJ32" s="97">
        <f t="shared" si="2"/>
        <v>0.59402033519334274</v>
      </c>
      <c r="AK32" s="99">
        <f t="shared" si="2"/>
        <v>0</v>
      </c>
      <c r="AL32" s="99">
        <f t="shared" si="2"/>
        <v>0</v>
      </c>
      <c r="AM32" s="99">
        <f t="shared" si="2"/>
        <v>0</v>
      </c>
      <c r="AN32" s="99">
        <f t="shared" si="2"/>
        <v>0</v>
      </c>
      <c r="AO32" s="99">
        <f t="shared" si="2"/>
        <v>0</v>
      </c>
      <c r="AP32" s="99">
        <f t="shared" si="2"/>
        <v>0</v>
      </c>
      <c r="AQ32" s="97"/>
      <c r="AR32" s="99">
        <f t="shared" si="3"/>
        <v>1.0972999999999999</v>
      </c>
      <c r="AS32" s="99">
        <f t="shared" si="3"/>
        <v>2.3235000000000001</v>
      </c>
      <c r="AT32" s="99">
        <f t="shared" si="3"/>
        <v>1.6598999999999999</v>
      </c>
      <c r="AU32" s="99">
        <f t="shared" si="3"/>
        <v>0.74570000000000003</v>
      </c>
      <c r="AV32" s="99">
        <f t="shared" si="3"/>
        <v>0.60729999999999995</v>
      </c>
      <c r="AW32" s="99">
        <f t="shared" si="3"/>
        <v>0.59399999999999997</v>
      </c>
      <c r="AX32" s="99">
        <f t="shared" si="3"/>
        <v>0</v>
      </c>
      <c r="AY32" s="99">
        <f t="shared" si="3"/>
        <v>0</v>
      </c>
      <c r="AZ32" s="99">
        <f t="shared" si="3"/>
        <v>0</v>
      </c>
      <c r="BA32" s="99">
        <f t="shared" si="3"/>
        <v>0</v>
      </c>
      <c r="BB32" s="99">
        <f t="shared" si="3"/>
        <v>0</v>
      </c>
      <c r="BC32" s="99">
        <f t="shared" si="3"/>
        <v>0</v>
      </c>
      <c r="BD32" s="97"/>
      <c r="BE32" s="1">
        <f>IFERROR(VLOOKUP(AR32,'Top WS'!$A$19:$E$28,5),0)</f>
        <v>440</v>
      </c>
      <c r="BF32" s="1">
        <f>IFERROR(VLOOKUP(AS32,'Top WS'!$A$19:$E$28,5),0)</f>
        <v>520</v>
      </c>
      <c r="BG32" s="1">
        <f>IFERROR(VLOOKUP(AT32,'Top WS'!$A$19:$E$28,5),0)</f>
        <v>520</v>
      </c>
      <c r="BH32" s="1">
        <f>IFERROR(VLOOKUP(AU32,'Top WS'!$A$19:$E$28,5),0)</f>
        <v>400</v>
      </c>
      <c r="BI32" s="1">
        <f>IFERROR(VLOOKUP(AV32,'Top WS'!$A$19:$E$28,5),0)</f>
        <v>400</v>
      </c>
      <c r="BJ32" s="1">
        <f>IFERROR(VLOOKUP(AW32,'Top WS'!$A$19:$E$28,5),0)</f>
        <v>400</v>
      </c>
      <c r="BK32" s="98">
        <f>IFERROR(VLOOKUP(AX32,'Top WS'!$A$19:$E$28,5),0)</f>
        <v>400</v>
      </c>
      <c r="BL32" s="98">
        <f>IFERROR(VLOOKUP(AY32,'Top WS'!$A$19:$E$28,5),0)</f>
        <v>400</v>
      </c>
      <c r="BM32" s="98">
        <f>IFERROR(VLOOKUP(AZ32,'Top WS'!$A$19:$E$28,5),0)</f>
        <v>400</v>
      </c>
      <c r="BN32" s="98">
        <f>IFERROR(VLOOKUP(BA32,'Top WS'!$A$19:$E$28,5),0)</f>
        <v>400</v>
      </c>
      <c r="BO32" s="98">
        <f>IFERROR(VLOOKUP(BB32,'Top WS'!$A$19:$E$28,5),0)</f>
        <v>400</v>
      </c>
      <c r="BP32" s="98">
        <f>IFERROR(VLOOKUP(BC32,'Top WS'!$A$19:$E$28,5),0)</f>
        <v>400</v>
      </c>
    </row>
    <row r="33" spans="1:68" x14ac:dyDescent="0.4">
      <c r="A33">
        <v>1190033202</v>
      </c>
      <c r="B33">
        <f>VLOOKUP(A33,'Aji Plus'!$A$2:$D$58,2,0)</f>
        <v>63537</v>
      </c>
      <c r="C33" t="str">
        <f>VLOOKUP(A33,'Aji Plus'!$A$2:$D$58,3,0)</f>
        <v>นายอำนาจ แตงสี</v>
      </c>
      <c r="D33" t="str">
        <f>VLOOKUP(A33,'Aji Plus'!$A$2:$D$58,4,0)</f>
        <v>Suphanburi</v>
      </c>
      <c r="E33" s="1">
        <v>402.48560215051157</v>
      </c>
      <c r="F33" s="1">
        <v>372.00382856805334</v>
      </c>
      <c r="G33" s="1">
        <v>331.83497586611793</v>
      </c>
      <c r="H33" s="1">
        <v>388.13177260172404</v>
      </c>
      <c r="I33" s="1">
        <v>397.12642762702251</v>
      </c>
      <c r="J33" s="1">
        <v>410.89502419232224</v>
      </c>
      <c r="K33" s="1">
        <v>382.29100010223999</v>
      </c>
      <c r="L33" s="1">
        <v>386.83201688275375</v>
      </c>
      <c r="M33" s="1">
        <v>299.52549224343136</v>
      </c>
      <c r="N33" s="1">
        <v>421.07944974481558</v>
      </c>
      <c r="O33" s="1">
        <v>335.50373133356896</v>
      </c>
      <c r="P33" s="1">
        <v>262.29067868744517</v>
      </c>
      <c r="R33" s="1">
        <f>VLOOKUP(A33,Actual_RDNS!$A$2:$H$62,3,0)</f>
        <v>79.680000000000007</v>
      </c>
      <c r="S33" s="1">
        <f>VLOOKUP(A33,Actual_RDNS!$A$2:$H$62,4,0)</f>
        <v>814.18</v>
      </c>
      <c r="T33" s="1">
        <f>VLOOKUP(A33,Actual_RDNS!$A$2:$H$62,5,0)</f>
        <v>93.419999999999987</v>
      </c>
      <c r="U33" s="1">
        <f>VLOOKUP(A33,Actual_RDNS!$A$2:$H$62,6,0)</f>
        <v>55.62</v>
      </c>
      <c r="V33" s="1">
        <f>VLOOKUP(A33,Actual_RDNS!$A$2:$H$62,7,0)</f>
        <v>476.12</v>
      </c>
      <c r="W33" s="1">
        <f>VLOOKUP(A33,Actual_RDNS!$A$2:$H$62,8,0)</f>
        <v>429.82</v>
      </c>
      <c r="X33" s="111"/>
      <c r="Y33" s="111"/>
      <c r="Z33" s="111"/>
      <c r="AA33" s="111"/>
      <c r="AB33" s="111"/>
      <c r="AC33" s="111"/>
      <c r="AE33" s="97">
        <f t="shared" si="2"/>
        <v>0.19796981450830448</v>
      </c>
      <c r="AF33" s="97">
        <f t="shared" si="2"/>
        <v>2.1886333888928138</v>
      </c>
      <c r="AG33" s="97">
        <f t="shared" si="2"/>
        <v>0.28152547740383821</v>
      </c>
      <c r="AH33" s="97">
        <f t="shared" si="2"/>
        <v>0.14330184727513581</v>
      </c>
      <c r="AI33" s="97">
        <f t="shared" si="2"/>
        <v>1.1989129075216509</v>
      </c>
      <c r="AJ33" s="97">
        <f t="shared" si="2"/>
        <v>1.0460579337627116</v>
      </c>
      <c r="AK33" s="99">
        <f t="shared" si="2"/>
        <v>0</v>
      </c>
      <c r="AL33" s="99">
        <f t="shared" si="2"/>
        <v>0</v>
      </c>
      <c r="AM33" s="99">
        <f t="shared" si="2"/>
        <v>0</v>
      </c>
      <c r="AN33" s="99">
        <f t="shared" si="2"/>
        <v>0</v>
      </c>
      <c r="AO33" s="99">
        <f t="shared" si="2"/>
        <v>0</v>
      </c>
      <c r="AP33" s="99">
        <f t="shared" si="2"/>
        <v>0</v>
      </c>
      <c r="AQ33" s="97"/>
      <c r="AR33" s="99">
        <f t="shared" si="3"/>
        <v>0.19800000000000001</v>
      </c>
      <c r="AS33" s="99">
        <f t="shared" si="3"/>
        <v>2.1886000000000001</v>
      </c>
      <c r="AT33" s="99">
        <f t="shared" si="3"/>
        <v>0.28149999999999997</v>
      </c>
      <c r="AU33" s="99">
        <f t="shared" si="3"/>
        <v>0.14330000000000001</v>
      </c>
      <c r="AV33" s="99">
        <f t="shared" si="3"/>
        <v>1.1989000000000001</v>
      </c>
      <c r="AW33" s="99">
        <f t="shared" si="3"/>
        <v>1.0461</v>
      </c>
      <c r="AX33" s="99">
        <f t="shared" si="3"/>
        <v>0</v>
      </c>
      <c r="AY33" s="99">
        <f t="shared" si="3"/>
        <v>0</v>
      </c>
      <c r="AZ33" s="99">
        <f t="shared" si="3"/>
        <v>0</v>
      </c>
      <c r="BA33" s="99">
        <f t="shared" si="3"/>
        <v>0</v>
      </c>
      <c r="BB33" s="99">
        <f t="shared" si="3"/>
        <v>0</v>
      </c>
      <c r="BC33" s="99">
        <f t="shared" si="3"/>
        <v>0</v>
      </c>
      <c r="BD33" s="97"/>
      <c r="BE33" s="1">
        <f>IFERROR(VLOOKUP(AR33,'Top WS'!$A$19:$E$28,5),0)</f>
        <v>400</v>
      </c>
      <c r="BF33" s="1">
        <f>IFERROR(VLOOKUP(AS33,'Top WS'!$A$19:$E$28,5),0)</f>
        <v>520</v>
      </c>
      <c r="BG33" s="1">
        <f>IFERROR(VLOOKUP(AT33,'Top WS'!$A$19:$E$28,5),0)</f>
        <v>400</v>
      </c>
      <c r="BH33" s="1">
        <f>IFERROR(VLOOKUP(AU33,'Top WS'!$A$19:$E$28,5),0)</f>
        <v>400</v>
      </c>
      <c r="BI33" s="1">
        <f>IFERROR(VLOOKUP(AV33,'Top WS'!$A$19:$E$28,5),0)</f>
        <v>480</v>
      </c>
      <c r="BJ33" s="1">
        <f>IFERROR(VLOOKUP(AW33,'Top WS'!$A$19:$E$28,5),0)</f>
        <v>432</v>
      </c>
      <c r="BK33" s="98">
        <f>IFERROR(VLOOKUP(AX33,'Top WS'!$A$19:$E$28,5),0)</f>
        <v>400</v>
      </c>
      <c r="BL33" s="98">
        <f>IFERROR(VLOOKUP(AY33,'Top WS'!$A$19:$E$28,5),0)</f>
        <v>400</v>
      </c>
      <c r="BM33" s="98">
        <f>IFERROR(VLOOKUP(AZ33,'Top WS'!$A$19:$E$28,5),0)</f>
        <v>400</v>
      </c>
      <c r="BN33" s="98">
        <f>IFERROR(VLOOKUP(BA33,'Top WS'!$A$19:$E$28,5),0)</f>
        <v>400</v>
      </c>
      <c r="BO33" s="98">
        <f>IFERROR(VLOOKUP(BB33,'Top WS'!$A$19:$E$28,5),0)</f>
        <v>400</v>
      </c>
      <c r="BP33" s="98">
        <f>IFERROR(VLOOKUP(BC33,'Top WS'!$A$19:$E$28,5),0)</f>
        <v>400</v>
      </c>
    </row>
    <row r="34" spans="1:68" x14ac:dyDescent="0.4">
      <c r="A34">
        <v>1190033301</v>
      </c>
      <c r="B34">
        <f>VLOOKUP(A34,'Aji Plus'!$A$2:$D$58,2,0)</f>
        <v>63139</v>
      </c>
      <c r="C34" t="str">
        <f>VLOOKUP(A34,'Aji Plus'!$A$2:$D$58,3,0)</f>
        <v>นายเมธา กันทสัง</v>
      </c>
      <c r="D34" t="str">
        <f>VLOOKUP(A34,'Aji Plus'!$A$2:$D$58,4,0)</f>
        <v>Nakornpathom</v>
      </c>
      <c r="E34" s="1">
        <v>859.5089501970366</v>
      </c>
      <c r="F34" s="1">
        <v>504.51231501245792</v>
      </c>
      <c r="G34" s="1">
        <v>690.60489108783975</v>
      </c>
      <c r="H34" s="1">
        <v>747.11613546218064</v>
      </c>
      <c r="I34" s="1">
        <v>670.38549292839355</v>
      </c>
      <c r="J34" s="1">
        <v>634.85016045082887</v>
      </c>
      <c r="K34" s="1">
        <v>571.27148510931841</v>
      </c>
      <c r="L34" s="1">
        <v>646.80190110369597</v>
      </c>
      <c r="M34" s="1">
        <v>520.28327364188567</v>
      </c>
      <c r="N34" s="1">
        <v>615.5101944290177</v>
      </c>
      <c r="O34" s="1">
        <v>612.4505065922491</v>
      </c>
      <c r="P34" s="1">
        <v>681.7046939850951</v>
      </c>
      <c r="R34" s="1">
        <f>VLOOKUP(A34,Actual_RDNS!$A$2:$H$62,3,0)</f>
        <v>333.9</v>
      </c>
      <c r="S34" s="1">
        <f>VLOOKUP(A34,Actual_RDNS!$A$2:$H$62,4,0)</f>
        <v>2404.0400000000004</v>
      </c>
      <c r="T34" s="1">
        <f>VLOOKUP(A34,Actual_RDNS!$A$2:$H$62,5,0)</f>
        <v>840.83999999999992</v>
      </c>
      <c r="U34" s="1">
        <f>VLOOKUP(A34,Actual_RDNS!$A$2:$H$62,6,0)</f>
        <v>1208.3600000000004</v>
      </c>
      <c r="V34" s="1">
        <f>VLOOKUP(A34,Actual_RDNS!$A$2:$H$62,7,0)</f>
        <v>619.93999999999994</v>
      </c>
      <c r="W34" s="1">
        <f>VLOOKUP(A34,Actual_RDNS!$A$2:$H$62,8,0)</f>
        <v>324.76</v>
      </c>
      <c r="X34" s="111"/>
      <c r="Y34" s="111"/>
      <c r="Z34" s="111"/>
      <c r="AA34" s="111"/>
      <c r="AB34" s="111"/>
      <c r="AC34" s="111"/>
      <c r="AE34" s="97">
        <f t="shared" si="2"/>
        <v>0.38847763007407388</v>
      </c>
      <c r="AF34" s="97">
        <f t="shared" si="2"/>
        <v>4.7650769435442575</v>
      </c>
      <c r="AG34" s="97">
        <f t="shared" si="2"/>
        <v>1.2175413334758027</v>
      </c>
      <c r="AH34" s="97">
        <f t="shared" si="2"/>
        <v>1.6173656847238151</v>
      </c>
      <c r="AI34" s="97">
        <f t="shared" si="2"/>
        <v>0.92475151467249628</v>
      </c>
      <c r="AJ34" s="97">
        <f t="shared" si="2"/>
        <v>0.51155378108336114</v>
      </c>
      <c r="AK34" s="99">
        <f t="shared" si="2"/>
        <v>0</v>
      </c>
      <c r="AL34" s="99">
        <f t="shared" si="2"/>
        <v>0</v>
      </c>
      <c r="AM34" s="99">
        <f t="shared" si="2"/>
        <v>0</v>
      </c>
      <c r="AN34" s="99">
        <f t="shared" si="2"/>
        <v>0</v>
      </c>
      <c r="AO34" s="99">
        <f t="shared" si="2"/>
        <v>0</v>
      </c>
      <c r="AP34" s="99">
        <f t="shared" si="2"/>
        <v>0</v>
      </c>
      <c r="AQ34" s="97"/>
      <c r="AR34" s="99">
        <f t="shared" si="3"/>
        <v>0.38850000000000001</v>
      </c>
      <c r="AS34" s="99">
        <f t="shared" si="3"/>
        <v>4.7651000000000003</v>
      </c>
      <c r="AT34" s="99">
        <f t="shared" si="3"/>
        <v>1.2175</v>
      </c>
      <c r="AU34" s="99">
        <f t="shared" si="3"/>
        <v>1.6173999999999999</v>
      </c>
      <c r="AV34" s="99">
        <f t="shared" si="3"/>
        <v>0.92479999999999996</v>
      </c>
      <c r="AW34" s="99">
        <f t="shared" si="3"/>
        <v>0.51160000000000005</v>
      </c>
      <c r="AX34" s="99">
        <f t="shared" si="3"/>
        <v>0</v>
      </c>
      <c r="AY34" s="99">
        <f t="shared" si="3"/>
        <v>0</v>
      </c>
      <c r="AZ34" s="99">
        <f t="shared" si="3"/>
        <v>0</v>
      </c>
      <c r="BA34" s="99">
        <f t="shared" si="3"/>
        <v>0</v>
      </c>
      <c r="BB34" s="99">
        <f t="shared" si="3"/>
        <v>0</v>
      </c>
      <c r="BC34" s="99">
        <f t="shared" si="3"/>
        <v>0</v>
      </c>
      <c r="BD34" s="97"/>
      <c r="BE34" s="1">
        <f>IFERROR(VLOOKUP(AR34,'Top WS'!$A$19:$E$28,5),0)</f>
        <v>400</v>
      </c>
      <c r="BF34" s="1">
        <f>IFERROR(VLOOKUP(AS34,'Top WS'!$A$19:$E$28,5),0)</f>
        <v>520</v>
      </c>
      <c r="BG34" s="1">
        <f>IFERROR(VLOOKUP(AT34,'Top WS'!$A$19:$E$28,5),0)</f>
        <v>520</v>
      </c>
      <c r="BH34" s="1">
        <f>IFERROR(VLOOKUP(AU34,'Top WS'!$A$19:$E$28,5),0)</f>
        <v>520</v>
      </c>
      <c r="BI34" s="1">
        <f>IFERROR(VLOOKUP(AV34,'Top WS'!$A$19:$E$28,5),0)</f>
        <v>400</v>
      </c>
      <c r="BJ34" s="1">
        <f>IFERROR(VLOOKUP(AW34,'Top WS'!$A$19:$E$28,5),0)</f>
        <v>400</v>
      </c>
      <c r="BK34" s="98">
        <f>IFERROR(VLOOKUP(AX34,'Top WS'!$A$19:$E$28,5),0)</f>
        <v>400</v>
      </c>
      <c r="BL34" s="98">
        <f>IFERROR(VLOOKUP(AY34,'Top WS'!$A$19:$E$28,5),0)</f>
        <v>400</v>
      </c>
      <c r="BM34" s="98">
        <f>IFERROR(VLOOKUP(AZ34,'Top WS'!$A$19:$E$28,5),0)</f>
        <v>400</v>
      </c>
      <c r="BN34" s="98">
        <f>IFERROR(VLOOKUP(BA34,'Top WS'!$A$19:$E$28,5),0)</f>
        <v>400</v>
      </c>
      <c r="BO34" s="98">
        <f>IFERROR(VLOOKUP(BB34,'Top WS'!$A$19:$E$28,5),0)</f>
        <v>400</v>
      </c>
      <c r="BP34" s="98">
        <f>IFERROR(VLOOKUP(BC34,'Top WS'!$A$19:$E$28,5),0)</f>
        <v>400</v>
      </c>
    </row>
    <row r="35" spans="1:68" x14ac:dyDescent="0.4">
      <c r="A35">
        <v>1190033302</v>
      </c>
      <c r="B35">
        <f>VLOOKUP(A35,'Aji Plus'!$A$2:$D$58,2,0)</f>
        <v>101039</v>
      </c>
      <c r="C35" t="str">
        <f>VLOOKUP(A35,'Aji Plus'!$A$2:$D$58,3,0)</f>
        <v>นายสุชล ลีลากิจทรัพย์</v>
      </c>
      <c r="D35" t="str">
        <f>VLOOKUP(A35,'Aji Plus'!$A$2:$D$58,4,0)</f>
        <v>Nakornpathom</v>
      </c>
      <c r="E35" s="1">
        <v>859.5089501970366</v>
      </c>
      <c r="F35" s="1">
        <v>504.51231501245792</v>
      </c>
      <c r="G35" s="1">
        <v>690.60489108783975</v>
      </c>
      <c r="H35" s="1">
        <v>747.11613546218064</v>
      </c>
      <c r="I35" s="1">
        <v>670.38549292839355</v>
      </c>
      <c r="J35" s="1">
        <v>634.85016045082887</v>
      </c>
      <c r="K35" s="1">
        <v>571.27148510931841</v>
      </c>
      <c r="L35" s="1">
        <v>646.80190110369597</v>
      </c>
      <c r="M35" s="1">
        <v>520.28327364188567</v>
      </c>
      <c r="N35" s="1">
        <v>615.5101944290177</v>
      </c>
      <c r="O35" s="1">
        <v>612.4505065922491</v>
      </c>
      <c r="P35" s="1">
        <v>681.7046939850951</v>
      </c>
      <c r="R35" s="1">
        <f>VLOOKUP(A35,Actual_RDNS!$A$2:$H$62,3,0)</f>
        <v>428.32</v>
      </c>
      <c r="S35" s="1">
        <f>VLOOKUP(A35,Actual_RDNS!$A$2:$H$62,4,0)</f>
        <v>535.21999999999991</v>
      </c>
      <c r="T35" s="1">
        <f>VLOOKUP(A35,Actual_RDNS!$A$2:$H$62,5,0)</f>
        <v>180.16</v>
      </c>
      <c r="U35" s="1">
        <f>VLOOKUP(A35,Actual_RDNS!$A$2:$H$62,6,0)</f>
        <v>441.84</v>
      </c>
      <c r="V35" s="1">
        <f>VLOOKUP(A35,Actual_RDNS!$A$2:$H$62,7,0)</f>
        <v>698.98</v>
      </c>
      <c r="W35" s="1">
        <f>VLOOKUP(A35,Actual_RDNS!$A$2:$H$62,8,0)</f>
        <v>359.93999999999994</v>
      </c>
      <c r="X35" s="111"/>
      <c r="Y35" s="111"/>
      <c r="Z35" s="111"/>
      <c r="AA35" s="111"/>
      <c r="AB35" s="111"/>
      <c r="AC35" s="111"/>
      <c r="AE35" s="97">
        <f t="shared" si="2"/>
        <v>0.49833105275030648</v>
      </c>
      <c r="AF35" s="97">
        <f t="shared" si="2"/>
        <v>1.0608660761567015</v>
      </c>
      <c r="AG35" s="97">
        <f t="shared" si="2"/>
        <v>0.26087275419699424</v>
      </c>
      <c r="AH35" s="97">
        <f t="shared" si="2"/>
        <v>0.59139400024692157</v>
      </c>
      <c r="AI35" s="97">
        <f t="shared" si="2"/>
        <v>1.0426538273474555</v>
      </c>
      <c r="AJ35" s="97">
        <f t="shared" si="2"/>
        <v>0.56696843195943147</v>
      </c>
      <c r="AK35" s="99">
        <f t="shared" si="2"/>
        <v>0</v>
      </c>
      <c r="AL35" s="99">
        <f t="shared" si="2"/>
        <v>0</v>
      </c>
      <c r="AM35" s="99">
        <f t="shared" si="2"/>
        <v>0</v>
      </c>
      <c r="AN35" s="99">
        <f t="shared" si="2"/>
        <v>0</v>
      </c>
      <c r="AO35" s="99">
        <f t="shared" si="2"/>
        <v>0</v>
      </c>
      <c r="AP35" s="99">
        <f t="shared" si="2"/>
        <v>0</v>
      </c>
      <c r="AQ35" s="97"/>
      <c r="AR35" s="99">
        <f t="shared" si="3"/>
        <v>0.49830000000000002</v>
      </c>
      <c r="AS35" s="99">
        <f t="shared" si="3"/>
        <v>1.0609</v>
      </c>
      <c r="AT35" s="99">
        <f t="shared" si="3"/>
        <v>0.26090000000000002</v>
      </c>
      <c r="AU35" s="99">
        <f t="shared" si="3"/>
        <v>0.59140000000000004</v>
      </c>
      <c r="AV35" s="99">
        <f t="shared" si="3"/>
        <v>1.0427</v>
      </c>
      <c r="AW35" s="99">
        <f t="shared" si="3"/>
        <v>0.56699999999999995</v>
      </c>
      <c r="AX35" s="99">
        <f t="shared" si="3"/>
        <v>0</v>
      </c>
      <c r="AY35" s="99">
        <f t="shared" si="3"/>
        <v>0</v>
      </c>
      <c r="AZ35" s="99">
        <f t="shared" si="3"/>
        <v>0</v>
      </c>
      <c r="BA35" s="99">
        <f t="shared" si="3"/>
        <v>0</v>
      </c>
      <c r="BB35" s="99">
        <f t="shared" si="3"/>
        <v>0</v>
      </c>
      <c r="BC35" s="99">
        <f t="shared" si="3"/>
        <v>0</v>
      </c>
      <c r="BD35" s="97"/>
      <c r="BE35" s="1">
        <f>IFERROR(VLOOKUP(AR35,'Top WS'!$A$19:$E$28,5),0)</f>
        <v>400</v>
      </c>
      <c r="BF35" s="1">
        <f>IFERROR(VLOOKUP(AS35,'Top WS'!$A$19:$E$28,5),0)</f>
        <v>440</v>
      </c>
      <c r="BG35" s="1">
        <f>IFERROR(VLOOKUP(AT35,'Top WS'!$A$19:$E$28,5),0)</f>
        <v>400</v>
      </c>
      <c r="BH35" s="1">
        <f>IFERROR(VLOOKUP(AU35,'Top WS'!$A$19:$E$28,5),0)</f>
        <v>400</v>
      </c>
      <c r="BI35" s="1">
        <f>IFERROR(VLOOKUP(AV35,'Top WS'!$A$19:$E$28,5),0)</f>
        <v>432</v>
      </c>
      <c r="BJ35" s="1">
        <f>IFERROR(VLOOKUP(AW35,'Top WS'!$A$19:$E$28,5),0)</f>
        <v>400</v>
      </c>
      <c r="BK35" s="98">
        <f>IFERROR(VLOOKUP(AX35,'Top WS'!$A$19:$E$28,5),0)</f>
        <v>400</v>
      </c>
      <c r="BL35" s="98">
        <f>IFERROR(VLOOKUP(AY35,'Top WS'!$A$19:$E$28,5),0)</f>
        <v>400</v>
      </c>
      <c r="BM35" s="98">
        <f>IFERROR(VLOOKUP(AZ35,'Top WS'!$A$19:$E$28,5),0)</f>
        <v>400</v>
      </c>
      <c r="BN35" s="98">
        <f>IFERROR(VLOOKUP(BA35,'Top WS'!$A$19:$E$28,5),0)</f>
        <v>400</v>
      </c>
      <c r="BO35" s="98">
        <f>IFERROR(VLOOKUP(BB35,'Top WS'!$A$19:$E$28,5),0)</f>
        <v>400</v>
      </c>
      <c r="BP35" s="98">
        <f>IFERROR(VLOOKUP(BC35,'Top WS'!$A$19:$E$28,5),0)</f>
        <v>400</v>
      </c>
    </row>
    <row r="36" spans="1:68" x14ac:dyDescent="0.4">
      <c r="A36">
        <v>1190037301</v>
      </c>
      <c r="B36">
        <f>VLOOKUP(A36,'Aji Plus'!$A$2:$D$58,2,0)</f>
        <v>100570</v>
      </c>
      <c r="C36" t="str">
        <f>VLOOKUP(A36,'Aji Plus'!$A$2:$D$58,3,0)</f>
        <v>นายอดิเรก ศรีนุกูล</v>
      </c>
      <c r="D36" t="str">
        <f>VLOOKUP(A36,'Aji Plus'!$A$2:$D$58,4,0)</f>
        <v>Chonburi</v>
      </c>
      <c r="E36" s="1">
        <v>261</v>
      </c>
      <c r="F36" s="1">
        <v>642</v>
      </c>
      <c r="G36" s="1">
        <v>333</v>
      </c>
      <c r="H36" s="1">
        <v>570</v>
      </c>
      <c r="I36" s="1">
        <v>166</v>
      </c>
      <c r="J36" s="1">
        <v>689</v>
      </c>
      <c r="K36" s="1">
        <v>499</v>
      </c>
      <c r="L36" s="1">
        <v>546</v>
      </c>
      <c r="M36" s="1">
        <v>832</v>
      </c>
      <c r="N36" s="1">
        <v>594</v>
      </c>
      <c r="O36" s="1">
        <v>1806</v>
      </c>
      <c r="P36" s="1">
        <v>748</v>
      </c>
      <c r="R36" s="1">
        <f>VLOOKUP(A36,Actual_RDNS!$A$2:$H$62,3,0)</f>
        <v>489.2399999999999</v>
      </c>
      <c r="S36" s="1">
        <f>VLOOKUP(A36,Actual_RDNS!$A$2:$H$62,4,0)</f>
        <v>2014.7399999999998</v>
      </c>
      <c r="T36" s="1">
        <f>VLOOKUP(A36,Actual_RDNS!$A$2:$H$62,5,0)</f>
        <v>260.97999999999996</v>
      </c>
      <c r="U36" s="1">
        <f>VLOOKUP(A36,Actual_RDNS!$A$2:$H$62,6,0)</f>
        <v>67.5</v>
      </c>
      <c r="V36" s="1">
        <f>VLOOKUP(A36,Actual_RDNS!$A$2:$H$62,7,0)</f>
        <v>65.34</v>
      </c>
      <c r="W36" s="1">
        <f>VLOOKUP(A36,Actual_RDNS!$A$2:$H$62,8,0)</f>
        <v>169.2</v>
      </c>
      <c r="X36" s="111"/>
      <c r="Y36" s="111"/>
      <c r="Z36" s="111"/>
      <c r="AA36" s="111"/>
      <c r="AB36" s="111"/>
      <c r="AC36" s="111"/>
      <c r="AE36" s="97">
        <f t="shared" si="2"/>
        <v>1.8744827586206894</v>
      </c>
      <c r="AF36" s="97">
        <f t="shared" si="2"/>
        <v>3.1382242990654201</v>
      </c>
      <c r="AG36" s="97">
        <f t="shared" si="2"/>
        <v>0.78372372372372356</v>
      </c>
      <c r="AH36" s="97">
        <f t="shared" si="2"/>
        <v>0.11842105263157894</v>
      </c>
      <c r="AI36" s="97">
        <f t="shared" si="2"/>
        <v>0.39361445783132532</v>
      </c>
      <c r="AJ36" s="97">
        <f t="shared" si="2"/>
        <v>0.24557329462989838</v>
      </c>
      <c r="AK36" s="99">
        <f t="shared" si="2"/>
        <v>0</v>
      </c>
      <c r="AL36" s="99">
        <f t="shared" si="2"/>
        <v>0</v>
      </c>
      <c r="AM36" s="99">
        <f t="shared" si="2"/>
        <v>0</v>
      </c>
      <c r="AN36" s="99">
        <f t="shared" si="2"/>
        <v>0</v>
      </c>
      <c r="AO36" s="99">
        <f t="shared" si="2"/>
        <v>0</v>
      </c>
      <c r="AP36" s="99">
        <f t="shared" si="2"/>
        <v>0</v>
      </c>
      <c r="AQ36" s="97"/>
      <c r="AR36" s="99">
        <f t="shared" si="3"/>
        <v>1.8745000000000001</v>
      </c>
      <c r="AS36" s="99">
        <f t="shared" si="3"/>
        <v>3.1381999999999999</v>
      </c>
      <c r="AT36" s="99">
        <f t="shared" si="3"/>
        <v>0.78369999999999995</v>
      </c>
      <c r="AU36" s="99">
        <f t="shared" si="3"/>
        <v>0.11840000000000001</v>
      </c>
      <c r="AV36" s="99">
        <f t="shared" si="3"/>
        <v>0.39360000000000001</v>
      </c>
      <c r="AW36" s="99">
        <f t="shared" si="3"/>
        <v>0.24560000000000001</v>
      </c>
      <c r="AX36" s="99">
        <f t="shared" si="3"/>
        <v>0</v>
      </c>
      <c r="AY36" s="99">
        <f t="shared" si="3"/>
        <v>0</v>
      </c>
      <c r="AZ36" s="99">
        <f t="shared" si="3"/>
        <v>0</v>
      </c>
      <c r="BA36" s="99">
        <f t="shared" si="3"/>
        <v>0</v>
      </c>
      <c r="BB36" s="99">
        <f t="shared" si="3"/>
        <v>0</v>
      </c>
      <c r="BC36" s="99">
        <f t="shared" si="3"/>
        <v>0</v>
      </c>
      <c r="BD36" s="97"/>
      <c r="BE36" s="1">
        <f>IFERROR(VLOOKUP(AR36,'Top WS'!$A$19:$E$28,5),0)</f>
        <v>520</v>
      </c>
      <c r="BF36" s="1">
        <f>IFERROR(VLOOKUP(AS36,'Top WS'!$A$19:$E$28,5),0)</f>
        <v>520</v>
      </c>
      <c r="BG36" s="1">
        <f>IFERROR(VLOOKUP(AT36,'Top WS'!$A$19:$E$28,5),0)</f>
        <v>400</v>
      </c>
      <c r="BH36" s="1">
        <f>IFERROR(VLOOKUP(AU36,'Top WS'!$A$19:$E$28,5),0)</f>
        <v>400</v>
      </c>
      <c r="BI36" s="1">
        <f>IFERROR(VLOOKUP(AV36,'Top WS'!$A$19:$E$28,5),0)</f>
        <v>400</v>
      </c>
      <c r="BJ36" s="1">
        <f>IFERROR(VLOOKUP(AW36,'Top WS'!$A$19:$E$28,5),0)</f>
        <v>400</v>
      </c>
      <c r="BK36" s="98">
        <f>IFERROR(VLOOKUP(AX36,'Top WS'!$A$19:$E$28,5),0)</f>
        <v>400</v>
      </c>
      <c r="BL36" s="98">
        <f>IFERROR(VLOOKUP(AY36,'Top WS'!$A$19:$E$28,5),0)</f>
        <v>400</v>
      </c>
      <c r="BM36" s="98">
        <f>IFERROR(VLOOKUP(AZ36,'Top WS'!$A$19:$E$28,5),0)</f>
        <v>400</v>
      </c>
      <c r="BN36" s="98">
        <f>IFERROR(VLOOKUP(BA36,'Top WS'!$A$19:$E$28,5),0)</f>
        <v>400</v>
      </c>
      <c r="BO36" s="98">
        <f>IFERROR(VLOOKUP(BB36,'Top WS'!$A$19:$E$28,5),0)</f>
        <v>400</v>
      </c>
      <c r="BP36" s="98">
        <f>IFERROR(VLOOKUP(BC36,'Top WS'!$A$19:$E$28,5),0)</f>
        <v>400</v>
      </c>
    </row>
    <row r="37" spans="1:68" x14ac:dyDescent="0.4">
      <c r="A37">
        <v>1190037401</v>
      </c>
      <c r="B37">
        <f>VLOOKUP(A37,'Aji Plus'!$A$2:$D$58,2,0)</f>
        <v>28171</v>
      </c>
      <c r="C37" t="str">
        <f>VLOOKUP(A37,'Aji Plus'!$A$2:$D$58,3,0)</f>
        <v>นายไพฑูรย์ ไกรลาศ</v>
      </c>
      <c r="D37" t="str">
        <f>VLOOKUP(A37,'Aji Plus'!$A$2:$D$58,4,0)</f>
        <v>Sa Kaeo</v>
      </c>
      <c r="E37" s="1">
        <v>150.78086205144064</v>
      </c>
      <c r="F37" s="1">
        <v>227.67407355500643</v>
      </c>
      <c r="G37" s="1">
        <v>188.11618032552209</v>
      </c>
      <c r="H37" s="1">
        <v>200.11181123100707</v>
      </c>
      <c r="I37" s="1">
        <v>298.78673293263813</v>
      </c>
      <c r="J37" s="1">
        <v>187.85412802516532</v>
      </c>
      <c r="K37" s="1">
        <v>150.20455083427746</v>
      </c>
      <c r="L37" s="1">
        <v>187.47939550058433</v>
      </c>
      <c r="M37" s="1">
        <v>256.00403360766558</v>
      </c>
      <c r="N37" s="1">
        <v>197.30726273561572</v>
      </c>
      <c r="O37" s="1">
        <v>256.20232815300903</v>
      </c>
      <c r="P37" s="1">
        <v>149.47864104806868</v>
      </c>
      <c r="R37" s="1">
        <f>VLOOKUP(A37,Actual_RDNS!$A$2:$H$62,3,0)</f>
        <v>25.5</v>
      </c>
      <c r="S37" s="1">
        <f>VLOOKUP(A37,Actual_RDNS!$A$2:$H$62,4,0)</f>
        <v>2026.4399999999998</v>
      </c>
      <c r="T37" s="1">
        <f>VLOOKUP(A37,Actual_RDNS!$A$2:$H$62,5,0)</f>
        <v>1182.2399999999998</v>
      </c>
      <c r="U37" s="122">
        <f>VLOOKUP(A37,Actual_RDNS!$A$2:$H$62,6,0)</f>
        <v>-995.39999999999986</v>
      </c>
      <c r="V37" s="1">
        <f>VLOOKUP(A37,Actual_RDNS!$A$2:$H$62,7,0)</f>
        <v>96.78</v>
      </c>
      <c r="W37" s="1">
        <f>VLOOKUP(A37,Actual_RDNS!$A$2:$H$62,8,0)</f>
        <v>403.2</v>
      </c>
      <c r="X37" s="111"/>
      <c r="Y37" s="111"/>
      <c r="Z37" s="111"/>
      <c r="AA37" s="111"/>
      <c r="AB37" s="111"/>
      <c r="AC37" s="111"/>
      <c r="AE37" s="97">
        <f t="shared" si="2"/>
        <v>0.16911960611619517</v>
      </c>
      <c r="AF37" s="97">
        <f t="shared" si="2"/>
        <v>8.9006181879132953</v>
      </c>
      <c r="AG37" s="97">
        <f t="shared" si="2"/>
        <v>6.2846268617309518</v>
      </c>
      <c r="AH37" s="123">
        <v>0</v>
      </c>
      <c r="AI37" s="97">
        <f t="shared" si="2"/>
        <v>0.32390996430828534</v>
      </c>
      <c r="AJ37" s="97">
        <f t="shared" si="2"/>
        <v>2.146346232785401</v>
      </c>
      <c r="AK37" s="99">
        <f t="shared" si="2"/>
        <v>0</v>
      </c>
      <c r="AL37" s="99">
        <f t="shared" si="2"/>
        <v>0</v>
      </c>
      <c r="AM37" s="99">
        <f t="shared" si="2"/>
        <v>0</v>
      </c>
      <c r="AN37" s="99">
        <f t="shared" si="2"/>
        <v>0</v>
      </c>
      <c r="AO37" s="99">
        <f t="shared" si="2"/>
        <v>0</v>
      </c>
      <c r="AP37" s="99">
        <f t="shared" si="2"/>
        <v>0</v>
      </c>
      <c r="AQ37" s="97"/>
      <c r="AR37" s="99">
        <f t="shared" si="3"/>
        <v>0.1691</v>
      </c>
      <c r="AS37" s="99">
        <f t="shared" si="3"/>
        <v>8.9006000000000007</v>
      </c>
      <c r="AT37" s="99">
        <f t="shared" si="3"/>
        <v>6.2846000000000002</v>
      </c>
      <c r="AU37" s="99">
        <f t="shared" si="3"/>
        <v>0</v>
      </c>
      <c r="AV37" s="99">
        <f t="shared" si="3"/>
        <v>0.32390000000000002</v>
      </c>
      <c r="AW37" s="99">
        <f t="shared" si="3"/>
        <v>2.1463000000000001</v>
      </c>
      <c r="AX37" s="99">
        <f t="shared" si="3"/>
        <v>0</v>
      </c>
      <c r="AY37" s="99">
        <f t="shared" si="3"/>
        <v>0</v>
      </c>
      <c r="AZ37" s="99">
        <f t="shared" si="3"/>
        <v>0</v>
      </c>
      <c r="BA37" s="99">
        <f t="shared" si="3"/>
        <v>0</v>
      </c>
      <c r="BB37" s="99">
        <f t="shared" si="3"/>
        <v>0</v>
      </c>
      <c r="BC37" s="99">
        <f t="shared" si="3"/>
        <v>0</v>
      </c>
      <c r="BD37" s="97"/>
      <c r="BE37" s="1">
        <f>IFERROR(VLOOKUP(AR37,'Top WS'!$A$19:$E$28,5),0)</f>
        <v>400</v>
      </c>
      <c r="BF37" s="1">
        <f>IFERROR(VLOOKUP(AS37,'Top WS'!$A$19:$E$28,5),0)</f>
        <v>520</v>
      </c>
      <c r="BG37" s="1">
        <f>IFERROR(VLOOKUP(AT37,'Top WS'!$A$19:$E$28,5),0)</f>
        <v>520</v>
      </c>
      <c r="BH37" s="1">
        <f>IFERROR(VLOOKUP(AU37,'Top WS'!$A$19:$E$28,5),0)</f>
        <v>400</v>
      </c>
      <c r="BI37" s="1">
        <f>IFERROR(VLOOKUP(AV37,'Top WS'!$A$19:$E$28,5),0)</f>
        <v>400</v>
      </c>
      <c r="BJ37" s="1">
        <f>IFERROR(VLOOKUP(AW37,'Top WS'!$A$19:$E$28,5),0)</f>
        <v>520</v>
      </c>
      <c r="BK37" s="98">
        <f>IFERROR(VLOOKUP(AX37,'Top WS'!$A$19:$E$28,5),0)</f>
        <v>400</v>
      </c>
      <c r="BL37" s="98">
        <f>IFERROR(VLOOKUP(AY37,'Top WS'!$A$19:$E$28,5),0)</f>
        <v>400</v>
      </c>
      <c r="BM37" s="98">
        <f>IFERROR(VLOOKUP(AZ37,'Top WS'!$A$19:$E$28,5),0)</f>
        <v>400</v>
      </c>
      <c r="BN37" s="98">
        <f>IFERROR(VLOOKUP(BA37,'Top WS'!$A$19:$E$28,5),0)</f>
        <v>400</v>
      </c>
      <c r="BO37" s="98">
        <f>IFERROR(VLOOKUP(BB37,'Top WS'!$A$19:$E$28,5),0)</f>
        <v>400</v>
      </c>
      <c r="BP37" s="98">
        <f>IFERROR(VLOOKUP(BC37,'Top WS'!$A$19:$E$28,5),0)</f>
        <v>400</v>
      </c>
    </row>
    <row r="38" spans="1:68" x14ac:dyDescent="0.4">
      <c r="A38">
        <v>1190043401</v>
      </c>
      <c r="B38">
        <f>VLOOKUP(A38,'Aji Plus'!$A$2:$D$58,2,0)</f>
        <v>75885</v>
      </c>
      <c r="C38" t="str">
        <f>VLOOKUP(A38,'Aji Plus'!$A$2:$D$58,3,0)</f>
        <v>นายมารุต ปราสัย</v>
      </c>
      <c r="D38" t="str">
        <f>VLOOKUP(A38,'Aji Plus'!$A$2:$D$58,4,0)</f>
        <v>Korat</v>
      </c>
      <c r="E38" s="1">
        <v>928.98465287447561</v>
      </c>
      <c r="F38" s="1">
        <v>986.15293920521253</v>
      </c>
      <c r="G38" s="1">
        <v>957.56879603984407</v>
      </c>
      <c r="H38" s="1">
        <v>1071.9053687013179</v>
      </c>
      <c r="I38" s="1">
        <v>957.56879603984407</v>
      </c>
      <c r="J38" s="1">
        <v>1186.241941362792</v>
      </c>
      <c r="K38" s="1">
        <v>1300.5785140242658</v>
      </c>
      <c r="L38" s="1">
        <v>1186.241941362792</v>
      </c>
      <c r="M38" s="1">
        <v>857.52429496105447</v>
      </c>
      <c r="N38" s="1">
        <v>1114.7815834493708</v>
      </c>
      <c r="O38" s="1">
        <v>986.15293920521253</v>
      </c>
      <c r="P38" s="1">
        <v>928.98465287447561</v>
      </c>
      <c r="R38" s="1">
        <f>VLOOKUP(A38,Actual_RDNS!$A$2:$H$62,3,0)</f>
        <v>432.54</v>
      </c>
      <c r="S38" s="1">
        <f>VLOOKUP(A38,Actual_RDNS!$A$2:$H$62,4,0)</f>
        <v>839.15999999999985</v>
      </c>
      <c r="T38" s="1">
        <f>VLOOKUP(A38,Actual_RDNS!$A$2:$H$62,5,0)</f>
        <v>254.33999999999997</v>
      </c>
      <c r="U38" s="1">
        <f>VLOOKUP(A38,Actual_RDNS!$A$2:$H$62,6,0)</f>
        <v>607.5</v>
      </c>
      <c r="V38" s="1">
        <f>VLOOKUP(A38,Actual_RDNS!$A$2:$H$62,7,0)</f>
        <v>370.79999999999995</v>
      </c>
      <c r="W38" s="1">
        <f>VLOOKUP(A38,Actual_RDNS!$A$2:$H$62,8,0)</f>
        <v>684.04</v>
      </c>
      <c r="X38" s="111"/>
      <c r="Y38" s="111"/>
      <c r="Z38" s="111"/>
      <c r="AA38" s="111"/>
      <c r="AB38" s="111"/>
      <c r="AC38" s="111"/>
      <c r="AE38" s="97">
        <f t="shared" ref="AE38:AP58" si="4">R38/E38</f>
        <v>0.46560510839617153</v>
      </c>
      <c r="AF38" s="97">
        <f t="shared" si="4"/>
        <v>0.85094306028872024</v>
      </c>
      <c r="AG38" s="97">
        <f t="shared" si="4"/>
        <v>0.26561015882290401</v>
      </c>
      <c r="AH38" s="97">
        <f t="shared" si="4"/>
        <v>0.56674779111893547</v>
      </c>
      <c r="AI38" s="97">
        <f t="shared" si="4"/>
        <v>0.38723066325207522</v>
      </c>
      <c r="AJ38" s="97">
        <f t="shared" si="4"/>
        <v>0.57664459175516369</v>
      </c>
      <c r="AK38" s="99">
        <f t="shared" si="4"/>
        <v>0</v>
      </c>
      <c r="AL38" s="99">
        <f t="shared" si="4"/>
        <v>0</v>
      </c>
      <c r="AM38" s="99">
        <f t="shared" si="4"/>
        <v>0</v>
      </c>
      <c r="AN38" s="99">
        <f t="shared" si="4"/>
        <v>0</v>
      </c>
      <c r="AO38" s="99">
        <f t="shared" si="4"/>
        <v>0</v>
      </c>
      <c r="AP38" s="99">
        <f t="shared" si="4"/>
        <v>0</v>
      </c>
      <c r="AQ38" s="97"/>
      <c r="AR38" s="99">
        <f t="shared" ref="AR38:BC58" si="5">ROUND(AE38,4)</f>
        <v>0.46560000000000001</v>
      </c>
      <c r="AS38" s="99">
        <f t="shared" si="5"/>
        <v>0.85089999999999999</v>
      </c>
      <c r="AT38" s="99">
        <f t="shared" si="5"/>
        <v>0.2656</v>
      </c>
      <c r="AU38" s="99">
        <f t="shared" si="5"/>
        <v>0.56669999999999998</v>
      </c>
      <c r="AV38" s="99">
        <f t="shared" si="5"/>
        <v>0.38719999999999999</v>
      </c>
      <c r="AW38" s="99">
        <f t="shared" si="5"/>
        <v>0.5766</v>
      </c>
      <c r="AX38" s="99">
        <f t="shared" si="5"/>
        <v>0</v>
      </c>
      <c r="AY38" s="99">
        <f t="shared" si="5"/>
        <v>0</v>
      </c>
      <c r="AZ38" s="99">
        <f t="shared" si="5"/>
        <v>0</v>
      </c>
      <c r="BA38" s="99">
        <f t="shared" si="5"/>
        <v>0</v>
      </c>
      <c r="BB38" s="99">
        <f t="shared" si="5"/>
        <v>0</v>
      </c>
      <c r="BC38" s="99">
        <f t="shared" si="5"/>
        <v>0</v>
      </c>
      <c r="BD38" s="97"/>
      <c r="BE38" s="1">
        <f>IFERROR(VLOOKUP(AR38,'Top WS'!$A$19:$E$28,5),0)</f>
        <v>400</v>
      </c>
      <c r="BF38" s="1">
        <f>IFERROR(VLOOKUP(AS38,'Top WS'!$A$19:$E$28,5),0)</f>
        <v>400</v>
      </c>
      <c r="BG38" s="1">
        <f>IFERROR(VLOOKUP(AT38,'Top WS'!$A$19:$E$28,5),0)</f>
        <v>400</v>
      </c>
      <c r="BH38" s="1">
        <f>IFERROR(VLOOKUP(AU38,'Top WS'!$A$19:$E$28,5),0)</f>
        <v>400</v>
      </c>
      <c r="BI38" s="1">
        <f>IFERROR(VLOOKUP(AV38,'Top WS'!$A$19:$E$28,5),0)</f>
        <v>400</v>
      </c>
      <c r="BJ38" s="1">
        <f>IFERROR(VLOOKUP(AW38,'Top WS'!$A$19:$E$28,5),0)</f>
        <v>400</v>
      </c>
      <c r="BK38" s="98">
        <f>IFERROR(VLOOKUP(AX38,'Top WS'!$A$19:$E$28,5),0)</f>
        <v>400</v>
      </c>
      <c r="BL38" s="98">
        <f>IFERROR(VLOOKUP(AY38,'Top WS'!$A$19:$E$28,5),0)</f>
        <v>400</v>
      </c>
      <c r="BM38" s="98">
        <f>IFERROR(VLOOKUP(AZ38,'Top WS'!$A$19:$E$28,5),0)</f>
        <v>400</v>
      </c>
      <c r="BN38" s="98">
        <f>IFERROR(VLOOKUP(BA38,'Top WS'!$A$19:$E$28,5),0)</f>
        <v>400</v>
      </c>
      <c r="BO38" s="98">
        <f>IFERROR(VLOOKUP(BB38,'Top WS'!$A$19:$E$28,5),0)</f>
        <v>400</v>
      </c>
      <c r="BP38" s="98">
        <f>IFERROR(VLOOKUP(BC38,'Top WS'!$A$19:$E$28,5),0)</f>
        <v>400</v>
      </c>
    </row>
    <row r="39" spans="1:68" x14ac:dyDescent="0.4">
      <c r="A39">
        <v>1190043402</v>
      </c>
      <c r="B39">
        <f>VLOOKUP(A39,'Aji Plus'!$A$2:$D$58,2,0)</f>
        <v>63707</v>
      </c>
      <c r="C39" t="str">
        <f>VLOOKUP(A39,'Aji Plus'!$A$2:$D$58,3,0)</f>
        <v>นายเกิดศักดิ์ คำศรี</v>
      </c>
      <c r="D39" t="str">
        <f>VLOOKUP(A39,'Aji Plus'!$A$2:$D$58,4,0)</f>
        <v>Korat</v>
      </c>
      <c r="E39" s="1">
        <v>946.47406272185617</v>
      </c>
      <c r="F39" s="1">
        <v>1004.7186204278165</v>
      </c>
      <c r="G39" s="1">
        <v>975.59634157483629</v>
      </c>
      <c r="H39" s="1">
        <v>1092.085456986757</v>
      </c>
      <c r="I39" s="1">
        <v>975.59634157483629</v>
      </c>
      <c r="J39" s="1">
        <v>1208.5745723986779</v>
      </c>
      <c r="K39" s="1">
        <v>1325.0636878105986</v>
      </c>
      <c r="L39" s="1">
        <v>1208.5745723986779</v>
      </c>
      <c r="M39" s="1">
        <v>873.66836558940577</v>
      </c>
      <c r="N39" s="1">
        <v>1135.7688752662275</v>
      </c>
      <c r="O39" s="1">
        <v>1004.7186204278165</v>
      </c>
      <c r="P39" s="1">
        <v>946.47406272185617</v>
      </c>
      <c r="R39" s="1">
        <f>VLOOKUP(A39,Actual_RDNS!$A$2:$H$62,3,0)</f>
        <v>495.78</v>
      </c>
      <c r="S39" s="1">
        <f>VLOOKUP(A39,Actual_RDNS!$A$2:$H$62,4,0)</f>
        <v>1168.0200000000002</v>
      </c>
      <c r="T39" s="1">
        <f>VLOOKUP(A39,Actual_RDNS!$A$2:$H$62,5,0)</f>
        <v>275.08</v>
      </c>
      <c r="U39" s="1">
        <f>VLOOKUP(A39,Actual_RDNS!$A$2:$H$62,6,0)</f>
        <v>383.76</v>
      </c>
      <c r="V39" s="1">
        <f>VLOOKUP(A39,Actual_RDNS!$A$2:$H$62,7,0)</f>
        <v>267.3</v>
      </c>
      <c r="W39" s="1">
        <f>VLOOKUP(A39,Actual_RDNS!$A$2:$H$62,8,0)</f>
        <v>526.5</v>
      </c>
      <c r="X39" s="111"/>
      <c r="Y39" s="111"/>
      <c r="Z39" s="111"/>
      <c r="AA39" s="111"/>
      <c r="AB39" s="111"/>
      <c r="AC39" s="111"/>
      <c r="AE39" s="97">
        <f t="shared" si="4"/>
        <v>0.52381784089702699</v>
      </c>
      <c r="AF39" s="97">
        <f t="shared" si="4"/>
        <v>1.1625344412375365</v>
      </c>
      <c r="AG39" s="97">
        <f t="shared" si="4"/>
        <v>0.28196087692985583</v>
      </c>
      <c r="AH39" s="97">
        <f t="shared" si="4"/>
        <v>0.35140107172460372</v>
      </c>
      <c r="AI39" s="97">
        <f t="shared" si="4"/>
        <v>0.2739862672798839</v>
      </c>
      <c r="AJ39" s="97">
        <f t="shared" si="4"/>
        <v>0.43563716466005631</v>
      </c>
      <c r="AK39" s="99">
        <f t="shared" si="4"/>
        <v>0</v>
      </c>
      <c r="AL39" s="99">
        <f t="shared" si="4"/>
        <v>0</v>
      </c>
      <c r="AM39" s="99">
        <f t="shared" si="4"/>
        <v>0</v>
      </c>
      <c r="AN39" s="99">
        <f t="shared" si="4"/>
        <v>0</v>
      </c>
      <c r="AO39" s="99">
        <f t="shared" si="4"/>
        <v>0</v>
      </c>
      <c r="AP39" s="99">
        <f t="shared" si="4"/>
        <v>0</v>
      </c>
      <c r="AQ39" s="97"/>
      <c r="AR39" s="99">
        <f t="shared" si="5"/>
        <v>0.52380000000000004</v>
      </c>
      <c r="AS39" s="99">
        <f t="shared" si="5"/>
        <v>1.1625000000000001</v>
      </c>
      <c r="AT39" s="99">
        <f t="shared" si="5"/>
        <v>0.28199999999999997</v>
      </c>
      <c r="AU39" s="99">
        <f t="shared" si="5"/>
        <v>0.35139999999999999</v>
      </c>
      <c r="AV39" s="99">
        <f t="shared" si="5"/>
        <v>0.27400000000000002</v>
      </c>
      <c r="AW39" s="99">
        <f t="shared" si="5"/>
        <v>0.43559999999999999</v>
      </c>
      <c r="AX39" s="99">
        <f t="shared" si="5"/>
        <v>0</v>
      </c>
      <c r="AY39" s="99">
        <f t="shared" si="5"/>
        <v>0</v>
      </c>
      <c r="AZ39" s="99">
        <f t="shared" si="5"/>
        <v>0</v>
      </c>
      <c r="BA39" s="99">
        <f t="shared" si="5"/>
        <v>0</v>
      </c>
      <c r="BB39" s="99">
        <f t="shared" si="5"/>
        <v>0</v>
      </c>
      <c r="BC39" s="99">
        <f t="shared" si="5"/>
        <v>0</v>
      </c>
      <c r="BD39" s="97"/>
      <c r="BE39" s="1">
        <f>IFERROR(VLOOKUP(AR39,'Top WS'!$A$19:$E$28,5),0)</f>
        <v>400</v>
      </c>
      <c r="BF39" s="1">
        <f>IFERROR(VLOOKUP(AS39,'Top WS'!$A$19:$E$28,5),0)</f>
        <v>480</v>
      </c>
      <c r="BG39" s="1">
        <f>IFERROR(VLOOKUP(AT39,'Top WS'!$A$19:$E$28,5),0)</f>
        <v>400</v>
      </c>
      <c r="BH39" s="1">
        <f>IFERROR(VLOOKUP(AU39,'Top WS'!$A$19:$E$28,5),0)</f>
        <v>400</v>
      </c>
      <c r="BI39" s="1">
        <f>IFERROR(VLOOKUP(AV39,'Top WS'!$A$19:$E$28,5),0)</f>
        <v>400</v>
      </c>
      <c r="BJ39" s="1">
        <f>IFERROR(VLOOKUP(AW39,'Top WS'!$A$19:$E$28,5),0)</f>
        <v>400</v>
      </c>
      <c r="BK39" s="98">
        <f>IFERROR(VLOOKUP(AX39,'Top WS'!$A$19:$E$28,5),0)</f>
        <v>400</v>
      </c>
      <c r="BL39" s="98">
        <f>IFERROR(VLOOKUP(AY39,'Top WS'!$A$19:$E$28,5),0)</f>
        <v>400</v>
      </c>
      <c r="BM39" s="98">
        <f>IFERROR(VLOOKUP(AZ39,'Top WS'!$A$19:$E$28,5),0)</f>
        <v>400</v>
      </c>
      <c r="BN39" s="98">
        <f>IFERROR(VLOOKUP(BA39,'Top WS'!$A$19:$E$28,5),0)</f>
        <v>400</v>
      </c>
      <c r="BO39" s="98">
        <f>IFERROR(VLOOKUP(BB39,'Top WS'!$A$19:$E$28,5),0)</f>
        <v>400</v>
      </c>
      <c r="BP39" s="98">
        <f>IFERROR(VLOOKUP(BC39,'Top WS'!$A$19:$E$28,5),0)</f>
        <v>400</v>
      </c>
    </row>
    <row r="40" spans="1:68" x14ac:dyDescent="0.4">
      <c r="A40">
        <v>1190043501</v>
      </c>
      <c r="B40">
        <f>VLOOKUP(A40,'Aji Plus'!$A$2:$D$58,2,0)</f>
        <v>76645</v>
      </c>
      <c r="C40" t="str">
        <f>VLOOKUP(A40,'Aji Plus'!$A$2:$D$58,3,0)</f>
        <v>นายอัครวินท์ เปลื้องทุกข์</v>
      </c>
      <c r="D40" t="str">
        <f>VLOOKUP(A40,'Aji Plus'!$A$2:$D$58,4,0)</f>
        <v>Ubolratchathani</v>
      </c>
      <c r="E40" s="1">
        <v>853.6615729116802</v>
      </c>
      <c r="F40" s="1">
        <v>906.19459278316822</v>
      </c>
      <c r="G40" s="1">
        <v>879.92808284742421</v>
      </c>
      <c r="H40" s="1">
        <v>984.99412259040025</v>
      </c>
      <c r="I40" s="1">
        <v>879.92808284742421</v>
      </c>
      <c r="J40" s="1">
        <v>1090.0601623333764</v>
      </c>
      <c r="K40" s="1">
        <v>1195.1262020763525</v>
      </c>
      <c r="L40" s="1">
        <v>1090.0601623333764</v>
      </c>
      <c r="M40" s="1">
        <v>787.99529807232034</v>
      </c>
      <c r="N40" s="1">
        <v>1024.3938874940163</v>
      </c>
      <c r="O40" s="1">
        <v>906.19459278316822</v>
      </c>
      <c r="P40" s="1">
        <v>853.6615729116802</v>
      </c>
      <c r="R40" s="1">
        <f>VLOOKUP(A40,Actual_RDNS!$A$2:$H$62,3,0)</f>
        <v>372.41999999999996</v>
      </c>
      <c r="S40" s="1">
        <f>VLOOKUP(A40,Actual_RDNS!$A$2:$H$62,4,0)</f>
        <v>764.64000000000021</v>
      </c>
      <c r="T40" s="1">
        <f>VLOOKUP(A40,Actual_RDNS!$A$2:$H$62,5,0)</f>
        <v>255.95999999999998</v>
      </c>
      <c r="U40" s="1">
        <f>VLOOKUP(A40,Actual_RDNS!$A$2:$H$62,6,0)</f>
        <v>484.37999999999994</v>
      </c>
      <c r="V40" s="1">
        <f>VLOOKUP(A40,Actual_RDNS!$A$2:$H$62,7,0)</f>
        <v>321.29999999999995</v>
      </c>
      <c r="W40" s="1">
        <f>VLOOKUP(A40,Actual_RDNS!$A$2:$H$62,8,0)</f>
        <v>395.46</v>
      </c>
      <c r="X40" s="111"/>
      <c r="Y40" s="111"/>
      <c r="Z40" s="111"/>
      <c r="AA40" s="111"/>
      <c r="AB40" s="111"/>
      <c r="AC40" s="111"/>
      <c r="AE40" s="97">
        <f t="shared" si="4"/>
        <v>0.43626187685799761</v>
      </c>
      <c r="AF40" s="97">
        <f t="shared" si="4"/>
        <v>0.84379227826948777</v>
      </c>
      <c r="AG40" s="97">
        <f t="shared" si="4"/>
        <v>0.29088740885700581</v>
      </c>
      <c r="AH40" s="97">
        <f t="shared" si="4"/>
        <v>0.49175927946264958</v>
      </c>
      <c r="AI40" s="97">
        <f t="shared" si="4"/>
        <v>0.36514347736269714</v>
      </c>
      <c r="AJ40" s="97">
        <f t="shared" si="4"/>
        <v>0.36278731547576293</v>
      </c>
      <c r="AK40" s="99">
        <f t="shared" si="4"/>
        <v>0</v>
      </c>
      <c r="AL40" s="99">
        <f t="shared" si="4"/>
        <v>0</v>
      </c>
      <c r="AM40" s="99">
        <f t="shared" si="4"/>
        <v>0</v>
      </c>
      <c r="AN40" s="99">
        <f t="shared" si="4"/>
        <v>0</v>
      </c>
      <c r="AO40" s="99">
        <f t="shared" si="4"/>
        <v>0</v>
      </c>
      <c r="AP40" s="99">
        <f t="shared" si="4"/>
        <v>0</v>
      </c>
      <c r="AQ40" s="97"/>
      <c r="AR40" s="99">
        <f t="shared" si="5"/>
        <v>0.43630000000000002</v>
      </c>
      <c r="AS40" s="99">
        <f t="shared" si="5"/>
        <v>0.84379999999999999</v>
      </c>
      <c r="AT40" s="99">
        <f t="shared" si="5"/>
        <v>0.29089999999999999</v>
      </c>
      <c r="AU40" s="99">
        <f t="shared" si="5"/>
        <v>0.49180000000000001</v>
      </c>
      <c r="AV40" s="99">
        <f t="shared" si="5"/>
        <v>0.36509999999999998</v>
      </c>
      <c r="AW40" s="99">
        <f t="shared" si="5"/>
        <v>0.36280000000000001</v>
      </c>
      <c r="AX40" s="99">
        <f t="shared" si="5"/>
        <v>0</v>
      </c>
      <c r="AY40" s="99">
        <f t="shared" si="5"/>
        <v>0</v>
      </c>
      <c r="AZ40" s="99">
        <f t="shared" si="5"/>
        <v>0</v>
      </c>
      <c r="BA40" s="99">
        <f t="shared" si="5"/>
        <v>0</v>
      </c>
      <c r="BB40" s="99">
        <f t="shared" si="5"/>
        <v>0</v>
      </c>
      <c r="BC40" s="99">
        <f t="shared" si="5"/>
        <v>0</v>
      </c>
      <c r="BD40" s="97"/>
      <c r="BE40" s="1">
        <f>IFERROR(VLOOKUP(AR40,'Top WS'!$A$19:$E$28,5),0)</f>
        <v>400</v>
      </c>
      <c r="BF40" s="1">
        <f>IFERROR(VLOOKUP(AS40,'Top WS'!$A$19:$E$28,5),0)</f>
        <v>400</v>
      </c>
      <c r="BG40" s="1">
        <f>IFERROR(VLOOKUP(AT40,'Top WS'!$A$19:$E$28,5),0)</f>
        <v>400</v>
      </c>
      <c r="BH40" s="1">
        <f>IFERROR(VLOOKUP(AU40,'Top WS'!$A$19:$E$28,5),0)</f>
        <v>400</v>
      </c>
      <c r="BI40" s="1">
        <f>IFERROR(VLOOKUP(AV40,'Top WS'!$A$19:$E$28,5),0)</f>
        <v>400</v>
      </c>
      <c r="BJ40" s="1">
        <f>IFERROR(VLOOKUP(AW40,'Top WS'!$A$19:$E$28,5),0)</f>
        <v>400</v>
      </c>
      <c r="BK40" s="98">
        <f>IFERROR(VLOOKUP(AX40,'Top WS'!$A$19:$E$28,5),0)</f>
        <v>400</v>
      </c>
      <c r="BL40" s="98">
        <f>IFERROR(VLOOKUP(AY40,'Top WS'!$A$19:$E$28,5),0)</f>
        <v>400</v>
      </c>
      <c r="BM40" s="98">
        <f>IFERROR(VLOOKUP(AZ40,'Top WS'!$A$19:$E$28,5),0)</f>
        <v>400</v>
      </c>
      <c r="BN40" s="98">
        <f>IFERROR(VLOOKUP(BA40,'Top WS'!$A$19:$E$28,5),0)</f>
        <v>400</v>
      </c>
      <c r="BO40" s="98">
        <f>IFERROR(VLOOKUP(BB40,'Top WS'!$A$19:$E$28,5),0)</f>
        <v>400</v>
      </c>
      <c r="BP40" s="98">
        <f>IFERROR(VLOOKUP(BC40,'Top WS'!$A$19:$E$28,5),0)</f>
        <v>400</v>
      </c>
    </row>
    <row r="41" spans="1:68" x14ac:dyDescent="0.4">
      <c r="A41">
        <v>1190043502</v>
      </c>
      <c r="B41">
        <f>VLOOKUP(A41,'Aji Plus'!$A$2:$D$58,2,0)</f>
        <v>26006</v>
      </c>
      <c r="C41" t="str">
        <f>VLOOKUP(A41,'Aji Plus'!$A$2:$D$58,3,0)</f>
        <v>นายกสิณวัชรฒ์ วงศ์กุลโชติ</v>
      </c>
      <c r="D41" t="str">
        <f>VLOOKUP(A41,'Aji Plus'!$A$2:$D$58,4,0)</f>
        <v>Ubolratchathani</v>
      </c>
      <c r="E41" s="1">
        <v>869.73292250116515</v>
      </c>
      <c r="F41" s="1">
        <v>923.25494850123675</v>
      </c>
      <c r="G41" s="1">
        <v>896.49393550120089</v>
      </c>
      <c r="H41" s="1">
        <v>1003.5379875013443</v>
      </c>
      <c r="I41" s="1">
        <v>896.49393550120089</v>
      </c>
      <c r="J41" s="1">
        <v>1110.5820395014878</v>
      </c>
      <c r="K41" s="1">
        <v>1217.6260915016312</v>
      </c>
      <c r="L41" s="1">
        <v>1110.5820395014878</v>
      </c>
      <c r="M41" s="1">
        <v>802.83039000107556</v>
      </c>
      <c r="N41" s="1">
        <v>1043.6795070013982</v>
      </c>
      <c r="O41" s="1">
        <v>923.25494850123675</v>
      </c>
      <c r="P41" s="1">
        <v>869.73292250116515</v>
      </c>
      <c r="R41" s="1">
        <f>VLOOKUP(A41,Actual_RDNS!$A$2:$H$62,3,0)</f>
        <v>813.29000000000019</v>
      </c>
      <c r="S41" s="1">
        <f>VLOOKUP(A41,Actual_RDNS!$A$2:$H$62,4,0)</f>
        <v>1143.69</v>
      </c>
      <c r="T41" s="1">
        <f>VLOOKUP(A41,Actual_RDNS!$A$2:$H$62,5,0)</f>
        <v>389.81999999999994</v>
      </c>
      <c r="U41" s="1">
        <f>VLOOKUP(A41,Actual_RDNS!$A$2:$H$62,6,0)</f>
        <v>339.19999999999993</v>
      </c>
      <c r="V41" s="1">
        <f>VLOOKUP(A41,Actual_RDNS!$A$2:$H$62,7,0)</f>
        <v>367.36</v>
      </c>
      <c r="W41" s="1">
        <f>VLOOKUP(A41,Actual_RDNS!$A$2:$H$62,8,0)</f>
        <v>418.97999999999996</v>
      </c>
      <c r="X41" s="111"/>
      <c r="Y41" s="111"/>
      <c r="Z41" s="111"/>
      <c r="AA41" s="111"/>
      <c r="AB41" s="111"/>
      <c r="AC41" s="111"/>
      <c r="AE41" s="97">
        <f t="shared" si="4"/>
        <v>0.93510315518602283</v>
      </c>
      <c r="AF41" s="97">
        <f t="shared" si="4"/>
        <v>1.2387585919323865</v>
      </c>
      <c r="AG41" s="97">
        <f t="shared" si="4"/>
        <v>0.43482725823690499</v>
      </c>
      <c r="AH41" s="97">
        <f t="shared" si="4"/>
        <v>0.33800414555761454</v>
      </c>
      <c r="AI41" s="97">
        <f t="shared" si="4"/>
        <v>0.40977410493537902</v>
      </c>
      <c r="AJ41" s="97">
        <f t="shared" si="4"/>
        <v>0.37726163858013545</v>
      </c>
      <c r="AK41" s="99">
        <f t="shared" si="4"/>
        <v>0</v>
      </c>
      <c r="AL41" s="99">
        <f t="shared" si="4"/>
        <v>0</v>
      </c>
      <c r="AM41" s="99">
        <f t="shared" si="4"/>
        <v>0</v>
      </c>
      <c r="AN41" s="99">
        <f t="shared" si="4"/>
        <v>0</v>
      </c>
      <c r="AO41" s="99">
        <f t="shared" si="4"/>
        <v>0</v>
      </c>
      <c r="AP41" s="99">
        <f t="shared" si="4"/>
        <v>0</v>
      </c>
      <c r="AQ41" s="97"/>
      <c r="AR41" s="99">
        <f t="shared" si="5"/>
        <v>0.93510000000000004</v>
      </c>
      <c r="AS41" s="99">
        <f t="shared" si="5"/>
        <v>1.2387999999999999</v>
      </c>
      <c r="AT41" s="99">
        <f t="shared" si="5"/>
        <v>0.43480000000000002</v>
      </c>
      <c r="AU41" s="99">
        <f t="shared" si="5"/>
        <v>0.33800000000000002</v>
      </c>
      <c r="AV41" s="99">
        <f t="shared" si="5"/>
        <v>0.4098</v>
      </c>
      <c r="AW41" s="99">
        <f t="shared" si="5"/>
        <v>0.37730000000000002</v>
      </c>
      <c r="AX41" s="99">
        <f t="shared" si="5"/>
        <v>0</v>
      </c>
      <c r="AY41" s="99">
        <f t="shared" si="5"/>
        <v>0</v>
      </c>
      <c r="AZ41" s="99">
        <f t="shared" si="5"/>
        <v>0</v>
      </c>
      <c r="BA41" s="99">
        <f t="shared" si="5"/>
        <v>0</v>
      </c>
      <c r="BB41" s="99">
        <f t="shared" si="5"/>
        <v>0</v>
      </c>
      <c r="BC41" s="99">
        <f t="shared" si="5"/>
        <v>0</v>
      </c>
      <c r="BD41" s="97"/>
      <c r="BE41" s="1">
        <f>IFERROR(VLOOKUP(AR41,'Top WS'!$A$19:$E$28,5),0)</f>
        <v>400</v>
      </c>
      <c r="BF41" s="1">
        <f>IFERROR(VLOOKUP(AS41,'Top WS'!$A$19:$E$28,5),0)</f>
        <v>520</v>
      </c>
      <c r="BG41" s="1">
        <f>IFERROR(VLOOKUP(AT41,'Top WS'!$A$19:$E$28,5),0)</f>
        <v>400</v>
      </c>
      <c r="BH41" s="1">
        <f>IFERROR(VLOOKUP(AU41,'Top WS'!$A$19:$E$28,5),0)</f>
        <v>400</v>
      </c>
      <c r="BI41" s="1">
        <f>IFERROR(VLOOKUP(AV41,'Top WS'!$A$19:$E$28,5),0)</f>
        <v>400</v>
      </c>
      <c r="BJ41" s="1">
        <f>IFERROR(VLOOKUP(AW41,'Top WS'!$A$19:$E$28,5),0)</f>
        <v>400</v>
      </c>
      <c r="BK41" s="98">
        <f>IFERROR(VLOOKUP(AX41,'Top WS'!$A$19:$E$28,5),0)</f>
        <v>400</v>
      </c>
      <c r="BL41" s="98">
        <f>IFERROR(VLOOKUP(AY41,'Top WS'!$A$19:$E$28,5),0)</f>
        <v>400</v>
      </c>
      <c r="BM41" s="98">
        <f>IFERROR(VLOOKUP(AZ41,'Top WS'!$A$19:$E$28,5),0)</f>
        <v>400</v>
      </c>
      <c r="BN41" s="98">
        <f>IFERROR(VLOOKUP(BA41,'Top WS'!$A$19:$E$28,5),0)</f>
        <v>400</v>
      </c>
      <c r="BO41" s="98">
        <f>IFERROR(VLOOKUP(BB41,'Top WS'!$A$19:$E$28,5),0)</f>
        <v>400</v>
      </c>
      <c r="BP41" s="98">
        <f>IFERROR(VLOOKUP(BC41,'Top WS'!$A$19:$E$28,5),0)</f>
        <v>400</v>
      </c>
    </row>
    <row r="42" spans="1:68" x14ac:dyDescent="0.4">
      <c r="A42">
        <v>1190043601</v>
      </c>
      <c r="B42">
        <f>VLOOKUP(A42,'Aji Plus'!$A$2:$D$58,2,0)</f>
        <v>77489</v>
      </c>
      <c r="C42" t="str">
        <f>VLOOKUP(A42,'Aji Plus'!$A$2:$D$58,3,0)</f>
        <v>นายสุริยันต์ จันทร์คำพา</v>
      </c>
      <c r="D42" t="str">
        <f>VLOOKUP(A42,'Aji Plus'!$A$2:$D$58,4,0)</f>
        <v>Roi-et</v>
      </c>
      <c r="E42" s="1">
        <v>196.43820831084727</v>
      </c>
      <c r="F42" s="1">
        <v>208.52671343766866</v>
      </c>
      <c r="G42" s="1">
        <v>202.48246087425798</v>
      </c>
      <c r="H42" s="1">
        <v>226.6594711279007</v>
      </c>
      <c r="I42" s="1">
        <v>202.48246087425798</v>
      </c>
      <c r="J42" s="1">
        <v>250.83648138154345</v>
      </c>
      <c r="K42" s="1">
        <v>275.0134916351862</v>
      </c>
      <c r="L42" s="1">
        <v>250.83648138154345</v>
      </c>
      <c r="M42" s="1">
        <v>181.32757690232057</v>
      </c>
      <c r="N42" s="1">
        <v>235.72584997301675</v>
      </c>
      <c r="O42" s="1">
        <v>208.52671343766866</v>
      </c>
      <c r="P42" s="1">
        <v>196.43820831084727</v>
      </c>
      <c r="R42" s="1">
        <f>VLOOKUP(A42,Actual_RDNS!$A$2:$H$62,3,0)</f>
        <v>161.09999999999997</v>
      </c>
      <c r="S42" s="1">
        <f>VLOOKUP(A42,Actual_RDNS!$A$2:$H$62,4,0)</f>
        <v>889.2</v>
      </c>
      <c r="T42" s="1">
        <f>VLOOKUP(A42,Actual_RDNS!$A$2:$H$62,5,0)</f>
        <v>219.6</v>
      </c>
      <c r="U42" s="1">
        <f>VLOOKUP(A42,Actual_RDNS!$A$2:$H$62,6,0)</f>
        <v>203.22</v>
      </c>
      <c r="V42" s="1">
        <f>VLOOKUP(A42,Actual_RDNS!$A$2:$H$62,7,0)</f>
        <v>146.16</v>
      </c>
      <c r="W42" s="1">
        <f>VLOOKUP(A42,Actual_RDNS!$A$2:$H$62,8,0)</f>
        <v>506.34</v>
      </c>
      <c r="X42" s="111"/>
      <c r="Y42" s="111"/>
      <c r="Z42" s="111"/>
      <c r="AA42" s="111"/>
      <c r="AB42" s="111"/>
      <c r="AC42" s="111"/>
      <c r="AE42" s="97">
        <f t="shared" si="4"/>
        <v>0.82010521978021966</v>
      </c>
      <c r="AF42" s="97">
        <f t="shared" si="4"/>
        <v>4.2642018633540371</v>
      </c>
      <c r="AG42" s="97">
        <f t="shared" si="4"/>
        <v>1.0845383795309167</v>
      </c>
      <c r="AH42" s="97">
        <f t="shared" si="4"/>
        <v>0.8965872857142857</v>
      </c>
      <c r="AI42" s="97">
        <f t="shared" si="4"/>
        <v>0.72184029850746256</v>
      </c>
      <c r="AJ42" s="97">
        <f t="shared" si="4"/>
        <v>2.0186058950086059</v>
      </c>
      <c r="AK42" s="99">
        <f t="shared" si="4"/>
        <v>0</v>
      </c>
      <c r="AL42" s="99">
        <f t="shared" si="4"/>
        <v>0</v>
      </c>
      <c r="AM42" s="99">
        <f t="shared" si="4"/>
        <v>0</v>
      </c>
      <c r="AN42" s="99">
        <f t="shared" si="4"/>
        <v>0</v>
      </c>
      <c r="AO42" s="99">
        <f t="shared" si="4"/>
        <v>0</v>
      </c>
      <c r="AP42" s="99">
        <f t="shared" si="4"/>
        <v>0</v>
      </c>
      <c r="AQ42" s="97"/>
      <c r="AR42" s="99">
        <f t="shared" si="5"/>
        <v>0.82010000000000005</v>
      </c>
      <c r="AS42" s="99">
        <f t="shared" si="5"/>
        <v>4.2641999999999998</v>
      </c>
      <c r="AT42" s="99">
        <f t="shared" si="5"/>
        <v>1.0845</v>
      </c>
      <c r="AU42" s="99">
        <f t="shared" si="5"/>
        <v>0.89659999999999995</v>
      </c>
      <c r="AV42" s="99">
        <f t="shared" si="5"/>
        <v>0.7218</v>
      </c>
      <c r="AW42" s="99">
        <f t="shared" si="5"/>
        <v>2.0186000000000002</v>
      </c>
      <c r="AX42" s="99">
        <f t="shared" si="5"/>
        <v>0</v>
      </c>
      <c r="AY42" s="99">
        <f t="shared" si="5"/>
        <v>0</v>
      </c>
      <c r="AZ42" s="99">
        <f t="shared" si="5"/>
        <v>0</v>
      </c>
      <c r="BA42" s="99">
        <f t="shared" si="5"/>
        <v>0</v>
      </c>
      <c r="BB42" s="99">
        <f t="shared" si="5"/>
        <v>0</v>
      </c>
      <c r="BC42" s="99">
        <f t="shared" si="5"/>
        <v>0</v>
      </c>
      <c r="BD42" s="97"/>
      <c r="BE42" s="1">
        <f>IFERROR(VLOOKUP(AR42,'Top WS'!$A$19:$E$28,5),0)</f>
        <v>400</v>
      </c>
      <c r="BF42" s="1">
        <f>IFERROR(VLOOKUP(AS42,'Top WS'!$A$19:$E$28,5),0)</f>
        <v>520</v>
      </c>
      <c r="BG42" s="1">
        <f>IFERROR(VLOOKUP(AT42,'Top WS'!$A$19:$E$28,5),0)</f>
        <v>440</v>
      </c>
      <c r="BH42" s="1">
        <f>IFERROR(VLOOKUP(AU42,'Top WS'!$A$19:$E$28,5),0)</f>
        <v>400</v>
      </c>
      <c r="BI42" s="1">
        <f>IFERROR(VLOOKUP(AV42,'Top WS'!$A$19:$E$28,5),0)</f>
        <v>400</v>
      </c>
      <c r="BJ42" s="1">
        <f>IFERROR(VLOOKUP(AW42,'Top WS'!$A$19:$E$28,5),0)</f>
        <v>520</v>
      </c>
      <c r="BK42" s="98">
        <f>IFERROR(VLOOKUP(AX42,'Top WS'!$A$19:$E$28,5),0)</f>
        <v>400</v>
      </c>
      <c r="BL42" s="98">
        <f>IFERROR(VLOOKUP(AY42,'Top WS'!$A$19:$E$28,5),0)</f>
        <v>400</v>
      </c>
      <c r="BM42" s="98">
        <f>IFERROR(VLOOKUP(AZ42,'Top WS'!$A$19:$E$28,5),0)</f>
        <v>400</v>
      </c>
      <c r="BN42" s="98">
        <f>IFERROR(VLOOKUP(BA42,'Top WS'!$A$19:$E$28,5),0)</f>
        <v>400</v>
      </c>
      <c r="BO42" s="98">
        <f>IFERROR(VLOOKUP(BB42,'Top WS'!$A$19:$E$28,5),0)</f>
        <v>400</v>
      </c>
      <c r="BP42" s="98">
        <f>IFERROR(VLOOKUP(BC42,'Top WS'!$A$19:$E$28,5),0)</f>
        <v>400</v>
      </c>
    </row>
    <row r="43" spans="1:68" x14ac:dyDescent="0.4">
      <c r="A43">
        <v>1190043602</v>
      </c>
      <c r="B43">
        <f>VLOOKUP(A43,'Aji Plus'!$A$2:$D$58,2,0)</f>
        <v>70403</v>
      </c>
      <c r="C43" t="str">
        <f>VLOOKUP(A43,'Aji Plus'!$A$2:$D$58,3,0)</f>
        <v>นายเดชา ปะโพธิ์ชะกัง</v>
      </c>
      <c r="D43" t="str">
        <f>VLOOKUP(A43,'Aji Plus'!$A$2:$D$58,4,0)</f>
        <v>Roi-et</v>
      </c>
      <c r="E43" s="1">
        <v>471.45169994603344</v>
      </c>
      <c r="F43" s="1">
        <v>500.46411225040475</v>
      </c>
      <c r="G43" s="1">
        <v>485.9579060982191</v>
      </c>
      <c r="H43" s="1">
        <v>543.98273070696166</v>
      </c>
      <c r="I43" s="1">
        <v>485.9579060982191</v>
      </c>
      <c r="J43" s="1">
        <v>602.00755531570428</v>
      </c>
      <c r="K43" s="1">
        <v>660.0323799244469</v>
      </c>
      <c r="L43" s="1">
        <v>602.00755531570428</v>
      </c>
      <c r="M43" s="1">
        <v>435.18618456556936</v>
      </c>
      <c r="N43" s="1">
        <v>565.7420399352402</v>
      </c>
      <c r="O43" s="1">
        <v>500.46411225040475</v>
      </c>
      <c r="P43" s="1">
        <v>471.45169994603344</v>
      </c>
      <c r="R43" s="1">
        <f>VLOOKUP(A43,Actual_RDNS!$A$2:$H$62,3,0)</f>
        <v>352.43999999999994</v>
      </c>
      <c r="S43" s="1">
        <f>VLOOKUP(A43,Actual_RDNS!$A$2:$H$62,4,0)</f>
        <v>903.96000000000038</v>
      </c>
      <c r="T43" s="1">
        <f>VLOOKUP(A43,Actual_RDNS!$A$2:$H$62,5,0)</f>
        <v>245.51999999999998</v>
      </c>
      <c r="U43" s="1">
        <f>VLOOKUP(A43,Actual_RDNS!$A$2:$H$62,6,0)</f>
        <v>604.43999999999994</v>
      </c>
      <c r="V43" s="1">
        <f>VLOOKUP(A43,Actual_RDNS!$A$2:$H$62,7,0)</f>
        <v>504.35999999999996</v>
      </c>
      <c r="W43" s="1">
        <f>VLOOKUP(A43,Actual_RDNS!$A$2:$H$62,8,0)</f>
        <v>552.41999999999996</v>
      </c>
      <c r="X43" s="111"/>
      <c r="Y43" s="111"/>
      <c r="Z43" s="111"/>
      <c r="AA43" s="111"/>
      <c r="AB43" s="111"/>
      <c r="AC43" s="111"/>
      <c r="AE43" s="97">
        <f t="shared" si="4"/>
        <v>0.74756332417582405</v>
      </c>
      <c r="AF43" s="97">
        <f t="shared" si="4"/>
        <v>1.8062434006211188</v>
      </c>
      <c r="AG43" s="97">
        <f t="shared" si="4"/>
        <v>0.5052289445628998</v>
      </c>
      <c r="AH43" s="97">
        <f t="shared" si="4"/>
        <v>1.1111382142857142</v>
      </c>
      <c r="AI43" s="97">
        <f t="shared" si="4"/>
        <v>1.0378676705756928</v>
      </c>
      <c r="AJ43" s="97">
        <f t="shared" si="4"/>
        <v>0.91762967943201368</v>
      </c>
      <c r="AK43" s="99">
        <f t="shared" si="4"/>
        <v>0</v>
      </c>
      <c r="AL43" s="99">
        <f t="shared" si="4"/>
        <v>0</v>
      </c>
      <c r="AM43" s="99">
        <f t="shared" si="4"/>
        <v>0</v>
      </c>
      <c r="AN43" s="99">
        <f t="shared" si="4"/>
        <v>0</v>
      </c>
      <c r="AO43" s="99">
        <f t="shared" si="4"/>
        <v>0</v>
      </c>
      <c r="AP43" s="99">
        <f t="shared" si="4"/>
        <v>0</v>
      </c>
      <c r="AQ43" s="97"/>
      <c r="AR43" s="99">
        <f t="shared" si="5"/>
        <v>0.74760000000000004</v>
      </c>
      <c r="AS43" s="99">
        <f t="shared" si="5"/>
        <v>1.8062</v>
      </c>
      <c r="AT43" s="99">
        <f t="shared" si="5"/>
        <v>0.50519999999999998</v>
      </c>
      <c r="AU43" s="99">
        <f t="shared" si="5"/>
        <v>1.1111</v>
      </c>
      <c r="AV43" s="99">
        <f t="shared" si="5"/>
        <v>1.0379</v>
      </c>
      <c r="AW43" s="99">
        <f t="shared" si="5"/>
        <v>0.91759999999999997</v>
      </c>
      <c r="AX43" s="99">
        <f t="shared" si="5"/>
        <v>0</v>
      </c>
      <c r="AY43" s="99">
        <f t="shared" si="5"/>
        <v>0</v>
      </c>
      <c r="AZ43" s="99">
        <f t="shared" si="5"/>
        <v>0</v>
      </c>
      <c r="BA43" s="99">
        <f t="shared" si="5"/>
        <v>0</v>
      </c>
      <c r="BB43" s="99">
        <f t="shared" si="5"/>
        <v>0</v>
      </c>
      <c r="BC43" s="99">
        <f t="shared" si="5"/>
        <v>0</v>
      </c>
      <c r="BD43" s="97"/>
      <c r="BE43" s="1">
        <f>IFERROR(VLOOKUP(AR43,'Top WS'!$A$19:$E$28,5),0)</f>
        <v>400</v>
      </c>
      <c r="BF43" s="1">
        <f>IFERROR(VLOOKUP(AS43,'Top WS'!$A$19:$E$28,5),0)</f>
        <v>520</v>
      </c>
      <c r="BG43" s="1">
        <f>IFERROR(VLOOKUP(AT43,'Top WS'!$A$19:$E$28,5),0)</f>
        <v>400</v>
      </c>
      <c r="BH43" s="1">
        <f>IFERROR(VLOOKUP(AU43,'Top WS'!$A$19:$E$28,5),0)</f>
        <v>460</v>
      </c>
      <c r="BI43" s="1">
        <f>IFERROR(VLOOKUP(AV43,'Top WS'!$A$19:$E$28,5),0)</f>
        <v>432</v>
      </c>
      <c r="BJ43" s="1">
        <f>IFERROR(VLOOKUP(AW43,'Top WS'!$A$19:$E$28,5),0)</f>
        <v>400</v>
      </c>
      <c r="BK43" s="98">
        <f>IFERROR(VLOOKUP(AX43,'Top WS'!$A$19:$E$28,5),0)</f>
        <v>400</v>
      </c>
      <c r="BL43" s="98">
        <f>IFERROR(VLOOKUP(AY43,'Top WS'!$A$19:$E$28,5),0)</f>
        <v>400</v>
      </c>
      <c r="BM43" s="98">
        <f>IFERROR(VLOOKUP(AZ43,'Top WS'!$A$19:$E$28,5),0)</f>
        <v>400</v>
      </c>
      <c r="BN43" s="98">
        <f>IFERROR(VLOOKUP(BA43,'Top WS'!$A$19:$E$28,5),0)</f>
        <v>400</v>
      </c>
      <c r="BO43" s="98">
        <f>IFERROR(VLOOKUP(BB43,'Top WS'!$A$19:$E$28,5),0)</f>
        <v>400</v>
      </c>
      <c r="BP43" s="98">
        <f>IFERROR(VLOOKUP(BC43,'Top WS'!$A$19:$E$28,5),0)</f>
        <v>400</v>
      </c>
    </row>
    <row r="44" spans="1:68" x14ac:dyDescent="0.4">
      <c r="A44">
        <v>1190043701</v>
      </c>
      <c r="B44">
        <f>VLOOKUP(A44,'Aji Plus'!$A$2:$D$58,2,0)</f>
        <v>63286</v>
      </c>
      <c r="C44" t="str">
        <f>VLOOKUP(A44,'Aji Plus'!$A$2:$D$58,3,0)</f>
        <v>นายมานพ ประจวบสุข</v>
      </c>
      <c r="D44" t="str">
        <f>VLOOKUP(A44,'Aji Plus'!$A$2:$D$58,4,0)</f>
        <v>Surin</v>
      </c>
      <c r="E44" s="1">
        <v>475</v>
      </c>
      <c r="F44" s="1">
        <v>504</v>
      </c>
      <c r="G44" s="1">
        <v>489</v>
      </c>
      <c r="H44" s="1">
        <v>548</v>
      </c>
      <c r="I44" s="1">
        <v>487</v>
      </c>
      <c r="J44" s="1">
        <v>606</v>
      </c>
      <c r="K44" s="1">
        <v>664</v>
      </c>
      <c r="L44" s="1">
        <v>606</v>
      </c>
      <c r="M44" s="1">
        <v>438</v>
      </c>
      <c r="N44" s="1">
        <v>570</v>
      </c>
      <c r="O44" s="1">
        <v>504</v>
      </c>
      <c r="P44" s="1">
        <v>475</v>
      </c>
      <c r="R44" s="1">
        <f>VLOOKUP(A44,Actual_RDNS!$A$2:$H$62,3,0)</f>
        <v>420.65999999999997</v>
      </c>
      <c r="S44" s="1">
        <f>VLOOKUP(A44,Actual_RDNS!$A$2:$H$62,4,0)</f>
        <v>1166.04</v>
      </c>
      <c r="T44" s="1">
        <f>VLOOKUP(A44,Actual_RDNS!$A$2:$H$62,5,0)</f>
        <v>227.16</v>
      </c>
      <c r="U44" s="1">
        <f>VLOOKUP(A44,Actual_RDNS!$A$2:$H$62,6,0)</f>
        <v>456.29999999999995</v>
      </c>
      <c r="V44" s="1">
        <f>VLOOKUP(A44,Actual_RDNS!$A$2:$H$62,7,0)</f>
        <v>717.48</v>
      </c>
      <c r="W44" s="1">
        <f>VLOOKUP(A44,Actual_RDNS!$A$2:$H$62,8,0)</f>
        <v>175.86</v>
      </c>
      <c r="X44" s="111"/>
      <c r="Y44" s="111"/>
      <c r="Z44" s="111"/>
      <c r="AA44" s="111"/>
      <c r="AB44" s="111"/>
      <c r="AC44" s="111"/>
      <c r="AE44" s="97">
        <f t="shared" si="4"/>
        <v>0.88559999999999994</v>
      </c>
      <c r="AF44" s="97">
        <f t="shared" si="4"/>
        <v>2.3135714285714286</v>
      </c>
      <c r="AG44" s="97">
        <f t="shared" si="4"/>
        <v>0.46453987730061347</v>
      </c>
      <c r="AH44" s="97">
        <f t="shared" si="4"/>
        <v>0.83266423357664221</v>
      </c>
      <c r="AI44" s="97">
        <f t="shared" si="4"/>
        <v>1.4732648870636551</v>
      </c>
      <c r="AJ44" s="97">
        <f t="shared" si="4"/>
        <v>0.29019801980198023</v>
      </c>
      <c r="AK44" s="99">
        <f t="shared" si="4"/>
        <v>0</v>
      </c>
      <c r="AL44" s="99">
        <f t="shared" si="4"/>
        <v>0</v>
      </c>
      <c r="AM44" s="99">
        <f t="shared" si="4"/>
        <v>0</v>
      </c>
      <c r="AN44" s="99">
        <f t="shared" si="4"/>
        <v>0</v>
      </c>
      <c r="AO44" s="99">
        <f t="shared" si="4"/>
        <v>0</v>
      </c>
      <c r="AP44" s="99">
        <f t="shared" si="4"/>
        <v>0</v>
      </c>
      <c r="AQ44" s="97"/>
      <c r="AR44" s="99">
        <f t="shared" si="5"/>
        <v>0.88560000000000005</v>
      </c>
      <c r="AS44" s="99">
        <f t="shared" si="5"/>
        <v>2.3136000000000001</v>
      </c>
      <c r="AT44" s="99">
        <f t="shared" si="5"/>
        <v>0.46450000000000002</v>
      </c>
      <c r="AU44" s="99">
        <f t="shared" si="5"/>
        <v>0.8327</v>
      </c>
      <c r="AV44" s="99">
        <f t="shared" si="5"/>
        <v>1.4733000000000001</v>
      </c>
      <c r="AW44" s="99">
        <f t="shared" si="5"/>
        <v>0.29020000000000001</v>
      </c>
      <c r="AX44" s="99">
        <f t="shared" si="5"/>
        <v>0</v>
      </c>
      <c r="AY44" s="99">
        <f t="shared" si="5"/>
        <v>0</v>
      </c>
      <c r="AZ44" s="99">
        <f t="shared" si="5"/>
        <v>0</v>
      </c>
      <c r="BA44" s="99">
        <f t="shared" si="5"/>
        <v>0</v>
      </c>
      <c r="BB44" s="99">
        <f t="shared" si="5"/>
        <v>0</v>
      </c>
      <c r="BC44" s="99">
        <f t="shared" si="5"/>
        <v>0</v>
      </c>
      <c r="BD44" s="97"/>
      <c r="BE44" s="1">
        <f>IFERROR(VLOOKUP(AR44,'Top WS'!$A$19:$E$28,5),0)</f>
        <v>400</v>
      </c>
      <c r="BF44" s="1">
        <f>IFERROR(VLOOKUP(AS44,'Top WS'!$A$19:$E$28,5),0)</f>
        <v>520</v>
      </c>
      <c r="BG44" s="1">
        <f>IFERROR(VLOOKUP(AT44,'Top WS'!$A$19:$E$28,5),0)</f>
        <v>400</v>
      </c>
      <c r="BH44" s="1">
        <f>IFERROR(VLOOKUP(AU44,'Top WS'!$A$19:$E$28,5),0)</f>
        <v>400</v>
      </c>
      <c r="BI44" s="1">
        <f>IFERROR(VLOOKUP(AV44,'Top WS'!$A$19:$E$28,5),0)</f>
        <v>520</v>
      </c>
      <c r="BJ44" s="1">
        <f>IFERROR(VLOOKUP(AW44,'Top WS'!$A$19:$E$28,5),0)</f>
        <v>400</v>
      </c>
      <c r="BK44" s="98">
        <f>IFERROR(VLOOKUP(AX44,'Top WS'!$A$19:$E$28,5),0)</f>
        <v>400</v>
      </c>
      <c r="BL44" s="98">
        <f>IFERROR(VLOOKUP(AY44,'Top WS'!$A$19:$E$28,5),0)</f>
        <v>400</v>
      </c>
      <c r="BM44" s="98">
        <f>IFERROR(VLOOKUP(AZ44,'Top WS'!$A$19:$E$28,5),0)</f>
        <v>400</v>
      </c>
      <c r="BN44" s="98">
        <f>IFERROR(VLOOKUP(BA44,'Top WS'!$A$19:$E$28,5),0)</f>
        <v>400</v>
      </c>
      <c r="BO44" s="98">
        <f>IFERROR(VLOOKUP(BB44,'Top WS'!$A$19:$E$28,5),0)</f>
        <v>400</v>
      </c>
      <c r="BP44" s="98">
        <f>IFERROR(VLOOKUP(BC44,'Top WS'!$A$19:$E$28,5),0)</f>
        <v>400</v>
      </c>
    </row>
    <row r="45" spans="1:68" x14ac:dyDescent="0.4">
      <c r="A45">
        <v>1190043702</v>
      </c>
      <c r="B45">
        <f>VLOOKUP(A45,'Aji Plus'!$A$2:$D$58,2,0)</f>
        <v>70479</v>
      </c>
      <c r="C45" t="str">
        <f>VLOOKUP(A45,'Aji Plus'!$A$2:$D$58,3,0)</f>
        <v>นายภูริต มาตย์วิเศษ</v>
      </c>
      <c r="D45" t="str">
        <f>VLOOKUP(A45,'Aji Plus'!$A$2:$D$58,4,0)</f>
        <v>Surin</v>
      </c>
      <c r="E45" s="1">
        <v>316</v>
      </c>
      <c r="F45" s="1">
        <v>336</v>
      </c>
      <c r="G45" s="1">
        <v>326</v>
      </c>
      <c r="H45" s="1">
        <v>365</v>
      </c>
      <c r="I45" s="1">
        <v>326</v>
      </c>
      <c r="J45" s="1">
        <v>404</v>
      </c>
      <c r="K45" s="1">
        <v>443</v>
      </c>
      <c r="L45" s="1">
        <v>404</v>
      </c>
      <c r="M45" s="1">
        <v>292</v>
      </c>
      <c r="N45" s="1">
        <v>380</v>
      </c>
      <c r="O45" s="1">
        <v>336</v>
      </c>
      <c r="P45" s="1">
        <v>316</v>
      </c>
      <c r="R45" s="1">
        <f>VLOOKUP(A45,Actual_RDNS!$A$2:$H$62,3,0)</f>
        <v>250.74</v>
      </c>
      <c r="S45" s="1">
        <f>VLOOKUP(A45,Actual_RDNS!$A$2:$H$62,4,0)</f>
        <v>532.43999999999994</v>
      </c>
      <c r="T45" s="1">
        <f>VLOOKUP(A45,Actual_RDNS!$A$2:$H$62,5,0)</f>
        <v>371.69999999999993</v>
      </c>
      <c r="U45" s="1">
        <f>VLOOKUP(A45,Actual_RDNS!$A$2:$H$62,6,0)</f>
        <v>5.94</v>
      </c>
      <c r="V45" s="1">
        <f>VLOOKUP(A45,Actual_RDNS!$A$2:$H$62,7,0)</f>
        <v>42.300000000000004</v>
      </c>
      <c r="W45" s="1">
        <f>VLOOKUP(A45,Actual_RDNS!$A$2:$H$62,8,0)</f>
        <v>227.88</v>
      </c>
      <c r="X45" s="111"/>
      <c r="Y45" s="111"/>
      <c r="Z45" s="111"/>
      <c r="AA45" s="111"/>
      <c r="AB45" s="111"/>
      <c r="AC45" s="111"/>
      <c r="AE45" s="97">
        <f t="shared" si="4"/>
        <v>0.7934810126582279</v>
      </c>
      <c r="AF45" s="97">
        <f t="shared" si="4"/>
        <v>1.584642857142857</v>
      </c>
      <c r="AG45" s="97">
        <f t="shared" si="4"/>
        <v>1.1401840490797543</v>
      </c>
      <c r="AH45" s="97">
        <f t="shared" si="4"/>
        <v>1.6273972602739727E-2</v>
      </c>
      <c r="AI45" s="97">
        <f t="shared" si="4"/>
        <v>0.12975460122699387</v>
      </c>
      <c r="AJ45" s="97">
        <f t="shared" si="4"/>
        <v>0.56405940594059401</v>
      </c>
      <c r="AK45" s="99">
        <f t="shared" si="4"/>
        <v>0</v>
      </c>
      <c r="AL45" s="99">
        <f t="shared" si="4"/>
        <v>0</v>
      </c>
      <c r="AM45" s="99">
        <f t="shared" si="4"/>
        <v>0</v>
      </c>
      <c r="AN45" s="99">
        <f t="shared" si="4"/>
        <v>0</v>
      </c>
      <c r="AO45" s="99">
        <f t="shared" si="4"/>
        <v>0</v>
      </c>
      <c r="AP45" s="99">
        <f t="shared" si="4"/>
        <v>0</v>
      </c>
      <c r="AQ45" s="97"/>
      <c r="AR45" s="99">
        <f t="shared" si="5"/>
        <v>0.79349999999999998</v>
      </c>
      <c r="AS45" s="99">
        <f t="shared" si="5"/>
        <v>1.5846</v>
      </c>
      <c r="AT45" s="99">
        <f t="shared" si="5"/>
        <v>1.1402000000000001</v>
      </c>
      <c r="AU45" s="99">
        <f t="shared" si="5"/>
        <v>1.6299999999999999E-2</v>
      </c>
      <c r="AV45" s="99">
        <f t="shared" si="5"/>
        <v>0.1298</v>
      </c>
      <c r="AW45" s="99">
        <f t="shared" si="5"/>
        <v>0.56410000000000005</v>
      </c>
      <c r="AX45" s="99">
        <f t="shared" si="5"/>
        <v>0</v>
      </c>
      <c r="AY45" s="99">
        <f t="shared" si="5"/>
        <v>0</v>
      </c>
      <c r="AZ45" s="99">
        <f t="shared" si="5"/>
        <v>0</v>
      </c>
      <c r="BA45" s="99">
        <f t="shared" si="5"/>
        <v>0</v>
      </c>
      <c r="BB45" s="99">
        <f t="shared" si="5"/>
        <v>0</v>
      </c>
      <c r="BC45" s="99">
        <f t="shared" si="5"/>
        <v>0</v>
      </c>
      <c r="BD45" s="97"/>
      <c r="BE45" s="1">
        <f>IFERROR(VLOOKUP(AR45,'Top WS'!$A$19:$E$28,5),0)</f>
        <v>400</v>
      </c>
      <c r="BF45" s="1">
        <f>IFERROR(VLOOKUP(AS45,'Top WS'!$A$19:$E$28,5),0)</f>
        <v>520</v>
      </c>
      <c r="BG45" s="1">
        <f>IFERROR(VLOOKUP(AT45,'Top WS'!$A$19:$E$28,5),0)</f>
        <v>460</v>
      </c>
      <c r="BH45" s="1">
        <f>IFERROR(VLOOKUP(AU45,'Top WS'!$A$19:$E$28,5),0)</f>
        <v>400</v>
      </c>
      <c r="BI45" s="1">
        <f>IFERROR(VLOOKUP(AV45,'Top WS'!$A$19:$E$28,5),0)</f>
        <v>400</v>
      </c>
      <c r="BJ45" s="1">
        <f>IFERROR(VLOOKUP(AW45,'Top WS'!$A$19:$E$28,5),0)</f>
        <v>400</v>
      </c>
      <c r="BK45" s="98">
        <f>IFERROR(VLOOKUP(AX45,'Top WS'!$A$19:$E$28,5),0)</f>
        <v>400</v>
      </c>
      <c r="BL45" s="98">
        <f>IFERROR(VLOOKUP(AY45,'Top WS'!$A$19:$E$28,5),0)</f>
        <v>400</v>
      </c>
      <c r="BM45" s="98">
        <f>IFERROR(VLOOKUP(AZ45,'Top WS'!$A$19:$E$28,5),0)</f>
        <v>400</v>
      </c>
      <c r="BN45" s="98">
        <f>IFERROR(VLOOKUP(BA45,'Top WS'!$A$19:$E$28,5),0)</f>
        <v>400</v>
      </c>
      <c r="BO45" s="98">
        <f>IFERROR(VLOOKUP(BB45,'Top WS'!$A$19:$E$28,5),0)</f>
        <v>400</v>
      </c>
      <c r="BP45" s="98">
        <f>IFERROR(VLOOKUP(BC45,'Top WS'!$A$19:$E$28,5),0)</f>
        <v>400</v>
      </c>
    </row>
    <row r="46" spans="1:68" x14ac:dyDescent="0.4">
      <c r="A46">
        <v>1190043801</v>
      </c>
      <c r="B46">
        <f>VLOOKUP(A46,'Aji Plus'!$A$2:$D$58,2,0)</f>
        <v>75712</v>
      </c>
      <c r="C46" t="str">
        <f>VLOOKUP(A46,'Aji Plus'!$A$2:$D$58,3,0)</f>
        <v>นายวุฒิพงษ์ วงศ์วณิชชากร</v>
      </c>
      <c r="D46" t="str">
        <f>VLOOKUP(A46,'Aji Plus'!$A$2:$D$58,4,0)</f>
        <v>Khonkaen</v>
      </c>
      <c r="E46" s="1">
        <v>469.74705635392621</v>
      </c>
      <c r="F46" s="1">
        <v>470.44971688539573</v>
      </c>
      <c r="G46" s="1">
        <v>461.86986197482173</v>
      </c>
      <c r="H46" s="1">
        <v>457.65389878600513</v>
      </c>
      <c r="I46" s="1">
        <v>484.89493812707764</v>
      </c>
      <c r="J46" s="1">
        <v>465.56807529834492</v>
      </c>
      <c r="K46" s="1">
        <v>465.5163003118156</v>
      </c>
      <c r="L46" s="1">
        <v>474.42899442150673</v>
      </c>
      <c r="M46" s="1">
        <v>475.90088332426899</v>
      </c>
      <c r="N46" s="1">
        <v>483.63754559707968</v>
      </c>
      <c r="O46" s="1">
        <v>448.62286184996117</v>
      </c>
      <c r="P46" s="1">
        <v>464.47340415458206</v>
      </c>
      <c r="R46" s="1">
        <f>VLOOKUP(A46,Actual_RDNS!$A$2:$H$62,3,0)</f>
        <v>418.32</v>
      </c>
      <c r="S46" s="1">
        <f>VLOOKUP(A46,Actual_RDNS!$A$2:$H$62,4,0)</f>
        <v>1063.8</v>
      </c>
      <c r="T46" s="1">
        <f>VLOOKUP(A46,Actual_RDNS!$A$2:$H$62,5,0)</f>
        <v>127.62</v>
      </c>
      <c r="U46" s="1">
        <f>VLOOKUP(A46,Actual_RDNS!$A$2:$H$62,6,0)</f>
        <v>53.460000000000008</v>
      </c>
      <c r="V46" s="1">
        <f>VLOOKUP(A46,Actual_RDNS!$A$2:$H$62,7,0)</f>
        <v>304.2</v>
      </c>
      <c r="W46" s="1">
        <f>VLOOKUP(A46,Actual_RDNS!$A$2:$H$62,8,0)</f>
        <v>658.43999999999994</v>
      </c>
      <c r="X46" s="111"/>
      <c r="Y46" s="111"/>
      <c r="Z46" s="111"/>
      <c r="AA46" s="111"/>
      <c r="AB46" s="111"/>
      <c r="AC46" s="111"/>
      <c r="AE46" s="97">
        <f t="shared" si="4"/>
        <v>0.89052181241306383</v>
      </c>
      <c r="AF46" s="97">
        <f t="shared" si="4"/>
        <v>2.261240599830455</v>
      </c>
      <c r="AG46" s="97">
        <f t="shared" si="4"/>
        <v>0.27631159880043665</v>
      </c>
      <c r="AH46" s="97">
        <f t="shared" si="4"/>
        <v>0.11681316414393189</v>
      </c>
      <c r="AI46" s="97">
        <f t="shared" si="4"/>
        <v>0.6273523934380143</v>
      </c>
      <c r="AJ46" s="97">
        <f t="shared" si="4"/>
        <v>1.4142722298517978</v>
      </c>
      <c r="AK46" s="99">
        <f t="shared" si="4"/>
        <v>0</v>
      </c>
      <c r="AL46" s="99">
        <f t="shared" si="4"/>
        <v>0</v>
      </c>
      <c r="AM46" s="99">
        <f t="shared" si="4"/>
        <v>0</v>
      </c>
      <c r="AN46" s="99">
        <f t="shared" si="4"/>
        <v>0</v>
      </c>
      <c r="AO46" s="99">
        <f t="shared" si="4"/>
        <v>0</v>
      </c>
      <c r="AP46" s="99">
        <f t="shared" si="4"/>
        <v>0</v>
      </c>
      <c r="AQ46" s="97"/>
      <c r="AR46" s="99">
        <f t="shared" si="5"/>
        <v>0.89049999999999996</v>
      </c>
      <c r="AS46" s="99">
        <f t="shared" si="5"/>
        <v>2.2612000000000001</v>
      </c>
      <c r="AT46" s="99">
        <f t="shared" si="5"/>
        <v>0.27629999999999999</v>
      </c>
      <c r="AU46" s="99">
        <f t="shared" si="5"/>
        <v>0.1168</v>
      </c>
      <c r="AV46" s="99">
        <f t="shared" si="5"/>
        <v>0.62739999999999996</v>
      </c>
      <c r="AW46" s="99">
        <f t="shared" si="5"/>
        <v>1.4142999999999999</v>
      </c>
      <c r="AX46" s="99">
        <f t="shared" si="5"/>
        <v>0</v>
      </c>
      <c r="AY46" s="99">
        <f t="shared" si="5"/>
        <v>0</v>
      </c>
      <c r="AZ46" s="99">
        <f t="shared" si="5"/>
        <v>0</v>
      </c>
      <c r="BA46" s="99">
        <f t="shared" si="5"/>
        <v>0</v>
      </c>
      <c r="BB46" s="99">
        <f t="shared" si="5"/>
        <v>0</v>
      </c>
      <c r="BC46" s="99">
        <f t="shared" si="5"/>
        <v>0</v>
      </c>
      <c r="BD46" s="97"/>
      <c r="BE46" s="1">
        <f>IFERROR(VLOOKUP(AR46,'Top WS'!$A$19:$E$28,5),0)</f>
        <v>400</v>
      </c>
      <c r="BF46" s="1">
        <f>IFERROR(VLOOKUP(AS46,'Top WS'!$A$19:$E$28,5),0)</f>
        <v>520</v>
      </c>
      <c r="BG46" s="1">
        <f>IFERROR(VLOOKUP(AT46,'Top WS'!$A$19:$E$28,5),0)</f>
        <v>400</v>
      </c>
      <c r="BH46" s="1">
        <f>IFERROR(VLOOKUP(AU46,'Top WS'!$A$19:$E$28,5),0)</f>
        <v>400</v>
      </c>
      <c r="BI46" s="1">
        <f>IFERROR(VLOOKUP(AV46,'Top WS'!$A$19:$E$28,5),0)</f>
        <v>400</v>
      </c>
      <c r="BJ46" s="1">
        <f>IFERROR(VLOOKUP(AW46,'Top WS'!$A$19:$E$28,5),0)</f>
        <v>520</v>
      </c>
      <c r="BK46" s="98">
        <f>IFERROR(VLOOKUP(AX46,'Top WS'!$A$19:$E$28,5),0)</f>
        <v>400</v>
      </c>
      <c r="BL46" s="98">
        <f>IFERROR(VLOOKUP(AY46,'Top WS'!$A$19:$E$28,5),0)</f>
        <v>400</v>
      </c>
      <c r="BM46" s="98">
        <f>IFERROR(VLOOKUP(AZ46,'Top WS'!$A$19:$E$28,5),0)</f>
        <v>400</v>
      </c>
      <c r="BN46" s="98">
        <f>IFERROR(VLOOKUP(BA46,'Top WS'!$A$19:$E$28,5),0)</f>
        <v>400</v>
      </c>
      <c r="BO46" s="98">
        <f>IFERROR(VLOOKUP(BB46,'Top WS'!$A$19:$E$28,5),0)</f>
        <v>400</v>
      </c>
      <c r="BP46" s="98">
        <f>IFERROR(VLOOKUP(BC46,'Top WS'!$A$19:$E$28,5),0)</f>
        <v>400</v>
      </c>
    </row>
    <row r="47" spans="1:68" x14ac:dyDescent="0.4">
      <c r="A47">
        <v>1190043802</v>
      </c>
      <c r="B47">
        <f>VLOOKUP(A47,'Aji Plus'!$A$2:$D$58,2,0)</f>
        <v>62573</v>
      </c>
      <c r="C47" t="str">
        <f>VLOOKUP(A47,'Aji Plus'!$A$2:$D$58,3,0)</f>
        <v>นายวิฑูรย์ ระวันประโคน</v>
      </c>
      <c r="D47" t="str">
        <f>VLOOKUP(A47,'Aji Plus'!$A$2:$D$58,4,0)</f>
        <v>Khonkaen</v>
      </c>
      <c r="E47" s="1">
        <v>318.90645587969624</v>
      </c>
      <c r="F47" s="1">
        <v>319.38348490360704</v>
      </c>
      <c r="G47" s="1">
        <v>313.5587094537496</v>
      </c>
      <c r="H47" s="1">
        <v>310.69653531028507</v>
      </c>
      <c r="I47" s="1">
        <v>329.19019736358257</v>
      </c>
      <c r="J47" s="1">
        <v>316.06938852696396</v>
      </c>
      <c r="K47" s="1">
        <v>316.03423901993898</v>
      </c>
      <c r="L47" s="1">
        <v>322.08497558638578</v>
      </c>
      <c r="M47" s="1">
        <v>323.08422585752504</v>
      </c>
      <c r="N47" s="1">
        <v>328.33656647868963</v>
      </c>
      <c r="O47" s="1">
        <v>304.5654570134954</v>
      </c>
      <c r="P47" s="1">
        <v>315.32622752129248</v>
      </c>
      <c r="R47" s="1">
        <f>VLOOKUP(A47,Actual_RDNS!$A$2:$H$62,3,0)</f>
        <v>89.820000000000007</v>
      </c>
      <c r="S47" s="1">
        <f>VLOOKUP(A47,Actual_RDNS!$A$2:$H$62,4,0)</f>
        <v>593.28</v>
      </c>
      <c r="T47" s="1">
        <f>VLOOKUP(A47,Actual_RDNS!$A$2:$H$62,5,0)</f>
        <v>60.84</v>
      </c>
      <c r="U47" s="1">
        <f>VLOOKUP(A47,Actual_RDNS!$A$2:$H$62,6,0)</f>
        <v>29.700000000000003</v>
      </c>
      <c r="V47" s="1">
        <f>VLOOKUP(A47,Actual_RDNS!$A$2:$H$62,7,0)</f>
        <v>256.86</v>
      </c>
      <c r="W47" s="1">
        <f>VLOOKUP(A47,Actual_RDNS!$A$2:$H$62,8,0)</f>
        <v>180.89999999999998</v>
      </c>
      <c r="X47" s="111"/>
      <c r="Y47" s="111"/>
      <c r="Z47" s="111"/>
      <c r="AA47" s="111"/>
      <c r="AB47" s="111"/>
      <c r="AC47" s="111"/>
      <c r="AE47" s="97">
        <f t="shared" si="4"/>
        <v>0.28164998965679</v>
      </c>
      <c r="AF47" s="97">
        <f t="shared" si="4"/>
        <v>1.8575788293469762</v>
      </c>
      <c r="AG47" s="97">
        <f t="shared" si="4"/>
        <v>0.1940306493351415</v>
      </c>
      <c r="AH47" s="97">
        <f t="shared" si="4"/>
        <v>9.5591667832212346E-2</v>
      </c>
      <c r="AI47" s="97">
        <f t="shared" si="4"/>
        <v>0.78027839849770619</v>
      </c>
      <c r="AJ47" s="97">
        <f t="shared" si="4"/>
        <v>0.57234267716681253</v>
      </c>
      <c r="AK47" s="99">
        <f t="shared" si="4"/>
        <v>0</v>
      </c>
      <c r="AL47" s="99">
        <f t="shared" si="4"/>
        <v>0</v>
      </c>
      <c r="AM47" s="99">
        <f t="shared" si="4"/>
        <v>0</v>
      </c>
      <c r="AN47" s="99">
        <f t="shared" si="4"/>
        <v>0</v>
      </c>
      <c r="AO47" s="99">
        <f t="shared" si="4"/>
        <v>0</v>
      </c>
      <c r="AP47" s="99">
        <f t="shared" si="4"/>
        <v>0</v>
      </c>
      <c r="AQ47" s="97"/>
      <c r="AR47" s="99">
        <f t="shared" si="5"/>
        <v>0.28160000000000002</v>
      </c>
      <c r="AS47" s="99">
        <f t="shared" si="5"/>
        <v>1.8575999999999999</v>
      </c>
      <c r="AT47" s="99">
        <f t="shared" si="5"/>
        <v>0.19400000000000001</v>
      </c>
      <c r="AU47" s="99">
        <f t="shared" si="5"/>
        <v>9.5600000000000004E-2</v>
      </c>
      <c r="AV47" s="99">
        <f t="shared" si="5"/>
        <v>0.78029999999999999</v>
      </c>
      <c r="AW47" s="99">
        <f t="shared" si="5"/>
        <v>0.57230000000000003</v>
      </c>
      <c r="AX47" s="99">
        <f t="shared" si="5"/>
        <v>0</v>
      </c>
      <c r="AY47" s="99">
        <f t="shared" si="5"/>
        <v>0</v>
      </c>
      <c r="AZ47" s="99">
        <f t="shared" si="5"/>
        <v>0</v>
      </c>
      <c r="BA47" s="99">
        <f t="shared" si="5"/>
        <v>0</v>
      </c>
      <c r="BB47" s="99">
        <f t="shared" si="5"/>
        <v>0</v>
      </c>
      <c r="BC47" s="99">
        <f t="shared" si="5"/>
        <v>0</v>
      </c>
      <c r="BD47" s="97"/>
      <c r="BE47" s="1">
        <f>IFERROR(VLOOKUP(AR47,'Top WS'!$A$19:$E$28,5),0)</f>
        <v>400</v>
      </c>
      <c r="BF47" s="1">
        <f>IFERROR(VLOOKUP(AS47,'Top WS'!$A$19:$E$28,5),0)</f>
        <v>520</v>
      </c>
      <c r="BG47" s="1">
        <f>IFERROR(VLOOKUP(AT47,'Top WS'!$A$19:$E$28,5),0)</f>
        <v>400</v>
      </c>
      <c r="BH47" s="1">
        <f>IFERROR(VLOOKUP(AU47,'Top WS'!$A$19:$E$28,5),0)</f>
        <v>400</v>
      </c>
      <c r="BI47" s="1">
        <f>IFERROR(VLOOKUP(AV47,'Top WS'!$A$19:$E$28,5),0)</f>
        <v>400</v>
      </c>
      <c r="BJ47" s="1">
        <f>IFERROR(VLOOKUP(AW47,'Top WS'!$A$19:$E$28,5),0)</f>
        <v>400</v>
      </c>
      <c r="BK47" s="98">
        <f>IFERROR(VLOOKUP(AX47,'Top WS'!$A$19:$E$28,5),0)</f>
        <v>400</v>
      </c>
      <c r="BL47" s="98">
        <f>IFERROR(VLOOKUP(AY47,'Top WS'!$A$19:$E$28,5),0)</f>
        <v>400</v>
      </c>
      <c r="BM47" s="98">
        <f>IFERROR(VLOOKUP(AZ47,'Top WS'!$A$19:$E$28,5),0)</f>
        <v>400</v>
      </c>
      <c r="BN47" s="98">
        <f>IFERROR(VLOOKUP(BA47,'Top WS'!$A$19:$E$28,5),0)</f>
        <v>400</v>
      </c>
      <c r="BO47" s="98">
        <f>IFERROR(VLOOKUP(BB47,'Top WS'!$A$19:$E$28,5),0)</f>
        <v>400</v>
      </c>
      <c r="BP47" s="98">
        <f>IFERROR(VLOOKUP(BC47,'Top WS'!$A$19:$E$28,5),0)</f>
        <v>400</v>
      </c>
    </row>
    <row r="48" spans="1:68" x14ac:dyDescent="0.4">
      <c r="A48">
        <v>1190043901</v>
      </c>
      <c r="B48">
        <f>VLOOKUP(A48,'Aji Plus'!$A$2:$D$58,2,0)</f>
        <v>63244</v>
      </c>
      <c r="C48" t="str">
        <f>VLOOKUP(A48,'Aji Plus'!$A$2:$D$58,3,0)</f>
        <v>นายทรงเกียรติ กล้าหาญ</v>
      </c>
      <c r="D48" t="str">
        <f>VLOOKUP(A48,'Aji Plus'!$A$2:$D$58,4,0)</f>
        <v>Udonthani</v>
      </c>
      <c r="E48" s="1">
        <v>212.67152978604594</v>
      </c>
      <c r="F48" s="1">
        <v>212.98964969361447</v>
      </c>
      <c r="G48" s="1">
        <v>209.10523819067299</v>
      </c>
      <c r="H48" s="1">
        <v>207.19651874526207</v>
      </c>
      <c r="I48" s="1">
        <v>219.52952526710129</v>
      </c>
      <c r="J48" s="1">
        <v>210.77955349366496</v>
      </c>
      <c r="K48" s="1">
        <v>210.75611307942307</v>
      </c>
      <c r="L48" s="1">
        <v>214.79121295963387</v>
      </c>
      <c r="M48" s="1">
        <v>215.45759045022467</v>
      </c>
      <c r="N48" s="1">
        <v>218.96025806408397</v>
      </c>
      <c r="O48" s="1">
        <v>203.1078407753555</v>
      </c>
      <c r="P48" s="1">
        <v>210.28395616397935</v>
      </c>
      <c r="R48" s="1">
        <f>VLOOKUP(A48,Actual_RDNS!$A$2:$H$62,3,0)</f>
        <v>231.48</v>
      </c>
      <c r="S48" s="1">
        <f>VLOOKUP(A48,Actual_RDNS!$A$2:$H$62,4,0)</f>
        <v>1074.06</v>
      </c>
      <c r="T48" s="1">
        <f>VLOOKUP(A48,Actual_RDNS!$A$2:$H$62,5,0)</f>
        <v>1243.0800000000004</v>
      </c>
      <c r="U48" s="1">
        <f>VLOOKUP(A48,Actual_RDNS!$A$2:$H$62,6,0)</f>
        <v>378</v>
      </c>
      <c r="V48" s="1">
        <f>VLOOKUP(A48,Actual_RDNS!$A$2:$H$62,7,0)</f>
        <v>189</v>
      </c>
      <c r="W48" s="1">
        <f>VLOOKUP(A48,Actual_RDNS!$A$2:$H$62,8,0)</f>
        <v>11.88</v>
      </c>
      <c r="X48" s="111"/>
      <c r="Y48" s="111"/>
      <c r="Z48" s="111"/>
      <c r="AA48" s="111"/>
      <c r="AB48" s="111"/>
      <c r="AC48" s="111"/>
      <c r="AE48" s="97">
        <f t="shared" si="4"/>
        <v>1.0884390601453611</v>
      </c>
      <c r="AF48" s="97">
        <f t="shared" si="4"/>
        <v>5.0427802550266403</v>
      </c>
      <c r="AG48" s="97">
        <f t="shared" si="4"/>
        <v>5.9447578203014482</v>
      </c>
      <c r="AH48" s="97">
        <f t="shared" si="4"/>
        <v>1.8243549760830315</v>
      </c>
      <c r="AI48" s="97">
        <f t="shared" si="4"/>
        <v>0.86093203076007174</v>
      </c>
      <c r="AJ48" s="97">
        <f t="shared" si="4"/>
        <v>5.6362203084167069E-2</v>
      </c>
      <c r="AK48" s="99">
        <f t="shared" si="4"/>
        <v>0</v>
      </c>
      <c r="AL48" s="99">
        <f t="shared" si="4"/>
        <v>0</v>
      </c>
      <c r="AM48" s="99">
        <f t="shared" si="4"/>
        <v>0</v>
      </c>
      <c r="AN48" s="99">
        <f t="shared" si="4"/>
        <v>0</v>
      </c>
      <c r="AO48" s="99">
        <f t="shared" si="4"/>
        <v>0</v>
      </c>
      <c r="AP48" s="99">
        <f t="shared" si="4"/>
        <v>0</v>
      </c>
      <c r="AQ48" s="97"/>
      <c r="AR48" s="99">
        <f t="shared" si="5"/>
        <v>1.0884</v>
      </c>
      <c r="AS48" s="99">
        <f t="shared" si="5"/>
        <v>5.0427999999999997</v>
      </c>
      <c r="AT48" s="99">
        <f t="shared" si="5"/>
        <v>5.9447999999999999</v>
      </c>
      <c r="AU48" s="99">
        <f t="shared" si="5"/>
        <v>1.8244</v>
      </c>
      <c r="AV48" s="99">
        <f t="shared" si="5"/>
        <v>0.8609</v>
      </c>
      <c r="AW48" s="99">
        <f t="shared" si="5"/>
        <v>5.6399999999999999E-2</v>
      </c>
      <c r="AX48" s="99">
        <f t="shared" si="5"/>
        <v>0</v>
      </c>
      <c r="AY48" s="99">
        <f t="shared" si="5"/>
        <v>0</v>
      </c>
      <c r="AZ48" s="99">
        <f t="shared" si="5"/>
        <v>0</v>
      </c>
      <c r="BA48" s="99">
        <f t="shared" si="5"/>
        <v>0</v>
      </c>
      <c r="BB48" s="99">
        <f t="shared" si="5"/>
        <v>0</v>
      </c>
      <c r="BC48" s="99">
        <f t="shared" si="5"/>
        <v>0</v>
      </c>
      <c r="BD48" s="97"/>
      <c r="BE48" s="1">
        <f>IFERROR(VLOOKUP(AR48,'Top WS'!$A$19:$E$28,5),0)</f>
        <v>440</v>
      </c>
      <c r="BF48" s="1">
        <f>IFERROR(VLOOKUP(AS48,'Top WS'!$A$19:$E$28,5),0)</f>
        <v>520</v>
      </c>
      <c r="BG48" s="1">
        <f>IFERROR(VLOOKUP(AT48,'Top WS'!$A$19:$E$28,5),0)</f>
        <v>520</v>
      </c>
      <c r="BH48" s="1">
        <f>IFERROR(VLOOKUP(AU48,'Top WS'!$A$19:$E$28,5),0)</f>
        <v>520</v>
      </c>
      <c r="BI48" s="1">
        <f>IFERROR(VLOOKUP(AV48,'Top WS'!$A$19:$E$28,5),0)</f>
        <v>400</v>
      </c>
      <c r="BJ48" s="1">
        <f>IFERROR(VLOOKUP(AW48,'Top WS'!$A$19:$E$28,5),0)</f>
        <v>400</v>
      </c>
      <c r="BK48" s="98">
        <f>IFERROR(VLOOKUP(AX48,'Top WS'!$A$19:$E$28,5),0)</f>
        <v>400</v>
      </c>
      <c r="BL48" s="98">
        <f>IFERROR(VLOOKUP(AY48,'Top WS'!$A$19:$E$28,5),0)</f>
        <v>400</v>
      </c>
      <c r="BM48" s="98">
        <f>IFERROR(VLOOKUP(AZ48,'Top WS'!$A$19:$E$28,5),0)</f>
        <v>400</v>
      </c>
      <c r="BN48" s="98">
        <f>IFERROR(VLOOKUP(BA48,'Top WS'!$A$19:$E$28,5),0)</f>
        <v>400</v>
      </c>
      <c r="BO48" s="98">
        <f>IFERROR(VLOOKUP(BB48,'Top WS'!$A$19:$E$28,5),0)</f>
        <v>400</v>
      </c>
      <c r="BP48" s="98">
        <f>IFERROR(VLOOKUP(BC48,'Top WS'!$A$19:$E$28,5),0)</f>
        <v>400</v>
      </c>
    </row>
    <row r="49" spans="1:68" x14ac:dyDescent="0.4">
      <c r="A49">
        <v>1190043902</v>
      </c>
      <c r="B49">
        <f>VLOOKUP(A49,'Aji Plus'!$A$2:$D$58,2,0)</f>
        <v>63553</v>
      </c>
      <c r="C49" t="str">
        <f>VLOOKUP(A49,'Aji Plus'!$A$2:$D$58,3,0)</f>
        <v>นายภัทรพล สงฆ์เจริญ</v>
      </c>
      <c r="D49" t="str">
        <f>VLOOKUP(A49,'Aji Plus'!$A$2:$D$58,4,0)</f>
        <v>Udonthani</v>
      </c>
      <c r="E49" s="1">
        <v>654.51315845389104</v>
      </c>
      <c r="F49" s="1">
        <v>655.49219718878521</v>
      </c>
      <c r="G49" s="1">
        <v>643.53761895218452</v>
      </c>
      <c r="H49" s="1">
        <v>637.66338654282026</v>
      </c>
      <c r="I49" s="1">
        <v>675.61917244402775</v>
      </c>
      <c r="J49" s="1">
        <v>648.69045439899503</v>
      </c>
      <c r="K49" s="1">
        <v>648.61831470273978</v>
      </c>
      <c r="L49" s="1">
        <v>661.03664812955356</v>
      </c>
      <c r="M49" s="1">
        <v>663.08747663738404</v>
      </c>
      <c r="N49" s="1">
        <v>673.86720839211205</v>
      </c>
      <c r="O49" s="1">
        <v>625.08016238170842</v>
      </c>
      <c r="P49" s="1">
        <v>647.1652151067392</v>
      </c>
      <c r="R49" s="1">
        <f>VLOOKUP(A49,Actual_RDNS!$A$2:$H$62,3,0)</f>
        <v>548.66</v>
      </c>
      <c r="S49" s="1">
        <f>VLOOKUP(A49,Actual_RDNS!$A$2:$H$62,4,0)</f>
        <v>739.6400000000001</v>
      </c>
      <c r="T49" s="1">
        <f>VLOOKUP(A49,Actual_RDNS!$A$2:$H$62,5,0)</f>
        <v>5.94</v>
      </c>
      <c r="U49" s="1">
        <f>VLOOKUP(A49,Actual_RDNS!$A$2:$H$62,6,0)</f>
        <v>639.36000000000013</v>
      </c>
      <c r="V49" s="1">
        <f>VLOOKUP(A49,Actual_RDNS!$A$2:$H$62,7,0)</f>
        <v>356.4</v>
      </c>
      <c r="W49" s="1">
        <f>VLOOKUP(A49,Actual_RDNS!$A$2:$H$62,8,0)</f>
        <v>667.8</v>
      </c>
      <c r="X49" s="111"/>
      <c r="Y49" s="111"/>
      <c r="Z49" s="111"/>
      <c r="AA49" s="111"/>
      <c r="AB49" s="111"/>
      <c r="AC49" s="111"/>
      <c r="AE49" s="97">
        <f t="shared" si="4"/>
        <v>0.83827191694061531</v>
      </c>
      <c r="AF49" s="97">
        <f t="shared" si="4"/>
        <v>1.1283734622198407</v>
      </c>
      <c r="AG49" s="97">
        <f t="shared" si="4"/>
        <v>9.2302296323742167E-3</v>
      </c>
      <c r="AH49" s="97">
        <f t="shared" si="4"/>
        <v>1.0026606725319112</v>
      </c>
      <c r="AI49" s="97">
        <f t="shared" si="4"/>
        <v>0.52751611342042881</v>
      </c>
      <c r="AJ49" s="97">
        <f t="shared" si="4"/>
        <v>1.0294586508425034</v>
      </c>
      <c r="AK49" s="99">
        <f t="shared" si="4"/>
        <v>0</v>
      </c>
      <c r="AL49" s="99">
        <f t="shared" si="4"/>
        <v>0</v>
      </c>
      <c r="AM49" s="99">
        <f t="shared" si="4"/>
        <v>0</v>
      </c>
      <c r="AN49" s="99">
        <f t="shared" si="4"/>
        <v>0</v>
      </c>
      <c r="AO49" s="99">
        <f t="shared" si="4"/>
        <v>0</v>
      </c>
      <c r="AP49" s="99">
        <f t="shared" si="4"/>
        <v>0</v>
      </c>
      <c r="AQ49" s="97"/>
      <c r="AR49" s="99">
        <f t="shared" si="5"/>
        <v>0.83830000000000005</v>
      </c>
      <c r="AS49" s="99">
        <f t="shared" si="5"/>
        <v>1.1284000000000001</v>
      </c>
      <c r="AT49" s="99">
        <f t="shared" si="5"/>
        <v>9.1999999999999998E-3</v>
      </c>
      <c r="AU49" s="99">
        <f t="shared" si="5"/>
        <v>1.0026999999999999</v>
      </c>
      <c r="AV49" s="99">
        <f t="shared" si="5"/>
        <v>0.52749999999999997</v>
      </c>
      <c r="AW49" s="99">
        <f t="shared" si="5"/>
        <v>1.0295000000000001</v>
      </c>
      <c r="AX49" s="99">
        <f t="shared" si="5"/>
        <v>0</v>
      </c>
      <c r="AY49" s="99">
        <f t="shared" si="5"/>
        <v>0</v>
      </c>
      <c r="AZ49" s="99">
        <f t="shared" si="5"/>
        <v>0</v>
      </c>
      <c r="BA49" s="99">
        <f t="shared" si="5"/>
        <v>0</v>
      </c>
      <c r="BB49" s="99">
        <f t="shared" si="5"/>
        <v>0</v>
      </c>
      <c r="BC49" s="99">
        <f t="shared" si="5"/>
        <v>0</v>
      </c>
      <c r="BD49" s="97"/>
      <c r="BE49" s="1">
        <f>IFERROR(VLOOKUP(AR49,'Top WS'!$A$19:$E$28,5),0)</f>
        <v>400</v>
      </c>
      <c r="BF49" s="1">
        <f>IFERROR(VLOOKUP(AS49,'Top WS'!$A$19:$E$28,5),0)</f>
        <v>460</v>
      </c>
      <c r="BG49" s="1">
        <f>IFERROR(VLOOKUP(AT49,'Top WS'!$A$19:$E$28,5),0)</f>
        <v>400</v>
      </c>
      <c r="BH49" s="1">
        <f>IFERROR(VLOOKUP(AU49,'Top WS'!$A$19:$E$28,5),0)</f>
        <v>412</v>
      </c>
      <c r="BI49" s="1">
        <f>IFERROR(VLOOKUP(AV49,'Top WS'!$A$19:$E$28,5),0)</f>
        <v>400</v>
      </c>
      <c r="BJ49" s="1">
        <f>IFERROR(VLOOKUP(AW49,'Top WS'!$A$19:$E$28,5),0)</f>
        <v>412</v>
      </c>
      <c r="BK49" s="98">
        <f>IFERROR(VLOOKUP(AX49,'Top WS'!$A$19:$E$28,5),0)</f>
        <v>400</v>
      </c>
      <c r="BL49" s="98">
        <f>IFERROR(VLOOKUP(AY49,'Top WS'!$A$19:$E$28,5),0)</f>
        <v>400</v>
      </c>
      <c r="BM49" s="98">
        <f>IFERROR(VLOOKUP(AZ49,'Top WS'!$A$19:$E$28,5),0)</f>
        <v>400</v>
      </c>
      <c r="BN49" s="98">
        <f>IFERROR(VLOOKUP(BA49,'Top WS'!$A$19:$E$28,5),0)</f>
        <v>400</v>
      </c>
      <c r="BO49" s="98">
        <f>IFERROR(VLOOKUP(BB49,'Top WS'!$A$19:$E$28,5),0)</f>
        <v>400</v>
      </c>
      <c r="BP49" s="98">
        <f>IFERROR(VLOOKUP(BC49,'Top WS'!$A$19:$E$28,5),0)</f>
        <v>400</v>
      </c>
    </row>
    <row r="50" spans="1:68" x14ac:dyDescent="0.4">
      <c r="A50">
        <v>1190044001</v>
      </c>
      <c r="B50">
        <f>VLOOKUP(A50,'Aji Plus'!$A$2:$D$58,2,0)</f>
        <v>78443</v>
      </c>
      <c r="C50" t="str">
        <f>VLOOKUP(A50,'Aji Plus'!$A$2:$D$58,3,0)</f>
        <v>นายจิตติพงศ์ สุระสา</v>
      </c>
      <c r="D50" t="str">
        <f>VLOOKUP(A50,'Aji Plus'!$A$2:$D$58,4,0)</f>
        <v>S.Nakon</v>
      </c>
      <c r="E50" s="1">
        <v>857.80245256674982</v>
      </c>
      <c r="F50" s="1">
        <v>859.08557700374956</v>
      </c>
      <c r="G50" s="1">
        <v>843.41795229933416</v>
      </c>
      <c r="H50" s="1">
        <v>835.71920567733673</v>
      </c>
      <c r="I50" s="1">
        <v>885.46391411385605</v>
      </c>
      <c r="J50" s="1">
        <v>850.17123880985787</v>
      </c>
      <c r="K50" s="1">
        <v>850.07669279871061</v>
      </c>
      <c r="L50" s="1">
        <v>866.35211328907337</v>
      </c>
      <c r="M50" s="1">
        <v>869.03992132026178</v>
      </c>
      <c r="N50" s="1">
        <v>883.1677967002779</v>
      </c>
      <c r="O50" s="1">
        <v>819.2276800186371</v>
      </c>
      <c r="P50" s="1">
        <v>848.17226600274284</v>
      </c>
      <c r="R50" s="1">
        <f>VLOOKUP(A50,Actual_RDNS!$A$2:$H$62,3,0)</f>
        <v>218.96</v>
      </c>
      <c r="S50" s="1">
        <f>VLOOKUP(A50,Actual_RDNS!$A$2:$H$62,4,0)</f>
        <v>1363.32</v>
      </c>
      <c r="T50" s="1">
        <f>VLOOKUP(A50,Actual_RDNS!$A$2:$H$62,5,0)</f>
        <v>202.49999999999997</v>
      </c>
      <c r="U50" s="1">
        <f>VLOOKUP(A50,Actual_RDNS!$A$2:$H$62,6,0)</f>
        <v>277.56</v>
      </c>
      <c r="V50" s="1">
        <f>VLOOKUP(A50,Actual_RDNS!$A$2:$H$62,7,0)</f>
        <v>261.46000000000004</v>
      </c>
      <c r="W50" s="1">
        <f>VLOOKUP(A50,Actual_RDNS!$A$2:$H$62,8,0)</f>
        <v>947.34</v>
      </c>
      <c r="X50" s="111"/>
      <c r="Y50" s="111"/>
      <c r="Z50" s="111"/>
      <c r="AA50" s="111"/>
      <c r="AB50" s="111"/>
      <c r="AC50" s="111"/>
      <c r="AE50" s="97">
        <f t="shared" si="4"/>
        <v>0.25525690599836753</v>
      </c>
      <c r="AF50" s="97">
        <f t="shared" si="4"/>
        <v>1.5869431829537626</v>
      </c>
      <c r="AG50" s="97">
        <f t="shared" si="4"/>
        <v>0.24009448630769895</v>
      </c>
      <c r="AH50" s="97">
        <f t="shared" si="4"/>
        <v>0.33212112168110602</v>
      </c>
      <c r="AI50" s="97">
        <f t="shared" si="4"/>
        <v>0.29528024330800745</v>
      </c>
      <c r="AJ50" s="97">
        <f t="shared" si="4"/>
        <v>1.1142931644290477</v>
      </c>
      <c r="AK50" s="99">
        <f t="shared" si="4"/>
        <v>0</v>
      </c>
      <c r="AL50" s="99">
        <f t="shared" si="4"/>
        <v>0</v>
      </c>
      <c r="AM50" s="99">
        <f t="shared" si="4"/>
        <v>0</v>
      </c>
      <c r="AN50" s="99">
        <f t="shared" si="4"/>
        <v>0</v>
      </c>
      <c r="AO50" s="99">
        <f t="shared" si="4"/>
        <v>0</v>
      </c>
      <c r="AP50" s="99">
        <f t="shared" si="4"/>
        <v>0</v>
      </c>
      <c r="AQ50" s="97"/>
      <c r="AR50" s="99">
        <f t="shared" si="5"/>
        <v>0.25530000000000003</v>
      </c>
      <c r="AS50" s="99">
        <f t="shared" si="5"/>
        <v>1.5869</v>
      </c>
      <c r="AT50" s="99">
        <f t="shared" si="5"/>
        <v>0.24010000000000001</v>
      </c>
      <c r="AU50" s="99">
        <f t="shared" si="5"/>
        <v>0.33210000000000001</v>
      </c>
      <c r="AV50" s="99">
        <f t="shared" si="5"/>
        <v>0.29530000000000001</v>
      </c>
      <c r="AW50" s="99">
        <f t="shared" si="5"/>
        <v>1.1143000000000001</v>
      </c>
      <c r="AX50" s="99">
        <f t="shared" si="5"/>
        <v>0</v>
      </c>
      <c r="AY50" s="99">
        <f t="shared" si="5"/>
        <v>0</v>
      </c>
      <c r="AZ50" s="99">
        <f t="shared" si="5"/>
        <v>0</v>
      </c>
      <c r="BA50" s="99">
        <f t="shared" si="5"/>
        <v>0</v>
      </c>
      <c r="BB50" s="99">
        <f t="shared" si="5"/>
        <v>0</v>
      </c>
      <c r="BC50" s="99">
        <f t="shared" si="5"/>
        <v>0</v>
      </c>
      <c r="BD50" s="97"/>
      <c r="BE50" s="1">
        <f>IFERROR(VLOOKUP(AR50,'Top WS'!$A$19:$E$28,5),0)</f>
        <v>400</v>
      </c>
      <c r="BF50" s="1">
        <f>IFERROR(VLOOKUP(AS50,'Top WS'!$A$19:$E$28,5),0)</f>
        <v>520</v>
      </c>
      <c r="BG50" s="1">
        <f>IFERROR(VLOOKUP(AT50,'Top WS'!$A$19:$E$28,5),0)</f>
        <v>400</v>
      </c>
      <c r="BH50" s="1">
        <f>IFERROR(VLOOKUP(AU50,'Top WS'!$A$19:$E$28,5),0)</f>
        <v>400</v>
      </c>
      <c r="BI50" s="1">
        <f>IFERROR(VLOOKUP(AV50,'Top WS'!$A$19:$E$28,5),0)</f>
        <v>400</v>
      </c>
      <c r="BJ50" s="1">
        <f>IFERROR(VLOOKUP(AW50,'Top WS'!$A$19:$E$28,5),0)</f>
        <v>460</v>
      </c>
      <c r="BK50" s="98">
        <f>IFERROR(VLOOKUP(AX50,'Top WS'!$A$19:$E$28,5),0)</f>
        <v>400</v>
      </c>
      <c r="BL50" s="98">
        <f>IFERROR(VLOOKUP(AY50,'Top WS'!$A$19:$E$28,5),0)</f>
        <v>400</v>
      </c>
      <c r="BM50" s="98">
        <f>IFERROR(VLOOKUP(AZ50,'Top WS'!$A$19:$E$28,5),0)</f>
        <v>400</v>
      </c>
      <c r="BN50" s="98">
        <f>IFERROR(VLOOKUP(BA50,'Top WS'!$A$19:$E$28,5),0)</f>
        <v>400</v>
      </c>
      <c r="BO50" s="98">
        <f>IFERROR(VLOOKUP(BB50,'Top WS'!$A$19:$E$28,5),0)</f>
        <v>400</v>
      </c>
      <c r="BP50" s="98">
        <f>IFERROR(VLOOKUP(BC50,'Top WS'!$A$19:$E$28,5),0)</f>
        <v>400</v>
      </c>
    </row>
    <row r="51" spans="1:68" x14ac:dyDescent="0.4">
      <c r="A51">
        <v>1190044002</v>
      </c>
      <c r="B51">
        <f>VLOOKUP(A51,'Aji Plus'!$A$2:$D$58,2,0)</f>
        <v>62434</v>
      </c>
      <c r="C51" t="str">
        <f>VLOOKUP(A51,'Aji Plus'!$A$2:$D$58,3,0)</f>
        <v>นายธนาวัฒน์ กงลีมา</v>
      </c>
      <c r="D51" t="str">
        <f>VLOOKUP(A51,'Aji Plus'!$A$2:$D$58,4,0)</f>
        <v>S.Nakon</v>
      </c>
      <c r="E51" s="1">
        <v>126.34356164003817</v>
      </c>
      <c r="F51" s="1">
        <v>126.53254980498552</v>
      </c>
      <c r="G51" s="1">
        <v>124.22490484352365</v>
      </c>
      <c r="H51" s="1">
        <v>123.09097585383977</v>
      </c>
      <c r="I51" s="1">
        <v>130.41774860648127</v>
      </c>
      <c r="J51" s="1">
        <v>125.21957939587787</v>
      </c>
      <c r="K51" s="1">
        <v>125.20565395214491</v>
      </c>
      <c r="L51" s="1">
        <v>127.60281962331871</v>
      </c>
      <c r="M51" s="1">
        <v>127.99870009515568</v>
      </c>
      <c r="N51" s="1">
        <v>130.0795592586808</v>
      </c>
      <c r="O51" s="1">
        <v>120.66198059699063</v>
      </c>
      <c r="P51" s="1">
        <v>124.92515572838103</v>
      </c>
      <c r="R51" s="1">
        <f>VLOOKUP(A51,Actual_RDNS!$A$2:$H$62,3,0)</f>
        <v>43.02</v>
      </c>
      <c r="S51" s="1">
        <f>VLOOKUP(A51,Actual_RDNS!$A$2:$H$62,4,0)</f>
        <v>358.02</v>
      </c>
      <c r="T51" s="1">
        <f>VLOOKUP(A51,Actual_RDNS!$A$2:$H$62,5,0)</f>
        <v>42.300000000000004</v>
      </c>
      <c r="U51" s="1">
        <f>VLOOKUP(A51,Actual_RDNS!$A$2:$H$62,6,0)</f>
        <v>109.8</v>
      </c>
      <c r="V51" s="1">
        <f>VLOOKUP(A51,Actual_RDNS!$A$2:$H$62,7,0)</f>
        <v>37.799999999999997</v>
      </c>
      <c r="W51" s="1">
        <f>VLOOKUP(A51,Actual_RDNS!$A$2:$H$62,8,0)</f>
        <v>219.41999999999996</v>
      </c>
      <c r="X51" s="111"/>
      <c r="Y51" s="111"/>
      <c r="Z51" s="111"/>
      <c r="AA51" s="111"/>
      <c r="AB51" s="111"/>
      <c r="AC51" s="111"/>
      <c r="AE51" s="97">
        <f t="shared" si="4"/>
        <v>0.34050013662403356</v>
      </c>
      <c r="AF51" s="97">
        <f t="shared" si="4"/>
        <v>2.8294695756292554</v>
      </c>
      <c r="AG51" s="97">
        <f t="shared" si="4"/>
        <v>0.34051143008144774</v>
      </c>
      <c r="AH51" s="97">
        <f t="shared" si="4"/>
        <v>0.89202314985607323</v>
      </c>
      <c r="AI51" s="97">
        <f t="shared" si="4"/>
        <v>0.2898378510892457</v>
      </c>
      <c r="AJ51" s="97">
        <f t="shared" si="4"/>
        <v>1.752281880027007</v>
      </c>
      <c r="AK51" s="99">
        <f t="shared" si="4"/>
        <v>0</v>
      </c>
      <c r="AL51" s="99">
        <f t="shared" si="4"/>
        <v>0</v>
      </c>
      <c r="AM51" s="99">
        <f t="shared" si="4"/>
        <v>0</v>
      </c>
      <c r="AN51" s="99">
        <f t="shared" si="4"/>
        <v>0</v>
      </c>
      <c r="AO51" s="99">
        <f t="shared" si="4"/>
        <v>0</v>
      </c>
      <c r="AP51" s="99">
        <f t="shared" si="4"/>
        <v>0</v>
      </c>
      <c r="AQ51" s="97"/>
      <c r="AR51" s="99">
        <f t="shared" si="5"/>
        <v>0.34050000000000002</v>
      </c>
      <c r="AS51" s="99">
        <f t="shared" si="5"/>
        <v>2.8294999999999999</v>
      </c>
      <c r="AT51" s="99">
        <f t="shared" si="5"/>
        <v>0.34050000000000002</v>
      </c>
      <c r="AU51" s="99">
        <f t="shared" si="5"/>
        <v>0.89200000000000002</v>
      </c>
      <c r="AV51" s="99">
        <f t="shared" si="5"/>
        <v>0.2898</v>
      </c>
      <c r="AW51" s="99">
        <f t="shared" si="5"/>
        <v>1.7523</v>
      </c>
      <c r="AX51" s="99">
        <f t="shared" si="5"/>
        <v>0</v>
      </c>
      <c r="AY51" s="99">
        <f t="shared" si="5"/>
        <v>0</v>
      </c>
      <c r="AZ51" s="99">
        <f t="shared" si="5"/>
        <v>0</v>
      </c>
      <c r="BA51" s="99">
        <f t="shared" si="5"/>
        <v>0</v>
      </c>
      <c r="BB51" s="99">
        <f t="shared" si="5"/>
        <v>0</v>
      </c>
      <c r="BC51" s="99">
        <f t="shared" si="5"/>
        <v>0</v>
      </c>
      <c r="BD51" s="97"/>
      <c r="BE51" s="1">
        <f>IFERROR(VLOOKUP(AR51,'Top WS'!$A$19:$E$28,5),0)</f>
        <v>400</v>
      </c>
      <c r="BF51" s="1">
        <f>IFERROR(VLOOKUP(AS51,'Top WS'!$A$19:$E$28,5),0)</f>
        <v>520</v>
      </c>
      <c r="BG51" s="1">
        <f>IFERROR(VLOOKUP(AT51,'Top WS'!$A$19:$E$28,5),0)</f>
        <v>400</v>
      </c>
      <c r="BH51" s="1">
        <f>IFERROR(VLOOKUP(AU51,'Top WS'!$A$19:$E$28,5),0)</f>
        <v>400</v>
      </c>
      <c r="BI51" s="1">
        <f>IFERROR(VLOOKUP(AV51,'Top WS'!$A$19:$E$28,5),0)</f>
        <v>400</v>
      </c>
      <c r="BJ51" s="1">
        <f>IFERROR(VLOOKUP(AW51,'Top WS'!$A$19:$E$28,5),0)</f>
        <v>520</v>
      </c>
      <c r="BK51" s="98">
        <f>IFERROR(VLOOKUP(AX51,'Top WS'!$A$19:$E$28,5),0)</f>
        <v>400</v>
      </c>
      <c r="BL51" s="98">
        <f>IFERROR(VLOOKUP(AY51,'Top WS'!$A$19:$E$28,5),0)</f>
        <v>400</v>
      </c>
      <c r="BM51" s="98">
        <f>IFERROR(VLOOKUP(AZ51,'Top WS'!$A$19:$E$28,5),0)</f>
        <v>400</v>
      </c>
      <c r="BN51" s="98">
        <f>IFERROR(VLOOKUP(BA51,'Top WS'!$A$19:$E$28,5),0)</f>
        <v>400</v>
      </c>
      <c r="BO51" s="98">
        <f>IFERROR(VLOOKUP(BB51,'Top WS'!$A$19:$E$28,5),0)</f>
        <v>400</v>
      </c>
      <c r="BP51" s="98">
        <f>IFERROR(VLOOKUP(BC51,'Top WS'!$A$19:$E$28,5),0)</f>
        <v>400</v>
      </c>
    </row>
    <row r="52" spans="1:68" x14ac:dyDescent="0.4">
      <c r="A52">
        <v>1190044101</v>
      </c>
      <c r="B52">
        <f>VLOOKUP(A52,'Aji Plus'!$A$2:$D$58,2,0)</f>
        <v>61187</v>
      </c>
      <c r="C52" t="str">
        <f>VLOOKUP(A52,'Aji Plus'!$A$2:$D$58,3,0)</f>
        <v>นายสามารถ กิจกรองกาญ</v>
      </c>
      <c r="D52" t="str">
        <f>VLOOKUP(A52,'Aji Plus'!$A$2:$D$58,4,0)</f>
        <v>Chumphae</v>
      </c>
      <c r="E52" s="1">
        <v>1119</v>
      </c>
      <c r="F52" s="1">
        <v>1121</v>
      </c>
      <c r="G52" s="1">
        <v>1100</v>
      </c>
      <c r="H52" s="1">
        <v>1090</v>
      </c>
      <c r="I52" s="1">
        <v>1155</v>
      </c>
      <c r="J52" s="1">
        <v>1109</v>
      </c>
      <c r="K52" s="1">
        <v>1109</v>
      </c>
      <c r="L52" s="1">
        <v>1130</v>
      </c>
      <c r="M52" s="1">
        <v>1134</v>
      </c>
      <c r="N52" s="1">
        <v>1152</v>
      </c>
      <c r="O52" s="1">
        <v>1075</v>
      </c>
      <c r="P52" s="1">
        <v>1106</v>
      </c>
      <c r="R52" s="1">
        <f>VLOOKUP(A52,Actual_RDNS!$A$2:$H$62,3,0)</f>
        <v>871.92</v>
      </c>
      <c r="S52" s="1">
        <f>VLOOKUP(A52,Actual_RDNS!$A$2:$H$62,4,0)</f>
        <v>2148.48</v>
      </c>
      <c r="T52" s="1">
        <f>VLOOKUP(A52,Actual_RDNS!$A$2:$H$62,5,0)</f>
        <v>196.55999999999997</v>
      </c>
      <c r="U52" s="1">
        <f>VLOOKUP(A52,Actual_RDNS!$A$2:$H$62,6,0)</f>
        <v>59.400000000000006</v>
      </c>
      <c r="V52" s="1">
        <f>VLOOKUP(A52,Actual_RDNS!$A$2:$H$62,7,0)</f>
        <v>442.97999999999996</v>
      </c>
      <c r="W52" s="1">
        <f>VLOOKUP(A52,Actual_RDNS!$A$2:$H$62,8,0)</f>
        <v>836.64</v>
      </c>
      <c r="X52" s="111"/>
      <c r="Y52" s="111"/>
      <c r="Z52" s="111"/>
      <c r="AA52" s="111"/>
      <c r="AB52" s="111"/>
      <c r="AC52" s="111"/>
      <c r="AE52" s="97">
        <f t="shared" si="4"/>
        <v>0.77919571045576408</v>
      </c>
      <c r="AF52" s="97">
        <f t="shared" si="4"/>
        <v>1.9165744870651205</v>
      </c>
      <c r="AG52" s="97">
        <f t="shared" si="4"/>
        <v>0.17869090909090907</v>
      </c>
      <c r="AH52" s="97">
        <f t="shared" si="4"/>
        <v>5.4495412844036702E-2</v>
      </c>
      <c r="AI52" s="97">
        <f t="shared" si="4"/>
        <v>0.3835324675324675</v>
      </c>
      <c r="AJ52" s="97">
        <f t="shared" si="4"/>
        <v>0.75440937781785389</v>
      </c>
      <c r="AK52" s="99">
        <f t="shared" si="4"/>
        <v>0</v>
      </c>
      <c r="AL52" s="99">
        <f t="shared" si="4"/>
        <v>0</v>
      </c>
      <c r="AM52" s="99">
        <f t="shared" si="4"/>
        <v>0</v>
      </c>
      <c r="AN52" s="99">
        <f t="shared" si="4"/>
        <v>0</v>
      </c>
      <c r="AO52" s="99">
        <f t="shared" si="4"/>
        <v>0</v>
      </c>
      <c r="AP52" s="99">
        <f t="shared" si="4"/>
        <v>0</v>
      </c>
      <c r="AQ52" s="97"/>
      <c r="AR52" s="99">
        <f t="shared" si="5"/>
        <v>0.7792</v>
      </c>
      <c r="AS52" s="99">
        <f t="shared" si="5"/>
        <v>1.9166000000000001</v>
      </c>
      <c r="AT52" s="99">
        <f t="shared" si="5"/>
        <v>0.1787</v>
      </c>
      <c r="AU52" s="99">
        <f t="shared" si="5"/>
        <v>5.45E-2</v>
      </c>
      <c r="AV52" s="99">
        <f t="shared" si="5"/>
        <v>0.38350000000000001</v>
      </c>
      <c r="AW52" s="99">
        <f t="shared" si="5"/>
        <v>0.75439999999999996</v>
      </c>
      <c r="AX52" s="99">
        <f t="shared" si="5"/>
        <v>0</v>
      </c>
      <c r="AY52" s="99">
        <f t="shared" si="5"/>
        <v>0</v>
      </c>
      <c r="AZ52" s="99">
        <f t="shared" si="5"/>
        <v>0</v>
      </c>
      <c r="BA52" s="99">
        <f t="shared" si="5"/>
        <v>0</v>
      </c>
      <c r="BB52" s="99">
        <f t="shared" si="5"/>
        <v>0</v>
      </c>
      <c r="BC52" s="99">
        <f t="shared" si="5"/>
        <v>0</v>
      </c>
      <c r="BD52" s="97"/>
      <c r="BE52" s="1">
        <f>IFERROR(VLOOKUP(AR52,'Top WS'!$A$19:$E$28,5),0)</f>
        <v>400</v>
      </c>
      <c r="BF52" s="1">
        <f>IFERROR(VLOOKUP(AS52,'Top WS'!$A$19:$E$28,5),0)</f>
        <v>520</v>
      </c>
      <c r="BG52" s="1">
        <f>IFERROR(VLOOKUP(AT52,'Top WS'!$A$19:$E$28,5),0)</f>
        <v>400</v>
      </c>
      <c r="BH52" s="1">
        <f>IFERROR(VLOOKUP(AU52,'Top WS'!$A$19:$E$28,5),0)</f>
        <v>400</v>
      </c>
      <c r="BI52" s="1">
        <f>IFERROR(VLOOKUP(AV52,'Top WS'!$A$19:$E$28,5),0)</f>
        <v>400</v>
      </c>
      <c r="BJ52" s="1">
        <f>IFERROR(VLOOKUP(AW52,'Top WS'!$A$19:$E$28,5),0)</f>
        <v>400</v>
      </c>
      <c r="BK52" s="98">
        <f>IFERROR(VLOOKUP(AX52,'Top WS'!$A$19:$E$28,5),0)</f>
        <v>400</v>
      </c>
      <c r="BL52" s="98">
        <f>IFERROR(VLOOKUP(AY52,'Top WS'!$A$19:$E$28,5),0)</f>
        <v>400</v>
      </c>
      <c r="BM52" s="98">
        <f>IFERROR(VLOOKUP(AZ52,'Top WS'!$A$19:$E$28,5),0)</f>
        <v>400</v>
      </c>
      <c r="BN52" s="98">
        <f>IFERROR(VLOOKUP(BA52,'Top WS'!$A$19:$E$28,5),0)</f>
        <v>400</v>
      </c>
      <c r="BO52" s="98">
        <f>IFERROR(VLOOKUP(BB52,'Top WS'!$A$19:$E$28,5),0)</f>
        <v>400</v>
      </c>
      <c r="BP52" s="98">
        <f>IFERROR(VLOOKUP(BC52,'Top WS'!$A$19:$E$28,5),0)</f>
        <v>400</v>
      </c>
    </row>
    <row r="53" spans="1:68" x14ac:dyDescent="0.4">
      <c r="A53">
        <v>1190054201</v>
      </c>
      <c r="B53">
        <f>VLOOKUP(A53,'Aji Plus'!$A$2:$D$58,2,0)</f>
        <v>75411</v>
      </c>
      <c r="C53" t="str">
        <f>VLOOKUP(A53,'Aji Plus'!$A$2:$D$58,3,0)</f>
        <v>นายจักรภัทร เซ่งสวัสดิ์</v>
      </c>
      <c r="D53" t="str">
        <f>VLOOKUP(A53,'Aji Plus'!$A$2:$D$58,4,0)</f>
        <v>Hat-yai</v>
      </c>
      <c r="E53" s="1">
        <v>359.88380106066313</v>
      </c>
      <c r="F53" s="1">
        <v>372.19304160061859</v>
      </c>
      <c r="G53" s="1">
        <v>395.06731177962911</v>
      </c>
      <c r="H53" s="1">
        <v>385.97735407338763</v>
      </c>
      <c r="I53" s="1">
        <v>434.3018615725116</v>
      </c>
      <c r="J53" s="1">
        <v>326.74422664285061</v>
      </c>
      <c r="K53" s="1">
        <v>372.07291345589931</v>
      </c>
      <c r="L53" s="1">
        <v>364.97123610262815</v>
      </c>
      <c r="M53" s="1">
        <v>318.251934852479</v>
      </c>
      <c r="N53" s="1">
        <v>421.45318021699762</v>
      </c>
      <c r="O53" s="1">
        <v>353.61501578327159</v>
      </c>
      <c r="P53" s="1">
        <v>329.4681228590585</v>
      </c>
      <c r="R53" s="1">
        <f>VLOOKUP(A53,Actual_RDNS!$A$2:$H$62,3,0)</f>
        <v>185.39999999999998</v>
      </c>
      <c r="S53" s="1">
        <f>VLOOKUP(A53,Actual_RDNS!$A$2:$H$62,4,0)</f>
        <v>1238.04</v>
      </c>
      <c r="T53" s="1">
        <f>VLOOKUP(A53,Actual_RDNS!$A$2:$H$62,5,0)</f>
        <v>216.59999999999997</v>
      </c>
      <c r="U53" s="1">
        <f>VLOOKUP(A53,Actual_RDNS!$A$2:$H$62,6,0)</f>
        <v>101.9</v>
      </c>
      <c r="V53" s="1">
        <f>VLOOKUP(A53,Actual_RDNS!$A$2:$H$62,7,0)</f>
        <v>55.2</v>
      </c>
      <c r="W53" s="1">
        <f>VLOOKUP(A53,Actual_RDNS!$A$2:$H$62,8,0)</f>
        <v>164.9</v>
      </c>
      <c r="X53" s="111"/>
      <c r="Y53" s="111"/>
      <c r="Z53" s="111"/>
      <c r="AA53" s="111"/>
      <c r="AB53" s="111"/>
      <c r="AC53" s="111"/>
      <c r="AE53" s="97">
        <f t="shared" si="4"/>
        <v>0.51516628271009168</v>
      </c>
      <c r="AF53" s="97">
        <f t="shared" si="4"/>
        <v>3.3263383825656732</v>
      </c>
      <c r="AG53" s="97">
        <f t="shared" si="4"/>
        <v>0.54826100145896339</v>
      </c>
      <c r="AH53" s="97">
        <f t="shared" si="4"/>
        <v>0.26400512601219939</v>
      </c>
      <c r="AI53" s="97">
        <f t="shared" si="4"/>
        <v>0.12710053740072155</v>
      </c>
      <c r="AJ53" s="97">
        <f t="shared" si="4"/>
        <v>0.5046760938801369</v>
      </c>
      <c r="AK53" s="99">
        <f t="shared" si="4"/>
        <v>0</v>
      </c>
      <c r="AL53" s="99">
        <f t="shared" si="4"/>
        <v>0</v>
      </c>
      <c r="AM53" s="99">
        <f t="shared" si="4"/>
        <v>0</v>
      </c>
      <c r="AN53" s="99">
        <f t="shared" si="4"/>
        <v>0</v>
      </c>
      <c r="AO53" s="99">
        <f t="shared" si="4"/>
        <v>0</v>
      </c>
      <c r="AP53" s="99">
        <f t="shared" si="4"/>
        <v>0</v>
      </c>
      <c r="AQ53" s="97"/>
      <c r="AR53" s="99">
        <f t="shared" si="5"/>
        <v>0.51519999999999999</v>
      </c>
      <c r="AS53" s="99">
        <f t="shared" si="5"/>
        <v>3.3262999999999998</v>
      </c>
      <c r="AT53" s="99">
        <f t="shared" si="5"/>
        <v>0.54830000000000001</v>
      </c>
      <c r="AU53" s="99">
        <f t="shared" si="5"/>
        <v>0.26400000000000001</v>
      </c>
      <c r="AV53" s="99">
        <f t="shared" si="5"/>
        <v>0.12709999999999999</v>
      </c>
      <c r="AW53" s="99">
        <f t="shared" si="5"/>
        <v>0.50470000000000004</v>
      </c>
      <c r="AX53" s="99">
        <f t="shared" si="5"/>
        <v>0</v>
      </c>
      <c r="AY53" s="99">
        <f t="shared" si="5"/>
        <v>0</v>
      </c>
      <c r="AZ53" s="99">
        <f t="shared" si="5"/>
        <v>0</v>
      </c>
      <c r="BA53" s="99">
        <f t="shared" si="5"/>
        <v>0</v>
      </c>
      <c r="BB53" s="99">
        <f t="shared" si="5"/>
        <v>0</v>
      </c>
      <c r="BC53" s="99">
        <f t="shared" si="5"/>
        <v>0</v>
      </c>
      <c r="BD53" s="97"/>
      <c r="BE53" s="1">
        <f>IFERROR(VLOOKUP(AR53,'Top WS'!$A$19:$E$28,5),0)</f>
        <v>400</v>
      </c>
      <c r="BF53" s="1">
        <f>IFERROR(VLOOKUP(AS53,'Top WS'!$A$19:$E$28,5),0)</f>
        <v>520</v>
      </c>
      <c r="BG53" s="1">
        <f>IFERROR(VLOOKUP(AT53,'Top WS'!$A$19:$E$28,5),0)</f>
        <v>400</v>
      </c>
      <c r="BH53" s="1">
        <f>IFERROR(VLOOKUP(AU53,'Top WS'!$A$19:$E$28,5),0)</f>
        <v>400</v>
      </c>
      <c r="BI53" s="1">
        <f>IFERROR(VLOOKUP(AV53,'Top WS'!$A$19:$E$28,5),0)</f>
        <v>400</v>
      </c>
      <c r="BJ53" s="1">
        <f>IFERROR(VLOOKUP(AW53,'Top WS'!$A$19:$E$28,5),0)</f>
        <v>400</v>
      </c>
      <c r="BK53" s="98">
        <f>IFERROR(VLOOKUP(AX53,'Top WS'!$A$19:$E$28,5),0)</f>
        <v>400</v>
      </c>
      <c r="BL53" s="98">
        <f>IFERROR(VLOOKUP(AY53,'Top WS'!$A$19:$E$28,5),0)</f>
        <v>400</v>
      </c>
      <c r="BM53" s="98">
        <f>IFERROR(VLOOKUP(AZ53,'Top WS'!$A$19:$E$28,5),0)</f>
        <v>400</v>
      </c>
      <c r="BN53" s="98">
        <f>IFERROR(VLOOKUP(BA53,'Top WS'!$A$19:$E$28,5),0)</f>
        <v>400</v>
      </c>
      <c r="BO53" s="98">
        <f>IFERROR(VLOOKUP(BB53,'Top WS'!$A$19:$E$28,5),0)</f>
        <v>400</v>
      </c>
      <c r="BP53" s="98">
        <f>IFERROR(VLOOKUP(BC53,'Top WS'!$A$19:$E$28,5),0)</f>
        <v>400</v>
      </c>
    </row>
    <row r="54" spans="1:68" x14ac:dyDescent="0.4">
      <c r="A54">
        <v>1190054202</v>
      </c>
      <c r="B54">
        <f>VLOOKUP(A54,'Aji Plus'!$A$2:$D$58,2,0)</f>
        <v>65181</v>
      </c>
      <c r="C54" t="str">
        <f>VLOOKUP(A54,'Aji Plus'!$A$2:$D$58,3,0)</f>
        <v>นายอวิรุทธ์ บัวหลวง</v>
      </c>
      <c r="D54" t="str">
        <f>VLOOKUP(A54,'Aji Plus'!$A$2:$D$58,4,0)</f>
        <v>Hat-yai</v>
      </c>
      <c r="E54" s="1">
        <v>204.2101135472775</v>
      </c>
      <c r="F54" s="1">
        <v>211.19478860332802</v>
      </c>
      <c r="G54" s="1">
        <v>224.17441507387164</v>
      </c>
      <c r="H54" s="1">
        <v>219.01646884272512</v>
      </c>
      <c r="I54" s="1">
        <v>246.4374117538203</v>
      </c>
      <c r="J54" s="1">
        <v>185.40560988574924</v>
      </c>
      <c r="K54" s="1">
        <v>211.12662387348729</v>
      </c>
      <c r="L54" s="1">
        <v>207.09689445967803</v>
      </c>
      <c r="M54" s="1">
        <v>180.58679929833946</v>
      </c>
      <c r="N54" s="1">
        <v>239.14663992466529</v>
      </c>
      <c r="O54" s="1">
        <v>200.65299497309681</v>
      </c>
      <c r="P54" s="1">
        <v>186.95123976395831</v>
      </c>
      <c r="R54" s="1">
        <f>VLOOKUP(A54,Actual_RDNS!$A$2:$H$62,3,0)</f>
        <v>231.68</v>
      </c>
      <c r="S54" s="1">
        <f>VLOOKUP(A54,Actual_RDNS!$A$2:$H$62,4,0)</f>
        <v>835.57999999999993</v>
      </c>
      <c r="T54" s="1">
        <f>VLOOKUP(A54,Actual_RDNS!$A$2:$H$62,5,0)</f>
        <v>12.6</v>
      </c>
      <c r="U54" s="1">
        <f>VLOOKUP(A54,Actual_RDNS!$A$2:$H$62,6,0)</f>
        <v>140.92000000000002</v>
      </c>
      <c r="V54" s="1">
        <f>VLOOKUP(A54,Actual_RDNS!$A$2:$H$62,7,0)</f>
        <v>32.260000000000005</v>
      </c>
      <c r="W54" s="1">
        <f>VLOOKUP(A54,Actual_RDNS!$A$2:$H$62,8,0)</f>
        <v>511.85999999999996</v>
      </c>
      <c r="X54" s="111"/>
      <c r="Y54" s="111"/>
      <c r="Z54" s="111"/>
      <c r="AA54" s="111"/>
      <c r="AB54" s="111"/>
      <c r="AC54" s="111"/>
      <c r="AE54" s="97">
        <f t="shared" si="4"/>
        <v>1.1345177571059077</v>
      </c>
      <c r="AF54" s="97">
        <f t="shared" si="4"/>
        <v>3.9564423228709953</v>
      </c>
      <c r="AG54" s="97">
        <f t="shared" si="4"/>
        <v>5.6206235648470201E-2</v>
      </c>
      <c r="AH54" s="97">
        <f t="shared" si="4"/>
        <v>0.6434219341797266</v>
      </c>
      <c r="AI54" s="97">
        <f t="shared" si="4"/>
        <v>0.13090544885378957</v>
      </c>
      <c r="AJ54" s="97">
        <f t="shared" si="4"/>
        <v>2.7607578881535386</v>
      </c>
      <c r="AK54" s="99">
        <f t="shared" si="4"/>
        <v>0</v>
      </c>
      <c r="AL54" s="99">
        <f t="shared" si="4"/>
        <v>0</v>
      </c>
      <c r="AM54" s="99">
        <f t="shared" si="4"/>
        <v>0</v>
      </c>
      <c r="AN54" s="99">
        <f t="shared" si="4"/>
        <v>0</v>
      </c>
      <c r="AO54" s="99">
        <f t="shared" si="4"/>
        <v>0</v>
      </c>
      <c r="AP54" s="99">
        <f t="shared" si="4"/>
        <v>0</v>
      </c>
      <c r="AQ54" s="97"/>
      <c r="AR54" s="99">
        <f t="shared" si="5"/>
        <v>1.1345000000000001</v>
      </c>
      <c r="AS54" s="99">
        <f t="shared" si="5"/>
        <v>3.9563999999999999</v>
      </c>
      <c r="AT54" s="99">
        <f t="shared" si="5"/>
        <v>5.62E-2</v>
      </c>
      <c r="AU54" s="99">
        <f t="shared" si="5"/>
        <v>0.64339999999999997</v>
      </c>
      <c r="AV54" s="99">
        <f t="shared" si="5"/>
        <v>0.13089999999999999</v>
      </c>
      <c r="AW54" s="99">
        <f t="shared" si="5"/>
        <v>2.7608000000000001</v>
      </c>
      <c r="AX54" s="99">
        <f t="shared" si="5"/>
        <v>0</v>
      </c>
      <c r="AY54" s="99">
        <f t="shared" si="5"/>
        <v>0</v>
      </c>
      <c r="AZ54" s="99">
        <f t="shared" si="5"/>
        <v>0</v>
      </c>
      <c r="BA54" s="99">
        <f t="shared" si="5"/>
        <v>0</v>
      </c>
      <c r="BB54" s="99">
        <f t="shared" si="5"/>
        <v>0</v>
      </c>
      <c r="BC54" s="99">
        <f t="shared" si="5"/>
        <v>0</v>
      </c>
      <c r="BD54" s="97"/>
      <c r="BE54" s="1">
        <f>IFERROR(VLOOKUP(AR54,'Top WS'!$A$19:$E$28,5),0)</f>
        <v>460</v>
      </c>
      <c r="BF54" s="1">
        <f>IFERROR(VLOOKUP(AS54,'Top WS'!$A$19:$E$28,5),0)</f>
        <v>520</v>
      </c>
      <c r="BG54" s="1">
        <f>IFERROR(VLOOKUP(AT54,'Top WS'!$A$19:$E$28,5),0)</f>
        <v>400</v>
      </c>
      <c r="BH54" s="1">
        <f>IFERROR(VLOOKUP(AU54,'Top WS'!$A$19:$E$28,5),0)</f>
        <v>400</v>
      </c>
      <c r="BI54" s="1">
        <f>IFERROR(VLOOKUP(AV54,'Top WS'!$A$19:$E$28,5),0)</f>
        <v>400</v>
      </c>
      <c r="BJ54" s="1">
        <f>IFERROR(VLOOKUP(AW54,'Top WS'!$A$19:$E$28,5),0)</f>
        <v>520</v>
      </c>
      <c r="BK54" s="98">
        <f>IFERROR(VLOOKUP(AX54,'Top WS'!$A$19:$E$28,5),0)</f>
        <v>400</v>
      </c>
      <c r="BL54" s="98">
        <f>IFERROR(VLOOKUP(AY54,'Top WS'!$A$19:$E$28,5),0)</f>
        <v>400</v>
      </c>
      <c r="BM54" s="98">
        <f>IFERROR(VLOOKUP(AZ54,'Top WS'!$A$19:$E$28,5),0)</f>
        <v>400</v>
      </c>
      <c r="BN54" s="98">
        <f>IFERROR(VLOOKUP(BA54,'Top WS'!$A$19:$E$28,5),0)</f>
        <v>400</v>
      </c>
      <c r="BO54" s="98">
        <f>IFERROR(VLOOKUP(BB54,'Top WS'!$A$19:$E$28,5),0)</f>
        <v>400</v>
      </c>
      <c r="BP54" s="98">
        <f>IFERROR(VLOOKUP(BC54,'Top WS'!$A$19:$E$28,5),0)</f>
        <v>400</v>
      </c>
    </row>
    <row r="55" spans="1:68" x14ac:dyDescent="0.4">
      <c r="A55">
        <v>1190054301</v>
      </c>
      <c r="B55">
        <f>VLOOKUP(A55,'Aji Plus'!$A$2:$D$58,2,0)</f>
        <v>61802</v>
      </c>
      <c r="C55" t="str">
        <f>VLOOKUP(A55,'Aji Plus'!$A$2:$D$58,3,0)</f>
        <v>นายภาคภูมิ รักท้วม</v>
      </c>
      <c r="D55" t="str">
        <f>VLOOKUP(A55,'Aji Plus'!$A$2:$D$58,4,0)</f>
        <v>Suratthani</v>
      </c>
      <c r="E55" s="1">
        <v>70</v>
      </c>
      <c r="F55" s="1">
        <v>70</v>
      </c>
      <c r="G55" s="1">
        <v>60</v>
      </c>
      <c r="H55" s="1">
        <v>70</v>
      </c>
      <c r="I55" s="1">
        <v>70</v>
      </c>
      <c r="J55" s="1">
        <v>60</v>
      </c>
      <c r="K55" s="1">
        <v>70</v>
      </c>
      <c r="L55" s="1">
        <v>70</v>
      </c>
      <c r="M55" s="1">
        <v>60</v>
      </c>
      <c r="N55" s="1">
        <v>70</v>
      </c>
      <c r="O55" s="1">
        <v>60</v>
      </c>
      <c r="P55" s="1">
        <v>60</v>
      </c>
      <c r="R55" s="1">
        <f>VLOOKUP(A55,Actual_RDNS!$A$2:$H$62,3,0)</f>
        <v>155.69999999999999</v>
      </c>
      <c r="S55" s="1">
        <f>VLOOKUP(A55,Actual_RDNS!$A$2:$H$62,4,0)</f>
        <v>501.12</v>
      </c>
      <c r="T55" s="1">
        <f>VLOOKUP(A55,Actual_RDNS!$A$2:$H$62,5,0)</f>
        <v>155.69999999999999</v>
      </c>
      <c r="U55" s="1">
        <f>VLOOKUP(A55,Actual_RDNS!$A$2:$H$62,6,0)</f>
        <v>103.03999999999999</v>
      </c>
      <c r="V55" s="1">
        <f>VLOOKUP(A55,Actual_RDNS!$A$2:$H$62,7,0)</f>
        <v>74.88</v>
      </c>
      <c r="W55" s="1">
        <f>VLOOKUP(A55,Actual_RDNS!$A$2:$H$62,8,0)</f>
        <v>104.58</v>
      </c>
      <c r="X55" s="111"/>
      <c r="Y55" s="111"/>
      <c r="Z55" s="111"/>
      <c r="AA55" s="111"/>
      <c r="AB55" s="111"/>
      <c r="AC55" s="111"/>
      <c r="AE55" s="97">
        <f t="shared" si="4"/>
        <v>2.2242857142857142</v>
      </c>
      <c r="AF55" s="97">
        <f t="shared" si="4"/>
        <v>7.1588571428571433</v>
      </c>
      <c r="AG55" s="97">
        <f t="shared" si="4"/>
        <v>2.5949999999999998</v>
      </c>
      <c r="AH55" s="97">
        <f t="shared" si="4"/>
        <v>1.472</v>
      </c>
      <c r="AI55" s="97">
        <f t="shared" si="4"/>
        <v>1.0697142857142856</v>
      </c>
      <c r="AJ55" s="97">
        <f t="shared" si="4"/>
        <v>1.7429999999999999</v>
      </c>
      <c r="AK55" s="99">
        <f t="shared" si="4"/>
        <v>0</v>
      </c>
      <c r="AL55" s="99">
        <f t="shared" si="4"/>
        <v>0</v>
      </c>
      <c r="AM55" s="99">
        <f t="shared" si="4"/>
        <v>0</v>
      </c>
      <c r="AN55" s="99">
        <f t="shared" si="4"/>
        <v>0</v>
      </c>
      <c r="AO55" s="99">
        <f t="shared" si="4"/>
        <v>0</v>
      </c>
      <c r="AP55" s="99">
        <f t="shared" si="4"/>
        <v>0</v>
      </c>
      <c r="AQ55" s="97"/>
      <c r="AR55" s="99">
        <f t="shared" si="5"/>
        <v>2.2242999999999999</v>
      </c>
      <c r="AS55" s="99">
        <f t="shared" si="5"/>
        <v>7.1589</v>
      </c>
      <c r="AT55" s="99">
        <f t="shared" si="5"/>
        <v>2.5950000000000002</v>
      </c>
      <c r="AU55" s="99">
        <f t="shared" si="5"/>
        <v>1.472</v>
      </c>
      <c r="AV55" s="99">
        <f t="shared" si="5"/>
        <v>1.0697000000000001</v>
      </c>
      <c r="AW55" s="99">
        <f t="shared" si="5"/>
        <v>1.7430000000000001</v>
      </c>
      <c r="AX55" s="99">
        <f t="shared" si="5"/>
        <v>0</v>
      </c>
      <c r="AY55" s="99">
        <f t="shared" si="5"/>
        <v>0</v>
      </c>
      <c r="AZ55" s="99">
        <f t="shared" si="5"/>
        <v>0</v>
      </c>
      <c r="BA55" s="99">
        <f t="shared" si="5"/>
        <v>0</v>
      </c>
      <c r="BB55" s="99">
        <f t="shared" si="5"/>
        <v>0</v>
      </c>
      <c r="BC55" s="99">
        <f t="shared" si="5"/>
        <v>0</v>
      </c>
      <c r="BD55" s="97"/>
      <c r="BE55" s="1">
        <f>IFERROR(VLOOKUP(AR55,'Top WS'!$A$19:$E$28,5),0)</f>
        <v>520</v>
      </c>
      <c r="BF55" s="1">
        <f>IFERROR(VLOOKUP(AS55,'Top WS'!$A$19:$E$28,5),0)</f>
        <v>520</v>
      </c>
      <c r="BG55" s="1">
        <f>IFERROR(VLOOKUP(AT55,'Top WS'!$A$19:$E$28,5),0)</f>
        <v>520</v>
      </c>
      <c r="BH55" s="1">
        <f>IFERROR(VLOOKUP(AU55,'Top WS'!$A$19:$E$28,5),0)</f>
        <v>520</v>
      </c>
      <c r="BI55" s="1">
        <f>IFERROR(VLOOKUP(AV55,'Top WS'!$A$19:$E$28,5),0)</f>
        <v>440</v>
      </c>
      <c r="BJ55" s="1">
        <f>IFERROR(VLOOKUP(AW55,'Top WS'!$A$19:$E$28,5),0)</f>
        <v>520</v>
      </c>
      <c r="BK55" s="98">
        <f>IFERROR(VLOOKUP(AX55,'Top WS'!$A$19:$E$28,5),0)</f>
        <v>400</v>
      </c>
      <c r="BL55" s="98">
        <f>IFERROR(VLOOKUP(AY55,'Top WS'!$A$19:$E$28,5),0)</f>
        <v>400</v>
      </c>
      <c r="BM55" s="98">
        <f>IFERROR(VLOOKUP(AZ55,'Top WS'!$A$19:$E$28,5),0)</f>
        <v>400</v>
      </c>
      <c r="BN55" s="98">
        <f>IFERROR(VLOOKUP(BA55,'Top WS'!$A$19:$E$28,5),0)</f>
        <v>400</v>
      </c>
      <c r="BO55" s="98">
        <f>IFERROR(VLOOKUP(BB55,'Top WS'!$A$19:$E$28,5),0)</f>
        <v>400</v>
      </c>
      <c r="BP55" s="98">
        <f>IFERROR(VLOOKUP(BC55,'Top WS'!$A$19:$E$28,5),0)</f>
        <v>400</v>
      </c>
    </row>
    <row r="56" spans="1:68" x14ac:dyDescent="0.4">
      <c r="A56">
        <v>1190054401</v>
      </c>
      <c r="B56">
        <f>VLOOKUP(A56,'Aji Plus'!$A$2:$D$58,2,0)</f>
        <v>75194</v>
      </c>
      <c r="C56" t="str">
        <f>VLOOKUP(A56,'Aji Plus'!$A$2:$D$58,3,0)</f>
        <v>นายพรชัย แซ่อือ</v>
      </c>
      <c r="D56" t="str">
        <f>VLOOKUP(A56,'Aji Plus'!$A$2:$D$58,4,0)</f>
        <v>N.Thamarat</v>
      </c>
      <c r="E56" s="1">
        <v>80</v>
      </c>
      <c r="F56" s="1">
        <v>100</v>
      </c>
      <c r="G56" s="1">
        <v>80</v>
      </c>
      <c r="H56" s="1">
        <v>100</v>
      </c>
      <c r="I56" s="1">
        <v>80</v>
      </c>
      <c r="J56" s="1">
        <v>115</v>
      </c>
      <c r="K56" s="1">
        <v>100</v>
      </c>
      <c r="L56" s="1">
        <v>100</v>
      </c>
      <c r="M56" s="1">
        <v>80</v>
      </c>
      <c r="N56" s="1">
        <v>80</v>
      </c>
      <c r="O56" s="1">
        <v>100</v>
      </c>
      <c r="P56" s="1">
        <v>70</v>
      </c>
      <c r="R56" s="1">
        <f>VLOOKUP(A56,Actual_RDNS!$A$2:$H$62,3,0)</f>
        <v>159.47999999999999</v>
      </c>
      <c r="S56" s="1">
        <f>VLOOKUP(A56,Actual_RDNS!$A$2:$H$62,4,0)</f>
        <v>2170.9800000000009</v>
      </c>
      <c r="T56" s="1">
        <f>VLOOKUP(A56,Actual_RDNS!$A$2:$H$62,5,0)</f>
        <v>122.39999999999999</v>
      </c>
      <c r="U56" s="1">
        <f>VLOOKUP(A56,Actual_RDNS!$A$2:$H$62,6,0)</f>
        <v>62.999999999999993</v>
      </c>
      <c r="V56" s="1">
        <f>VLOOKUP(A56,Actual_RDNS!$A$2:$H$62,7,0)</f>
        <v>203.22</v>
      </c>
      <c r="W56" s="1">
        <f>VLOOKUP(A56,Actual_RDNS!$A$2:$H$62,8,0)</f>
        <v>228.41999999999996</v>
      </c>
      <c r="X56" s="111"/>
      <c r="Y56" s="111"/>
      <c r="Z56" s="111"/>
      <c r="AA56" s="111"/>
      <c r="AB56" s="111"/>
      <c r="AC56" s="111"/>
      <c r="AE56" s="97">
        <f t="shared" si="4"/>
        <v>1.9934999999999998</v>
      </c>
      <c r="AF56" s="97">
        <f t="shared" si="4"/>
        <v>21.709800000000008</v>
      </c>
      <c r="AG56" s="97">
        <f t="shared" si="4"/>
        <v>1.5299999999999998</v>
      </c>
      <c r="AH56" s="97">
        <f t="shared" si="4"/>
        <v>0.62999999999999989</v>
      </c>
      <c r="AI56" s="97">
        <f t="shared" si="4"/>
        <v>2.5402499999999999</v>
      </c>
      <c r="AJ56" s="97">
        <f t="shared" si="4"/>
        <v>1.9862608695652171</v>
      </c>
      <c r="AK56" s="99">
        <f t="shared" si="4"/>
        <v>0</v>
      </c>
      <c r="AL56" s="99">
        <f t="shared" si="4"/>
        <v>0</v>
      </c>
      <c r="AM56" s="99">
        <f t="shared" si="4"/>
        <v>0</v>
      </c>
      <c r="AN56" s="99">
        <f t="shared" si="4"/>
        <v>0</v>
      </c>
      <c r="AO56" s="99">
        <f t="shared" si="4"/>
        <v>0</v>
      </c>
      <c r="AP56" s="99">
        <f t="shared" si="4"/>
        <v>0</v>
      </c>
      <c r="AQ56" s="97"/>
      <c r="AR56" s="99">
        <f t="shared" si="5"/>
        <v>1.9935</v>
      </c>
      <c r="AS56" s="99">
        <f t="shared" si="5"/>
        <v>21.709800000000001</v>
      </c>
      <c r="AT56" s="99">
        <f t="shared" si="5"/>
        <v>1.53</v>
      </c>
      <c r="AU56" s="99">
        <f t="shared" si="5"/>
        <v>0.63</v>
      </c>
      <c r="AV56" s="99">
        <f t="shared" si="5"/>
        <v>2.5402999999999998</v>
      </c>
      <c r="AW56" s="99">
        <f t="shared" si="5"/>
        <v>1.9863</v>
      </c>
      <c r="AX56" s="99">
        <f t="shared" si="5"/>
        <v>0</v>
      </c>
      <c r="AY56" s="99">
        <f t="shared" si="5"/>
        <v>0</v>
      </c>
      <c r="AZ56" s="99">
        <f t="shared" si="5"/>
        <v>0</v>
      </c>
      <c r="BA56" s="99">
        <f t="shared" si="5"/>
        <v>0</v>
      </c>
      <c r="BB56" s="99">
        <f t="shared" si="5"/>
        <v>0</v>
      </c>
      <c r="BC56" s="99">
        <f t="shared" si="5"/>
        <v>0</v>
      </c>
      <c r="BD56" s="97"/>
      <c r="BE56" s="1">
        <f>IFERROR(VLOOKUP(AR56,'Top WS'!$A$19:$E$28,5),0)</f>
        <v>520</v>
      </c>
      <c r="BF56" s="1">
        <f>IFERROR(VLOOKUP(AS56,'Top WS'!$A$19:$E$28,5),0)</f>
        <v>520</v>
      </c>
      <c r="BG56" s="1">
        <f>IFERROR(VLOOKUP(AT56,'Top WS'!$A$19:$E$28,5),0)</f>
        <v>520</v>
      </c>
      <c r="BH56" s="1">
        <f>IFERROR(VLOOKUP(AU56,'Top WS'!$A$19:$E$28,5),0)</f>
        <v>400</v>
      </c>
      <c r="BI56" s="1">
        <f>IFERROR(VLOOKUP(AV56,'Top WS'!$A$19:$E$28,5),0)</f>
        <v>520</v>
      </c>
      <c r="BJ56" s="1">
        <f>IFERROR(VLOOKUP(AW56,'Top WS'!$A$19:$E$28,5),0)</f>
        <v>520</v>
      </c>
      <c r="BK56" s="98">
        <f>IFERROR(VLOOKUP(AX56,'Top WS'!$A$19:$E$28,5),0)</f>
        <v>400</v>
      </c>
      <c r="BL56" s="98">
        <f>IFERROR(VLOOKUP(AY56,'Top WS'!$A$19:$E$28,5),0)</f>
        <v>400</v>
      </c>
      <c r="BM56" s="98">
        <f>IFERROR(VLOOKUP(AZ56,'Top WS'!$A$19:$E$28,5),0)</f>
        <v>400</v>
      </c>
      <c r="BN56" s="98">
        <f>IFERROR(VLOOKUP(BA56,'Top WS'!$A$19:$E$28,5),0)</f>
        <v>400</v>
      </c>
      <c r="BO56" s="98">
        <f>IFERROR(VLOOKUP(BB56,'Top WS'!$A$19:$E$28,5),0)</f>
        <v>400</v>
      </c>
      <c r="BP56" s="98">
        <f>IFERROR(VLOOKUP(BC56,'Top WS'!$A$19:$E$28,5),0)</f>
        <v>400</v>
      </c>
    </row>
    <row r="57" spans="1:68" x14ac:dyDescent="0.4">
      <c r="A57">
        <v>1190054501</v>
      </c>
      <c r="B57">
        <f>VLOOKUP(A57,'Aji Plus'!$A$2:$D$58,2,0)</f>
        <v>70437</v>
      </c>
      <c r="C57" t="str">
        <f>VLOOKUP(A57,'Aji Plus'!$A$2:$D$58,3,0)</f>
        <v>นายมนตรี วัชรมานะกุล</v>
      </c>
      <c r="D57" t="str">
        <f>VLOOKUP(A57,'Aji Plus'!$A$2:$D$58,4,0)</f>
        <v>Trang</v>
      </c>
      <c r="E57" s="1">
        <v>45</v>
      </c>
      <c r="F57" s="1">
        <v>40</v>
      </c>
      <c r="G57" s="1">
        <v>40</v>
      </c>
      <c r="H57" s="1">
        <v>40</v>
      </c>
      <c r="I57" s="1">
        <v>40</v>
      </c>
      <c r="J57" s="1">
        <v>40</v>
      </c>
      <c r="K57" s="1">
        <v>40</v>
      </c>
      <c r="L57" s="1">
        <v>45</v>
      </c>
      <c r="M57" s="1">
        <v>40</v>
      </c>
      <c r="N57" s="1">
        <v>40</v>
      </c>
      <c r="O57" s="1">
        <v>40</v>
      </c>
      <c r="P57" s="1">
        <v>40</v>
      </c>
      <c r="R57" s="1">
        <f>VLOOKUP(A57,Actual_RDNS!$A$2:$H$62,3,0)</f>
        <v>128.34</v>
      </c>
      <c r="S57" s="1">
        <f>VLOOKUP(A57,Actual_RDNS!$A$2:$H$62,4,0)</f>
        <v>363.96000000000004</v>
      </c>
      <c r="T57" s="1">
        <f>VLOOKUP(A57,Actual_RDNS!$A$2:$H$62,5,0)</f>
        <v>55.62</v>
      </c>
      <c r="U57" s="1">
        <f>VLOOKUP(A57,Actual_RDNS!$A$2:$H$62,6,0)</f>
        <v>17.82</v>
      </c>
      <c r="V57" s="1">
        <f>VLOOKUP(A57,Actual_RDNS!$A$2:$H$62,7,0)</f>
        <v>37.799999999999997</v>
      </c>
      <c r="W57" s="1">
        <f>VLOOKUP(A57,Actual_RDNS!$A$2:$H$62,8,0)</f>
        <v>0</v>
      </c>
      <c r="X57" s="111"/>
      <c r="Y57" s="111"/>
      <c r="Z57" s="111"/>
      <c r="AA57" s="111"/>
      <c r="AB57" s="111"/>
      <c r="AC57" s="111"/>
      <c r="AE57" s="97">
        <f t="shared" si="4"/>
        <v>2.8519999999999999</v>
      </c>
      <c r="AF57" s="97">
        <f t="shared" si="4"/>
        <v>9.0990000000000002</v>
      </c>
      <c r="AG57" s="97">
        <f t="shared" si="4"/>
        <v>1.3904999999999998</v>
      </c>
      <c r="AH57" s="97">
        <f t="shared" si="4"/>
        <v>0.44550000000000001</v>
      </c>
      <c r="AI57" s="97">
        <f t="shared" si="4"/>
        <v>0.94499999999999995</v>
      </c>
      <c r="AJ57" s="97">
        <f t="shared" si="4"/>
        <v>0</v>
      </c>
      <c r="AK57" s="99">
        <f t="shared" si="4"/>
        <v>0</v>
      </c>
      <c r="AL57" s="99">
        <f t="shared" si="4"/>
        <v>0</v>
      </c>
      <c r="AM57" s="99">
        <f t="shared" si="4"/>
        <v>0</v>
      </c>
      <c r="AN57" s="99">
        <f t="shared" si="4"/>
        <v>0</v>
      </c>
      <c r="AO57" s="99">
        <f t="shared" si="4"/>
        <v>0</v>
      </c>
      <c r="AP57" s="99">
        <f t="shared" si="4"/>
        <v>0</v>
      </c>
      <c r="AQ57" s="97"/>
      <c r="AR57" s="99">
        <f t="shared" si="5"/>
        <v>2.8519999999999999</v>
      </c>
      <c r="AS57" s="99">
        <f t="shared" si="5"/>
        <v>9.0990000000000002</v>
      </c>
      <c r="AT57" s="99">
        <f t="shared" si="5"/>
        <v>1.3905000000000001</v>
      </c>
      <c r="AU57" s="99">
        <f t="shared" si="5"/>
        <v>0.44550000000000001</v>
      </c>
      <c r="AV57" s="99">
        <f t="shared" si="5"/>
        <v>0.94499999999999995</v>
      </c>
      <c r="AW57" s="99">
        <f t="shared" si="5"/>
        <v>0</v>
      </c>
      <c r="AX57" s="99">
        <f t="shared" si="5"/>
        <v>0</v>
      </c>
      <c r="AY57" s="99">
        <f t="shared" si="5"/>
        <v>0</v>
      </c>
      <c r="AZ57" s="99">
        <f t="shared" si="5"/>
        <v>0</v>
      </c>
      <c r="BA57" s="99">
        <f t="shared" si="5"/>
        <v>0</v>
      </c>
      <c r="BB57" s="99">
        <f t="shared" si="5"/>
        <v>0</v>
      </c>
      <c r="BC57" s="99">
        <f t="shared" si="5"/>
        <v>0</v>
      </c>
      <c r="BD57" s="97"/>
      <c r="BE57" s="1">
        <f>IFERROR(VLOOKUP(AR57,'Top WS'!$A$19:$E$28,5),0)</f>
        <v>520</v>
      </c>
      <c r="BF57" s="1">
        <f>IFERROR(VLOOKUP(AS57,'Top WS'!$A$19:$E$28,5),0)</f>
        <v>520</v>
      </c>
      <c r="BG57" s="1">
        <f>IFERROR(VLOOKUP(AT57,'Top WS'!$A$19:$E$28,5),0)</f>
        <v>520</v>
      </c>
      <c r="BH57" s="1">
        <f>IFERROR(VLOOKUP(AU57,'Top WS'!$A$19:$E$28,5),0)</f>
        <v>400</v>
      </c>
      <c r="BI57" s="1">
        <f>IFERROR(VLOOKUP(AV57,'Top WS'!$A$19:$E$28,5),0)</f>
        <v>400</v>
      </c>
      <c r="BJ57" s="1">
        <f>IFERROR(VLOOKUP(AW57,'Top WS'!$A$19:$E$28,5),0)</f>
        <v>400</v>
      </c>
      <c r="BK57" s="98">
        <f>IFERROR(VLOOKUP(AX57,'Top WS'!$A$19:$E$28,5),0)</f>
        <v>400</v>
      </c>
      <c r="BL57" s="98">
        <f>IFERROR(VLOOKUP(AY57,'Top WS'!$A$19:$E$28,5),0)</f>
        <v>400</v>
      </c>
      <c r="BM57" s="98">
        <f>IFERROR(VLOOKUP(AZ57,'Top WS'!$A$19:$E$28,5),0)</f>
        <v>400</v>
      </c>
      <c r="BN57" s="98">
        <f>IFERROR(VLOOKUP(BA57,'Top WS'!$A$19:$E$28,5),0)</f>
        <v>400</v>
      </c>
      <c r="BO57" s="98">
        <f>IFERROR(VLOOKUP(BB57,'Top WS'!$A$19:$E$28,5),0)</f>
        <v>400</v>
      </c>
      <c r="BP57" s="98">
        <f>IFERROR(VLOOKUP(BC57,'Top WS'!$A$19:$E$28,5),0)</f>
        <v>400</v>
      </c>
    </row>
    <row r="58" spans="1:68" x14ac:dyDescent="0.4">
      <c r="A58">
        <v>1190054601</v>
      </c>
      <c r="B58">
        <f>VLOOKUP(A58,'Aji Plus'!$A$2:$D$58,2,0)</f>
        <v>63804</v>
      </c>
      <c r="C58" t="str">
        <f>VLOOKUP(A58,'Aji Plus'!$A$2:$D$58,3,0)</f>
        <v>นายสมพงษ์ คงบุตร</v>
      </c>
      <c r="D58" t="str">
        <f>VLOOKUP(A58,'Aji Plus'!$A$2:$D$58,4,0)</f>
        <v>Phuket</v>
      </c>
      <c r="E58" s="1">
        <v>351.08378138097453</v>
      </c>
      <c r="F58" s="1">
        <v>466.1318318445451</v>
      </c>
      <c r="G58" s="1">
        <v>274.38508107192752</v>
      </c>
      <c r="H58" s="1">
        <v>19.174675077261757</v>
      </c>
      <c r="I58" s="1">
        <v>312.73443122645102</v>
      </c>
      <c r="J58" s="1">
        <v>153.39740061809405</v>
      </c>
      <c r="K58" s="1">
        <v>100</v>
      </c>
      <c r="L58" s="1">
        <v>274.38508107192752</v>
      </c>
      <c r="M58" s="1">
        <v>270</v>
      </c>
      <c r="N58" s="1">
        <v>274.38508107192752</v>
      </c>
      <c r="O58" s="1">
        <v>331.90910630371275</v>
      </c>
      <c r="P58" s="1">
        <v>222.15507387494179</v>
      </c>
      <c r="R58" s="1">
        <f>VLOOKUP(A58,Actual_RDNS!$A$2:$H$62,3,0)</f>
        <v>132.51999999999998</v>
      </c>
      <c r="S58" s="1">
        <f>VLOOKUP(A58,Actual_RDNS!$A$2:$H$62,4,0)</f>
        <v>548.37999999999988</v>
      </c>
      <c r="T58" s="1">
        <f>VLOOKUP(A58,Actual_RDNS!$A$2:$H$62,5,0)</f>
        <v>73.44</v>
      </c>
      <c r="U58" s="1">
        <f>VLOOKUP(A58,Actual_RDNS!$A$2:$H$62,6,0)</f>
        <v>180.04000000000002</v>
      </c>
      <c r="V58" s="1">
        <f>VLOOKUP(A58,Actual_RDNS!$A$2:$H$62,7,0)</f>
        <v>200.34</v>
      </c>
      <c r="W58" s="1">
        <f>VLOOKUP(A58,Actual_RDNS!$A$2:$H$62,8,0)</f>
        <v>464.07999999999993</v>
      </c>
      <c r="X58" s="111"/>
      <c r="Y58" s="111"/>
      <c r="Z58" s="111"/>
      <c r="AA58" s="111"/>
      <c r="AB58" s="111"/>
      <c r="AC58" s="111"/>
      <c r="AE58" s="97">
        <f t="shared" si="4"/>
        <v>0.37745976039889301</v>
      </c>
      <c r="AF58" s="97">
        <f t="shared" si="4"/>
        <v>1.1764482975341717</v>
      </c>
      <c r="AG58" s="97">
        <f t="shared" si="4"/>
        <v>0.26765303606557378</v>
      </c>
      <c r="AH58" s="97">
        <f t="shared" si="4"/>
        <v>9.3894681017828585</v>
      </c>
      <c r="AI58" s="97">
        <f t="shared" si="4"/>
        <v>0.64060742916706159</v>
      </c>
      <c r="AJ58" s="97">
        <f t="shared" si="4"/>
        <v>3.0253446155544514</v>
      </c>
      <c r="AK58" s="99">
        <f t="shared" si="4"/>
        <v>0</v>
      </c>
      <c r="AL58" s="99">
        <f t="shared" si="4"/>
        <v>0</v>
      </c>
      <c r="AM58" s="99">
        <f t="shared" si="4"/>
        <v>0</v>
      </c>
      <c r="AN58" s="99">
        <f t="shared" si="4"/>
        <v>0</v>
      </c>
      <c r="AO58" s="99">
        <f t="shared" si="4"/>
        <v>0</v>
      </c>
      <c r="AP58" s="99">
        <f t="shared" si="4"/>
        <v>0</v>
      </c>
      <c r="AQ58" s="97"/>
      <c r="AR58" s="99">
        <f t="shared" si="5"/>
        <v>0.3775</v>
      </c>
      <c r="AS58" s="99">
        <f t="shared" si="5"/>
        <v>1.1763999999999999</v>
      </c>
      <c r="AT58" s="99">
        <f t="shared" si="5"/>
        <v>0.26769999999999999</v>
      </c>
      <c r="AU58" s="99">
        <f t="shared" si="5"/>
        <v>9.3895</v>
      </c>
      <c r="AV58" s="99">
        <f t="shared" si="5"/>
        <v>0.64059999999999995</v>
      </c>
      <c r="AW58" s="99">
        <f t="shared" si="5"/>
        <v>3.0253000000000001</v>
      </c>
      <c r="AX58" s="99">
        <f t="shared" si="5"/>
        <v>0</v>
      </c>
      <c r="AY58" s="99">
        <f t="shared" si="5"/>
        <v>0</v>
      </c>
      <c r="AZ58" s="99">
        <f t="shared" si="5"/>
        <v>0</v>
      </c>
      <c r="BA58" s="99">
        <f t="shared" si="5"/>
        <v>0</v>
      </c>
      <c r="BB58" s="99">
        <f t="shared" si="5"/>
        <v>0</v>
      </c>
      <c r="BC58" s="99">
        <f t="shared" si="5"/>
        <v>0</v>
      </c>
      <c r="BD58" s="97"/>
      <c r="BE58" s="1">
        <f>IFERROR(VLOOKUP(AR58,'Top WS'!$A$19:$E$28,5),0)</f>
        <v>400</v>
      </c>
      <c r="BF58" s="1">
        <f>IFERROR(VLOOKUP(AS58,'Top WS'!$A$19:$E$28,5),0)</f>
        <v>480</v>
      </c>
      <c r="BG58" s="1">
        <f>IFERROR(VLOOKUP(AT58,'Top WS'!$A$19:$E$28,5),0)</f>
        <v>400</v>
      </c>
      <c r="BH58" s="1">
        <f>IFERROR(VLOOKUP(AU58,'Top WS'!$A$19:$E$28,5),0)</f>
        <v>520</v>
      </c>
      <c r="BI58" s="1">
        <f>IFERROR(VLOOKUP(AV58,'Top WS'!$A$19:$E$28,5),0)</f>
        <v>400</v>
      </c>
      <c r="BJ58" s="1">
        <f>IFERROR(VLOOKUP(AW58,'Top WS'!$A$19:$E$28,5),0)</f>
        <v>520</v>
      </c>
      <c r="BK58" s="98">
        <f>IFERROR(VLOOKUP(AX58,'Top WS'!$A$19:$E$28,5),0)</f>
        <v>400</v>
      </c>
      <c r="BL58" s="98">
        <f>IFERROR(VLOOKUP(AY58,'Top WS'!$A$19:$E$28,5),0)</f>
        <v>400</v>
      </c>
      <c r="BM58" s="98">
        <f>IFERROR(VLOOKUP(AZ58,'Top WS'!$A$19:$E$28,5),0)</f>
        <v>400</v>
      </c>
      <c r="BN58" s="98">
        <f>IFERROR(VLOOKUP(BA58,'Top WS'!$A$19:$E$28,5),0)</f>
        <v>400</v>
      </c>
      <c r="BO58" s="98">
        <f>IFERROR(VLOOKUP(BB58,'Top WS'!$A$19:$E$28,5),0)</f>
        <v>400</v>
      </c>
      <c r="BP58" s="98">
        <f>IFERROR(VLOOKUP(BC58,'Top WS'!$A$19:$E$28,5),0)</f>
        <v>400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A1D6-E736-42D1-AF77-098BA7EF39AC}">
  <sheetPr codeName="Sheet31">
    <tabColor rgb="FFFFFF00"/>
  </sheetPr>
  <dimension ref="A1:H62"/>
  <sheetViews>
    <sheetView topLeftCell="A46" workbookViewId="0">
      <selection activeCell="BE11" sqref="BE11:BP11"/>
    </sheetView>
  </sheetViews>
  <sheetFormatPr defaultRowHeight="16.8" x14ac:dyDescent="0.4"/>
  <cols>
    <col min="1" max="1" width="12.09765625" customWidth="1"/>
  </cols>
  <sheetData>
    <row r="1" spans="1:8" x14ac:dyDescent="0.4">
      <c r="A1" t="s">
        <v>126</v>
      </c>
      <c r="B1" t="s">
        <v>377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</row>
    <row r="2" spans="1:8" x14ac:dyDescent="0.4">
      <c r="A2">
        <v>1190011201</v>
      </c>
      <c r="B2" t="s">
        <v>235</v>
      </c>
      <c r="C2">
        <v>35.64</v>
      </c>
      <c r="D2">
        <v>757.61999999999989</v>
      </c>
      <c r="E2">
        <v>148.5</v>
      </c>
      <c r="G2">
        <v>122.39999999999999</v>
      </c>
      <c r="H2">
        <v>70.460000000000008</v>
      </c>
    </row>
    <row r="3" spans="1:8" x14ac:dyDescent="0.4">
      <c r="A3">
        <v>1190011203</v>
      </c>
      <c r="B3" t="s">
        <v>235</v>
      </c>
      <c r="D3">
        <v>3.15</v>
      </c>
    </row>
    <row r="4" spans="1:8" x14ac:dyDescent="0.4">
      <c r="A4">
        <v>1190011214</v>
      </c>
      <c r="B4" t="s">
        <v>235</v>
      </c>
      <c r="D4">
        <v>427.68</v>
      </c>
      <c r="E4">
        <v>8.5</v>
      </c>
      <c r="F4">
        <v>59.400000000000006</v>
      </c>
    </row>
    <row r="5" spans="1:8" x14ac:dyDescent="0.4">
      <c r="A5">
        <v>1190011401</v>
      </c>
      <c r="B5" t="s">
        <v>232</v>
      </c>
      <c r="C5">
        <v>92.699999999999989</v>
      </c>
      <c r="D5">
        <v>1504.6200000000001</v>
      </c>
      <c r="E5">
        <v>5.94</v>
      </c>
      <c r="F5">
        <v>29.700000000000003</v>
      </c>
      <c r="G5">
        <v>60.120000000000005</v>
      </c>
      <c r="H5">
        <v>383.93999999999994</v>
      </c>
    </row>
    <row r="6" spans="1:8" x14ac:dyDescent="0.4">
      <c r="A6">
        <v>1190011412</v>
      </c>
      <c r="B6" t="s">
        <v>232</v>
      </c>
      <c r="C6">
        <v>100.16000000000001</v>
      </c>
      <c r="D6">
        <v>256.88</v>
      </c>
      <c r="E6">
        <v>120.54</v>
      </c>
      <c r="F6">
        <v>118.80000000000001</v>
      </c>
      <c r="H6">
        <v>154.63999999999999</v>
      </c>
    </row>
    <row r="7" spans="1:8" x14ac:dyDescent="0.4">
      <c r="A7">
        <v>1190011501</v>
      </c>
      <c r="B7" t="s">
        <v>304</v>
      </c>
      <c r="C7">
        <v>191.91999999999996</v>
      </c>
      <c r="D7">
        <v>1993.0000000000002</v>
      </c>
      <c r="E7">
        <v>240.35999999999996</v>
      </c>
      <c r="F7">
        <v>186.89999999999998</v>
      </c>
      <c r="G7">
        <v>230.44</v>
      </c>
      <c r="H7">
        <v>414.21999999999991</v>
      </c>
    </row>
    <row r="8" spans="1:8" x14ac:dyDescent="0.4">
      <c r="A8">
        <v>1190011701</v>
      </c>
      <c r="B8" t="s">
        <v>228</v>
      </c>
      <c r="C8">
        <v>136.62</v>
      </c>
      <c r="D8">
        <v>935.12</v>
      </c>
      <c r="E8">
        <v>184.95999999999998</v>
      </c>
      <c r="F8">
        <v>231.76</v>
      </c>
      <c r="G8">
        <v>151.98000000000002</v>
      </c>
      <c r="H8">
        <v>215.47999999999996</v>
      </c>
    </row>
    <row r="9" spans="1:8" x14ac:dyDescent="0.4">
      <c r="A9">
        <v>1190011801</v>
      </c>
      <c r="B9" t="s">
        <v>307</v>
      </c>
      <c r="C9">
        <v>11.88</v>
      </c>
      <c r="D9">
        <v>1512</v>
      </c>
      <c r="E9">
        <v>23.76</v>
      </c>
      <c r="F9">
        <v>41.58</v>
      </c>
      <c r="H9">
        <v>17.82</v>
      </c>
    </row>
    <row r="10" spans="1:8" x14ac:dyDescent="0.4">
      <c r="A10">
        <v>1190017001</v>
      </c>
      <c r="B10" t="s">
        <v>309</v>
      </c>
      <c r="C10">
        <v>118.80000000000001</v>
      </c>
      <c r="D10">
        <v>1686.5800000000002</v>
      </c>
      <c r="E10">
        <v>89.100000000000009</v>
      </c>
      <c r="F10">
        <v>368.72</v>
      </c>
      <c r="G10">
        <v>250.39999999999998</v>
      </c>
      <c r="H10">
        <v>178.20000000000002</v>
      </c>
    </row>
    <row r="11" spans="1:8" x14ac:dyDescent="0.4">
      <c r="A11">
        <v>1190017013</v>
      </c>
      <c r="B11" t="s">
        <v>309</v>
      </c>
      <c r="C11">
        <v>43.32</v>
      </c>
      <c r="D11">
        <v>380.96</v>
      </c>
      <c r="F11">
        <v>91.46</v>
      </c>
      <c r="G11">
        <v>188.57999999999998</v>
      </c>
      <c r="H11">
        <v>163.79999999999998</v>
      </c>
    </row>
    <row r="12" spans="1:8" x14ac:dyDescent="0.4">
      <c r="A12">
        <v>1190017014</v>
      </c>
      <c r="B12" t="s">
        <v>309</v>
      </c>
      <c r="D12">
        <v>244.8</v>
      </c>
      <c r="E12">
        <v>118.80000000000001</v>
      </c>
      <c r="F12">
        <v>59.400000000000006</v>
      </c>
      <c r="H12">
        <v>148.5</v>
      </c>
    </row>
    <row r="13" spans="1:8" x14ac:dyDescent="0.4">
      <c r="A13">
        <v>1190021901</v>
      </c>
      <c r="B13" t="s">
        <v>313</v>
      </c>
      <c r="C13">
        <v>166.51999999999998</v>
      </c>
      <c r="D13">
        <v>1644.8000000000002</v>
      </c>
      <c r="E13">
        <v>1233.0399999999997</v>
      </c>
      <c r="F13">
        <v>576.93999999999994</v>
      </c>
      <c r="G13">
        <v>759.42000000000007</v>
      </c>
      <c r="H13">
        <v>668.04000000000008</v>
      </c>
    </row>
    <row r="14" spans="1:8" x14ac:dyDescent="0.4">
      <c r="A14">
        <v>1190021902</v>
      </c>
      <c r="B14" t="s">
        <v>313</v>
      </c>
      <c r="C14">
        <v>216</v>
      </c>
      <c r="D14">
        <v>714.59999999999991</v>
      </c>
      <c r="E14">
        <v>415.79999999999995</v>
      </c>
      <c r="F14">
        <v>50.4</v>
      </c>
      <c r="G14">
        <v>67.5</v>
      </c>
      <c r="H14">
        <v>281.7</v>
      </c>
    </row>
    <row r="15" spans="1:8" x14ac:dyDescent="0.4">
      <c r="A15">
        <v>1190022001</v>
      </c>
      <c r="B15" t="s">
        <v>316</v>
      </c>
      <c r="C15">
        <v>620.66</v>
      </c>
      <c r="D15">
        <v>1893.54</v>
      </c>
      <c r="E15">
        <v>1227.32</v>
      </c>
      <c r="F15">
        <v>730.59999999999991</v>
      </c>
      <c r="G15">
        <v>847.66</v>
      </c>
      <c r="H15">
        <v>1069.8799999999999</v>
      </c>
    </row>
    <row r="16" spans="1:8" x14ac:dyDescent="0.4">
      <c r="A16">
        <v>1190022101</v>
      </c>
      <c r="B16" t="s">
        <v>233</v>
      </c>
      <c r="C16">
        <v>623.54000000000019</v>
      </c>
      <c r="D16">
        <v>1326.72</v>
      </c>
      <c r="E16">
        <v>712.75999999999988</v>
      </c>
      <c r="F16">
        <v>397.32</v>
      </c>
      <c r="G16">
        <v>310.53999999999996</v>
      </c>
      <c r="H16">
        <v>563.01999999999987</v>
      </c>
    </row>
    <row r="17" spans="1:8" x14ac:dyDescent="0.4">
      <c r="A17">
        <v>1190022201</v>
      </c>
      <c r="B17" t="s">
        <v>236</v>
      </c>
      <c r="C17">
        <v>469.2</v>
      </c>
      <c r="D17">
        <v>1822.06</v>
      </c>
      <c r="E17">
        <v>670.68</v>
      </c>
      <c r="F17">
        <v>536.22</v>
      </c>
      <c r="G17">
        <v>865.81999999999982</v>
      </c>
      <c r="H17">
        <v>1280.74</v>
      </c>
    </row>
    <row r="18" spans="1:8" x14ac:dyDescent="0.4">
      <c r="A18">
        <v>1190022301</v>
      </c>
      <c r="B18" t="s">
        <v>320</v>
      </c>
      <c r="C18">
        <v>60.12</v>
      </c>
      <c r="D18">
        <v>771.14</v>
      </c>
      <c r="E18">
        <v>695.33999999999992</v>
      </c>
      <c r="F18">
        <v>161.32</v>
      </c>
      <c r="G18">
        <v>404.65999999999997</v>
      </c>
      <c r="H18">
        <v>226.16</v>
      </c>
    </row>
    <row r="19" spans="1:8" x14ac:dyDescent="0.4">
      <c r="A19">
        <v>1190022302</v>
      </c>
      <c r="B19" t="s">
        <v>320</v>
      </c>
      <c r="C19">
        <v>142.56</v>
      </c>
      <c r="D19">
        <v>1963.76</v>
      </c>
      <c r="E19">
        <v>97.2</v>
      </c>
      <c r="F19">
        <v>188.03999999999996</v>
      </c>
      <c r="G19">
        <v>254.6</v>
      </c>
      <c r="H19">
        <v>135</v>
      </c>
    </row>
    <row r="20" spans="1:8" x14ac:dyDescent="0.4">
      <c r="A20">
        <v>1190022401</v>
      </c>
      <c r="B20" t="s">
        <v>323</v>
      </c>
      <c r="C20">
        <v>1059.8399999999999</v>
      </c>
      <c r="D20">
        <v>938.88000000000011</v>
      </c>
      <c r="E20">
        <v>1164.6000000000001</v>
      </c>
      <c r="F20">
        <v>178.20000000000002</v>
      </c>
      <c r="G20">
        <v>1037.3400000000001</v>
      </c>
      <c r="H20">
        <v>1056.5999999999999</v>
      </c>
    </row>
    <row r="21" spans="1:8" x14ac:dyDescent="0.4">
      <c r="A21">
        <v>1190022402</v>
      </c>
      <c r="B21" t="s">
        <v>323</v>
      </c>
      <c r="C21">
        <v>53.46</v>
      </c>
      <c r="D21">
        <v>371.42</v>
      </c>
      <c r="E21">
        <v>60.120000000000005</v>
      </c>
      <c r="F21">
        <v>56.02</v>
      </c>
      <c r="G21">
        <v>94.939999999999984</v>
      </c>
      <c r="H21">
        <v>55.62</v>
      </c>
    </row>
    <row r="22" spans="1:8" x14ac:dyDescent="0.4">
      <c r="A22">
        <v>1190022510</v>
      </c>
      <c r="B22" t="s">
        <v>326</v>
      </c>
      <c r="C22">
        <v>241.20000000000002</v>
      </c>
      <c r="D22">
        <v>1946.7</v>
      </c>
      <c r="E22">
        <v>221.12</v>
      </c>
      <c r="F22">
        <v>89.820000000000007</v>
      </c>
      <c r="G22">
        <v>652.5</v>
      </c>
      <c r="H22">
        <v>968.44</v>
      </c>
    </row>
    <row r="23" spans="1:8" x14ac:dyDescent="0.4">
      <c r="A23">
        <v>1190027101</v>
      </c>
      <c r="B23" t="s">
        <v>229</v>
      </c>
      <c r="C23">
        <v>653.91999999999996</v>
      </c>
      <c r="D23">
        <v>2099.7800000000002</v>
      </c>
      <c r="E23">
        <v>170.94</v>
      </c>
      <c r="F23">
        <v>62.58</v>
      </c>
      <c r="G23">
        <v>186.89999999999998</v>
      </c>
      <c r="H23">
        <v>67.8</v>
      </c>
    </row>
    <row r="24" spans="1:8" x14ac:dyDescent="0.4">
      <c r="A24">
        <v>1190032602</v>
      </c>
      <c r="B24" t="s">
        <v>237</v>
      </c>
      <c r="C24">
        <v>475.19999999999993</v>
      </c>
      <c r="D24">
        <v>2758.4</v>
      </c>
      <c r="E24">
        <v>1856.7600000000002</v>
      </c>
      <c r="F24">
        <v>780.32</v>
      </c>
      <c r="G24">
        <v>460.45999999999992</v>
      </c>
      <c r="H24">
        <v>1471.3400000000001</v>
      </c>
    </row>
    <row r="25" spans="1:8" x14ac:dyDescent="0.4">
      <c r="A25">
        <v>1190032701</v>
      </c>
      <c r="B25" t="s">
        <v>239</v>
      </c>
      <c r="C25">
        <v>107.63999999999999</v>
      </c>
      <c r="D25">
        <v>2306.7000000000003</v>
      </c>
      <c r="E25">
        <v>833.21999999999991</v>
      </c>
      <c r="F25">
        <v>112.86</v>
      </c>
      <c r="G25">
        <v>95.04</v>
      </c>
      <c r="H25">
        <v>352.97999999999996</v>
      </c>
    </row>
    <row r="26" spans="1:8" x14ac:dyDescent="0.4">
      <c r="A26">
        <v>1190032801</v>
      </c>
      <c r="B26" t="s">
        <v>331</v>
      </c>
      <c r="C26">
        <v>264.11999999999995</v>
      </c>
      <c r="D26">
        <v>2264.5000000000005</v>
      </c>
      <c r="E26">
        <v>665.2399999999999</v>
      </c>
      <c r="F26">
        <v>301.82</v>
      </c>
      <c r="G26">
        <v>320.65999999999997</v>
      </c>
      <c r="H26">
        <v>562.81999999999994</v>
      </c>
    </row>
    <row r="27" spans="1:8" x14ac:dyDescent="0.4">
      <c r="A27">
        <v>1190032901</v>
      </c>
      <c r="B27" t="s">
        <v>234</v>
      </c>
      <c r="C27">
        <v>269.09999999999997</v>
      </c>
      <c r="D27">
        <v>887.40000000000009</v>
      </c>
      <c r="E27">
        <v>469.97999999999996</v>
      </c>
      <c r="F27">
        <v>191.33999999999997</v>
      </c>
      <c r="G27">
        <v>380.51999999999992</v>
      </c>
      <c r="H27">
        <v>248.39999999999998</v>
      </c>
    </row>
    <row r="28" spans="1:8" x14ac:dyDescent="0.4">
      <c r="A28">
        <v>1190032902</v>
      </c>
      <c r="B28" t="s">
        <v>234</v>
      </c>
      <c r="C28">
        <v>325.43999999999994</v>
      </c>
      <c r="D28">
        <v>1056.2199999999998</v>
      </c>
      <c r="E28">
        <v>298.27999999999997</v>
      </c>
      <c r="F28">
        <v>483.29999999999995</v>
      </c>
      <c r="G28">
        <v>329.94</v>
      </c>
      <c r="H28">
        <v>463.71999999999997</v>
      </c>
    </row>
    <row r="29" spans="1:8" x14ac:dyDescent="0.4">
      <c r="A29">
        <v>1190033001</v>
      </c>
      <c r="B29" t="s">
        <v>335</v>
      </c>
      <c r="C29">
        <v>749.69999999999993</v>
      </c>
      <c r="D29">
        <v>2470.0400000000004</v>
      </c>
      <c r="E29">
        <v>110.39999999999999</v>
      </c>
      <c r="F29">
        <v>287.79999999999995</v>
      </c>
      <c r="G29">
        <v>163.26</v>
      </c>
      <c r="H29">
        <v>156.18</v>
      </c>
    </row>
    <row r="30" spans="1:8" x14ac:dyDescent="0.4">
      <c r="A30">
        <v>1190033002</v>
      </c>
      <c r="B30" t="s">
        <v>335</v>
      </c>
      <c r="C30">
        <v>298.08</v>
      </c>
      <c r="D30">
        <v>576.90000000000009</v>
      </c>
      <c r="E30">
        <v>143.82</v>
      </c>
      <c r="F30">
        <v>114.69999999999999</v>
      </c>
      <c r="G30">
        <v>164.7</v>
      </c>
      <c r="H30">
        <v>67.5</v>
      </c>
    </row>
    <row r="31" spans="1:8" x14ac:dyDescent="0.4">
      <c r="A31">
        <v>1190033101</v>
      </c>
      <c r="B31" t="s">
        <v>338</v>
      </c>
      <c r="C31">
        <v>194.07999999999998</v>
      </c>
      <c r="D31">
        <v>847.16</v>
      </c>
      <c r="E31">
        <v>177.47999999999996</v>
      </c>
      <c r="F31">
        <v>101.19999999999999</v>
      </c>
      <c r="G31">
        <v>129.66</v>
      </c>
      <c r="H31">
        <v>160.07999999999998</v>
      </c>
    </row>
    <row r="32" spans="1:8" x14ac:dyDescent="0.4">
      <c r="A32">
        <v>1190033102</v>
      </c>
      <c r="B32" t="s">
        <v>338</v>
      </c>
      <c r="C32">
        <v>180.07999999999998</v>
      </c>
      <c r="D32">
        <v>885.78000000000009</v>
      </c>
      <c r="E32">
        <v>104.05999999999999</v>
      </c>
      <c r="F32">
        <v>89.32</v>
      </c>
      <c r="G32">
        <v>126.69999999999999</v>
      </c>
      <c r="H32">
        <v>421.29999999999995</v>
      </c>
    </row>
    <row r="33" spans="1:8" x14ac:dyDescent="0.4">
      <c r="A33">
        <v>1190033201</v>
      </c>
      <c r="B33" t="s">
        <v>238</v>
      </c>
      <c r="C33">
        <v>441.66</v>
      </c>
      <c r="D33">
        <v>864.3599999999999</v>
      </c>
      <c r="E33">
        <v>550.82000000000005</v>
      </c>
      <c r="F33">
        <v>289.43999999999994</v>
      </c>
      <c r="G33">
        <v>241.17999999999995</v>
      </c>
      <c r="H33">
        <v>244.07999999999993</v>
      </c>
    </row>
    <row r="34" spans="1:8" x14ac:dyDescent="0.4">
      <c r="A34">
        <v>1190033202</v>
      </c>
      <c r="B34" t="s">
        <v>238</v>
      </c>
      <c r="C34">
        <v>79.680000000000007</v>
      </c>
      <c r="D34">
        <v>814.18</v>
      </c>
      <c r="E34">
        <v>93.419999999999987</v>
      </c>
      <c r="F34">
        <v>55.62</v>
      </c>
      <c r="G34">
        <v>476.12</v>
      </c>
      <c r="H34">
        <v>429.82</v>
      </c>
    </row>
    <row r="35" spans="1:8" x14ac:dyDescent="0.4">
      <c r="A35">
        <v>1190033301</v>
      </c>
      <c r="B35" t="s">
        <v>343</v>
      </c>
      <c r="C35">
        <v>333.9</v>
      </c>
      <c r="D35">
        <v>2404.0400000000004</v>
      </c>
      <c r="E35">
        <v>840.83999999999992</v>
      </c>
      <c r="F35">
        <v>1208.3600000000004</v>
      </c>
      <c r="G35">
        <v>619.93999999999994</v>
      </c>
      <c r="H35">
        <v>324.76</v>
      </c>
    </row>
    <row r="36" spans="1:8" x14ac:dyDescent="0.4">
      <c r="A36">
        <v>1190033302</v>
      </c>
      <c r="B36" t="s">
        <v>343</v>
      </c>
      <c r="C36">
        <v>428.32</v>
      </c>
      <c r="D36">
        <v>535.21999999999991</v>
      </c>
      <c r="E36">
        <v>180.16</v>
      </c>
      <c r="F36">
        <v>441.84</v>
      </c>
      <c r="G36">
        <v>698.98</v>
      </c>
      <c r="H36">
        <v>359.93999999999994</v>
      </c>
    </row>
    <row r="37" spans="1:8" x14ac:dyDescent="0.4">
      <c r="A37">
        <v>1190037301</v>
      </c>
      <c r="B37" t="s">
        <v>242</v>
      </c>
      <c r="C37">
        <v>489.2399999999999</v>
      </c>
      <c r="D37">
        <v>2014.7399999999998</v>
      </c>
      <c r="E37">
        <v>260.97999999999996</v>
      </c>
      <c r="F37">
        <v>67.5</v>
      </c>
      <c r="G37">
        <v>65.34</v>
      </c>
      <c r="H37">
        <v>169.2</v>
      </c>
    </row>
    <row r="38" spans="1:8" x14ac:dyDescent="0.4">
      <c r="A38">
        <v>1190037302</v>
      </c>
      <c r="B38" t="s">
        <v>242</v>
      </c>
      <c r="F38">
        <v>356.4</v>
      </c>
      <c r="G38">
        <v>207.07999999999998</v>
      </c>
      <c r="H38">
        <v>722.42000000000007</v>
      </c>
    </row>
    <row r="39" spans="1:8" x14ac:dyDescent="0.4">
      <c r="A39">
        <v>1190037401</v>
      </c>
      <c r="B39" t="s">
        <v>347</v>
      </c>
      <c r="C39">
        <v>25.5</v>
      </c>
      <c r="D39">
        <v>2026.4399999999998</v>
      </c>
      <c r="E39">
        <v>1182.2399999999998</v>
      </c>
      <c r="F39">
        <v>-995.39999999999986</v>
      </c>
      <c r="G39">
        <v>96.78</v>
      </c>
      <c r="H39">
        <v>403.2</v>
      </c>
    </row>
    <row r="40" spans="1:8" x14ac:dyDescent="0.4">
      <c r="A40">
        <v>1190043401</v>
      </c>
      <c r="B40" t="s">
        <v>241</v>
      </c>
      <c r="C40">
        <v>432.54</v>
      </c>
      <c r="D40">
        <v>839.15999999999985</v>
      </c>
      <c r="E40">
        <v>254.33999999999997</v>
      </c>
      <c r="F40">
        <v>607.5</v>
      </c>
      <c r="G40">
        <v>370.79999999999995</v>
      </c>
      <c r="H40">
        <v>684.04</v>
      </c>
    </row>
    <row r="41" spans="1:8" x14ac:dyDescent="0.4">
      <c r="A41">
        <v>1190043402</v>
      </c>
      <c r="B41" t="s">
        <v>241</v>
      </c>
      <c r="C41">
        <v>495.78</v>
      </c>
      <c r="D41">
        <v>1168.0200000000002</v>
      </c>
      <c r="E41">
        <v>275.08</v>
      </c>
      <c r="F41">
        <v>383.76</v>
      </c>
      <c r="G41">
        <v>267.3</v>
      </c>
      <c r="H41">
        <v>526.5</v>
      </c>
    </row>
    <row r="42" spans="1:8" x14ac:dyDescent="0.4">
      <c r="A42">
        <v>1190043501</v>
      </c>
      <c r="B42" t="s">
        <v>351</v>
      </c>
      <c r="C42">
        <v>372.41999999999996</v>
      </c>
      <c r="D42">
        <v>764.64000000000021</v>
      </c>
      <c r="E42">
        <v>255.95999999999998</v>
      </c>
      <c r="F42">
        <v>484.37999999999994</v>
      </c>
      <c r="G42">
        <v>321.29999999999995</v>
      </c>
      <c r="H42">
        <v>395.46</v>
      </c>
    </row>
    <row r="43" spans="1:8" x14ac:dyDescent="0.4">
      <c r="A43">
        <v>1190043502</v>
      </c>
      <c r="B43" t="s">
        <v>351</v>
      </c>
      <c r="C43">
        <v>813.29000000000019</v>
      </c>
      <c r="D43">
        <v>1143.69</v>
      </c>
      <c r="E43">
        <v>389.81999999999994</v>
      </c>
      <c r="F43">
        <v>339.19999999999993</v>
      </c>
      <c r="G43">
        <v>367.36</v>
      </c>
      <c r="H43">
        <v>418.97999999999996</v>
      </c>
    </row>
    <row r="44" spans="1:8" x14ac:dyDescent="0.4">
      <c r="A44">
        <v>1190043601</v>
      </c>
      <c r="B44" t="s">
        <v>231</v>
      </c>
      <c r="C44">
        <v>161.09999999999997</v>
      </c>
      <c r="D44">
        <v>889.2</v>
      </c>
      <c r="E44">
        <v>219.6</v>
      </c>
      <c r="F44">
        <v>203.22</v>
      </c>
      <c r="G44">
        <v>146.16</v>
      </c>
      <c r="H44">
        <v>506.34</v>
      </c>
    </row>
    <row r="45" spans="1:8" x14ac:dyDescent="0.4">
      <c r="A45">
        <v>1190043602</v>
      </c>
      <c r="B45" t="s">
        <v>231</v>
      </c>
      <c r="C45">
        <v>352.43999999999994</v>
      </c>
      <c r="D45">
        <v>903.96000000000038</v>
      </c>
      <c r="E45">
        <v>245.51999999999998</v>
      </c>
      <c r="F45">
        <v>604.43999999999994</v>
      </c>
      <c r="G45">
        <v>504.35999999999996</v>
      </c>
      <c r="H45">
        <v>552.41999999999996</v>
      </c>
    </row>
    <row r="46" spans="1:8" x14ac:dyDescent="0.4">
      <c r="A46">
        <v>1190043701</v>
      </c>
      <c r="B46" t="s">
        <v>230</v>
      </c>
      <c r="C46">
        <v>420.65999999999997</v>
      </c>
      <c r="D46">
        <v>1166.04</v>
      </c>
      <c r="E46">
        <v>227.16</v>
      </c>
      <c r="F46">
        <v>456.29999999999995</v>
      </c>
      <c r="G46">
        <v>717.48</v>
      </c>
      <c r="H46">
        <v>175.86</v>
      </c>
    </row>
    <row r="47" spans="1:8" x14ac:dyDescent="0.4">
      <c r="A47">
        <v>1190043702</v>
      </c>
      <c r="B47" t="s">
        <v>230</v>
      </c>
      <c r="C47">
        <v>250.74</v>
      </c>
      <c r="D47">
        <v>532.43999999999994</v>
      </c>
      <c r="E47">
        <v>371.69999999999993</v>
      </c>
      <c r="F47">
        <v>5.94</v>
      </c>
      <c r="G47">
        <v>42.300000000000004</v>
      </c>
      <c r="H47">
        <v>227.88</v>
      </c>
    </row>
    <row r="48" spans="1:8" x14ac:dyDescent="0.4">
      <c r="A48">
        <v>1190043801</v>
      </c>
      <c r="B48" t="s">
        <v>358</v>
      </c>
      <c r="C48">
        <v>418.32</v>
      </c>
      <c r="D48">
        <v>1063.8</v>
      </c>
      <c r="E48">
        <v>127.62</v>
      </c>
      <c r="F48">
        <v>53.460000000000008</v>
      </c>
      <c r="G48">
        <v>304.2</v>
      </c>
      <c r="H48">
        <v>658.43999999999994</v>
      </c>
    </row>
    <row r="49" spans="1:8" x14ac:dyDescent="0.4">
      <c r="A49">
        <v>1190043802</v>
      </c>
      <c r="B49" t="s">
        <v>358</v>
      </c>
      <c r="C49">
        <v>89.820000000000007</v>
      </c>
      <c r="D49">
        <v>593.28</v>
      </c>
      <c r="E49">
        <v>60.84</v>
      </c>
      <c r="F49">
        <v>29.700000000000003</v>
      </c>
      <c r="G49">
        <v>256.86</v>
      </c>
      <c r="H49">
        <v>180.89999999999998</v>
      </c>
    </row>
    <row r="50" spans="1:8" x14ac:dyDescent="0.4">
      <c r="A50">
        <v>1190043811</v>
      </c>
      <c r="B50" t="s">
        <v>358</v>
      </c>
      <c r="E50">
        <v>1.0499999999999998</v>
      </c>
    </row>
    <row r="51" spans="1:8" x14ac:dyDescent="0.4">
      <c r="A51">
        <v>1190043901</v>
      </c>
      <c r="B51" t="s">
        <v>361</v>
      </c>
      <c r="C51">
        <v>231.48</v>
      </c>
      <c r="D51">
        <v>1074.06</v>
      </c>
      <c r="E51">
        <v>1243.0800000000004</v>
      </c>
      <c r="F51">
        <v>378</v>
      </c>
      <c r="G51">
        <v>189</v>
      </c>
      <c r="H51">
        <v>11.88</v>
      </c>
    </row>
    <row r="52" spans="1:8" x14ac:dyDescent="0.4">
      <c r="A52">
        <v>1190043902</v>
      </c>
      <c r="B52" t="s">
        <v>361</v>
      </c>
      <c r="C52">
        <v>548.66</v>
      </c>
      <c r="D52">
        <v>739.6400000000001</v>
      </c>
      <c r="E52">
        <v>5.94</v>
      </c>
      <c r="F52">
        <v>639.36000000000013</v>
      </c>
      <c r="G52">
        <v>356.4</v>
      </c>
      <c r="H52">
        <v>667.8</v>
      </c>
    </row>
    <row r="53" spans="1:8" x14ac:dyDescent="0.4">
      <c r="A53">
        <v>1190044001</v>
      </c>
      <c r="B53" t="s">
        <v>364</v>
      </c>
      <c r="C53">
        <v>218.96</v>
      </c>
      <c r="D53">
        <v>1363.32</v>
      </c>
      <c r="E53">
        <v>202.49999999999997</v>
      </c>
      <c r="F53">
        <v>277.56</v>
      </c>
      <c r="G53">
        <v>261.46000000000004</v>
      </c>
      <c r="H53">
        <v>947.34</v>
      </c>
    </row>
    <row r="54" spans="1:8" x14ac:dyDescent="0.4">
      <c r="A54">
        <v>1190044002</v>
      </c>
      <c r="B54" t="s">
        <v>364</v>
      </c>
      <c r="C54">
        <v>43.02</v>
      </c>
      <c r="D54">
        <v>358.02</v>
      </c>
      <c r="E54">
        <v>42.300000000000004</v>
      </c>
      <c r="F54">
        <v>109.8</v>
      </c>
      <c r="G54">
        <v>37.799999999999997</v>
      </c>
      <c r="H54">
        <v>219.41999999999996</v>
      </c>
    </row>
    <row r="55" spans="1:8" x14ac:dyDescent="0.4">
      <c r="A55">
        <v>1190044013</v>
      </c>
      <c r="B55" t="s">
        <v>364</v>
      </c>
      <c r="H55">
        <v>92.699999999999989</v>
      </c>
    </row>
    <row r="56" spans="1:8" x14ac:dyDescent="0.4">
      <c r="A56">
        <v>1190044101</v>
      </c>
      <c r="B56" t="s">
        <v>367</v>
      </c>
      <c r="C56">
        <v>871.92</v>
      </c>
      <c r="D56">
        <v>2148.48</v>
      </c>
      <c r="E56">
        <v>196.55999999999997</v>
      </c>
      <c r="F56">
        <v>59.400000000000006</v>
      </c>
      <c r="G56">
        <v>442.97999999999996</v>
      </c>
      <c r="H56">
        <v>836.64</v>
      </c>
    </row>
    <row r="57" spans="1:8" x14ac:dyDescent="0.4">
      <c r="A57">
        <v>1190054201</v>
      </c>
      <c r="B57" t="s">
        <v>369</v>
      </c>
      <c r="C57">
        <v>185.39999999999998</v>
      </c>
      <c r="D57">
        <v>1238.04</v>
      </c>
      <c r="E57">
        <v>216.59999999999997</v>
      </c>
      <c r="F57">
        <v>101.9</v>
      </c>
      <c r="G57">
        <v>55.2</v>
      </c>
      <c r="H57">
        <v>164.9</v>
      </c>
    </row>
    <row r="58" spans="1:8" x14ac:dyDescent="0.4">
      <c r="A58">
        <v>1190054202</v>
      </c>
      <c r="B58" t="s">
        <v>369</v>
      </c>
      <c r="C58">
        <v>231.68</v>
      </c>
      <c r="D58">
        <v>835.57999999999993</v>
      </c>
      <c r="E58">
        <v>12.6</v>
      </c>
      <c r="F58">
        <v>140.92000000000002</v>
      </c>
      <c r="G58">
        <v>32.260000000000005</v>
      </c>
      <c r="H58">
        <v>511.85999999999996</v>
      </c>
    </row>
    <row r="59" spans="1:8" x14ac:dyDescent="0.4">
      <c r="A59">
        <v>1190054301</v>
      </c>
      <c r="B59" t="s">
        <v>372</v>
      </c>
      <c r="C59">
        <v>155.69999999999999</v>
      </c>
      <c r="D59">
        <v>501.12</v>
      </c>
      <c r="E59">
        <v>155.69999999999999</v>
      </c>
      <c r="F59">
        <v>103.03999999999999</v>
      </c>
      <c r="G59">
        <v>74.88</v>
      </c>
      <c r="H59">
        <v>104.58</v>
      </c>
    </row>
    <row r="60" spans="1:8" x14ac:dyDescent="0.4">
      <c r="A60">
        <v>1190054401</v>
      </c>
      <c r="B60" t="s">
        <v>374</v>
      </c>
      <c r="C60">
        <v>159.47999999999999</v>
      </c>
      <c r="D60">
        <v>2170.9800000000009</v>
      </c>
      <c r="E60">
        <v>122.39999999999999</v>
      </c>
      <c r="F60">
        <v>62.999999999999993</v>
      </c>
      <c r="G60">
        <v>203.22</v>
      </c>
      <c r="H60">
        <v>228.41999999999996</v>
      </c>
    </row>
    <row r="61" spans="1:8" x14ac:dyDescent="0.4">
      <c r="A61">
        <v>1190054501</v>
      </c>
      <c r="B61" t="s">
        <v>240</v>
      </c>
      <c r="C61">
        <v>128.34</v>
      </c>
      <c r="D61">
        <v>363.96000000000004</v>
      </c>
      <c r="E61">
        <v>55.62</v>
      </c>
      <c r="F61">
        <v>17.82</v>
      </c>
      <c r="G61">
        <v>37.799999999999997</v>
      </c>
    </row>
    <row r="62" spans="1:8" x14ac:dyDescent="0.4">
      <c r="A62">
        <v>1190054601</v>
      </c>
      <c r="B62" t="s">
        <v>226</v>
      </c>
      <c r="C62">
        <v>132.51999999999998</v>
      </c>
      <c r="D62">
        <v>548.37999999999988</v>
      </c>
      <c r="E62">
        <v>73.44</v>
      </c>
      <c r="F62">
        <v>180.04000000000002</v>
      </c>
      <c r="G62">
        <v>200.34</v>
      </c>
      <c r="H62">
        <v>464.07999999999993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7F35-5A07-4C50-A411-02E58CF6A03A}">
  <sheetPr codeName="Sheet32">
    <tabColor rgb="FFFFC000"/>
  </sheetPr>
  <dimension ref="A1"/>
  <sheetViews>
    <sheetView workbookViewId="0">
      <selection activeCell="BE11" sqref="BE11:BP11"/>
    </sheetView>
  </sheetViews>
  <sheetFormatPr defaultRowHeight="16.8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Top WS</vt:lpstr>
      <vt:lpstr> WS SF</vt:lpstr>
      <vt:lpstr>WS WH</vt:lpstr>
      <vt:lpstr>Test</vt:lpstr>
      <vt:lpstr>SF WH</vt:lpstr>
      <vt:lpstr>Guide</vt:lpstr>
      <vt:lpstr>M_Month</vt:lpstr>
      <vt:lpstr>Product</vt:lpstr>
      <vt:lpstr>Period</vt:lpstr>
      <vt:lpstr>T_SectAbove</vt:lpstr>
      <vt:lpstr>ASTBase</vt:lpstr>
      <vt:lpstr>Actual</vt:lpstr>
      <vt:lpstr>HR Rep</vt:lpstr>
      <vt:lpstr>Mapping</vt:lpstr>
      <vt:lpstr>2) หลักการคำนวน Table</vt:lpstr>
      <vt:lpstr>3)Target &amp; Cal_Staff</vt:lpstr>
      <vt:lpstr>3)Target &amp; Cal_Sect</vt:lpstr>
      <vt:lpstr>3)Target &amp; Cal_Dept</vt:lpstr>
      <vt:lpstr>3)Target &amp; Cal_AD</vt:lpstr>
      <vt:lpstr>1) For HR</vt:lpstr>
      <vt:lpstr>1) For HR (FIX)</vt:lpstr>
      <vt:lpstr>Shortage</vt:lpstr>
      <vt:lpstr>ค่าตอบแทนการขายในอัตราคงที่</vt:lpstr>
      <vt:lpstr>Aji Plus</vt:lpstr>
      <vt:lpstr>Actual_Aji Plus</vt:lpstr>
      <vt:lpstr>RDQ</vt:lpstr>
      <vt:lpstr>Actual_RDQ</vt:lpstr>
      <vt:lpstr>RDM</vt:lpstr>
      <vt:lpstr>Actual_RDM</vt:lpstr>
      <vt:lpstr>RDNS</vt:lpstr>
      <vt:lpstr>Actual_RDNS</vt:lpstr>
      <vt:lpstr>Sales 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Nawara Sopak</dc:creator>
  <cp:keywords/>
  <dc:description/>
  <cp:lastModifiedBy>Wimut Chanklang</cp:lastModifiedBy>
  <cp:revision/>
  <dcterms:created xsi:type="dcterms:W3CDTF">2025-10-09T03:11:25Z</dcterms:created>
  <dcterms:modified xsi:type="dcterms:W3CDTF">2026-06-22T05:11:24Z</dcterms:modified>
  <cp:category/>
  <cp:contentStatus/>
</cp:coreProperties>
</file>